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D:\Review\2021-22\9. Dec 2021\"/>
    </mc:Choice>
  </mc:AlternateContent>
  <xr:revisionPtr revIDLastSave="0" documentId="13_ncr:1_{D8E81F7C-5C9A-4590-8129-E49741204083}" xr6:coauthVersionLast="47" xr6:coauthVersionMax="47" xr10:uidLastSave="{00000000-0000-0000-0000-000000000000}"/>
  <bookViews>
    <workbookView xWindow="-120" yWindow="-120" windowWidth="20730" windowHeight="11160" tabRatio="864" xr2:uid="{00000000-000D-0000-FFFF-FFFF00000000}"/>
  </bookViews>
  <sheets>
    <sheet name="Index" sheetId="14" r:id="rId1"/>
    <sheet name="SFRLTP" sheetId="2" r:id="rId2"/>
    <sheet name="SFRSTP" sheetId="3" r:id="rId3"/>
    <sheet name="SFTPIS" sheetId="4" r:id="rId4"/>
    <sheet name="SMMF" sheetId="6" r:id="rId5"/>
    <sheet name="SPLDF" sheetId="16" r:id="rId6"/>
    <sheet name="SPMON" sheetId="17" r:id="rId7"/>
    <sheet name="SPSDF" sheetId="1" r:id="rId8"/>
    <sheet name="SPUSDF" sheetId="13" r:id="rId9"/>
    <sheet name="SUNBDS" sheetId="10" r:id="rId10"/>
    <sheet name="SUNMIA" sheetId="11" r:id="rId11"/>
    <sheet name="SUNONF" sheetId="12" r:id="rId12"/>
  </sheets>
  <definedNames>
    <definedName name="_xlnm._FilterDatabase" localSheetId="7" hidden="1">SPSDF!$A$58:$N$70</definedName>
    <definedName name="_xlnm._FilterDatabase" localSheetId="8" hidden="1">SPUSDF!$A$28:$H$95</definedName>
  </definedNames>
  <calcPr calcId="191029" iterateCount="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6" i="13" l="1"/>
  <c r="F46" i="13"/>
  <c r="G182" i="1" l="1"/>
  <c r="E90" i="13"/>
  <c r="E58" i="1"/>
</calcChain>
</file>

<file path=xl/sharedStrings.xml><?xml version="1.0" encoding="utf-8"?>
<sst xmlns="http://schemas.openxmlformats.org/spreadsheetml/2006/main" count="2563" uniqueCount="658">
  <si>
    <t>SUNDARAM MUTUAL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</si>
  <si>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</si>
  <si>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</si>
  <si>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</si>
  <si>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</si>
  <si>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</si>
  <si>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</si>
  <si>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</si>
  <si>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</si>
  <si>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</si>
  <si>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</si>
  <si>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</si>
  <si>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(b) Overseas Security</t>
  </si>
  <si>
    <t>(c) Privately Placed / Unlisted</t>
  </si>
  <si>
    <t>(d) Preference / Right Shares</t>
  </si>
  <si>
    <t>(e) Warrants</t>
  </si>
  <si>
    <t>f) Derivative</t>
  </si>
  <si>
    <t>Total for Equity &amp; Equity Related</t>
  </si>
  <si>
    <t>B) Debt Instruments</t>
  </si>
  <si>
    <t>INE261F08CS2</t>
  </si>
  <si>
    <t>National Bank for Agricultural &amp; Rural Development - 4.6% - 29/07/2022**</t>
  </si>
  <si>
    <t>INE941D07133</t>
  </si>
  <si>
    <t>Sikka Ports and Terminals Ltd - 8.45% - 12/06/2023**</t>
  </si>
  <si>
    <t xml:space="preserve"> CRISIL AAA </t>
  </si>
  <si>
    <t>INE514E08BA7</t>
  </si>
  <si>
    <t>Export Import Bank of India - 9.1% - 15/06/2022**</t>
  </si>
  <si>
    <t>INE516Y07444</t>
  </si>
  <si>
    <t>Piramal Capital &amp; Housing Finance Ltd - 6.75% - 26/09/2031</t>
  </si>
  <si>
    <t>INE915D08CL3</t>
  </si>
  <si>
    <t>Citicorp Finance India Ltd - 5.64% - 20/01/2024**</t>
  </si>
  <si>
    <t>INE134E08KS7</t>
  </si>
  <si>
    <t>Power Finance Corporation Ltd - 6.75% - 22/05/2023</t>
  </si>
  <si>
    <t>INE001A07SH4</t>
  </si>
  <si>
    <t>Housing Development Finance Corporation Ltd - 6.99% - 13/02/2023**</t>
  </si>
  <si>
    <t>INE031A08723</t>
  </si>
  <si>
    <t>Housing and Urban Development Corp. Ltd - 7.62% - 15/07/2022**</t>
  </si>
  <si>
    <t>INE001A07RU9</t>
  </si>
  <si>
    <t>Housing Development Finance Corporation Ltd - 8.05% - 20/06/2022**</t>
  </si>
  <si>
    <t>INE178A08037</t>
  </si>
  <si>
    <t>Chennai Petroleum Corporation Ltd - 5.44% - 24/06/2024**</t>
  </si>
  <si>
    <t>INE134E08KJ6</t>
  </si>
  <si>
    <t>Power Finance Corporation Ltd - 7.04% - 14/04/2023**</t>
  </si>
  <si>
    <t>INE020B08CG6</t>
  </si>
  <si>
    <t>REC Ltd - 7.24% - 31/12/2022**</t>
  </si>
  <si>
    <t>INE261F08CA0</t>
  </si>
  <si>
    <t>National Bank for Agricultural &amp; Rural Development - 6.4% - 31/07/2023**</t>
  </si>
  <si>
    <t>(b) Privately Placed / Unlisted</t>
  </si>
  <si>
    <t>(c) Govt Security</t>
  </si>
  <si>
    <t>IN0020200112</t>
  </si>
  <si>
    <t>Sovereign</t>
  </si>
  <si>
    <t>IN0020210095</t>
  </si>
  <si>
    <t>IN0020180025</t>
  </si>
  <si>
    <t xml:space="preserve">7.37% Central Government Securities 16/04/2023 </t>
  </si>
  <si>
    <t>IN0020130012</t>
  </si>
  <si>
    <t>IN0020210186</t>
  </si>
  <si>
    <t>(d) Securitized Debt Instruments</t>
  </si>
  <si>
    <t>Total for Debt Instruments</t>
  </si>
  <si>
    <t>C) Money Market Instruments</t>
  </si>
  <si>
    <t>(a) Certificate of Deposits</t>
  </si>
  <si>
    <t>INE238A167W7</t>
  </si>
  <si>
    <t>Axis Bank Ltd - 28/04/2022**</t>
  </si>
  <si>
    <t xml:space="preserve"> CRISIL A1+ </t>
  </si>
  <si>
    <t>INE238A162W8</t>
  </si>
  <si>
    <t>Axis Bank Ltd - 11/05/2022**</t>
  </si>
  <si>
    <t>(b) Commercial Papers</t>
  </si>
  <si>
    <t>INE115A14DE7</t>
  </si>
  <si>
    <t>LIC Housing Finance Ltd - 07/07/2022**</t>
  </si>
  <si>
    <t>(c) Treasury Bills</t>
  </si>
  <si>
    <t>IN002021Y338</t>
  </si>
  <si>
    <t>(d) ReverseRepo / TREPS</t>
  </si>
  <si>
    <t>TREPS</t>
  </si>
  <si>
    <t>Reverse Repo</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</si>
  <si>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</si>
  <si>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</si>
  <si>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</si>
  <si>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</si>
  <si>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</si>
  <si>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</si>
  <si>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</si>
  <si>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</si>
  <si>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</si>
  <si>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</si>
  <si>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</si>
  <si>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</si>
  <si>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</si>
  <si>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</si>
  <si>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</si>
  <si>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</si>
  <si>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</si>
  <si>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</si>
  <si>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30/11/2021</t>
  </si>
  <si>
    <t>31/12/2021</t>
  </si>
  <si>
    <t>Direct Plan - Growth</t>
  </si>
  <si>
    <t>Regular Plan - Growth</t>
  </si>
  <si>
    <t>Regular Plan - Bonus</t>
  </si>
  <si>
    <t>Individual &amp; HUF</t>
  </si>
  <si>
    <t>Others</t>
  </si>
  <si>
    <t>-</t>
  </si>
  <si>
    <t>e) Total outstanding exposure in derivative instruments at the end of the period</t>
  </si>
  <si>
    <t>f) Total investments in foreign securities /ADR'S/GDR'S at the end of the period</t>
  </si>
  <si>
    <t>g) Average  Maturity (years)</t>
  </si>
  <si>
    <t>h) Macaulay Duration (years)</t>
  </si>
  <si>
    <t>i) Repo in corporate debt</t>
  </si>
  <si>
    <t>Sundaram Corporate Bond Fund</t>
  </si>
  <si>
    <t>INE094A08085</t>
  </si>
  <si>
    <t>Hindustan Petroleum Corporation Ltd - 4.79% - 23/10/2023**</t>
  </si>
  <si>
    <t>INE031A08798</t>
  </si>
  <si>
    <t>Housing and Urban Development Corp. Ltd - 5.95% - 11/08/2023**</t>
  </si>
  <si>
    <t>INE001A07RJ2</t>
  </si>
  <si>
    <t>Housing Development Finance Corporation Ltd - 9.05% - 20/11/2023**</t>
  </si>
  <si>
    <t>INE031A08764</t>
  </si>
  <si>
    <t>Housing and Urban Development Corp. Ltd - 6.79% - 14/04/2023**</t>
  </si>
  <si>
    <t>INE002A08641</t>
  </si>
  <si>
    <t>Reliance Industries Ltd - 6.95% - 15/03/2023**</t>
  </si>
  <si>
    <t>INE115A07OU4</t>
  </si>
  <si>
    <t>LIC Housing Finance Ltd - 5.9% - 11/05/2023**</t>
  </si>
  <si>
    <t>INE115A07NI1</t>
  </si>
  <si>
    <t>LIC Housing Finance Ltd - 9.19% - 06/06/2023**</t>
  </si>
  <si>
    <t>INE115A07JO7</t>
  </si>
  <si>
    <t>LIC Housing Finance Ltd - 8.48% - 09/06/2023**</t>
  </si>
  <si>
    <t>INE557F08FJ5</t>
  </si>
  <si>
    <t>National Housing Bank  - 5.8% - 15/05/2023</t>
  </si>
  <si>
    <t>INE053F07603</t>
  </si>
  <si>
    <t>Indian Railway Finance Corporation Ltd - 8.83% - 25/03/2023**</t>
  </si>
  <si>
    <t>INE733E07JC4</t>
  </si>
  <si>
    <t>NTPC Ltd - 8.73% - 07/03/2023**</t>
  </si>
  <si>
    <t>INE134E08FJ6</t>
  </si>
  <si>
    <t>Power Finance Corporation Ltd - 8.84% - 04/03/2023**</t>
  </si>
  <si>
    <t>INE020B08CC5</t>
  </si>
  <si>
    <t>REC Ltd - 7.55% - 26/09/2023**</t>
  </si>
  <si>
    <t>INE001A07SK8</t>
  </si>
  <si>
    <t>Housing Development Finance Corporation Ltd - 6.95% - 27/04/2023**</t>
  </si>
  <si>
    <t>INE261F08CD4</t>
  </si>
  <si>
    <t>National Bank for Agricultural &amp; Rural Development - 6.5% - 17/04/2023**</t>
  </si>
  <si>
    <t>INE296A07RG4</t>
  </si>
  <si>
    <t>Bajaj Finance Ltd - 5.7% - 11/08/2023**</t>
  </si>
  <si>
    <t>INE752E07KN9</t>
  </si>
  <si>
    <t>Power Grid Corporation of India Ltd - 8.8% - 13/03/2023**</t>
  </si>
  <si>
    <t>INE020B08CD3</t>
  </si>
  <si>
    <t>REC Ltd - 7.09% - 13/12/2022**</t>
  </si>
  <si>
    <t>INE053F07CC9</t>
  </si>
  <si>
    <t>Indian Railway Finance Corporation Ltd - 6.19% - 28/04/2023**</t>
  </si>
  <si>
    <t>INE178A08011</t>
  </si>
  <si>
    <t>Chennai Petroleum Corporation Ltd - 6.43% - 28/02/2023**</t>
  </si>
  <si>
    <t>INE514E08CI8</t>
  </si>
  <si>
    <t>Export Import Bank of India - 8.8% - 15/03/2023**</t>
  </si>
  <si>
    <t>INE514E08CE7</t>
  </si>
  <si>
    <t>Export Import Bank of India - 8.76% - 14/02/2023**</t>
  </si>
  <si>
    <t>INE752E07KU4</t>
  </si>
  <si>
    <t>Power Grid Corporation of India Ltd - 7.93% - 20/05/2023**</t>
  </si>
  <si>
    <t>INE557F08FI7</t>
  </si>
  <si>
    <t>National Housing Bank  - 6.55% - 17/04/2023**</t>
  </si>
  <si>
    <t>INE514E08CT5</t>
  </si>
  <si>
    <t>Export Import Bank of India - 9.4% - 14/08/2023**</t>
  </si>
  <si>
    <t>INE752E07HL9</t>
  </si>
  <si>
    <t>Power Grid Corporation of India Ltd - 8.64% - 08/07/2023**</t>
  </si>
  <si>
    <t>INE848E07831</t>
  </si>
  <si>
    <t>NHPC Ltd - 8.5% - 14/07/2023**</t>
  </si>
  <si>
    <t xml:space="preserve"> IND AAA </t>
  </si>
  <si>
    <t>INE134E08FN8</t>
  </si>
  <si>
    <t>Power Finance Corporation Ltd - 8.9% - 18/03/2023**</t>
  </si>
  <si>
    <t>INE206D08147</t>
  </si>
  <si>
    <t>Nuclear Power Corporation of  India Ltd - 8.54% - 15/03/2023**</t>
  </si>
  <si>
    <t>INE001A07KU4</t>
  </si>
  <si>
    <t>Housing Development Finance Corporation Ltd - 8.95% - 21/03/2023**</t>
  </si>
  <si>
    <t>INE020B08849</t>
  </si>
  <si>
    <t>REC Ltd - 8.06% - 31/05/2023**</t>
  </si>
  <si>
    <t>INE733E08148</t>
  </si>
  <si>
    <t>NTPC Ltd - 6.55% - 17/04/2023**</t>
  </si>
  <si>
    <t>INE134E08JF6</t>
  </si>
  <si>
    <t>Power Finance Corporation Ltd - 7.35% - 22/11/2022**</t>
  </si>
  <si>
    <t>INE134E08KO6</t>
  </si>
  <si>
    <t>Power Finance Corporation Ltd - 6.83% - 24/04/2023**</t>
  </si>
  <si>
    <t>INE752E07JJ9</t>
  </si>
  <si>
    <t>Power Grid Corporation of India Ltd - 9.25% - 26/12/2023**</t>
  </si>
  <si>
    <t>INE752E07ET9</t>
  </si>
  <si>
    <t>Power Grid Corporation of India Ltd - 9.47% - 31/03/2023**</t>
  </si>
  <si>
    <t>INE752E07MP0</t>
  </si>
  <si>
    <t>Power Grid Corporation of India Ltd - 8.4% - 27/05/2023**</t>
  </si>
  <si>
    <t>INE134E08JO8</t>
  </si>
  <si>
    <t>Power Finance Corporation Ltd - 7.99% - 20/12/2022**</t>
  </si>
  <si>
    <t>INE001A07SD3</t>
  </si>
  <si>
    <t>Housing Development Finance Corporation Ltd - 7.21% - 30/12/2022**</t>
  </si>
  <si>
    <t>INE261F08BW6</t>
  </si>
  <si>
    <t>National Bank for Agricultural &amp; Rural Development - 6.72% - 14/04/2023**</t>
  </si>
  <si>
    <t>IN3120180085</t>
  </si>
  <si>
    <t>8.42% Tamil Nadu State Development Loan 25/07/2023</t>
  </si>
  <si>
    <t>IN2220130099</t>
  </si>
  <si>
    <t>9.25% Maharashtra State Development Loan 09/10/2023</t>
  </si>
  <si>
    <t>IN3120120149</t>
  </si>
  <si>
    <t>8.62% Tamil Nadu State Development Loan 20/02/2023</t>
  </si>
  <si>
    <t>IN2220130024</t>
  </si>
  <si>
    <t>7.95% Maharashtra State Development Loan 03/07/2023</t>
  </si>
  <si>
    <t>IN3120200032</t>
  </si>
  <si>
    <t>IN2220130057</t>
  </si>
  <si>
    <t>9.60% Maharashtra State Development Loan 14/08/2023</t>
  </si>
  <si>
    <t>Sundaram Banking &amp; PSU Debt Fund</t>
  </si>
  <si>
    <t>INE261F08DI1</t>
  </si>
  <si>
    <t>National Bank for Agricultural &amp; Rural Development - 5.23% - 31/01/2025**</t>
  </si>
  <si>
    <t>INE020B08963</t>
  </si>
  <si>
    <t>REC Ltd - 8.11% - 07/10/2025**</t>
  </si>
  <si>
    <t>INE514E08FV4</t>
  </si>
  <si>
    <t>Export Import Bank of India - 5.85% - 12/09/2025**</t>
  </si>
  <si>
    <t>INE242A08460</t>
  </si>
  <si>
    <t>Indian Oil Corporation Ltd - 5.05% - 25/11/2022</t>
  </si>
  <si>
    <t>INE296A07RU5</t>
  </si>
  <si>
    <t>Bajaj Finance Ltd - 5.65% - 10/05/2024**</t>
  </si>
  <si>
    <t>INE134E08LK2</t>
  </si>
  <si>
    <t>Power Finance Corporation Ltd - 6.09% - 27/08/2026**</t>
  </si>
  <si>
    <t>INE936D07174</t>
  </si>
  <si>
    <t>Jamnagar Utilities and Power Pvt Ltd - 6.4% - 29/09/2026**</t>
  </si>
  <si>
    <t>INE752E08569</t>
  </si>
  <si>
    <t>Power Grid Corporation of India Ltd - 7.34% - 15/07/2024**</t>
  </si>
  <si>
    <t>INE906B07FT4</t>
  </si>
  <si>
    <t>National Highway Authority of India - 7.27% - 06/06/2022</t>
  </si>
  <si>
    <t>INE514E08DH8</t>
  </si>
  <si>
    <t>Export Import Bank of India - 9.58% - 16/12/2023**</t>
  </si>
  <si>
    <t>INE001A07RV7</t>
  </si>
  <si>
    <t>Housing Development Finance Corporation Ltd - 7.99% - 11/07/2024**</t>
  </si>
  <si>
    <t>INE020B08AA3</t>
  </si>
  <si>
    <t>REC Ltd - 7.52% - 07/11/2026**</t>
  </si>
  <si>
    <t>INE134E08LD7</t>
  </si>
  <si>
    <t>Power Finance Corporation Ltd - 6.5% - 17/09/2025**</t>
  </si>
  <si>
    <t>INE556F08JN1</t>
  </si>
  <si>
    <t>Small Industrial Development Bank of India - 6.99% - 08/08/2022**</t>
  </si>
  <si>
    <t xml:space="preserve"> CARE AAA </t>
  </si>
  <si>
    <t>INE213A08032</t>
  </si>
  <si>
    <t>Oil &amp; Natural Gas Corporation Ltd - 4.64% - 21/11/2023**</t>
  </si>
  <si>
    <t>INE134E08LF2</t>
  </si>
  <si>
    <t>Power Finance Corporation Ltd - 6.35% - 30/06/2025**</t>
  </si>
  <si>
    <t>IN0020210012</t>
  </si>
  <si>
    <t>IN0020200278</t>
  </si>
  <si>
    <t>5.15% Central Government Securities 09/11/2025</t>
  </si>
  <si>
    <t>INE040A16CI5</t>
  </si>
  <si>
    <t>HDFC Bank Ltd - 17/08/2022**</t>
  </si>
  <si>
    <t xml:space="preserve"> IND A1+ </t>
  </si>
  <si>
    <t>Direct Plan - Bonus</t>
  </si>
  <si>
    <t>Retail Plan - Growth</t>
  </si>
  <si>
    <t>Sundaram Fixed Term Plan-IS</t>
  </si>
  <si>
    <t>INE296A07QQ5</t>
  </si>
  <si>
    <t>Bajaj Finance Ltd - 05/04/2022**</t>
  </si>
  <si>
    <t>INE031A08640</t>
  </si>
  <si>
    <t>Housing and Urban Development Corp. Ltd - 8.4% - 11/04/2022**</t>
  </si>
  <si>
    <t>INE134E08JW1</t>
  </si>
  <si>
    <t>Power Finance Corporation Ltd - 8.18% - 19/03/2022**</t>
  </si>
  <si>
    <t>INE002A08575</t>
  </si>
  <si>
    <t>Reliance Industries Ltd - 8.3% - 08/03/2022</t>
  </si>
  <si>
    <t>INE020B08BF0</t>
  </si>
  <si>
    <t>REC Ltd - 8.45% - 22/03/2022**</t>
  </si>
  <si>
    <t>INE306N07KX4</t>
  </si>
  <si>
    <t>Tata Capital Financial Services Ltd - 8.71% - 25/03/2022**</t>
  </si>
  <si>
    <t>INE377Y07052</t>
  </si>
  <si>
    <t>Bajaj Housing Finance Ltd - 05/04/2022**</t>
  </si>
  <si>
    <t>INE001A07RS3</t>
  </si>
  <si>
    <t>Housing Development Finance Corporation Ltd - 8.58% - 18/03/2022**</t>
  </si>
  <si>
    <t>INE261F08AI7</t>
  </si>
  <si>
    <t>National Bank for Agricultural &amp; Rural Development - 8.6% - 31/01/2022**</t>
  </si>
  <si>
    <t>INE556F08JI1</t>
  </si>
  <si>
    <t>Small Industrial Development Bank of India - 8.81% - 25/01/2022**</t>
  </si>
  <si>
    <t>IN002020Z485</t>
  </si>
  <si>
    <t>IN002020Z519</t>
  </si>
  <si>
    <t>Sundaram Low Duration Fund</t>
  </si>
  <si>
    <t>INE906B07FG1</t>
  </si>
  <si>
    <t>National Highway Authority of India - 7.6% - 18/03/2022**</t>
  </si>
  <si>
    <t>INE020B08BM6</t>
  </si>
  <si>
    <t>REC Ltd - 8.35% - 11/03/2022**</t>
  </si>
  <si>
    <t>IN0020180488</t>
  </si>
  <si>
    <t>INE110L14QD9</t>
  </si>
  <si>
    <t>Reliance Jio Infocomm Ltd - 04/02/2022**</t>
  </si>
  <si>
    <t>INE563J14591</t>
  </si>
  <si>
    <t>Astec LifeSciences Ltd - 16/02/2022**</t>
  </si>
  <si>
    <t>INE002A14JO3</t>
  </si>
  <si>
    <t>Reliance Industries Ltd - 24/02/2022**</t>
  </si>
  <si>
    <t>INE865C14GO5</t>
  </si>
  <si>
    <t>Aditya Birla Money Ltd - 27/01/2022**</t>
  </si>
  <si>
    <t>INE607M14657</t>
  </si>
  <si>
    <t>Tata Power Renewable Energy Ltd - 18/02/2022**</t>
  </si>
  <si>
    <t>INE466L14AS7</t>
  </si>
  <si>
    <t>IIFL Wealth Management Ltd - 10/03/2022**</t>
  </si>
  <si>
    <t>INE824H14FM7</t>
  </si>
  <si>
    <t>Julius Baer Capital (India) Private Ltd - 12/01/2022**</t>
  </si>
  <si>
    <t>INE248U14JO0</t>
  </si>
  <si>
    <t>IIFL Wealth Prime Ltd - 25/02/2022**</t>
  </si>
  <si>
    <t>INE012I14MQ4</t>
  </si>
  <si>
    <t>INE012I14MR2</t>
  </si>
  <si>
    <t>Institutional Plan - Growth</t>
  </si>
  <si>
    <t>Sundaram Money Market Fund</t>
  </si>
  <si>
    <t>INE261F16579</t>
  </si>
  <si>
    <t>National Bank for Agricultural &amp; Rural Development - 27/01/2022</t>
  </si>
  <si>
    <t>INE238A163W6</t>
  </si>
  <si>
    <t>Axis Bank Ltd - 28/01/2022</t>
  </si>
  <si>
    <t>INE001A14XM0</t>
  </si>
  <si>
    <t>Housing Development Finance Corporation Ltd - 28/02/2022**</t>
  </si>
  <si>
    <t>INE001A14XZ2</t>
  </si>
  <si>
    <t>Housing Development Finance Corporation Ltd - 24/01/2022**</t>
  </si>
  <si>
    <t>INE261F14IC1</t>
  </si>
  <si>
    <t>National Bank for Agricultural &amp; Rural Development - 31/01/2022**</t>
  </si>
  <si>
    <t>INE929O14446</t>
  </si>
  <si>
    <t>Reliance Retail Ventures Ltd - 15/02/2022**</t>
  </si>
  <si>
    <t>INE763G14LO3</t>
  </si>
  <si>
    <t>ICICI Securities Ltd - 03/03/2022**</t>
  </si>
  <si>
    <t>INE02FN14028</t>
  </si>
  <si>
    <t>INE248U14KB5</t>
  </si>
  <si>
    <t>IIFL Wealth Prime Ltd - 07/03/2022**</t>
  </si>
  <si>
    <t>INE929O14503</t>
  </si>
  <si>
    <t>Reliance Retail Ventures Ltd - 25/03/2022**</t>
  </si>
  <si>
    <t>INE824H14GI3</t>
  </si>
  <si>
    <t>Julius Baer Capital (India) Private Ltd - 23/03/2022**</t>
  </si>
  <si>
    <t>INE477A14BF2</t>
  </si>
  <si>
    <t>Can Fin Homes Ltd - 18/01/2022**</t>
  </si>
  <si>
    <t>INE463A14KZ1</t>
  </si>
  <si>
    <t>Berger Paints (I) Ltd - 02/02/2022**</t>
  </si>
  <si>
    <t>INE607M14665</t>
  </si>
  <si>
    <t>Tata Power Renewable Energy Ltd - 21/02/2022**</t>
  </si>
  <si>
    <t>INE563J14617</t>
  </si>
  <si>
    <t>Astec LifeSciences Ltd - 28/03/2022**</t>
  </si>
  <si>
    <t>INE012I14MT8</t>
  </si>
  <si>
    <t>IN002021X413</t>
  </si>
  <si>
    <t>IN002021Y155</t>
  </si>
  <si>
    <t>IN002021X355</t>
  </si>
  <si>
    <t>Unclaimed Plan - Dividend greater than three years</t>
  </si>
  <si>
    <t>Unclaimed Plan - Dividend less than three years</t>
  </si>
  <si>
    <t>Unclaimed Plan - Redemption Less than three years</t>
  </si>
  <si>
    <t>Unclaimed Plan - Redemption greater than three years</t>
  </si>
  <si>
    <t>INE002A01018</t>
  </si>
  <si>
    <t>Reliance Industries Ltd</t>
  </si>
  <si>
    <t>Petroleum Products</t>
  </si>
  <si>
    <t>INE090A01021</t>
  </si>
  <si>
    <t>ICICI Bank Ltd</t>
  </si>
  <si>
    <t>Banks</t>
  </si>
  <si>
    <t>INE062A01020</t>
  </si>
  <si>
    <t>State Bank of India</t>
  </si>
  <si>
    <t>INE009A01021</t>
  </si>
  <si>
    <t>Infosys Ltd</t>
  </si>
  <si>
    <t>Software</t>
  </si>
  <si>
    <t>INE238A01034</t>
  </si>
  <si>
    <t>Axis Bank Ltd</t>
  </si>
  <si>
    <t>INE397D01024</t>
  </si>
  <si>
    <t>Bharti Airtel Ltd</t>
  </si>
  <si>
    <t>Telecom - Services</t>
  </si>
  <si>
    <t>Consumer Non Durables</t>
  </si>
  <si>
    <t>INE467B01029</t>
  </si>
  <si>
    <t>Tata Consultancy Services Ltd</t>
  </si>
  <si>
    <t>INE018A01030</t>
  </si>
  <si>
    <t>Larsen &amp; Toubro Ltd</t>
  </si>
  <si>
    <t>Construction Project</t>
  </si>
  <si>
    <t>Industrial Products</t>
  </si>
  <si>
    <t>INE040A01034</t>
  </si>
  <si>
    <t>HDFC Bank Ltd</t>
  </si>
  <si>
    <t>Pharmaceuticals</t>
  </si>
  <si>
    <t>INE481G01011</t>
  </si>
  <si>
    <t>Ultratech Cement Ltd</t>
  </si>
  <si>
    <t>INE860A01027</t>
  </si>
  <si>
    <t>HCL Technologies Ltd</t>
  </si>
  <si>
    <t>INE200M01013</t>
  </si>
  <si>
    <t>Varun Beverages Ltd</t>
  </si>
  <si>
    <t>INE068V01023</t>
  </si>
  <si>
    <t>Gland Pharma Ltd</t>
  </si>
  <si>
    <t>INE029A01011</t>
  </si>
  <si>
    <t>Bharat Petroleum Corporation Ltd</t>
  </si>
  <si>
    <t>Auto</t>
  </si>
  <si>
    <t>Gas</t>
  </si>
  <si>
    <t>IN9397D01014</t>
  </si>
  <si>
    <t>INE006I01046</t>
  </si>
  <si>
    <t>Astral Ltd</t>
  </si>
  <si>
    <t>INE018I01017</t>
  </si>
  <si>
    <t>MindTree Ltd</t>
  </si>
  <si>
    <t>INE603J01030</t>
  </si>
  <si>
    <t>PI Industries Ltd</t>
  </si>
  <si>
    <t>Pesticides</t>
  </si>
  <si>
    <t>INE179A01014</t>
  </si>
  <si>
    <t>Procter &amp; Gamble Hygiene and Health Care Ltd</t>
  </si>
  <si>
    <t>INE679A01013</t>
  </si>
  <si>
    <t>CSB Bank Ltd</t>
  </si>
  <si>
    <t>INE203G01027</t>
  </si>
  <si>
    <t>Indraprastha Gas Ltd</t>
  </si>
  <si>
    <t>INE208A01029</t>
  </si>
  <si>
    <t>Ashok Leyland Ltd</t>
  </si>
  <si>
    <t>INE059A01026</t>
  </si>
  <si>
    <t>Cipla Ltd</t>
  </si>
  <si>
    <t xml:space="preserve"> CRISIL AA+ </t>
  </si>
  <si>
    <t>INE040A08377</t>
  </si>
  <si>
    <t>INE028A08158</t>
  </si>
  <si>
    <t>Sundaram Medium Term Bond Fund</t>
  </si>
  <si>
    <t>Sundaram Debt Oriented Hybrid Fund</t>
  </si>
  <si>
    <t>Sundaram Overnight Fund</t>
  </si>
  <si>
    <t>INE134E08JU5</t>
  </si>
  <si>
    <t>Power Finance Corporation Ltd - 8.45% - 11/08/2022**</t>
  </si>
  <si>
    <t>INE115A07NZ5</t>
  </si>
  <si>
    <t>LIC Housing Finance Ltd - 8.595% - 14/01/2022**</t>
  </si>
  <si>
    <t>INE556F16861</t>
  </si>
  <si>
    <t>Small Industrial Development Bank of India - 25/03/2022</t>
  </si>
  <si>
    <t>INE238A168W5</t>
  </si>
  <si>
    <t>Axis Bank Ltd - 27/04/2022**</t>
  </si>
  <si>
    <t>INE563J14567</t>
  </si>
  <si>
    <t>Astec LifeSciences Ltd - 17/01/2022**</t>
  </si>
  <si>
    <t>INE463A14LB0</t>
  </si>
  <si>
    <t>Berger Paints (I) Ltd - 24/02/2022**</t>
  </si>
  <si>
    <t>IN002021X371</t>
  </si>
  <si>
    <t>IN002021X397</t>
  </si>
  <si>
    <t>S. No.</t>
  </si>
  <si>
    <t>ACRONYM</t>
  </si>
  <si>
    <t>SCHEME NAME</t>
  </si>
  <si>
    <t>SFRLTP</t>
  </si>
  <si>
    <t>SFRSTP</t>
  </si>
  <si>
    <t>SFTPIS</t>
  </si>
  <si>
    <t>Sundaram Fixed Term Plan - Series IS</t>
  </si>
  <si>
    <t>SMMF</t>
  </si>
  <si>
    <t>SUNBDS</t>
  </si>
  <si>
    <t>SUNMIA</t>
  </si>
  <si>
    <t>SUNONF</t>
  </si>
  <si>
    <t>JM Financial Services Ltd - 28/02/2022**</t>
  </si>
  <si>
    <t>JM Financial Services Ltd - 02/06/2022**</t>
  </si>
  <si>
    <t>5.22% Central Government Securities 15/06/2025</t>
  </si>
  <si>
    <t>5.44% Tamilnadu State Development Loan 22/04/2023</t>
  </si>
  <si>
    <t>5.63% Central Government Securities 12/04/2026</t>
  </si>
  <si>
    <t>5.74% Government Securites Stock 15/11/2026</t>
  </si>
  <si>
    <t>6.10% Central Government Securities 12/07/2031</t>
  </si>
  <si>
    <t>7.16% Central Government Securities 20/05/2023</t>
  </si>
  <si>
    <t>7.32 % Central Government Securities 28/01/2024</t>
  </si>
  <si>
    <t>182 Days T Bill 12/05/2022</t>
  </si>
  <si>
    <t>364 Days T Bill 03/03/2022</t>
  </si>
  <si>
    <t>364 Days T Bill 24/03/2022</t>
  </si>
  <si>
    <t>91 Days T Bill 24/02/2022</t>
  </si>
  <si>
    <t>91 Days T Bill 10/03/2022</t>
  </si>
  <si>
    <t>Bharti Airtel Ltd - Partly Paid Right Shares</t>
  </si>
  <si>
    <t>Cement &amp; Cement Products</t>
  </si>
  <si>
    <t>g) Average Maturity - only for Debt portion (years)</t>
  </si>
  <si>
    <t>h) Macaulay Duration - only for Debt portion (years)</t>
  </si>
  <si>
    <t>e) Bonus declared during the period (Rupees per unit)</t>
  </si>
  <si>
    <t>f) Total outstanding exposure in derivative instruments at the end of the period</t>
  </si>
  <si>
    <t>g) Total investments in foreign securities /ADR'S/GDR'S at the end of the period</t>
  </si>
  <si>
    <t>h) Average  Maturity (years)</t>
  </si>
  <si>
    <t>i) Macaulay Duration (years)</t>
  </si>
  <si>
    <t>j) Repo in corporate debt</t>
  </si>
  <si>
    <t>ISIN</t>
  </si>
  <si>
    <t>NAME OF THE SECURITY</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</si>
  <si>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</si>
  <si>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</si>
  <si>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</si>
  <si>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</si>
  <si>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</si>
  <si>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</si>
  <si>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</si>
  <si>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</si>
  <si>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Interest not accrued upto 31/03/2021 from the default date (Rs. in Lacs)</t>
  </si>
  <si>
    <t>Total 
(Rs. in Lacs)</t>
  </si>
  <si>
    <t>$ Yes Bank Limited Reconstruction Scheme 2020” was notified in the Official Gazette on March 13, 2020. Based on that, the Basel III Additional Tier I Bonds (ISIN - INE528G08394) were written off in the scheme along with the Interest accrued.</t>
  </si>
  <si>
    <t>% to AUM as on 31.12.2021</t>
  </si>
  <si>
    <t xml:space="preserve"> ICRA AAA </t>
  </si>
  <si>
    <t xml:space="preserve"> ICRA AA </t>
  </si>
  <si>
    <t xml:space="preserve"> ICRA A1+ </t>
  </si>
  <si>
    <t>YTM (%)</t>
  </si>
  <si>
    <t>Bank of Baroda - 8.55% - Call Dt 14-Feb-2024** (Tier II Bond under Basel III)</t>
  </si>
  <si>
    <t>HDFC Bank Ltd - 8.85% - Call Dt 12/05/2022** (Perpetual Bond under Basel III)</t>
  </si>
  <si>
    <t>Yield to call date (%)</t>
  </si>
  <si>
    <t>Direct Plan - Weekly IDCW^^</t>
  </si>
  <si>
    <t>Direct Plan - Fortnightly IDCW^^</t>
  </si>
  <si>
    <t>Direct Plan - Monthly IDCW^^</t>
  </si>
  <si>
    <t>Direct Plan - Quarterly IDCW^^</t>
  </si>
  <si>
    <t>Direct Plan - Halfyearly IDCW^^</t>
  </si>
  <si>
    <t>Direct Plan - Annual IDCW^^</t>
  </si>
  <si>
    <t>Regular Plan - Weekly IDCW^^</t>
  </si>
  <si>
    <t>Regular Plan - Fortnightly IDCW^^</t>
  </si>
  <si>
    <t>Regular Plan - Monthly IDCW^^</t>
  </si>
  <si>
    <t>Regular Plan - Quarterly IDCW^^</t>
  </si>
  <si>
    <t>Regular Plan - Halfyearly IDCW^^</t>
  </si>
  <si>
    <t>Regular Plan - Annual IDCW^^</t>
  </si>
  <si>
    <t>d) IDCW^^ declared during the period (Rupees per unit)</t>
  </si>
  <si>
    <t>Direct Plan - Daily IDCW^^</t>
  </si>
  <si>
    <t>Retail Plan - Monthly IDCW^^</t>
  </si>
  <si>
    <t>Regular Plan - Daily IDCW^^</t>
  </si>
  <si>
    <t>Regular Plan - IDCW^^</t>
  </si>
  <si>
    <t>Retail Plan - Daily IDCW^^</t>
  </si>
  <si>
    <t>Retail Plan - Weekly IDCW^^</t>
  </si>
  <si>
    <t>Retail Plan - Fortnightly IDCW^^</t>
  </si>
  <si>
    <t>Retail Plan - Quarterly IDCW^^</t>
  </si>
  <si>
    <t>Institutional Plan - Daily IDCW^^</t>
  </si>
  <si>
    <t>Institutional Plan - Monthly IDCW^^</t>
  </si>
  <si>
    <t>^^ IDCW means Income distribution cum capital withdrawal (Payout/Reinvestment/Transfer)</t>
  </si>
  <si>
    <t>Monthly Portfolio Statement for the month ended 31 December 2021</t>
  </si>
  <si>
    <t>Sundaram Short Duration Fund</t>
  </si>
  <si>
    <t>INE557F08FG1</t>
  </si>
  <si>
    <t>National Housing Bank  - 7.05% - 18/12/2024**</t>
  </si>
  <si>
    <t>INE001A07SG6</t>
  </si>
  <si>
    <t>Housing Development Finance Corporation Ltd - 7.35% - 10/02/2025**</t>
  </si>
  <si>
    <t>INE090A08TU6</t>
  </si>
  <si>
    <t>ICICI Bank Ltd - 7.6% - 07/10/2023**</t>
  </si>
  <si>
    <t>INE002A08625</t>
  </si>
  <si>
    <t>Reliance Industries Ltd - 7.05% - 13/09/2023**</t>
  </si>
  <si>
    <t>INE115A07OQ2</t>
  </si>
  <si>
    <t>LIC Housing Finance Ltd - 7.45% - 10/02/2023**</t>
  </si>
  <si>
    <t>INE094A08044</t>
  </si>
  <si>
    <t>Hindustan Petroleum Corporation Ltd - 6.8% - 15/12/2022**</t>
  </si>
  <si>
    <t>INE733E08163</t>
  </si>
  <si>
    <t>NTPC Ltd - 5.45% - 15/10/2025**</t>
  </si>
  <si>
    <t>INE053F07BB3</t>
  </si>
  <si>
    <t>Indian Railway Finance Corporation Ltd - 8.25% - 28/02/2024**</t>
  </si>
  <si>
    <t>INE733E07JD2</t>
  </si>
  <si>
    <t>NTPC Ltd - 8.8% - 04/04/2023**</t>
  </si>
  <si>
    <t>INE261F08AT4</t>
  </si>
  <si>
    <t>National Bank for Agricultural &amp; Rural Development - 8.5% - 31/01/2023**</t>
  </si>
  <si>
    <t>IN0020170174</t>
  </si>
  <si>
    <t xml:space="preserve">7.17% Central Government Securities 08/01/2028 </t>
  </si>
  <si>
    <t>IN2220200249</t>
  </si>
  <si>
    <t>6.45% State Government of Maharashtra 14-Oct-2027</t>
  </si>
  <si>
    <t>IN2220150022</t>
  </si>
  <si>
    <t>IN0020160050</t>
  </si>
  <si>
    <t>6.84% Central Government Securities 19/12/2022</t>
  </si>
  <si>
    <t>IN0020160035</t>
  </si>
  <si>
    <t>6.97% Central Government Securities 06/09/2026</t>
  </si>
  <si>
    <t>8.14 % State Government of Maharashtra  27/05/2025</t>
  </si>
  <si>
    <t>INE020B08BT1</t>
  </si>
  <si>
    <t>REC Ltd - 8.15% - 10/06/2022**</t>
  </si>
  <si>
    <t>INE115A07LW6</t>
  </si>
  <si>
    <t>LIC Housing Finance Ltd - 7.78% - 23/05/2022**</t>
  </si>
  <si>
    <t>INE018A08AR3</t>
  </si>
  <si>
    <t>Larsen &amp; Toubro Ltd - 7.87% - 18/04/2022**</t>
  </si>
  <si>
    <t>IN2220170111</t>
  </si>
  <si>
    <t>7.02% State Government of Maharashtra 27-Sep-2022</t>
  </si>
  <si>
    <t>IN3420120054</t>
  </si>
  <si>
    <t>IN1520120057</t>
  </si>
  <si>
    <t>8.91% State Government of Gujarat 22-Aug-2022</t>
  </si>
  <si>
    <t>IN0020120013</t>
  </si>
  <si>
    <t>IN0020020072</t>
  </si>
  <si>
    <t>IN0020070051</t>
  </si>
  <si>
    <t>INE095A16L30</t>
  </si>
  <si>
    <t>IndusInd Bank Ltd - 28/02/2022**</t>
  </si>
  <si>
    <t>182 Days- T Bill-12052022</t>
  </si>
  <si>
    <t>364 Days- T Bill- 24032022</t>
  </si>
  <si>
    <t>IN002021Y312</t>
  </si>
  <si>
    <t>182 DAY T-BILL 28-Apr-2022</t>
  </si>
  <si>
    <t>IN002021Z343</t>
  </si>
  <si>
    <t>364 DAYS TBL 17 11 2022</t>
  </si>
  <si>
    <t>IN002020Z493</t>
  </si>
  <si>
    <t>364 DAY TBL 11 03 2022</t>
  </si>
  <si>
    <t>IN002021X306</t>
  </si>
  <si>
    <t>91 DAY T-BILL 06-Jan-2022</t>
  </si>
  <si>
    <t xml:space="preserve">8.15% Central Government Securities 11/06/2022 </t>
  </si>
  <si>
    <t>8.35% Central Government Securities 14/5/2022</t>
  </si>
  <si>
    <t>8.13% Central Government Securities 21/09/2022</t>
  </si>
  <si>
    <t>8.91% State Government of Westbengal 18/07/2022</t>
  </si>
  <si>
    <t>Sundaram Liquid Fund</t>
  </si>
  <si>
    <t>INE296A07NQ2</t>
  </si>
  <si>
    <t>Bajaj Finance Ltd - 7.7% - 20/01/2022**</t>
  </si>
  <si>
    <t>INE020B08BD5</t>
  </si>
  <si>
    <t>REC Ltd - 8.83% - 21/01/2022**</t>
  </si>
  <si>
    <t>INE238A166W9</t>
  </si>
  <si>
    <t>Axis Bank Ltd - 08/02/2022**</t>
  </si>
  <si>
    <t>INE002A14JI5</t>
  </si>
  <si>
    <t>Reliance Industries Ltd - 11/01/2022**</t>
  </si>
  <si>
    <t>INE261F14II8</t>
  </si>
  <si>
    <t>National Bank for Agricultural &amp; Rural Development - 25/01/2022**</t>
  </si>
  <si>
    <t>IGH HOLDINGS PRIVATE LIMITED - 10/03/2022**</t>
  </si>
  <si>
    <t>IN002021X389</t>
  </si>
  <si>
    <t>91 DAY TBL 03 03 2022</t>
  </si>
  <si>
    <t>IN002020Z428</t>
  </si>
  <si>
    <t>364Days- T Bill- 20012022</t>
  </si>
  <si>
    <t>IN002020Z410</t>
  </si>
  <si>
    <t>364 Day TBL 13 01 2022</t>
  </si>
  <si>
    <t>IN002021X314</t>
  </si>
  <si>
    <t>91 DAY TBL 13 01 2022</t>
  </si>
  <si>
    <t>IN002021X330</t>
  </si>
  <si>
    <t>91 Days - T Bill - 27012022</t>
  </si>
  <si>
    <t>IN002021X348</t>
  </si>
  <si>
    <t>91 DAY TBL 02 02 2022</t>
  </si>
  <si>
    <t>91 Days- T Bill-24022022</t>
  </si>
  <si>
    <t>91 Days- T Bill-24032022</t>
  </si>
  <si>
    <t>182Days- T Bill- 06012022</t>
  </si>
  <si>
    <t>91 Days - T Bill - 10022022</t>
  </si>
  <si>
    <t>Sundaram Ultra Short Duration Fund</t>
  </si>
  <si>
    <t>INE752E07MO3</t>
  </si>
  <si>
    <t>Power Grid Corporation of India Ltd - 8.4% - 27/05/2022**</t>
  </si>
  <si>
    <t>INE134E08JD1</t>
  </si>
  <si>
    <t>Power Finance Corporation Ltd - 7.1% - 08/08/2022**</t>
  </si>
  <si>
    <t>INE047A08133</t>
  </si>
  <si>
    <t>Grasim Industries Ltd - 7.65% - 15/04/2022**</t>
  </si>
  <si>
    <t>INE261F08BJ3</t>
  </si>
  <si>
    <t>National Bank for Agricultural &amp; Rural Development - 7.85% - 23/05/2022**</t>
  </si>
  <si>
    <t>IN1520110124</t>
  </si>
  <si>
    <t>IN002021Y304</t>
  </si>
  <si>
    <t>182 DAY T-BILL 21-Apr-2022</t>
  </si>
  <si>
    <t>8.94% State Government of Gujarat 07/03/2022</t>
  </si>
  <si>
    <t>JM Financial Services Ltd. - 28/02/2022**</t>
  </si>
  <si>
    <t>JM Financial Services Ltd. - 02/06/2022**</t>
  </si>
  <si>
    <t>JM Financial Services Ltd. - 24/03/2022**</t>
  </si>
  <si>
    <t>SPLDF</t>
  </si>
  <si>
    <t>SPMON</t>
  </si>
  <si>
    <t>SPSDF</t>
  </si>
  <si>
    <t>SPUSDF</t>
  </si>
  <si>
    <t>INE202B07IJ3</t>
  </si>
  <si>
    <t>9.05% Dewan Housing Finance Corporation Ltd-NCD-09/09/2019</t>
  </si>
  <si>
    <t>INE202B07IK1</t>
  </si>
  <si>
    <t>Dewan Housing Finance Corporation Ltd-9.10%-09/09/2019</t>
  </si>
  <si>
    <t>INE202B07654</t>
  </si>
  <si>
    <t>11.55%_Prev 11.45%-Dewan Housing Finance Corp Ltd-12/09/2019  ##</t>
  </si>
  <si>
    <t>INE202B07HQ0</t>
  </si>
  <si>
    <t>9.10%-Dewan Housing Finance Corporation Ltd-16/08/2019 ##</t>
  </si>
  <si>
    <t>TOTAL AMOUNT INCLUDING INTEREST DUE TO AND RECOVERED BY THE SCHEME</t>
  </si>
  <si>
    <t>Amount recoverd (Rs. In Lacs)</t>
  </si>
  <si>
    <t>Interest Accrued till 3rd June 2019
(Rs. in Lacs)</t>
  </si>
  <si>
    <t>Interest not accrued due to category by rating agency as default till maturity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</si>
  <si>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</si>
  <si>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</si>
  <si>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</si>
  <si>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</si>
  <si>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</si>
  <si>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</si>
  <si>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 xml:space="preserve">Dewan Housing Finance Corporation Ltd-9.10%-09/09/2019 </t>
  </si>
  <si>
    <t>9.10%-Dewan Housing Finance Corporation Ltd-16/08/2019</t>
  </si>
  <si>
    <t xml:space="preserve">9.05% Dewan Housing Finance Corporation Ltd-NCD-09/09/2019 </t>
  </si>
  <si>
    <t>Amount Recovered (Rs. In Lacs)</t>
  </si>
  <si>
    <t xml:space="preserve">11.55% Prev 11.45%-Dewan Housing Finance Corp Ltd-12/09/2019  </t>
  </si>
  <si>
    <t xml:space="preserve">11.55%_Prev 11.45%-Dewan Housing Finance Corp Ltd-12/09/2019  </t>
  </si>
  <si>
    <t>k) Exposure to securities classified as below investment grade or default as on Dec 31, 2021:-</t>
  </si>
  <si>
    <t>j) Exposure to securities classified as below investment grade or default as on Dec 31, 2021:-</t>
  </si>
  <si>
    <t>NIL</t>
  </si>
  <si>
    <t>Sundaram Low Duration Fund (Formerly Known as Principal Low Duration Fund)</t>
  </si>
  <si>
    <t>c) 1. NAV per unit (Rupees per unit) - Transferee scheme</t>
  </si>
  <si>
    <t xml:space="preserve">      2. NAV per unit (Rupees per unit) - Transferror scheme</t>
  </si>
  <si>
    <t>d) 1. IDCW^^ declared during the period (Rupees per unit) - Transferee scheme</t>
  </si>
  <si>
    <t xml:space="preserve">      2. IDCW^^ declared during the period (Rupees per unit) - Transferror scheme</t>
  </si>
  <si>
    <t xml:space="preserve">ISIN </t>
  </si>
  <si>
    <t>Name of The security</t>
  </si>
  <si>
    <t>Total Amount(Principal &amp; Interest)  (Rs. Lakh)</t>
  </si>
  <si>
    <t>INE121H14JU3</t>
  </si>
  <si>
    <t xml:space="preserve">IL&amp;FS Financial Services Ltd. 24SEP18 CP </t>
  </si>
  <si>
    <t>Sundaram Liquid Fund (Formerly Known as Principal Cash Management Fund)</t>
  </si>
  <si>
    <t>d) 1.IDCW^^ declared during the period (Rupees per unit) - Transferee scheme</t>
  </si>
  <si>
    <t>Sundaram Short Duration Fund (Formerly Known as Principal Short Term Debt Fund)</t>
  </si>
  <si>
    <t>Sundaram Ultra Short Duration Fund (Formerly Known as Principal Ultra Short Term Fund)</t>
  </si>
  <si>
    <t>Scheme Riskometer</t>
  </si>
  <si>
    <t>Benchmark Riskometer - CRISIL Medium Term Debt Index</t>
  </si>
  <si>
    <t>Benchmark Riskometer - CRISIL Hybrid 85+15 - Conservative Index</t>
  </si>
  <si>
    <t>Tier I Benchmark Riskometer - NIFTY Corporate Bond Index</t>
  </si>
  <si>
    <t>Tier I Benchmark Riskometer - NIFTY Banking and PSU Debt Index</t>
  </si>
  <si>
    <t>Tier II Benchmark Riskometer - NIFTY Liquid Index</t>
  </si>
  <si>
    <t>Tier II Benchmark Riskometer - NIFTY Short Duration Debt Index</t>
  </si>
  <si>
    <t>Tier II Benchmark Riskometer - NIFTY Ultra Short Duration Debt Index</t>
  </si>
  <si>
    <t>Tier II Benchmark Riskometer - NIFTY Medium Duration Debt Index</t>
  </si>
  <si>
    <t>Tier II Benchmark Riskometer - NIFTY 1D Rate Index</t>
  </si>
  <si>
    <t>Tier II Benchmark Riskometer - NIFTY AAA Short Term Bond Fund Index</t>
  </si>
  <si>
    <t>Tire I Benchmark Riskometer - NIFTY Medium Duration Debt Index</t>
  </si>
  <si>
    <t>Tier II Benchmark Riskometer - NIFTY Low Duration Debt Index</t>
  </si>
  <si>
    <t>Tier I Benchmark Riskometer - NIFTY Low Duration Debt Index</t>
  </si>
  <si>
    <t>Tier I Benchmark Riskometer - NIFTY Liquid Index</t>
  </si>
  <si>
    <t>Tier I Benchmark Riskometer - NIFTY Ultra Short Duration Debt Index</t>
  </si>
  <si>
    <t>Tier I Benchmark Riskometer - Nifty Short Duration Debt Index</t>
  </si>
  <si>
    <t>Tier I Benchmark Riskometer - NIFTY Money Market Index</t>
  </si>
  <si>
    <t>Tier II Benchmark Riskometer - NIFTY Money Market Index</t>
  </si>
  <si>
    <t>Tier I Benchmark Riskometer - NIFTY 1D Rate Index</t>
  </si>
  <si>
    <t>k) Exposure to securities classified as below investment grade or default as on December 31, 2021:-</t>
  </si>
  <si>
    <t>Net receivable/Market value  (Rs. Lakh)</t>
  </si>
  <si>
    <t>% to NAV</t>
  </si>
  <si>
    <t>Refer below point k)</t>
  </si>
  <si>
    <t>Refer below poin k)</t>
  </si>
  <si>
    <t>Refer below poin j)</t>
  </si>
  <si>
    <t>Refer below point 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</si>
</sst>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 #,##0.00_ ;_ * \-#,##0.00_ ;_ * &quot;-&quot;??_ ;_ @_ "/>
    <numFmt numFmtId="164" formatCode="[$-1014009]#,##0.00;\-#,##0.00"/>
    <numFmt numFmtId="165" formatCode="[$-1014009]#,##0.00%"/>
    <numFmt numFmtId="166" formatCode="[$-1014009]###0.00;\(###0.00\)"/>
    <numFmt numFmtId="167" formatCode="[$-1014009]###0.00%;\(###0.00%\)"/>
    <numFmt numFmtId="168" formatCode="[$-1014009]General"/>
    <numFmt numFmtId="169" formatCode="[$-1014009]###0;\(###0\)"/>
    <numFmt numFmtId="170" formatCode="[$-1014009]#.0000"/>
    <numFmt numFmtId="171" formatCode="[$-1014009]#,##0.000000;\-#,##0.000000"/>
    <numFmt numFmtId="172" formatCode="[$-1014009]#,##0.00;\(#,##0.00\)"/>
    <numFmt numFmtId="173" formatCode="_(* #,##0.00_);_(* \(#,##0.00\);_(* &quot;-&quot;??_);_(@_)"/>
    <numFmt numFmtId="174" formatCode="0.0000"/>
    <numFmt numFmtId="175" formatCode="[$-1014009]#,##0.0000000;\-#,##0.0000000"/>
    <numFmt numFmtId="176" formatCode="0.000000"/>
    <numFmt numFmtId="177" formatCode="_(* #,##0_);_(* \(#,##0\);_(* &quot;-&quot;??_);_(@_)"/>
  </numFmts>
  <fonts count="26" x14ac:knownFonts="1">
    <font>
      <sz val="10"/>
      <name val="Arial"/>
      <charset val="1"/>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theme="1"/>
      <name val="Calibri"/>
      <family val="2"/>
      <scheme val="minor"/>
    </font>
    <font>
      <b/>
      <sz val="11"/>
      <name val="Calibri"/>
      <family val="2"/>
      <scheme val="minor"/>
    </font>
    <font>
      <sz val="11"/>
      <name val="Calibri"/>
      <family val="2"/>
      <scheme val="minor"/>
    </font>
    <font>
      <sz val="10"/>
      <color indexed="8"/>
      <name val="Calibri"/>
      <family val="2"/>
    </font>
    <font>
      <b/>
      <sz val="10"/>
      <color theme="1"/>
      <name val="Calibri"/>
      <family val="2"/>
      <scheme val="minor"/>
    </font>
    <font>
      <sz val="10"/>
      <color theme="1"/>
      <name val="Calibri"/>
      <family val="2"/>
      <scheme val="minor"/>
    </font>
    <font>
      <sz val="11"/>
      <color indexed="8"/>
      <name val="Calibri"/>
      <family val="2"/>
    </font>
    <font>
      <b/>
      <sz val="11"/>
      <name val="Calibri"/>
      <family val="2"/>
    </font>
    <font>
      <b/>
      <sz val="11"/>
      <color indexed="8"/>
      <name val="Calibri"/>
      <family val="2"/>
    </font>
    <font>
      <sz val="10"/>
      <name val="Arial"/>
      <family val="2"/>
    </font>
    <font>
      <sz val="10"/>
      <name val="Arial"/>
      <family val="2"/>
    </font>
    <font>
      <b/>
      <sz val="10"/>
      <color indexed="8"/>
      <name val="Calibri"/>
      <family val="2"/>
    </font>
    <font>
      <b/>
      <i/>
      <sz val="10"/>
      <color indexed="8"/>
      <name val="Calibri"/>
      <family val="2"/>
    </font>
    <font>
      <sz val="11"/>
      <color rgb="FF000000"/>
      <name val="Calibri"/>
      <family val="2"/>
    </font>
    <font>
      <u/>
      <sz val="10"/>
      <color theme="10"/>
      <name val="Arial"/>
      <family val="2"/>
    </font>
    <font>
      <b/>
      <sz val="10"/>
      <name val="Calibri"/>
      <family val="2"/>
      <scheme val="minor"/>
    </font>
    <font>
      <sz val="10"/>
      <name val="Calibri"/>
      <family val="2"/>
      <scheme val="minor"/>
    </font>
    <font>
      <sz val="10"/>
      <name val="Arial"/>
      <family val="2"/>
    </font>
  </fonts>
  <fills count="3">
    <fill>
      <patternFill patternType="none"/>
    </fill>
    <fill>
      <patternFill patternType="gray125"/>
    </fill>
    <fill>
      <patternFill patternType="solid">
        <fgColor indexed="9"/>
      </patternFill>
    </fill>
  </fills>
  <borders count="17">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diagonal/>
    </border>
  </borders>
  <cellStyleXfs count="9">
    <xf numFmtId="0" fontId="0" fillId="0" borderId="0">
      <alignment wrapText="1"/>
    </xf>
    <xf numFmtId="0" fontId="2" fillId="0" borderId="0"/>
    <xf numFmtId="0" fontId="1" fillId="0" borderId="0"/>
    <xf numFmtId="173" fontId="14" fillId="0" borderId="0" applyFont="0" applyFill="0" applyBorder="0" applyAlignment="0" applyProtection="0"/>
    <xf numFmtId="9" fontId="14" fillId="0" borderId="0" applyFont="0" applyFill="0" applyBorder="0" applyAlignment="0" applyProtection="0"/>
    <xf numFmtId="0" fontId="17" fillId="0" borderId="0">
      <alignment wrapText="1"/>
    </xf>
    <xf numFmtId="43" fontId="18" fillId="0" borderId="0" applyFont="0" applyFill="0" applyBorder="0" applyAlignment="0" applyProtection="0"/>
    <xf numFmtId="0" fontId="22" fillId="0" borderId="0" applyNumberFormat="0" applyFill="0" applyBorder="0" applyAlignment="0" applyProtection="0">
      <alignment wrapText="1"/>
    </xf>
    <xf numFmtId="9" fontId="25" fillId="0" borderId="0" applyFont="0" applyFill="0" applyBorder="0" applyAlignment="0" applyProtection="0"/>
  </cellStyleXfs>
  <cellXfs count="192">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164" fontId="5" fillId="2" borderId="4" xfId="0" applyNumberFormat="1"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6" fontId="5" fillId="2" borderId="4" xfId="0" applyNumberFormat="1" applyFont="1" applyFill="1" applyBorder="1" applyAlignment="1">
      <alignment horizontal="right" vertical="center" wrapText="1" readingOrder="1"/>
    </xf>
    <xf numFmtId="167" fontId="5" fillId="2" borderId="4" xfId="0" applyNumberFormat="1" applyFont="1" applyFill="1" applyBorder="1" applyAlignment="1">
      <alignment horizontal="right" vertical="center" wrapText="1" readingOrder="1"/>
    </xf>
    <xf numFmtId="168"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9" fontId="4" fillId="2" borderId="4" xfId="0" applyNumberFormat="1"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167"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Border="1" applyAlignment="1">
      <alignment horizontal="left" vertical="center" wrapText="1" readingOrder="1"/>
    </xf>
    <xf numFmtId="0" fontId="4" fillId="2" borderId="0" xfId="0" applyFont="1" applyFill="1" applyBorder="1" applyAlignment="1">
      <alignment horizontal="left" vertical="center" wrapText="1" readingOrder="1"/>
    </xf>
    <xf numFmtId="0" fontId="6" fillId="2" borderId="0" xfId="0" applyFont="1" applyFill="1" applyBorder="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Border="1" applyAlignment="1">
      <alignment horizontal="right" vertical="top" wrapText="1" readingOrder="1"/>
    </xf>
    <xf numFmtId="0" fontId="5" fillId="2" borderId="4" xfId="0" applyFont="1" applyFill="1" applyBorder="1" applyAlignment="1">
      <alignment horizontal="right" vertical="top" wrapText="1" readingOrder="1"/>
    </xf>
    <xf numFmtId="0" fontId="5" fillId="2" borderId="4" xfId="0" applyFont="1" applyFill="1" applyBorder="1" applyAlignment="1">
      <alignment horizontal="left" vertical="top" wrapText="1" readingOrder="1"/>
    </xf>
    <xf numFmtId="170" fontId="4" fillId="2" borderId="4" xfId="0" applyNumberFormat="1" applyFont="1" applyFill="1" applyBorder="1" applyAlignment="1">
      <alignment horizontal="right" vertical="center" wrapText="1" readingOrder="1"/>
    </xf>
    <xf numFmtId="0" fontId="4" fillId="2" borderId="0" xfId="0" applyFont="1" applyFill="1" applyBorder="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71" fontId="4" fillId="2" borderId="4" xfId="0" applyNumberFormat="1" applyFont="1" applyFill="1" applyBorder="1" applyAlignment="1">
      <alignment horizontal="right" vertical="center" wrapText="1" readingOrder="1"/>
    </xf>
    <xf numFmtId="0" fontId="4" fillId="2" borderId="5" xfId="0" applyFont="1" applyFill="1" applyBorder="1" applyAlignment="1">
      <alignment horizontal="left" vertical="center" wrapText="1" readingOrder="1"/>
    </xf>
    <xf numFmtId="0" fontId="5" fillId="2" borderId="5" xfId="0" applyFont="1" applyFill="1" applyBorder="1" applyAlignment="1">
      <alignment horizontal="left" vertical="center" wrapText="1" readingOrder="1"/>
    </xf>
    <xf numFmtId="0" fontId="4" fillId="2" borderId="6" xfId="0" applyFont="1" applyFill="1" applyBorder="1" applyAlignment="1">
      <alignment horizontal="right" vertical="top" wrapText="1" readingOrder="1"/>
    </xf>
    <xf numFmtId="172" fontId="5" fillId="2" borderId="4" xfId="0" applyNumberFormat="1" applyFont="1" applyFill="1" applyBorder="1" applyAlignment="1">
      <alignment horizontal="left" vertical="center" wrapText="1" readingOrder="1"/>
    </xf>
    <xf numFmtId="0" fontId="0" fillId="2" borderId="0" xfId="0" applyFill="1" applyBorder="1" applyAlignment="1">
      <alignment horizontal="center" vertical="top" readingOrder="1"/>
    </xf>
    <xf numFmtId="0" fontId="8" fillId="0" borderId="7" xfId="1" applyFont="1" applyBorder="1" applyAlignment="1">
      <alignment horizontal="center"/>
    </xf>
    <xf numFmtId="0" fontId="9" fillId="0" borderId="7" xfId="1" applyFont="1" applyBorder="1" applyAlignment="1">
      <alignment horizontal="center" vertical="center"/>
    </xf>
    <xf numFmtId="0" fontId="2" fillId="0" borderId="0" xfId="1"/>
    <xf numFmtId="0" fontId="2" fillId="0" borderId="7" xfId="1" applyBorder="1" applyAlignment="1">
      <alignment horizontal="center"/>
    </xf>
    <xf numFmtId="0" fontId="10" fillId="0" borderId="7" xfId="1" applyFont="1" applyBorder="1" applyAlignment="1">
      <alignment vertical="top"/>
    </xf>
    <xf numFmtId="0" fontId="11" fillId="2" borderId="4" xfId="0" applyFont="1" applyFill="1" applyBorder="1" applyAlignment="1">
      <alignment horizontal="left" vertical="center" wrapText="1" readingOrder="1"/>
    </xf>
    <xf numFmtId="0" fontId="12" fillId="0" borderId="7" xfId="2" applyFont="1" applyBorder="1" applyAlignment="1">
      <alignment horizontal="center"/>
    </xf>
    <xf numFmtId="0" fontId="13" fillId="0" borderId="7" xfId="2" applyFont="1" applyBorder="1"/>
    <xf numFmtId="0" fontId="13" fillId="0" borderId="7" xfId="2" applyFont="1" applyBorder="1" applyAlignment="1">
      <alignment wrapText="1"/>
    </xf>
    <xf numFmtId="0" fontId="12" fillId="0" borderId="7" xfId="2" applyFont="1" applyBorder="1" applyAlignment="1">
      <alignment horizontal="center" vertical="center" wrapText="1"/>
    </xf>
    <xf numFmtId="0" fontId="13" fillId="0" borderId="7" xfId="2" applyFont="1" applyBorder="1" applyAlignment="1">
      <alignment vertical="center"/>
    </xf>
    <xf numFmtId="0" fontId="13" fillId="0" borderId="7" xfId="2" applyFont="1" applyBorder="1" applyAlignment="1">
      <alignment vertical="center" wrapText="1"/>
    </xf>
    <xf numFmtId="4" fontId="13" fillId="0" borderId="7" xfId="2" applyNumberFormat="1" applyFont="1" applyBorder="1" applyAlignment="1">
      <alignment horizontal="right" vertical="center"/>
    </xf>
    <xf numFmtId="173" fontId="13" fillId="0" borderId="7" xfId="3" applyFont="1" applyBorder="1" applyAlignment="1">
      <alignment horizontal="right" vertical="center"/>
    </xf>
    <xf numFmtId="10" fontId="13" fillId="0" borderId="7" xfId="4" applyNumberFormat="1" applyFont="1" applyFill="1" applyBorder="1" applyAlignment="1">
      <alignment vertical="center"/>
    </xf>
    <xf numFmtId="0" fontId="15" fillId="0" borderId="15" xfId="0" applyFont="1" applyBorder="1" applyAlignment="1">
      <alignment horizontal="center" vertical="center" wrapText="1" readingOrder="1"/>
    </xf>
    <xf numFmtId="166" fontId="11" fillId="2" borderId="4" xfId="0" applyNumberFormat="1" applyFont="1" applyFill="1" applyBorder="1" applyAlignment="1">
      <alignment horizontal="right" vertical="center" wrapText="1" readingOrder="1"/>
    </xf>
    <xf numFmtId="0" fontId="4" fillId="2" borderId="0" xfId="0" applyFont="1" applyFill="1" applyBorder="1" applyAlignment="1">
      <alignment horizontal="left" vertical="center" wrapText="1" readingOrder="1"/>
    </xf>
    <xf numFmtId="0" fontId="4" fillId="2" borderId="5" xfId="0" applyFont="1" applyFill="1" applyBorder="1" applyAlignment="1">
      <alignment horizontal="left" vertical="center" wrapText="1" readingOrder="1"/>
    </xf>
    <xf numFmtId="0" fontId="12" fillId="0" borderId="7" xfId="2" applyFont="1" applyBorder="1" applyAlignment="1">
      <alignment horizontal="center"/>
    </xf>
    <xf numFmtId="166" fontId="11" fillId="2" borderId="15" xfId="0" applyNumberFormat="1" applyFont="1" applyFill="1" applyBorder="1" applyAlignment="1">
      <alignment horizontal="right" vertical="center" wrapText="1" readingOrder="1"/>
    </xf>
    <xf numFmtId="0" fontId="11" fillId="2" borderId="0" xfId="0" applyFont="1" applyFill="1" applyAlignment="1">
      <alignment horizontal="right" vertical="top" wrapText="1" readingOrder="1"/>
    </xf>
    <xf numFmtId="0" fontId="11" fillId="2" borderId="0" xfId="0" applyFont="1" applyFill="1" applyAlignment="1">
      <alignment horizontal="left" vertical="center" wrapText="1" readingOrder="1"/>
    </xf>
    <xf numFmtId="0" fontId="17" fillId="0" borderId="0" xfId="5">
      <alignment wrapText="1"/>
    </xf>
    <xf numFmtId="0" fontId="3"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right" vertical="center" wrapText="1" readingOrder="1"/>
    </xf>
    <xf numFmtId="0" fontId="4" fillId="2" borderId="0" xfId="0" applyFont="1" applyFill="1" applyAlignment="1">
      <alignment horizontal="right" vertical="top" wrapText="1" readingOrder="1"/>
    </xf>
    <xf numFmtId="0" fontId="4" fillId="2" borderId="0" xfId="0" applyFont="1" applyFill="1" applyAlignment="1">
      <alignment horizontal="left" vertical="center" wrapText="1" readingOrder="1"/>
    </xf>
    <xf numFmtId="0" fontId="4" fillId="2" borderId="0" xfId="0" applyFont="1" applyFill="1" applyAlignment="1">
      <alignment horizontal="right" vertical="center" wrapText="1" readingOrder="1"/>
    </xf>
    <xf numFmtId="170" fontId="4" fillId="2" borderId="0" xfId="0" applyNumberFormat="1" applyFont="1" applyFill="1" applyBorder="1" applyAlignment="1">
      <alignment horizontal="right" vertical="center" wrapText="1" readingOrder="1"/>
    </xf>
    <xf numFmtId="0" fontId="11" fillId="2" borderId="4" xfId="0" applyFont="1" applyFill="1" applyBorder="1" applyAlignment="1">
      <alignment horizontal="right" vertical="top" wrapText="1" readingOrder="1"/>
    </xf>
    <xf numFmtId="0" fontId="19" fillId="2" borderId="4" xfId="0" applyFont="1" applyFill="1" applyBorder="1" applyAlignment="1">
      <alignment horizontal="left" vertical="center" wrapText="1" readingOrder="1"/>
    </xf>
    <xf numFmtId="164" fontId="19" fillId="2" borderId="4" xfId="0" applyNumberFormat="1" applyFont="1" applyFill="1" applyBorder="1" applyAlignment="1">
      <alignment horizontal="right" vertical="center" wrapText="1" readingOrder="1"/>
    </xf>
    <xf numFmtId="165" fontId="19" fillId="2" borderId="4" xfId="0" applyNumberFormat="1" applyFont="1" applyFill="1" applyBorder="1" applyAlignment="1">
      <alignment horizontal="right" vertical="center" wrapText="1" readingOrder="1"/>
    </xf>
    <xf numFmtId="0" fontId="20" fillId="2" borderId="4" xfId="0" applyFont="1" applyFill="1" applyBorder="1" applyAlignment="1">
      <alignment horizontal="left" vertical="center" wrapText="1" readingOrder="1"/>
    </xf>
    <xf numFmtId="0" fontId="20" fillId="2" borderId="4" xfId="0" applyFont="1" applyFill="1" applyBorder="1" applyAlignment="1">
      <alignment horizontal="right" vertical="center" wrapText="1" readingOrder="1"/>
    </xf>
    <xf numFmtId="166" fontId="19" fillId="2" borderId="4" xfId="0" applyNumberFormat="1" applyFont="1" applyFill="1" applyBorder="1" applyAlignment="1">
      <alignment horizontal="right" vertical="center" wrapText="1" readingOrder="1"/>
    </xf>
    <xf numFmtId="167" fontId="19" fillId="2" borderId="4" xfId="0" applyNumberFormat="1" applyFont="1" applyFill="1" applyBorder="1" applyAlignment="1">
      <alignment horizontal="right" vertical="center" wrapText="1" readingOrder="1"/>
    </xf>
    <xf numFmtId="168" fontId="11" fillId="2" borderId="4" xfId="0" applyNumberFormat="1" applyFont="1" applyFill="1" applyBorder="1" applyAlignment="1">
      <alignment horizontal="right" vertical="center" wrapText="1" readingOrder="1"/>
    </xf>
    <xf numFmtId="169" fontId="11" fillId="2" borderId="4" xfId="0" applyNumberFormat="1" applyFont="1" applyFill="1" applyBorder="1" applyAlignment="1">
      <alignment horizontal="right" vertical="center" wrapText="1" readingOrder="1"/>
    </xf>
    <xf numFmtId="167" fontId="11" fillId="2" borderId="4" xfId="0" applyNumberFormat="1" applyFont="1" applyFill="1" applyBorder="1" applyAlignment="1">
      <alignment horizontal="right" vertical="center" wrapText="1" readingOrder="1"/>
    </xf>
    <xf numFmtId="0" fontId="11" fillId="2" borderId="4" xfId="0" applyFont="1" applyFill="1" applyBorder="1" applyAlignment="1">
      <alignment horizontal="right" vertical="center" wrapText="1" readingOrder="1"/>
    </xf>
    <xf numFmtId="0" fontId="20" fillId="2" borderId="5" xfId="0" applyFont="1" applyFill="1" applyBorder="1" applyAlignment="1">
      <alignment horizontal="left" vertical="center" wrapText="1" readingOrder="1"/>
    </xf>
    <xf numFmtId="0" fontId="20" fillId="2" borderId="5" xfId="0" applyFont="1" applyFill="1" applyBorder="1" applyAlignment="1">
      <alignment horizontal="right" vertical="center" wrapText="1" readingOrder="1"/>
    </xf>
    <xf numFmtId="0" fontId="20" fillId="2" borderId="0" xfId="0" applyFont="1" applyFill="1" applyAlignment="1">
      <alignment horizontal="left" vertical="center" wrapText="1" readingOrder="1"/>
    </xf>
    <xf numFmtId="0" fontId="20" fillId="2" borderId="0" xfId="0" applyFont="1" applyFill="1" applyAlignment="1">
      <alignment horizontal="right" vertical="center" wrapText="1" readingOrder="1"/>
    </xf>
    <xf numFmtId="0" fontId="20" fillId="2" borderId="6" xfId="0" applyFont="1" applyFill="1" applyBorder="1" applyAlignment="1">
      <alignment horizontal="right" vertical="center" wrapText="1" readingOrder="1"/>
    </xf>
    <xf numFmtId="0" fontId="19" fillId="2" borderId="4" xfId="0" applyFont="1" applyFill="1" applyBorder="1" applyAlignment="1">
      <alignment horizontal="right" vertical="top" wrapText="1" readingOrder="1"/>
    </xf>
    <xf numFmtId="0" fontId="19" fillId="2" borderId="4" xfId="0" applyFont="1" applyFill="1" applyBorder="1" applyAlignment="1">
      <alignment horizontal="left" vertical="top" wrapText="1" readingOrder="1"/>
    </xf>
    <xf numFmtId="170" fontId="11" fillId="2" borderId="4" xfId="0" applyNumberFormat="1" applyFont="1" applyFill="1" applyBorder="1" applyAlignment="1">
      <alignment horizontal="right" vertical="center" wrapText="1" readingOrder="1"/>
    </xf>
    <xf numFmtId="0" fontId="11" fillId="2" borderId="0" xfId="0" applyFont="1" applyFill="1" applyAlignment="1">
      <alignment horizontal="right" vertical="center" wrapText="1" readingOrder="1"/>
    </xf>
    <xf numFmtId="0" fontId="3" fillId="0" borderId="4" xfId="0" applyFont="1" applyFill="1" applyBorder="1" applyAlignment="1">
      <alignment horizontal="center" vertical="center" wrapText="1" readingOrder="1"/>
    </xf>
    <xf numFmtId="0" fontId="4" fillId="0" borderId="4" xfId="0" applyFont="1" applyFill="1" applyBorder="1" applyAlignment="1">
      <alignment horizontal="right" vertical="top" wrapText="1" readingOrder="1"/>
    </xf>
    <xf numFmtId="164" fontId="5" fillId="0" borderId="4" xfId="0" applyNumberFormat="1" applyFont="1" applyFill="1" applyBorder="1" applyAlignment="1">
      <alignment horizontal="right" vertical="center" wrapText="1" readingOrder="1"/>
    </xf>
    <xf numFmtId="165" fontId="5" fillId="0" borderId="4" xfId="0" applyNumberFormat="1" applyFont="1" applyFill="1" applyBorder="1" applyAlignment="1">
      <alignment horizontal="right" vertical="center" wrapText="1" readingOrder="1"/>
    </xf>
    <xf numFmtId="0" fontId="6" fillId="0" borderId="4" xfId="0" applyFont="1" applyFill="1" applyBorder="1" applyAlignment="1">
      <alignment horizontal="right" vertical="center" wrapText="1" readingOrder="1"/>
    </xf>
    <xf numFmtId="166" fontId="5" fillId="0" borderId="4" xfId="0" applyNumberFormat="1" applyFont="1" applyFill="1" applyBorder="1" applyAlignment="1">
      <alignment horizontal="right" vertical="center" wrapText="1" readingOrder="1"/>
    </xf>
    <xf numFmtId="167" fontId="5" fillId="0" borderId="4" xfId="0" applyNumberFormat="1" applyFont="1" applyFill="1" applyBorder="1" applyAlignment="1">
      <alignment horizontal="right" vertical="center" wrapText="1" readingOrder="1"/>
    </xf>
    <xf numFmtId="166" fontId="4" fillId="0" borderId="4" xfId="0" applyNumberFormat="1" applyFont="1" applyFill="1" applyBorder="1" applyAlignment="1">
      <alignment horizontal="right" vertical="center" wrapText="1" readingOrder="1"/>
    </xf>
    <xf numFmtId="167" fontId="4" fillId="0" borderId="4" xfId="0" applyNumberFormat="1" applyFont="1" applyFill="1" applyBorder="1" applyAlignment="1">
      <alignment horizontal="right" vertical="center" wrapText="1" readingOrder="1"/>
    </xf>
    <xf numFmtId="0" fontId="4" fillId="0" borderId="4" xfId="0" applyFont="1" applyFill="1" applyBorder="1" applyAlignment="1">
      <alignment horizontal="left" vertical="center" wrapText="1" readingOrder="1"/>
    </xf>
    <xf numFmtId="0" fontId="4" fillId="0" borderId="4" xfId="0" applyFont="1" applyFill="1" applyBorder="1" applyAlignment="1">
      <alignment horizontal="right" vertical="center" wrapText="1" readingOrder="1"/>
    </xf>
    <xf numFmtId="0" fontId="0" fillId="0" borderId="0" xfId="0" applyFill="1">
      <alignment wrapText="1"/>
    </xf>
    <xf numFmtId="0" fontId="6" fillId="0" borderId="0" xfId="0" applyFont="1" applyFill="1" applyBorder="1" applyAlignment="1">
      <alignment horizontal="right" vertical="center" wrapText="1" readingOrder="1"/>
    </xf>
    <xf numFmtId="0" fontId="4" fillId="0" borderId="0" xfId="0" applyFont="1" applyFill="1" applyBorder="1" applyAlignment="1">
      <alignment horizontal="right" vertical="top" wrapText="1" readingOrder="1"/>
    </xf>
    <xf numFmtId="0" fontId="4" fillId="0" borderId="0" xfId="0" applyFont="1" applyFill="1" applyBorder="1" applyAlignment="1">
      <alignment horizontal="left" vertical="center" wrapText="1" readingOrder="1"/>
    </xf>
    <xf numFmtId="0" fontId="4" fillId="0" borderId="0" xfId="0" applyFont="1" applyFill="1" applyBorder="1" applyAlignment="1">
      <alignment horizontal="right" vertical="center" wrapText="1" readingOrder="1"/>
    </xf>
    <xf numFmtId="0" fontId="11" fillId="0" borderId="0" xfId="0" applyFont="1" applyFill="1" applyAlignment="1">
      <alignment horizontal="right" vertical="top" wrapText="1" readingOrder="1"/>
    </xf>
    <xf numFmtId="0" fontId="21" fillId="0" borderId="7" xfId="0" applyFont="1" applyBorder="1" applyAlignment="1">
      <alignment vertical="center"/>
    </xf>
    <xf numFmtId="4" fontId="13" fillId="0" borderId="7" xfId="2" applyNumberFormat="1" applyFont="1" applyBorder="1"/>
    <xf numFmtId="173" fontId="13" fillId="0" borderId="7" xfId="3" applyFont="1" applyBorder="1"/>
    <xf numFmtId="173" fontId="13" fillId="0" borderId="7" xfId="2" applyNumberFormat="1" applyFont="1" applyBorder="1"/>
    <xf numFmtId="4" fontId="13" fillId="0" borderId="7" xfId="4" applyNumberFormat="1" applyFont="1" applyFill="1" applyBorder="1"/>
    <xf numFmtId="0" fontId="23" fillId="0" borderId="0" xfId="0" applyFont="1" applyAlignment="1"/>
    <xf numFmtId="0" fontId="22" fillId="0" borderId="0" xfId="7" applyAlignment="1"/>
    <xf numFmtId="2" fontId="13" fillId="0" borderId="7" xfId="2" applyNumberFormat="1" applyFont="1" applyBorder="1"/>
    <xf numFmtId="0" fontId="16" fillId="2" borderId="4" xfId="0" applyFont="1" applyFill="1" applyBorder="1" applyAlignment="1">
      <alignment horizontal="center" vertical="center" wrapText="1" readingOrder="1"/>
    </xf>
    <xf numFmtId="0" fontId="4" fillId="2" borderId="5" xfId="0" applyFont="1" applyFill="1" applyBorder="1" applyAlignment="1">
      <alignment horizontal="left" vertical="center" wrapText="1" readingOrder="1"/>
    </xf>
    <xf numFmtId="0" fontId="4" fillId="2" borderId="0" xfId="0" applyFont="1" applyFill="1" applyBorder="1" applyAlignment="1">
      <alignment horizontal="left" vertical="center" wrapText="1" readingOrder="1"/>
    </xf>
    <xf numFmtId="174" fontId="11" fillId="2" borderId="4" xfId="0" applyNumberFormat="1" applyFont="1" applyFill="1" applyBorder="1" applyAlignment="1">
      <alignment horizontal="right" vertical="center" wrapText="1" readingOrder="1"/>
    </xf>
    <xf numFmtId="174" fontId="4" fillId="2" borderId="4" xfId="0" applyNumberFormat="1" applyFont="1" applyFill="1" applyBorder="1" applyAlignment="1">
      <alignment horizontal="right" vertical="center" wrapText="1" readingOrder="1"/>
    </xf>
    <xf numFmtId="175" fontId="4" fillId="2" borderId="4" xfId="0" applyNumberFormat="1" applyFont="1" applyFill="1" applyBorder="1" applyAlignment="1">
      <alignment horizontal="right" vertical="center" wrapText="1" readingOrder="1"/>
    </xf>
    <xf numFmtId="176" fontId="4" fillId="2" borderId="4" xfId="0" applyNumberFormat="1" applyFont="1" applyFill="1" applyBorder="1" applyAlignment="1">
      <alignment horizontal="right" vertical="center" wrapText="1" readingOrder="1"/>
    </xf>
    <xf numFmtId="0" fontId="4" fillId="2" borderId="1"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4" fillId="2" borderId="2" xfId="0" applyFont="1" applyFill="1" applyBorder="1" applyAlignment="1">
      <alignment horizontal="left" vertical="center" wrapText="1" readingOrder="1"/>
    </xf>
    <xf numFmtId="0" fontId="23" fillId="2" borderId="0" xfId="0" applyFont="1" applyFill="1" applyAlignment="1">
      <alignment horizontal="left" vertical="top" readingOrder="1"/>
    </xf>
    <xf numFmtId="0" fontId="12" fillId="0" borderId="0" xfId="0" applyFont="1">
      <alignment wrapText="1"/>
    </xf>
    <xf numFmtId="0" fontId="12" fillId="0" borderId="7" xfId="0" applyFont="1" applyBorder="1">
      <alignment wrapText="1"/>
    </xf>
    <xf numFmtId="0" fontId="24" fillId="0" borderId="0" xfId="0" applyFont="1" applyAlignment="1"/>
    <xf numFmtId="0" fontId="24" fillId="0" borderId="7" xfId="0" applyFont="1" applyBorder="1" applyAlignment="1"/>
    <xf numFmtId="43" fontId="24" fillId="0" borderId="7" xfId="6" applyFont="1" applyBorder="1" applyAlignment="1"/>
    <xf numFmtId="43" fontId="13" fillId="0" borderId="7" xfId="6" applyFont="1" applyBorder="1"/>
    <xf numFmtId="4" fontId="24" fillId="0" borderId="7" xfId="0" applyNumberFormat="1" applyFont="1" applyBorder="1" applyAlignment="1"/>
    <xf numFmtId="43" fontId="4" fillId="2" borderId="4" xfId="6" applyFont="1" applyFill="1" applyBorder="1" applyAlignment="1">
      <alignment horizontal="right" vertical="center" wrapText="1" readingOrder="1"/>
    </xf>
    <xf numFmtId="170" fontId="4" fillId="0" borderId="4" xfId="0" applyNumberFormat="1" applyFont="1" applyFill="1" applyBorder="1" applyAlignment="1">
      <alignment horizontal="right" vertical="center" wrapText="1" readingOrder="1"/>
    </xf>
    <xf numFmtId="0" fontId="11" fillId="0" borderId="4" xfId="0" applyFont="1" applyFill="1" applyBorder="1" applyAlignment="1">
      <alignment horizontal="left" vertical="center" wrapText="1" readingOrder="1"/>
    </xf>
    <xf numFmtId="0" fontId="4" fillId="0" borderId="0" xfId="0" applyFont="1" applyAlignment="1">
      <alignment horizontal="right" vertical="top" wrapText="1" readingOrder="1"/>
    </xf>
    <xf numFmtId="0" fontId="0" fillId="2" borderId="0" xfId="0" applyFill="1" applyAlignment="1">
      <alignment horizontal="center" vertical="top" readingOrder="1"/>
    </xf>
    <xf numFmtId="0" fontId="17" fillId="0" borderId="0" xfId="5" applyAlignment="1">
      <alignment vertical="center" wrapText="1"/>
    </xf>
    <xf numFmtId="0" fontId="8" fillId="0" borderId="0" xfId="0" applyFont="1" applyAlignment="1"/>
    <xf numFmtId="0" fontId="8" fillId="0" borderId="0" xfId="0" applyFont="1" applyAlignment="1">
      <alignment horizontal="left"/>
    </xf>
    <xf numFmtId="0" fontId="17" fillId="0" borderId="0" xfId="5" applyAlignment="1">
      <alignment horizontal="left"/>
    </xf>
    <xf numFmtId="0" fontId="9" fillId="0" borderId="0" xfId="5" applyFont="1" applyAlignment="1">
      <alignment vertical="center" wrapText="1"/>
    </xf>
    <xf numFmtId="0" fontId="9" fillId="0" borderId="0" xfId="5" applyFont="1" applyAlignment="1">
      <alignment horizontal="left"/>
    </xf>
    <xf numFmtId="0" fontId="13" fillId="0" borderId="0" xfId="0" applyFont="1" applyAlignment="1"/>
    <xf numFmtId="177" fontId="13" fillId="0" borderId="0" xfId="6" applyNumberFormat="1" applyFont="1"/>
    <xf numFmtId="43" fontId="13" fillId="0" borderId="0" xfId="6" applyFont="1"/>
    <xf numFmtId="0" fontId="12" fillId="0" borderId="7" xfId="0" applyFont="1" applyBorder="1" applyAlignment="1">
      <alignment horizontal="center" vertical="center" wrapText="1"/>
    </xf>
    <xf numFmtId="2" fontId="24" fillId="0" borderId="7" xfId="0" applyNumberFormat="1" applyFont="1" applyBorder="1" applyAlignment="1"/>
    <xf numFmtId="10" fontId="13" fillId="0" borderId="7" xfId="8" applyNumberFormat="1" applyFont="1" applyBorder="1"/>
    <xf numFmtId="0" fontId="12" fillId="0" borderId="0" xfId="0" applyFont="1" applyAlignment="1"/>
    <xf numFmtId="0" fontId="9" fillId="0" borderId="0" xfId="5" applyFont="1" applyAlignment="1">
      <alignment horizontal="center" vertical="center" wrapText="1"/>
    </xf>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4" fillId="2" borderId="5" xfId="0" applyFont="1" applyFill="1" applyBorder="1" applyAlignment="1">
      <alignment horizontal="left" vertical="center" wrapText="1" readingOrder="1"/>
    </xf>
    <xf numFmtId="0" fontId="16" fillId="2" borderId="7" xfId="0" applyFont="1" applyFill="1" applyBorder="1" applyAlignment="1">
      <alignment horizontal="center" vertical="center" wrapText="1" readingOrder="1"/>
    </xf>
    <xf numFmtId="0" fontId="11" fillId="2" borderId="0" xfId="0" applyFont="1" applyFill="1" applyAlignment="1">
      <alignment horizontal="left" vertical="center" wrapText="1" readingOrder="1"/>
    </xf>
    <xf numFmtId="0" fontId="4" fillId="2" borderId="0" xfId="0" applyFont="1" applyFill="1" applyBorder="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43" fontId="13" fillId="0" borderId="7" xfId="6" applyFont="1" applyBorder="1" applyAlignment="1">
      <alignment horizontal="center"/>
    </xf>
    <xf numFmtId="0" fontId="4" fillId="2" borderId="2" xfId="0" applyFont="1" applyFill="1" applyBorder="1" applyAlignment="1">
      <alignment horizontal="left" vertical="center" wrapText="1" readingOrder="1"/>
    </xf>
    <xf numFmtId="0" fontId="12" fillId="0" borderId="7" xfId="2" applyFont="1" applyBorder="1" applyAlignment="1">
      <alignment horizontal="center" vertical="center"/>
    </xf>
    <xf numFmtId="0" fontId="12" fillId="0" borderId="16" xfId="2" applyFont="1" applyBorder="1" applyAlignment="1">
      <alignment horizontal="center" vertical="center" wrapText="1"/>
    </xf>
    <xf numFmtId="0" fontId="12" fillId="0" borderId="11" xfId="2" applyFont="1" applyBorder="1" applyAlignment="1">
      <alignment horizontal="center" vertical="center" wrapText="1"/>
    </xf>
    <xf numFmtId="0" fontId="12" fillId="0" borderId="7" xfId="2" applyFont="1" applyBorder="1" applyAlignment="1">
      <alignment horizontal="center" wrapText="1"/>
    </xf>
    <xf numFmtId="0" fontId="12" fillId="0" borderId="7" xfId="2" applyFont="1" applyBorder="1" applyAlignment="1">
      <alignment horizontal="center"/>
    </xf>
    <xf numFmtId="0" fontId="13" fillId="0" borderId="7" xfId="2" applyFont="1" applyBorder="1" applyAlignment="1">
      <alignment horizontal="center"/>
    </xf>
    <xf numFmtId="0" fontId="23" fillId="2" borderId="0" xfId="0" applyFont="1" applyFill="1" applyAlignment="1">
      <alignment horizontal="left" vertical="top" readingOrder="1"/>
    </xf>
    <xf numFmtId="0" fontId="3" fillId="2" borderId="7" xfId="0" applyFont="1" applyFill="1" applyBorder="1" applyAlignment="1">
      <alignment horizontal="center" vertical="center" wrapText="1" readingOrder="1"/>
    </xf>
    <xf numFmtId="0" fontId="8" fillId="0" borderId="0" xfId="5" applyFont="1" applyAlignment="1">
      <alignment horizontal="center" vertical="center" wrapText="1"/>
    </xf>
    <xf numFmtId="0" fontId="11" fillId="2" borderId="1" xfId="0" applyFont="1" applyFill="1" applyBorder="1" applyAlignment="1">
      <alignment horizontal="left" vertical="center" wrapText="1" readingOrder="1"/>
    </xf>
    <xf numFmtId="0" fontId="11" fillId="2" borderId="3" xfId="0" applyFont="1" applyFill="1" applyBorder="1" applyAlignment="1">
      <alignment horizontal="left" vertical="center" wrapText="1" readingOrder="1"/>
    </xf>
    <xf numFmtId="43" fontId="13" fillId="0" borderId="8" xfId="6" applyFont="1" applyBorder="1" applyAlignment="1">
      <alignment horizontal="center"/>
    </xf>
    <xf numFmtId="43" fontId="13" fillId="0" borderId="9" xfId="6" applyFont="1" applyBorder="1" applyAlignment="1">
      <alignment horizontal="center"/>
    </xf>
    <xf numFmtId="43" fontId="13" fillId="0" borderId="10" xfId="6" applyFont="1" applyBorder="1" applyAlignment="1">
      <alignment horizontal="center"/>
    </xf>
    <xf numFmtId="0" fontId="12" fillId="0" borderId="8" xfId="2" applyFont="1" applyBorder="1" applyAlignment="1">
      <alignment horizontal="center" wrapText="1"/>
    </xf>
    <xf numFmtId="0" fontId="12" fillId="0" borderId="9" xfId="2" applyFont="1" applyBorder="1" applyAlignment="1">
      <alignment horizontal="center" wrapText="1"/>
    </xf>
    <xf numFmtId="0" fontId="12" fillId="0" borderId="10" xfId="2" applyFont="1" applyBorder="1" applyAlignment="1">
      <alignment horizontal="center" wrapText="1"/>
    </xf>
    <xf numFmtId="0" fontId="12" fillId="0" borderId="8" xfId="2" applyFont="1" applyBorder="1" applyAlignment="1">
      <alignment horizontal="center"/>
    </xf>
    <xf numFmtId="0" fontId="12" fillId="0" borderId="10" xfId="2" applyFont="1" applyBorder="1" applyAlignment="1">
      <alignment horizontal="center"/>
    </xf>
    <xf numFmtId="0" fontId="13" fillId="0" borderId="7" xfId="2" applyFont="1" applyBorder="1" applyAlignment="1">
      <alignment horizontal="left" wrapText="1"/>
    </xf>
    <xf numFmtId="0" fontId="23" fillId="2" borderId="7" xfId="0" applyFont="1" applyFill="1" applyBorder="1" applyAlignment="1">
      <alignment horizontal="left" vertical="top" readingOrder="1"/>
    </xf>
    <xf numFmtId="0" fontId="12" fillId="0" borderId="9" xfId="2" applyFont="1" applyBorder="1" applyAlignment="1">
      <alignment horizontal="center"/>
    </xf>
    <xf numFmtId="0" fontId="12" fillId="0" borderId="11" xfId="2" applyFont="1" applyBorder="1" applyAlignment="1">
      <alignment horizontal="center" vertical="center"/>
    </xf>
    <xf numFmtId="0" fontId="12" fillId="0" borderId="8" xfId="2" applyFont="1" applyBorder="1" applyAlignment="1">
      <alignment horizontal="center" vertical="center"/>
    </xf>
    <xf numFmtId="0" fontId="12" fillId="0" borderId="9" xfId="2" applyFont="1" applyBorder="1" applyAlignment="1">
      <alignment horizontal="center" vertical="center"/>
    </xf>
    <xf numFmtId="0" fontId="13" fillId="0" borderId="12" xfId="2" applyFont="1" applyBorder="1" applyAlignment="1">
      <alignment horizontal="left" wrapText="1"/>
    </xf>
    <xf numFmtId="0" fontId="13" fillId="0" borderId="13" xfId="2" applyFont="1" applyBorder="1" applyAlignment="1">
      <alignment horizontal="left"/>
    </xf>
    <xf numFmtId="0" fontId="13" fillId="0" borderId="14" xfId="2" applyFont="1" applyBorder="1" applyAlignment="1">
      <alignment horizontal="left"/>
    </xf>
    <xf numFmtId="0" fontId="13" fillId="0" borderId="7" xfId="2" applyFont="1" applyBorder="1" applyAlignment="1">
      <alignment horizontal="center" vertical="center"/>
    </xf>
    <xf numFmtId="0" fontId="13" fillId="0" borderId="8" xfId="2" applyFont="1" applyBorder="1" applyAlignment="1">
      <alignment horizontal="center"/>
    </xf>
    <xf numFmtId="0" fontId="13" fillId="0" borderId="9" xfId="2" applyFont="1" applyBorder="1" applyAlignment="1">
      <alignment horizontal="center"/>
    </xf>
    <xf numFmtId="0" fontId="13" fillId="0" borderId="10" xfId="2" applyFont="1" applyBorder="1" applyAlignment="1">
      <alignment horizontal="center"/>
    </xf>
  </cellXfs>
  <cellStyles count="9">
    <cellStyle name="Comma" xfId="6" builtinId="3"/>
    <cellStyle name="Comma 2" xfId="3" xr:uid="{3882106F-EAA1-4060-94FA-6432E8075CA8}"/>
    <cellStyle name="Hyperlink" xfId="7" builtinId="8"/>
    <cellStyle name="Normal" xfId="0" builtinId="0"/>
    <cellStyle name="Normal 2" xfId="1" xr:uid="{F7500CC9-24FF-4CAF-BCF6-5F06D47E914A}"/>
    <cellStyle name="Normal 2 2" xfId="2" xr:uid="{0235FA95-58C9-418E-8975-6F8BC3C931D1}"/>
    <cellStyle name="Normal 3" xfId="5" xr:uid="{EB62D196-64E6-4BE5-9AA9-DFE229198CB1}"/>
    <cellStyle name="Percent" xfId="8" builtinId="5"/>
    <cellStyle name="Percent 2" xfId="4" xr:uid="{568086E8-A6C8-4D07-B2B3-4FFB84E5B3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1.jpe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4.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14</xdr:col>
      <xdr:colOff>374530</xdr:colOff>
      <xdr:row>27</xdr:row>
      <xdr:rowOff>190500</xdr:rowOff>
    </xdr:to>
    <xdr:pic>
      <xdr:nvPicPr>
        <xdr:cNvPr id="2" name="Picture 1">
          <a:extLst>
            <a:ext uri="{FF2B5EF4-FFF2-40B4-BE49-F238E27FC236}">
              <a16:creationId xmlns:a16="http://schemas.microsoft.com/office/drawing/2014/main" id="{EE70787E-FA2E-4414-AA69-AB48519D2D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63250" y="324802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13</xdr:row>
      <xdr:rowOff>19050</xdr:rowOff>
    </xdr:to>
    <xdr:pic>
      <xdr:nvPicPr>
        <xdr:cNvPr id="3" name="Picture 2">
          <a:extLst>
            <a:ext uri="{FF2B5EF4-FFF2-40B4-BE49-F238E27FC236}">
              <a16:creationId xmlns:a16="http://schemas.microsoft.com/office/drawing/2014/main" id="{D571B832-0A5B-440D-8F49-15B31AAA4F42}"/>
            </a:ext>
          </a:extLst>
        </xdr:cNvPr>
        <xdr:cNvPicPr>
          <a:picLocks noChangeAspect="1"/>
        </xdr:cNvPicPr>
      </xdr:nvPicPr>
      <xdr:blipFill>
        <a:blip xmlns:r="http://schemas.openxmlformats.org/officeDocument/2006/relationships" r:embed="rId2"/>
        <a:stretch>
          <a:fillRect/>
        </a:stretch>
      </xdr:blipFill>
      <xdr:spPr>
        <a:xfrm>
          <a:off x="10763250" y="571500"/>
          <a:ext cx="3179167" cy="2019300"/>
        </a:xfrm>
        <a:prstGeom prst="rect">
          <a:avLst/>
        </a:prstGeom>
      </xdr:spPr>
    </xdr:pic>
    <xdr:clientData/>
  </xdr:twoCellAnchor>
  <xdr:twoCellAnchor editAs="oneCell">
    <xdr:from>
      <xdr:col>9</xdr:col>
      <xdr:colOff>0</xdr:colOff>
      <xdr:row>30</xdr:row>
      <xdr:rowOff>0</xdr:rowOff>
    </xdr:from>
    <xdr:to>
      <xdr:col>14</xdr:col>
      <xdr:colOff>374530</xdr:colOff>
      <xdr:row>36</xdr:row>
      <xdr:rowOff>28575</xdr:rowOff>
    </xdr:to>
    <xdr:pic>
      <xdr:nvPicPr>
        <xdr:cNvPr id="5" name="Picture 2">
          <a:extLst>
            <a:ext uri="{FF2B5EF4-FFF2-40B4-BE49-F238E27FC236}">
              <a16:creationId xmlns:a16="http://schemas.microsoft.com/office/drawing/2014/main" id="{FC2F04A6-6ED3-448C-ABE0-3A56B949D83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477500" y="6000750"/>
          <a:ext cx="3422530" cy="197167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226417</xdr:colOff>
      <xdr:row>13</xdr:row>
      <xdr:rowOff>95250</xdr:rowOff>
    </xdr:to>
    <xdr:pic>
      <xdr:nvPicPr>
        <xdr:cNvPr id="2" name="Picture 1">
          <a:extLst>
            <a:ext uri="{FF2B5EF4-FFF2-40B4-BE49-F238E27FC236}">
              <a16:creationId xmlns:a16="http://schemas.microsoft.com/office/drawing/2014/main" id="{2447FD7A-0DC4-4099-BB66-F3EB6ADD12CB}"/>
            </a:ext>
          </a:extLst>
        </xdr:cNvPr>
        <xdr:cNvPicPr>
          <a:picLocks noChangeAspect="1"/>
        </xdr:cNvPicPr>
      </xdr:nvPicPr>
      <xdr:blipFill>
        <a:blip xmlns:r="http://schemas.openxmlformats.org/officeDocument/2006/relationships" r:embed="rId1"/>
        <a:stretch>
          <a:fillRect/>
        </a:stretch>
      </xdr:blipFill>
      <xdr:spPr>
        <a:xfrm>
          <a:off x="10801350" y="571500"/>
          <a:ext cx="3274417" cy="2095500"/>
        </a:xfrm>
        <a:prstGeom prst="rect">
          <a:avLst/>
        </a:prstGeom>
      </xdr:spPr>
    </xdr:pic>
    <xdr:clientData/>
  </xdr:twoCellAnchor>
  <xdr:twoCellAnchor editAs="oneCell">
    <xdr:from>
      <xdr:col>9</xdr:col>
      <xdr:colOff>0</xdr:colOff>
      <xdr:row>18</xdr:row>
      <xdr:rowOff>0</xdr:rowOff>
    </xdr:from>
    <xdr:to>
      <xdr:col>14</xdr:col>
      <xdr:colOff>374530</xdr:colOff>
      <xdr:row>28</xdr:row>
      <xdr:rowOff>28575</xdr:rowOff>
    </xdr:to>
    <xdr:pic>
      <xdr:nvPicPr>
        <xdr:cNvPr id="3" name="Picture 2">
          <a:extLst>
            <a:ext uri="{FF2B5EF4-FFF2-40B4-BE49-F238E27FC236}">
              <a16:creationId xmlns:a16="http://schemas.microsoft.com/office/drawing/2014/main" id="{944BAA77-6A7F-448B-BA0E-CB8DEFC883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801350" y="324802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31</xdr:row>
      <xdr:rowOff>28575</xdr:rowOff>
    </xdr:from>
    <xdr:to>
      <xdr:col>14</xdr:col>
      <xdr:colOff>374530</xdr:colOff>
      <xdr:row>37</xdr:row>
      <xdr:rowOff>219075</xdr:rowOff>
    </xdr:to>
    <xdr:pic>
      <xdr:nvPicPr>
        <xdr:cNvPr id="5" name="Picture 2">
          <a:extLst>
            <a:ext uri="{FF2B5EF4-FFF2-40B4-BE49-F238E27FC236}">
              <a16:creationId xmlns:a16="http://schemas.microsoft.com/office/drawing/2014/main" id="{0930BF0A-CA13-4A9F-A588-4980EE890C1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172700" y="6353175"/>
          <a:ext cx="3422530" cy="197167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14</xdr:col>
      <xdr:colOff>374530</xdr:colOff>
      <xdr:row>28</xdr:row>
      <xdr:rowOff>28575</xdr:rowOff>
    </xdr:to>
    <xdr:pic>
      <xdr:nvPicPr>
        <xdr:cNvPr id="2" name="Picture 1">
          <a:extLst>
            <a:ext uri="{FF2B5EF4-FFF2-40B4-BE49-F238E27FC236}">
              <a16:creationId xmlns:a16="http://schemas.microsoft.com/office/drawing/2014/main" id="{F326F522-74A3-46B3-947F-257D0058C4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400" y="308610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13</xdr:row>
      <xdr:rowOff>19050</xdr:rowOff>
    </xdr:to>
    <xdr:pic>
      <xdr:nvPicPr>
        <xdr:cNvPr id="3" name="Picture 2">
          <a:extLst>
            <a:ext uri="{FF2B5EF4-FFF2-40B4-BE49-F238E27FC236}">
              <a16:creationId xmlns:a16="http://schemas.microsoft.com/office/drawing/2014/main" id="{2E838E1D-55F5-41D1-B588-798375C60679}"/>
            </a:ext>
          </a:extLst>
        </xdr:cNvPr>
        <xdr:cNvPicPr>
          <a:picLocks noChangeAspect="1"/>
        </xdr:cNvPicPr>
      </xdr:nvPicPr>
      <xdr:blipFill>
        <a:blip xmlns:r="http://schemas.openxmlformats.org/officeDocument/2006/relationships" r:embed="rId2"/>
        <a:stretch>
          <a:fillRect/>
        </a:stretch>
      </xdr:blipFill>
      <xdr:spPr>
        <a:xfrm>
          <a:off x="10820400" y="571500"/>
          <a:ext cx="3179167" cy="2019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14</xdr:col>
      <xdr:colOff>374530</xdr:colOff>
      <xdr:row>28</xdr:row>
      <xdr:rowOff>28575</xdr:rowOff>
    </xdr:to>
    <xdr:pic>
      <xdr:nvPicPr>
        <xdr:cNvPr id="2" name="Picture 1">
          <a:extLst>
            <a:ext uri="{FF2B5EF4-FFF2-40B4-BE49-F238E27FC236}">
              <a16:creationId xmlns:a16="http://schemas.microsoft.com/office/drawing/2014/main" id="{18D03802-0978-4033-8C2E-AABFCF55D0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77550" y="308610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112117</xdr:colOff>
      <xdr:row>12</xdr:row>
      <xdr:rowOff>142875</xdr:rowOff>
    </xdr:to>
    <xdr:pic>
      <xdr:nvPicPr>
        <xdr:cNvPr id="3" name="Picture 2">
          <a:extLst>
            <a:ext uri="{FF2B5EF4-FFF2-40B4-BE49-F238E27FC236}">
              <a16:creationId xmlns:a16="http://schemas.microsoft.com/office/drawing/2014/main" id="{FD2E4BC3-B38F-4F1F-BB8E-F1688246CF1C}"/>
            </a:ext>
          </a:extLst>
        </xdr:cNvPr>
        <xdr:cNvPicPr>
          <a:picLocks noChangeAspect="1"/>
        </xdr:cNvPicPr>
      </xdr:nvPicPr>
      <xdr:blipFill>
        <a:blip xmlns:r="http://schemas.openxmlformats.org/officeDocument/2006/relationships" r:embed="rId2"/>
        <a:stretch>
          <a:fillRect/>
        </a:stretch>
      </xdr:blipFill>
      <xdr:spPr>
        <a:xfrm>
          <a:off x="10877550" y="571500"/>
          <a:ext cx="3160117" cy="1981200"/>
        </a:xfrm>
        <a:prstGeom prst="rect">
          <a:avLst/>
        </a:prstGeom>
      </xdr:spPr>
    </xdr:pic>
    <xdr:clientData/>
  </xdr:twoCellAnchor>
  <xdr:oneCellAnchor>
    <xdr:from>
      <xdr:col>9</xdr:col>
      <xdr:colOff>0</xdr:colOff>
      <xdr:row>32</xdr:row>
      <xdr:rowOff>0</xdr:rowOff>
    </xdr:from>
    <xdr:ext cx="3422530" cy="1971675"/>
    <xdr:pic>
      <xdr:nvPicPr>
        <xdr:cNvPr id="4" name="Picture 3">
          <a:extLst>
            <a:ext uri="{FF2B5EF4-FFF2-40B4-BE49-F238E27FC236}">
              <a16:creationId xmlns:a16="http://schemas.microsoft.com/office/drawing/2014/main" id="{D3A5D66B-1CFC-4A54-85DF-55625058FD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583882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14</xdr:col>
      <xdr:colOff>374530</xdr:colOff>
      <xdr:row>27</xdr:row>
      <xdr:rowOff>66675</xdr:rowOff>
    </xdr:to>
    <xdr:pic>
      <xdr:nvPicPr>
        <xdr:cNvPr id="2" name="Picture 1">
          <a:extLst>
            <a:ext uri="{FF2B5EF4-FFF2-40B4-BE49-F238E27FC236}">
              <a16:creationId xmlns:a16="http://schemas.microsoft.com/office/drawing/2014/main" id="{4BAC109B-36AA-4BAE-8BC0-F26E6FC40C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72775" y="324802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226417</xdr:colOff>
      <xdr:row>13</xdr:row>
      <xdr:rowOff>38100</xdr:rowOff>
    </xdr:to>
    <xdr:pic>
      <xdr:nvPicPr>
        <xdr:cNvPr id="3" name="Picture 2">
          <a:extLst>
            <a:ext uri="{FF2B5EF4-FFF2-40B4-BE49-F238E27FC236}">
              <a16:creationId xmlns:a16="http://schemas.microsoft.com/office/drawing/2014/main" id="{11DE5EB0-2D08-4A7C-A451-4CCB0DC1B752}"/>
            </a:ext>
          </a:extLst>
        </xdr:cNvPr>
        <xdr:cNvPicPr>
          <a:picLocks noChangeAspect="1"/>
        </xdr:cNvPicPr>
      </xdr:nvPicPr>
      <xdr:blipFill>
        <a:blip xmlns:r="http://schemas.openxmlformats.org/officeDocument/2006/relationships" r:embed="rId2"/>
        <a:stretch>
          <a:fillRect/>
        </a:stretch>
      </xdr:blipFill>
      <xdr:spPr>
        <a:xfrm>
          <a:off x="10772775" y="571500"/>
          <a:ext cx="3274417" cy="2095500"/>
        </a:xfrm>
        <a:prstGeom prst="rect">
          <a:avLst/>
        </a:prstGeom>
      </xdr:spPr>
    </xdr:pic>
    <xdr:clientData/>
  </xdr:twoCellAnchor>
  <xdr:twoCellAnchor editAs="oneCell">
    <xdr:from>
      <xdr:col>9</xdr:col>
      <xdr:colOff>0</xdr:colOff>
      <xdr:row>30</xdr:row>
      <xdr:rowOff>85725</xdr:rowOff>
    </xdr:from>
    <xdr:to>
      <xdr:col>14</xdr:col>
      <xdr:colOff>374530</xdr:colOff>
      <xdr:row>36</xdr:row>
      <xdr:rowOff>38100</xdr:rowOff>
    </xdr:to>
    <xdr:pic>
      <xdr:nvPicPr>
        <xdr:cNvPr id="4" name="Picture 3">
          <a:extLst>
            <a:ext uri="{FF2B5EF4-FFF2-40B4-BE49-F238E27FC236}">
              <a16:creationId xmlns:a16="http://schemas.microsoft.com/office/drawing/2014/main" id="{51BF278B-D07D-4554-89E7-86FA5453BB4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687050" y="637222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3</xdr:row>
      <xdr:rowOff>28575</xdr:rowOff>
    </xdr:from>
    <xdr:to>
      <xdr:col>14</xdr:col>
      <xdr:colOff>131167</xdr:colOff>
      <xdr:row>12</xdr:row>
      <xdr:rowOff>161925</xdr:rowOff>
    </xdr:to>
    <xdr:pic>
      <xdr:nvPicPr>
        <xdr:cNvPr id="2" name="Picture 1">
          <a:extLst>
            <a:ext uri="{FF2B5EF4-FFF2-40B4-BE49-F238E27FC236}">
              <a16:creationId xmlns:a16="http://schemas.microsoft.com/office/drawing/2014/main" id="{CA8B24C6-C01C-4CEA-AF73-6025BA360B14}"/>
            </a:ext>
          </a:extLst>
        </xdr:cNvPr>
        <xdr:cNvPicPr>
          <a:picLocks noChangeAspect="1"/>
        </xdr:cNvPicPr>
      </xdr:nvPicPr>
      <xdr:blipFill>
        <a:blip xmlns:r="http://schemas.openxmlformats.org/officeDocument/2006/relationships" r:embed="rId1"/>
        <a:stretch>
          <a:fillRect/>
        </a:stretch>
      </xdr:blipFill>
      <xdr:spPr>
        <a:xfrm>
          <a:off x="10877550" y="600075"/>
          <a:ext cx="3179167" cy="2019300"/>
        </a:xfrm>
        <a:prstGeom prst="rect">
          <a:avLst/>
        </a:prstGeom>
      </xdr:spPr>
    </xdr:pic>
    <xdr:clientData/>
  </xdr:twoCellAnchor>
  <xdr:twoCellAnchor editAs="oneCell">
    <xdr:from>
      <xdr:col>9</xdr:col>
      <xdr:colOff>0</xdr:colOff>
      <xdr:row>17</xdr:row>
      <xdr:rowOff>0</xdr:rowOff>
    </xdr:from>
    <xdr:to>
      <xdr:col>14</xdr:col>
      <xdr:colOff>374530</xdr:colOff>
      <xdr:row>27</xdr:row>
      <xdr:rowOff>66675</xdr:rowOff>
    </xdr:to>
    <xdr:pic>
      <xdr:nvPicPr>
        <xdr:cNvPr id="4" name="Picture 3">
          <a:extLst>
            <a:ext uri="{FF2B5EF4-FFF2-40B4-BE49-F238E27FC236}">
              <a16:creationId xmlns:a16="http://schemas.microsoft.com/office/drawing/2014/main" id="{D9C6BF86-B299-4522-A185-6694002E94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25150" y="344805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32</xdr:row>
      <xdr:rowOff>28575</xdr:rowOff>
    </xdr:from>
    <xdr:to>
      <xdr:col>14</xdr:col>
      <xdr:colOff>374530</xdr:colOff>
      <xdr:row>43</xdr:row>
      <xdr:rowOff>114300</xdr:rowOff>
    </xdr:to>
    <xdr:pic>
      <xdr:nvPicPr>
        <xdr:cNvPr id="6" name="Picture 5">
          <a:extLst>
            <a:ext uri="{FF2B5EF4-FFF2-40B4-BE49-F238E27FC236}">
              <a16:creationId xmlns:a16="http://schemas.microsoft.com/office/drawing/2014/main" id="{D3BE2F27-8351-4B29-A557-5D2C4A331C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25150" y="631507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14</xdr:col>
      <xdr:colOff>374530</xdr:colOff>
      <xdr:row>27</xdr:row>
      <xdr:rowOff>190500</xdr:rowOff>
    </xdr:to>
    <xdr:pic>
      <xdr:nvPicPr>
        <xdr:cNvPr id="2" name="Picture 1">
          <a:extLst>
            <a:ext uri="{FF2B5EF4-FFF2-40B4-BE49-F238E27FC236}">
              <a16:creationId xmlns:a16="http://schemas.microsoft.com/office/drawing/2014/main" id="{524FC5C5-57F5-496F-8DF6-1E36CC01CF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91825" y="3248025"/>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13</xdr:row>
      <xdr:rowOff>19050</xdr:rowOff>
    </xdr:to>
    <xdr:pic>
      <xdr:nvPicPr>
        <xdr:cNvPr id="3" name="Picture 2">
          <a:extLst>
            <a:ext uri="{FF2B5EF4-FFF2-40B4-BE49-F238E27FC236}">
              <a16:creationId xmlns:a16="http://schemas.microsoft.com/office/drawing/2014/main" id="{27F5FBFF-DA59-414F-A3E9-0271D4AEFF67}"/>
            </a:ext>
          </a:extLst>
        </xdr:cNvPr>
        <xdr:cNvPicPr>
          <a:picLocks noChangeAspect="1"/>
        </xdr:cNvPicPr>
      </xdr:nvPicPr>
      <xdr:blipFill>
        <a:blip xmlns:r="http://schemas.openxmlformats.org/officeDocument/2006/relationships" r:embed="rId2"/>
        <a:stretch>
          <a:fillRect/>
        </a:stretch>
      </xdr:blipFill>
      <xdr:spPr>
        <a:xfrm>
          <a:off x="10791825" y="571500"/>
          <a:ext cx="3179167" cy="2019300"/>
        </a:xfrm>
        <a:prstGeom prst="rect">
          <a:avLst/>
        </a:prstGeom>
      </xdr:spPr>
    </xdr:pic>
    <xdr:clientData/>
  </xdr:twoCellAnchor>
  <xdr:twoCellAnchor editAs="oneCell">
    <xdr:from>
      <xdr:col>9</xdr:col>
      <xdr:colOff>0</xdr:colOff>
      <xdr:row>29</xdr:row>
      <xdr:rowOff>152400</xdr:rowOff>
    </xdr:from>
    <xdr:to>
      <xdr:col>14</xdr:col>
      <xdr:colOff>374530</xdr:colOff>
      <xdr:row>35</xdr:row>
      <xdr:rowOff>85725</xdr:rowOff>
    </xdr:to>
    <xdr:pic>
      <xdr:nvPicPr>
        <xdr:cNvPr id="4" name="Picture 3">
          <a:extLst>
            <a:ext uri="{FF2B5EF4-FFF2-40B4-BE49-F238E27FC236}">
              <a16:creationId xmlns:a16="http://schemas.microsoft.com/office/drawing/2014/main" id="{4D75716C-4870-4A22-A819-FBFC35EE64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0" y="5829300"/>
          <a:ext cx="3422530" cy="1876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14</xdr:col>
      <xdr:colOff>155455</xdr:colOff>
      <xdr:row>27</xdr:row>
      <xdr:rowOff>190500</xdr:rowOff>
    </xdr:to>
    <xdr:pic>
      <xdr:nvPicPr>
        <xdr:cNvPr id="2" name="Picture 1">
          <a:extLst>
            <a:ext uri="{FF2B5EF4-FFF2-40B4-BE49-F238E27FC236}">
              <a16:creationId xmlns:a16="http://schemas.microsoft.com/office/drawing/2014/main" id="{69C1C041-5AB6-4DED-9C9D-782F748742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87150" y="308610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13</xdr:col>
      <xdr:colOff>521692</xdr:colOff>
      <xdr:row>13</xdr:row>
      <xdr:rowOff>19050</xdr:rowOff>
    </xdr:to>
    <xdr:pic>
      <xdr:nvPicPr>
        <xdr:cNvPr id="3" name="Picture 2">
          <a:extLst>
            <a:ext uri="{FF2B5EF4-FFF2-40B4-BE49-F238E27FC236}">
              <a16:creationId xmlns:a16="http://schemas.microsoft.com/office/drawing/2014/main" id="{71D2EF03-89E6-4537-AF4A-4547E32019B6}"/>
            </a:ext>
          </a:extLst>
        </xdr:cNvPr>
        <xdr:cNvPicPr>
          <a:picLocks noChangeAspect="1"/>
        </xdr:cNvPicPr>
      </xdr:nvPicPr>
      <xdr:blipFill>
        <a:blip xmlns:r="http://schemas.openxmlformats.org/officeDocument/2006/relationships" r:embed="rId2"/>
        <a:stretch>
          <a:fillRect/>
        </a:stretch>
      </xdr:blipFill>
      <xdr:spPr>
        <a:xfrm>
          <a:off x="11487150" y="571500"/>
          <a:ext cx="3179167" cy="2019300"/>
        </a:xfrm>
        <a:prstGeom prst="rect">
          <a:avLst/>
        </a:prstGeom>
      </xdr:spPr>
    </xdr:pic>
    <xdr:clientData/>
  </xdr:twoCellAnchor>
  <xdr:oneCellAnchor>
    <xdr:from>
      <xdr:col>9</xdr:col>
      <xdr:colOff>0</xdr:colOff>
      <xdr:row>29</xdr:row>
      <xdr:rowOff>0</xdr:rowOff>
    </xdr:from>
    <xdr:ext cx="3422530" cy="1971675"/>
    <xdr:pic>
      <xdr:nvPicPr>
        <xdr:cNvPr id="4" name="Picture 3">
          <a:extLst>
            <a:ext uri="{FF2B5EF4-FFF2-40B4-BE49-F238E27FC236}">
              <a16:creationId xmlns:a16="http://schemas.microsoft.com/office/drawing/2014/main" id="{0C3D22B4-7948-44EE-8154-AB8C938C2F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91775" y="581025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10</xdr:col>
      <xdr:colOff>0</xdr:colOff>
      <xdr:row>2</xdr:row>
      <xdr:rowOff>85725</xdr:rowOff>
    </xdr:from>
    <xdr:to>
      <xdr:col>15</xdr:col>
      <xdr:colOff>226417</xdr:colOff>
      <xdr:row>12</xdr:row>
      <xdr:rowOff>76200</xdr:rowOff>
    </xdr:to>
    <xdr:pic>
      <xdr:nvPicPr>
        <xdr:cNvPr id="2" name="Picture 1">
          <a:extLst>
            <a:ext uri="{FF2B5EF4-FFF2-40B4-BE49-F238E27FC236}">
              <a16:creationId xmlns:a16="http://schemas.microsoft.com/office/drawing/2014/main" id="{5C8463D6-22A1-4BC9-9612-4C75AC128678}"/>
            </a:ext>
          </a:extLst>
        </xdr:cNvPr>
        <xdr:cNvPicPr>
          <a:picLocks noChangeAspect="1"/>
        </xdr:cNvPicPr>
      </xdr:nvPicPr>
      <xdr:blipFill>
        <a:blip xmlns:r="http://schemas.openxmlformats.org/officeDocument/2006/relationships" r:embed="rId1"/>
        <a:stretch>
          <a:fillRect/>
        </a:stretch>
      </xdr:blipFill>
      <xdr:spPr>
        <a:xfrm>
          <a:off x="12287250" y="466725"/>
          <a:ext cx="3274417" cy="2095500"/>
        </a:xfrm>
        <a:prstGeom prst="rect">
          <a:avLst/>
        </a:prstGeom>
      </xdr:spPr>
    </xdr:pic>
    <xdr:clientData/>
  </xdr:twoCellAnchor>
  <xdr:twoCellAnchor editAs="oneCell">
    <xdr:from>
      <xdr:col>10</xdr:col>
      <xdr:colOff>0</xdr:colOff>
      <xdr:row>17</xdr:row>
      <xdr:rowOff>19050</xdr:rowOff>
    </xdr:from>
    <xdr:to>
      <xdr:col>15</xdr:col>
      <xdr:colOff>374530</xdr:colOff>
      <xdr:row>27</xdr:row>
      <xdr:rowOff>209550</xdr:rowOff>
    </xdr:to>
    <xdr:pic>
      <xdr:nvPicPr>
        <xdr:cNvPr id="3" name="Picture 2">
          <a:extLst>
            <a:ext uri="{FF2B5EF4-FFF2-40B4-BE49-F238E27FC236}">
              <a16:creationId xmlns:a16="http://schemas.microsoft.com/office/drawing/2014/main" id="{50FF6B65-B7CF-4D55-A993-2E670352B8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287250" y="310515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10</xdr:col>
      <xdr:colOff>0</xdr:colOff>
      <xdr:row>31</xdr:row>
      <xdr:rowOff>19050</xdr:rowOff>
    </xdr:from>
    <xdr:ext cx="3422530" cy="1971675"/>
    <xdr:pic>
      <xdr:nvPicPr>
        <xdr:cNvPr id="4" name="Picture 3">
          <a:extLst>
            <a:ext uri="{FF2B5EF4-FFF2-40B4-BE49-F238E27FC236}">
              <a16:creationId xmlns:a16="http://schemas.microsoft.com/office/drawing/2014/main" id="{EE62278E-C3AE-430E-9AEF-E4386A2440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44250" y="601980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0.xml><?xml version="1.0" encoding="utf-8"?>
<xdr:wsDr xmlns:xdr="http://schemas.openxmlformats.org/drawingml/2006/spreadsheetDrawing" xmlns:a="http://schemas.openxmlformats.org/drawingml/2006/main">
  <xdr:twoCellAnchor editAs="oneCell">
    <xdr:from>
      <xdr:col>10</xdr:col>
      <xdr:colOff>1</xdr:colOff>
      <xdr:row>17</xdr:row>
      <xdr:rowOff>47625</xdr:rowOff>
    </xdr:from>
    <xdr:to>
      <xdr:col>15</xdr:col>
      <xdr:colOff>400050</xdr:colOff>
      <xdr:row>26</xdr:row>
      <xdr:rowOff>152400</xdr:rowOff>
    </xdr:to>
    <xdr:pic>
      <xdr:nvPicPr>
        <xdr:cNvPr id="2" name="Picture 1">
          <a:extLst>
            <a:ext uri="{FF2B5EF4-FFF2-40B4-BE49-F238E27FC236}">
              <a16:creationId xmlns:a16="http://schemas.microsoft.com/office/drawing/2014/main" id="{9F1BA244-1DA7-4CDC-A244-8FA097C248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06251" y="3486150"/>
          <a:ext cx="3448049" cy="1885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0</xdr:colOff>
      <xdr:row>3</xdr:row>
      <xdr:rowOff>0</xdr:rowOff>
    </xdr:from>
    <xdr:to>
      <xdr:col>15</xdr:col>
      <xdr:colOff>226417</xdr:colOff>
      <xdr:row>12</xdr:row>
      <xdr:rowOff>95250</xdr:rowOff>
    </xdr:to>
    <xdr:pic>
      <xdr:nvPicPr>
        <xdr:cNvPr id="3" name="Picture 2">
          <a:extLst>
            <a:ext uri="{FF2B5EF4-FFF2-40B4-BE49-F238E27FC236}">
              <a16:creationId xmlns:a16="http://schemas.microsoft.com/office/drawing/2014/main" id="{FEEE1590-6084-458A-8037-659A3C5583C7}"/>
            </a:ext>
          </a:extLst>
        </xdr:cNvPr>
        <xdr:cNvPicPr>
          <a:picLocks noChangeAspect="1"/>
        </xdr:cNvPicPr>
      </xdr:nvPicPr>
      <xdr:blipFill>
        <a:blip xmlns:r="http://schemas.openxmlformats.org/officeDocument/2006/relationships" r:embed="rId2"/>
        <a:stretch>
          <a:fillRect/>
        </a:stretch>
      </xdr:blipFill>
      <xdr:spPr>
        <a:xfrm>
          <a:off x="11906250" y="571500"/>
          <a:ext cx="3274417" cy="20955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0</xdr:colOff>
      <xdr:row>2</xdr:row>
      <xdr:rowOff>114300</xdr:rowOff>
    </xdr:from>
    <xdr:to>
      <xdr:col>14</xdr:col>
      <xdr:colOff>112117</xdr:colOff>
      <xdr:row>11</xdr:row>
      <xdr:rowOff>152400</xdr:rowOff>
    </xdr:to>
    <xdr:pic>
      <xdr:nvPicPr>
        <xdr:cNvPr id="2" name="Picture 1">
          <a:extLst>
            <a:ext uri="{FF2B5EF4-FFF2-40B4-BE49-F238E27FC236}">
              <a16:creationId xmlns:a16="http://schemas.microsoft.com/office/drawing/2014/main" id="{70D7D1A6-7075-4A45-B4D4-14ACFBADADEA}"/>
            </a:ext>
          </a:extLst>
        </xdr:cNvPr>
        <xdr:cNvPicPr>
          <a:picLocks noChangeAspect="1"/>
        </xdr:cNvPicPr>
      </xdr:nvPicPr>
      <xdr:blipFill>
        <a:blip xmlns:r="http://schemas.openxmlformats.org/officeDocument/2006/relationships" r:embed="rId1"/>
        <a:stretch>
          <a:fillRect/>
        </a:stretch>
      </xdr:blipFill>
      <xdr:spPr>
        <a:xfrm>
          <a:off x="11458575" y="495300"/>
          <a:ext cx="3160117" cy="1981200"/>
        </a:xfrm>
        <a:prstGeom prst="rect">
          <a:avLst/>
        </a:prstGeom>
      </xdr:spPr>
    </xdr:pic>
    <xdr:clientData/>
  </xdr:twoCellAnchor>
  <xdr:twoCellAnchor editAs="oneCell">
    <xdr:from>
      <xdr:col>9</xdr:col>
      <xdr:colOff>0</xdr:colOff>
      <xdr:row>17</xdr:row>
      <xdr:rowOff>0</xdr:rowOff>
    </xdr:from>
    <xdr:to>
      <xdr:col>14</xdr:col>
      <xdr:colOff>374530</xdr:colOff>
      <xdr:row>28</xdr:row>
      <xdr:rowOff>28575</xdr:rowOff>
    </xdr:to>
    <xdr:pic>
      <xdr:nvPicPr>
        <xdr:cNvPr id="3" name="Picture 2">
          <a:extLst>
            <a:ext uri="{FF2B5EF4-FFF2-40B4-BE49-F238E27FC236}">
              <a16:creationId xmlns:a16="http://schemas.microsoft.com/office/drawing/2014/main" id="{80BB2AEE-3CDB-4B5B-AC33-88BED0380E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58575" y="3086100"/>
          <a:ext cx="3422530" cy="197167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0</xdr:colOff>
      <xdr:row>32</xdr:row>
      <xdr:rowOff>0</xdr:rowOff>
    </xdr:from>
    <xdr:ext cx="3422530" cy="1971675"/>
    <xdr:pic>
      <xdr:nvPicPr>
        <xdr:cNvPr id="4" name="Picture 3">
          <a:extLst>
            <a:ext uri="{FF2B5EF4-FFF2-40B4-BE49-F238E27FC236}">
              <a16:creationId xmlns:a16="http://schemas.microsoft.com/office/drawing/2014/main" id="{0969C9AF-5FF5-4185-B750-E2D0B79BAD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925175" y="6134100"/>
          <a:ext cx="3422530" cy="197167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3F7F1-4E56-4714-9880-449279F885BA}">
  <dimension ref="A1:C12"/>
  <sheetViews>
    <sheetView tabSelected="1" workbookViewId="0"/>
  </sheetViews>
  <sheetFormatPr defaultColWidth="8.85546875" defaultRowHeight="15" x14ac:dyDescent="0.25"/>
  <cols>
    <col min="1" max="1" width="6.140625" style="36" bestFit="1" customWidth="1"/>
    <col min="2" max="2" width="10.85546875" style="36" bestFit="1" customWidth="1"/>
    <col min="3" max="3" width="35" style="36" bestFit="1" customWidth="1"/>
    <col min="4" max="16384" width="8.85546875" style="36"/>
  </cols>
  <sheetData>
    <row r="1" spans="1:3" x14ac:dyDescent="0.25">
      <c r="A1" s="34" t="s">
        <v>400</v>
      </c>
      <c r="B1" s="35" t="s">
        <v>401</v>
      </c>
      <c r="C1" s="35" t="s">
        <v>402</v>
      </c>
    </row>
    <row r="2" spans="1:3" x14ac:dyDescent="0.25">
      <c r="A2" s="37">
        <v>1</v>
      </c>
      <c r="B2" s="104" t="s">
        <v>403</v>
      </c>
      <c r="C2" s="38" t="s">
        <v>103</v>
      </c>
    </row>
    <row r="3" spans="1:3" x14ac:dyDescent="0.25">
      <c r="A3" s="37">
        <v>2</v>
      </c>
      <c r="B3" s="104" t="s">
        <v>404</v>
      </c>
      <c r="C3" s="38" t="s">
        <v>196</v>
      </c>
    </row>
    <row r="4" spans="1:3" x14ac:dyDescent="0.25">
      <c r="A4" s="37">
        <v>3</v>
      </c>
      <c r="B4" s="104" t="s">
        <v>405</v>
      </c>
      <c r="C4" s="38" t="s">
        <v>406</v>
      </c>
    </row>
    <row r="5" spans="1:3" x14ac:dyDescent="0.25">
      <c r="A5" s="37">
        <v>4</v>
      </c>
      <c r="B5" s="104" t="s">
        <v>407</v>
      </c>
      <c r="C5" s="38" t="s">
        <v>286</v>
      </c>
    </row>
    <row r="6" spans="1:3" x14ac:dyDescent="0.25">
      <c r="A6" s="37">
        <v>5</v>
      </c>
      <c r="B6" s="104" t="s">
        <v>586</v>
      </c>
      <c r="C6" s="38" t="s">
        <v>261</v>
      </c>
    </row>
    <row r="7" spans="1:3" x14ac:dyDescent="0.25">
      <c r="A7" s="37">
        <v>6</v>
      </c>
      <c r="B7" s="104" t="s">
        <v>587</v>
      </c>
      <c r="C7" s="38" t="s">
        <v>542</v>
      </c>
    </row>
    <row r="8" spans="1:3" x14ac:dyDescent="0.25">
      <c r="A8" s="37">
        <v>7</v>
      </c>
      <c r="B8" s="104" t="s">
        <v>588</v>
      </c>
      <c r="C8" s="38" t="s">
        <v>481</v>
      </c>
    </row>
    <row r="9" spans="1:3" x14ac:dyDescent="0.25">
      <c r="A9" s="37">
        <v>8</v>
      </c>
      <c r="B9" s="104" t="s">
        <v>589</v>
      </c>
      <c r="C9" s="38" t="s">
        <v>570</v>
      </c>
    </row>
    <row r="10" spans="1:3" x14ac:dyDescent="0.25">
      <c r="A10" s="37">
        <v>9</v>
      </c>
      <c r="B10" s="104" t="s">
        <v>408</v>
      </c>
      <c r="C10" s="38" t="s">
        <v>383</v>
      </c>
    </row>
    <row r="11" spans="1:3" x14ac:dyDescent="0.25">
      <c r="A11" s="37">
        <v>10</v>
      </c>
      <c r="B11" s="104" t="s">
        <v>409</v>
      </c>
      <c r="C11" s="38" t="s">
        <v>384</v>
      </c>
    </row>
    <row r="12" spans="1:3" x14ac:dyDescent="0.25">
      <c r="A12" s="37">
        <v>11</v>
      </c>
      <c r="B12" s="104" t="s">
        <v>410</v>
      </c>
      <c r="C12" s="38" t="s">
        <v>385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54"/>
  <sheetViews>
    <sheetView showGridLines="0" workbookViewId="0">
      <selection sqref="A1:H1"/>
    </sheetView>
  </sheetViews>
  <sheetFormatPr defaultRowHeight="12.75" x14ac:dyDescent="0.2"/>
  <cols>
    <col min="1" max="1" width="6.85546875" customWidth="1"/>
    <col min="2" max="2" width="25.140625" customWidth="1"/>
    <col min="3" max="3" width="34.28515625" customWidth="1"/>
    <col min="4" max="4" width="17.85546875" customWidth="1"/>
    <col min="5" max="6" width="19.140625" customWidth="1"/>
    <col min="7" max="7" width="16.42578125" customWidth="1"/>
    <col min="9" max="15" width="9.140625" style="57"/>
  </cols>
  <sheetData>
    <row r="1" spans="1:15" ht="15" x14ac:dyDescent="0.2">
      <c r="A1" s="152" t="s">
        <v>0</v>
      </c>
      <c r="B1" s="152"/>
      <c r="C1" s="152"/>
      <c r="D1" s="152"/>
      <c r="E1" s="152"/>
      <c r="F1" s="152"/>
      <c r="G1" s="152"/>
      <c r="H1" s="152"/>
    </row>
    <row r="2" spans="1:15" ht="15" x14ac:dyDescent="0.2">
      <c r="A2" s="152" t="s">
        <v>103</v>
      </c>
      <c r="B2" s="152"/>
      <c r="C2" s="152"/>
      <c r="D2" s="152"/>
      <c r="E2" s="152"/>
      <c r="F2" s="152"/>
      <c r="G2" s="152"/>
      <c r="H2" s="152"/>
      <c r="J2" s="148" t="s">
        <v>631</v>
      </c>
      <c r="K2" s="148"/>
      <c r="L2" s="148"/>
      <c r="M2" s="148"/>
      <c r="N2" s="148"/>
    </row>
    <row r="3" spans="1:15" ht="15" x14ac:dyDescent="0.2">
      <c r="A3" s="152" t="s">
        <v>480</v>
      </c>
      <c r="B3" s="152"/>
      <c r="C3" s="152"/>
      <c r="D3" s="152"/>
      <c r="E3" s="152"/>
      <c r="F3" s="152"/>
      <c r="G3" s="152"/>
      <c r="H3" s="152"/>
    </row>
    <row r="4" spans="1:15" s="59" customFormat="1" ht="30" x14ac:dyDescent="0.2">
      <c r="A4" s="58" t="s">
        <v>1</v>
      </c>
      <c r="B4" s="58" t="s">
        <v>2</v>
      </c>
      <c r="C4" s="58" t="s">
        <v>3</v>
      </c>
      <c r="D4" s="58" t="s">
        <v>4</v>
      </c>
      <c r="E4" s="58" t="s">
        <v>5</v>
      </c>
      <c r="F4" s="58" t="s">
        <v>6</v>
      </c>
      <c r="G4" s="58" t="s">
        <v>7</v>
      </c>
      <c r="H4" s="49" t="s">
        <v>452</v>
      </c>
      <c r="I4" s="135"/>
      <c r="J4" s="135"/>
      <c r="K4" s="135"/>
      <c r="L4" s="135"/>
      <c r="M4" s="135"/>
      <c r="N4" s="135"/>
      <c r="O4" s="135"/>
    </row>
    <row r="5" spans="1:15" x14ac:dyDescent="0.2">
      <c r="A5" s="1"/>
      <c r="B5" s="1"/>
      <c r="C5" s="2" t="s">
        <v>8</v>
      </c>
      <c r="D5" s="1"/>
      <c r="E5" s="1"/>
      <c r="F5" s="1"/>
      <c r="G5" s="1"/>
      <c r="H5" s="50"/>
    </row>
    <row r="6" spans="1:15" ht="25.5" x14ac:dyDescent="0.2">
      <c r="A6" s="1"/>
      <c r="B6" s="1"/>
      <c r="C6" s="2" t="s">
        <v>9</v>
      </c>
      <c r="D6" s="1"/>
      <c r="E6" s="1"/>
      <c r="F6" s="1"/>
      <c r="G6" s="1"/>
      <c r="H6" s="50"/>
    </row>
    <row r="7" spans="1:15" x14ac:dyDescent="0.2">
      <c r="A7" s="1"/>
      <c r="B7" s="1"/>
      <c r="C7" s="2" t="s">
        <v>10</v>
      </c>
      <c r="D7" s="1"/>
      <c r="E7" s="1" t="s">
        <v>11</v>
      </c>
      <c r="F7" s="3">
        <v>0</v>
      </c>
      <c r="G7" s="4">
        <v>0</v>
      </c>
      <c r="H7" s="50"/>
    </row>
    <row r="8" spans="1:15" x14ac:dyDescent="0.2">
      <c r="A8" s="1"/>
      <c r="B8" s="1"/>
      <c r="C8" s="5"/>
      <c r="D8" s="1"/>
      <c r="E8" s="1"/>
      <c r="F8" s="6"/>
      <c r="G8" s="6"/>
      <c r="H8" s="50"/>
    </row>
    <row r="9" spans="1:15" x14ac:dyDescent="0.2">
      <c r="A9" s="1"/>
      <c r="B9" s="1"/>
      <c r="C9" s="2" t="s">
        <v>12</v>
      </c>
      <c r="D9" s="1"/>
      <c r="E9" s="1"/>
      <c r="F9" s="1"/>
      <c r="G9" s="1"/>
      <c r="H9" s="50"/>
    </row>
    <row r="10" spans="1:15" x14ac:dyDescent="0.2">
      <c r="A10" s="1"/>
      <c r="B10" s="1"/>
      <c r="C10" s="2" t="s">
        <v>10</v>
      </c>
      <c r="D10" s="1"/>
      <c r="E10" s="1" t="s">
        <v>11</v>
      </c>
      <c r="F10" s="3">
        <v>0</v>
      </c>
      <c r="G10" s="4">
        <v>0</v>
      </c>
      <c r="H10" s="50"/>
    </row>
    <row r="11" spans="1:15" x14ac:dyDescent="0.2">
      <c r="A11" s="1"/>
      <c r="B11" s="1"/>
      <c r="C11" s="5"/>
      <c r="D11" s="1"/>
      <c r="E11" s="1"/>
      <c r="F11" s="6"/>
      <c r="G11" s="6"/>
      <c r="H11" s="50"/>
    </row>
    <row r="12" spans="1:15" x14ac:dyDescent="0.2">
      <c r="A12" s="1"/>
      <c r="B12" s="1"/>
      <c r="C12" s="2" t="s">
        <v>13</v>
      </c>
      <c r="D12" s="1"/>
      <c r="E12" s="1"/>
      <c r="F12" s="1"/>
      <c r="G12" s="1"/>
      <c r="H12" s="50"/>
    </row>
    <row r="13" spans="1:15" x14ac:dyDescent="0.2">
      <c r="A13" s="1"/>
      <c r="B13" s="1"/>
      <c r="C13" s="2" t="s">
        <v>10</v>
      </c>
      <c r="D13" s="1"/>
      <c r="E13" s="1" t="s">
        <v>11</v>
      </c>
      <c r="F13" s="3">
        <v>0</v>
      </c>
      <c r="G13" s="4">
        <v>0</v>
      </c>
      <c r="H13" s="50"/>
    </row>
    <row r="14" spans="1:15" x14ac:dyDescent="0.2">
      <c r="A14" s="1"/>
      <c r="B14" s="1"/>
      <c r="C14" s="5"/>
      <c r="D14" s="1"/>
      <c r="E14" s="1"/>
      <c r="F14" s="6"/>
      <c r="G14" s="6"/>
      <c r="H14" s="50"/>
    </row>
    <row r="15" spans="1:15" x14ac:dyDescent="0.2">
      <c r="A15" s="1"/>
      <c r="B15" s="1"/>
      <c r="C15" s="2" t="s">
        <v>14</v>
      </c>
      <c r="D15" s="1"/>
      <c r="E15" s="1"/>
      <c r="F15" s="1"/>
      <c r="G15" s="1"/>
      <c r="H15" s="50"/>
    </row>
    <row r="16" spans="1:15" ht="15" x14ac:dyDescent="0.25">
      <c r="A16" s="1"/>
      <c r="B16" s="1"/>
      <c r="C16" s="2" t="s">
        <v>10</v>
      </c>
      <c r="D16" s="1"/>
      <c r="E16" s="1" t="s">
        <v>11</v>
      </c>
      <c r="F16" s="3">
        <v>0</v>
      </c>
      <c r="G16" s="4">
        <v>0</v>
      </c>
      <c r="H16" s="50"/>
      <c r="J16" s="136" t="s">
        <v>634</v>
      </c>
      <c r="K16" s="136"/>
      <c r="L16" s="136"/>
      <c r="M16" s="136"/>
      <c r="N16" s="136"/>
      <c r="O16" s="136"/>
    </row>
    <row r="17" spans="1:15" x14ac:dyDescent="0.2">
      <c r="A17" s="1"/>
      <c r="B17" s="1"/>
      <c r="C17" s="5"/>
      <c r="D17" s="1"/>
      <c r="E17" s="1"/>
      <c r="F17" s="6"/>
      <c r="G17" s="6"/>
      <c r="H17" s="50"/>
    </row>
    <row r="18" spans="1:15" x14ac:dyDescent="0.2">
      <c r="A18" s="1"/>
      <c r="B18" s="1"/>
      <c r="C18" s="2" t="s">
        <v>15</v>
      </c>
      <c r="D18" s="1"/>
      <c r="E18" s="1"/>
      <c r="F18" s="6"/>
      <c r="G18" s="6"/>
      <c r="H18" s="50"/>
    </row>
    <row r="19" spans="1:15" x14ac:dyDescent="0.2">
      <c r="A19" s="1"/>
      <c r="B19" s="1"/>
      <c r="C19" s="2" t="s">
        <v>10</v>
      </c>
      <c r="D19" s="1"/>
      <c r="E19" s="1" t="s">
        <v>11</v>
      </c>
      <c r="F19" s="3">
        <v>0</v>
      </c>
      <c r="G19" s="4">
        <v>0</v>
      </c>
      <c r="H19" s="50"/>
    </row>
    <row r="20" spans="1:15" x14ac:dyDescent="0.2">
      <c r="A20" s="1"/>
      <c r="B20" s="1"/>
      <c r="C20" s="5"/>
      <c r="D20" s="1"/>
      <c r="E20" s="1"/>
      <c r="F20" s="6"/>
      <c r="G20" s="6"/>
      <c r="H20" s="50"/>
    </row>
    <row r="21" spans="1:15" x14ac:dyDescent="0.2">
      <c r="A21" s="1"/>
      <c r="B21" s="1"/>
      <c r="C21" s="2" t="s">
        <v>16</v>
      </c>
      <c r="D21" s="1"/>
      <c r="E21" s="1"/>
      <c r="F21" s="6"/>
      <c r="G21" s="6"/>
      <c r="H21" s="50"/>
    </row>
    <row r="22" spans="1:15" x14ac:dyDescent="0.2">
      <c r="A22" s="1"/>
      <c r="B22" s="1"/>
      <c r="C22" s="2" t="s">
        <v>10</v>
      </c>
      <c r="D22" s="1"/>
      <c r="E22" s="1" t="s">
        <v>11</v>
      </c>
      <c r="F22" s="3">
        <v>0</v>
      </c>
      <c r="G22" s="4">
        <v>0</v>
      </c>
      <c r="H22" s="50"/>
    </row>
    <row r="23" spans="1:15" x14ac:dyDescent="0.2">
      <c r="A23" s="1"/>
      <c r="B23" s="1"/>
      <c r="C23" s="5"/>
      <c r="D23" s="1"/>
      <c r="E23" s="1"/>
      <c r="F23" s="6"/>
      <c r="G23" s="6"/>
      <c r="H23" s="50"/>
    </row>
    <row r="24" spans="1:15" x14ac:dyDescent="0.2">
      <c r="A24" s="1"/>
      <c r="B24" s="1"/>
      <c r="C24" s="2" t="s">
        <v>17</v>
      </c>
      <c r="D24" s="1"/>
      <c r="E24" s="1"/>
      <c r="F24" s="7">
        <v>0</v>
      </c>
      <c r="G24" s="8">
        <v>0</v>
      </c>
      <c r="H24" s="50"/>
    </row>
    <row r="25" spans="1:15" x14ac:dyDescent="0.2">
      <c r="A25" s="1"/>
      <c r="B25" s="1"/>
      <c r="C25" s="5"/>
      <c r="D25" s="1"/>
      <c r="E25" s="1"/>
      <c r="F25" s="6"/>
      <c r="G25" s="6"/>
      <c r="H25" s="50"/>
    </row>
    <row r="26" spans="1:15" x14ac:dyDescent="0.2">
      <c r="A26" s="1"/>
      <c r="B26" s="1"/>
      <c r="C26" s="2" t="s">
        <v>18</v>
      </c>
      <c r="D26" s="1"/>
      <c r="E26" s="1"/>
      <c r="F26" s="6"/>
      <c r="G26" s="6"/>
      <c r="H26" s="50"/>
    </row>
    <row r="27" spans="1:15" ht="25.5" x14ac:dyDescent="0.2">
      <c r="A27" s="1"/>
      <c r="B27" s="1"/>
      <c r="C27" s="2" t="s">
        <v>9</v>
      </c>
      <c r="D27" s="1"/>
      <c r="E27" s="1"/>
      <c r="F27" s="6"/>
      <c r="G27" s="6"/>
      <c r="H27" s="50"/>
    </row>
    <row r="28" spans="1:15" ht="25.5" x14ac:dyDescent="0.2">
      <c r="A28" s="9">
        <v>1</v>
      </c>
      <c r="B28" s="10" t="s">
        <v>104</v>
      </c>
      <c r="C28" s="10" t="s">
        <v>105</v>
      </c>
      <c r="D28" s="10" t="s">
        <v>23</v>
      </c>
      <c r="E28" s="11">
        <v>625</v>
      </c>
      <c r="F28" s="12">
        <v>6225.125</v>
      </c>
      <c r="G28" s="13">
        <v>5.8317688999999999E-2</v>
      </c>
      <c r="H28" s="50">
        <v>5.0149999999999997</v>
      </c>
    </row>
    <row r="29" spans="1:15" ht="25.5" x14ac:dyDescent="0.25">
      <c r="A29" s="9">
        <v>2</v>
      </c>
      <c r="B29" s="10" t="s">
        <v>106</v>
      </c>
      <c r="C29" s="10" t="s">
        <v>107</v>
      </c>
      <c r="D29" s="10" t="s">
        <v>449</v>
      </c>
      <c r="E29" s="11">
        <v>550</v>
      </c>
      <c r="F29" s="12">
        <v>5578.6774999999998</v>
      </c>
      <c r="G29" s="13">
        <v>5.2261693999999997E-2</v>
      </c>
      <c r="H29" s="50">
        <v>4.9800000000000004</v>
      </c>
      <c r="J29" s="136" t="s">
        <v>641</v>
      </c>
      <c r="O29"/>
    </row>
    <row r="30" spans="1:15" ht="25.5" x14ac:dyDescent="0.2">
      <c r="A30" s="9">
        <v>3</v>
      </c>
      <c r="B30" s="10" t="s">
        <v>108</v>
      </c>
      <c r="C30" s="10" t="s">
        <v>109</v>
      </c>
      <c r="D30" s="10" t="s">
        <v>23</v>
      </c>
      <c r="E30" s="11">
        <v>500</v>
      </c>
      <c r="F30" s="12">
        <v>5308.58</v>
      </c>
      <c r="G30" s="13">
        <v>4.9731389000000001E-2</v>
      </c>
      <c r="H30" s="50">
        <v>5.5</v>
      </c>
      <c r="O30"/>
    </row>
    <row r="31" spans="1:15" ht="25.5" x14ac:dyDescent="0.2">
      <c r="A31" s="9">
        <v>4</v>
      </c>
      <c r="B31" s="10" t="s">
        <v>110</v>
      </c>
      <c r="C31" s="10" t="s">
        <v>111</v>
      </c>
      <c r="D31" s="10" t="s">
        <v>449</v>
      </c>
      <c r="E31" s="11">
        <v>400</v>
      </c>
      <c r="F31" s="12">
        <v>4095.3440000000001</v>
      </c>
      <c r="G31" s="13">
        <v>3.8365654999999999E-2</v>
      </c>
      <c r="H31" s="50">
        <v>4.8449999999999998</v>
      </c>
      <c r="O31"/>
    </row>
    <row r="32" spans="1:15" ht="25.5" x14ac:dyDescent="0.2">
      <c r="A32" s="9">
        <v>5</v>
      </c>
      <c r="B32" s="10" t="s">
        <v>112</v>
      </c>
      <c r="C32" s="10" t="s">
        <v>113</v>
      </c>
      <c r="D32" s="10" t="s">
        <v>23</v>
      </c>
      <c r="E32" s="11">
        <v>350</v>
      </c>
      <c r="F32" s="12">
        <v>3581.3679999999999</v>
      </c>
      <c r="G32" s="13">
        <v>3.3550667999999999E-2</v>
      </c>
      <c r="H32" s="50">
        <v>4.8849999999999998</v>
      </c>
      <c r="O32"/>
    </row>
    <row r="33" spans="1:15" ht="25.5" x14ac:dyDescent="0.2">
      <c r="A33" s="9">
        <v>6</v>
      </c>
      <c r="B33" s="10" t="s">
        <v>114</v>
      </c>
      <c r="C33" s="10" t="s">
        <v>115</v>
      </c>
      <c r="D33" s="10" t="s">
        <v>23</v>
      </c>
      <c r="E33" s="11">
        <v>350</v>
      </c>
      <c r="F33" s="12">
        <v>3519.2604999999999</v>
      </c>
      <c r="G33" s="13">
        <v>3.2968838E-2</v>
      </c>
      <c r="H33" s="50">
        <v>5.44</v>
      </c>
      <c r="O33"/>
    </row>
    <row r="34" spans="1:15" ht="25.5" x14ac:dyDescent="0.2">
      <c r="A34" s="9">
        <v>7</v>
      </c>
      <c r="B34" s="10" t="s">
        <v>116</v>
      </c>
      <c r="C34" s="10" t="s">
        <v>117</v>
      </c>
      <c r="D34" s="10" t="s">
        <v>23</v>
      </c>
      <c r="E34" s="11">
        <v>300</v>
      </c>
      <c r="F34" s="12">
        <v>3151.3110000000001</v>
      </c>
      <c r="G34" s="13">
        <v>2.9521845000000001E-2</v>
      </c>
      <c r="H34" s="50">
        <v>5.44</v>
      </c>
      <c r="O34"/>
    </row>
    <row r="35" spans="1:15" ht="25.5" x14ac:dyDescent="0.2">
      <c r="A35" s="9">
        <v>8</v>
      </c>
      <c r="B35" s="10" t="s">
        <v>118</v>
      </c>
      <c r="C35" s="10" t="s">
        <v>119</v>
      </c>
      <c r="D35" s="10" t="s">
        <v>23</v>
      </c>
      <c r="E35" s="11">
        <v>300</v>
      </c>
      <c r="F35" s="12">
        <v>3121.1219999999998</v>
      </c>
      <c r="G35" s="13">
        <v>2.9239030999999999E-2</v>
      </c>
      <c r="H35" s="50">
        <v>5.44</v>
      </c>
      <c r="O35"/>
    </row>
    <row r="36" spans="1:15" ht="25.5" x14ac:dyDescent="0.2">
      <c r="A36" s="9">
        <v>9</v>
      </c>
      <c r="B36" s="10" t="s">
        <v>120</v>
      </c>
      <c r="C36" s="10" t="s">
        <v>121</v>
      </c>
      <c r="D36" s="10" t="s">
        <v>23</v>
      </c>
      <c r="E36" s="11">
        <v>300</v>
      </c>
      <c r="F36" s="12">
        <v>3034.6860000000001</v>
      </c>
      <c r="G36" s="13">
        <v>2.8429288E-2</v>
      </c>
      <c r="H36" s="50">
        <v>4.88</v>
      </c>
    </row>
    <row r="37" spans="1:15" ht="25.5" x14ac:dyDescent="0.2">
      <c r="A37" s="9">
        <v>10</v>
      </c>
      <c r="B37" s="10" t="s">
        <v>122</v>
      </c>
      <c r="C37" s="10" t="s">
        <v>123</v>
      </c>
      <c r="D37" s="10" t="s">
        <v>23</v>
      </c>
      <c r="E37" s="11">
        <v>250</v>
      </c>
      <c r="F37" s="12">
        <v>2619.1824999999999</v>
      </c>
      <c r="G37" s="13">
        <v>2.4536803999999999E-2</v>
      </c>
      <c r="H37" s="50">
        <v>4.7149999999999999</v>
      </c>
    </row>
    <row r="38" spans="1:15" x14ac:dyDescent="0.2">
      <c r="A38" s="9">
        <v>11</v>
      </c>
      <c r="B38" s="10" t="s">
        <v>124</v>
      </c>
      <c r="C38" s="10" t="s">
        <v>125</v>
      </c>
      <c r="D38" s="10" t="s">
        <v>23</v>
      </c>
      <c r="E38" s="11">
        <v>250</v>
      </c>
      <c r="F38" s="12">
        <v>2613.9299999999998</v>
      </c>
      <c r="G38" s="13">
        <v>2.4487597999999999E-2</v>
      </c>
      <c r="H38" s="50">
        <v>4.6399999999999997</v>
      </c>
    </row>
    <row r="39" spans="1:15" ht="25.5" x14ac:dyDescent="0.2">
      <c r="A39" s="9">
        <v>12</v>
      </c>
      <c r="B39" s="10" t="s">
        <v>126</v>
      </c>
      <c r="C39" s="10" t="s">
        <v>127</v>
      </c>
      <c r="D39" s="10" t="s">
        <v>23</v>
      </c>
      <c r="E39" s="11">
        <v>250</v>
      </c>
      <c r="F39" s="12">
        <v>2610.9850000000001</v>
      </c>
      <c r="G39" s="13">
        <v>2.4460009000000001E-2</v>
      </c>
      <c r="H39" s="50">
        <v>4.82</v>
      </c>
    </row>
    <row r="40" spans="1:15" ht="25.5" x14ac:dyDescent="0.2">
      <c r="A40" s="9">
        <v>13</v>
      </c>
      <c r="B40" s="10" t="s">
        <v>21</v>
      </c>
      <c r="C40" s="10" t="s">
        <v>22</v>
      </c>
      <c r="D40" s="10" t="s">
        <v>23</v>
      </c>
      <c r="E40" s="11">
        <v>250</v>
      </c>
      <c r="F40" s="12">
        <v>2608.6</v>
      </c>
      <c r="G40" s="13">
        <v>2.4437666E-2</v>
      </c>
      <c r="H40" s="50">
        <v>5.21</v>
      </c>
    </row>
    <row r="41" spans="1:15" x14ac:dyDescent="0.2">
      <c r="A41" s="9">
        <v>14</v>
      </c>
      <c r="B41" s="10" t="s">
        <v>128</v>
      </c>
      <c r="C41" s="10" t="s">
        <v>129</v>
      </c>
      <c r="D41" s="10" t="s">
        <v>23</v>
      </c>
      <c r="E41" s="11">
        <v>250</v>
      </c>
      <c r="F41" s="12">
        <v>2595.8325</v>
      </c>
      <c r="G41" s="13">
        <v>2.4318058E-2</v>
      </c>
      <c r="H41" s="50">
        <v>5.16</v>
      </c>
    </row>
    <row r="42" spans="1:15" ht="25.5" x14ac:dyDescent="0.2">
      <c r="A42" s="9">
        <v>15</v>
      </c>
      <c r="B42" s="10" t="s">
        <v>130</v>
      </c>
      <c r="C42" s="10" t="s">
        <v>131</v>
      </c>
      <c r="D42" s="10" t="s">
        <v>23</v>
      </c>
      <c r="E42" s="11">
        <v>250</v>
      </c>
      <c r="F42" s="12">
        <v>2549.4375</v>
      </c>
      <c r="G42" s="13">
        <v>2.3883424E-2</v>
      </c>
      <c r="H42" s="50">
        <v>5.3250000000000002</v>
      </c>
    </row>
    <row r="43" spans="1:15" ht="25.5" x14ac:dyDescent="0.2">
      <c r="A43" s="9">
        <v>16</v>
      </c>
      <c r="B43" s="10" t="s">
        <v>132</v>
      </c>
      <c r="C43" s="10" t="s">
        <v>133</v>
      </c>
      <c r="D43" s="10" t="s">
        <v>449</v>
      </c>
      <c r="E43" s="11">
        <v>250</v>
      </c>
      <c r="F43" s="12">
        <v>2548.3775000000001</v>
      </c>
      <c r="G43" s="13">
        <v>2.3873493999999999E-2</v>
      </c>
      <c r="H43" s="50">
        <v>4.8899999999999997</v>
      </c>
    </row>
    <row r="44" spans="1:15" x14ac:dyDescent="0.2">
      <c r="A44" s="9">
        <v>17</v>
      </c>
      <c r="B44" s="10" t="s">
        <v>134</v>
      </c>
      <c r="C44" s="10" t="s">
        <v>135</v>
      </c>
      <c r="D44" s="10" t="s">
        <v>23</v>
      </c>
      <c r="E44" s="11">
        <v>250</v>
      </c>
      <c r="F44" s="12">
        <v>2503.11</v>
      </c>
      <c r="G44" s="13">
        <v>2.3449423E-2</v>
      </c>
      <c r="H44" s="50">
        <v>5.5949999999999998</v>
      </c>
    </row>
    <row r="45" spans="1:15" ht="25.5" x14ac:dyDescent="0.2">
      <c r="A45" s="9">
        <v>18</v>
      </c>
      <c r="B45" s="10" t="s">
        <v>136</v>
      </c>
      <c r="C45" s="10" t="s">
        <v>137</v>
      </c>
      <c r="D45" s="10" t="s">
        <v>23</v>
      </c>
      <c r="E45" s="11">
        <v>200</v>
      </c>
      <c r="F45" s="12">
        <v>2094.4119999999998</v>
      </c>
      <c r="G45" s="13">
        <v>1.9620693000000002E-2</v>
      </c>
      <c r="H45" s="50">
        <v>4.62</v>
      </c>
    </row>
    <row r="46" spans="1:15" x14ac:dyDescent="0.2">
      <c r="A46" s="9">
        <v>19</v>
      </c>
      <c r="B46" s="10" t="s">
        <v>138</v>
      </c>
      <c r="C46" s="10" t="s">
        <v>139</v>
      </c>
      <c r="D46" s="10" t="s">
        <v>23</v>
      </c>
      <c r="E46" s="11">
        <v>200</v>
      </c>
      <c r="F46" s="12">
        <v>2043.7159999999999</v>
      </c>
      <c r="G46" s="13">
        <v>1.9145767000000001E-2</v>
      </c>
      <c r="H46" s="50">
        <v>4.665</v>
      </c>
    </row>
    <row r="47" spans="1:15" ht="25.5" x14ac:dyDescent="0.2">
      <c r="A47" s="9">
        <v>20</v>
      </c>
      <c r="B47" s="10" t="s">
        <v>140</v>
      </c>
      <c r="C47" s="10" t="s">
        <v>141</v>
      </c>
      <c r="D47" s="10" t="s">
        <v>23</v>
      </c>
      <c r="E47" s="11">
        <v>200</v>
      </c>
      <c r="F47" s="12">
        <v>2032.232</v>
      </c>
      <c r="G47" s="13">
        <v>1.9038184E-2</v>
      </c>
      <c r="H47" s="50">
        <v>4.88</v>
      </c>
    </row>
    <row r="48" spans="1:15" ht="25.5" x14ac:dyDescent="0.2">
      <c r="A48" s="9">
        <v>21</v>
      </c>
      <c r="B48" s="10" t="s">
        <v>142</v>
      </c>
      <c r="C48" s="10" t="s">
        <v>143</v>
      </c>
      <c r="D48" s="10" t="s">
        <v>23</v>
      </c>
      <c r="E48" s="11">
        <v>200</v>
      </c>
      <c r="F48" s="12">
        <v>2029.1320000000001</v>
      </c>
      <c r="G48" s="13">
        <v>1.9009142999999999E-2</v>
      </c>
      <c r="H48" s="50">
        <v>5.085</v>
      </c>
    </row>
    <row r="49" spans="1:8" ht="25.5" x14ac:dyDescent="0.2">
      <c r="A49" s="9">
        <v>22</v>
      </c>
      <c r="B49" s="10" t="s">
        <v>144</v>
      </c>
      <c r="C49" s="10" t="s">
        <v>145</v>
      </c>
      <c r="D49" s="10" t="s">
        <v>23</v>
      </c>
      <c r="E49" s="11">
        <v>150</v>
      </c>
      <c r="F49" s="12">
        <v>1569.4110000000001</v>
      </c>
      <c r="G49" s="13">
        <v>1.4702422999999999E-2</v>
      </c>
      <c r="H49" s="50">
        <v>4.7149999999999999</v>
      </c>
    </row>
    <row r="50" spans="1:8" ht="25.5" x14ac:dyDescent="0.2">
      <c r="A50" s="9">
        <v>23</v>
      </c>
      <c r="B50" s="10" t="s">
        <v>146</v>
      </c>
      <c r="C50" s="10" t="s">
        <v>147</v>
      </c>
      <c r="D50" s="10" t="s">
        <v>23</v>
      </c>
      <c r="E50" s="11">
        <v>150</v>
      </c>
      <c r="F50" s="12">
        <v>1564.4265</v>
      </c>
      <c r="G50" s="13">
        <v>1.4655728E-2</v>
      </c>
      <c r="H50" s="50">
        <v>4.7149999999999999</v>
      </c>
    </row>
    <row r="51" spans="1:8" ht="25.5" x14ac:dyDescent="0.2">
      <c r="A51" s="9">
        <v>24</v>
      </c>
      <c r="B51" s="10" t="s">
        <v>148</v>
      </c>
      <c r="C51" s="10" t="s">
        <v>149</v>
      </c>
      <c r="D51" s="10" t="s">
        <v>23</v>
      </c>
      <c r="E51" s="11">
        <v>150</v>
      </c>
      <c r="F51" s="12">
        <v>1561.1685</v>
      </c>
      <c r="G51" s="13">
        <v>1.4625206999999999E-2</v>
      </c>
      <c r="H51" s="50">
        <v>4.7750000000000004</v>
      </c>
    </row>
    <row r="52" spans="1:8" ht="25.5" x14ac:dyDescent="0.2">
      <c r="A52" s="9">
        <v>25</v>
      </c>
      <c r="B52" s="10" t="s">
        <v>150</v>
      </c>
      <c r="C52" s="10" t="s">
        <v>151</v>
      </c>
      <c r="D52" s="10" t="s">
        <v>23</v>
      </c>
      <c r="E52" s="11">
        <v>140</v>
      </c>
      <c r="F52" s="12">
        <v>1428.1120000000001</v>
      </c>
      <c r="G52" s="13">
        <v>1.3378718E-2</v>
      </c>
      <c r="H52" s="50">
        <v>4.88</v>
      </c>
    </row>
    <row r="53" spans="1:8" ht="25.5" x14ac:dyDescent="0.2">
      <c r="A53" s="9">
        <v>26</v>
      </c>
      <c r="B53" s="10" t="s">
        <v>152</v>
      </c>
      <c r="C53" s="10" t="s">
        <v>153</v>
      </c>
      <c r="D53" s="10" t="s">
        <v>23</v>
      </c>
      <c r="E53" s="11">
        <v>100</v>
      </c>
      <c r="F53" s="12">
        <v>1066.1379999999999</v>
      </c>
      <c r="G53" s="13">
        <v>9.987704E-3</v>
      </c>
      <c r="H53" s="50">
        <v>5.0049999999999999</v>
      </c>
    </row>
    <row r="54" spans="1:8" ht="25.5" x14ac:dyDescent="0.2">
      <c r="A54" s="9">
        <v>27</v>
      </c>
      <c r="B54" s="10" t="s">
        <v>154</v>
      </c>
      <c r="C54" s="10" t="s">
        <v>155</v>
      </c>
      <c r="D54" s="10" t="s">
        <v>23</v>
      </c>
      <c r="E54" s="11">
        <v>80</v>
      </c>
      <c r="F54" s="12">
        <v>1052.6959999999999</v>
      </c>
      <c r="G54" s="13">
        <v>9.8617770000000004E-3</v>
      </c>
      <c r="H54" s="50">
        <v>4.91</v>
      </c>
    </row>
    <row r="55" spans="1:8" x14ac:dyDescent="0.2">
      <c r="A55" s="9">
        <v>28</v>
      </c>
      <c r="B55" s="10" t="s">
        <v>156</v>
      </c>
      <c r="C55" s="10" t="s">
        <v>157</v>
      </c>
      <c r="D55" s="10" t="s">
        <v>158</v>
      </c>
      <c r="E55" s="11">
        <v>1000</v>
      </c>
      <c r="F55" s="12">
        <v>1050.412</v>
      </c>
      <c r="G55" s="13">
        <v>9.8403810000000005E-3</v>
      </c>
      <c r="H55" s="50">
        <v>4.9649999999999999</v>
      </c>
    </row>
    <row r="56" spans="1:8" ht="25.5" x14ac:dyDescent="0.2">
      <c r="A56" s="9">
        <v>29</v>
      </c>
      <c r="B56" s="10" t="s">
        <v>159</v>
      </c>
      <c r="C56" s="10" t="s">
        <v>160</v>
      </c>
      <c r="D56" s="10" t="s">
        <v>23</v>
      </c>
      <c r="E56" s="11">
        <v>100</v>
      </c>
      <c r="F56" s="12">
        <v>1045.674</v>
      </c>
      <c r="G56" s="13">
        <v>9.795995E-3</v>
      </c>
      <c r="H56" s="50">
        <v>4.8849999999999998</v>
      </c>
    </row>
    <row r="57" spans="1:8" ht="25.5" x14ac:dyDescent="0.2">
      <c r="A57" s="9">
        <v>30</v>
      </c>
      <c r="B57" s="10" t="s">
        <v>161</v>
      </c>
      <c r="C57" s="10" t="s">
        <v>162</v>
      </c>
      <c r="D57" s="10" t="s">
        <v>23</v>
      </c>
      <c r="E57" s="11">
        <v>100</v>
      </c>
      <c r="F57" s="12">
        <v>1045.636</v>
      </c>
      <c r="G57" s="13">
        <v>9.7956390000000001E-3</v>
      </c>
      <c r="H57" s="50">
        <v>4.66</v>
      </c>
    </row>
    <row r="58" spans="1:8" ht="25.5" x14ac:dyDescent="0.2">
      <c r="A58" s="9">
        <v>31</v>
      </c>
      <c r="B58" s="10" t="s">
        <v>163</v>
      </c>
      <c r="C58" s="10" t="s">
        <v>164</v>
      </c>
      <c r="D58" s="10" t="s">
        <v>23</v>
      </c>
      <c r="E58" s="11">
        <v>100</v>
      </c>
      <c r="F58" s="12">
        <v>1043.703</v>
      </c>
      <c r="G58" s="13">
        <v>9.7775299999999996E-3</v>
      </c>
      <c r="H58" s="50">
        <v>5.12</v>
      </c>
    </row>
    <row r="59" spans="1:8" x14ac:dyDescent="0.2">
      <c r="A59" s="9">
        <v>32</v>
      </c>
      <c r="B59" s="10" t="s">
        <v>165</v>
      </c>
      <c r="C59" s="10" t="s">
        <v>166</v>
      </c>
      <c r="D59" s="10" t="s">
        <v>23</v>
      </c>
      <c r="E59" s="11">
        <v>100</v>
      </c>
      <c r="F59" s="12">
        <v>1035.1980000000001</v>
      </c>
      <c r="G59" s="13">
        <v>9.6978540000000005E-3</v>
      </c>
      <c r="H59" s="50">
        <v>5.3650000000000002</v>
      </c>
    </row>
    <row r="60" spans="1:8" x14ac:dyDescent="0.2">
      <c r="A60" s="9">
        <v>33</v>
      </c>
      <c r="B60" s="10" t="s">
        <v>167</v>
      </c>
      <c r="C60" s="10" t="s">
        <v>168</v>
      </c>
      <c r="D60" s="10" t="s">
        <v>23</v>
      </c>
      <c r="E60" s="11">
        <v>101</v>
      </c>
      <c r="F60" s="12">
        <v>1031.3574599999999</v>
      </c>
      <c r="G60" s="13">
        <v>9.6618759999999998E-3</v>
      </c>
      <c r="H60" s="50">
        <v>4.7949999999999999</v>
      </c>
    </row>
    <row r="61" spans="1:8" ht="25.5" x14ac:dyDescent="0.2">
      <c r="A61" s="9">
        <v>34</v>
      </c>
      <c r="B61" s="10" t="s">
        <v>169</v>
      </c>
      <c r="C61" s="10" t="s">
        <v>170</v>
      </c>
      <c r="D61" s="10" t="s">
        <v>23</v>
      </c>
      <c r="E61" s="11">
        <v>100</v>
      </c>
      <c r="F61" s="12">
        <v>1022.721</v>
      </c>
      <c r="G61" s="13">
        <v>9.5809680000000005E-3</v>
      </c>
      <c r="H61" s="50">
        <v>4.6550000000000002</v>
      </c>
    </row>
    <row r="62" spans="1:8" ht="25.5" x14ac:dyDescent="0.2">
      <c r="A62" s="9">
        <v>35</v>
      </c>
      <c r="B62" s="10" t="s">
        <v>171</v>
      </c>
      <c r="C62" s="10" t="s">
        <v>172</v>
      </c>
      <c r="D62" s="10" t="s">
        <v>23</v>
      </c>
      <c r="E62" s="11">
        <v>100</v>
      </c>
      <c r="F62" s="12">
        <v>1022.297</v>
      </c>
      <c r="G62" s="13">
        <v>9.5769960000000008E-3</v>
      </c>
      <c r="H62" s="50">
        <v>5</v>
      </c>
    </row>
    <row r="63" spans="1:8" ht="25.5" x14ac:dyDescent="0.2">
      <c r="A63" s="9">
        <v>36</v>
      </c>
      <c r="B63" s="10" t="s">
        <v>173</v>
      </c>
      <c r="C63" s="10" t="s">
        <v>174</v>
      </c>
      <c r="D63" s="10" t="s">
        <v>23</v>
      </c>
      <c r="E63" s="11">
        <v>40</v>
      </c>
      <c r="F63" s="12">
        <v>539.13649999999996</v>
      </c>
      <c r="G63" s="13">
        <v>5.0506930000000002E-3</v>
      </c>
      <c r="H63" s="50">
        <v>5.0049999999999999</v>
      </c>
    </row>
    <row r="64" spans="1:8" ht="25.5" x14ac:dyDescent="0.2">
      <c r="A64" s="9">
        <v>37</v>
      </c>
      <c r="B64" s="10" t="s">
        <v>175</v>
      </c>
      <c r="C64" s="10" t="s">
        <v>176</v>
      </c>
      <c r="D64" s="10" t="s">
        <v>23</v>
      </c>
      <c r="E64" s="11">
        <v>40</v>
      </c>
      <c r="F64" s="12">
        <v>528.476</v>
      </c>
      <c r="G64" s="13">
        <v>4.9508240000000004E-3</v>
      </c>
      <c r="H64" s="50">
        <v>4.62</v>
      </c>
    </row>
    <row r="65" spans="1:8" ht="25.5" x14ac:dyDescent="0.2">
      <c r="A65" s="9">
        <v>38</v>
      </c>
      <c r="B65" s="10" t="s">
        <v>177</v>
      </c>
      <c r="C65" s="10" t="s">
        <v>178</v>
      </c>
      <c r="D65" s="10" t="s">
        <v>23</v>
      </c>
      <c r="E65" s="11">
        <v>50</v>
      </c>
      <c r="F65" s="12">
        <v>523.76049999999998</v>
      </c>
      <c r="G65" s="13">
        <v>4.9066489999999999E-3</v>
      </c>
      <c r="H65" s="50">
        <v>4.7750000000000004</v>
      </c>
    </row>
    <row r="66" spans="1:8" ht="25.5" x14ac:dyDescent="0.2">
      <c r="A66" s="9">
        <v>39</v>
      </c>
      <c r="B66" s="10" t="s">
        <v>179</v>
      </c>
      <c r="C66" s="10" t="s">
        <v>180</v>
      </c>
      <c r="D66" s="10" t="s">
        <v>23</v>
      </c>
      <c r="E66" s="11">
        <v>50</v>
      </c>
      <c r="F66" s="12">
        <v>515.37549999999999</v>
      </c>
      <c r="G66" s="13">
        <v>4.8280969999999999E-3</v>
      </c>
      <c r="H66" s="50">
        <v>4.6550000000000002</v>
      </c>
    </row>
    <row r="67" spans="1:8" ht="25.5" x14ac:dyDescent="0.2">
      <c r="A67" s="9">
        <v>40</v>
      </c>
      <c r="B67" s="10" t="s">
        <v>181</v>
      </c>
      <c r="C67" s="10" t="s">
        <v>182</v>
      </c>
      <c r="D67" s="10" t="s">
        <v>23</v>
      </c>
      <c r="E67" s="11">
        <v>50</v>
      </c>
      <c r="F67" s="12">
        <v>511.40499999999997</v>
      </c>
      <c r="G67" s="13">
        <v>4.7909010000000002E-3</v>
      </c>
      <c r="H67" s="50">
        <v>4.8049999999999997</v>
      </c>
    </row>
    <row r="68" spans="1:8" ht="25.5" x14ac:dyDescent="0.2">
      <c r="A68" s="9">
        <v>41</v>
      </c>
      <c r="B68" s="10" t="s">
        <v>183</v>
      </c>
      <c r="C68" s="10" t="s">
        <v>184</v>
      </c>
      <c r="D68" s="10" t="s">
        <v>449</v>
      </c>
      <c r="E68" s="11">
        <v>50</v>
      </c>
      <c r="F68" s="12">
        <v>510.94799999999998</v>
      </c>
      <c r="G68" s="13">
        <v>4.7866200000000001E-3</v>
      </c>
      <c r="H68" s="50">
        <v>4.8899999999999997</v>
      </c>
    </row>
    <row r="69" spans="1:8" x14ac:dyDescent="0.2">
      <c r="A69" s="1"/>
      <c r="B69" s="1"/>
      <c r="C69" s="2" t="s">
        <v>10</v>
      </c>
      <c r="D69" s="1"/>
      <c r="E69" s="1" t="s">
        <v>11</v>
      </c>
      <c r="F69" s="7">
        <v>86132.472959999999</v>
      </c>
      <c r="G69" s="8">
        <v>0.80689893999999995</v>
      </c>
      <c r="H69" s="50"/>
    </row>
    <row r="70" spans="1:8" x14ac:dyDescent="0.2">
      <c r="A70" s="1"/>
      <c r="B70" s="1"/>
      <c r="C70" s="5"/>
      <c r="D70" s="1"/>
      <c r="E70" s="1"/>
      <c r="F70" s="6"/>
      <c r="G70" s="6"/>
      <c r="H70" s="50"/>
    </row>
    <row r="71" spans="1:8" x14ac:dyDescent="0.2">
      <c r="A71" s="1"/>
      <c r="B71" s="1"/>
      <c r="C71" s="2" t="s">
        <v>46</v>
      </c>
      <c r="D71" s="1"/>
      <c r="E71" s="1"/>
      <c r="F71" s="1"/>
      <c r="G71" s="1"/>
      <c r="H71" s="50"/>
    </row>
    <row r="72" spans="1:8" x14ac:dyDescent="0.2">
      <c r="A72" s="1"/>
      <c r="B72" s="1"/>
      <c r="C72" s="2" t="s">
        <v>10</v>
      </c>
      <c r="D72" s="1"/>
      <c r="E72" s="1" t="s">
        <v>11</v>
      </c>
      <c r="F72" s="3">
        <v>0</v>
      </c>
      <c r="G72" s="4">
        <v>0</v>
      </c>
      <c r="H72" s="50"/>
    </row>
    <row r="73" spans="1:8" x14ac:dyDescent="0.2">
      <c r="A73" s="1"/>
      <c r="B73" s="1"/>
      <c r="C73" s="5"/>
      <c r="D73" s="1"/>
      <c r="E73" s="1"/>
      <c r="F73" s="6"/>
      <c r="G73" s="6"/>
      <c r="H73" s="50"/>
    </row>
    <row r="74" spans="1:8" x14ac:dyDescent="0.2">
      <c r="A74" s="1"/>
      <c r="B74" s="1"/>
      <c r="C74" s="2" t="s">
        <v>47</v>
      </c>
      <c r="D74" s="1"/>
      <c r="E74" s="1"/>
      <c r="F74" s="1"/>
      <c r="G74" s="1"/>
      <c r="H74" s="50"/>
    </row>
    <row r="75" spans="1:8" ht="25.5" x14ac:dyDescent="0.2">
      <c r="A75" s="9">
        <v>1</v>
      </c>
      <c r="B75" s="10" t="s">
        <v>185</v>
      </c>
      <c r="C75" s="10" t="s">
        <v>186</v>
      </c>
      <c r="D75" s="10" t="s">
        <v>49</v>
      </c>
      <c r="E75" s="11">
        <v>5000000</v>
      </c>
      <c r="F75" s="12">
        <v>5253.42</v>
      </c>
      <c r="G75" s="13">
        <v>4.9214644000000002E-2</v>
      </c>
      <c r="H75" s="50">
        <v>5.0118</v>
      </c>
    </row>
    <row r="76" spans="1:8" ht="25.5" x14ac:dyDescent="0.2">
      <c r="A76" s="9">
        <v>2</v>
      </c>
      <c r="B76" s="10" t="s">
        <v>187</v>
      </c>
      <c r="C76" s="10" t="s">
        <v>188</v>
      </c>
      <c r="D76" s="10" t="s">
        <v>49</v>
      </c>
      <c r="E76" s="11">
        <v>2500000</v>
      </c>
      <c r="F76" s="12">
        <v>2673.18</v>
      </c>
      <c r="G76" s="13">
        <v>2.5042657999999999E-2</v>
      </c>
      <c r="H76" s="50">
        <v>5.1036000000000001</v>
      </c>
    </row>
    <row r="77" spans="1:8" ht="25.5" x14ac:dyDescent="0.2">
      <c r="A77" s="9">
        <v>3</v>
      </c>
      <c r="B77" s="10" t="s">
        <v>189</v>
      </c>
      <c r="C77" s="10" t="s">
        <v>190</v>
      </c>
      <c r="D77" s="10" t="s">
        <v>49</v>
      </c>
      <c r="E77" s="11">
        <v>1500000</v>
      </c>
      <c r="F77" s="12">
        <v>1561.893</v>
      </c>
      <c r="G77" s="13">
        <v>1.4631994000000001E-2</v>
      </c>
      <c r="H77" s="50">
        <v>4.8345000000000002</v>
      </c>
    </row>
    <row r="78" spans="1:8" ht="25.5" x14ac:dyDescent="0.2">
      <c r="A78" s="9">
        <v>4</v>
      </c>
      <c r="B78" s="10" t="s">
        <v>191</v>
      </c>
      <c r="C78" s="10" t="s">
        <v>192</v>
      </c>
      <c r="D78" s="10" t="s">
        <v>49</v>
      </c>
      <c r="E78" s="11">
        <v>1000000</v>
      </c>
      <c r="F78" s="12">
        <v>1042.8140000000001</v>
      </c>
      <c r="G78" s="13">
        <v>9.7692019999999994E-3</v>
      </c>
      <c r="H78" s="50">
        <v>4.9631999999999996</v>
      </c>
    </row>
    <row r="79" spans="1:8" ht="25.5" x14ac:dyDescent="0.2">
      <c r="A79" s="9">
        <v>5</v>
      </c>
      <c r="B79" s="10" t="s">
        <v>193</v>
      </c>
      <c r="C79" s="10" t="s">
        <v>414</v>
      </c>
      <c r="D79" s="10" t="s">
        <v>49</v>
      </c>
      <c r="E79" s="11">
        <v>1000000</v>
      </c>
      <c r="F79" s="12">
        <v>1006.8339999999999</v>
      </c>
      <c r="G79" s="13">
        <v>9.4321370000000002E-3</v>
      </c>
      <c r="H79" s="50">
        <v>4.8883000000000001</v>
      </c>
    </row>
    <row r="80" spans="1:8" ht="25.5" x14ac:dyDescent="0.2">
      <c r="A80" s="9">
        <v>6</v>
      </c>
      <c r="B80" s="10" t="s">
        <v>194</v>
      </c>
      <c r="C80" s="10" t="s">
        <v>195</v>
      </c>
      <c r="D80" s="10" t="s">
        <v>49</v>
      </c>
      <c r="E80" s="11">
        <v>500000</v>
      </c>
      <c r="F80" s="12">
        <v>534.5095</v>
      </c>
      <c r="G80" s="13">
        <v>5.0073469999999997E-3</v>
      </c>
      <c r="H80" s="50">
        <v>5.0986000000000002</v>
      </c>
    </row>
    <row r="81" spans="1:8" x14ac:dyDescent="0.2">
      <c r="A81" s="1"/>
      <c r="B81" s="1"/>
      <c r="C81" s="2" t="s">
        <v>10</v>
      </c>
      <c r="D81" s="1"/>
      <c r="E81" s="1" t="s">
        <v>11</v>
      </c>
      <c r="F81" s="7">
        <v>12072.6505</v>
      </c>
      <c r="G81" s="8">
        <v>0.113097982</v>
      </c>
      <c r="H81" s="50"/>
    </row>
    <row r="82" spans="1:8" x14ac:dyDescent="0.2">
      <c r="A82" s="1"/>
      <c r="B82" s="1"/>
      <c r="C82" s="5"/>
      <c r="D82" s="1"/>
      <c r="E82" s="1"/>
      <c r="F82" s="6"/>
      <c r="G82" s="6"/>
      <c r="H82" s="50"/>
    </row>
    <row r="83" spans="1:8" x14ac:dyDescent="0.2">
      <c r="A83" s="1"/>
      <c r="B83" s="1"/>
      <c r="C83" s="2" t="s">
        <v>55</v>
      </c>
      <c r="D83" s="1"/>
      <c r="E83" s="1"/>
      <c r="F83" s="6"/>
      <c r="G83" s="6"/>
      <c r="H83" s="50"/>
    </row>
    <row r="84" spans="1:8" x14ac:dyDescent="0.2">
      <c r="A84" s="1"/>
      <c r="B84" s="1"/>
      <c r="C84" s="2" t="s">
        <v>10</v>
      </c>
      <c r="D84" s="1"/>
      <c r="E84" s="1" t="s">
        <v>11</v>
      </c>
      <c r="F84" s="3">
        <v>0</v>
      </c>
      <c r="G84" s="4">
        <v>0</v>
      </c>
      <c r="H84" s="50"/>
    </row>
    <row r="85" spans="1:8" x14ac:dyDescent="0.2">
      <c r="A85" s="1"/>
      <c r="B85" s="1"/>
      <c r="C85" s="5"/>
      <c r="D85" s="1"/>
      <c r="E85" s="1"/>
      <c r="F85" s="6"/>
      <c r="G85" s="6"/>
      <c r="H85" s="50"/>
    </row>
    <row r="86" spans="1:8" x14ac:dyDescent="0.2">
      <c r="A86" s="1"/>
      <c r="B86" s="1"/>
      <c r="C86" s="2" t="s">
        <v>56</v>
      </c>
      <c r="D86" s="1"/>
      <c r="E86" s="1"/>
      <c r="F86" s="7">
        <v>98205.123460000003</v>
      </c>
      <c r="G86" s="8">
        <v>0.91999692200000005</v>
      </c>
      <c r="H86" s="50"/>
    </row>
    <row r="87" spans="1:8" x14ac:dyDescent="0.2">
      <c r="A87" s="1"/>
      <c r="B87" s="1"/>
      <c r="C87" s="5"/>
      <c r="D87" s="1"/>
      <c r="E87" s="1"/>
      <c r="F87" s="6"/>
      <c r="G87" s="6"/>
      <c r="H87" s="50"/>
    </row>
    <row r="88" spans="1:8" x14ac:dyDescent="0.2">
      <c r="A88" s="1"/>
      <c r="B88" s="1"/>
      <c r="C88" s="2" t="s">
        <v>57</v>
      </c>
      <c r="D88" s="1"/>
      <c r="E88" s="1"/>
      <c r="F88" s="6"/>
      <c r="G88" s="6"/>
      <c r="H88" s="50"/>
    </row>
    <row r="89" spans="1:8" x14ac:dyDescent="0.2">
      <c r="A89" s="1"/>
      <c r="B89" s="1"/>
      <c r="C89" s="2" t="s">
        <v>58</v>
      </c>
      <c r="D89" s="1"/>
      <c r="E89" s="1"/>
      <c r="F89" s="6"/>
      <c r="G89" s="6"/>
      <c r="H89" s="50"/>
    </row>
    <row r="90" spans="1:8" x14ac:dyDescent="0.2">
      <c r="A90" s="1"/>
      <c r="B90" s="1"/>
      <c r="C90" s="2" t="s">
        <v>10</v>
      </c>
      <c r="D90" s="1"/>
      <c r="E90" s="1" t="s">
        <v>11</v>
      </c>
      <c r="F90" s="3">
        <v>0</v>
      </c>
      <c r="G90" s="4">
        <v>0</v>
      </c>
      <c r="H90" s="50"/>
    </row>
    <row r="91" spans="1:8" x14ac:dyDescent="0.2">
      <c r="A91" s="1"/>
      <c r="B91" s="1"/>
      <c r="C91" s="5"/>
      <c r="D91" s="1"/>
      <c r="E91" s="1"/>
      <c r="F91" s="6"/>
      <c r="G91" s="6"/>
      <c r="H91" s="50"/>
    </row>
    <row r="92" spans="1:8" x14ac:dyDescent="0.2">
      <c r="A92" s="1"/>
      <c r="B92" s="1"/>
      <c r="C92" s="2" t="s">
        <v>64</v>
      </c>
      <c r="D92" s="1"/>
      <c r="E92" s="1"/>
      <c r="F92" s="6"/>
      <c r="G92" s="6"/>
      <c r="H92" s="50"/>
    </row>
    <row r="93" spans="1:8" x14ac:dyDescent="0.2">
      <c r="A93" s="1"/>
      <c r="B93" s="1"/>
      <c r="C93" s="2" t="s">
        <v>10</v>
      </c>
      <c r="D93" s="1"/>
      <c r="E93" s="1" t="s">
        <v>11</v>
      </c>
      <c r="F93" s="3">
        <v>0</v>
      </c>
      <c r="G93" s="4">
        <v>0</v>
      </c>
      <c r="H93" s="50"/>
    </row>
    <row r="94" spans="1:8" x14ac:dyDescent="0.2">
      <c r="A94" s="1"/>
      <c r="B94" s="1"/>
      <c r="C94" s="5"/>
      <c r="D94" s="1"/>
      <c r="E94" s="1"/>
      <c r="F94" s="6"/>
      <c r="G94" s="6"/>
      <c r="H94" s="50"/>
    </row>
    <row r="95" spans="1:8" x14ac:dyDescent="0.2">
      <c r="A95" s="1"/>
      <c r="B95" s="1"/>
      <c r="C95" s="2" t="s">
        <v>67</v>
      </c>
      <c r="D95" s="1"/>
      <c r="E95" s="1"/>
      <c r="F95" s="6"/>
      <c r="G95" s="6"/>
      <c r="H95" s="50"/>
    </row>
    <row r="96" spans="1:8" x14ac:dyDescent="0.2">
      <c r="A96" s="1"/>
      <c r="B96" s="1"/>
      <c r="C96" s="2" t="s">
        <v>10</v>
      </c>
      <c r="D96" s="1"/>
      <c r="E96" s="1" t="s">
        <v>11</v>
      </c>
      <c r="F96" s="3">
        <v>0</v>
      </c>
      <c r="G96" s="4">
        <v>0</v>
      </c>
      <c r="H96" s="50"/>
    </row>
    <row r="97" spans="1:8" x14ac:dyDescent="0.2">
      <c r="A97" s="1"/>
      <c r="B97" s="1"/>
      <c r="C97" s="5"/>
      <c r="D97" s="1"/>
      <c r="E97" s="1"/>
      <c r="F97" s="6"/>
      <c r="G97" s="6"/>
      <c r="H97" s="50"/>
    </row>
    <row r="98" spans="1:8" x14ac:dyDescent="0.2">
      <c r="A98" s="1"/>
      <c r="B98" s="1"/>
      <c r="C98" s="2" t="s">
        <v>69</v>
      </c>
      <c r="D98" s="1"/>
      <c r="E98" s="1"/>
      <c r="F98" s="6"/>
      <c r="G98" s="6"/>
      <c r="H98" s="50"/>
    </row>
    <row r="99" spans="1:8" x14ac:dyDescent="0.2">
      <c r="A99" s="9">
        <v>1</v>
      </c>
      <c r="B99" s="10"/>
      <c r="C99" s="10" t="s">
        <v>70</v>
      </c>
      <c r="D99" s="10"/>
      <c r="E99" s="14"/>
      <c r="F99" s="12">
        <v>3157.1601150000001</v>
      </c>
      <c r="G99" s="13">
        <v>2.9576640000000001E-2</v>
      </c>
      <c r="H99" s="50">
        <v>3.4504560529072292</v>
      </c>
    </row>
    <row r="100" spans="1:8" x14ac:dyDescent="0.2">
      <c r="A100" s="9">
        <v>2</v>
      </c>
      <c r="B100" s="10"/>
      <c r="C100" s="10" t="s">
        <v>71</v>
      </c>
      <c r="D100" s="10"/>
      <c r="E100" s="14"/>
      <c r="F100" s="12">
        <v>1703.9427593</v>
      </c>
      <c r="G100" s="13">
        <v>1.5962732E-2</v>
      </c>
      <c r="H100" s="50">
        <v>3.5655822479098256</v>
      </c>
    </row>
    <row r="101" spans="1:8" x14ac:dyDescent="0.2">
      <c r="A101" s="1"/>
      <c r="B101" s="1"/>
      <c r="C101" s="2" t="s">
        <v>10</v>
      </c>
      <c r="D101" s="1"/>
      <c r="E101" s="1" t="s">
        <v>11</v>
      </c>
      <c r="F101" s="7">
        <v>4861.1028742999997</v>
      </c>
      <c r="G101" s="8">
        <v>4.5539372000000002E-2</v>
      </c>
      <c r="H101" s="50"/>
    </row>
    <row r="102" spans="1:8" x14ac:dyDescent="0.2">
      <c r="A102" s="1"/>
      <c r="B102" s="1"/>
      <c r="C102" s="5"/>
      <c r="D102" s="1"/>
      <c r="E102" s="1"/>
      <c r="F102" s="6"/>
      <c r="G102" s="6"/>
      <c r="H102" s="50"/>
    </row>
    <row r="103" spans="1:8" x14ac:dyDescent="0.2">
      <c r="A103" s="1"/>
      <c r="B103" s="1"/>
      <c r="C103" s="2" t="s">
        <v>72</v>
      </c>
      <c r="D103" s="1"/>
      <c r="E103" s="1"/>
      <c r="F103" s="7">
        <v>4861.1028742999997</v>
      </c>
      <c r="G103" s="8">
        <v>4.5539372000000002E-2</v>
      </c>
      <c r="H103" s="50"/>
    </row>
    <row r="104" spans="1:8" x14ac:dyDescent="0.2">
      <c r="A104" s="1"/>
      <c r="B104" s="1"/>
      <c r="C104" s="6"/>
      <c r="D104" s="1"/>
      <c r="E104" s="1"/>
      <c r="F104" s="1"/>
      <c r="G104" s="1"/>
      <c r="H104" s="50"/>
    </row>
    <row r="105" spans="1:8" x14ac:dyDescent="0.2">
      <c r="A105" s="1"/>
      <c r="B105" s="1"/>
      <c r="C105" s="2" t="s">
        <v>73</v>
      </c>
      <c r="D105" s="1"/>
      <c r="E105" s="1"/>
      <c r="F105" s="1"/>
      <c r="G105" s="1"/>
      <c r="H105" s="50"/>
    </row>
    <row r="106" spans="1:8" x14ac:dyDescent="0.2">
      <c r="A106" s="1"/>
      <c r="B106" s="1"/>
      <c r="C106" s="2" t="s">
        <v>74</v>
      </c>
      <c r="D106" s="1"/>
      <c r="E106" s="1"/>
      <c r="F106" s="1"/>
      <c r="G106" s="1"/>
      <c r="H106" s="50"/>
    </row>
    <row r="107" spans="1:8" x14ac:dyDescent="0.2">
      <c r="A107" s="1"/>
      <c r="B107" s="1"/>
      <c r="C107" s="2" t="s">
        <v>10</v>
      </c>
      <c r="D107" s="1"/>
      <c r="E107" s="1" t="s">
        <v>11</v>
      </c>
      <c r="F107" s="3">
        <v>0</v>
      </c>
      <c r="G107" s="4">
        <v>0</v>
      </c>
      <c r="H107" s="50"/>
    </row>
    <row r="108" spans="1:8" x14ac:dyDescent="0.2">
      <c r="A108" s="1"/>
      <c r="B108" s="1"/>
      <c r="C108" s="5"/>
      <c r="D108" s="1"/>
      <c r="E108" s="1"/>
      <c r="F108" s="6"/>
      <c r="G108" s="6"/>
      <c r="H108" s="50"/>
    </row>
    <row r="109" spans="1:8" x14ac:dyDescent="0.2">
      <c r="A109" s="1"/>
      <c r="B109" s="1"/>
      <c r="C109" s="2" t="s">
        <v>75</v>
      </c>
      <c r="D109" s="1"/>
      <c r="E109" s="1"/>
      <c r="F109" s="1"/>
      <c r="G109" s="1"/>
      <c r="H109" s="50"/>
    </row>
    <row r="110" spans="1:8" x14ac:dyDescent="0.2">
      <c r="A110" s="1"/>
      <c r="B110" s="1"/>
      <c r="C110" s="2" t="s">
        <v>76</v>
      </c>
      <c r="D110" s="1"/>
      <c r="E110" s="1"/>
      <c r="F110" s="1"/>
      <c r="G110" s="1"/>
      <c r="H110" s="50"/>
    </row>
    <row r="111" spans="1:8" x14ac:dyDescent="0.2">
      <c r="A111" s="1"/>
      <c r="B111" s="1"/>
      <c r="C111" s="2" t="s">
        <v>10</v>
      </c>
      <c r="D111" s="1"/>
      <c r="E111" s="1" t="s">
        <v>11</v>
      </c>
      <c r="F111" s="3">
        <v>0</v>
      </c>
      <c r="G111" s="4">
        <v>0</v>
      </c>
      <c r="H111" s="50"/>
    </row>
    <row r="112" spans="1:8" x14ac:dyDescent="0.2">
      <c r="A112" s="1"/>
      <c r="B112" s="1"/>
      <c r="C112" s="5"/>
      <c r="D112" s="1"/>
      <c r="E112" s="1"/>
      <c r="F112" s="6"/>
      <c r="G112" s="6"/>
      <c r="H112" s="50"/>
    </row>
    <row r="113" spans="1:8" ht="25.5" x14ac:dyDescent="0.2">
      <c r="A113" s="1"/>
      <c r="B113" s="1"/>
      <c r="C113" s="2" t="s">
        <v>77</v>
      </c>
      <c r="D113" s="1"/>
      <c r="E113" s="1"/>
      <c r="F113" s="6"/>
      <c r="G113" s="6"/>
      <c r="H113" s="50"/>
    </row>
    <row r="114" spans="1:8" x14ac:dyDescent="0.2">
      <c r="A114" s="1"/>
      <c r="B114" s="1"/>
      <c r="C114" s="2" t="s">
        <v>10</v>
      </c>
      <c r="D114" s="1"/>
      <c r="E114" s="1" t="s">
        <v>11</v>
      </c>
      <c r="F114" s="3">
        <v>0</v>
      </c>
      <c r="G114" s="4">
        <v>0</v>
      </c>
      <c r="H114" s="50"/>
    </row>
    <row r="115" spans="1:8" x14ac:dyDescent="0.2">
      <c r="A115" s="1"/>
      <c r="B115" s="1"/>
      <c r="C115" s="5"/>
      <c r="D115" s="1"/>
      <c r="E115" s="1"/>
      <c r="F115" s="6"/>
      <c r="G115" s="6"/>
      <c r="H115" s="50"/>
    </row>
    <row r="116" spans="1:8" x14ac:dyDescent="0.2">
      <c r="A116" s="1"/>
      <c r="B116" s="10"/>
      <c r="C116" s="10"/>
      <c r="D116" s="2"/>
      <c r="E116" s="1"/>
      <c r="F116" s="10"/>
      <c r="G116" s="14"/>
      <c r="H116" s="50"/>
    </row>
    <row r="117" spans="1:8" x14ac:dyDescent="0.2">
      <c r="A117" s="14"/>
      <c r="B117" s="10"/>
      <c r="C117" s="10" t="s">
        <v>78</v>
      </c>
      <c r="D117" s="10"/>
      <c r="E117" s="14"/>
      <c r="F117" s="12">
        <v>3678.8305431600002</v>
      </c>
      <c r="G117" s="13">
        <v>3.4463709000000002E-2</v>
      </c>
      <c r="H117" s="50"/>
    </row>
    <row r="118" spans="1:8" x14ac:dyDescent="0.2">
      <c r="A118" s="5"/>
      <c r="B118" s="5"/>
      <c r="C118" s="2" t="s">
        <v>79</v>
      </c>
      <c r="D118" s="6"/>
      <c r="E118" s="6"/>
      <c r="F118" s="7">
        <v>106745.05687746</v>
      </c>
      <c r="G118" s="8">
        <v>1.000000003</v>
      </c>
      <c r="H118" s="50"/>
    </row>
    <row r="119" spans="1:8" ht="14.1" customHeight="1" x14ac:dyDescent="0.2">
      <c r="A119" s="15"/>
      <c r="B119" s="15"/>
      <c r="C119" s="15"/>
      <c r="D119" s="16"/>
      <c r="E119" s="16"/>
      <c r="F119" s="16"/>
      <c r="G119" s="16"/>
    </row>
    <row r="120" spans="1:8" ht="17.100000000000001" customHeight="1" x14ac:dyDescent="0.2">
      <c r="A120" s="17"/>
      <c r="B120" s="154" t="s">
        <v>80</v>
      </c>
      <c r="C120" s="154"/>
      <c r="D120" s="154"/>
      <c r="E120" s="154"/>
      <c r="F120" s="154"/>
      <c r="G120" s="19"/>
    </row>
    <row r="121" spans="1:8" ht="17.100000000000001" customHeight="1" x14ac:dyDescent="0.2">
      <c r="A121" s="17"/>
      <c r="B121" s="154" t="s">
        <v>81</v>
      </c>
      <c r="C121" s="154"/>
      <c r="D121" s="154"/>
      <c r="E121" s="154"/>
      <c r="F121" s="154"/>
      <c r="G121" s="19"/>
    </row>
    <row r="122" spans="1:8" ht="14.1" customHeight="1" x14ac:dyDescent="0.2">
      <c r="A122" s="17"/>
      <c r="B122" s="154" t="s">
        <v>11</v>
      </c>
      <c r="C122" s="154"/>
      <c r="D122" s="154"/>
      <c r="E122" s="154"/>
      <c r="F122" s="154"/>
      <c r="G122" s="19"/>
    </row>
    <row r="123" spans="1:8" ht="14.1" customHeight="1" x14ac:dyDescent="0.2">
      <c r="A123" s="17"/>
      <c r="B123" s="17"/>
      <c r="C123" s="17"/>
      <c r="D123" s="19"/>
      <c r="E123" s="19"/>
      <c r="F123" s="19"/>
      <c r="G123" s="19"/>
    </row>
    <row r="124" spans="1:8" ht="14.1" customHeight="1" x14ac:dyDescent="0.2">
      <c r="A124" s="17"/>
      <c r="B124" s="155" t="s">
        <v>82</v>
      </c>
      <c r="C124" s="156"/>
      <c r="D124" s="157"/>
      <c r="E124" s="20"/>
      <c r="F124" s="19"/>
      <c r="G124" s="19"/>
    </row>
    <row r="125" spans="1:8" ht="29.1" customHeight="1" x14ac:dyDescent="0.2">
      <c r="A125" s="17"/>
      <c r="B125" s="149" t="s">
        <v>83</v>
      </c>
      <c r="C125" s="150"/>
      <c r="D125" s="2" t="s">
        <v>84</v>
      </c>
      <c r="E125" s="20"/>
      <c r="F125" s="19"/>
      <c r="G125" s="19"/>
    </row>
    <row r="126" spans="1:8" ht="17.100000000000001" customHeight="1" x14ac:dyDescent="0.2">
      <c r="A126" s="17"/>
      <c r="B126" s="149" t="s">
        <v>85</v>
      </c>
      <c r="C126" s="150"/>
      <c r="D126" s="2" t="s">
        <v>84</v>
      </c>
      <c r="E126" s="20"/>
      <c r="F126" s="19"/>
      <c r="G126" s="19"/>
    </row>
    <row r="127" spans="1:8" ht="17.100000000000001" customHeight="1" x14ac:dyDescent="0.2">
      <c r="A127" s="17"/>
      <c r="B127" s="149" t="s">
        <v>86</v>
      </c>
      <c r="C127" s="150"/>
      <c r="D127" s="6" t="s">
        <v>11</v>
      </c>
      <c r="E127" s="20"/>
      <c r="F127" s="19"/>
      <c r="G127" s="19"/>
    </row>
    <row r="128" spans="1:8" ht="24" customHeight="1" x14ac:dyDescent="0.2">
      <c r="A128" s="21"/>
      <c r="B128" s="22" t="s">
        <v>11</v>
      </c>
      <c r="C128" s="22" t="s">
        <v>87</v>
      </c>
      <c r="D128" s="22" t="s">
        <v>88</v>
      </c>
      <c r="E128" s="21"/>
      <c r="F128" s="21"/>
      <c r="G128" s="21"/>
    </row>
    <row r="129" spans="1:7" ht="18" customHeight="1" x14ac:dyDescent="0.2">
      <c r="A129" s="21"/>
      <c r="B129" s="23" t="s">
        <v>89</v>
      </c>
      <c r="C129" s="22" t="s">
        <v>90</v>
      </c>
      <c r="D129" s="22" t="s">
        <v>91</v>
      </c>
      <c r="E129" s="21"/>
      <c r="F129" s="21"/>
      <c r="G129" s="21"/>
    </row>
    <row r="130" spans="1:7" x14ac:dyDescent="0.2">
      <c r="A130" s="21"/>
      <c r="B130" s="10" t="s">
        <v>92</v>
      </c>
      <c r="C130" s="24">
        <v>33.073</v>
      </c>
      <c r="D130" s="24">
        <v>33.116199999999999</v>
      </c>
      <c r="E130" s="21"/>
      <c r="F130" s="18"/>
      <c r="G130" s="25"/>
    </row>
    <row r="131" spans="1:7" x14ac:dyDescent="0.2">
      <c r="A131" s="21"/>
      <c r="B131" s="10" t="s">
        <v>458</v>
      </c>
      <c r="C131" s="24">
        <v>15.300700000000001</v>
      </c>
      <c r="D131" s="24">
        <v>15.300700000000001</v>
      </c>
      <c r="E131" s="21"/>
      <c r="F131" s="18"/>
      <c r="G131" s="25"/>
    </row>
    <row r="132" spans="1:7" ht="25.5" x14ac:dyDescent="0.2">
      <c r="A132" s="21"/>
      <c r="B132" s="10" t="s">
        <v>459</v>
      </c>
      <c r="C132" s="24">
        <v>17.0017</v>
      </c>
      <c r="D132" s="24">
        <v>16.948799999999999</v>
      </c>
      <c r="E132" s="21"/>
      <c r="F132" s="18"/>
      <c r="G132" s="25"/>
    </row>
    <row r="133" spans="1:7" x14ac:dyDescent="0.2">
      <c r="A133" s="21"/>
      <c r="B133" s="10" t="s">
        <v>461</v>
      </c>
      <c r="C133" s="24">
        <v>15.5495</v>
      </c>
      <c r="D133" s="24">
        <v>15.569800000000001</v>
      </c>
      <c r="E133" s="21"/>
      <c r="F133" s="18"/>
      <c r="G133" s="25"/>
    </row>
    <row r="134" spans="1:7" x14ac:dyDescent="0.2">
      <c r="A134" s="21"/>
      <c r="B134" s="10" t="s">
        <v>93</v>
      </c>
      <c r="C134" s="24">
        <v>32.247900000000001</v>
      </c>
      <c r="D134" s="24">
        <v>32.283000000000001</v>
      </c>
      <c r="E134" s="21"/>
      <c r="F134" s="18"/>
      <c r="G134" s="25"/>
    </row>
    <row r="135" spans="1:7" ht="25.5" x14ac:dyDescent="0.2">
      <c r="A135" s="21"/>
      <c r="B135" s="10" t="s">
        <v>464</v>
      </c>
      <c r="C135" s="24">
        <v>14.5943</v>
      </c>
      <c r="D135" s="24">
        <v>14.590299999999999</v>
      </c>
      <c r="E135" s="21"/>
      <c r="F135" s="18"/>
      <c r="G135" s="25"/>
    </row>
    <row r="136" spans="1:7" ht="25.5" x14ac:dyDescent="0.2">
      <c r="A136" s="21"/>
      <c r="B136" s="10" t="s">
        <v>465</v>
      </c>
      <c r="C136" s="24">
        <v>16.6326</v>
      </c>
      <c r="D136" s="24">
        <v>16.575600000000001</v>
      </c>
      <c r="E136" s="21"/>
      <c r="F136" s="18"/>
      <c r="G136" s="25"/>
    </row>
    <row r="137" spans="1:7" ht="25.5" x14ac:dyDescent="0.2">
      <c r="A137" s="21"/>
      <c r="B137" s="10" t="s">
        <v>466</v>
      </c>
      <c r="C137" s="24">
        <v>15.462400000000001</v>
      </c>
      <c r="D137" s="24">
        <v>15.479200000000001</v>
      </c>
      <c r="E137" s="21"/>
      <c r="F137" s="18"/>
      <c r="G137" s="25"/>
    </row>
    <row r="138" spans="1:7" x14ac:dyDescent="0.2">
      <c r="A138" s="21"/>
      <c r="B138" s="10" t="s">
        <v>467</v>
      </c>
      <c r="C138" s="24">
        <v>15.2148</v>
      </c>
      <c r="D138" s="24">
        <v>15.231400000000001</v>
      </c>
      <c r="E138" s="21"/>
      <c r="F138" s="18"/>
      <c r="G138" s="25"/>
    </row>
    <row r="139" spans="1:7" ht="14.1" customHeight="1" x14ac:dyDescent="0.2">
      <c r="A139" s="21"/>
      <c r="B139" s="21"/>
      <c r="C139" s="21"/>
      <c r="D139" s="21"/>
      <c r="E139" s="21"/>
      <c r="F139" s="21"/>
      <c r="G139" s="21"/>
    </row>
    <row r="140" spans="1:7" ht="17.100000000000001" customHeight="1" x14ac:dyDescent="0.2">
      <c r="A140" s="21"/>
      <c r="B140" s="149" t="s">
        <v>468</v>
      </c>
      <c r="C140" s="150"/>
      <c r="D140" s="2" t="s">
        <v>11</v>
      </c>
      <c r="E140" s="21"/>
      <c r="F140" s="21"/>
      <c r="G140" s="21"/>
    </row>
    <row r="141" spans="1:7" ht="18" customHeight="1" x14ac:dyDescent="0.2">
      <c r="A141" s="21"/>
      <c r="B141" s="26" t="s">
        <v>89</v>
      </c>
      <c r="C141" s="27" t="s">
        <v>95</v>
      </c>
      <c r="D141" s="27" t="s">
        <v>96</v>
      </c>
      <c r="E141" s="21"/>
      <c r="F141" s="21"/>
      <c r="G141" s="21"/>
    </row>
    <row r="142" spans="1:7" x14ac:dyDescent="0.2">
      <c r="A142" s="21"/>
      <c r="B142" s="10" t="s">
        <v>458</v>
      </c>
      <c r="C142" s="28">
        <v>0.02</v>
      </c>
      <c r="D142" s="14" t="s">
        <v>97</v>
      </c>
      <c r="E142" s="21"/>
      <c r="F142" s="18"/>
      <c r="G142" s="25"/>
    </row>
    <row r="143" spans="1:7" ht="25.5" x14ac:dyDescent="0.2">
      <c r="A143" s="21"/>
      <c r="B143" s="10" t="s">
        <v>459</v>
      </c>
      <c r="C143" s="28">
        <v>0</v>
      </c>
      <c r="D143" s="28">
        <v>7.4999999999999997E-2</v>
      </c>
      <c r="E143" s="21"/>
      <c r="F143" s="18"/>
      <c r="G143" s="25"/>
    </row>
    <row r="144" spans="1:7" ht="25.5" x14ac:dyDescent="0.2">
      <c r="A144" s="21"/>
      <c r="B144" s="10" t="s">
        <v>464</v>
      </c>
      <c r="C144" s="28">
        <v>0.02</v>
      </c>
      <c r="D144" s="14" t="s">
        <v>97</v>
      </c>
      <c r="E144" s="21"/>
      <c r="F144" s="18"/>
      <c r="G144" s="25"/>
    </row>
    <row r="145" spans="1:15" ht="25.5" x14ac:dyDescent="0.2">
      <c r="A145" s="21"/>
      <c r="B145" s="10" t="s">
        <v>465</v>
      </c>
      <c r="C145" s="28">
        <v>7.4999999999999997E-2</v>
      </c>
      <c r="D145" s="28">
        <v>7.4999999999999997E-2</v>
      </c>
      <c r="E145" s="21"/>
      <c r="F145" s="18"/>
      <c r="G145" s="25"/>
    </row>
    <row r="146" spans="1:15" ht="14.1" customHeight="1" x14ac:dyDescent="0.2">
      <c r="A146" s="21"/>
      <c r="B146" s="29"/>
      <c r="C146" s="29"/>
      <c r="D146" s="30"/>
      <c r="E146" s="21"/>
      <c r="F146" s="18"/>
      <c r="G146" s="25"/>
    </row>
    <row r="147" spans="1:15" x14ac:dyDescent="0.2">
      <c r="A147" s="55"/>
      <c r="B147" s="153" t="s">
        <v>479</v>
      </c>
      <c r="C147" s="153"/>
      <c r="D147" s="153"/>
      <c r="E147" s="153"/>
      <c r="F147" s="153"/>
      <c r="G147" s="55"/>
    </row>
    <row r="148" spans="1:15" ht="14.1" customHeight="1" x14ac:dyDescent="0.2">
      <c r="A148" s="21"/>
      <c r="B148" s="18"/>
      <c r="C148" s="18"/>
      <c r="D148" s="21"/>
      <c r="E148" s="21"/>
      <c r="F148" s="21"/>
      <c r="G148" s="21"/>
    </row>
    <row r="149" spans="1:15" ht="29.1" customHeight="1" x14ac:dyDescent="0.2">
      <c r="A149" s="21"/>
      <c r="B149" s="149" t="s">
        <v>98</v>
      </c>
      <c r="C149" s="150"/>
      <c r="D149" s="2" t="s">
        <v>84</v>
      </c>
      <c r="E149" s="31"/>
      <c r="F149" s="21"/>
      <c r="G149" s="21"/>
    </row>
    <row r="150" spans="1:15" ht="29.1" customHeight="1" x14ac:dyDescent="0.2">
      <c r="A150" s="21"/>
      <c r="B150" s="149" t="s">
        <v>99</v>
      </c>
      <c r="C150" s="150"/>
      <c r="D150" s="2" t="s">
        <v>84</v>
      </c>
      <c r="E150" s="31"/>
      <c r="F150" s="21"/>
      <c r="G150" s="21"/>
    </row>
    <row r="151" spans="1:15" ht="17.100000000000001" customHeight="1" x14ac:dyDescent="0.2">
      <c r="A151" s="21"/>
      <c r="B151" s="149" t="s">
        <v>100</v>
      </c>
      <c r="C151" s="150"/>
      <c r="D151" s="32">
        <v>1.3538630684869211</v>
      </c>
      <c r="E151" s="31"/>
      <c r="F151" s="21"/>
      <c r="G151" s="21"/>
      <c r="I151"/>
      <c r="J151"/>
      <c r="K151"/>
      <c r="L151"/>
      <c r="M151"/>
      <c r="N151"/>
      <c r="O151"/>
    </row>
    <row r="152" spans="1:15" ht="17.100000000000001" customHeight="1" x14ac:dyDescent="0.2">
      <c r="A152" s="21"/>
      <c r="B152" s="149" t="s">
        <v>101</v>
      </c>
      <c r="C152" s="150"/>
      <c r="D152" s="32">
        <v>1.2866653451866961</v>
      </c>
      <c r="E152" s="31"/>
      <c r="F152" s="21"/>
      <c r="G152" s="21"/>
    </row>
    <row r="153" spans="1:15" ht="17.100000000000001" customHeight="1" x14ac:dyDescent="0.2">
      <c r="A153" s="21"/>
      <c r="B153" s="149" t="s">
        <v>102</v>
      </c>
      <c r="C153" s="150"/>
      <c r="D153" s="2" t="s">
        <v>84</v>
      </c>
      <c r="E153" s="31"/>
      <c r="F153" s="21"/>
      <c r="G153" s="21"/>
    </row>
    <row r="154" spans="1:15" ht="14.1" customHeight="1" x14ac:dyDescent="0.2">
      <c r="A154" s="21"/>
      <c r="B154" s="151"/>
      <c r="C154" s="151"/>
      <c r="D154" s="30"/>
      <c r="E154" s="21"/>
      <c r="F154" s="18"/>
      <c r="G154" s="25"/>
    </row>
  </sheetData>
  <mergeCells count="19">
    <mergeCell ref="B154:C154"/>
    <mergeCell ref="A1:H1"/>
    <mergeCell ref="A2:H2"/>
    <mergeCell ref="A3:H3"/>
    <mergeCell ref="B147:F147"/>
    <mergeCell ref="B149:C149"/>
    <mergeCell ref="B120:F120"/>
    <mergeCell ref="B121:F121"/>
    <mergeCell ref="B122:F122"/>
    <mergeCell ref="B124:D124"/>
    <mergeCell ref="B125:C125"/>
    <mergeCell ref="B126:C126"/>
    <mergeCell ref="B127:C127"/>
    <mergeCell ref="B140:C140"/>
    <mergeCell ref="J2:N2"/>
    <mergeCell ref="B150:C150"/>
    <mergeCell ref="B151:C151"/>
    <mergeCell ref="B152:C152"/>
    <mergeCell ref="B153:C153"/>
  </mergeCells>
  <pageMargins left="5.000000074505806E-2" right="5.000000074505806E-2" top="0.30000001192092896" bottom="0.20000000298023224" header="0" footer="0"/>
  <pageSetup paperSize="9"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3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15" width="9.140625" style="57"/>
  </cols>
  <sheetData>
    <row r="1" spans="1:15" ht="18" customHeight="1" x14ac:dyDescent="0.2">
      <c r="A1" s="152" t="s">
        <v>0</v>
      </c>
      <c r="B1" s="152"/>
      <c r="C1" s="152"/>
      <c r="D1" s="152"/>
      <c r="E1" s="152"/>
      <c r="F1" s="152"/>
      <c r="G1" s="152"/>
      <c r="H1" s="152"/>
    </row>
    <row r="2" spans="1:15" ht="17.100000000000001" customHeight="1" x14ac:dyDescent="0.2">
      <c r="A2" s="152" t="s">
        <v>196</v>
      </c>
      <c r="B2" s="152"/>
      <c r="C2" s="152"/>
      <c r="D2" s="152"/>
      <c r="E2" s="152"/>
      <c r="F2" s="152"/>
      <c r="G2" s="152"/>
      <c r="H2" s="152"/>
      <c r="J2" s="148" t="s">
        <v>631</v>
      </c>
      <c r="K2" s="148"/>
      <c r="L2" s="148"/>
      <c r="M2" s="148"/>
      <c r="N2" s="148"/>
    </row>
    <row r="3" spans="1:15" ht="21" customHeight="1" x14ac:dyDescent="0.2">
      <c r="A3" s="152" t="s">
        <v>480</v>
      </c>
      <c r="B3" s="152"/>
      <c r="C3" s="152"/>
      <c r="D3" s="152"/>
      <c r="E3" s="152"/>
      <c r="F3" s="152"/>
      <c r="G3" s="152"/>
      <c r="H3" s="152"/>
    </row>
    <row r="4" spans="1:15" s="59" customFormat="1" ht="30" x14ac:dyDescent="0.2">
      <c r="A4" s="58" t="s">
        <v>1</v>
      </c>
      <c r="B4" s="58" t="s">
        <v>2</v>
      </c>
      <c r="C4" s="58" t="s">
        <v>3</v>
      </c>
      <c r="D4" s="58" t="s">
        <v>4</v>
      </c>
      <c r="E4" s="58" t="s">
        <v>5</v>
      </c>
      <c r="F4" s="58" t="s">
        <v>6</v>
      </c>
      <c r="G4" s="58" t="s">
        <v>7</v>
      </c>
      <c r="H4" s="49" t="s">
        <v>452</v>
      </c>
      <c r="I4" s="135"/>
      <c r="J4" s="135"/>
      <c r="K4" s="135"/>
      <c r="L4" s="135"/>
      <c r="M4" s="135"/>
      <c r="N4" s="135"/>
      <c r="O4" s="135"/>
    </row>
    <row r="5" spans="1:15" x14ac:dyDescent="0.2">
      <c r="A5" s="1"/>
      <c r="B5" s="1"/>
      <c r="C5" s="2" t="s">
        <v>8</v>
      </c>
      <c r="D5" s="1"/>
      <c r="E5" s="1"/>
      <c r="F5" s="1"/>
      <c r="G5" s="1"/>
      <c r="H5" s="50"/>
    </row>
    <row r="6" spans="1:15" ht="25.5" x14ac:dyDescent="0.2">
      <c r="A6" s="1"/>
      <c r="B6" s="1"/>
      <c r="C6" s="2" t="s">
        <v>9</v>
      </c>
      <c r="D6" s="1"/>
      <c r="E6" s="1"/>
      <c r="F6" s="1"/>
      <c r="G6" s="1"/>
      <c r="H6" s="50"/>
    </row>
    <row r="7" spans="1:15" x14ac:dyDescent="0.2">
      <c r="A7" s="1"/>
      <c r="B7" s="1"/>
      <c r="C7" s="2" t="s">
        <v>10</v>
      </c>
      <c r="D7" s="1"/>
      <c r="E7" s="1" t="s">
        <v>11</v>
      </c>
      <c r="F7" s="3">
        <v>0</v>
      </c>
      <c r="G7" s="4">
        <v>0</v>
      </c>
      <c r="H7" s="50"/>
    </row>
    <row r="8" spans="1:15" x14ac:dyDescent="0.2">
      <c r="A8" s="1"/>
      <c r="B8" s="1"/>
      <c r="C8" s="5"/>
      <c r="D8" s="1"/>
      <c r="E8" s="1"/>
      <c r="F8" s="6"/>
      <c r="G8" s="6"/>
      <c r="H8" s="50"/>
    </row>
    <row r="9" spans="1:15" x14ac:dyDescent="0.2">
      <c r="A9" s="1"/>
      <c r="B9" s="1"/>
      <c r="C9" s="2" t="s">
        <v>12</v>
      </c>
      <c r="D9" s="1"/>
      <c r="E9" s="1"/>
      <c r="F9" s="1"/>
      <c r="G9" s="1"/>
      <c r="H9" s="50"/>
    </row>
    <row r="10" spans="1:15" x14ac:dyDescent="0.2">
      <c r="A10" s="1"/>
      <c r="B10" s="1"/>
      <c r="C10" s="2" t="s">
        <v>10</v>
      </c>
      <c r="D10" s="1"/>
      <c r="E10" s="1" t="s">
        <v>11</v>
      </c>
      <c r="F10" s="3">
        <v>0</v>
      </c>
      <c r="G10" s="4">
        <v>0</v>
      </c>
      <c r="H10" s="50"/>
    </row>
    <row r="11" spans="1:15" x14ac:dyDescent="0.2">
      <c r="A11" s="1"/>
      <c r="B11" s="1"/>
      <c r="C11" s="5"/>
      <c r="D11" s="1"/>
      <c r="E11" s="1"/>
      <c r="F11" s="6"/>
      <c r="G11" s="6"/>
      <c r="H11" s="50"/>
    </row>
    <row r="12" spans="1:15" x14ac:dyDescent="0.2">
      <c r="A12" s="1"/>
      <c r="B12" s="1"/>
      <c r="C12" s="2" t="s">
        <v>13</v>
      </c>
      <c r="D12" s="1"/>
      <c r="E12" s="1"/>
      <c r="F12" s="1"/>
      <c r="G12" s="1"/>
      <c r="H12" s="50"/>
    </row>
    <row r="13" spans="1:15" x14ac:dyDescent="0.2">
      <c r="A13" s="1"/>
      <c r="B13" s="1"/>
      <c r="C13" s="2" t="s">
        <v>10</v>
      </c>
      <c r="D13" s="1"/>
      <c r="E13" s="1" t="s">
        <v>11</v>
      </c>
      <c r="F13" s="3">
        <v>0</v>
      </c>
      <c r="G13" s="4">
        <v>0</v>
      </c>
      <c r="H13" s="50"/>
    </row>
    <row r="14" spans="1:15" x14ac:dyDescent="0.2">
      <c r="A14" s="1"/>
      <c r="B14" s="1"/>
      <c r="C14" s="5"/>
      <c r="D14" s="1"/>
      <c r="E14" s="1"/>
      <c r="F14" s="6"/>
      <c r="G14" s="6"/>
      <c r="H14" s="50"/>
    </row>
    <row r="15" spans="1:15" x14ac:dyDescent="0.2">
      <c r="A15" s="1"/>
      <c r="B15" s="1"/>
      <c r="C15" s="2" t="s">
        <v>14</v>
      </c>
      <c r="D15" s="1"/>
      <c r="E15" s="1"/>
      <c r="F15" s="1"/>
      <c r="G15" s="1"/>
      <c r="H15" s="50"/>
    </row>
    <row r="16" spans="1:15" x14ac:dyDescent="0.2">
      <c r="A16" s="1"/>
      <c r="B16" s="1"/>
      <c r="C16" s="2" t="s">
        <v>10</v>
      </c>
      <c r="D16" s="1"/>
      <c r="E16" s="1" t="s">
        <v>11</v>
      </c>
      <c r="F16" s="3">
        <v>0</v>
      </c>
      <c r="G16" s="4">
        <v>0</v>
      </c>
      <c r="H16" s="50"/>
    </row>
    <row r="17" spans="1:15" ht="15" x14ac:dyDescent="0.25">
      <c r="A17" s="1"/>
      <c r="B17" s="1"/>
      <c r="C17" s="5"/>
      <c r="D17" s="1"/>
      <c r="E17" s="1"/>
      <c r="F17" s="6"/>
      <c r="G17" s="6"/>
      <c r="H17" s="50"/>
      <c r="J17" s="137" t="s">
        <v>635</v>
      </c>
      <c r="K17" s="136"/>
      <c r="L17" s="136"/>
      <c r="M17" s="136"/>
      <c r="N17" s="138"/>
      <c r="O17" s="138"/>
    </row>
    <row r="18" spans="1:15" x14ac:dyDescent="0.2">
      <c r="A18" s="1"/>
      <c r="B18" s="1"/>
      <c r="C18" s="2" t="s">
        <v>15</v>
      </c>
      <c r="D18" s="1"/>
      <c r="E18" s="1"/>
      <c r="F18" s="6"/>
      <c r="G18" s="6"/>
      <c r="H18" s="50"/>
    </row>
    <row r="19" spans="1:15" x14ac:dyDescent="0.2">
      <c r="A19" s="1"/>
      <c r="B19" s="1"/>
      <c r="C19" s="2" t="s">
        <v>10</v>
      </c>
      <c r="D19" s="1"/>
      <c r="E19" s="1" t="s">
        <v>11</v>
      </c>
      <c r="F19" s="3">
        <v>0</v>
      </c>
      <c r="G19" s="4">
        <v>0</v>
      </c>
      <c r="H19" s="50"/>
    </row>
    <row r="20" spans="1:15" x14ac:dyDescent="0.2">
      <c r="A20" s="1"/>
      <c r="B20" s="1"/>
      <c r="C20" s="5"/>
      <c r="D20" s="1"/>
      <c r="E20" s="1"/>
      <c r="F20" s="6"/>
      <c r="G20" s="6"/>
      <c r="H20" s="50"/>
    </row>
    <row r="21" spans="1:15" x14ac:dyDescent="0.2">
      <c r="A21" s="1"/>
      <c r="B21" s="1"/>
      <c r="C21" s="2" t="s">
        <v>16</v>
      </c>
      <c r="D21" s="1"/>
      <c r="E21" s="1"/>
      <c r="F21" s="6"/>
      <c r="G21" s="6"/>
      <c r="H21" s="50"/>
    </row>
    <row r="22" spans="1:15" x14ac:dyDescent="0.2">
      <c r="A22" s="1"/>
      <c r="B22" s="1"/>
      <c r="C22" s="2" t="s">
        <v>10</v>
      </c>
      <c r="D22" s="1"/>
      <c r="E22" s="1" t="s">
        <v>11</v>
      </c>
      <c r="F22" s="3">
        <v>0</v>
      </c>
      <c r="G22" s="4">
        <v>0</v>
      </c>
      <c r="H22" s="50"/>
    </row>
    <row r="23" spans="1:15" x14ac:dyDescent="0.2">
      <c r="A23" s="1"/>
      <c r="B23" s="1"/>
      <c r="C23" s="5"/>
      <c r="D23" s="1"/>
      <c r="E23" s="1"/>
      <c r="F23" s="6"/>
      <c r="G23" s="6"/>
      <c r="H23" s="50"/>
    </row>
    <row r="24" spans="1:15" x14ac:dyDescent="0.2">
      <c r="A24" s="1"/>
      <c r="B24" s="1"/>
      <c r="C24" s="2" t="s">
        <v>17</v>
      </c>
      <c r="D24" s="1"/>
      <c r="E24" s="1"/>
      <c r="F24" s="7">
        <v>0</v>
      </c>
      <c r="G24" s="8">
        <v>0</v>
      </c>
      <c r="H24" s="50"/>
    </row>
    <row r="25" spans="1:15" x14ac:dyDescent="0.2">
      <c r="A25" s="1"/>
      <c r="B25" s="1"/>
      <c r="C25" s="5"/>
      <c r="D25" s="1"/>
      <c r="E25" s="1"/>
      <c r="F25" s="6"/>
      <c r="G25" s="6"/>
      <c r="H25" s="50"/>
    </row>
    <row r="26" spans="1:15" x14ac:dyDescent="0.2">
      <c r="A26" s="1"/>
      <c r="B26" s="1"/>
      <c r="C26" s="2" t="s">
        <v>18</v>
      </c>
      <c r="D26" s="1"/>
      <c r="E26" s="1"/>
      <c r="F26" s="6"/>
      <c r="G26" s="6"/>
      <c r="H26" s="50"/>
    </row>
    <row r="27" spans="1:15" ht="25.5" x14ac:dyDescent="0.2">
      <c r="A27" s="1"/>
      <c r="B27" s="1"/>
      <c r="C27" s="2" t="s">
        <v>9</v>
      </c>
      <c r="D27" s="1"/>
      <c r="E27" s="1"/>
      <c r="F27" s="6"/>
      <c r="G27" s="6"/>
      <c r="H27" s="50"/>
    </row>
    <row r="28" spans="1:15" ht="25.5" x14ac:dyDescent="0.2">
      <c r="A28" s="9">
        <v>1</v>
      </c>
      <c r="B28" s="10" t="s">
        <v>106</v>
      </c>
      <c r="C28" s="10" t="s">
        <v>107</v>
      </c>
      <c r="D28" s="10" t="s">
        <v>449</v>
      </c>
      <c r="E28" s="11">
        <v>750</v>
      </c>
      <c r="F28" s="12">
        <v>7607.2875000000004</v>
      </c>
      <c r="G28" s="13">
        <v>7.3821063000000006E-2</v>
      </c>
      <c r="H28" s="50">
        <v>4.9800000000000004</v>
      </c>
    </row>
    <row r="29" spans="1:15" ht="25.5" x14ac:dyDescent="0.2">
      <c r="A29" s="9">
        <v>2</v>
      </c>
      <c r="B29" s="10" t="s">
        <v>197</v>
      </c>
      <c r="C29" s="10" t="s">
        <v>198</v>
      </c>
      <c r="D29" s="10" t="s">
        <v>23</v>
      </c>
      <c r="E29" s="11">
        <v>750</v>
      </c>
      <c r="F29" s="12">
        <v>7411.29</v>
      </c>
      <c r="G29" s="13">
        <v>7.1919104999999997E-2</v>
      </c>
      <c r="H29" s="50">
        <v>5.66</v>
      </c>
    </row>
    <row r="30" spans="1:15" ht="15" x14ac:dyDescent="0.25">
      <c r="A30" s="9">
        <v>3</v>
      </c>
      <c r="B30" s="10" t="s">
        <v>199</v>
      </c>
      <c r="C30" s="10" t="s">
        <v>200</v>
      </c>
      <c r="D30" s="10" t="s">
        <v>23</v>
      </c>
      <c r="E30" s="11">
        <v>500</v>
      </c>
      <c r="F30" s="12">
        <v>5342.7250000000004</v>
      </c>
      <c r="G30" s="13">
        <v>5.1845765000000002E-2</v>
      </c>
      <c r="H30" s="50">
        <v>6.0149999999999997</v>
      </c>
      <c r="J30" s="136" t="s">
        <v>641</v>
      </c>
      <c r="O30"/>
    </row>
    <row r="31" spans="1:15" ht="25.5" x14ac:dyDescent="0.2">
      <c r="A31" s="9">
        <v>4</v>
      </c>
      <c r="B31" s="10" t="s">
        <v>201</v>
      </c>
      <c r="C31" s="10" t="s">
        <v>202</v>
      </c>
      <c r="D31" s="10" t="s">
        <v>23</v>
      </c>
      <c r="E31" s="11">
        <v>500</v>
      </c>
      <c r="F31" s="12">
        <v>5024.3599999999997</v>
      </c>
      <c r="G31" s="13">
        <v>4.8756353000000002E-2</v>
      </c>
      <c r="H31" s="50">
        <v>5.69</v>
      </c>
      <c r="O31"/>
    </row>
    <row r="32" spans="1:15" ht="25.5" x14ac:dyDescent="0.2">
      <c r="A32" s="9">
        <v>5</v>
      </c>
      <c r="B32" s="10" t="s">
        <v>203</v>
      </c>
      <c r="C32" s="10" t="s">
        <v>204</v>
      </c>
      <c r="D32" s="10" t="s">
        <v>23</v>
      </c>
      <c r="E32" s="11">
        <v>500</v>
      </c>
      <c r="F32" s="12">
        <v>5019.37</v>
      </c>
      <c r="G32" s="13">
        <v>4.8707930000000003E-2</v>
      </c>
      <c r="H32" s="50">
        <v>4.5999999999999996</v>
      </c>
      <c r="O32"/>
    </row>
    <row r="33" spans="1:15" x14ac:dyDescent="0.2">
      <c r="A33" s="9">
        <v>6</v>
      </c>
      <c r="B33" s="10" t="s">
        <v>205</v>
      </c>
      <c r="C33" s="10" t="s">
        <v>206</v>
      </c>
      <c r="D33" s="10" t="s">
        <v>23</v>
      </c>
      <c r="E33" s="11">
        <v>500</v>
      </c>
      <c r="F33" s="12">
        <v>4976.2150000000001</v>
      </c>
      <c r="G33" s="13">
        <v>4.8289155E-2</v>
      </c>
      <c r="H33" s="50">
        <v>5.8550000000000004</v>
      </c>
      <c r="O33"/>
    </row>
    <row r="34" spans="1:15" ht="25.5" x14ac:dyDescent="0.2">
      <c r="A34" s="9">
        <v>7</v>
      </c>
      <c r="B34" s="10" t="s">
        <v>207</v>
      </c>
      <c r="C34" s="10" t="s">
        <v>208</v>
      </c>
      <c r="D34" s="10" t="s">
        <v>23</v>
      </c>
      <c r="E34" s="11">
        <v>500</v>
      </c>
      <c r="F34" s="12">
        <v>4973.34</v>
      </c>
      <c r="G34" s="13">
        <v>4.8261256000000002E-2</v>
      </c>
      <c r="H34" s="50">
        <v>6.2149999999999999</v>
      </c>
      <c r="O34"/>
    </row>
    <row r="35" spans="1:15" ht="25.5" x14ac:dyDescent="0.2">
      <c r="A35" s="9">
        <v>8</v>
      </c>
      <c r="B35" s="10" t="s">
        <v>209</v>
      </c>
      <c r="C35" s="10" t="s">
        <v>210</v>
      </c>
      <c r="D35" s="10" t="s">
        <v>23</v>
      </c>
      <c r="E35" s="11">
        <v>500</v>
      </c>
      <c r="F35" s="12">
        <v>4936.7950000000001</v>
      </c>
      <c r="G35" s="13">
        <v>4.7906623000000002E-2</v>
      </c>
      <c r="H35" s="50">
        <v>6.71</v>
      </c>
      <c r="O35"/>
    </row>
    <row r="36" spans="1:15" ht="25.5" x14ac:dyDescent="0.2">
      <c r="A36" s="9">
        <v>9</v>
      </c>
      <c r="B36" s="10" t="s">
        <v>211</v>
      </c>
      <c r="C36" s="10" t="s">
        <v>212</v>
      </c>
      <c r="D36" s="10" t="s">
        <v>23</v>
      </c>
      <c r="E36" s="11">
        <v>300</v>
      </c>
      <c r="F36" s="12">
        <v>3142.4070000000002</v>
      </c>
      <c r="G36" s="13">
        <v>3.0493895E-2</v>
      </c>
      <c r="H36" s="50">
        <v>5.27</v>
      </c>
      <c r="O36"/>
    </row>
    <row r="37" spans="1:15" ht="25.5" x14ac:dyDescent="0.2">
      <c r="A37" s="9">
        <v>10</v>
      </c>
      <c r="B37" s="10" t="s">
        <v>213</v>
      </c>
      <c r="C37" s="10" t="s">
        <v>214</v>
      </c>
      <c r="D37" s="10" t="s">
        <v>23</v>
      </c>
      <c r="E37" s="11">
        <v>300</v>
      </c>
      <c r="F37" s="12">
        <v>3037.1309999999999</v>
      </c>
      <c r="G37" s="13">
        <v>2.9472297000000001E-2</v>
      </c>
      <c r="H37" s="50">
        <v>4.1500000000000004</v>
      </c>
      <c r="O37"/>
    </row>
    <row r="38" spans="1:15" ht="25.5" x14ac:dyDescent="0.2">
      <c r="A38" s="9">
        <v>11</v>
      </c>
      <c r="B38" s="10" t="s">
        <v>215</v>
      </c>
      <c r="C38" s="10" t="s">
        <v>216</v>
      </c>
      <c r="D38" s="10" t="s">
        <v>23</v>
      </c>
      <c r="E38" s="11">
        <v>250</v>
      </c>
      <c r="F38" s="12">
        <v>2703.3724999999999</v>
      </c>
      <c r="G38" s="13">
        <v>2.6233507E-2</v>
      </c>
      <c r="H38" s="50">
        <v>5.0999999999999996</v>
      </c>
    </row>
    <row r="39" spans="1:15" ht="25.5" x14ac:dyDescent="0.2">
      <c r="A39" s="9">
        <v>12</v>
      </c>
      <c r="B39" s="10" t="s">
        <v>217</v>
      </c>
      <c r="C39" s="10" t="s">
        <v>218</v>
      </c>
      <c r="D39" s="10" t="s">
        <v>23</v>
      </c>
      <c r="E39" s="11">
        <v>250</v>
      </c>
      <c r="F39" s="12">
        <v>2628.5374999999999</v>
      </c>
      <c r="G39" s="13">
        <v>2.5507308999999999E-2</v>
      </c>
      <c r="H39" s="50">
        <v>5.72</v>
      </c>
    </row>
    <row r="40" spans="1:15" x14ac:dyDescent="0.2">
      <c r="A40" s="9">
        <v>13</v>
      </c>
      <c r="B40" s="10" t="s">
        <v>219</v>
      </c>
      <c r="C40" s="10" t="s">
        <v>220</v>
      </c>
      <c r="D40" s="10" t="s">
        <v>23</v>
      </c>
      <c r="E40" s="11">
        <v>250</v>
      </c>
      <c r="F40" s="12">
        <v>2618.6849999999999</v>
      </c>
      <c r="G40" s="13">
        <v>2.5411699999999999E-2</v>
      </c>
      <c r="H40" s="50">
        <v>6.35</v>
      </c>
    </row>
    <row r="41" spans="1:15" ht="25.5" x14ac:dyDescent="0.2">
      <c r="A41" s="9">
        <v>14</v>
      </c>
      <c r="B41" s="10" t="s">
        <v>44</v>
      </c>
      <c r="C41" s="10" t="s">
        <v>45</v>
      </c>
      <c r="D41" s="10" t="s">
        <v>449</v>
      </c>
      <c r="E41" s="11">
        <v>250</v>
      </c>
      <c r="F41" s="12">
        <v>2552.25</v>
      </c>
      <c r="G41" s="13">
        <v>2.4767015999999999E-2</v>
      </c>
      <c r="H41" s="50">
        <v>4.9649999999999999</v>
      </c>
    </row>
    <row r="42" spans="1:15" ht="25.5" x14ac:dyDescent="0.2">
      <c r="A42" s="9">
        <v>15</v>
      </c>
      <c r="B42" s="10" t="s">
        <v>221</v>
      </c>
      <c r="C42" s="10" t="s">
        <v>222</v>
      </c>
      <c r="D42" s="10" t="s">
        <v>23</v>
      </c>
      <c r="E42" s="11">
        <v>250</v>
      </c>
      <c r="F42" s="12">
        <v>2544.4549999999999</v>
      </c>
      <c r="G42" s="13">
        <v>2.4691372999999999E-2</v>
      </c>
      <c r="H42" s="50">
        <v>5.94</v>
      </c>
    </row>
    <row r="43" spans="1:15" ht="25.5" x14ac:dyDescent="0.2">
      <c r="A43" s="9">
        <v>16</v>
      </c>
      <c r="B43" s="10" t="s">
        <v>223</v>
      </c>
      <c r="C43" s="10" t="s">
        <v>224</v>
      </c>
      <c r="D43" s="10" t="s">
        <v>225</v>
      </c>
      <c r="E43" s="11">
        <v>250</v>
      </c>
      <c r="F43" s="12">
        <v>2535.9775</v>
      </c>
      <c r="G43" s="13">
        <v>2.4609107000000002E-2</v>
      </c>
      <c r="H43" s="50">
        <v>4.4050000000000002</v>
      </c>
    </row>
    <row r="44" spans="1:15" x14ac:dyDescent="0.2">
      <c r="A44" s="9">
        <v>17</v>
      </c>
      <c r="B44" s="10" t="s">
        <v>134</v>
      </c>
      <c r="C44" s="10" t="s">
        <v>135</v>
      </c>
      <c r="D44" s="10" t="s">
        <v>23</v>
      </c>
      <c r="E44" s="11">
        <v>250</v>
      </c>
      <c r="F44" s="12">
        <v>2503.11</v>
      </c>
      <c r="G44" s="13">
        <v>2.4290161000000001E-2</v>
      </c>
      <c r="H44" s="50">
        <v>5.5949999999999998</v>
      </c>
    </row>
    <row r="45" spans="1:15" ht="25.5" x14ac:dyDescent="0.2">
      <c r="A45" s="9">
        <v>18</v>
      </c>
      <c r="B45" s="10" t="s">
        <v>226</v>
      </c>
      <c r="C45" s="10" t="s">
        <v>227</v>
      </c>
      <c r="D45" s="10" t="s">
        <v>449</v>
      </c>
      <c r="E45" s="11">
        <v>250</v>
      </c>
      <c r="F45" s="12">
        <v>2483.915</v>
      </c>
      <c r="G45" s="13">
        <v>2.4103893000000001E-2</v>
      </c>
      <c r="H45" s="50">
        <v>5</v>
      </c>
    </row>
    <row r="46" spans="1:15" ht="25.5" x14ac:dyDescent="0.2">
      <c r="A46" s="9">
        <v>19</v>
      </c>
      <c r="B46" s="10" t="s">
        <v>228</v>
      </c>
      <c r="C46" s="10" t="s">
        <v>229</v>
      </c>
      <c r="D46" s="10" t="s">
        <v>23</v>
      </c>
      <c r="E46" s="11">
        <v>500</v>
      </c>
      <c r="F46" s="12">
        <v>1520.547</v>
      </c>
      <c r="G46" s="13">
        <v>1.4755377E-2</v>
      </c>
      <c r="H46" s="50">
        <v>5.89</v>
      </c>
    </row>
    <row r="47" spans="1:15" ht="25.5" x14ac:dyDescent="0.2">
      <c r="A47" s="9">
        <v>20</v>
      </c>
      <c r="B47" s="10" t="s">
        <v>104</v>
      </c>
      <c r="C47" s="10" t="s">
        <v>105</v>
      </c>
      <c r="D47" s="10" t="s">
        <v>23</v>
      </c>
      <c r="E47" s="11">
        <v>125</v>
      </c>
      <c r="F47" s="12">
        <v>1245.0250000000001</v>
      </c>
      <c r="G47" s="13">
        <v>1.2081714E-2</v>
      </c>
      <c r="H47" s="50">
        <v>5.0149999999999997</v>
      </c>
    </row>
    <row r="48" spans="1:15" x14ac:dyDescent="0.2">
      <c r="A48" s="1"/>
      <c r="B48" s="1"/>
      <c r="C48" s="2" t="s">
        <v>10</v>
      </c>
      <c r="D48" s="1"/>
      <c r="E48" s="1" t="s">
        <v>11</v>
      </c>
      <c r="F48" s="7">
        <v>74806.794999999998</v>
      </c>
      <c r="G48" s="8">
        <v>0.72592459899999995</v>
      </c>
      <c r="H48" s="50"/>
    </row>
    <row r="49" spans="1:8" x14ac:dyDescent="0.2">
      <c r="A49" s="1"/>
      <c r="B49" s="1"/>
      <c r="C49" s="5"/>
      <c r="D49" s="1"/>
      <c r="E49" s="1"/>
      <c r="F49" s="6"/>
      <c r="G49" s="6"/>
      <c r="H49" s="50"/>
    </row>
    <row r="50" spans="1:8" x14ac:dyDescent="0.2">
      <c r="A50" s="1"/>
      <c r="B50" s="1"/>
      <c r="C50" s="2" t="s">
        <v>46</v>
      </c>
      <c r="D50" s="1"/>
      <c r="E50" s="1"/>
      <c r="F50" s="1"/>
      <c r="G50" s="1"/>
      <c r="H50" s="50"/>
    </row>
    <row r="51" spans="1:8" x14ac:dyDescent="0.2">
      <c r="A51" s="1"/>
      <c r="B51" s="1"/>
      <c r="C51" s="2" t="s">
        <v>10</v>
      </c>
      <c r="D51" s="1"/>
      <c r="E51" s="1" t="s">
        <v>11</v>
      </c>
      <c r="F51" s="3">
        <v>0</v>
      </c>
      <c r="G51" s="4">
        <v>0</v>
      </c>
      <c r="H51" s="50"/>
    </row>
    <row r="52" spans="1:8" x14ac:dyDescent="0.2">
      <c r="A52" s="1"/>
      <c r="B52" s="1"/>
      <c r="C52" s="5"/>
      <c r="D52" s="1"/>
      <c r="E52" s="1"/>
      <c r="F52" s="6"/>
      <c r="G52" s="6"/>
      <c r="H52" s="50"/>
    </row>
    <row r="53" spans="1:8" x14ac:dyDescent="0.2">
      <c r="A53" s="1"/>
      <c r="B53" s="1"/>
      <c r="C53" s="2" t="s">
        <v>47</v>
      </c>
      <c r="D53" s="1"/>
      <c r="E53" s="1"/>
      <c r="F53" s="1"/>
      <c r="G53" s="1"/>
      <c r="H53" s="50"/>
    </row>
    <row r="54" spans="1:8" ht="25.5" x14ac:dyDescent="0.2">
      <c r="A54" s="9">
        <v>1</v>
      </c>
      <c r="B54" s="10" t="s">
        <v>230</v>
      </c>
      <c r="C54" s="10" t="s">
        <v>415</v>
      </c>
      <c r="D54" s="10" t="s">
        <v>49</v>
      </c>
      <c r="E54" s="11">
        <v>7500000</v>
      </c>
      <c r="F54" s="12">
        <v>7452.3149999999996</v>
      </c>
      <c r="G54" s="13">
        <v>7.2317211000000006E-2</v>
      </c>
      <c r="H54" s="50">
        <v>5.7972000000000001</v>
      </c>
    </row>
    <row r="55" spans="1:8" ht="25.5" x14ac:dyDescent="0.2">
      <c r="A55" s="9">
        <v>2</v>
      </c>
      <c r="B55" s="10" t="s">
        <v>48</v>
      </c>
      <c r="C55" s="10" t="s">
        <v>413</v>
      </c>
      <c r="D55" s="10" t="s">
        <v>49</v>
      </c>
      <c r="E55" s="11">
        <v>4500000</v>
      </c>
      <c r="F55" s="12">
        <v>4453.308</v>
      </c>
      <c r="G55" s="13">
        <v>4.3214869000000003E-2</v>
      </c>
      <c r="H55" s="50">
        <v>5.5532000000000004</v>
      </c>
    </row>
    <row r="56" spans="1:8" ht="25.5" x14ac:dyDescent="0.2">
      <c r="A56" s="9">
        <v>3</v>
      </c>
      <c r="B56" s="10" t="s">
        <v>231</v>
      </c>
      <c r="C56" s="10" t="s">
        <v>232</v>
      </c>
      <c r="D56" s="10" t="s">
        <v>49</v>
      </c>
      <c r="E56" s="11">
        <v>2000000</v>
      </c>
      <c r="F56" s="12">
        <v>1965.9559999999999</v>
      </c>
      <c r="G56" s="13">
        <v>1.9077622999999998E-2</v>
      </c>
      <c r="H56" s="50">
        <v>5.6452999999999998</v>
      </c>
    </row>
    <row r="57" spans="1:8" x14ac:dyDescent="0.2">
      <c r="A57" s="1"/>
      <c r="B57" s="1"/>
      <c r="C57" s="2" t="s">
        <v>10</v>
      </c>
      <c r="D57" s="1"/>
      <c r="E57" s="1" t="s">
        <v>11</v>
      </c>
      <c r="F57" s="7">
        <v>13871.579</v>
      </c>
      <c r="G57" s="8">
        <v>0.134609703</v>
      </c>
      <c r="H57" s="50"/>
    </row>
    <row r="58" spans="1:8" x14ac:dyDescent="0.2">
      <c r="A58" s="1"/>
      <c r="B58" s="1"/>
      <c r="C58" s="5"/>
      <c r="D58" s="1"/>
      <c r="E58" s="1"/>
      <c r="F58" s="6"/>
      <c r="G58" s="6"/>
      <c r="H58" s="50"/>
    </row>
    <row r="59" spans="1:8" x14ac:dyDescent="0.2">
      <c r="A59" s="1"/>
      <c r="B59" s="1"/>
      <c r="C59" s="2" t="s">
        <v>55</v>
      </c>
      <c r="D59" s="1"/>
      <c r="E59" s="1"/>
      <c r="F59" s="6"/>
      <c r="G59" s="6"/>
      <c r="H59" s="50"/>
    </row>
    <row r="60" spans="1:8" x14ac:dyDescent="0.2">
      <c r="A60" s="1"/>
      <c r="B60" s="1"/>
      <c r="C60" s="2" t="s">
        <v>10</v>
      </c>
      <c r="D60" s="1"/>
      <c r="E60" s="1" t="s">
        <v>11</v>
      </c>
      <c r="F60" s="3">
        <v>0</v>
      </c>
      <c r="G60" s="4">
        <v>0</v>
      </c>
      <c r="H60" s="50"/>
    </row>
    <row r="61" spans="1:8" x14ac:dyDescent="0.2">
      <c r="A61" s="1"/>
      <c r="B61" s="1"/>
      <c r="C61" s="5"/>
      <c r="D61" s="1"/>
      <c r="E61" s="1"/>
      <c r="F61" s="6"/>
      <c r="G61" s="6"/>
      <c r="H61" s="50"/>
    </row>
    <row r="62" spans="1:8" x14ac:dyDescent="0.2">
      <c r="A62" s="1"/>
      <c r="B62" s="1"/>
      <c r="C62" s="2" t="s">
        <v>56</v>
      </c>
      <c r="D62" s="1"/>
      <c r="E62" s="1"/>
      <c r="F62" s="7">
        <v>88678.373999999996</v>
      </c>
      <c r="G62" s="8">
        <v>0.86053430200000003</v>
      </c>
      <c r="H62" s="50"/>
    </row>
    <row r="63" spans="1:8" x14ac:dyDescent="0.2">
      <c r="A63" s="1"/>
      <c r="B63" s="1"/>
      <c r="C63" s="5"/>
      <c r="D63" s="1"/>
      <c r="E63" s="1"/>
      <c r="F63" s="6"/>
      <c r="G63" s="6"/>
      <c r="H63" s="50"/>
    </row>
    <row r="64" spans="1:8" x14ac:dyDescent="0.2">
      <c r="A64" s="1"/>
      <c r="B64" s="1"/>
      <c r="C64" s="2" t="s">
        <v>57</v>
      </c>
      <c r="D64" s="1"/>
      <c r="E64" s="1"/>
      <c r="F64" s="6"/>
      <c r="G64" s="6"/>
      <c r="H64" s="50"/>
    </row>
    <row r="65" spans="1:8" x14ac:dyDescent="0.2">
      <c r="A65" s="1"/>
      <c r="B65" s="1"/>
      <c r="C65" s="2" t="s">
        <v>58</v>
      </c>
      <c r="D65" s="1"/>
      <c r="E65" s="1"/>
      <c r="F65" s="6"/>
      <c r="G65" s="6"/>
      <c r="H65" s="50"/>
    </row>
    <row r="66" spans="1:8" x14ac:dyDescent="0.2">
      <c r="A66" s="9">
        <v>1</v>
      </c>
      <c r="B66" s="10" t="s">
        <v>233</v>
      </c>
      <c r="C66" s="10" t="s">
        <v>234</v>
      </c>
      <c r="D66" s="10" t="s">
        <v>235</v>
      </c>
      <c r="E66" s="11">
        <v>2000</v>
      </c>
      <c r="F66" s="12">
        <v>9732.7999999999993</v>
      </c>
      <c r="G66" s="13">
        <v>9.4447021000000006E-2</v>
      </c>
      <c r="H66" s="50">
        <v>4.3949999999999996</v>
      </c>
    </row>
    <row r="67" spans="1:8" x14ac:dyDescent="0.2">
      <c r="A67" s="1"/>
      <c r="B67" s="1"/>
      <c r="C67" s="2" t="s">
        <v>10</v>
      </c>
      <c r="D67" s="1"/>
      <c r="E67" s="1" t="s">
        <v>11</v>
      </c>
      <c r="F67" s="7">
        <v>9732.7999999999993</v>
      </c>
      <c r="G67" s="8">
        <v>9.4447021000000006E-2</v>
      </c>
      <c r="H67" s="50"/>
    </row>
    <row r="68" spans="1:8" x14ac:dyDescent="0.2">
      <c r="A68" s="1"/>
      <c r="B68" s="1"/>
      <c r="C68" s="5"/>
      <c r="D68" s="1"/>
      <c r="E68" s="1"/>
      <c r="F68" s="6"/>
      <c r="G68" s="6"/>
      <c r="H68" s="50"/>
    </row>
    <row r="69" spans="1:8" x14ac:dyDescent="0.2">
      <c r="A69" s="1"/>
      <c r="B69" s="1"/>
      <c r="C69" s="2" t="s">
        <v>64</v>
      </c>
      <c r="D69" s="1"/>
      <c r="E69" s="1"/>
      <c r="F69" s="6"/>
      <c r="G69" s="6"/>
      <c r="H69" s="50"/>
    </row>
    <row r="70" spans="1:8" x14ac:dyDescent="0.2">
      <c r="A70" s="1"/>
      <c r="B70" s="1"/>
      <c r="C70" s="2" t="s">
        <v>10</v>
      </c>
      <c r="D70" s="1"/>
      <c r="E70" s="1" t="s">
        <v>11</v>
      </c>
      <c r="F70" s="3">
        <v>0</v>
      </c>
      <c r="G70" s="4">
        <v>0</v>
      </c>
      <c r="H70" s="50"/>
    </row>
    <row r="71" spans="1:8" x14ac:dyDescent="0.2">
      <c r="A71" s="1"/>
      <c r="B71" s="1"/>
      <c r="C71" s="5"/>
      <c r="D71" s="1"/>
      <c r="E71" s="1"/>
      <c r="F71" s="6"/>
      <c r="G71" s="6"/>
      <c r="H71" s="50"/>
    </row>
    <row r="72" spans="1:8" x14ac:dyDescent="0.2">
      <c r="A72" s="1"/>
      <c r="B72" s="1"/>
      <c r="C72" s="2" t="s">
        <v>67</v>
      </c>
      <c r="D72" s="1"/>
      <c r="E72" s="1"/>
      <c r="F72" s="6"/>
      <c r="G72" s="6"/>
      <c r="H72" s="50"/>
    </row>
    <row r="73" spans="1:8" x14ac:dyDescent="0.2">
      <c r="A73" s="1"/>
      <c r="B73" s="1"/>
      <c r="C73" s="2" t="s">
        <v>10</v>
      </c>
      <c r="D73" s="1"/>
      <c r="E73" s="1" t="s">
        <v>11</v>
      </c>
      <c r="F73" s="3">
        <v>0</v>
      </c>
      <c r="G73" s="4">
        <v>0</v>
      </c>
      <c r="H73" s="50"/>
    </row>
    <row r="74" spans="1:8" x14ac:dyDescent="0.2">
      <c r="A74" s="1"/>
      <c r="B74" s="1"/>
      <c r="C74" s="5"/>
      <c r="D74" s="1"/>
      <c r="E74" s="1"/>
      <c r="F74" s="6"/>
      <c r="G74" s="6"/>
      <c r="H74" s="50"/>
    </row>
    <row r="75" spans="1:8" x14ac:dyDescent="0.2">
      <c r="A75" s="1"/>
      <c r="B75" s="1"/>
      <c r="C75" s="2" t="s">
        <v>69</v>
      </c>
      <c r="D75" s="1"/>
      <c r="E75" s="1"/>
      <c r="F75" s="6"/>
      <c r="G75" s="6"/>
      <c r="H75" s="50"/>
    </row>
    <row r="76" spans="1:8" x14ac:dyDescent="0.2">
      <c r="A76" s="9">
        <v>1</v>
      </c>
      <c r="B76" s="10"/>
      <c r="C76" s="10" t="s">
        <v>70</v>
      </c>
      <c r="D76" s="10"/>
      <c r="E76" s="14"/>
      <c r="F76" s="12">
        <v>1860.7577805999999</v>
      </c>
      <c r="G76" s="13">
        <v>1.8056780000000001E-2</v>
      </c>
      <c r="H76" s="50">
        <v>3.4504560529072292</v>
      </c>
    </row>
    <row r="77" spans="1:8" x14ac:dyDescent="0.2">
      <c r="A77" s="9">
        <v>2</v>
      </c>
      <c r="B77" s="10"/>
      <c r="C77" s="10" t="s">
        <v>71</v>
      </c>
      <c r="D77" s="10"/>
      <c r="E77" s="14"/>
      <c r="F77" s="12">
        <v>1004.2647732</v>
      </c>
      <c r="G77" s="13">
        <v>9.7453780000000007E-3</v>
      </c>
      <c r="H77" s="50">
        <v>3.5655822479098256</v>
      </c>
    </row>
    <row r="78" spans="1:8" x14ac:dyDescent="0.2">
      <c r="A78" s="1"/>
      <c r="B78" s="1"/>
      <c r="C78" s="2" t="s">
        <v>10</v>
      </c>
      <c r="D78" s="1"/>
      <c r="E78" s="1" t="s">
        <v>11</v>
      </c>
      <c r="F78" s="7">
        <v>2865.0225538</v>
      </c>
      <c r="G78" s="8">
        <v>2.7802158E-2</v>
      </c>
      <c r="H78" s="50"/>
    </row>
    <row r="79" spans="1:8" x14ac:dyDescent="0.2">
      <c r="A79" s="1"/>
      <c r="B79" s="1"/>
      <c r="C79" s="5"/>
      <c r="D79" s="1"/>
      <c r="E79" s="1"/>
      <c r="F79" s="6"/>
      <c r="G79" s="6"/>
      <c r="H79" s="50"/>
    </row>
    <row r="80" spans="1:8" x14ac:dyDescent="0.2">
      <c r="A80" s="1"/>
      <c r="B80" s="1"/>
      <c r="C80" s="2" t="s">
        <v>72</v>
      </c>
      <c r="D80" s="1"/>
      <c r="E80" s="1"/>
      <c r="F80" s="7">
        <v>12597.822553800001</v>
      </c>
      <c r="G80" s="8">
        <v>0.122249179</v>
      </c>
      <c r="H80" s="50"/>
    </row>
    <row r="81" spans="1:8" x14ac:dyDescent="0.2">
      <c r="A81" s="1"/>
      <c r="B81" s="1"/>
      <c r="C81" s="6"/>
      <c r="D81" s="1"/>
      <c r="E81" s="1"/>
      <c r="F81" s="1"/>
      <c r="G81" s="1"/>
      <c r="H81" s="50"/>
    </row>
    <row r="82" spans="1:8" x14ac:dyDescent="0.2">
      <c r="A82" s="1"/>
      <c r="B82" s="1"/>
      <c r="C82" s="2" t="s">
        <v>73</v>
      </c>
      <c r="D82" s="1"/>
      <c r="E82" s="1"/>
      <c r="F82" s="1"/>
      <c r="G82" s="1"/>
      <c r="H82" s="50"/>
    </row>
    <row r="83" spans="1:8" x14ac:dyDescent="0.2">
      <c r="A83" s="1"/>
      <c r="B83" s="1"/>
      <c r="C83" s="2" t="s">
        <v>74</v>
      </c>
      <c r="D83" s="1"/>
      <c r="E83" s="1"/>
      <c r="F83" s="1"/>
      <c r="G83" s="1"/>
      <c r="H83" s="50"/>
    </row>
    <row r="84" spans="1:8" x14ac:dyDescent="0.2">
      <c r="A84" s="1"/>
      <c r="B84" s="1"/>
      <c r="C84" s="2" t="s">
        <v>10</v>
      </c>
      <c r="D84" s="1"/>
      <c r="E84" s="1" t="s">
        <v>11</v>
      </c>
      <c r="F84" s="3">
        <v>0</v>
      </c>
      <c r="G84" s="4">
        <v>0</v>
      </c>
      <c r="H84" s="50"/>
    </row>
    <row r="85" spans="1:8" x14ac:dyDescent="0.2">
      <c r="A85" s="1"/>
      <c r="B85" s="1"/>
      <c r="C85" s="5"/>
      <c r="D85" s="1"/>
      <c r="E85" s="1"/>
      <c r="F85" s="6"/>
      <c r="G85" s="6"/>
      <c r="H85" s="50"/>
    </row>
    <row r="86" spans="1:8" x14ac:dyDescent="0.2">
      <c r="A86" s="1"/>
      <c r="B86" s="1"/>
      <c r="C86" s="2" t="s">
        <v>75</v>
      </c>
      <c r="D86" s="1"/>
      <c r="E86" s="1"/>
      <c r="F86" s="1"/>
      <c r="G86" s="1"/>
      <c r="H86" s="50"/>
    </row>
    <row r="87" spans="1:8" x14ac:dyDescent="0.2">
      <c r="A87" s="1"/>
      <c r="B87" s="1"/>
      <c r="C87" s="2" t="s">
        <v>76</v>
      </c>
      <c r="D87" s="1"/>
      <c r="E87" s="1"/>
      <c r="F87" s="1"/>
      <c r="G87" s="1"/>
      <c r="H87" s="50"/>
    </row>
    <row r="88" spans="1:8" x14ac:dyDescent="0.2">
      <c r="A88" s="1"/>
      <c r="B88" s="1"/>
      <c r="C88" s="2" t="s">
        <v>10</v>
      </c>
      <c r="D88" s="1"/>
      <c r="E88" s="1" t="s">
        <v>11</v>
      </c>
      <c r="F88" s="3">
        <v>0</v>
      </c>
      <c r="G88" s="4">
        <v>0</v>
      </c>
      <c r="H88" s="50"/>
    </row>
    <row r="89" spans="1:8" x14ac:dyDescent="0.2">
      <c r="A89" s="1"/>
      <c r="B89" s="1"/>
      <c r="C89" s="5"/>
      <c r="D89" s="1"/>
      <c r="E89" s="1"/>
      <c r="F89" s="6"/>
      <c r="G89" s="6"/>
      <c r="H89" s="50"/>
    </row>
    <row r="90" spans="1:8" ht="25.5" x14ac:dyDescent="0.2">
      <c r="A90" s="1"/>
      <c r="B90" s="1"/>
      <c r="C90" s="2" t="s">
        <v>77</v>
      </c>
      <c r="D90" s="1"/>
      <c r="E90" s="1"/>
      <c r="F90" s="6"/>
      <c r="G90" s="6"/>
      <c r="H90" s="50"/>
    </row>
    <row r="91" spans="1:8" x14ac:dyDescent="0.2">
      <c r="A91" s="1"/>
      <c r="B91" s="1"/>
      <c r="C91" s="2" t="s">
        <v>10</v>
      </c>
      <c r="D91" s="1"/>
      <c r="E91" s="1" t="s">
        <v>11</v>
      </c>
      <c r="F91" s="3">
        <v>0</v>
      </c>
      <c r="G91" s="4">
        <v>0</v>
      </c>
      <c r="H91" s="50"/>
    </row>
    <row r="92" spans="1:8" x14ac:dyDescent="0.2">
      <c r="A92" s="1"/>
      <c r="B92" s="1"/>
      <c r="C92" s="5"/>
      <c r="D92" s="1"/>
      <c r="E92" s="1"/>
      <c r="F92" s="6"/>
      <c r="G92" s="6"/>
      <c r="H92" s="50"/>
    </row>
    <row r="93" spans="1:8" x14ac:dyDescent="0.2">
      <c r="A93" s="1"/>
      <c r="B93" s="10"/>
      <c r="C93" s="10"/>
      <c r="D93" s="2"/>
      <c r="E93" s="1"/>
      <c r="F93" s="10"/>
      <c r="G93" s="14"/>
      <c r="H93" s="50"/>
    </row>
    <row r="94" spans="1:8" x14ac:dyDescent="0.2">
      <c r="A94" s="14"/>
      <c r="B94" s="10"/>
      <c r="C94" s="10" t="s">
        <v>78</v>
      </c>
      <c r="D94" s="10"/>
      <c r="E94" s="14"/>
      <c r="F94" s="12">
        <v>1774.1683533600001</v>
      </c>
      <c r="G94" s="13">
        <v>1.7216517000000001E-2</v>
      </c>
      <c r="H94" s="50"/>
    </row>
    <row r="95" spans="1:8" x14ac:dyDescent="0.2">
      <c r="A95" s="5"/>
      <c r="B95" s="5"/>
      <c r="C95" s="2" t="s">
        <v>79</v>
      </c>
      <c r="D95" s="6"/>
      <c r="E95" s="6"/>
      <c r="F95" s="7">
        <v>103050.36490715999</v>
      </c>
      <c r="G95" s="8">
        <v>0.99999999799999995</v>
      </c>
      <c r="H95" s="50"/>
    </row>
    <row r="96" spans="1:8" ht="14.1" customHeight="1" x14ac:dyDescent="0.2">
      <c r="A96" s="15"/>
      <c r="B96" s="15"/>
      <c r="C96" s="15"/>
      <c r="D96" s="16"/>
      <c r="E96" s="16"/>
      <c r="F96" s="16"/>
      <c r="G96" s="16"/>
    </row>
    <row r="97" spans="1:7" ht="17.100000000000001" customHeight="1" x14ac:dyDescent="0.2">
      <c r="A97" s="17"/>
      <c r="B97" s="154" t="s">
        <v>80</v>
      </c>
      <c r="C97" s="154"/>
      <c r="D97" s="154"/>
      <c r="E97" s="154"/>
      <c r="F97" s="154"/>
      <c r="G97" s="19"/>
    </row>
    <row r="98" spans="1:7" ht="17.100000000000001" customHeight="1" x14ac:dyDescent="0.2">
      <c r="A98" s="17"/>
      <c r="B98" s="154" t="s">
        <v>81</v>
      </c>
      <c r="C98" s="154"/>
      <c r="D98" s="154"/>
      <c r="E98" s="154"/>
      <c r="F98" s="154"/>
      <c r="G98" s="19"/>
    </row>
    <row r="99" spans="1:7" ht="14.1" customHeight="1" x14ac:dyDescent="0.2">
      <c r="A99" s="17"/>
      <c r="B99" s="154" t="s">
        <v>11</v>
      </c>
      <c r="C99" s="154"/>
      <c r="D99" s="154"/>
      <c r="E99" s="154"/>
      <c r="F99" s="154"/>
      <c r="G99" s="19"/>
    </row>
    <row r="100" spans="1:7" ht="14.1" customHeight="1" x14ac:dyDescent="0.2">
      <c r="A100" s="17"/>
      <c r="B100" s="17"/>
      <c r="C100" s="17"/>
      <c r="D100" s="19"/>
      <c r="E100" s="19"/>
      <c r="F100" s="19"/>
      <c r="G100" s="19"/>
    </row>
    <row r="101" spans="1:7" ht="14.1" customHeight="1" x14ac:dyDescent="0.2">
      <c r="A101" s="17"/>
      <c r="B101" s="155" t="s">
        <v>82</v>
      </c>
      <c r="C101" s="156"/>
      <c r="D101" s="157"/>
      <c r="E101" s="20"/>
      <c r="F101" s="19"/>
      <c r="G101" s="19"/>
    </row>
    <row r="102" spans="1:7" ht="29.1" customHeight="1" x14ac:dyDescent="0.2">
      <c r="A102" s="17"/>
      <c r="B102" s="149" t="s">
        <v>83</v>
      </c>
      <c r="C102" s="150"/>
      <c r="D102" s="2" t="s">
        <v>84</v>
      </c>
      <c r="E102" s="20"/>
      <c r="F102" s="19"/>
      <c r="G102" s="19"/>
    </row>
    <row r="103" spans="1:7" ht="17.100000000000001" customHeight="1" x14ac:dyDescent="0.2">
      <c r="A103" s="17"/>
      <c r="B103" s="149" t="s">
        <v>85</v>
      </c>
      <c r="C103" s="150"/>
      <c r="D103" s="2" t="s">
        <v>84</v>
      </c>
      <c r="E103" s="20"/>
      <c r="F103" s="19"/>
      <c r="G103" s="19"/>
    </row>
    <row r="104" spans="1:7" ht="17.100000000000001" customHeight="1" x14ac:dyDescent="0.2">
      <c r="A104" s="17"/>
      <c r="B104" s="149" t="s">
        <v>86</v>
      </c>
      <c r="C104" s="150"/>
      <c r="D104" s="6" t="s">
        <v>11</v>
      </c>
      <c r="E104" s="20"/>
      <c r="F104" s="19"/>
      <c r="G104" s="19"/>
    </row>
    <row r="105" spans="1:7" ht="24" customHeight="1" x14ac:dyDescent="0.2">
      <c r="A105" s="21"/>
      <c r="B105" s="22" t="s">
        <v>11</v>
      </c>
      <c r="C105" s="22" t="s">
        <v>87</v>
      </c>
      <c r="D105" s="22" t="s">
        <v>88</v>
      </c>
      <c r="E105" s="21"/>
      <c r="F105" s="21"/>
      <c r="G105" s="21"/>
    </row>
    <row r="106" spans="1:7" ht="18" customHeight="1" x14ac:dyDescent="0.2">
      <c r="A106" s="21"/>
      <c r="B106" s="23" t="s">
        <v>89</v>
      </c>
      <c r="C106" s="22" t="s">
        <v>90</v>
      </c>
      <c r="D106" s="22" t="s">
        <v>91</v>
      </c>
      <c r="E106" s="21"/>
      <c r="F106" s="21"/>
      <c r="G106" s="21"/>
    </row>
    <row r="107" spans="1:7" ht="17.100000000000001" customHeight="1" x14ac:dyDescent="0.2">
      <c r="A107" s="21"/>
      <c r="B107" s="10" t="s">
        <v>92</v>
      </c>
      <c r="C107" s="24">
        <v>34.934800000000003</v>
      </c>
      <c r="D107" s="24">
        <v>34.973100000000002</v>
      </c>
      <c r="E107" s="21"/>
      <c r="F107" s="18"/>
      <c r="G107" s="25"/>
    </row>
    <row r="108" spans="1:7" ht="17.100000000000001" customHeight="1" x14ac:dyDescent="0.2">
      <c r="A108" s="21"/>
      <c r="B108" s="10" t="s">
        <v>236</v>
      </c>
      <c r="C108" s="24">
        <v>17.480499999999999</v>
      </c>
      <c r="D108" s="24">
        <v>17.499400000000001</v>
      </c>
      <c r="E108" s="21"/>
      <c r="F108" s="18"/>
      <c r="G108" s="25"/>
    </row>
    <row r="109" spans="1:7" ht="29.1" customHeight="1" x14ac:dyDescent="0.2">
      <c r="A109" s="21"/>
      <c r="B109" s="10" t="s">
        <v>469</v>
      </c>
      <c r="C109" s="24">
        <v>10.23</v>
      </c>
      <c r="D109" s="24">
        <v>10.220599999999999</v>
      </c>
      <c r="E109" s="21"/>
      <c r="F109" s="18"/>
      <c r="G109" s="25"/>
    </row>
    <row r="110" spans="1:7" ht="29.1" customHeight="1" x14ac:dyDescent="0.2">
      <c r="A110" s="21"/>
      <c r="B110" s="10" t="s">
        <v>458</v>
      </c>
      <c r="C110" s="24">
        <v>11.5296</v>
      </c>
      <c r="D110" s="24">
        <v>11.4977</v>
      </c>
      <c r="E110" s="21"/>
      <c r="F110" s="18"/>
      <c r="G110" s="25"/>
    </row>
    <row r="111" spans="1:7" ht="17.100000000000001" customHeight="1" x14ac:dyDescent="0.2">
      <c r="A111" s="21"/>
      <c r="B111" s="10" t="s">
        <v>237</v>
      </c>
      <c r="C111" s="24">
        <v>31.206900000000001</v>
      </c>
      <c r="D111" s="24">
        <v>31.2361</v>
      </c>
      <c r="E111" s="21"/>
      <c r="F111" s="18"/>
      <c r="G111" s="25"/>
    </row>
    <row r="112" spans="1:7" ht="29.1" customHeight="1" x14ac:dyDescent="0.2">
      <c r="A112" s="21"/>
      <c r="B112" s="10" t="s">
        <v>470</v>
      </c>
      <c r="C112" s="24">
        <v>11.486800000000001</v>
      </c>
      <c r="D112" s="24">
        <v>11.4549</v>
      </c>
      <c r="E112" s="21"/>
      <c r="F112" s="18"/>
      <c r="G112" s="25"/>
    </row>
    <row r="113" spans="1:7" ht="17.100000000000001" customHeight="1" x14ac:dyDescent="0.2">
      <c r="A113" s="21"/>
      <c r="B113" s="10" t="s">
        <v>93</v>
      </c>
      <c r="C113" s="24">
        <v>34.617600000000003</v>
      </c>
      <c r="D113" s="24">
        <v>34.65</v>
      </c>
      <c r="E113" s="21"/>
      <c r="F113" s="18"/>
      <c r="G113" s="25"/>
    </row>
    <row r="114" spans="1:7" ht="17.100000000000001" customHeight="1" x14ac:dyDescent="0.2">
      <c r="A114" s="21"/>
      <c r="B114" s="10" t="s">
        <v>94</v>
      </c>
      <c r="C114" s="24">
        <v>17.456700000000001</v>
      </c>
      <c r="D114" s="24">
        <v>17.473099999999999</v>
      </c>
      <c r="E114" s="21"/>
      <c r="F114" s="18"/>
      <c r="G114" s="25"/>
    </row>
    <row r="115" spans="1:7" ht="29.1" customHeight="1" x14ac:dyDescent="0.2">
      <c r="A115" s="21"/>
      <c r="B115" s="10" t="s">
        <v>471</v>
      </c>
      <c r="C115" s="24">
        <v>10.355</v>
      </c>
      <c r="D115" s="24">
        <v>10.3447</v>
      </c>
      <c r="E115" s="21"/>
      <c r="F115" s="18"/>
      <c r="G115" s="25"/>
    </row>
    <row r="116" spans="1:7" ht="29.1" customHeight="1" x14ac:dyDescent="0.2">
      <c r="A116" s="21"/>
      <c r="B116" s="10" t="s">
        <v>462</v>
      </c>
      <c r="C116" s="24">
        <v>12.1044</v>
      </c>
      <c r="D116" s="24">
        <v>12.085000000000001</v>
      </c>
      <c r="E116" s="21"/>
      <c r="F116" s="18"/>
      <c r="G116" s="25"/>
    </row>
    <row r="117" spans="1:7" ht="29.1" customHeight="1" x14ac:dyDescent="0.2">
      <c r="A117" s="21"/>
      <c r="B117" s="10" t="s">
        <v>464</v>
      </c>
      <c r="C117" s="24">
        <v>11.582000000000001</v>
      </c>
      <c r="D117" s="24">
        <v>11.549899999999999</v>
      </c>
      <c r="E117" s="21"/>
      <c r="F117" s="18"/>
      <c r="G117" s="25"/>
    </row>
    <row r="118" spans="1:7" ht="14.1" customHeight="1" x14ac:dyDescent="0.2">
      <c r="A118" s="21"/>
      <c r="B118" s="21"/>
      <c r="C118" s="21"/>
      <c r="D118" s="21"/>
      <c r="E118" s="21"/>
      <c r="F118" s="21"/>
      <c r="G118" s="21"/>
    </row>
    <row r="119" spans="1:7" ht="17.100000000000001" customHeight="1" x14ac:dyDescent="0.2">
      <c r="A119" s="21"/>
      <c r="B119" s="149" t="s">
        <v>468</v>
      </c>
      <c r="C119" s="150"/>
      <c r="D119" s="2" t="s">
        <v>11</v>
      </c>
      <c r="E119" s="21"/>
      <c r="F119" s="21"/>
      <c r="G119" s="21"/>
    </row>
    <row r="120" spans="1:7" ht="18" customHeight="1" x14ac:dyDescent="0.2">
      <c r="A120" s="21"/>
      <c r="B120" s="26" t="s">
        <v>89</v>
      </c>
      <c r="C120" s="27" t="s">
        <v>95</v>
      </c>
      <c r="D120" s="27" t="s">
        <v>96</v>
      </c>
      <c r="E120" s="21"/>
      <c r="F120" s="21"/>
      <c r="G120" s="21"/>
    </row>
    <row r="121" spans="1:7" ht="29.1" customHeight="1" x14ac:dyDescent="0.2">
      <c r="A121" s="21"/>
      <c r="B121" s="10" t="s">
        <v>469</v>
      </c>
      <c r="C121" s="28">
        <v>2.043E-2</v>
      </c>
      <c r="D121" s="14" t="s">
        <v>97</v>
      </c>
      <c r="E121" s="21"/>
      <c r="F121" s="18"/>
      <c r="G121" s="25"/>
    </row>
    <row r="122" spans="1:7" ht="29.1" customHeight="1" x14ac:dyDescent="0.2">
      <c r="A122" s="21"/>
      <c r="B122" s="10" t="s">
        <v>458</v>
      </c>
      <c r="C122" s="28">
        <v>4.4400000000000002E-2</v>
      </c>
      <c r="D122" s="14" t="s">
        <v>97</v>
      </c>
      <c r="E122" s="21"/>
      <c r="F122" s="18"/>
      <c r="G122" s="25"/>
    </row>
    <row r="123" spans="1:7" ht="29.1" customHeight="1" x14ac:dyDescent="0.2">
      <c r="A123" s="21"/>
      <c r="B123" s="10" t="s">
        <v>470</v>
      </c>
      <c r="C123" s="28">
        <v>4.2700000000000002E-2</v>
      </c>
      <c r="D123" s="28">
        <v>4.2700000000000002E-2</v>
      </c>
      <c r="E123" s="21"/>
      <c r="F123" s="18"/>
      <c r="G123" s="25"/>
    </row>
    <row r="124" spans="1:7" ht="29.1" customHeight="1" x14ac:dyDescent="0.2">
      <c r="A124" s="21"/>
      <c r="B124" s="10" t="s">
        <v>471</v>
      </c>
      <c r="C124" s="28">
        <v>2.0004999999999998E-2</v>
      </c>
      <c r="D124" s="14" t="s">
        <v>97</v>
      </c>
      <c r="E124" s="21"/>
      <c r="F124" s="18"/>
      <c r="G124" s="25"/>
    </row>
    <row r="125" spans="1:7" ht="29.1" customHeight="1" x14ac:dyDescent="0.2">
      <c r="A125" s="21"/>
      <c r="B125" s="10" t="s">
        <v>462</v>
      </c>
      <c r="C125" s="28">
        <v>3.0700000000000002E-2</v>
      </c>
      <c r="D125" s="14" t="s">
        <v>97</v>
      </c>
      <c r="E125" s="21"/>
      <c r="F125" s="18"/>
      <c r="G125" s="25"/>
    </row>
    <row r="126" spans="1:7" ht="29.1" customHeight="1" x14ac:dyDescent="0.2">
      <c r="A126" s="21"/>
      <c r="B126" s="10" t="s">
        <v>464</v>
      </c>
      <c r="C126" s="28">
        <v>4.2999999999999997E-2</v>
      </c>
      <c r="D126" s="28">
        <v>4.2999999999999997E-2</v>
      </c>
      <c r="E126" s="21"/>
      <c r="F126" s="18"/>
      <c r="G126" s="25"/>
    </row>
    <row r="127" spans="1:7" ht="14.1" customHeight="1" x14ac:dyDescent="0.2">
      <c r="A127" s="21"/>
      <c r="B127" s="29"/>
      <c r="C127" s="29"/>
      <c r="D127" s="30"/>
      <c r="E127" s="21"/>
      <c r="F127" s="18"/>
      <c r="G127" s="25"/>
    </row>
    <row r="128" spans="1:7" x14ac:dyDescent="0.2">
      <c r="A128" s="55"/>
      <c r="B128" s="153" t="s">
        <v>479</v>
      </c>
      <c r="C128" s="153"/>
      <c r="D128" s="153"/>
      <c r="E128" s="153"/>
      <c r="F128" s="153"/>
      <c r="G128" s="55"/>
    </row>
    <row r="129" spans="1:15" ht="14.1" customHeight="1" x14ac:dyDescent="0.2">
      <c r="A129" s="21"/>
      <c r="B129" s="18"/>
      <c r="C129" s="18"/>
      <c r="D129" s="21"/>
      <c r="E129" s="21"/>
      <c r="F129" s="21"/>
      <c r="G129" s="21"/>
    </row>
    <row r="130" spans="1:15" ht="17.100000000000001" customHeight="1" x14ac:dyDescent="0.2">
      <c r="A130" s="21"/>
      <c r="B130" s="149" t="s">
        <v>429</v>
      </c>
      <c r="C130" s="150"/>
      <c r="D130" s="2" t="s">
        <v>84</v>
      </c>
      <c r="E130" s="21"/>
      <c r="F130" s="18"/>
      <c r="G130" s="25"/>
      <c r="I130"/>
      <c r="J130"/>
      <c r="K130"/>
      <c r="L130"/>
      <c r="M130"/>
      <c r="N130"/>
      <c r="O130"/>
    </row>
    <row r="131" spans="1:15" ht="29.1" customHeight="1" x14ac:dyDescent="0.2">
      <c r="A131" s="21"/>
      <c r="B131" s="149" t="s">
        <v>430</v>
      </c>
      <c r="C131" s="150"/>
      <c r="D131" s="2" t="s">
        <v>84</v>
      </c>
      <c r="E131" s="31"/>
      <c r="F131" s="21"/>
      <c r="G131" s="21"/>
    </row>
    <row r="132" spans="1:15" ht="29.1" customHeight="1" x14ac:dyDescent="0.2">
      <c r="A132" s="21"/>
      <c r="B132" s="149" t="s">
        <v>431</v>
      </c>
      <c r="C132" s="150"/>
      <c r="D132" s="2" t="s">
        <v>84</v>
      </c>
      <c r="E132" s="31"/>
      <c r="F132" s="21"/>
      <c r="G132" s="21"/>
    </row>
    <row r="133" spans="1:15" ht="17.100000000000001" customHeight="1" x14ac:dyDescent="0.2">
      <c r="A133" s="21"/>
      <c r="B133" s="149" t="s">
        <v>432</v>
      </c>
      <c r="C133" s="150"/>
      <c r="D133" s="32">
        <v>2.5962641507223516</v>
      </c>
      <c r="E133" s="31"/>
      <c r="F133" s="21"/>
      <c r="G133" s="21"/>
    </row>
    <row r="134" spans="1:15" ht="17.100000000000001" customHeight="1" x14ac:dyDescent="0.2">
      <c r="A134" s="21"/>
      <c r="B134" s="149" t="s">
        <v>433</v>
      </c>
      <c r="C134" s="150"/>
      <c r="D134" s="32">
        <v>2.3730995907775454</v>
      </c>
      <c r="E134" s="31"/>
      <c r="F134" s="21"/>
      <c r="G134" s="21"/>
    </row>
    <row r="135" spans="1:15" ht="17.100000000000001" customHeight="1" x14ac:dyDescent="0.2">
      <c r="A135" s="21"/>
      <c r="B135" s="149" t="s">
        <v>434</v>
      </c>
      <c r="C135" s="150"/>
      <c r="D135" s="2" t="s">
        <v>84</v>
      </c>
      <c r="E135" s="31"/>
      <c r="F135" s="21"/>
      <c r="G135" s="21"/>
    </row>
    <row r="136" spans="1:15" ht="11.1" customHeight="1" x14ac:dyDescent="0.2">
      <c r="A136" s="33"/>
      <c r="B136" s="33"/>
      <c r="C136" s="33"/>
      <c r="D136" s="33"/>
      <c r="E136" s="33"/>
      <c r="F136" s="33"/>
      <c r="G136" s="33"/>
    </row>
  </sheetData>
  <mergeCells count="19">
    <mergeCell ref="A1:H1"/>
    <mergeCell ref="A2:H2"/>
    <mergeCell ref="A3:H3"/>
    <mergeCell ref="B128:F128"/>
    <mergeCell ref="B119:C119"/>
    <mergeCell ref="B99:F99"/>
    <mergeCell ref="B101:D101"/>
    <mergeCell ref="B102:C102"/>
    <mergeCell ref="B103:C103"/>
    <mergeCell ref="B104:C104"/>
    <mergeCell ref="J2:N2"/>
    <mergeCell ref="B132:C132"/>
    <mergeCell ref="B133:C133"/>
    <mergeCell ref="B134:C134"/>
    <mergeCell ref="B135:C135"/>
    <mergeCell ref="B130:C130"/>
    <mergeCell ref="B131:C131"/>
    <mergeCell ref="B97:F97"/>
    <mergeCell ref="B98:F98"/>
  </mergeCells>
  <pageMargins left="5.000000074505806E-2" right="5.000000074505806E-2" top="0.30000001192092896" bottom="0.20000000298023224" header="0" footer="0"/>
  <pageSetup paperSize="9"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10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16" width="9.140625" style="57"/>
  </cols>
  <sheetData>
    <row r="1" spans="1:16" ht="18" customHeight="1" x14ac:dyDescent="0.2">
      <c r="A1" s="152" t="s">
        <v>0</v>
      </c>
      <c r="B1" s="152"/>
      <c r="C1" s="152"/>
      <c r="D1" s="152"/>
      <c r="E1" s="152"/>
      <c r="F1" s="152"/>
      <c r="G1" s="152"/>
      <c r="H1" s="152"/>
    </row>
    <row r="2" spans="1:16" ht="17.100000000000001" customHeight="1" x14ac:dyDescent="0.2">
      <c r="A2" s="152" t="s">
        <v>238</v>
      </c>
      <c r="B2" s="152"/>
      <c r="C2" s="152"/>
      <c r="D2" s="152"/>
      <c r="E2" s="152"/>
      <c r="F2" s="152"/>
      <c r="G2" s="152"/>
      <c r="H2" s="152"/>
      <c r="J2" s="148" t="s">
        <v>631</v>
      </c>
      <c r="K2" s="148"/>
      <c r="L2" s="148"/>
      <c r="M2" s="148"/>
      <c r="N2" s="148"/>
    </row>
    <row r="3" spans="1:16" ht="21" customHeight="1" x14ac:dyDescent="0.2">
      <c r="A3" s="152" t="s">
        <v>480</v>
      </c>
      <c r="B3" s="152"/>
      <c r="C3" s="152"/>
      <c r="D3" s="152"/>
      <c r="E3" s="152"/>
      <c r="F3" s="152"/>
      <c r="G3" s="152"/>
      <c r="H3" s="152"/>
    </row>
    <row r="4" spans="1:16" s="59" customFormat="1" ht="30" x14ac:dyDescent="0.2">
      <c r="A4" s="58" t="s">
        <v>1</v>
      </c>
      <c r="B4" s="58" t="s">
        <v>2</v>
      </c>
      <c r="C4" s="58" t="s">
        <v>3</v>
      </c>
      <c r="D4" s="58" t="s">
        <v>4</v>
      </c>
      <c r="E4" s="58" t="s">
        <v>5</v>
      </c>
      <c r="F4" s="58" t="s">
        <v>6</v>
      </c>
      <c r="G4" s="58" t="s">
        <v>7</v>
      </c>
      <c r="H4" s="49" t="s">
        <v>452</v>
      </c>
      <c r="I4" s="135"/>
      <c r="J4" s="135"/>
      <c r="K4" s="135"/>
      <c r="L4" s="135"/>
      <c r="M4" s="135"/>
      <c r="N4" s="135"/>
      <c r="O4" s="135"/>
      <c r="P4" s="135"/>
    </row>
    <row r="5" spans="1:16" x14ac:dyDescent="0.2">
      <c r="A5" s="1"/>
      <c r="B5" s="1"/>
      <c r="C5" s="2" t="s">
        <v>8</v>
      </c>
      <c r="D5" s="1"/>
      <c r="E5" s="1"/>
      <c r="F5" s="1"/>
      <c r="G5" s="1"/>
      <c r="H5" s="50"/>
    </row>
    <row r="6" spans="1:16" ht="25.5" x14ac:dyDescent="0.2">
      <c r="A6" s="1"/>
      <c r="B6" s="1"/>
      <c r="C6" s="2" t="s">
        <v>9</v>
      </c>
      <c r="D6" s="1"/>
      <c r="E6" s="1"/>
      <c r="F6" s="1"/>
      <c r="G6" s="1"/>
      <c r="H6" s="50"/>
    </row>
    <row r="7" spans="1:16" x14ac:dyDescent="0.2">
      <c r="A7" s="1"/>
      <c r="B7" s="1"/>
      <c r="C7" s="2" t="s">
        <v>10</v>
      </c>
      <c r="D7" s="1"/>
      <c r="E7" s="1" t="s">
        <v>11</v>
      </c>
      <c r="F7" s="3">
        <v>0</v>
      </c>
      <c r="G7" s="4">
        <v>0</v>
      </c>
      <c r="H7" s="50"/>
    </row>
    <row r="8" spans="1:16" x14ac:dyDescent="0.2">
      <c r="A8" s="1"/>
      <c r="B8" s="1"/>
      <c r="C8" s="5"/>
      <c r="D8" s="1"/>
      <c r="E8" s="1"/>
      <c r="F8" s="6"/>
      <c r="G8" s="6"/>
      <c r="H8" s="50"/>
    </row>
    <row r="9" spans="1:16" x14ac:dyDescent="0.2">
      <c r="A9" s="1"/>
      <c r="B9" s="1"/>
      <c r="C9" s="2" t="s">
        <v>12</v>
      </c>
      <c r="D9" s="1"/>
      <c r="E9" s="1"/>
      <c r="F9" s="1"/>
      <c r="G9" s="1"/>
      <c r="H9" s="50"/>
    </row>
    <row r="10" spans="1:16" x14ac:dyDescent="0.2">
      <c r="A10" s="1"/>
      <c r="B10" s="1"/>
      <c r="C10" s="2" t="s">
        <v>10</v>
      </c>
      <c r="D10" s="1"/>
      <c r="E10" s="1" t="s">
        <v>11</v>
      </c>
      <c r="F10" s="3">
        <v>0</v>
      </c>
      <c r="G10" s="4">
        <v>0</v>
      </c>
      <c r="H10" s="50"/>
    </row>
    <row r="11" spans="1:16" x14ac:dyDescent="0.2">
      <c r="A11" s="1"/>
      <c r="B11" s="1"/>
      <c r="C11" s="5"/>
      <c r="D11" s="1"/>
      <c r="E11" s="1"/>
      <c r="F11" s="6"/>
      <c r="G11" s="6"/>
      <c r="H11" s="50"/>
    </row>
    <row r="12" spans="1:16" x14ac:dyDescent="0.2">
      <c r="A12" s="1"/>
      <c r="B12" s="1"/>
      <c r="C12" s="2" t="s">
        <v>13</v>
      </c>
      <c r="D12" s="1"/>
      <c r="E12" s="1"/>
      <c r="F12" s="1"/>
      <c r="G12" s="1"/>
      <c r="H12" s="50"/>
    </row>
    <row r="13" spans="1:16" x14ac:dyDescent="0.2">
      <c r="A13" s="1"/>
      <c r="B13" s="1"/>
      <c r="C13" s="2" t="s">
        <v>10</v>
      </c>
      <c r="D13" s="1"/>
      <c r="E13" s="1" t="s">
        <v>11</v>
      </c>
      <c r="F13" s="3">
        <v>0</v>
      </c>
      <c r="G13" s="4">
        <v>0</v>
      </c>
      <c r="H13" s="50"/>
    </row>
    <row r="14" spans="1:16" x14ac:dyDescent="0.2">
      <c r="A14" s="1"/>
      <c r="B14" s="1"/>
      <c r="C14" s="5"/>
      <c r="D14" s="1"/>
      <c r="E14" s="1"/>
      <c r="F14" s="6"/>
      <c r="G14" s="6"/>
      <c r="H14" s="50"/>
    </row>
    <row r="15" spans="1:16" x14ac:dyDescent="0.2">
      <c r="A15" s="1"/>
      <c r="B15" s="1"/>
      <c r="C15" s="2" t="s">
        <v>14</v>
      </c>
      <c r="D15" s="1"/>
      <c r="E15" s="1"/>
      <c r="F15" s="1"/>
      <c r="G15" s="1"/>
      <c r="H15" s="50"/>
    </row>
    <row r="16" spans="1:16" ht="15" x14ac:dyDescent="0.25">
      <c r="A16" s="1"/>
      <c r="B16" s="1"/>
      <c r="C16" s="2" t="s">
        <v>10</v>
      </c>
      <c r="D16" s="1"/>
      <c r="E16" s="1" t="s">
        <v>11</v>
      </c>
      <c r="F16" s="3">
        <v>0</v>
      </c>
      <c r="G16" s="4">
        <v>0</v>
      </c>
      <c r="H16" s="50"/>
      <c r="J16" s="137" t="s">
        <v>632</v>
      </c>
      <c r="K16" s="138"/>
      <c r="L16" s="138"/>
      <c r="M16" s="138"/>
      <c r="N16" s="138"/>
      <c r="O16" s="138"/>
    </row>
    <row r="17" spans="1:8" x14ac:dyDescent="0.2">
      <c r="A17" s="1"/>
      <c r="B17" s="1"/>
      <c r="C17" s="5"/>
      <c r="D17" s="1"/>
      <c r="E17" s="1"/>
      <c r="F17" s="6"/>
      <c r="G17" s="6"/>
      <c r="H17" s="50"/>
    </row>
    <row r="18" spans="1:8" x14ac:dyDescent="0.2">
      <c r="A18" s="1"/>
      <c r="B18" s="1"/>
      <c r="C18" s="2" t="s">
        <v>15</v>
      </c>
      <c r="D18" s="1"/>
      <c r="E18" s="1"/>
      <c r="F18" s="6"/>
      <c r="G18" s="6"/>
      <c r="H18" s="50"/>
    </row>
    <row r="19" spans="1:8" x14ac:dyDescent="0.2">
      <c r="A19" s="1"/>
      <c r="B19" s="1"/>
      <c r="C19" s="2" t="s">
        <v>10</v>
      </c>
      <c r="D19" s="1"/>
      <c r="E19" s="1" t="s">
        <v>11</v>
      </c>
      <c r="F19" s="3">
        <v>0</v>
      </c>
      <c r="G19" s="4">
        <v>0</v>
      </c>
      <c r="H19" s="50"/>
    </row>
    <row r="20" spans="1:8" x14ac:dyDescent="0.2">
      <c r="A20" s="1"/>
      <c r="B20" s="1"/>
      <c r="C20" s="5"/>
      <c r="D20" s="1"/>
      <c r="E20" s="1"/>
      <c r="F20" s="6"/>
      <c r="G20" s="6"/>
      <c r="H20" s="50"/>
    </row>
    <row r="21" spans="1:8" x14ac:dyDescent="0.2">
      <c r="A21" s="1"/>
      <c r="B21" s="1"/>
      <c r="C21" s="2" t="s">
        <v>16</v>
      </c>
      <c r="D21" s="1"/>
      <c r="E21" s="1"/>
      <c r="F21" s="6"/>
      <c r="G21" s="6"/>
      <c r="H21" s="50"/>
    </row>
    <row r="22" spans="1:8" x14ac:dyDescent="0.2">
      <c r="A22" s="1"/>
      <c r="B22" s="1"/>
      <c r="C22" s="2" t="s">
        <v>10</v>
      </c>
      <c r="D22" s="1"/>
      <c r="E22" s="1" t="s">
        <v>11</v>
      </c>
      <c r="F22" s="3">
        <v>0</v>
      </c>
      <c r="G22" s="4">
        <v>0</v>
      </c>
      <c r="H22" s="50"/>
    </row>
    <row r="23" spans="1:8" x14ac:dyDescent="0.2">
      <c r="A23" s="1"/>
      <c r="B23" s="1"/>
      <c r="C23" s="5"/>
      <c r="D23" s="1"/>
      <c r="E23" s="1"/>
      <c r="F23" s="6"/>
      <c r="G23" s="6"/>
      <c r="H23" s="50"/>
    </row>
    <row r="24" spans="1:8" x14ac:dyDescent="0.2">
      <c r="A24" s="1"/>
      <c r="B24" s="1"/>
      <c r="C24" s="2" t="s">
        <v>17</v>
      </c>
      <c r="D24" s="1"/>
      <c r="E24" s="1"/>
      <c r="F24" s="7">
        <v>0</v>
      </c>
      <c r="G24" s="8">
        <v>0</v>
      </c>
      <c r="H24" s="50"/>
    </row>
    <row r="25" spans="1:8" x14ac:dyDescent="0.2">
      <c r="A25" s="1"/>
      <c r="B25" s="1"/>
      <c r="C25" s="5"/>
      <c r="D25" s="1"/>
      <c r="E25" s="1"/>
      <c r="F25" s="6"/>
      <c r="G25" s="6"/>
      <c r="H25" s="50"/>
    </row>
    <row r="26" spans="1:8" x14ac:dyDescent="0.2">
      <c r="A26" s="1"/>
      <c r="B26" s="1"/>
      <c r="C26" s="2" t="s">
        <v>18</v>
      </c>
      <c r="D26" s="1"/>
      <c r="E26" s="1"/>
      <c r="F26" s="6"/>
      <c r="G26" s="6"/>
      <c r="H26" s="50"/>
    </row>
    <row r="27" spans="1:8" ht="25.5" x14ac:dyDescent="0.2">
      <c r="A27" s="1"/>
      <c r="B27" s="1"/>
      <c r="C27" s="2" t="s">
        <v>9</v>
      </c>
      <c r="D27" s="1"/>
      <c r="E27" s="1"/>
      <c r="F27" s="6"/>
      <c r="G27" s="6"/>
      <c r="H27" s="50"/>
    </row>
    <row r="28" spans="1:8" x14ac:dyDescent="0.2">
      <c r="A28" s="9">
        <v>1</v>
      </c>
      <c r="B28" s="10" t="s">
        <v>239</v>
      </c>
      <c r="C28" s="10" t="s">
        <v>240</v>
      </c>
      <c r="D28" s="10" t="s">
        <v>23</v>
      </c>
      <c r="E28" s="11">
        <v>72</v>
      </c>
      <c r="F28" s="12">
        <v>956.12832000000003</v>
      </c>
      <c r="G28" s="13">
        <v>0.11706264800000001</v>
      </c>
      <c r="H28" s="50">
        <v>4.3</v>
      </c>
    </row>
    <row r="29" spans="1:8" ht="25.5" x14ac:dyDescent="0.2">
      <c r="A29" s="9">
        <v>2</v>
      </c>
      <c r="B29" s="10" t="s">
        <v>241</v>
      </c>
      <c r="C29" s="10" t="s">
        <v>242</v>
      </c>
      <c r="D29" s="10" t="s">
        <v>449</v>
      </c>
      <c r="E29" s="11">
        <v>80</v>
      </c>
      <c r="F29" s="12">
        <v>809.29920000000004</v>
      </c>
      <c r="G29" s="13">
        <v>9.9085767000000005E-2</v>
      </c>
      <c r="H29" s="50">
        <v>4.09</v>
      </c>
    </row>
    <row r="30" spans="1:8" ht="25.5" x14ac:dyDescent="0.2">
      <c r="A30" s="9">
        <v>3</v>
      </c>
      <c r="B30" s="10" t="s">
        <v>243</v>
      </c>
      <c r="C30" s="10" t="s">
        <v>244</v>
      </c>
      <c r="D30" s="10" t="s">
        <v>23</v>
      </c>
      <c r="E30" s="11">
        <v>80</v>
      </c>
      <c r="F30" s="12">
        <v>807.11120000000005</v>
      </c>
      <c r="G30" s="13">
        <v>9.8817880999999996E-2</v>
      </c>
      <c r="H30" s="50">
        <v>3.6949999999999998</v>
      </c>
    </row>
    <row r="31" spans="1:8" ht="25.5" x14ac:dyDescent="0.2">
      <c r="A31" s="9">
        <v>4</v>
      </c>
      <c r="B31" s="10" t="s">
        <v>245</v>
      </c>
      <c r="C31" s="10" t="s">
        <v>246</v>
      </c>
      <c r="D31" s="10" t="s">
        <v>23</v>
      </c>
      <c r="E31" s="11">
        <v>80</v>
      </c>
      <c r="F31" s="12">
        <v>806.1712</v>
      </c>
      <c r="G31" s="13">
        <v>9.8702792999999997E-2</v>
      </c>
      <c r="H31" s="50">
        <v>3.75</v>
      </c>
    </row>
    <row r="32" spans="1:8" x14ac:dyDescent="0.2">
      <c r="A32" s="9">
        <v>5</v>
      </c>
      <c r="B32" s="10" t="s">
        <v>247</v>
      </c>
      <c r="C32" s="10" t="s">
        <v>248</v>
      </c>
      <c r="D32" s="10" t="s">
        <v>23</v>
      </c>
      <c r="E32" s="11">
        <v>78</v>
      </c>
      <c r="F32" s="12">
        <v>787.8741</v>
      </c>
      <c r="G32" s="13">
        <v>9.6462605000000007E-2</v>
      </c>
      <c r="H32" s="50">
        <v>3.72</v>
      </c>
    </row>
    <row r="33" spans="1:8" ht="25.5" x14ac:dyDescent="0.2">
      <c r="A33" s="9">
        <v>6</v>
      </c>
      <c r="B33" s="10" t="s">
        <v>249</v>
      </c>
      <c r="C33" s="10" t="s">
        <v>250</v>
      </c>
      <c r="D33" s="10" t="s">
        <v>449</v>
      </c>
      <c r="E33" s="11">
        <v>75</v>
      </c>
      <c r="F33" s="12">
        <v>757.19024999999999</v>
      </c>
      <c r="G33" s="13">
        <v>9.2705858000000002E-2</v>
      </c>
      <c r="H33" s="50">
        <v>4.1749999999999998</v>
      </c>
    </row>
    <row r="34" spans="1:8" ht="25.5" x14ac:dyDescent="0.2">
      <c r="A34" s="9">
        <v>7</v>
      </c>
      <c r="B34" s="10" t="s">
        <v>251</v>
      </c>
      <c r="C34" s="10" t="s">
        <v>252</v>
      </c>
      <c r="D34" s="10" t="s">
        <v>23</v>
      </c>
      <c r="E34" s="11">
        <v>50</v>
      </c>
      <c r="F34" s="12">
        <v>674.46600000000001</v>
      </c>
      <c r="G34" s="13">
        <v>8.2577594000000004E-2</v>
      </c>
      <c r="H34" s="50">
        <v>4.3049999999999997</v>
      </c>
    </row>
    <row r="35" spans="1:8" ht="25.5" x14ac:dyDescent="0.2">
      <c r="A35" s="9">
        <v>8</v>
      </c>
      <c r="B35" s="10" t="s">
        <v>253</v>
      </c>
      <c r="C35" s="10" t="s">
        <v>254</v>
      </c>
      <c r="D35" s="10" t="s">
        <v>23</v>
      </c>
      <c r="E35" s="11">
        <v>50</v>
      </c>
      <c r="F35" s="12">
        <v>504.5985</v>
      </c>
      <c r="G35" s="13">
        <v>6.178003E-2</v>
      </c>
      <c r="H35" s="50">
        <v>3.8650000000000002</v>
      </c>
    </row>
    <row r="36" spans="1:8" ht="25.5" x14ac:dyDescent="0.2">
      <c r="A36" s="9">
        <v>9</v>
      </c>
      <c r="B36" s="10" t="s">
        <v>255</v>
      </c>
      <c r="C36" s="10" t="s">
        <v>256</v>
      </c>
      <c r="D36" s="10" t="s">
        <v>23</v>
      </c>
      <c r="E36" s="11">
        <v>50</v>
      </c>
      <c r="F36" s="12">
        <v>501.9545</v>
      </c>
      <c r="G36" s="13">
        <v>6.1456314999999997E-2</v>
      </c>
      <c r="H36" s="50">
        <v>3.55</v>
      </c>
    </row>
    <row r="37" spans="1:8" ht="25.5" x14ac:dyDescent="0.2">
      <c r="A37" s="9">
        <v>10</v>
      </c>
      <c r="B37" s="10" t="s">
        <v>257</v>
      </c>
      <c r="C37" s="10" t="s">
        <v>258</v>
      </c>
      <c r="D37" s="10" t="s">
        <v>225</v>
      </c>
      <c r="E37" s="11">
        <v>50</v>
      </c>
      <c r="F37" s="12">
        <v>501.64949999999999</v>
      </c>
      <c r="G37" s="13">
        <v>6.1418973000000002E-2</v>
      </c>
      <c r="H37" s="50">
        <v>3.4950000000000001</v>
      </c>
    </row>
    <row r="38" spans="1:8" x14ac:dyDescent="0.2">
      <c r="A38" s="1"/>
      <c r="B38" s="1"/>
      <c r="C38" s="2" t="s">
        <v>10</v>
      </c>
      <c r="D38" s="1"/>
      <c r="E38" s="1" t="s">
        <v>11</v>
      </c>
      <c r="F38" s="7">
        <v>7106.4427699999997</v>
      </c>
      <c r="G38" s="8">
        <v>0.87007046399999999</v>
      </c>
      <c r="H38" s="50"/>
    </row>
    <row r="39" spans="1:8" x14ac:dyDescent="0.2">
      <c r="A39" s="1"/>
      <c r="B39" s="1"/>
      <c r="C39" s="5"/>
      <c r="D39" s="1"/>
      <c r="E39" s="1"/>
      <c r="F39" s="6"/>
      <c r="G39" s="6"/>
      <c r="H39" s="50"/>
    </row>
    <row r="40" spans="1:8" x14ac:dyDescent="0.2">
      <c r="A40" s="1"/>
      <c r="B40" s="1"/>
      <c r="C40" s="2" t="s">
        <v>46</v>
      </c>
      <c r="D40" s="1"/>
      <c r="E40" s="1"/>
      <c r="F40" s="1"/>
      <c r="G40" s="1"/>
      <c r="H40" s="50"/>
    </row>
    <row r="41" spans="1:8" x14ac:dyDescent="0.2">
      <c r="A41" s="1"/>
      <c r="B41" s="1"/>
      <c r="C41" s="2" t="s">
        <v>10</v>
      </c>
      <c r="D41" s="1"/>
      <c r="E41" s="1" t="s">
        <v>11</v>
      </c>
      <c r="F41" s="3">
        <v>0</v>
      </c>
      <c r="G41" s="4">
        <v>0</v>
      </c>
      <c r="H41" s="50"/>
    </row>
    <row r="42" spans="1:8" x14ac:dyDescent="0.2">
      <c r="A42" s="1"/>
      <c r="B42" s="1"/>
      <c r="C42" s="5"/>
      <c r="D42" s="1"/>
      <c r="E42" s="1"/>
      <c r="F42" s="6"/>
      <c r="G42" s="6"/>
      <c r="H42" s="50"/>
    </row>
    <row r="43" spans="1:8" x14ac:dyDescent="0.2">
      <c r="A43" s="1"/>
      <c r="B43" s="1"/>
      <c r="C43" s="2" t="s">
        <v>47</v>
      </c>
      <c r="D43" s="1"/>
      <c r="E43" s="1"/>
      <c r="F43" s="1"/>
      <c r="G43" s="1"/>
      <c r="H43" s="50"/>
    </row>
    <row r="44" spans="1:8" x14ac:dyDescent="0.2">
      <c r="A44" s="1"/>
      <c r="B44" s="1"/>
      <c r="C44" s="2" t="s">
        <v>10</v>
      </c>
      <c r="D44" s="1"/>
      <c r="E44" s="1" t="s">
        <v>11</v>
      </c>
      <c r="F44" s="3">
        <v>0</v>
      </c>
      <c r="G44" s="4">
        <v>0</v>
      </c>
      <c r="H44" s="50"/>
    </row>
    <row r="45" spans="1:8" x14ac:dyDescent="0.2">
      <c r="A45" s="1"/>
      <c r="B45" s="1"/>
      <c r="C45" s="5"/>
      <c r="D45" s="1"/>
      <c r="E45" s="1"/>
      <c r="F45" s="6"/>
      <c r="G45" s="6"/>
      <c r="H45" s="50"/>
    </row>
    <row r="46" spans="1:8" x14ac:dyDescent="0.2">
      <c r="A46" s="1"/>
      <c r="B46" s="1"/>
      <c r="C46" s="2" t="s">
        <v>55</v>
      </c>
      <c r="D46" s="1"/>
      <c r="E46" s="1"/>
      <c r="F46" s="6"/>
      <c r="G46" s="6"/>
      <c r="H46" s="50"/>
    </row>
    <row r="47" spans="1:8" x14ac:dyDescent="0.2">
      <c r="A47" s="1"/>
      <c r="B47" s="1"/>
      <c r="C47" s="2" t="s">
        <v>10</v>
      </c>
      <c r="D47" s="1"/>
      <c r="E47" s="1" t="s">
        <v>11</v>
      </c>
      <c r="F47" s="3">
        <v>0</v>
      </c>
      <c r="G47" s="4">
        <v>0</v>
      </c>
      <c r="H47" s="50"/>
    </row>
    <row r="48" spans="1:8" x14ac:dyDescent="0.2">
      <c r="A48" s="1"/>
      <c r="B48" s="1"/>
      <c r="C48" s="5"/>
      <c r="D48" s="1"/>
      <c r="E48" s="1"/>
      <c r="F48" s="6"/>
      <c r="G48" s="6"/>
      <c r="H48" s="50"/>
    </row>
    <row r="49" spans="1:8" x14ac:dyDescent="0.2">
      <c r="A49" s="1"/>
      <c r="B49" s="1"/>
      <c r="C49" s="2" t="s">
        <v>56</v>
      </c>
      <c r="D49" s="1"/>
      <c r="E49" s="1"/>
      <c r="F49" s="7">
        <v>7106.4427699999997</v>
      </c>
      <c r="G49" s="8">
        <v>0.87007046399999999</v>
      </c>
      <c r="H49" s="50"/>
    </row>
    <row r="50" spans="1:8" x14ac:dyDescent="0.2">
      <c r="A50" s="1"/>
      <c r="B50" s="1"/>
      <c r="C50" s="5"/>
      <c r="D50" s="1"/>
      <c r="E50" s="1"/>
      <c r="F50" s="6"/>
      <c r="G50" s="6"/>
      <c r="H50" s="50"/>
    </row>
    <row r="51" spans="1:8" x14ac:dyDescent="0.2">
      <c r="A51" s="1"/>
      <c r="B51" s="1"/>
      <c r="C51" s="2" t="s">
        <v>57</v>
      </c>
      <c r="D51" s="1"/>
      <c r="E51" s="1"/>
      <c r="F51" s="6"/>
      <c r="G51" s="6"/>
      <c r="H51" s="50"/>
    </row>
    <row r="52" spans="1:8" x14ac:dyDescent="0.2">
      <c r="A52" s="1"/>
      <c r="B52" s="1"/>
      <c r="C52" s="2" t="s">
        <v>58</v>
      </c>
      <c r="D52" s="1"/>
      <c r="E52" s="1"/>
      <c r="F52" s="6"/>
      <c r="G52" s="6"/>
      <c r="H52" s="50"/>
    </row>
    <row r="53" spans="1:8" x14ac:dyDescent="0.2">
      <c r="A53" s="1"/>
      <c r="B53" s="1"/>
      <c r="C53" s="2" t="s">
        <v>10</v>
      </c>
      <c r="D53" s="1"/>
      <c r="E53" s="1" t="s">
        <v>11</v>
      </c>
      <c r="F53" s="3">
        <v>0</v>
      </c>
      <c r="G53" s="4">
        <v>0</v>
      </c>
      <c r="H53" s="50"/>
    </row>
    <row r="54" spans="1:8" x14ac:dyDescent="0.2">
      <c r="A54" s="1"/>
      <c r="B54" s="1"/>
      <c r="C54" s="5"/>
      <c r="D54" s="1"/>
      <c r="E54" s="1"/>
      <c r="F54" s="6"/>
      <c r="G54" s="6"/>
      <c r="H54" s="50"/>
    </row>
    <row r="55" spans="1:8" x14ac:dyDescent="0.2">
      <c r="A55" s="1"/>
      <c r="B55" s="1"/>
      <c r="C55" s="2" t="s">
        <v>64</v>
      </c>
      <c r="D55" s="1"/>
      <c r="E55" s="1"/>
      <c r="F55" s="6"/>
      <c r="G55" s="6"/>
      <c r="H55" s="50"/>
    </row>
    <row r="56" spans="1:8" x14ac:dyDescent="0.2">
      <c r="A56" s="1"/>
      <c r="B56" s="1"/>
      <c r="C56" s="2" t="s">
        <v>10</v>
      </c>
      <c r="D56" s="1"/>
      <c r="E56" s="1" t="s">
        <v>11</v>
      </c>
      <c r="F56" s="3">
        <v>0</v>
      </c>
      <c r="G56" s="4">
        <v>0</v>
      </c>
      <c r="H56" s="50"/>
    </row>
    <row r="57" spans="1:8" x14ac:dyDescent="0.2">
      <c r="A57" s="1"/>
      <c r="B57" s="1"/>
      <c r="C57" s="5"/>
      <c r="D57" s="1"/>
      <c r="E57" s="1"/>
      <c r="F57" s="6"/>
      <c r="G57" s="6"/>
      <c r="H57" s="50"/>
    </row>
    <row r="58" spans="1:8" x14ac:dyDescent="0.2">
      <c r="A58" s="1"/>
      <c r="B58" s="1"/>
      <c r="C58" s="2" t="s">
        <v>67</v>
      </c>
      <c r="D58" s="1"/>
      <c r="E58" s="1"/>
      <c r="F58" s="6"/>
      <c r="G58" s="6"/>
      <c r="H58" s="50"/>
    </row>
    <row r="59" spans="1:8" x14ac:dyDescent="0.2">
      <c r="A59" s="9">
        <v>1</v>
      </c>
      <c r="B59" s="10" t="s">
        <v>259</v>
      </c>
      <c r="C59" s="10" t="s">
        <v>421</v>
      </c>
      <c r="D59" s="10" t="s">
        <v>49</v>
      </c>
      <c r="E59" s="11">
        <v>200000</v>
      </c>
      <c r="F59" s="12">
        <v>198.83699999999999</v>
      </c>
      <c r="G59" s="13">
        <v>2.4344416000000001E-2</v>
      </c>
      <c r="H59" s="50">
        <v>3.5001000000000002</v>
      </c>
    </row>
    <row r="60" spans="1:8" x14ac:dyDescent="0.2">
      <c r="A60" s="9">
        <v>2</v>
      </c>
      <c r="B60" s="10" t="s">
        <v>260</v>
      </c>
      <c r="C60" s="10" t="s">
        <v>422</v>
      </c>
      <c r="D60" s="10" t="s">
        <v>49</v>
      </c>
      <c r="E60" s="11">
        <v>200000</v>
      </c>
      <c r="F60" s="12">
        <v>198.40940000000001</v>
      </c>
      <c r="G60" s="13">
        <v>2.4292062999999999E-2</v>
      </c>
      <c r="H60" s="50">
        <v>3.5684</v>
      </c>
    </row>
    <row r="61" spans="1:8" x14ac:dyDescent="0.2">
      <c r="A61" s="1"/>
      <c r="B61" s="1"/>
      <c r="C61" s="2" t="s">
        <v>10</v>
      </c>
      <c r="D61" s="1"/>
      <c r="E61" s="1" t="s">
        <v>11</v>
      </c>
      <c r="F61" s="7">
        <v>397.24639999999999</v>
      </c>
      <c r="G61" s="8">
        <v>4.8636479000000003E-2</v>
      </c>
      <c r="H61" s="50"/>
    </row>
    <row r="62" spans="1:8" x14ac:dyDescent="0.2">
      <c r="A62" s="1"/>
      <c r="B62" s="1"/>
      <c r="C62" s="5"/>
      <c r="D62" s="1"/>
      <c r="E62" s="1"/>
      <c r="F62" s="6"/>
      <c r="G62" s="6"/>
      <c r="H62" s="50"/>
    </row>
    <row r="63" spans="1:8" x14ac:dyDescent="0.2">
      <c r="A63" s="1"/>
      <c r="B63" s="1"/>
      <c r="C63" s="2" t="s">
        <v>69</v>
      </c>
      <c r="D63" s="1"/>
      <c r="E63" s="1"/>
      <c r="F63" s="6"/>
      <c r="G63" s="6"/>
      <c r="H63" s="50"/>
    </row>
    <row r="64" spans="1:8" x14ac:dyDescent="0.2">
      <c r="A64" s="9">
        <v>1</v>
      </c>
      <c r="B64" s="10"/>
      <c r="C64" s="10" t="s">
        <v>70</v>
      </c>
      <c r="D64" s="10"/>
      <c r="E64" s="14"/>
      <c r="F64" s="12">
        <v>239.29243579999999</v>
      </c>
      <c r="G64" s="13">
        <v>2.9297539000000001E-2</v>
      </c>
      <c r="H64" s="50">
        <v>3.4504560529072292</v>
      </c>
    </row>
    <row r="65" spans="1:8" x14ac:dyDescent="0.2">
      <c r="A65" s="9">
        <v>2</v>
      </c>
      <c r="B65" s="10"/>
      <c r="C65" s="10" t="s">
        <v>71</v>
      </c>
      <c r="D65" s="10"/>
      <c r="E65" s="14"/>
      <c r="F65" s="12">
        <v>129.147954</v>
      </c>
      <c r="G65" s="13">
        <v>1.5812105E-2</v>
      </c>
      <c r="H65" s="50">
        <v>3.5655822479098256</v>
      </c>
    </row>
    <row r="66" spans="1:8" x14ac:dyDescent="0.2">
      <c r="A66" s="1"/>
      <c r="B66" s="1"/>
      <c r="C66" s="2" t="s">
        <v>10</v>
      </c>
      <c r="D66" s="1"/>
      <c r="E66" s="1" t="s">
        <v>11</v>
      </c>
      <c r="F66" s="7">
        <v>368.44038979999999</v>
      </c>
      <c r="G66" s="8">
        <v>4.5109643999999997E-2</v>
      </c>
      <c r="H66" s="50"/>
    </row>
    <row r="67" spans="1:8" x14ac:dyDescent="0.2">
      <c r="A67" s="1"/>
      <c r="B67" s="1"/>
      <c r="C67" s="5"/>
      <c r="D67" s="1"/>
      <c r="E67" s="1"/>
      <c r="F67" s="6"/>
      <c r="G67" s="6"/>
      <c r="H67" s="50"/>
    </row>
    <row r="68" spans="1:8" x14ac:dyDescent="0.2">
      <c r="A68" s="1"/>
      <c r="B68" s="1"/>
      <c r="C68" s="2" t="s">
        <v>72</v>
      </c>
      <c r="D68" s="1"/>
      <c r="E68" s="1"/>
      <c r="F68" s="7">
        <v>765.68678980000004</v>
      </c>
      <c r="G68" s="8">
        <v>9.3746123000000001E-2</v>
      </c>
      <c r="H68" s="50"/>
    </row>
    <row r="69" spans="1:8" x14ac:dyDescent="0.2">
      <c r="A69" s="1"/>
      <c r="B69" s="1"/>
      <c r="C69" s="6"/>
      <c r="D69" s="1"/>
      <c r="E69" s="1"/>
      <c r="F69" s="1"/>
      <c r="G69" s="1"/>
      <c r="H69" s="50"/>
    </row>
    <row r="70" spans="1:8" x14ac:dyDescent="0.2">
      <c r="A70" s="1"/>
      <c r="B70" s="1"/>
      <c r="C70" s="2" t="s">
        <v>73</v>
      </c>
      <c r="D70" s="1"/>
      <c r="E70" s="1"/>
      <c r="F70" s="1"/>
      <c r="G70" s="1"/>
      <c r="H70" s="50"/>
    </row>
    <row r="71" spans="1:8" x14ac:dyDescent="0.2">
      <c r="A71" s="1"/>
      <c r="B71" s="1"/>
      <c r="C71" s="2" t="s">
        <v>74</v>
      </c>
      <c r="D71" s="1"/>
      <c r="E71" s="1"/>
      <c r="F71" s="1"/>
      <c r="G71" s="1"/>
      <c r="H71" s="50"/>
    </row>
    <row r="72" spans="1:8" x14ac:dyDescent="0.2">
      <c r="A72" s="1"/>
      <c r="B72" s="1"/>
      <c r="C72" s="2" t="s">
        <v>10</v>
      </c>
      <c r="D72" s="1"/>
      <c r="E72" s="1" t="s">
        <v>11</v>
      </c>
      <c r="F72" s="3">
        <v>0</v>
      </c>
      <c r="G72" s="4">
        <v>0</v>
      </c>
      <c r="H72" s="50"/>
    </row>
    <row r="73" spans="1:8" x14ac:dyDescent="0.2">
      <c r="A73" s="1"/>
      <c r="B73" s="1"/>
      <c r="C73" s="5"/>
      <c r="D73" s="1"/>
      <c r="E73" s="1"/>
      <c r="F73" s="6"/>
      <c r="G73" s="6"/>
      <c r="H73" s="50"/>
    </row>
    <row r="74" spans="1:8" x14ac:dyDescent="0.2">
      <c r="A74" s="1"/>
      <c r="B74" s="1"/>
      <c r="C74" s="2" t="s">
        <v>75</v>
      </c>
      <c r="D74" s="1"/>
      <c r="E74" s="1"/>
      <c r="F74" s="1"/>
      <c r="G74" s="1"/>
      <c r="H74" s="50"/>
    </row>
    <row r="75" spans="1:8" x14ac:dyDescent="0.2">
      <c r="A75" s="1"/>
      <c r="B75" s="1"/>
      <c r="C75" s="2" t="s">
        <v>76</v>
      </c>
      <c r="D75" s="1"/>
      <c r="E75" s="1"/>
      <c r="F75" s="1"/>
      <c r="G75" s="1"/>
      <c r="H75" s="50"/>
    </row>
    <row r="76" spans="1:8" x14ac:dyDescent="0.2">
      <c r="A76" s="1"/>
      <c r="B76" s="1"/>
      <c r="C76" s="2" t="s">
        <v>10</v>
      </c>
      <c r="D76" s="1"/>
      <c r="E76" s="1" t="s">
        <v>11</v>
      </c>
      <c r="F76" s="3">
        <v>0</v>
      </c>
      <c r="G76" s="4">
        <v>0</v>
      </c>
      <c r="H76" s="50"/>
    </row>
    <row r="77" spans="1:8" x14ac:dyDescent="0.2">
      <c r="A77" s="1"/>
      <c r="B77" s="1"/>
      <c r="C77" s="5"/>
      <c r="D77" s="1"/>
      <c r="E77" s="1"/>
      <c r="F77" s="6"/>
      <c r="G77" s="6"/>
      <c r="H77" s="50"/>
    </row>
    <row r="78" spans="1:8" ht="25.5" x14ac:dyDescent="0.2">
      <c r="A78" s="1"/>
      <c r="B78" s="1"/>
      <c r="C78" s="2" t="s">
        <v>77</v>
      </c>
      <c r="D78" s="1"/>
      <c r="E78" s="1"/>
      <c r="F78" s="6"/>
      <c r="G78" s="6"/>
      <c r="H78" s="50"/>
    </row>
    <row r="79" spans="1:8" x14ac:dyDescent="0.2">
      <c r="A79" s="1"/>
      <c r="B79" s="1"/>
      <c r="C79" s="2" t="s">
        <v>10</v>
      </c>
      <c r="D79" s="1"/>
      <c r="E79" s="1" t="s">
        <v>11</v>
      </c>
      <c r="F79" s="3">
        <v>0</v>
      </c>
      <c r="G79" s="4">
        <v>0</v>
      </c>
      <c r="H79" s="50"/>
    </row>
    <row r="80" spans="1:8" x14ac:dyDescent="0.2">
      <c r="A80" s="1"/>
      <c r="B80" s="1"/>
      <c r="C80" s="5"/>
      <c r="D80" s="1"/>
      <c r="E80" s="1"/>
      <c r="F80" s="6"/>
      <c r="G80" s="6"/>
      <c r="H80" s="50"/>
    </row>
    <row r="81" spans="1:8" x14ac:dyDescent="0.2">
      <c r="A81" s="1"/>
      <c r="B81" s="10"/>
      <c r="C81" s="10"/>
      <c r="D81" s="2"/>
      <c r="E81" s="1"/>
      <c r="F81" s="10"/>
      <c r="G81" s="14"/>
      <c r="H81" s="50"/>
    </row>
    <row r="82" spans="1:8" x14ac:dyDescent="0.2">
      <c r="A82" s="14"/>
      <c r="B82" s="10"/>
      <c r="C82" s="10" t="s">
        <v>78</v>
      </c>
      <c r="D82" s="10"/>
      <c r="E82" s="14"/>
      <c r="F82" s="12">
        <v>295.53393792000003</v>
      </c>
      <c r="G82" s="13">
        <v>3.6183412999999998E-2</v>
      </c>
      <c r="H82" s="50"/>
    </row>
    <row r="83" spans="1:8" x14ac:dyDescent="0.2">
      <c r="A83" s="5"/>
      <c r="B83" s="5"/>
      <c r="C83" s="2" t="s">
        <v>79</v>
      </c>
      <c r="D83" s="6"/>
      <c r="E83" s="6"/>
      <c r="F83" s="7">
        <v>8167.6634977200001</v>
      </c>
      <c r="G83" s="8">
        <v>1</v>
      </c>
      <c r="H83" s="50"/>
    </row>
    <row r="84" spans="1:8" ht="14.1" customHeight="1" x14ac:dyDescent="0.2">
      <c r="A84" s="15"/>
      <c r="B84" s="15"/>
      <c r="C84" s="15"/>
      <c r="D84" s="16"/>
      <c r="E84" s="16"/>
      <c r="F84" s="16"/>
      <c r="G84" s="16"/>
    </row>
    <row r="85" spans="1:8" ht="17.100000000000001" customHeight="1" x14ac:dyDescent="0.2">
      <c r="A85" s="17"/>
      <c r="B85" s="154" t="s">
        <v>80</v>
      </c>
      <c r="C85" s="154"/>
      <c r="D85" s="154"/>
      <c r="E85" s="154"/>
      <c r="F85" s="154"/>
      <c r="G85" s="19"/>
    </row>
    <row r="86" spans="1:8" ht="17.100000000000001" customHeight="1" x14ac:dyDescent="0.2">
      <c r="A86" s="17"/>
      <c r="B86" s="154" t="s">
        <v>81</v>
      </c>
      <c r="C86" s="154"/>
      <c r="D86" s="154"/>
      <c r="E86" s="154"/>
      <c r="F86" s="154"/>
      <c r="G86" s="19"/>
    </row>
    <row r="87" spans="1:8" ht="14.1" customHeight="1" x14ac:dyDescent="0.2">
      <c r="A87" s="17"/>
      <c r="B87" s="154" t="s">
        <v>11</v>
      </c>
      <c r="C87" s="154"/>
      <c r="D87" s="154"/>
      <c r="E87" s="154"/>
      <c r="F87" s="154"/>
      <c r="G87" s="19"/>
    </row>
    <row r="88" spans="1:8" ht="14.1" customHeight="1" x14ac:dyDescent="0.2">
      <c r="A88" s="17"/>
      <c r="B88" s="17"/>
      <c r="C88" s="17"/>
      <c r="D88" s="19"/>
      <c r="E88" s="19"/>
      <c r="F88" s="19"/>
      <c r="G88" s="19"/>
    </row>
    <row r="89" spans="1:8" ht="14.1" customHeight="1" x14ac:dyDescent="0.2">
      <c r="A89" s="17"/>
      <c r="B89" s="155" t="s">
        <v>82</v>
      </c>
      <c r="C89" s="156"/>
      <c r="D89" s="157"/>
      <c r="E89" s="20"/>
      <c r="F89" s="19"/>
      <c r="G89" s="19"/>
    </row>
    <row r="90" spans="1:8" ht="29.1" customHeight="1" x14ac:dyDescent="0.2">
      <c r="A90" s="17"/>
      <c r="B90" s="149" t="s">
        <v>83</v>
      </c>
      <c r="C90" s="150"/>
      <c r="D90" s="2" t="s">
        <v>84</v>
      </c>
      <c r="E90" s="20"/>
      <c r="F90" s="19"/>
      <c r="G90" s="19"/>
    </row>
    <row r="91" spans="1:8" ht="17.100000000000001" customHeight="1" x14ac:dyDescent="0.2">
      <c r="A91" s="17"/>
      <c r="B91" s="149" t="s">
        <v>85</v>
      </c>
      <c r="C91" s="150"/>
      <c r="D91" s="2" t="s">
        <v>84</v>
      </c>
      <c r="E91" s="20"/>
      <c r="F91" s="19"/>
      <c r="G91" s="19"/>
    </row>
    <row r="92" spans="1:8" ht="17.100000000000001" customHeight="1" x14ac:dyDescent="0.2">
      <c r="A92" s="17"/>
      <c r="B92" s="149" t="s">
        <v>86</v>
      </c>
      <c r="C92" s="150"/>
      <c r="D92" s="6" t="s">
        <v>11</v>
      </c>
      <c r="E92" s="20"/>
      <c r="F92" s="19"/>
      <c r="G92" s="19"/>
    </row>
    <row r="93" spans="1:8" ht="24" customHeight="1" x14ac:dyDescent="0.2">
      <c r="A93" s="21"/>
      <c r="B93" s="22" t="s">
        <v>11</v>
      </c>
      <c r="C93" s="22" t="s">
        <v>87</v>
      </c>
      <c r="D93" s="22" t="s">
        <v>88</v>
      </c>
      <c r="E93" s="21"/>
      <c r="F93" s="21"/>
      <c r="G93" s="21"/>
    </row>
    <row r="94" spans="1:8" ht="18" customHeight="1" x14ac:dyDescent="0.2">
      <c r="A94" s="21"/>
      <c r="B94" s="23" t="s">
        <v>89</v>
      </c>
      <c r="C94" s="22" t="s">
        <v>90</v>
      </c>
      <c r="D94" s="22" t="s">
        <v>91</v>
      </c>
      <c r="E94" s="21"/>
      <c r="F94" s="21"/>
      <c r="G94" s="21"/>
    </row>
    <row r="95" spans="1:8" x14ac:dyDescent="0.2">
      <c r="A95" s="21"/>
      <c r="B95" s="10" t="s">
        <v>92</v>
      </c>
      <c r="C95" s="24">
        <v>12.403</v>
      </c>
      <c r="D95" s="24">
        <v>12.444900000000001</v>
      </c>
      <c r="E95" s="21"/>
      <c r="F95" s="18"/>
      <c r="G95" s="25"/>
    </row>
    <row r="96" spans="1:8" x14ac:dyDescent="0.2">
      <c r="A96" s="21"/>
      <c r="B96" s="10" t="s">
        <v>93</v>
      </c>
      <c r="C96" s="24">
        <v>12.3629</v>
      </c>
      <c r="D96" s="24">
        <v>12.4034</v>
      </c>
      <c r="E96" s="21"/>
      <c r="F96" s="18"/>
      <c r="G96" s="25"/>
    </row>
    <row r="97" spans="1:16" x14ac:dyDescent="0.2">
      <c r="A97" s="21"/>
      <c r="B97" s="10" t="s">
        <v>472</v>
      </c>
      <c r="C97" s="24">
        <v>12.3628</v>
      </c>
      <c r="D97" s="24">
        <v>12.4033</v>
      </c>
      <c r="E97" s="21"/>
      <c r="F97" s="18"/>
      <c r="G97" s="25"/>
    </row>
    <row r="98" spans="1:16" ht="14.1" customHeight="1" x14ac:dyDescent="0.2">
      <c r="A98" s="21"/>
      <c r="B98" s="21"/>
      <c r="C98" s="21"/>
      <c r="D98" s="21"/>
      <c r="E98" s="21"/>
      <c r="F98" s="21"/>
      <c r="G98" s="21"/>
    </row>
    <row r="99" spans="1:16" ht="17.100000000000001" customHeight="1" x14ac:dyDescent="0.2">
      <c r="A99" s="21"/>
      <c r="B99" s="149" t="s">
        <v>468</v>
      </c>
      <c r="C99" s="150"/>
      <c r="D99" s="2" t="s">
        <v>84</v>
      </c>
      <c r="E99" s="21"/>
      <c r="F99" s="21"/>
      <c r="G99" s="21"/>
    </row>
    <row r="100" spans="1:16" ht="18" customHeight="1" x14ac:dyDescent="0.2">
      <c r="A100" s="21"/>
      <c r="B100" s="33"/>
      <c r="C100" s="33"/>
      <c r="D100" s="33"/>
      <c r="E100" s="21"/>
      <c r="F100" s="21"/>
      <c r="G100" s="21"/>
    </row>
    <row r="101" spans="1:16" x14ac:dyDescent="0.2">
      <c r="A101" s="55"/>
      <c r="B101" s="153" t="s">
        <v>479</v>
      </c>
      <c r="C101" s="153"/>
      <c r="D101" s="153"/>
      <c r="E101" s="153"/>
      <c r="F101" s="153"/>
      <c r="G101" s="55"/>
      <c r="I101"/>
      <c r="J101"/>
      <c r="K101"/>
      <c r="L101"/>
      <c r="M101"/>
      <c r="N101"/>
      <c r="O101"/>
      <c r="P101"/>
    </row>
    <row r="102" spans="1:16" ht="14.1" customHeight="1" x14ac:dyDescent="0.2">
      <c r="A102" s="21"/>
      <c r="B102" s="18"/>
      <c r="C102" s="18"/>
      <c r="D102" s="21"/>
      <c r="E102" s="21"/>
      <c r="F102" s="21"/>
      <c r="G102" s="21"/>
    </row>
    <row r="103" spans="1:16" ht="29.1" customHeight="1" x14ac:dyDescent="0.2">
      <c r="A103" s="21"/>
      <c r="B103" s="149" t="s">
        <v>98</v>
      </c>
      <c r="C103" s="150"/>
      <c r="D103" s="2" t="s">
        <v>84</v>
      </c>
      <c r="E103" s="31"/>
      <c r="F103" s="21"/>
      <c r="G103" s="21"/>
    </row>
    <row r="104" spans="1:16" ht="29.1" customHeight="1" x14ac:dyDescent="0.2">
      <c r="A104" s="21"/>
      <c r="B104" s="149" t="s">
        <v>99</v>
      </c>
      <c r="C104" s="150"/>
      <c r="D104" s="2" t="s">
        <v>84</v>
      </c>
      <c r="E104" s="31"/>
      <c r="F104" s="21"/>
      <c r="G104" s="21"/>
    </row>
    <row r="105" spans="1:16" ht="17.100000000000001" customHeight="1" x14ac:dyDescent="0.2">
      <c r="A105" s="21"/>
      <c r="B105" s="149" t="s">
        <v>100</v>
      </c>
      <c r="C105" s="150"/>
      <c r="D105" s="32">
        <v>0.19880208961856041</v>
      </c>
      <c r="E105" s="31"/>
      <c r="F105" s="21"/>
      <c r="G105" s="21"/>
    </row>
    <row r="106" spans="1:16" ht="17.100000000000001" customHeight="1" x14ac:dyDescent="0.2">
      <c r="A106" s="21"/>
      <c r="B106" s="149" t="s">
        <v>101</v>
      </c>
      <c r="C106" s="150"/>
      <c r="D106" s="32">
        <v>0.19780649828252045</v>
      </c>
      <c r="E106" s="31"/>
      <c r="F106" s="21"/>
      <c r="G106" s="21"/>
    </row>
    <row r="107" spans="1:16" ht="17.100000000000001" customHeight="1" x14ac:dyDescent="0.2">
      <c r="A107" s="21"/>
      <c r="B107" s="149" t="s">
        <v>102</v>
      </c>
      <c r="C107" s="150"/>
      <c r="D107" s="2" t="s">
        <v>84</v>
      </c>
      <c r="E107" s="31"/>
      <c r="F107" s="21"/>
      <c r="G107" s="21"/>
    </row>
    <row r="108" spans="1:16" ht="14.1" customHeight="1" x14ac:dyDescent="0.2">
      <c r="A108" s="21"/>
      <c r="B108" s="151"/>
      <c r="C108" s="151"/>
      <c r="D108" s="30"/>
      <c r="E108" s="21"/>
      <c r="F108" s="18"/>
      <c r="G108" s="25"/>
    </row>
  </sheetData>
  <mergeCells count="19">
    <mergeCell ref="B108:C108"/>
    <mergeCell ref="A1:H1"/>
    <mergeCell ref="A2:H2"/>
    <mergeCell ref="A3:H3"/>
    <mergeCell ref="B101:F101"/>
    <mergeCell ref="B103:C103"/>
    <mergeCell ref="B85:F85"/>
    <mergeCell ref="B86:F86"/>
    <mergeCell ref="B87:F87"/>
    <mergeCell ref="B89:D89"/>
    <mergeCell ref="B90:C90"/>
    <mergeCell ref="B91:C91"/>
    <mergeCell ref="B92:C92"/>
    <mergeCell ref="B99:C99"/>
    <mergeCell ref="J2:N2"/>
    <mergeCell ref="B104:C104"/>
    <mergeCell ref="B105:C105"/>
    <mergeCell ref="B106:C106"/>
    <mergeCell ref="B107:C107"/>
  </mergeCells>
  <pageMargins left="5.000000074505806E-2" right="5.000000074505806E-2" top="0.30000001192092896" bottom="0.20000000298023224" header="0" footer="0"/>
  <pageSetup paperSize="9" orientation="landscape" r:id="rId1"/>
  <headerFooter alignWithMargins="0"/>
  <rowBreaks count="1" manualBreakCount="1">
    <brk max="65535"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P11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16" width="9.140625" style="57"/>
  </cols>
  <sheetData>
    <row r="1" spans="1:16" ht="18" customHeight="1" x14ac:dyDescent="0.2">
      <c r="A1" s="152" t="s">
        <v>0</v>
      </c>
      <c r="B1" s="152"/>
      <c r="C1" s="152"/>
      <c r="D1" s="152"/>
      <c r="E1" s="152"/>
      <c r="F1" s="152"/>
      <c r="G1" s="152"/>
      <c r="H1" s="152"/>
    </row>
    <row r="2" spans="1:16" ht="17.100000000000001" customHeight="1" x14ac:dyDescent="0.2">
      <c r="A2" s="152" t="s">
        <v>286</v>
      </c>
      <c r="B2" s="152"/>
      <c r="C2" s="152"/>
      <c r="D2" s="152"/>
      <c r="E2" s="152"/>
      <c r="F2" s="152"/>
      <c r="G2" s="152"/>
      <c r="H2" s="152"/>
      <c r="J2" s="148" t="s">
        <v>631</v>
      </c>
      <c r="K2" s="148"/>
      <c r="L2" s="148"/>
      <c r="M2" s="148"/>
      <c r="N2" s="148"/>
    </row>
    <row r="3" spans="1:16" ht="21" customHeight="1" x14ac:dyDescent="0.2">
      <c r="A3" s="152" t="s">
        <v>480</v>
      </c>
      <c r="B3" s="152"/>
      <c r="C3" s="152"/>
      <c r="D3" s="152"/>
      <c r="E3" s="152"/>
      <c r="F3" s="152"/>
      <c r="G3" s="152"/>
      <c r="H3" s="152"/>
    </row>
    <row r="4" spans="1:16" s="59" customFormat="1" ht="30" x14ac:dyDescent="0.2">
      <c r="A4" s="58" t="s">
        <v>1</v>
      </c>
      <c r="B4" s="58" t="s">
        <v>2</v>
      </c>
      <c r="C4" s="58" t="s">
        <v>3</v>
      </c>
      <c r="D4" s="58" t="s">
        <v>4</v>
      </c>
      <c r="E4" s="58" t="s">
        <v>5</v>
      </c>
      <c r="F4" s="58" t="s">
        <v>6</v>
      </c>
      <c r="G4" s="58" t="s">
        <v>7</v>
      </c>
      <c r="H4" s="49" t="s">
        <v>452</v>
      </c>
      <c r="I4" s="135"/>
      <c r="J4" s="135"/>
      <c r="K4" s="135"/>
      <c r="L4" s="135"/>
      <c r="M4" s="135"/>
      <c r="N4" s="135"/>
      <c r="O4" s="135"/>
      <c r="P4" s="135"/>
    </row>
    <row r="5" spans="1:16" x14ac:dyDescent="0.2">
      <c r="A5" s="1"/>
      <c r="B5" s="1"/>
      <c r="C5" s="2" t="s">
        <v>8</v>
      </c>
      <c r="D5" s="1"/>
      <c r="E5" s="1"/>
      <c r="F5" s="1"/>
      <c r="G5" s="1"/>
      <c r="H5" s="50"/>
    </row>
    <row r="6" spans="1:16" ht="25.5" x14ac:dyDescent="0.2">
      <c r="A6" s="1"/>
      <c r="B6" s="1"/>
      <c r="C6" s="2" t="s">
        <v>9</v>
      </c>
      <c r="D6" s="1"/>
      <c r="E6" s="1"/>
      <c r="F6" s="1"/>
      <c r="G6" s="1"/>
      <c r="H6" s="50"/>
    </row>
    <row r="7" spans="1:16" x14ac:dyDescent="0.2">
      <c r="A7" s="1"/>
      <c r="B7" s="1"/>
      <c r="C7" s="2" t="s">
        <v>10</v>
      </c>
      <c r="D7" s="1"/>
      <c r="E7" s="1" t="s">
        <v>11</v>
      </c>
      <c r="F7" s="3">
        <v>0</v>
      </c>
      <c r="G7" s="4">
        <v>0</v>
      </c>
      <c r="H7" s="50"/>
    </row>
    <row r="8" spans="1:16" x14ac:dyDescent="0.2">
      <c r="A8" s="1"/>
      <c r="B8" s="1"/>
      <c r="C8" s="5"/>
      <c r="D8" s="1"/>
      <c r="E8" s="1"/>
      <c r="F8" s="6"/>
      <c r="G8" s="6"/>
      <c r="H8" s="50"/>
    </row>
    <row r="9" spans="1:16" x14ac:dyDescent="0.2">
      <c r="A9" s="1"/>
      <c r="B9" s="1"/>
      <c r="C9" s="2" t="s">
        <v>12</v>
      </c>
      <c r="D9" s="1"/>
      <c r="E9" s="1"/>
      <c r="F9" s="1"/>
      <c r="G9" s="1"/>
      <c r="H9" s="50"/>
    </row>
    <row r="10" spans="1:16" x14ac:dyDescent="0.2">
      <c r="A10" s="1"/>
      <c r="B10" s="1"/>
      <c r="C10" s="2" t="s">
        <v>10</v>
      </c>
      <c r="D10" s="1"/>
      <c r="E10" s="1" t="s">
        <v>11</v>
      </c>
      <c r="F10" s="3">
        <v>0</v>
      </c>
      <c r="G10" s="4">
        <v>0</v>
      </c>
      <c r="H10" s="50"/>
    </row>
    <row r="11" spans="1:16" x14ac:dyDescent="0.2">
      <c r="A11" s="1"/>
      <c r="B11" s="1"/>
      <c r="C11" s="5"/>
      <c r="D11" s="1"/>
      <c r="E11" s="1"/>
      <c r="F11" s="6"/>
      <c r="G11" s="6"/>
      <c r="H11" s="50"/>
    </row>
    <row r="12" spans="1:16" x14ac:dyDescent="0.2">
      <c r="A12" s="1"/>
      <c r="B12" s="1"/>
      <c r="C12" s="2" t="s">
        <v>13</v>
      </c>
      <c r="D12" s="1"/>
      <c r="E12" s="1"/>
      <c r="F12" s="1"/>
      <c r="G12" s="1"/>
      <c r="H12" s="50"/>
    </row>
    <row r="13" spans="1:16" x14ac:dyDescent="0.2">
      <c r="A13" s="1"/>
      <c r="B13" s="1"/>
      <c r="C13" s="2" t="s">
        <v>10</v>
      </c>
      <c r="D13" s="1"/>
      <c r="E13" s="1" t="s">
        <v>11</v>
      </c>
      <c r="F13" s="3">
        <v>0</v>
      </c>
      <c r="G13" s="4">
        <v>0</v>
      </c>
      <c r="H13" s="50"/>
    </row>
    <row r="14" spans="1:16" x14ac:dyDescent="0.2">
      <c r="A14" s="1"/>
      <c r="B14" s="1"/>
      <c r="C14" s="5"/>
      <c r="D14" s="1"/>
      <c r="E14" s="1"/>
      <c r="F14" s="6"/>
      <c r="G14" s="6"/>
      <c r="H14" s="50"/>
    </row>
    <row r="15" spans="1:16" x14ac:dyDescent="0.2">
      <c r="A15" s="1"/>
      <c r="B15" s="1"/>
      <c r="C15" s="2" t="s">
        <v>14</v>
      </c>
      <c r="D15" s="1"/>
      <c r="E15" s="1"/>
      <c r="F15" s="1"/>
      <c r="G15" s="1"/>
      <c r="H15" s="50"/>
    </row>
    <row r="16" spans="1:16" ht="15" x14ac:dyDescent="0.25">
      <c r="A16" s="1"/>
      <c r="B16" s="1"/>
      <c r="C16" s="2" t="s">
        <v>10</v>
      </c>
      <c r="D16" s="1"/>
      <c r="E16" s="1" t="s">
        <v>11</v>
      </c>
      <c r="F16" s="3">
        <v>0</v>
      </c>
      <c r="G16" s="4">
        <v>0</v>
      </c>
      <c r="H16" s="50"/>
      <c r="J16" s="137" t="s">
        <v>648</v>
      </c>
      <c r="K16" s="138"/>
      <c r="L16" s="138"/>
      <c r="M16" s="138"/>
      <c r="N16" s="138"/>
      <c r="O16" s="138"/>
    </row>
    <row r="17" spans="1:16" x14ac:dyDescent="0.2">
      <c r="A17" s="1"/>
      <c r="B17" s="1"/>
      <c r="C17" s="5"/>
      <c r="D17" s="1"/>
      <c r="E17" s="1"/>
      <c r="F17" s="6"/>
      <c r="G17" s="6"/>
      <c r="H17" s="50"/>
    </row>
    <row r="18" spans="1:16" x14ac:dyDescent="0.2">
      <c r="A18" s="1"/>
      <c r="B18" s="1"/>
      <c r="C18" s="2" t="s">
        <v>15</v>
      </c>
      <c r="D18" s="1"/>
      <c r="E18" s="1"/>
      <c r="F18" s="6"/>
      <c r="G18" s="6"/>
      <c r="H18" s="50"/>
    </row>
    <row r="19" spans="1:16" x14ac:dyDescent="0.2">
      <c r="A19" s="1"/>
      <c r="B19" s="1"/>
      <c r="C19" s="2" t="s">
        <v>10</v>
      </c>
      <c r="D19" s="1"/>
      <c r="E19" s="1" t="s">
        <v>11</v>
      </c>
      <c r="F19" s="3">
        <v>0</v>
      </c>
      <c r="G19" s="4">
        <v>0</v>
      </c>
      <c r="H19" s="50"/>
    </row>
    <row r="20" spans="1:16" x14ac:dyDescent="0.2">
      <c r="A20" s="1"/>
      <c r="B20" s="1"/>
      <c r="C20" s="5"/>
      <c r="D20" s="1"/>
      <c r="E20" s="1"/>
      <c r="F20" s="6"/>
      <c r="G20" s="6"/>
      <c r="H20" s="50"/>
    </row>
    <row r="21" spans="1:16" x14ac:dyDescent="0.2">
      <c r="A21" s="1"/>
      <c r="B21" s="1"/>
      <c r="C21" s="2" t="s">
        <v>16</v>
      </c>
      <c r="D21" s="1"/>
      <c r="E21" s="1"/>
      <c r="F21" s="6"/>
      <c r="G21" s="6"/>
      <c r="H21" s="50"/>
    </row>
    <row r="22" spans="1:16" x14ac:dyDescent="0.2">
      <c r="A22" s="1"/>
      <c r="B22" s="1"/>
      <c r="C22" s="2" t="s">
        <v>10</v>
      </c>
      <c r="D22" s="1"/>
      <c r="E22" s="1" t="s">
        <v>11</v>
      </c>
      <c r="F22" s="3">
        <v>0</v>
      </c>
      <c r="G22" s="4">
        <v>0</v>
      </c>
      <c r="H22" s="50"/>
    </row>
    <row r="23" spans="1:16" x14ac:dyDescent="0.2">
      <c r="A23" s="1"/>
      <c r="B23" s="1"/>
      <c r="C23" s="5"/>
      <c r="D23" s="1"/>
      <c r="E23" s="1"/>
      <c r="F23" s="6"/>
      <c r="G23" s="6"/>
      <c r="H23" s="50"/>
    </row>
    <row r="24" spans="1:16" x14ac:dyDescent="0.2">
      <c r="A24" s="1"/>
      <c r="B24" s="1"/>
      <c r="C24" s="2" t="s">
        <v>17</v>
      </c>
      <c r="D24" s="1"/>
      <c r="E24" s="1"/>
      <c r="F24" s="7">
        <v>0</v>
      </c>
      <c r="G24" s="8">
        <v>0</v>
      </c>
      <c r="H24" s="50"/>
    </row>
    <row r="25" spans="1:16" x14ac:dyDescent="0.2">
      <c r="A25" s="1"/>
      <c r="B25" s="1"/>
      <c r="C25" s="5"/>
      <c r="D25" s="1"/>
      <c r="E25" s="1"/>
      <c r="F25" s="6"/>
      <c r="G25" s="6"/>
      <c r="H25" s="50"/>
    </row>
    <row r="26" spans="1:16" x14ac:dyDescent="0.2">
      <c r="A26" s="1"/>
      <c r="B26" s="1"/>
      <c r="C26" s="2" t="s">
        <v>18</v>
      </c>
      <c r="D26" s="1"/>
      <c r="E26" s="1"/>
      <c r="F26" s="6"/>
      <c r="G26" s="6"/>
      <c r="H26" s="50"/>
    </row>
    <row r="27" spans="1:16" ht="25.5" x14ac:dyDescent="0.2">
      <c r="A27" s="1"/>
      <c r="B27" s="1"/>
      <c r="C27" s="2" t="s">
        <v>9</v>
      </c>
      <c r="D27" s="1"/>
      <c r="E27" s="1"/>
      <c r="F27" s="6"/>
      <c r="G27" s="6"/>
      <c r="H27" s="50"/>
    </row>
    <row r="28" spans="1:16" x14ac:dyDescent="0.2">
      <c r="A28" s="1"/>
      <c r="B28" s="1"/>
      <c r="C28" s="2" t="s">
        <v>10</v>
      </c>
      <c r="D28" s="1"/>
      <c r="E28" s="1" t="s">
        <v>11</v>
      </c>
      <c r="F28" s="3">
        <v>0</v>
      </c>
      <c r="G28" s="4">
        <v>0</v>
      </c>
      <c r="H28" s="50"/>
    </row>
    <row r="29" spans="1:16" x14ac:dyDescent="0.2">
      <c r="A29" s="1"/>
      <c r="B29" s="1"/>
      <c r="C29" s="5"/>
      <c r="D29" s="1"/>
      <c r="E29" s="1"/>
      <c r="F29" s="6"/>
      <c r="G29" s="6"/>
      <c r="H29" s="50"/>
    </row>
    <row r="30" spans="1:16" x14ac:dyDescent="0.2">
      <c r="A30" s="1"/>
      <c r="B30" s="1"/>
      <c r="C30" s="2" t="s">
        <v>46</v>
      </c>
      <c r="D30" s="1"/>
      <c r="E30" s="1"/>
      <c r="F30" s="1"/>
      <c r="G30" s="1"/>
      <c r="H30" s="50"/>
    </row>
    <row r="31" spans="1:16" ht="15" x14ac:dyDescent="0.25">
      <c r="A31" s="1"/>
      <c r="B31" s="1"/>
      <c r="C31" s="2" t="s">
        <v>10</v>
      </c>
      <c r="D31" s="1"/>
      <c r="E31" s="1" t="s">
        <v>11</v>
      </c>
      <c r="F31" s="3">
        <v>0</v>
      </c>
      <c r="G31" s="4">
        <v>0</v>
      </c>
      <c r="H31" s="50"/>
      <c r="J31" s="137" t="s">
        <v>649</v>
      </c>
      <c r="K31" s="138"/>
      <c r="L31" s="138"/>
      <c r="M31" s="138"/>
      <c r="N31" s="138"/>
      <c r="O31"/>
      <c r="P31"/>
    </row>
    <row r="32" spans="1:16" x14ac:dyDescent="0.2">
      <c r="A32" s="1"/>
      <c r="B32" s="1"/>
      <c r="C32" s="5"/>
      <c r="D32" s="1"/>
      <c r="E32" s="1"/>
      <c r="F32" s="6"/>
      <c r="G32" s="6"/>
      <c r="H32" s="50"/>
      <c r="O32"/>
      <c r="P32"/>
    </row>
    <row r="33" spans="1:16" x14ac:dyDescent="0.2">
      <c r="A33" s="1"/>
      <c r="B33" s="1"/>
      <c r="C33" s="2" t="s">
        <v>47</v>
      </c>
      <c r="D33" s="1"/>
      <c r="E33" s="1"/>
      <c r="F33" s="1"/>
      <c r="G33" s="1"/>
      <c r="H33" s="50"/>
      <c r="O33"/>
      <c r="P33"/>
    </row>
    <row r="34" spans="1:16" x14ac:dyDescent="0.2">
      <c r="A34" s="1"/>
      <c r="B34" s="1"/>
      <c r="C34" s="2" t="s">
        <v>10</v>
      </c>
      <c r="D34" s="1"/>
      <c r="E34" s="1" t="s">
        <v>11</v>
      </c>
      <c r="F34" s="3">
        <v>0</v>
      </c>
      <c r="G34" s="4">
        <v>0</v>
      </c>
      <c r="H34" s="50"/>
      <c r="O34"/>
      <c r="P34"/>
    </row>
    <row r="35" spans="1:16" x14ac:dyDescent="0.2">
      <c r="A35" s="1"/>
      <c r="B35" s="1"/>
      <c r="C35" s="5"/>
      <c r="D35" s="1"/>
      <c r="E35" s="1"/>
      <c r="F35" s="6"/>
      <c r="G35" s="6"/>
      <c r="H35" s="50"/>
      <c r="O35"/>
      <c r="P35"/>
    </row>
    <row r="36" spans="1:16" x14ac:dyDescent="0.2">
      <c r="A36" s="1"/>
      <c r="B36" s="1"/>
      <c r="C36" s="2" t="s">
        <v>55</v>
      </c>
      <c r="D36" s="1"/>
      <c r="E36" s="1"/>
      <c r="F36" s="6"/>
      <c r="G36" s="6"/>
      <c r="H36" s="50"/>
      <c r="O36"/>
      <c r="P36"/>
    </row>
    <row r="37" spans="1:16" x14ac:dyDescent="0.2">
      <c r="A37" s="1"/>
      <c r="B37" s="1"/>
      <c r="C37" s="2" t="s">
        <v>10</v>
      </c>
      <c r="D37" s="1"/>
      <c r="E37" s="1" t="s">
        <v>11</v>
      </c>
      <c r="F37" s="3">
        <v>0</v>
      </c>
      <c r="G37" s="4">
        <v>0</v>
      </c>
      <c r="H37" s="50"/>
      <c r="O37"/>
      <c r="P37"/>
    </row>
    <row r="38" spans="1:16" x14ac:dyDescent="0.2">
      <c r="A38" s="1"/>
      <c r="B38" s="1"/>
      <c r="C38" s="5"/>
      <c r="D38" s="1"/>
      <c r="E38" s="1"/>
      <c r="F38" s="6"/>
      <c r="G38" s="6"/>
      <c r="H38" s="50"/>
      <c r="O38"/>
      <c r="P38"/>
    </row>
    <row r="39" spans="1:16" x14ac:dyDescent="0.2">
      <c r="A39" s="1"/>
      <c r="B39" s="1"/>
      <c r="C39" s="2" t="s">
        <v>56</v>
      </c>
      <c r="D39" s="1"/>
      <c r="E39" s="1"/>
      <c r="F39" s="7">
        <v>0</v>
      </c>
      <c r="G39" s="8">
        <v>0</v>
      </c>
      <c r="H39" s="50"/>
      <c r="O39"/>
      <c r="P39"/>
    </row>
    <row r="40" spans="1:16" x14ac:dyDescent="0.2">
      <c r="A40" s="1"/>
      <c r="B40" s="1"/>
      <c r="C40" s="5"/>
      <c r="D40" s="1"/>
      <c r="E40" s="1"/>
      <c r="F40" s="6"/>
      <c r="G40" s="6"/>
      <c r="H40" s="50"/>
      <c r="O40"/>
      <c r="P40"/>
    </row>
    <row r="41" spans="1:16" x14ac:dyDescent="0.2">
      <c r="A41" s="1"/>
      <c r="B41" s="1"/>
      <c r="C41" s="2" t="s">
        <v>57</v>
      </c>
      <c r="D41" s="1"/>
      <c r="E41" s="1"/>
      <c r="F41" s="6"/>
      <c r="G41" s="6"/>
      <c r="H41" s="50"/>
      <c r="O41"/>
      <c r="P41"/>
    </row>
    <row r="42" spans="1:16" x14ac:dyDescent="0.2">
      <c r="A42" s="1"/>
      <c r="B42" s="1"/>
      <c r="C42" s="2" t="s">
        <v>58</v>
      </c>
      <c r="D42" s="1"/>
      <c r="E42" s="1"/>
      <c r="F42" s="6"/>
      <c r="G42" s="6"/>
      <c r="H42" s="50"/>
      <c r="O42"/>
      <c r="P42"/>
    </row>
    <row r="43" spans="1:16" x14ac:dyDescent="0.2">
      <c r="A43" s="1"/>
      <c r="B43" s="1"/>
      <c r="C43" s="2" t="s">
        <v>10</v>
      </c>
      <c r="D43" s="1"/>
      <c r="E43" s="1" t="s">
        <v>11</v>
      </c>
      <c r="F43" s="3">
        <v>0</v>
      </c>
      <c r="G43" s="4">
        <v>0</v>
      </c>
      <c r="H43" s="50"/>
      <c r="O43"/>
      <c r="P43"/>
    </row>
    <row r="44" spans="1:16" x14ac:dyDescent="0.2">
      <c r="A44" s="1"/>
      <c r="B44" s="1"/>
      <c r="C44" s="5"/>
      <c r="D44" s="1"/>
      <c r="E44" s="1"/>
      <c r="F44" s="6"/>
      <c r="G44" s="6"/>
      <c r="H44" s="50"/>
      <c r="O44"/>
      <c r="P44"/>
    </row>
    <row r="45" spans="1:16" x14ac:dyDescent="0.2">
      <c r="A45" s="1"/>
      <c r="B45" s="1"/>
      <c r="C45" s="2" t="s">
        <v>64</v>
      </c>
      <c r="D45" s="1"/>
      <c r="E45" s="1"/>
      <c r="F45" s="6"/>
      <c r="G45" s="6"/>
      <c r="H45" s="50"/>
      <c r="O45"/>
      <c r="P45"/>
    </row>
    <row r="46" spans="1:16" x14ac:dyDescent="0.2">
      <c r="A46" s="1"/>
      <c r="B46" s="1"/>
      <c r="C46" s="2" t="s">
        <v>10</v>
      </c>
      <c r="D46" s="1"/>
      <c r="E46" s="1" t="s">
        <v>11</v>
      </c>
      <c r="F46" s="3">
        <v>0</v>
      </c>
      <c r="G46" s="4">
        <v>0</v>
      </c>
      <c r="H46" s="50"/>
      <c r="O46"/>
      <c r="P46"/>
    </row>
    <row r="47" spans="1:16" x14ac:dyDescent="0.2">
      <c r="A47" s="1"/>
      <c r="B47" s="1"/>
      <c r="C47" s="5"/>
      <c r="D47" s="1"/>
      <c r="E47" s="1"/>
      <c r="F47" s="6"/>
      <c r="G47" s="6"/>
      <c r="H47" s="50"/>
    </row>
    <row r="48" spans="1:16" x14ac:dyDescent="0.2">
      <c r="A48" s="1"/>
      <c r="B48" s="1"/>
      <c r="C48" s="2" t="s">
        <v>67</v>
      </c>
      <c r="D48" s="1"/>
      <c r="E48" s="1"/>
      <c r="F48" s="6"/>
      <c r="G48" s="6"/>
      <c r="H48" s="50"/>
    </row>
    <row r="49" spans="1:8" x14ac:dyDescent="0.2">
      <c r="A49" s="9">
        <v>1</v>
      </c>
      <c r="B49" s="10" t="s">
        <v>68</v>
      </c>
      <c r="C49" s="10" t="s">
        <v>420</v>
      </c>
      <c r="D49" s="10" t="s">
        <v>49</v>
      </c>
      <c r="E49" s="11">
        <v>2500000</v>
      </c>
      <c r="F49" s="12">
        <v>2466.2750000000001</v>
      </c>
      <c r="G49" s="13">
        <v>0.50571692800000001</v>
      </c>
      <c r="H49" s="50">
        <v>3.81</v>
      </c>
    </row>
    <row r="50" spans="1:8" x14ac:dyDescent="0.2">
      <c r="A50" s="1"/>
      <c r="B50" s="1"/>
      <c r="C50" s="2" t="s">
        <v>10</v>
      </c>
      <c r="D50" s="1"/>
      <c r="E50" s="1" t="s">
        <v>11</v>
      </c>
      <c r="F50" s="7">
        <v>2466.2750000000001</v>
      </c>
      <c r="G50" s="8">
        <v>0.50571692800000001</v>
      </c>
      <c r="H50" s="50"/>
    </row>
    <row r="51" spans="1:8" x14ac:dyDescent="0.2">
      <c r="A51" s="1"/>
      <c r="B51" s="1"/>
      <c r="C51" s="5"/>
      <c r="D51" s="1"/>
      <c r="E51" s="1"/>
      <c r="F51" s="6"/>
      <c r="G51" s="6"/>
      <c r="H51" s="50"/>
    </row>
    <row r="52" spans="1:8" x14ac:dyDescent="0.2">
      <c r="A52" s="1"/>
      <c r="B52" s="1"/>
      <c r="C52" s="2" t="s">
        <v>69</v>
      </c>
      <c r="D52" s="1"/>
      <c r="E52" s="1"/>
      <c r="F52" s="6"/>
      <c r="G52" s="6"/>
      <c r="H52" s="50"/>
    </row>
    <row r="53" spans="1:8" x14ac:dyDescent="0.2">
      <c r="A53" s="9">
        <v>1</v>
      </c>
      <c r="B53" s="10"/>
      <c r="C53" s="10" t="s">
        <v>70</v>
      </c>
      <c r="D53" s="10"/>
      <c r="E53" s="14"/>
      <c r="F53" s="12">
        <v>1548.9613076000001</v>
      </c>
      <c r="G53" s="13">
        <v>0.31761906299999998</v>
      </c>
      <c r="H53" s="50">
        <v>3.4504560529072292</v>
      </c>
    </row>
    <row r="54" spans="1:8" x14ac:dyDescent="0.2">
      <c r="A54" s="9">
        <v>2</v>
      </c>
      <c r="B54" s="10"/>
      <c r="C54" s="10" t="s">
        <v>71</v>
      </c>
      <c r="D54" s="10"/>
      <c r="E54" s="14"/>
      <c r="F54" s="12">
        <v>835.98598509999999</v>
      </c>
      <c r="G54" s="13">
        <v>0.17142138000000001</v>
      </c>
      <c r="H54" s="50">
        <v>3.5655822479098256</v>
      </c>
    </row>
    <row r="55" spans="1:8" x14ac:dyDescent="0.2">
      <c r="A55" s="1"/>
      <c r="B55" s="1"/>
      <c r="C55" s="2" t="s">
        <v>10</v>
      </c>
      <c r="D55" s="1"/>
      <c r="E55" s="1" t="s">
        <v>11</v>
      </c>
      <c r="F55" s="7">
        <v>2384.9472927000002</v>
      </c>
      <c r="G55" s="8">
        <v>0.48904044299999999</v>
      </c>
      <c r="H55" s="50"/>
    </row>
    <row r="56" spans="1:8" x14ac:dyDescent="0.2">
      <c r="A56" s="1"/>
      <c r="B56" s="1"/>
      <c r="C56" s="5"/>
      <c r="D56" s="1"/>
      <c r="E56" s="1"/>
      <c r="F56" s="6"/>
      <c r="G56" s="6"/>
      <c r="H56" s="50"/>
    </row>
    <row r="57" spans="1:8" x14ac:dyDescent="0.2">
      <c r="A57" s="1"/>
      <c r="B57" s="1"/>
      <c r="C57" s="2" t="s">
        <v>72</v>
      </c>
      <c r="D57" s="1"/>
      <c r="E57" s="1"/>
      <c r="F57" s="7">
        <v>4851.2222927000003</v>
      </c>
      <c r="G57" s="8">
        <v>0.99475737099999995</v>
      </c>
      <c r="H57" s="50"/>
    </row>
    <row r="58" spans="1:8" x14ac:dyDescent="0.2">
      <c r="A58" s="1"/>
      <c r="B58" s="1"/>
      <c r="C58" s="6"/>
      <c r="D58" s="1"/>
      <c r="E58" s="1"/>
      <c r="F58" s="1"/>
      <c r="G58" s="1"/>
      <c r="H58" s="50"/>
    </row>
    <row r="59" spans="1:8" x14ac:dyDescent="0.2">
      <c r="A59" s="1"/>
      <c r="B59" s="1"/>
      <c r="C59" s="2" t="s">
        <v>73</v>
      </c>
      <c r="D59" s="1"/>
      <c r="E59" s="1"/>
      <c r="F59" s="1"/>
      <c r="G59" s="1"/>
      <c r="H59" s="50"/>
    </row>
    <row r="60" spans="1:8" x14ac:dyDescent="0.2">
      <c r="A60" s="1"/>
      <c r="B60" s="1"/>
      <c r="C60" s="2" t="s">
        <v>74</v>
      </c>
      <c r="D60" s="1"/>
      <c r="E60" s="1"/>
      <c r="F60" s="1"/>
      <c r="G60" s="1"/>
      <c r="H60" s="50"/>
    </row>
    <row r="61" spans="1:8" x14ac:dyDescent="0.2">
      <c r="A61" s="1"/>
      <c r="B61" s="1"/>
      <c r="C61" s="2" t="s">
        <v>10</v>
      </c>
      <c r="D61" s="1"/>
      <c r="E61" s="1" t="s">
        <v>11</v>
      </c>
      <c r="F61" s="3">
        <v>0</v>
      </c>
      <c r="G61" s="4">
        <v>0</v>
      </c>
      <c r="H61" s="50"/>
    </row>
    <row r="62" spans="1:8" x14ac:dyDescent="0.2">
      <c r="A62" s="1"/>
      <c r="B62" s="1"/>
      <c r="C62" s="5"/>
      <c r="D62" s="1"/>
      <c r="E62" s="1"/>
      <c r="F62" s="6"/>
      <c r="G62" s="6"/>
      <c r="H62" s="50"/>
    </row>
    <row r="63" spans="1:8" x14ac:dyDescent="0.2">
      <c r="A63" s="1"/>
      <c r="B63" s="1"/>
      <c r="C63" s="2" t="s">
        <v>75</v>
      </c>
      <c r="D63" s="1"/>
      <c r="E63" s="1"/>
      <c r="F63" s="1"/>
      <c r="G63" s="1"/>
      <c r="H63" s="50"/>
    </row>
    <row r="64" spans="1:8" x14ac:dyDescent="0.2">
      <c r="A64" s="1"/>
      <c r="B64" s="1"/>
      <c r="C64" s="2" t="s">
        <v>76</v>
      </c>
      <c r="D64" s="1"/>
      <c r="E64" s="1"/>
      <c r="F64" s="1"/>
      <c r="G64" s="1"/>
      <c r="H64" s="50"/>
    </row>
    <row r="65" spans="1:8" x14ac:dyDescent="0.2">
      <c r="A65" s="1"/>
      <c r="B65" s="1"/>
      <c r="C65" s="2" t="s">
        <v>10</v>
      </c>
      <c r="D65" s="1"/>
      <c r="E65" s="1" t="s">
        <v>11</v>
      </c>
      <c r="F65" s="3">
        <v>0</v>
      </c>
      <c r="G65" s="4">
        <v>0</v>
      </c>
      <c r="H65" s="50"/>
    </row>
    <row r="66" spans="1:8" x14ac:dyDescent="0.2">
      <c r="A66" s="1"/>
      <c r="B66" s="1"/>
      <c r="C66" s="5"/>
      <c r="D66" s="1"/>
      <c r="E66" s="1"/>
      <c r="F66" s="6"/>
      <c r="G66" s="6"/>
      <c r="H66" s="50"/>
    </row>
    <row r="67" spans="1:8" ht="25.5" x14ac:dyDescent="0.2">
      <c r="A67" s="1"/>
      <c r="B67" s="1"/>
      <c r="C67" s="2" t="s">
        <v>77</v>
      </c>
      <c r="D67" s="1"/>
      <c r="E67" s="1"/>
      <c r="F67" s="6"/>
      <c r="G67" s="6"/>
      <c r="H67" s="50"/>
    </row>
    <row r="68" spans="1:8" x14ac:dyDescent="0.2">
      <c r="A68" s="1"/>
      <c r="B68" s="1"/>
      <c r="C68" s="2" t="s">
        <v>10</v>
      </c>
      <c r="D68" s="1"/>
      <c r="E68" s="1" t="s">
        <v>11</v>
      </c>
      <c r="F68" s="3">
        <v>0</v>
      </c>
      <c r="G68" s="4">
        <v>0</v>
      </c>
      <c r="H68" s="50"/>
    </row>
    <row r="69" spans="1:8" x14ac:dyDescent="0.2">
      <c r="A69" s="1"/>
      <c r="B69" s="1"/>
      <c r="C69" s="5"/>
      <c r="D69" s="1"/>
      <c r="E69" s="1"/>
      <c r="F69" s="6"/>
      <c r="G69" s="6"/>
      <c r="H69" s="50"/>
    </row>
    <row r="70" spans="1:8" x14ac:dyDescent="0.2">
      <c r="A70" s="1"/>
      <c r="B70" s="10"/>
      <c r="C70" s="10"/>
      <c r="D70" s="2"/>
      <c r="E70" s="1"/>
      <c r="F70" s="10"/>
      <c r="G70" s="14"/>
      <c r="H70" s="50"/>
    </row>
    <row r="71" spans="1:8" x14ac:dyDescent="0.2">
      <c r="A71" s="14"/>
      <c r="B71" s="10"/>
      <c r="C71" s="10" t="s">
        <v>78</v>
      </c>
      <c r="D71" s="10"/>
      <c r="E71" s="14"/>
      <c r="F71" s="12">
        <v>25.567194910000001</v>
      </c>
      <c r="G71" s="13">
        <v>5.242628E-3</v>
      </c>
      <c r="H71" s="50"/>
    </row>
    <row r="72" spans="1:8" x14ac:dyDescent="0.2">
      <c r="A72" s="5"/>
      <c r="B72" s="5"/>
      <c r="C72" s="2" t="s">
        <v>79</v>
      </c>
      <c r="D72" s="6"/>
      <c r="E72" s="6"/>
      <c r="F72" s="7">
        <v>4876.7894876099999</v>
      </c>
      <c r="G72" s="8">
        <v>0.99999999900000003</v>
      </c>
      <c r="H72" s="50"/>
    </row>
    <row r="73" spans="1:8" ht="14.1" customHeight="1" x14ac:dyDescent="0.2">
      <c r="A73" s="15"/>
      <c r="B73" s="15"/>
      <c r="C73" s="15"/>
      <c r="D73" s="16"/>
      <c r="E73" s="16"/>
      <c r="F73" s="16"/>
      <c r="G73" s="16"/>
    </row>
    <row r="74" spans="1:8" ht="17.100000000000001" customHeight="1" x14ac:dyDescent="0.2">
      <c r="A74" s="17"/>
      <c r="B74" s="154" t="s">
        <v>80</v>
      </c>
      <c r="C74" s="154"/>
      <c r="D74" s="154"/>
      <c r="E74" s="154"/>
      <c r="F74" s="154"/>
      <c r="G74" s="19"/>
    </row>
    <row r="75" spans="1:8" ht="17.100000000000001" customHeight="1" x14ac:dyDescent="0.2">
      <c r="A75" s="17"/>
      <c r="B75" s="154" t="s">
        <v>81</v>
      </c>
      <c r="C75" s="154"/>
      <c r="D75" s="154"/>
      <c r="E75" s="154"/>
      <c r="F75" s="154"/>
      <c r="G75" s="19"/>
    </row>
    <row r="76" spans="1:8" ht="14.1" customHeight="1" x14ac:dyDescent="0.2">
      <c r="A76" s="17"/>
      <c r="B76" s="154" t="s">
        <v>11</v>
      </c>
      <c r="C76" s="154"/>
      <c r="D76" s="154"/>
      <c r="E76" s="154"/>
      <c r="F76" s="154"/>
      <c r="G76" s="19"/>
    </row>
    <row r="77" spans="1:8" ht="14.1" customHeight="1" x14ac:dyDescent="0.2">
      <c r="A77" s="17"/>
      <c r="B77" s="17"/>
      <c r="C77" s="17"/>
      <c r="D77" s="19"/>
      <c r="E77" s="19"/>
      <c r="F77" s="19"/>
      <c r="G77" s="19"/>
    </row>
    <row r="78" spans="1:8" ht="14.1" customHeight="1" x14ac:dyDescent="0.2">
      <c r="A78" s="17"/>
      <c r="B78" s="155" t="s">
        <v>82</v>
      </c>
      <c r="C78" s="156"/>
      <c r="D78" s="157"/>
      <c r="E78" s="20"/>
      <c r="F78" s="19"/>
      <c r="G78" s="19"/>
    </row>
    <row r="79" spans="1:8" ht="29.1" customHeight="1" x14ac:dyDescent="0.2">
      <c r="A79" s="17"/>
      <c r="B79" s="149" t="s">
        <v>83</v>
      </c>
      <c r="C79" s="150"/>
      <c r="D79" s="2" t="s">
        <v>84</v>
      </c>
      <c r="E79" s="20"/>
      <c r="F79" s="19"/>
      <c r="G79" s="19"/>
    </row>
    <row r="80" spans="1:8" ht="17.100000000000001" customHeight="1" x14ac:dyDescent="0.2">
      <c r="A80" s="17"/>
      <c r="B80" s="149" t="s">
        <v>85</v>
      </c>
      <c r="C80" s="150"/>
      <c r="D80" s="2" t="s">
        <v>84</v>
      </c>
      <c r="E80" s="20"/>
      <c r="F80" s="19"/>
      <c r="G80" s="19"/>
    </row>
    <row r="81" spans="1:7" ht="17.100000000000001" customHeight="1" x14ac:dyDescent="0.2">
      <c r="A81" s="17"/>
      <c r="B81" s="149" t="s">
        <v>86</v>
      </c>
      <c r="C81" s="150"/>
      <c r="D81" s="6" t="s">
        <v>11</v>
      </c>
      <c r="E81" s="20"/>
      <c r="F81" s="19"/>
      <c r="G81" s="19"/>
    </row>
    <row r="82" spans="1:7" ht="24" customHeight="1" x14ac:dyDescent="0.2">
      <c r="A82" s="21"/>
      <c r="B82" s="22" t="s">
        <v>11</v>
      </c>
      <c r="C82" s="22" t="s">
        <v>87</v>
      </c>
      <c r="D82" s="22" t="s">
        <v>88</v>
      </c>
      <c r="E82" s="21"/>
      <c r="F82" s="21"/>
      <c r="G82" s="21"/>
    </row>
    <row r="83" spans="1:7" ht="18" customHeight="1" x14ac:dyDescent="0.2">
      <c r="A83" s="21"/>
      <c r="B83" s="23" t="s">
        <v>89</v>
      </c>
      <c r="C83" s="22" t="s">
        <v>90</v>
      </c>
      <c r="D83" s="22" t="s">
        <v>91</v>
      </c>
      <c r="E83" s="21"/>
      <c r="F83" s="21"/>
      <c r="G83" s="21"/>
    </row>
    <row r="84" spans="1:7" ht="17.100000000000001" customHeight="1" x14ac:dyDescent="0.2">
      <c r="A84" s="21"/>
      <c r="B84" s="10" t="s">
        <v>92</v>
      </c>
      <c r="C84" s="24">
        <v>11.9802</v>
      </c>
      <c r="D84" s="24">
        <v>12.013299999999999</v>
      </c>
      <c r="E84" s="21"/>
      <c r="F84" s="18"/>
      <c r="G84" s="25"/>
    </row>
    <row r="85" spans="1:7" ht="29.1" customHeight="1" x14ac:dyDescent="0.2">
      <c r="A85" s="21"/>
      <c r="B85" s="10" t="s">
        <v>469</v>
      </c>
      <c r="C85" s="24">
        <v>10.061999999999999</v>
      </c>
      <c r="D85" s="24">
        <v>10.061999999999999</v>
      </c>
      <c r="E85" s="21"/>
      <c r="F85" s="18"/>
      <c r="G85" s="25"/>
    </row>
    <row r="86" spans="1:7" ht="29.1" customHeight="1" x14ac:dyDescent="0.2">
      <c r="A86" s="21"/>
      <c r="B86" s="10" t="s">
        <v>456</v>
      </c>
      <c r="C86" s="24">
        <v>10.4857</v>
      </c>
      <c r="D86" s="24">
        <v>10.4842</v>
      </c>
      <c r="E86" s="21"/>
      <c r="F86" s="18"/>
      <c r="G86" s="25"/>
    </row>
    <row r="87" spans="1:7" ht="29.1" customHeight="1" x14ac:dyDescent="0.2">
      <c r="A87" s="21"/>
      <c r="B87" s="10" t="s">
        <v>458</v>
      </c>
      <c r="C87" s="24">
        <v>11.164199999999999</v>
      </c>
      <c r="D87" s="24">
        <v>11.1652</v>
      </c>
      <c r="E87" s="21"/>
      <c r="F87" s="18"/>
      <c r="G87" s="25"/>
    </row>
    <row r="88" spans="1:7" ht="29.1" customHeight="1" x14ac:dyDescent="0.2">
      <c r="A88" s="21"/>
      <c r="B88" s="10" t="s">
        <v>459</v>
      </c>
      <c r="C88" s="24">
        <v>11.2088</v>
      </c>
      <c r="D88" s="24">
        <v>11.1646</v>
      </c>
      <c r="E88" s="21"/>
      <c r="F88" s="18"/>
      <c r="G88" s="25"/>
    </row>
    <row r="89" spans="1:7" ht="17.100000000000001" customHeight="1" x14ac:dyDescent="0.2">
      <c r="A89" s="21"/>
      <c r="B89" s="10" t="s">
        <v>93</v>
      </c>
      <c r="C89" s="24">
        <v>11.9438</v>
      </c>
      <c r="D89" s="24">
        <v>11.975899999999999</v>
      </c>
      <c r="E89" s="21"/>
      <c r="F89" s="18"/>
      <c r="G89" s="25"/>
    </row>
    <row r="90" spans="1:7" ht="29.1" customHeight="1" x14ac:dyDescent="0.2">
      <c r="A90" s="21"/>
      <c r="B90" s="10" t="s">
        <v>471</v>
      </c>
      <c r="C90" s="24">
        <v>10.061999999999999</v>
      </c>
      <c r="D90" s="24">
        <v>10.061999999999999</v>
      </c>
      <c r="E90" s="21"/>
      <c r="F90" s="18"/>
      <c r="G90" s="25"/>
    </row>
    <row r="91" spans="1:7" ht="29.1" customHeight="1" x14ac:dyDescent="0.2">
      <c r="A91" s="21"/>
      <c r="B91" s="10" t="s">
        <v>462</v>
      </c>
      <c r="C91" s="24">
        <v>10.483499999999999</v>
      </c>
      <c r="D91" s="24">
        <v>10.481999999999999</v>
      </c>
      <c r="E91" s="21"/>
      <c r="F91" s="18"/>
      <c r="G91" s="25"/>
    </row>
    <row r="92" spans="1:7" ht="29.1" customHeight="1" x14ac:dyDescent="0.2">
      <c r="A92" s="21"/>
      <c r="B92" s="10" t="s">
        <v>464</v>
      </c>
      <c r="C92" s="24">
        <v>11.1434</v>
      </c>
      <c r="D92" s="24">
        <v>11.1442</v>
      </c>
      <c r="E92" s="21"/>
      <c r="F92" s="18"/>
      <c r="G92" s="25"/>
    </row>
    <row r="93" spans="1:7" ht="29.1" customHeight="1" x14ac:dyDescent="0.2">
      <c r="A93" s="21"/>
      <c r="B93" s="10" t="s">
        <v>465</v>
      </c>
      <c r="C93" s="24">
        <v>11.1738</v>
      </c>
      <c r="D93" s="24">
        <v>11.1288</v>
      </c>
      <c r="E93" s="21"/>
      <c r="F93" s="18"/>
      <c r="G93" s="25"/>
    </row>
    <row r="94" spans="1:7" ht="14.1" customHeight="1" x14ac:dyDescent="0.2">
      <c r="A94" s="21"/>
      <c r="B94" s="21"/>
      <c r="C94" s="21"/>
      <c r="D94" s="21"/>
      <c r="E94" s="21"/>
      <c r="F94" s="21"/>
      <c r="G94" s="21"/>
    </row>
    <row r="95" spans="1:7" ht="17.100000000000001" customHeight="1" x14ac:dyDescent="0.2">
      <c r="A95" s="21"/>
      <c r="B95" s="149" t="s">
        <v>468</v>
      </c>
      <c r="C95" s="150"/>
      <c r="D95" s="2" t="s">
        <v>11</v>
      </c>
      <c r="E95" s="21"/>
      <c r="F95" s="21"/>
      <c r="G95" s="21"/>
    </row>
    <row r="96" spans="1:7" ht="18" customHeight="1" x14ac:dyDescent="0.2">
      <c r="A96" s="21"/>
      <c r="B96" s="26" t="s">
        <v>89</v>
      </c>
      <c r="C96" s="27" t="s">
        <v>95</v>
      </c>
      <c r="D96" s="27" t="s">
        <v>96</v>
      </c>
      <c r="E96" s="21"/>
      <c r="F96" s="21"/>
      <c r="G96" s="21"/>
    </row>
    <row r="97" spans="1:16" ht="29.1" customHeight="1" x14ac:dyDescent="0.2">
      <c r="A97" s="21"/>
      <c r="B97" s="10" t="s">
        <v>469</v>
      </c>
      <c r="C97" s="28">
        <v>2.9264999999999999E-2</v>
      </c>
      <c r="D97" s="14" t="s">
        <v>97</v>
      </c>
      <c r="E97" s="21"/>
      <c r="F97" s="18"/>
      <c r="G97" s="25"/>
    </row>
    <row r="98" spans="1:16" ht="29.1" customHeight="1" x14ac:dyDescent="0.2">
      <c r="A98" s="21"/>
      <c r="B98" s="10" t="s">
        <v>456</v>
      </c>
      <c r="C98" s="28">
        <v>3.0599999999999999E-2</v>
      </c>
      <c r="D98" s="14" t="s">
        <v>97</v>
      </c>
      <c r="E98" s="21"/>
      <c r="F98" s="18"/>
      <c r="G98" s="25"/>
    </row>
    <row r="99" spans="1:16" ht="29.1" customHeight="1" x14ac:dyDescent="0.2">
      <c r="A99" s="21"/>
      <c r="B99" s="10" t="s">
        <v>458</v>
      </c>
      <c r="C99" s="28">
        <v>2.98E-2</v>
      </c>
      <c r="D99" s="14" t="s">
        <v>97</v>
      </c>
      <c r="E99" s="21"/>
      <c r="F99" s="18"/>
      <c r="G99" s="25"/>
    </row>
    <row r="100" spans="1:16" ht="29.1" customHeight="1" x14ac:dyDescent="0.2">
      <c r="A100" s="21"/>
      <c r="B100" s="10" t="s">
        <v>459</v>
      </c>
      <c r="C100" s="28">
        <v>0</v>
      </c>
      <c r="D100" s="28">
        <v>7.4999999999999997E-2</v>
      </c>
      <c r="E100" s="21"/>
      <c r="F100" s="18"/>
      <c r="G100" s="25"/>
    </row>
    <row r="101" spans="1:16" ht="29.1" customHeight="1" x14ac:dyDescent="0.2">
      <c r="A101" s="21"/>
      <c r="B101" s="10" t="s">
        <v>471</v>
      </c>
      <c r="C101" s="28">
        <v>2.7028E-2</v>
      </c>
      <c r="D101" s="14" t="s">
        <v>97</v>
      </c>
      <c r="E101" s="21"/>
      <c r="F101" s="18"/>
      <c r="G101" s="25"/>
    </row>
    <row r="102" spans="1:16" ht="29.1" customHeight="1" x14ac:dyDescent="0.2">
      <c r="A102" s="21"/>
      <c r="B102" s="10" t="s">
        <v>462</v>
      </c>
      <c r="C102" s="28">
        <v>2.9700000000000001E-2</v>
      </c>
      <c r="D102" s="14" t="s">
        <v>97</v>
      </c>
      <c r="E102" s="21"/>
      <c r="F102" s="18"/>
      <c r="G102" s="25"/>
    </row>
    <row r="103" spans="1:16" ht="29.1" customHeight="1" x14ac:dyDescent="0.2">
      <c r="A103" s="21"/>
      <c r="B103" s="10" t="s">
        <v>464</v>
      </c>
      <c r="C103" s="28">
        <v>2.9100000000000001E-2</v>
      </c>
      <c r="D103" s="14" t="s">
        <v>97</v>
      </c>
      <c r="E103" s="21"/>
      <c r="F103" s="18"/>
      <c r="G103" s="25"/>
    </row>
    <row r="104" spans="1:16" ht="29.1" customHeight="1" x14ac:dyDescent="0.2">
      <c r="A104" s="21"/>
      <c r="B104" s="10" t="s">
        <v>465</v>
      </c>
      <c r="C104" s="28">
        <v>0</v>
      </c>
      <c r="D104" s="28">
        <v>7.4999999999999997E-2</v>
      </c>
      <c r="E104" s="21"/>
      <c r="F104" s="18"/>
      <c r="G104" s="25"/>
    </row>
    <row r="105" spans="1:16" ht="14.1" customHeight="1" x14ac:dyDescent="0.2">
      <c r="A105" s="21"/>
      <c r="B105" s="29"/>
      <c r="C105" s="29"/>
      <c r="D105" s="30"/>
      <c r="E105" s="21"/>
      <c r="F105" s="18"/>
      <c r="G105" s="25"/>
    </row>
    <row r="106" spans="1:16" x14ac:dyDescent="0.2">
      <c r="A106" s="55"/>
      <c r="B106" s="153" t="s">
        <v>479</v>
      </c>
      <c r="C106" s="153"/>
      <c r="D106" s="153"/>
      <c r="E106" s="153"/>
      <c r="F106" s="153"/>
      <c r="G106" s="55"/>
    </row>
    <row r="107" spans="1:16" ht="14.1" customHeight="1" x14ac:dyDescent="0.2">
      <c r="A107" s="21"/>
      <c r="B107" s="18"/>
      <c r="C107" s="18"/>
      <c r="D107" s="21"/>
      <c r="E107" s="21"/>
      <c r="F107" s="21"/>
      <c r="G107" s="21"/>
    </row>
    <row r="108" spans="1:16" ht="29.1" customHeight="1" x14ac:dyDescent="0.2">
      <c r="A108" s="21"/>
      <c r="B108" s="149" t="s">
        <v>98</v>
      </c>
      <c r="C108" s="150"/>
      <c r="D108" s="2" t="s">
        <v>84</v>
      </c>
      <c r="E108" s="31"/>
      <c r="F108" s="21"/>
      <c r="G108" s="21"/>
    </row>
    <row r="109" spans="1:16" ht="29.1" customHeight="1" x14ac:dyDescent="0.2">
      <c r="A109" s="21"/>
      <c r="B109" s="149" t="s">
        <v>99</v>
      </c>
      <c r="C109" s="150"/>
      <c r="D109" s="2" t="s">
        <v>84</v>
      </c>
      <c r="E109" s="31"/>
      <c r="F109" s="21"/>
      <c r="G109" s="21"/>
      <c r="I109"/>
      <c r="J109"/>
      <c r="K109"/>
      <c r="L109"/>
      <c r="M109"/>
      <c r="N109"/>
      <c r="O109"/>
      <c r="P109"/>
    </row>
    <row r="110" spans="1:16" ht="17.100000000000001" customHeight="1" x14ac:dyDescent="0.2">
      <c r="A110" s="21"/>
      <c r="B110" s="149" t="s">
        <v>100</v>
      </c>
      <c r="C110" s="150"/>
      <c r="D110" s="32">
        <v>0.1820580942149585</v>
      </c>
      <c r="E110" s="31"/>
      <c r="F110" s="21"/>
      <c r="G110" s="21"/>
    </row>
    <row r="111" spans="1:16" ht="17.100000000000001" customHeight="1" x14ac:dyDescent="0.2">
      <c r="A111" s="21"/>
      <c r="B111" s="149" t="s">
        <v>101</v>
      </c>
      <c r="C111" s="150"/>
      <c r="D111" s="32">
        <v>0.1820580942149585</v>
      </c>
      <c r="E111" s="31"/>
      <c r="F111" s="21"/>
      <c r="G111" s="21"/>
    </row>
    <row r="112" spans="1:16" ht="17.100000000000001" customHeight="1" x14ac:dyDescent="0.2">
      <c r="A112" s="21"/>
      <c r="B112" s="149" t="s">
        <v>102</v>
      </c>
      <c r="C112" s="150"/>
      <c r="D112" s="2" t="s">
        <v>84</v>
      </c>
      <c r="E112" s="31"/>
      <c r="F112" s="21"/>
      <c r="G112" s="21"/>
    </row>
    <row r="113" spans="1:7" ht="14.1" customHeight="1" x14ac:dyDescent="0.2">
      <c r="A113" s="21"/>
      <c r="B113" s="151"/>
      <c r="C113" s="151"/>
      <c r="D113" s="30"/>
      <c r="E113" s="21"/>
      <c r="F113" s="18"/>
      <c r="G113" s="25"/>
    </row>
  </sheetData>
  <mergeCells count="19">
    <mergeCell ref="B113:C113"/>
    <mergeCell ref="A1:H1"/>
    <mergeCell ref="A2:H2"/>
    <mergeCell ref="A3:H3"/>
    <mergeCell ref="B106:F106"/>
    <mergeCell ref="B108:C108"/>
    <mergeCell ref="B74:F74"/>
    <mergeCell ref="B75:F75"/>
    <mergeCell ref="B76:F76"/>
    <mergeCell ref="B78:D78"/>
    <mergeCell ref="B79:C79"/>
    <mergeCell ref="B80:C80"/>
    <mergeCell ref="B81:C81"/>
    <mergeCell ref="B95:C95"/>
    <mergeCell ref="J2:N2"/>
    <mergeCell ref="B109:C109"/>
    <mergeCell ref="B110:C110"/>
    <mergeCell ref="B111:C111"/>
    <mergeCell ref="B112:C112"/>
  </mergeCells>
  <pageMargins left="5.000000074505806E-2" right="5.000000074505806E-2" top="0.30000001192092896" bottom="0.20000000298023224" header="0" footer="0"/>
  <pageSetup paperSize="9"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24B73-CAEF-4CFD-A94D-4AA91472D9A6}">
  <sheetPr>
    <outlinePr summaryBelow="0" summaryRight="0"/>
  </sheetPr>
  <dimension ref="A1:P221"/>
  <sheetViews>
    <sheetView showGridLines="0" zoomScaleNormal="100" workbookViewId="0">
      <selection sqref="A1:H1"/>
    </sheetView>
  </sheetViews>
  <sheetFormatPr defaultRowHeight="12.75" x14ac:dyDescent="0.2"/>
  <cols>
    <col min="1" max="1" width="6.85546875" customWidth="1"/>
    <col min="2" max="2" width="28.28515625" customWidth="1"/>
    <col min="3" max="3" width="34.28515625" customWidth="1"/>
    <col min="4" max="4" width="17.85546875" customWidth="1"/>
    <col min="5" max="6" width="19.140625" customWidth="1"/>
    <col min="7" max="7" width="16.42578125" customWidth="1"/>
    <col min="9" max="16" width="9.140625" style="57"/>
  </cols>
  <sheetData>
    <row r="1" spans="1:16" ht="18" customHeight="1" x14ac:dyDescent="0.2">
      <c r="A1" s="152" t="s">
        <v>0</v>
      </c>
      <c r="B1" s="152"/>
      <c r="C1" s="152"/>
      <c r="D1" s="152"/>
      <c r="E1" s="152"/>
      <c r="F1" s="152"/>
      <c r="G1" s="152"/>
      <c r="H1" s="152"/>
    </row>
    <row r="2" spans="1:16" ht="17.100000000000001" customHeight="1" x14ac:dyDescent="0.2">
      <c r="A2" s="167" t="s">
        <v>617</v>
      </c>
      <c r="B2" s="167"/>
      <c r="C2" s="167"/>
      <c r="D2" s="167"/>
      <c r="E2" s="167"/>
      <c r="F2" s="167"/>
      <c r="G2" s="167"/>
      <c r="H2" s="167"/>
      <c r="J2" s="148" t="s">
        <v>631</v>
      </c>
      <c r="K2" s="148"/>
      <c r="L2" s="148"/>
      <c r="M2" s="148"/>
      <c r="N2" s="148"/>
    </row>
    <row r="3" spans="1:16" ht="21" customHeight="1" x14ac:dyDescent="0.2">
      <c r="A3" s="152" t="s">
        <v>480</v>
      </c>
      <c r="B3" s="152"/>
      <c r="C3" s="152"/>
      <c r="D3" s="152"/>
      <c r="E3" s="152"/>
      <c r="F3" s="152"/>
      <c r="G3" s="152"/>
      <c r="H3" s="152"/>
    </row>
    <row r="4" spans="1:16" s="59" customFormat="1" ht="30" x14ac:dyDescent="0.2">
      <c r="A4" s="112" t="s">
        <v>1</v>
      </c>
      <c r="B4" s="112" t="s">
        <v>2</v>
      </c>
      <c r="C4" s="112" t="s">
        <v>3</v>
      </c>
      <c r="D4" s="112" t="s">
        <v>4</v>
      </c>
      <c r="E4" s="112" t="s">
        <v>5</v>
      </c>
      <c r="F4" s="112" t="s">
        <v>6</v>
      </c>
      <c r="G4" s="112" t="s">
        <v>7</v>
      </c>
      <c r="H4" s="49" t="s">
        <v>452</v>
      </c>
      <c r="I4" s="135"/>
      <c r="J4" s="135"/>
      <c r="K4" s="135"/>
      <c r="L4" s="135"/>
      <c r="M4" s="135"/>
      <c r="N4" s="135"/>
      <c r="O4" s="135"/>
      <c r="P4" s="135"/>
    </row>
    <row r="5" spans="1:16" ht="14.1" customHeight="1" x14ac:dyDescent="0.2">
      <c r="A5" s="66"/>
      <c r="B5" s="66"/>
      <c r="C5" s="67" t="s">
        <v>8</v>
      </c>
      <c r="D5" s="66"/>
      <c r="E5" s="66"/>
      <c r="F5" s="66"/>
      <c r="G5" s="66"/>
      <c r="H5" s="50"/>
    </row>
    <row r="6" spans="1:16" ht="24" customHeight="1" x14ac:dyDescent="0.2">
      <c r="A6" s="66"/>
      <c r="B6" s="66"/>
      <c r="C6" s="67" t="s">
        <v>9</v>
      </c>
      <c r="D6" s="66"/>
      <c r="E6" s="66"/>
      <c r="F6" s="66"/>
      <c r="G6" s="66"/>
      <c r="H6" s="50"/>
    </row>
    <row r="7" spans="1:16" ht="14.1" customHeight="1" x14ac:dyDescent="0.2">
      <c r="A7" s="66"/>
      <c r="B7" s="66"/>
      <c r="C7" s="67" t="s">
        <v>10</v>
      </c>
      <c r="D7" s="66"/>
      <c r="E7" s="66" t="s">
        <v>11</v>
      </c>
      <c r="F7" s="68">
        <v>0</v>
      </c>
      <c r="G7" s="69">
        <v>0</v>
      </c>
      <c r="H7" s="50"/>
    </row>
    <row r="8" spans="1:16" ht="14.1" customHeight="1" x14ac:dyDescent="0.2">
      <c r="A8" s="66"/>
      <c r="B8" s="66"/>
      <c r="C8" s="70"/>
      <c r="D8" s="66"/>
      <c r="E8" s="66"/>
      <c r="F8" s="71"/>
      <c r="G8" s="71"/>
      <c r="H8" s="50"/>
    </row>
    <row r="9" spans="1:16" ht="14.1" customHeight="1" x14ac:dyDescent="0.2">
      <c r="A9" s="66"/>
      <c r="B9" s="66"/>
      <c r="C9" s="67" t="s">
        <v>12</v>
      </c>
      <c r="D9" s="66"/>
      <c r="E9" s="66"/>
      <c r="F9" s="66"/>
      <c r="G9" s="66"/>
      <c r="H9" s="50"/>
    </row>
    <row r="10" spans="1:16" ht="14.1" customHeight="1" x14ac:dyDescent="0.2">
      <c r="A10" s="66"/>
      <c r="B10" s="66"/>
      <c r="C10" s="67" t="s">
        <v>10</v>
      </c>
      <c r="D10" s="66"/>
      <c r="E10" s="66" t="s">
        <v>11</v>
      </c>
      <c r="F10" s="68">
        <v>0</v>
      </c>
      <c r="G10" s="69">
        <v>0</v>
      </c>
      <c r="H10" s="50"/>
    </row>
    <row r="11" spans="1:16" ht="14.1" customHeight="1" x14ac:dyDescent="0.2">
      <c r="A11" s="66"/>
      <c r="B11" s="66"/>
      <c r="C11" s="70"/>
      <c r="D11" s="66"/>
      <c r="E11" s="66"/>
      <c r="F11" s="71"/>
      <c r="G11" s="71"/>
      <c r="H11" s="50"/>
    </row>
    <row r="12" spans="1:16" ht="14.1" customHeight="1" x14ac:dyDescent="0.2">
      <c r="A12" s="66"/>
      <c r="B12" s="66"/>
      <c r="C12" s="67" t="s">
        <v>13</v>
      </c>
      <c r="D12" s="66"/>
      <c r="E12" s="66"/>
      <c r="F12" s="66"/>
      <c r="G12" s="66"/>
      <c r="H12" s="50"/>
    </row>
    <row r="13" spans="1:16" ht="14.1" customHeight="1" x14ac:dyDescent="0.2">
      <c r="A13" s="66"/>
      <c r="B13" s="66"/>
      <c r="C13" s="67" t="s">
        <v>10</v>
      </c>
      <c r="D13" s="66"/>
      <c r="E13" s="66" t="s">
        <v>11</v>
      </c>
      <c r="F13" s="68">
        <v>0</v>
      </c>
      <c r="G13" s="69">
        <v>0</v>
      </c>
      <c r="H13" s="50"/>
    </row>
    <row r="14" spans="1:16" ht="14.1" customHeight="1" x14ac:dyDescent="0.2">
      <c r="A14" s="66"/>
      <c r="B14" s="66"/>
      <c r="C14" s="70"/>
      <c r="D14" s="66"/>
      <c r="E14" s="66"/>
      <c r="F14" s="71"/>
      <c r="G14" s="71"/>
      <c r="H14" s="50"/>
    </row>
    <row r="15" spans="1:16" ht="14.1" customHeight="1" x14ac:dyDescent="0.2">
      <c r="A15" s="66"/>
      <c r="B15" s="66"/>
      <c r="C15" s="67" t="s">
        <v>14</v>
      </c>
      <c r="D15" s="66"/>
      <c r="E15" s="66"/>
      <c r="F15" s="66"/>
      <c r="G15" s="66"/>
      <c r="H15" s="50"/>
    </row>
    <row r="16" spans="1:16" ht="14.1" customHeight="1" x14ac:dyDescent="0.25">
      <c r="A16" s="66"/>
      <c r="B16" s="66"/>
      <c r="C16" s="67" t="s">
        <v>10</v>
      </c>
      <c r="D16" s="66"/>
      <c r="E16" s="66" t="s">
        <v>11</v>
      </c>
      <c r="F16" s="68">
        <v>0</v>
      </c>
      <c r="G16" s="69">
        <v>0</v>
      </c>
      <c r="H16" s="50"/>
      <c r="J16" s="137" t="s">
        <v>644</v>
      </c>
      <c r="K16" s="138"/>
      <c r="L16" s="138"/>
      <c r="M16" s="138"/>
      <c r="N16" s="138"/>
      <c r="O16" s="138"/>
    </row>
    <row r="17" spans="1:16" ht="14.1" customHeight="1" x14ac:dyDescent="0.2">
      <c r="A17" s="66"/>
      <c r="B17" s="66"/>
      <c r="C17" s="70"/>
      <c r="D17" s="66"/>
      <c r="E17" s="66"/>
      <c r="F17" s="71"/>
      <c r="G17" s="71"/>
      <c r="H17" s="50"/>
    </row>
    <row r="18" spans="1:16" ht="14.1" customHeight="1" x14ac:dyDescent="0.2">
      <c r="A18" s="66"/>
      <c r="B18" s="66"/>
      <c r="C18" s="67" t="s">
        <v>15</v>
      </c>
      <c r="D18" s="66"/>
      <c r="E18" s="66"/>
      <c r="F18" s="71"/>
      <c r="G18" s="71"/>
      <c r="H18" s="50"/>
    </row>
    <row r="19" spans="1:16" ht="14.1" customHeight="1" x14ac:dyDescent="0.2">
      <c r="A19" s="66"/>
      <c r="B19" s="66"/>
      <c r="C19" s="67" t="s">
        <v>10</v>
      </c>
      <c r="D19" s="66"/>
      <c r="E19" s="66" t="s">
        <v>11</v>
      </c>
      <c r="F19" s="68">
        <v>0</v>
      </c>
      <c r="G19" s="69">
        <v>0</v>
      </c>
      <c r="H19" s="50"/>
    </row>
    <row r="20" spans="1:16" ht="14.1" customHeight="1" x14ac:dyDescent="0.2">
      <c r="A20" s="66"/>
      <c r="B20" s="66"/>
      <c r="C20" s="70"/>
      <c r="D20" s="66"/>
      <c r="E20" s="66"/>
      <c r="F20" s="71"/>
      <c r="G20" s="71"/>
      <c r="H20" s="50"/>
    </row>
    <row r="21" spans="1:16" ht="14.1" customHeight="1" x14ac:dyDescent="0.2">
      <c r="A21" s="66"/>
      <c r="B21" s="66"/>
      <c r="C21" s="67" t="s">
        <v>16</v>
      </c>
      <c r="D21" s="66"/>
      <c r="E21" s="66"/>
      <c r="F21" s="71"/>
      <c r="G21" s="71"/>
      <c r="H21" s="50"/>
    </row>
    <row r="22" spans="1:16" ht="14.1" customHeight="1" x14ac:dyDescent="0.2">
      <c r="A22" s="66"/>
      <c r="B22" s="66"/>
      <c r="C22" s="67" t="s">
        <v>10</v>
      </c>
      <c r="D22" s="66"/>
      <c r="E22" s="66" t="s">
        <v>11</v>
      </c>
      <c r="F22" s="68">
        <v>0</v>
      </c>
      <c r="G22" s="69">
        <v>0</v>
      </c>
      <c r="H22" s="50"/>
    </row>
    <row r="23" spans="1:16" ht="14.1" customHeight="1" x14ac:dyDescent="0.2">
      <c r="A23" s="66"/>
      <c r="B23" s="66"/>
      <c r="C23" s="70"/>
      <c r="D23" s="66"/>
      <c r="E23" s="66"/>
      <c r="F23" s="71"/>
      <c r="G23" s="71"/>
      <c r="H23" s="50"/>
    </row>
    <row r="24" spans="1:16" ht="18" customHeight="1" x14ac:dyDescent="0.2">
      <c r="A24" s="66"/>
      <c r="B24" s="66"/>
      <c r="C24" s="67" t="s">
        <v>17</v>
      </c>
      <c r="D24" s="66"/>
      <c r="E24" s="66"/>
      <c r="F24" s="72">
        <v>0</v>
      </c>
      <c r="G24" s="73">
        <v>0</v>
      </c>
      <c r="H24" s="50"/>
    </row>
    <row r="25" spans="1:16" ht="14.1" customHeight="1" x14ac:dyDescent="0.2">
      <c r="A25" s="66"/>
      <c r="B25" s="66"/>
      <c r="C25" s="70"/>
      <c r="D25" s="66"/>
      <c r="E25" s="66"/>
      <c r="F25" s="71"/>
      <c r="G25" s="71"/>
      <c r="H25" s="50"/>
    </row>
    <row r="26" spans="1:16" ht="14.1" customHeight="1" x14ac:dyDescent="0.2">
      <c r="A26" s="66"/>
      <c r="B26" s="66"/>
      <c r="C26" s="67" t="s">
        <v>18</v>
      </c>
      <c r="D26" s="66"/>
      <c r="E26" s="66"/>
      <c r="F26" s="71"/>
      <c r="G26" s="71"/>
      <c r="H26" s="50"/>
    </row>
    <row r="27" spans="1:16" ht="24" customHeight="1" x14ac:dyDescent="0.2">
      <c r="A27" s="66"/>
      <c r="B27" s="66"/>
      <c r="C27" s="67" t="s">
        <v>9</v>
      </c>
      <c r="D27" s="66"/>
      <c r="E27" s="66"/>
      <c r="F27" s="71"/>
      <c r="G27" s="71"/>
      <c r="H27" s="50"/>
    </row>
    <row r="28" spans="1:16" ht="29.1" customHeight="1" x14ac:dyDescent="0.2">
      <c r="A28" s="74">
        <v>1</v>
      </c>
      <c r="B28" s="39" t="s">
        <v>19</v>
      </c>
      <c r="C28" s="39" t="s">
        <v>20</v>
      </c>
      <c r="D28" s="39" t="s">
        <v>449</v>
      </c>
      <c r="E28" s="75">
        <v>300</v>
      </c>
      <c r="F28" s="50">
        <v>3001.2179999999998</v>
      </c>
      <c r="G28" s="76">
        <v>5.0817397726065271E-2</v>
      </c>
      <c r="H28" s="50">
        <v>4.4400000000000004</v>
      </c>
    </row>
    <row r="29" spans="1:16" ht="29.1" customHeight="1" x14ac:dyDescent="0.25">
      <c r="A29" s="74">
        <v>2</v>
      </c>
      <c r="B29" s="39" t="s">
        <v>262</v>
      </c>
      <c r="C29" s="39" t="s">
        <v>263</v>
      </c>
      <c r="D29" s="39" t="s">
        <v>23</v>
      </c>
      <c r="E29" s="75">
        <v>250</v>
      </c>
      <c r="F29" s="50">
        <v>2519.1149999999998</v>
      </c>
      <c r="G29" s="76">
        <v>4.2654305309609931E-2</v>
      </c>
      <c r="H29" s="50">
        <v>3.68</v>
      </c>
      <c r="J29" s="137" t="s">
        <v>643</v>
      </c>
      <c r="K29" s="138"/>
      <c r="L29" s="138"/>
      <c r="M29" s="138"/>
      <c r="N29" s="138"/>
      <c r="O29"/>
      <c r="P29"/>
    </row>
    <row r="30" spans="1:16" ht="17.100000000000001" customHeight="1" x14ac:dyDescent="0.2">
      <c r="A30" s="74">
        <v>3</v>
      </c>
      <c r="B30" s="39" t="s">
        <v>26</v>
      </c>
      <c r="C30" s="39" t="s">
        <v>27</v>
      </c>
      <c r="D30" s="39" t="s">
        <v>450</v>
      </c>
      <c r="E30" s="75">
        <v>225558</v>
      </c>
      <c r="F30" s="50">
        <v>1887.8618149199999</v>
      </c>
      <c r="G30" s="76">
        <v>3.1965763466912787E-2</v>
      </c>
      <c r="H30" s="50">
        <v>10.816700000000001</v>
      </c>
      <c r="O30"/>
      <c r="P30"/>
    </row>
    <row r="31" spans="1:16" ht="17.100000000000001" customHeight="1" x14ac:dyDescent="0.2">
      <c r="A31" s="74">
        <v>4</v>
      </c>
      <c r="B31" s="39" t="s">
        <v>30</v>
      </c>
      <c r="C31" s="39" t="s">
        <v>31</v>
      </c>
      <c r="D31" s="39" t="s">
        <v>23</v>
      </c>
      <c r="E31" s="75">
        <v>150</v>
      </c>
      <c r="F31" s="50">
        <v>1533.7484999999999</v>
      </c>
      <c r="G31" s="76">
        <v>2.5969825429627575E-2</v>
      </c>
      <c r="H31" s="50">
        <v>5</v>
      </c>
      <c r="O31"/>
      <c r="P31"/>
    </row>
    <row r="32" spans="1:16" ht="29.1" customHeight="1" x14ac:dyDescent="0.2">
      <c r="A32" s="74">
        <v>5</v>
      </c>
      <c r="B32" s="39" t="s">
        <v>36</v>
      </c>
      <c r="C32" s="39" t="s">
        <v>37</v>
      </c>
      <c r="D32" s="39" t="s">
        <v>23</v>
      </c>
      <c r="E32" s="75">
        <v>150</v>
      </c>
      <c r="F32" s="50">
        <v>1523.5125</v>
      </c>
      <c r="G32" s="76">
        <v>2.5796506835935283E-2</v>
      </c>
      <c r="H32" s="50">
        <v>4.4249999999999998</v>
      </c>
      <c r="O32"/>
      <c r="P32"/>
    </row>
    <row r="33" spans="1:16" ht="29.1" customHeight="1" x14ac:dyDescent="0.2">
      <c r="A33" s="74">
        <v>6</v>
      </c>
      <c r="B33" s="39" t="s">
        <v>243</v>
      </c>
      <c r="C33" s="39" t="s">
        <v>244</v>
      </c>
      <c r="D33" s="39" t="s">
        <v>23</v>
      </c>
      <c r="E33" s="75">
        <v>150</v>
      </c>
      <c r="F33" s="50">
        <v>1513.3335</v>
      </c>
      <c r="G33" s="76">
        <v>2.5624153380953463E-2</v>
      </c>
      <c r="H33" s="50">
        <v>3.6949999999999998</v>
      </c>
      <c r="O33"/>
      <c r="P33"/>
    </row>
    <row r="34" spans="1:16" ht="29.1" customHeight="1" x14ac:dyDescent="0.2">
      <c r="A34" s="74">
        <v>7</v>
      </c>
      <c r="B34" s="39" t="s">
        <v>21</v>
      </c>
      <c r="C34" s="39" t="s">
        <v>22</v>
      </c>
      <c r="D34" s="39" t="s">
        <v>23</v>
      </c>
      <c r="E34" s="75">
        <v>100</v>
      </c>
      <c r="F34" s="50">
        <v>1043.44</v>
      </c>
      <c r="G34" s="76">
        <v>1.7667795369508497E-2</v>
      </c>
      <c r="H34" s="50">
        <v>5.21</v>
      </c>
      <c r="O34"/>
      <c r="P34"/>
    </row>
    <row r="35" spans="1:16" ht="29.1" customHeight="1" x14ac:dyDescent="0.2">
      <c r="A35" s="74">
        <v>8</v>
      </c>
      <c r="B35" s="39" t="s">
        <v>181</v>
      </c>
      <c r="C35" s="39" t="s">
        <v>182</v>
      </c>
      <c r="D35" s="39" t="s">
        <v>23</v>
      </c>
      <c r="E35" s="75">
        <v>100</v>
      </c>
      <c r="F35" s="50">
        <v>1022.81</v>
      </c>
      <c r="G35" s="76">
        <v>1.7318482885347489E-2</v>
      </c>
      <c r="H35" s="50">
        <v>4.8049999999999997</v>
      </c>
      <c r="O35"/>
      <c r="P35"/>
    </row>
    <row r="36" spans="1:16" ht="29.1" customHeight="1" x14ac:dyDescent="0.2">
      <c r="A36" s="74">
        <v>9</v>
      </c>
      <c r="B36" s="39" t="s">
        <v>24</v>
      </c>
      <c r="C36" s="39" t="s">
        <v>25</v>
      </c>
      <c r="D36" s="39" t="s">
        <v>23</v>
      </c>
      <c r="E36" s="75">
        <v>100</v>
      </c>
      <c r="F36" s="50">
        <v>1021.284</v>
      </c>
      <c r="G36" s="76">
        <v>1.7292644259519582E-2</v>
      </c>
      <c r="H36" s="50">
        <v>4.0999999999999996</v>
      </c>
      <c r="O36"/>
      <c r="P36"/>
    </row>
    <row r="37" spans="1:16" ht="29.1" customHeight="1" x14ac:dyDescent="0.2">
      <c r="A37" s="74">
        <v>10</v>
      </c>
      <c r="B37" s="39" t="s">
        <v>114</v>
      </c>
      <c r="C37" s="39" t="s">
        <v>115</v>
      </c>
      <c r="D37" s="39" t="s">
        <v>23</v>
      </c>
      <c r="E37" s="75">
        <v>100</v>
      </c>
      <c r="F37" s="50">
        <v>1005.503</v>
      </c>
      <c r="G37" s="76">
        <v>1.7025436294781589E-2</v>
      </c>
      <c r="H37" s="50">
        <v>5.44</v>
      </c>
      <c r="O37"/>
      <c r="P37"/>
    </row>
    <row r="38" spans="1:16" ht="29.1" customHeight="1" x14ac:dyDescent="0.2">
      <c r="A38" s="74">
        <v>11</v>
      </c>
      <c r="B38" s="39" t="s">
        <v>28</v>
      </c>
      <c r="C38" s="39" t="s">
        <v>29</v>
      </c>
      <c r="D38" s="39" t="s">
        <v>23</v>
      </c>
      <c r="E38" s="75">
        <v>100</v>
      </c>
      <c r="F38" s="50">
        <v>1000.034</v>
      </c>
      <c r="G38" s="76">
        <v>1.6932833775349862E-2</v>
      </c>
      <c r="H38" s="50">
        <v>5.6441999999999997</v>
      </c>
    </row>
    <row r="39" spans="1:16" ht="29.1" customHeight="1" x14ac:dyDescent="0.2">
      <c r="A39" s="74">
        <v>12</v>
      </c>
      <c r="B39" s="39" t="s">
        <v>34</v>
      </c>
      <c r="C39" s="39" t="s">
        <v>35</v>
      </c>
      <c r="D39" s="39" t="s">
        <v>449</v>
      </c>
      <c r="E39" s="75">
        <v>50</v>
      </c>
      <c r="F39" s="50">
        <v>508.29849999999999</v>
      </c>
      <c r="G39" s="76">
        <v>8.6066413829526504E-3</v>
      </c>
      <c r="H39" s="50">
        <v>4.29</v>
      </c>
    </row>
    <row r="40" spans="1:16" ht="29.1" customHeight="1" x14ac:dyDescent="0.2">
      <c r="A40" s="74">
        <v>13</v>
      </c>
      <c r="B40" s="39" t="s">
        <v>264</v>
      </c>
      <c r="C40" s="39" t="s">
        <v>265</v>
      </c>
      <c r="D40" s="39" t="s">
        <v>23</v>
      </c>
      <c r="E40" s="75">
        <v>50</v>
      </c>
      <c r="F40" s="50">
        <v>504.16149999999999</v>
      </c>
      <c r="G40" s="76">
        <v>8.5365926312815851E-3</v>
      </c>
      <c r="H40" s="50">
        <v>3.67</v>
      </c>
    </row>
    <row r="41" spans="1:16" ht="29.1" customHeight="1" x14ac:dyDescent="0.2">
      <c r="A41" s="74">
        <v>14</v>
      </c>
      <c r="B41" s="39" t="s">
        <v>150</v>
      </c>
      <c r="C41" s="39" t="s">
        <v>151</v>
      </c>
      <c r="D41" s="39" t="s">
        <v>23</v>
      </c>
      <c r="E41" s="75">
        <v>30</v>
      </c>
      <c r="F41" s="50">
        <v>306.024</v>
      </c>
      <c r="G41" s="76">
        <v>5.1816773462378934E-3</v>
      </c>
      <c r="H41" s="50">
        <v>4.88</v>
      </c>
    </row>
    <row r="42" spans="1:16" ht="29.1" customHeight="1" x14ac:dyDescent="0.2">
      <c r="A42" s="74">
        <v>15</v>
      </c>
      <c r="B42" s="39" t="s">
        <v>203</v>
      </c>
      <c r="C42" s="39" t="s">
        <v>204</v>
      </c>
      <c r="D42" s="39" t="s">
        <v>23</v>
      </c>
      <c r="E42" s="75">
        <v>30</v>
      </c>
      <c r="F42" s="50">
        <v>301.16219999999998</v>
      </c>
      <c r="G42" s="76">
        <v>5.0993560939114769E-3</v>
      </c>
      <c r="H42" s="50">
        <v>4.6001000000000003</v>
      </c>
    </row>
    <row r="43" spans="1:16" ht="29.1" customHeight="1" x14ac:dyDescent="0.2">
      <c r="A43" s="74">
        <v>16</v>
      </c>
      <c r="B43" s="39" t="s">
        <v>498</v>
      </c>
      <c r="C43" s="39" t="s">
        <v>499</v>
      </c>
      <c r="D43" s="39" t="s">
        <v>23</v>
      </c>
      <c r="E43" s="75">
        <v>25</v>
      </c>
      <c r="F43" s="50">
        <v>261.82</v>
      </c>
      <c r="G43" s="76">
        <v>4.4332038101325558E-3</v>
      </c>
      <c r="H43" s="50">
        <v>4.7949999999999999</v>
      </c>
    </row>
    <row r="44" spans="1:16" ht="29.1" customHeight="1" x14ac:dyDescent="0.2">
      <c r="A44" s="74">
        <v>17</v>
      </c>
      <c r="B44" s="39" t="s">
        <v>512</v>
      </c>
      <c r="C44" s="39" t="s">
        <v>513</v>
      </c>
      <c r="D44" s="39" t="s">
        <v>23</v>
      </c>
      <c r="E44" s="75">
        <v>20</v>
      </c>
      <c r="F44" s="50">
        <v>203.32640000000001</v>
      </c>
      <c r="G44" s="76">
        <v>3.4427750789876102E-3</v>
      </c>
      <c r="H44" s="50">
        <v>4.0999999999999996</v>
      </c>
    </row>
    <row r="45" spans="1:16" ht="29.1" customHeight="1" x14ac:dyDescent="0.2">
      <c r="A45" s="74">
        <v>18</v>
      </c>
      <c r="B45" s="39" t="s">
        <v>223</v>
      </c>
      <c r="C45" s="39" t="s">
        <v>224</v>
      </c>
      <c r="D45" s="39" t="s">
        <v>225</v>
      </c>
      <c r="E45" s="75">
        <v>20</v>
      </c>
      <c r="F45" s="50">
        <v>202.87819999999999</v>
      </c>
      <c r="G45" s="76">
        <v>3.4351860409167928E-3</v>
      </c>
      <c r="H45" s="50">
        <v>4.4048999999999996</v>
      </c>
    </row>
    <row r="46" spans="1:16" ht="29.1" customHeight="1" x14ac:dyDescent="0.2">
      <c r="A46" s="74">
        <v>19</v>
      </c>
      <c r="B46" s="39" t="s">
        <v>514</v>
      </c>
      <c r="C46" s="39" t="s">
        <v>515</v>
      </c>
      <c r="D46" s="39" t="s">
        <v>23</v>
      </c>
      <c r="E46" s="75">
        <v>20</v>
      </c>
      <c r="F46" s="50">
        <v>202.40539999999999</v>
      </c>
      <c r="G46" s="76">
        <v>3.4271804692972423E-3</v>
      </c>
      <c r="H46" s="50">
        <v>4.4249999999999998</v>
      </c>
    </row>
    <row r="47" spans="1:16" ht="25.5" x14ac:dyDescent="0.2">
      <c r="A47" s="74">
        <v>20</v>
      </c>
      <c r="B47" s="39" t="s">
        <v>516</v>
      </c>
      <c r="C47" s="39" t="s">
        <v>517</v>
      </c>
      <c r="D47" s="39" t="s">
        <v>23</v>
      </c>
      <c r="E47" s="75">
        <v>10</v>
      </c>
      <c r="F47" s="50">
        <v>101.0155</v>
      </c>
      <c r="G47" s="76">
        <v>1.7104205159363119E-3</v>
      </c>
      <c r="H47" s="50">
        <v>4.1349999999999998</v>
      </c>
    </row>
    <row r="48" spans="1:16" ht="14.1" customHeight="1" x14ac:dyDescent="0.2">
      <c r="A48" s="66"/>
      <c r="B48" s="66"/>
      <c r="C48" s="67" t="s">
        <v>10</v>
      </c>
      <c r="D48" s="66"/>
      <c r="E48" s="66" t="s">
        <v>11</v>
      </c>
      <c r="F48" s="72">
        <v>19662.952014920003</v>
      </c>
      <c r="G48" s="73">
        <v>0.33293817810326554</v>
      </c>
      <c r="H48" s="50"/>
    </row>
    <row r="49" spans="1:8" ht="14.1" customHeight="1" x14ac:dyDescent="0.2">
      <c r="A49" s="66"/>
      <c r="B49" s="66"/>
      <c r="C49" s="70"/>
      <c r="D49" s="66"/>
      <c r="E49" s="66"/>
      <c r="F49" s="71"/>
      <c r="G49" s="71"/>
      <c r="H49" s="50"/>
    </row>
    <row r="50" spans="1:8" ht="14.1" customHeight="1" x14ac:dyDescent="0.2">
      <c r="A50" s="66"/>
      <c r="B50" s="66"/>
      <c r="C50" s="67" t="s">
        <v>46</v>
      </c>
      <c r="D50" s="66"/>
      <c r="E50" s="66"/>
      <c r="F50" s="66"/>
      <c r="G50" s="66"/>
      <c r="H50" s="50"/>
    </row>
    <row r="51" spans="1:8" ht="14.1" customHeight="1" x14ac:dyDescent="0.2">
      <c r="A51" s="66"/>
      <c r="B51" s="66"/>
      <c r="C51" s="67" t="s">
        <v>10</v>
      </c>
      <c r="D51" s="66"/>
      <c r="E51" s="66" t="s">
        <v>11</v>
      </c>
      <c r="F51" s="68">
        <v>0</v>
      </c>
      <c r="G51" s="69">
        <v>0</v>
      </c>
      <c r="H51" s="50"/>
    </row>
    <row r="52" spans="1:8" ht="14.1" customHeight="1" x14ac:dyDescent="0.2">
      <c r="A52" s="66"/>
      <c r="B52" s="66"/>
      <c r="C52" s="70"/>
      <c r="D52" s="66"/>
      <c r="E52" s="66"/>
      <c r="F52" s="71"/>
      <c r="G52" s="71"/>
      <c r="H52" s="50"/>
    </row>
    <row r="53" spans="1:8" ht="14.1" customHeight="1" x14ac:dyDescent="0.2">
      <c r="A53" s="66"/>
      <c r="B53" s="66"/>
      <c r="C53" s="67" t="s">
        <v>47</v>
      </c>
      <c r="D53" s="66"/>
      <c r="E53" s="66"/>
      <c r="F53" s="66"/>
      <c r="G53" s="66"/>
      <c r="H53" s="50"/>
    </row>
    <row r="54" spans="1:8" ht="25.5" x14ac:dyDescent="0.2">
      <c r="A54" s="74">
        <v>1</v>
      </c>
      <c r="B54" s="39" t="s">
        <v>51</v>
      </c>
      <c r="C54" s="39" t="s">
        <v>52</v>
      </c>
      <c r="D54" s="39" t="s">
        <v>49</v>
      </c>
      <c r="E54" s="75">
        <v>750000</v>
      </c>
      <c r="F54" s="50">
        <v>775.23149999999998</v>
      </c>
      <c r="G54" s="76">
        <v>1.3126419828640962E-2</v>
      </c>
      <c r="H54" s="50">
        <v>4.6481000000000003</v>
      </c>
    </row>
    <row r="55" spans="1:8" ht="25.5" x14ac:dyDescent="0.2">
      <c r="A55" s="74">
        <v>2</v>
      </c>
      <c r="B55" s="39" t="s">
        <v>266</v>
      </c>
      <c r="C55" s="39" t="s">
        <v>419</v>
      </c>
      <c r="D55" s="39" t="s">
        <v>49</v>
      </c>
      <c r="E55" s="75">
        <v>500000</v>
      </c>
      <c r="F55" s="50">
        <v>522.63300000000004</v>
      </c>
      <c r="G55" s="76">
        <v>8.849356836379987E-3</v>
      </c>
      <c r="H55" s="50">
        <v>4.9935</v>
      </c>
    </row>
    <row r="56" spans="1:8" ht="25.5" x14ac:dyDescent="0.2">
      <c r="A56" s="74">
        <v>3</v>
      </c>
      <c r="B56" s="39" t="s">
        <v>507</v>
      </c>
      <c r="C56" s="39" t="s">
        <v>508</v>
      </c>
      <c r="D56" s="39" t="s">
        <v>49</v>
      </c>
      <c r="E56" s="75">
        <v>300000</v>
      </c>
      <c r="F56" s="50">
        <v>306.9402</v>
      </c>
      <c r="G56" s="76">
        <v>5.1971906810894843E-3</v>
      </c>
      <c r="H56" s="50">
        <v>4.3674999999999997</v>
      </c>
    </row>
    <row r="57" spans="1:8" ht="25.5" x14ac:dyDescent="0.2">
      <c r="A57" s="74">
        <v>4</v>
      </c>
      <c r="B57" s="39" t="s">
        <v>518</v>
      </c>
      <c r="C57" s="39" t="s">
        <v>519</v>
      </c>
      <c r="D57" s="39" t="s">
        <v>49</v>
      </c>
      <c r="E57" s="75">
        <v>300000</v>
      </c>
      <c r="F57" s="50">
        <v>305.51609999999999</v>
      </c>
      <c r="G57" s="76">
        <v>5.1730774523597849E-3</v>
      </c>
      <c r="H57" s="50">
        <v>4.4493999999999998</v>
      </c>
    </row>
    <row r="58" spans="1:8" ht="25.5" x14ac:dyDescent="0.2">
      <c r="A58" s="74">
        <v>5</v>
      </c>
      <c r="B58" s="39" t="s">
        <v>520</v>
      </c>
      <c r="C58" s="39" t="s">
        <v>541</v>
      </c>
      <c r="D58" s="39" t="s">
        <v>49</v>
      </c>
      <c r="E58" s="75">
        <v>281000</v>
      </c>
      <c r="F58" s="50">
        <v>287.67290700000001</v>
      </c>
      <c r="G58" s="76">
        <v>4.870951903537959E-3</v>
      </c>
      <c r="H58" s="50">
        <v>4.4612999999999996</v>
      </c>
    </row>
    <row r="59" spans="1:8" ht="25.5" x14ac:dyDescent="0.2">
      <c r="A59" s="74">
        <v>6</v>
      </c>
      <c r="B59" s="39" t="s">
        <v>53</v>
      </c>
      <c r="C59" s="39" t="s">
        <v>418</v>
      </c>
      <c r="D59" s="39" t="s">
        <v>49</v>
      </c>
      <c r="E59" s="75">
        <v>250000</v>
      </c>
      <c r="F59" s="50">
        <v>258.02575000000002</v>
      </c>
      <c r="G59" s="76">
        <v>4.3689585899179227E-3</v>
      </c>
      <c r="H59" s="50">
        <v>4.7343999999999999</v>
      </c>
    </row>
    <row r="60" spans="1:8" ht="25.5" x14ac:dyDescent="0.2">
      <c r="A60" s="74">
        <v>7</v>
      </c>
      <c r="B60" s="39" t="s">
        <v>521</v>
      </c>
      <c r="C60" s="39" t="s">
        <v>522</v>
      </c>
      <c r="D60" s="39" t="s">
        <v>49</v>
      </c>
      <c r="E60" s="75">
        <v>200000</v>
      </c>
      <c r="F60" s="50">
        <v>205.58879999999999</v>
      </c>
      <c r="G60" s="76">
        <v>3.4810826196645787E-3</v>
      </c>
      <c r="H60" s="50">
        <v>4.4290000000000003</v>
      </c>
    </row>
    <row r="61" spans="1:8" ht="25.5" x14ac:dyDescent="0.2">
      <c r="A61" s="74">
        <v>8</v>
      </c>
      <c r="B61" s="39" t="s">
        <v>523</v>
      </c>
      <c r="C61" s="39" t="s">
        <v>538</v>
      </c>
      <c r="D61" s="39" t="s">
        <v>49</v>
      </c>
      <c r="E61" s="75">
        <v>200000</v>
      </c>
      <c r="F61" s="50">
        <v>203.6354</v>
      </c>
      <c r="G61" s="76">
        <v>3.4480071467338901E-3</v>
      </c>
      <c r="H61" s="50">
        <v>4.0002000000000004</v>
      </c>
    </row>
    <row r="62" spans="1:8" ht="25.5" x14ac:dyDescent="0.2">
      <c r="A62" s="74">
        <v>9</v>
      </c>
      <c r="B62" s="39" t="s">
        <v>524</v>
      </c>
      <c r="C62" s="39" t="s">
        <v>539</v>
      </c>
      <c r="D62" s="39" t="s">
        <v>49</v>
      </c>
      <c r="E62" s="75">
        <v>150000</v>
      </c>
      <c r="F62" s="50">
        <v>152.43285</v>
      </c>
      <c r="G62" s="76">
        <v>2.5810323558527401E-3</v>
      </c>
      <c r="H62" s="50">
        <v>3.9089</v>
      </c>
    </row>
    <row r="63" spans="1:8" ht="25.5" x14ac:dyDescent="0.2">
      <c r="A63" s="74">
        <v>10</v>
      </c>
      <c r="B63" s="39" t="s">
        <v>525</v>
      </c>
      <c r="C63" s="39" t="s">
        <v>540</v>
      </c>
      <c r="D63" s="39" t="s">
        <v>49</v>
      </c>
      <c r="E63" s="75">
        <v>100000</v>
      </c>
      <c r="F63" s="50">
        <v>102.6591</v>
      </c>
      <c r="G63" s="76">
        <v>1.7382503753142582E-3</v>
      </c>
      <c r="H63" s="50">
        <v>4.3352000000000004</v>
      </c>
    </row>
    <row r="64" spans="1:8" ht="14.1" customHeight="1" x14ac:dyDescent="0.2">
      <c r="A64" s="66"/>
      <c r="B64" s="66"/>
      <c r="C64" s="67" t="s">
        <v>10</v>
      </c>
      <c r="D64" s="66"/>
      <c r="E64" s="66" t="s">
        <v>11</v>
      </c>
      <c r="F64" s="72">
        <v>3120.335607</v>
      </c>
      <c r="G64" s="73">
        <v>5.283432778949157E-2</v>
      </c>
      <c r="H64" s="50"/>
    </row>
    <row r="65" spans="1:8" ht="14.1" customHeight="1" x14ac:dyDescent="0.2">
      <c r="A65" s="66"/>
      <c r="B65" s="66"/>
      <c r="C65" s="70"/>
      <c r="D65" s="66"/>
      <c r="E65" s="66"/>
      <c r="F65" s="71"/>
      <c r="G65" s="71"/>
      <c r="H65" s="50"/>
    </row>
    <row r="66" spans="1:8" ht="14.1" customHeight="1" x14ac:dyDescent="0.2">
      <c r="A66" s="66"/>
      <c r="B66" s="66"/>
      <c r="C66" s="67" t="s">
        <v>55</v>
      </c>
      <c r="D66" s="66"/>
      <c r="E66" s="66"/>
      <c r="F66" s="71"/>
      <c r="G66" s="71"/>
      <c r="H66" s="50"/>
    </row>
    <row r="67" spans="1:8" ht="14.1" customHeight="1" x14ac:dyDescent="0.2">
      <c r="A67" s="66"/>
      <c r="B67" s="66"/>
      <c r="C67" s="67" t="s">
        <v>10</v>
      </c>
      <c r="D67" s="66"/>
      <c r="E67" s="66" t="s">
        <v>11</v>
      </c>
      <c r="F67" s="68">
        <v>0</v>
      </c>
      <c r="G67" s="69">
        <v>0</v>
      </c>
      <c r="H67" s="50"/>
    </row>
    <row r="68" spans="1:8" ht="14.1" customHeight="1" x14ac:dyDescent="0.2">
      <c r="A68" s="66"/>
      <c r="B68" s="66"/>
      <c r="C68" s="70"/>
      <c r="D68" s="66"/>
      <c r="E68" s="66"/>
      <c r="F68" s="71"/>
      <c r="G68" s="71"/>
      <c r="H68" s="50"/>
    </row>
    <row r="69" spans="1:8" ht="14.1" customHeight="1" x14ac:dyDescent="0.2">
      <c r="A69" s="66"/>
      <c r="B69" s="66"/>
      <c r="C69" s="67" t="s">
        <v>56</v>
      </c>
      <c r="D69" s="66"/>
      <c r="E69" s="66"/>
      <c r="F69" s="72">
        <v>22783.287621920001</v>
      </c>
      <c r="G69" s="73">
        <v>0.38577250589275713</v>
      </c>
      <c r="H69" s="50"/>
    </row>
    <row r="70" spans="1:8" ht="14.1" customHeight="1" x14ac:dyDescent="0.2">
      <c r="A70" s="66"/>
      <c r="B70" s="66"/>
      <c r="C70" s="70"/>
      <c r="D70" s="66"/>
      <c r="E70" s="66"/>
      <c r="F70" s="71"/>
      <c r="G70" s="71"/>
      <c r="H70" s="50"/>
    </row>
    <row r="71" spans="1:8" ht="14.1" customHeight="1" x14ac:dyDescent="0.2">
      <c r="A71" s="66"/>
      <c r="B71" s="66"/>
      <c r="C71" s="67" t="s">
        <v>57</v>
      </c>
      <c r="D71" s="66"/>
      <c r="E71" s="66"/>
      <c r="F71" s="71"/>
      <c r="G71" s="71"/>
      <c r="H71" s="50"/>
    </row>
    <row r="72" spans="1:8" ht="14.1" customHeight="1" x14ac:dyDescent="0.2">
      <c r="A72" s="66"/>
      <c r="B72" s="66"/>
      <c r="C72" s="67" t="s">
        <v>58</v>
      </c>
      <c r="D72" s="66"/>
      <c r="E72" s="66"/>
      <c r="F72" s="71"/>
      <c r="G72" s="71"/>
      <c r="H72" s="50"/>
    </row>
    <row r="73" spans="1:8" ht="17.100000000000001" customHeight="1" x14ac:dyDescent="0.2">
      <c r="A73" s="74">
        <v>1</v>
      </c>
      <c r="B73" s="39" t="s">
        <v>59</v>
      </c>
      <c r="C73" s="39" t="s">
        <v>60</v>
      </c>
      <c r="D73" s="39" t="s">
        <v>61</v>
      </c>
      <c r="E73" s="75">
        <v>300</v>
      </c>
      <c r="F73" s="50">
        <v>1481.01</v>
      </c>
      <c r="G73" s="76">
        <v>2.5076843536950642E-2</v>
      </c>
      <c r="H73" s="50">
        <v>4</v>
      </c>
    </row>
    <row r="74" spans="1:8" ht="17.100000000000001" customHeight="1" x14ac:dyDescent="0.2">
      <c r="A74" s="74">
        <v>2</v>
      </c>
      <c r="B74" s="39" t="s">
        <v>62</v>
      </c>
      <c r="C74" s="39" t="s">
        <v>63</v>
      </c>
      <c r="D74" s="39" t="s">
        <v>61</v>
      </c>
      <c r="E74" s="75">
        <v>1500</v>
      </c>
      <c r="F74" s="50">
        <v>1478.6505</v>
      </c>
      <c r="G74" s="76">
        <v>2.5036891874014242E-2</v>
      </c>
      <c r="H74" s="50">
        <v>4.0540000000000003</v>
      </c>
    </row>
    <row r="75" spans="1:8" ht="17.100000000000001" customHeight="1" x14ac:dyDescent="0.2">
      <c r="A75" s="74">
        <v>3</v>
      </c>
      <c r="B75" s="39" t="s">
        <v>526</v>
      </c>
      <c r="C75" s="39" t="s">
        <v>527</v>
      </c>
      <c r="D75" s="39" t="s">
        <v>61</v>
      </c>
      <c r="E75" s="75">
        <v>200</v>
      </c>
      <c r="F75" s="50">
        <v>198.84520000000001</v>
      </c>
      <c r="G75" s="76">
        <v>3.3668982440858992E-3</v>
      </c>
      <c r="H75" s="50">
        <v>3.6551</v>
      </c>
    </row>
    <row r="76" spans="1:8" ht="14.1" customHeight="1" x14ac:dyDescent="0.2">
      <c r="A76" s="66"/>
      <c r="B76" s="66"/>
      <c r="C76" s="67" t="s">
        <v>10</v>
      </c>
      <c r="D76" s="66"/>
      <c r="E76" s="66" t="s">
        <v>11</v>
      </c>
      <c r="F76" s="72">
        <v>3158.5056999999997</v>
      </c>
      <c r="G76" s="73">
        <v>5.3480633655050784E-2</v>
      </c>
      <c r="H76" s="50"/>
    </row>
    <row r="77" spans="1:8" ht="14.1" customHeight="1" x14ac:dyDescent="0.2">
      <c r="A77" s="66"/>
      <c r="B77" s="66"/>
      <c r="C77" s="70"/>
      <c r="D77" s="66"/>
      <c r="E77" s="66"/>
      <c r="F77" s="71"/>
      <c r="G77" s="71"/>
      <c r="H77" s="50"/>
    </row>
    <row r="78" spans="1:8" ht="14.1" customHeight="1" x14ac:dyDescent="0.2">
      <c r="A78" s="66"/>
      <c r="B78" s="66"/>
      <c r="C78" s="67" t="s">
        <v>64</v>
      </c>
      <c r="D78" s="66"/>
      <c r="E78" s="66"/>
      <c r="F78" s="71"/>
      <c r="G78" s="71"/>
      <c r="H78" s="50"/>
    </row>
    <row r="79" spans="1:8" ht="17.100000000000001" customHeight="1" x14ac:dyDescent="0.2">
      <c r="A79" s="74">
        <v>1</v>
      </c>
      <c r="B79" s="39" t="s">
        <v>267</v>
      </c>
      <c r="C79" s="39" t="s">
        <v>268</v>
      </c>
      <c r="D79" s="39" t="s">
        <v>61</v>
      </c>
      <c r="E79" s="75">
        <v>500</v>
      </c>
      <c r="F79" s="50">
        <v>2491.4949999999999</v>
      </c>
      <c r="G79" s="76">
        <v>4.2186636341479691E-2</v>
      </c>
      <c r="H79" s="50">
        <v>3.665</v>
      </c>
    </row>
    <row r="80" spans="1:8" ht="17.100000000000001" customHeight="1" x14ac:dyDescent="0.2">
      <c r="A80" s="74">
        <v>2</v>
      </c>
      <c r="B80" s="39" t="s">
        <v>269</v>
      </c>
      <c r="C80" s="39" t="s">
        <v>270</v>
      </c>
      <c r="D80" s="39" t="s">
        <v>451</v>
      </c>
      <c r="E80" s="75">
        <v>500</v>
      </c>
      <c r="F80" s="50">
        <v>2487.3200000000002</v>
      </c>
      <c r="G80" s="76">
        <v>4.2115944164001641E-2</v>
      </c>
      <c r="H80" s="50">
        <v>4.0449999999999999</v>
      </c>
    </row>
    <row r="81" spans="1:8" ht="17.100000000000001" customHeight="1" x14ac:dyDescent="0.2">
      <c r="A81" s="74">
        <v>3</v>
      </c>
      <c r="B81" s="39" t="s">
        <v>271</v>
      </c>
      <c r="C81" s="39" t="s">
        <v>272</v>
      </c>
      <c r="D81" s="39" t="s">
        <v>61</v>
      </c>
      <c r="E81" s="75">
        <v>500</v>
      </c>
      <c r="F81" s="50">
        <v>2486.5549999999998</v>
      </c>
      <c r="G81" s="76">
        <v>4.2102990986571526E-2</v>
      </c>
      <c r="H81" s="50">
        <v>3.6549999999999998</v>
      </c>
    </row>
    <row r="82" spans="1:8" ht="17.100000000000001" customHeight="1" x14ac:dyDescent="0.2">
      <c r="A82" s="74">
        <v>4</v>
      </c>
      <c r="B82" s="39" t="s">
        <v>273</v>
      </c>
      <c r="C82" s="39" t="s">
        <v>274</v>
      </c>
      <c r="D82" s="39" t="s">
        <v>61</v>
      </c>
      <c r="E82" s="75">
        <v>400</v>
      </c>
      <c r="F82" s="50">
        <v>1994.0039999999999</v>
      </c>
      <c r="G82" s="76">
        <v>3.3762990337711241E-2</v>
      </c>
      <c r="H82" s="50">
        <v>4.2213000000000003</v>
      </c>
    </row>
    <row r="83" spans="1:8" ht="29.1" customHeight="1" x14ac:dyDescent="0.2">
      <c r="A83" s="74">
        <v>5</v>
      </c>
      <c r="B83" s="39" t="s">
        <v>275</v>
      </c>
      <c r="C83" s="39" t="s">
        <v>276</v>
      </c>
      <c r="D83" s="39" t="s">
        <v>61</v>
      </c>
      <c r="E83" s="75">
        <v>400</v>
      </c>
      <c r="F83" s="50">
        <v>1989.9780000000001</v>
      </c>
      <c r="G83" s="76">
        <v>3.3694821066686899E-2</v>
      </c>
      <c r="H83" s="50">
        <v>3.83</v>
      </c>
    </row>
    <row r="84" spans="1:8" ht="29.1" customHeight="1" x14ac:dyDescent="0.2">
      <c r="A84" s="74">
        <v>6</v>
      </c>
      <c r="B84" s="39" t="s">
        <v>277</v>
      </c>
      <c r="C84" s="39" t="s">
        <v>278</v>
      </c>
      <c r="D84" s="39" t="s">
        <v>61</v>
      </c>
      <c r="E84" s="75">
        <v>400</v>
      </c>
      <c r="F84" s="50">
        <v>1982.768</v>
      </c>
      <c r="G84" s="76">
        <v>3.3572739485940369E-2</v>
      </c>
      <c r="H84" s="50">
        <v>4.665</v>
      </c>
    </row>
    <row r="85" spans="1:8" ht="29.1" customHeight="1" x14ac:dyDescent="0.2">
      <c r="A85" s="74">
        <v>7</v>
      </c>
      <c r="B85" s="39" t="s">
        <v>279</v>
      </c>
      <c r="C85" s="39" t="s">
        <v>280</v>
      </c>
      <c r="D85" s="39" t="s">
        <v>61</v>
      </c>
      <c r="E85" s="75">
        <v>300</v>
      </c>
      <c r="F85" s="50">
        <v>1498.1369999999999</v>
      </c>
      <c r="G85" s="76">
        <v>2.5366842321062396E-2</v>
      </c>
      <c r="H85" s="50">
        <v>4.1262999999999996</v>
      </c>
    </row>
    <row r="86" spans="1:8" ht="17.100000000000001" customHeight="1" x14ac:dyDescent="0.2">
      <c r="A86" s="74">
        <v>8</v>
      </c>
      <c r="B86" s="39" t="s">
        <v>281</v>
      </c>
      <c r="C86" s="39" t="s">
        <v>282</v>
      </c>
      <c r="D86" s="39" t="s">
        <v>61</v>
      </c>
      <c r="E86" s="75">
        <v>200</v>
      </c>
      <c r="F86" s="50">
        <v>993.07899999999995</v>
      </c>
      <c r="G86" s="76">
        <v>1.6815069920413369E-2</v>
      </c>
      <c r="H86" s="50">
        <v>4.625</v>
      </c>
    </row>
    <row r="87" spans="1:8" ht="29.1" customHeight="1" x14ac:dyDescent="0.2">
      <c r="A87" s="74">
        <v>9</v>
      </c>
      <c r="B87" s="39" t="s">
        <v>283</v>
      </c>
      <c r="C87" s="39" t="s">
        <v>583</v>
      </c>
      <c r="D87" s="39" t="s">
        <v>61</v>
      </c>
      <c r="E87" s="75">
        <v>200</v>
      </c>
      <c r="F87" s="50">
        <v>992.83</v>
      </c>
      <c r="G87" s="76">
        <v>1.6810853788151805E-2</v>
      </c>
      <c r="H87" s="50">
        <v>4.5449999999999999</v>
      </c>
    </row>
    <row r="88" spans="1:8" ht="29.1" customHeight="1" x14ac:dyDescent="0.2">
      <c r="A88" s="74">
        <v>10</v>
      </c>
      <c r="B88" s="39" t="s">
        <v>284</v>
      </c>
      <c r="C88" s="39" t="s">
        <v>584</v>
      </c>
      <c r="D88" s="39" t="s">
        <v>61</v>
      </c>
      <c r="E88" s="75">
        <v>200</v>
      </c>
      <c r="F88" s="50">
        <v>977.84799999999996</v>
      </c>
      <c r="G88" s="76">
        <v>1.6557174697618592E-2</v>
      </c>
      <c r="H88" s="50">
        <v>5.44</v>
      </c>
    </row>
    <row r="89" spans="1:8" ht="17.100000000000001" customHeight="1" x14ac:dyDescent="0.2">
      <c r="A89" s="74">
        <v>11</v>
      </c>
      <c r="B89" s="39" t="s">
        <v>65</v>
      </c>
      <c r="C89" s="39" t="s">
        <v>66</v>
      </c>
      <c r="D89" s="39" t="s">
        <v>61</v>
      </c>
      <c r="E89" s="75">
        <v>200</v>
      </c>
      <c r="F89" s="50">
        <v>977.22</v>
      </c>
      <c r="G89" s="76">
        <v>1.6546541239545246E-2</v>
      </c>
      <c r="H89" s="50">
        <v>4.55</v>
      </c>
    </row>
    <row r="90" spans="1:8" ht="14.1" customHeight="1" x14ac:dyDescent="0.2">
      <c r="A90" s="66"/>
      <c r="B90" s="66"/>
      <c r="C90" s="67" t="s">
        <v>10</v>
      </c>
      <c r="D90" s="66"/>
      <c r="E90" s="66" t="s">
        <v>11</v>
      </c>
      <c r="F90" s="68">
        <v>18871.234000000004</v>
      </c>
      <c r="G90" s="69">
        <v>0.31953260434918274</v>
      </c>
      <c r="H90" s="50"/>
    </row>
    <row r="91" spans="1:8" ht="14.1" customHeight="1" x14ac:dyDescent="0.2">
      <c r="A91" s="66"/>
      <c r="B91" s="66"/>
      <c r="C91" s="70"/>
      <c r="D91" s="66"/>
      <c r="E91" s="66"/>
      <c r="F91" s="71"/>
      <c r="G91" s="71"/>
      <c r="H91" s="50"/>
    </row>
    <row r="92" spans="1:8" ht="14.1" customHeight="1" x14ac:dyDescent="0.2">
      <c r="A92" s="66"/>
      <c r="B92" s="66"/>
      <c r="C92" s="67" t="s">
        <v>67</v>
      </c>
      <c r="D92" s="66"/>
      <c r="E92" s="66"/>
      <c r="F92" s="71"/>
      <c r="G92" s="71"/>
      <c r="H92" s="50"/>
    </row>
    <row r="93" spans="1:8" ht="17.100000000000001" customHeight="1" x14ac:dyDescent="0.2">
      <c r="A93" s="74">
        <v>1</v>
      </c>
      <c r="B93" s="39" t="s">
        <v>68</v>
      </c>
      <c r="C93" s="39" t="s">
        <v>528</v>
      </c>
      <c r="D93" s="39" t="s">
        <v>49</v>
      </c>
      <c r="E93" s="75">
        <v>2500000</v>
      </c>
      <c r="F93" s="50">
        <v>2466.2750000000001</v>
      </c>
      <c r="G93" s="76">
        <v>4.1759604792738027E-2</v>
      </c>
      <c r="H93" s="50">
        <v>3.81</v>
      </c>
    </row>
    <row r="94" spans="1:8" ht="17.100000000000001" customHeight="1" x14ac:dyDescent="0.2">
      <c r="A94" s="74">
        <v>2</v>
      </c>
      <c r="B94" s="39" t="s">
        <v>260</v>
      </c>
      <c r="C94" s="39" t="s">
        <v>529</v>
      </c>
      <c r="D94" s="39" t="s">
        <v>49</v>
      </c>
      <c r="E94" s="75">
        <v>500000</v>
      </c>
      <c r="F94" s="50">
        <v>496.02350000000001</v>
      </c>
      <c r="G94" s="76">
        <v>8.3987979150381403E-3</v>
      </c>
      <c r="H94" s="50">
        <v>3.5684</v>
      </c>
    </row>
    <row r="95" spans="1:8" ht="17.100000000000001" customHeight="1" x14ac:dyDescent="0.2">
      <c r="A95" s="74">
        <v>3</v>
      </c>
      <c r="B95" s="39" t="s">
        <v>530</v>
      </c>
      <c r="C95" s="39" t="s">
        <v>531</v>
      </c>
      <c r="D95" s="39" t="s">
        <v>49</v>
      </c>
      <c r="E95" s="75">
        <v>500000</v>
      </c>
      <c r="F95" s="50">
        <v>494.12400000000002</v>
      </c>
      <c r="G95" s="76">
        <v>8.3666350908178869E-3</v>
      </c>
      <c r="H95" s="50">
        <v>3.71</v>
      </c>
    </row>
    <row r="96" spans="1:8" ht="17.100000000000001" customHeight="1" x14ac:dyDescent="0.2">
      <c r="A96" s="74">
        <v>4</v>
      </c>
      <c r="B96" s="39" t="s">
        <v>532</v>
      </c>
      <c r="C96" s="39" t="s">
        <v>533</v>
      </c>
      <c r="D96" s="39" t="s">
        <v>49</v>
      </c>
      <c r="E96" s="75">
        <v>500000</v>
      </c>
      <c r="F96" s="50">
        <v>482.26350000000002</v>
      </c>
      <c r="G96" s="76">
        <v>8.1658100438769463E-3</v>
      </c>
      <c r="H96" s="50">
        <v>4.1950000000000003</v>
      </c>
    </row>
    <row r="97" spans="1:8" ht="17.100000000000001" customHeight="1" x14ac:dyDescent="0.2">
      <c r="A97" s="74">
        <v>5</v>
      </c>
      <c r="B97" s="39" t="s">
        <v>534</v>
      </c>
      <c r="C97" s="39" t="s">
        <v>535</v>
      </c>
      <c r="D97" s="39" t="s">
        <v>49</v>
      </c>
      <c r="E97" s="75">
        <v>100000</v>
      </c>
      <c r="F97" s="50">
        <v>99.342699999999994</v>
      </c>
      <c r="G97" s="76">
        <v>1.6820962346224713E-3</v>
      </c>
      <c r="H97" s="50">
        <v>3.5</v>
      </c>
    </row>
    <row r="98" spans="1:8" ht="17.100000000000001" customHeight="1" x14ac:dyDescent="0.2">
      <c r="A98" s="74">
        <v>6</v>
      </c>
      <c r="B98" s="39" t="s">
        <v>536</v>
      </c>
      <c r="C98" s="39" t="s">
        <v>537</v>
      </c>
      <c r="D98" s="39" t="s">
        <v>49</v>
      </c>
      <c r="E98" s="75">
        <v>59000</v>
      </c>
      <c r="F98" s="50">
        <v>58.973745000000001</v>
      </c>
      <c r="G98" s="76">
        <v>9.9855867020008323E-4</v>
      </c>
      <c r="H98" s="50">
        <v>3.2498999999999998</v>
      </c>
    </row>
    <row r="99" spans="1:8" ht="14.1" customHeight="1" x14ac:dyDescent="0.2">
      <c r="A99" s="66"/>
      <c r="B99" s="66"/>
      <c r="C99" s="67" t="s">
        <v>10</v>
      </c>
      <c r="D99" s="66"/>
      <c r="E99" s="66" t="s">
        <v>11</v>
      </c>
      <c r="F99" s="72">
        <v>4097.0024450000001</v>
      </c>
      <c r="G99" s="73">
        <v>6.9371502747293562E-2</v>
      </c>
      <c r="H99" s="50"/>
    </row>
    <row r="100" spans="1:8" ht="14.1" customHeight="1" x14ac:dyDescent="0.2">
      <c r="A100" s="66"/>
      <c r="B100" s="66"/>
      <c r="C100" s="70"/>
      <c r="D100" s="66"/>
      <c r="E100" s="66"/>
      <c r="F100" s="71"/>
      <c r="G100" s="71"/>
      <c r="H100" s="50"/>
    </row>
    <row r="101" spans="1:8" ht="14.1" customHeight="1" x14ac:dyDescent="0.2">
      <c r="A101" s="66"/>
      <c r="B101" s="66"/>
      <c r="C101" s="67" t="s">
        <v>69</v>
      </c>
      <c r="D101" s="66"/>
      <c r="E101" s="66"/>
      <c r="F101" s="71"/>
      <c r="G101" s="71"/>
      <c r="H101" s="50"/>
    </row>
    <row r="102" spans="1:8" ht="17.100000000000001" customHeight="1" x14ac:dyDescent="0.2">
      <c r="A102" s="74">
        <v>1</v>
      </c>
      <c r="B102" s="39"/>
      <c r="C102" s="39" t="s">
        <v>70</v>
      </c>
      <c r="D102" s="39"/>
      <c r="E102" s="77"/>
      <c r="F102" s="50">
        <v>5614.9182835000001</v>
      </c>
      <c r="G102" s="76">
        <v>9.5073245466332404E-2</v>
      </c>
      <c r="H102" s="50">
        <v>3.4504560529072292</v>
      </c>
    </row>
    <row r="103" spans="1:8" ht="17.100000000000001" customHeight="1" x14ac:dyDescent="0.2">
      <c r="A103" s="74">
        <v>2</v>
      </c>
      <c r="B103" s="39"/>
      <c r="C103" s="39" t="s">
        <v>71</v>
      </c>
      <c r="D103" s="39"/>
      <c r="E103" s="77"/>
      <c r="F103" s="50">
        <v>3030.4133066999998</v>
      </c>
      <c r="G103" s="76">
        <v>5.1311740193792824E-2</v>
      </c>
      <c r="H103" s="50">
        <v>3.5655822479098256</v>
      </c>
    </row>
    <row r="104" spans="1:8" ht="14.1" customHeight="1" x14ac:dyDescent="0.2">
      <c r="A104" s="66"/>
      <c r="B104" s="66"/>
      <c r="C104" s="67" t="s">
        <v>10</v>
      </c>
      <c r="D104" s="66"/>
      <c r="E104" s="66" t="s">
        <v>11</v>
      </c>
      <c r="F104" s="68">
        <v>8645.3315901999995</v>
      </c>
      <c r="G104" s="69">
        <v>0.14638498566012523</v>
      </c>
      <c r="H104" s="50"/>
    </row>
    <row r="105" spans="1:8" ht="14.1" customHeight="1" x14ac:dyDescent="0.2">
      <c r="A105" s="66"/>
      <c r="B105" s="66"/>
      <c r="C105" s="70"/>
      <c r="D105" s="66"/>
      <c r="E105" s="66"/>
      <c r="F105" s="71"/>
      <c r="G105" s="71"/>
      <c r="H105" s="50"/>
    </row>
    <row r="106" spans="1:8" ht="14.1" customHeight="1" x14ac:dyDescent="0.2">
      <c r="A106" s="66"/>
      <c r="B106" s="66"/>
      <c r="C106" s="67" t="s">
        <v>72</v>
      </c>
      <c r="D106" s="66"/>
      <c r="E106" s="66"/>
      <c r="F106" s="72">
        <v>34772.073735200007</v>
      </c>
      <c r="G106" s="73">
        <v>0.58876972641165226</v>
      </c>
      <c r="H106" s="50"/>
    </row>
    <row r="107" spans="1:8" ht="14.1" customHeight="1" x14ac:dyDescent="0.2">
      <c r="A107" s="66"/>
      <c r="B107" s="66"/>
      <c r="C107" s="71"/>
      <c r="D107" s="66"/>
      <c r="E107" s="66"/>
      <c r="F107" s="66"/>
      <c r="G107" s="66"/>
      <c r="H107" s="50"/>
    </row>
    <row r="108" spans="1:8" ht="14.1" customHeight="1" x14ac:dyDescent="0.2">
      <c r="A108" s="66"/>
      <c r="B108" s="66"/>
      <c r="C108" s="67" t="s">
        <v>73</v>
      </c>
      <c r="D108" s="66"/>
      <c r="E108" s="66"/>
      <c r="F108" s="66"/>
      <c r="G108" s="66"/>
      <c r="H108" s="50"/>
    </row>
    <row r="109" spans="1:8" ht="14.1" customHeight="1" x14ac:dyDescent="0.2">
      <c r="A109" s="66"/>
      <c r="B109" s="66"/>
      <c r="C109" s="67" t="s">
        <v>74</v>
      </c>
      <c r="D109" s="66"/>
      <c r="E109" s="66"/>
      <c r="F109" s="66"/>
      <c r="G109" s="66"/>
      <c r="H109" s="50"/>
    </row>
    <row r="110" spans="1:8" ht="14.1" customHeight="1" x14ac:dyDescent="0.2">
      <c r="A110" s="66"/>
      <c r="B110" s="66"/>
      <c r="C110" s="67" t="s">
        <v>10</v>
      </c>
      <c r="D110" s="66"/>
      <c r="E110" s="66" t="s">
        <v>11</v>
      </c>
      <c r="F110" s="68">
        <v>0</v>
      </c>
      <c r="G110" s="69">
        <v>0</v>
      </c>
      <c r="H110" s="50"/>
    </row>
    <row r="111" spans="1:8" ht="14.1" customHeight="1" x14ac:dyDescent="0.2">
      <c r="A111" s="66"/>
      <c r="B111" s="66"/>
      <c r="C111" s="70"/>
      <c r="D111" s="66"/>
      <c r="E111" s="66"/>
      <c r="F111" s="71"/>
      <c r="G111" s="71"/>
      <c r="H111" s="50"/>
    </row>
    <row r="112" spans="1:8" ht="14.1" customHeight="1" x14ac:dyDescent="0.2">
      <c r="A112" s="66"/>
      <c r="B112" s="66"/>
      <c r="C112" s="67" t="s">
        <v>75</v>
      </c>
      <c r="D112" s="66"/>
      <c r="E112" s="66"/>
      <c r="F112" s="66"/>
      <c r="G112" s="66"/>
      <c r="H112" s="50"/>
    </row>
    <row r="113" spans="1:8" ht="14.1" customHeight="1" x14ac:dyDescent="0.2">
      <c r="A113" s="66"/>
      <c r="B113" s="66"/>
      <c r="C113" s="67" t="s">
        <v>76</v>
      </c>
      <c r="D113" s="66"/>
      <c r="E113" s="66"/>
      <c r="F113" s="66"/>
      <c r="G113" s="66"/>
      <c r="H113" s="50"/>
    </row>
    <row r="114" spans="1:8" ht="14.1" customHeight="1" x14ac:dyDescent="0.2">
      <c r="A114" s="66"/>
      <c r="B114" s="66"/>
      <c r="C114" s="67" t="s">
        <v>10</v>
      </c>
      <c r="D114" s="66"/>
      <c r="E114" s="66" t="s">
        <v>11</v>
      </c>
      <c r="F114" s="68">
        <v>0</v>
      </c>
      <c r="G114" s="69">
        <v>0</v>
      </c>
      <c r="H114" s="50"/>
    </row>
    <row r="115" spans="1:8" ht="14.1" customHeight="1" x14ac:dyDescent="0.2">
      <c r="A115" s="66"/>
      <c r="B115" s="66"/>
      <c r="C115" s="70"/>
      <c r="D115" s="66"/>
      <c r="E115" s="66"/>
      <c r="F115" s="71"/>
      <c r="G115" s="71"/>
      <c r="H115" s="50"/>
    </row>
    <row r="116" spans="1:8" ht="24" customHeight="1" x14ac:dyDescent="0.2">
      <c r="A116" s="66"/>
      <c r="B116" s="66"/>
      <c r="C116" s="67" t="s">
        <v>77</v>
      </c>
      <c r="D116" s="66"/>
      <c r="E116" s="66"/>
      <c r="F116" s="71"/>
      <c r="G116" s="71"/>
      <c r="H116" s="50"/>
    </row>
    <row r="117" spans="1:8" ht="14.1" customHeight="1" x14ac:dyDescent="0.2">
      <c r="A117" s="66"/>
      <c r="B117" s="66"/>
      <c r="C117" s="67" t="s">
        <v>10</v>
      </c>
      <c r="D117" s="66"/>
      <c r="E117" s="66" t="s">
        <v>11</v>
      </c>
      <c r="F117" s="68">
        <v>0</v>
      </c>
      <c r="G117" s="69">
        <v>0</v>
      </c>
      <c r="H117" s="50"/>
    </row>
    <row r="118" spans="1:8" ht="14.1" customHeight="1" x14ac:dyDescent="0.2">
      <c r="A118" s="66"/>
      <c r="B118" s="66"/>
      <c r="C118" s="70"/>
      <c r="D118" s="66"/>
      <c r="E118" s="66"/>
      <c r="F118" s="71"/>
      <c r="G118" s="71"/>
      <c r="H118" s="50"/>
    </row>
    <row r="119" spans="1:8" ht="14.1" customHeight="1" x14ac:dyDescent="0.2">
      <c r="A119" s="66"/>
      <c r="B119" s="39"/>
      <c r="C119" s="39"/>
      <c r="D119" s="67"/>
      <c r="E119" s="66"/>
      <c r="F119" s="39"/>
      <c r="G119" s="77"/>
      <c r="H119" s="50"/>
    </row>
    <row r="120" spans="1:8" ht="18" customHeight="1" x14ac:dyDescent="0.2">
      <c r="A120" s="77"/>
      <c r="B120" s="39"/>
      <c r="C120" s="39" t="s">
        <v>78</v>
      </c>
      <c r="D120" s="39"/>
      <c r="E120" s="77"/>
      <c r="F120" s="50">
        <v>1503.50694972</v>
      </c>
      <c r="G120" s="76">
        <v>2.5457767695590411E-2</v>
      </c>
      <c r="H120" s="50"/>
    </row>
    <row r="121" spans="1:8" ht="14.1" customHeight="1" x14ac:dyDescent="0.2">
      <c r="A121" s="70"/>
      <c r="B121" s="70"/>
      <c r="C121" s="67" t="s">
        <v>79</v>
      </c>
      <c r="D121" s="71"/>
      <c r="E121" s="71"/>
      <c r="F121" s="72">
        <v>59058.868306840013</v>
      </c>
      <c r="G121" s="73">
        <v>0.99999999999999978</v>
      </c>
      <c r="H121" s="50"/>
    </row>
    <row r="122" spans="1:8" ht="14.1" customHeight="1" x14ac:dyDescent="0.2">
      <c r="A122" s="15"/>
      <c r="B122" s="15"/>
      <c r="C122" s="15"/>
      <c r="D122" s="16"/>
      <c r="E122" s="16"/>
      <c r="F122" s="16"/>
      <c r="G122" s="16"/>
    </row>
    <row r="123" spans="1:8" ht="17.100000000000001" customHeight="1" x14ac:dyDescent="0.2">
      <c r="A123" s="17"/>
      <c r="B123" s="154" t="s">
        <v>80</v>
      </c>
      <c r="C123" s="154"/>
      <c r="D123" s="154"/>
      <c r="E123" s="154"/>
      <c r="F123" s="154"/>
      <c r="G123" s="19"/>
    </row>
    <row r="124" spans="1:8" ht="17.100000000000001" customHeight="1" x14ac:dyDescent="0.2">
      <c r="A124" s="17"/>
      <c r="B124" s="154" t="s">
        <v>81</v>
      </c>
      <c r="C124" s="154"/>
      <c r="D124" s="154"/>
      <c r="E124" s="154"/>
      <c r="F124" s="154"/>
      <c r="G124" s="19"/>
    </row>
    <row r="125" spans="1:8" ht="14.1" customHeight="1" x14ac:dyDescent="0.2">
      <c r="A125" s="17"/>
      <c r="B125" s="154" t="s">
        <v>11</v>
      </c>
      <c r="C125" s="154"/>
      <c r="D125" s="154"/>
      <c r="E125" s="154"/>
      <c r="F125" s="154"/>
      <c r="G125" s="19"/>
    </row>
    <row r="126" spans="1:8" ht="14.1" customHeight="1" x14ac:dyDescent="0.2">
      <c r="A126" s="17"/>
      <c r="B126" s="17"/>
      <c r="C126" s="17"/>
      <c r="D126" s="19"/>
      <c r="E126" s="19"/>
      <c r="F126" s="19"/>
      <c r="G126" s="19"/>
    </row>
    <row r="127" spans="1:8" ht="14.1" customHeight="1" x14ac:dyDescent="0.2">
      <c r="A127" s="17"/>
      <c r="B127" s="155" t="s">
        <v>82</v>
      </c>
      <c r="C127" s="156"/>
      <c r="D127" s="157"/>
      <c r="E127" s="20"/>
      <c r="F127" s="19"/>
      <c r="G127" s="19"/>
    </row>
    <row r="128" spans="1:8" ht="29.1" customHeight="1" x14ac:dyDescent="0.2">
      <c r="A128" s="17"/>
      <c r="B128" s="149" t="s">
        <v>83</v>
      </c>
      <c r="C128" s="150"/>
      <c r="D128" s="2" t="s">
        <v>654</v>
      </c>
      <c r="E128" s="20"/>
      <c r="F128" s="19"/>
      <c r="G128" s="19"/>
    </row>
    <row r="129" spans="1:7" ht="17.100000000000001" customHeight="1" x14ac:dyDescent="0.2">
      <c r="A129" s="17"/>
      <c r="B129" s="149" t="s">
        <v>85</v>
      </c>
      <c r="C129" s="150"/>
      <c r="D129" s="2" t="s">
        <v>84</v>
      </c>
      <c r="E129" s="20"/>
      <c r="F129" s="19"/>
      <c r="G129" s="19"/>
    </row>
    <row r="130" spans="1:7" ht="17.100000000000001" customHeight="1" x14ac:dyDescent="0.2">
      <c r="A130" s="17"/>
      <c r="B130" s="149" t="s">
        <v>618</v>
      </c>
      <c r="C130" s="150"/>
      <c r="D130" s="6" t="s">
        <v>11</v>
      </c>
      <c r="E130" s="20"/>
      <c r="F130" s="19"/>
      <c r="G130" s="19"/>
    </row>
    <row r="131" spans="1:7" ht="24" customHeight="1" x14ac:dyDescent="0.2">
      <c r="A131" s="55"/>
      <c r="B131" s="83" t="s">
        <v>11</v>
      </c>
      <c r="C131" s="83" t="s">
        <v>87</v>
      </c>
      <c r="D131" s="83" t="s">
        <v>88</v>
      </c>
      <c r="E131" s="55"/>
      <c r="F131" s="55"/>
      <c r="G131" s="55"/>
    </row>
    <row r="132" spans="1:7" ht="18" customHeight="1" x14ac:dyDescent="0.2">
      <c r="A132" s="55"/>
      <c r="B132" s="84" t="s">
        <v>89</v>
      </c>
      <c r="C132" s="83" t="s">
        <v>90</v>
      </c>
      <c r="D132" s="83" t="s">
        <v>91</v>
      </c>
      <c r="E132" s="55"/>
      <c r="F132" s="55"/>
      <c r="G132" s="55"/>
    </row>
    <row r="133" spans="1:7" ht="17.100000000000001" customHeight="1" x14ac:dyDescent="0.2">
      <c r="A133" s="55"/>
      <c r="B133" s="39" t="s">
        <v>92</v>
      </c>
      <c r="C133" s="115">
        <v>2920.27</v>
      </c>
      <c r="D133" s="85">
        <v>2927.6477</v>
      </c>
      <c r="E133" s="55"/>
      <c r="F133" s="56"/>
      <c r="G133" s="86"/>
    </row>
    <row r="134" spans="1:7" ht="29.1" customHeight="1" x14ac:dyDescent="0.2">
      <c r="A134" s="55"/>
      <c r="B134" s="39" t="s">
        <v>469</v>
      </c>
      <c r="C134" s="115">
        <v>962.58410000000003</v>
      </c>
      <c r="D134" s="85">
        <v>965.01599999999996</v>
      </c>
      <c r="E134" s="55"/>
      <c r="F134" s="56"/>
      <c r="G134" s="86"/>
    </row>
    <row r="135" spans="1:7" ht="29.1" customHeight="1" x14ac:dyDescent="0.2">
      <c r="A135" s="55"/>
      <c r="B135" s="39" t="s">
        <v>456</v>
      </c>
      <c r="C135" s="115">
        <v>961.14049999999997</v>
      </c>
      <c r="D135" s="85">
        <v>963.56870000000004</v>
      </c>
      <c r="E135" s="55"/>
      <c r="F135" s="56"/>
      <c r="G135" s="86"/>
    </row>
    <row r="136" spans="1:7" ht="29.1" customHeight="1" x14ac:dyDescent="0.2">
      <c r="A136" s="55"/>
      <c r="B136" s="39" t="s">
        <v>458</v>
      </c>
      <c r="C136" s="115">
        <v>1092.0513000000001</v>
      </c>
      <c r="D136" s="85">
        <v>1094.8104000000001</v>
      </c>
      <c r="E136" s="55"/>
      <c r="F136" s="56"/>
      <c r="G136" s="86"/>
    </row>
    <row r="137" spans="1:7" ht="17.100000000000001" customHeight="1" x14ac:dyDescent="0.2">
      <c r="A137" s="55"/>
      <c r="B137" s="39" t="s">
        <v>93</v>
      </c>
      <c r="C137" s="115">
        <v>2795.6444999999999</v>
      </c>
      <c r="D137" s="85">
        <v>2801.9508000000001</v>
      </c>
      <c r="E137" s="55"/>
      <c r="F137" s="56"/>
      <c r="G137" s="86"/>
    </row>
    <row r="138" spans="1:7" ht="29.1" customHeight="1" x14ac:dyDescent="0.2">
      <c r="A138" s="55"/>
      <c r="B138" s="39" t="s">
        <v>471</v>
      </c>
      <c r="C138" s="115">
        <v>954.48789999999997</v>
      </c>
      <c r="D138" s="85">
        <v>956.64120000000003</v>
      </c>
      <c r="E138" s="55"/>
      <c r="F138" s="56"/>
      <c r="G138" s="86"/>
    </row>
    <row r="139" spans="1:7" ht="29.1" customHeight="1" x14ac:dyDescent="0.2">
      <c r="A139" s="55"/>
      <c r="B139" s="39" t="s">
        <v>462</v>
      </c>
      <c r="C139" s="115">
        <v>954.64589999999998</v>
      </c>
      <c r="D139" s="85">
        <v>956.79949999999997</v>
      </c>
      <c r="E139" s="55"/>
      <c r="F139" s="56"/>
      <c r="G139" s="86"/>
    </row>
    <row r="140" spans="1:7" ht="29.1" customHeight="1" x14ac:dyDescent="0.2">
      <c r="A140" s="55"/>
      <c r="B140" s="39" t="s">
        <v>464</v>
      </c>
      <c r="C140" s="115">
        <v>1082.6793</v>
      </c>
      <c r="D140" s="85">
        <v>1085.1220000000001</v>
      </c>
      <c r="E140" s="55"/>
      <c r="F140" s="56"/>
      <c r="G140" s="86"/>
    </row>
    <row r="141" spans="1:7" ht="17.100000000000001" customHeight="1" x14ac:dyDescent="0.2">
      <c r="A141" s="80"/>
      <c r="B141" s="149" t="s">
        <v>619</v>
      </c>
      <c r="C141" s="159"/>
      <c r="D141" s="150"/>
      <c r="E141" s="82"/>
      <c r="F141" s="81"/>
      <c r="G141" s="81"/>
    </row>
    <row r="142" spans="1:7" ht="24" customHeight="1" x14ac:dyDescent="0.2">
      <c r="A142" s="21"/>
      <c r="B142" s="22" t="s">
        <v>11</v>
      </c>
      <c r="C142" s="22" t="s">
        <v>87</v>
      </c>
      <c r="D142" s="22" t="s">
        <v>88</v>
      </c>
      <c r="E142" s="21"/>
      <c r="F142" s="21"/>
      <c r="G142" s="21"/>
    </row>
    <row r="143" spans="1:7" ht="18" customHeight="1" x14ac:dyDescent="0.2">
      <c r="A143" s="21"/>
      <c r="B143" s="23" t="s">
        <v>89</v>
      </c>
      <c r="C143" s="22" t="s">
        <v>90</v>
      </c>
      <c r="D143" s="22" t="s">
        <v>91</v>
      </c>
      <c r="E143" s="21"/>
      <c r="F143" s="21"/>
      <c r="G143" s="21"/>
    </row>
    <row r="144" spans="1:7" ht="17.100000000000001" customHeight="1" x14ac:dyDescent="0.2">
      <c r="A144" s="21"/>
      <c r="B144" s="10" t="s">
        <v>92</v>
      </c>
      <c r="C144" s="24">
        <v>30.1633</v>
      </c>
      <c r="D144" s="24">
        <v>30.2653</v>
      </c>
      <c r="E144" s="21"/>
      <c r="F144" s="51"/>
      <c r="G144" s="25"/>
    </row>
    <row r="145" spans="1:16" ht="29.1" customHeight="1" x14ac:dyDescent="0.2">
      <c r="A145" s="21"/>
      <c r="B145" s="10" t="s">
        <v>469</v>
      </c>
      <c r="C145" s="24">
        <v>11.0336</v>
      </c>
      <c r="D145" s="24">
        <v>11.034000000000001</v>
      </c>
      <c r="E145" s="21"/>
      <c r="F145" s="51"/>
      <c r="G145" s="25"/>
    </row>
    <row r="146" spans="1:16" ht="29.1" customHeight="1" x14ac:dyDescent="0.2">
      <c r="A146" s="21"/>
      <c r="B146" s="10" t="s">
        <v>456</v>
      </c>
      <c r="C146" s="24">
        <v>12.5022</v>
      </c>
      <c r="D146" s="24">
        <v>12.5062</v>
      </c>
      <c r="E146" s="21"/>
      <c r="F146" s="51"/>
      <c r="G146" s="25"/>
    </row>
    <row r="147" spans="1:16" ht="29.1" customHeight="1" x14ac:dyDescent="0.2">
      <c r="A147" s="21"/>
      <c r="B147" s="10" t="s">
        <v>457</v>
      </c>
      <c r="C147" s="24">
        <v>11.920999999999999</v>
      </c>
      <c r="D147" s="24">
        <v>11.924799999999999</v>
      </c>
      <c r="E147" s="21"/>
      <c r="F147" s="51"/>
      <c r="G147" s="25"/>
      <c r="I147"/>
      <c r="J147"/>
      <c r="K147"/>
      <c r="L147"/>
      <c r="M147"/>
      <c r="N147"/>
      <c r="O147"/>
      <c r="P147"/>
    </row>
    <row r="148" spans="1:16" ht="29.1" customHeight="1" x14ac:dyDescent="0.2">
      <c r="A148" s="21"/>
      <c r="B148" s="10" t="s">
        <v>458</v>
      </c>
      <c r="C148" s="24">
        <v>11.655099999999999</v>
      </c>
      <c r="D148" s="24">
        <v>11.6652</v>
      </c>
      <c r="E148" s="21"/>
      <c r="F148" s="51"/>
      <c r="G148" s="25"/>
    </row>
    <row r="149" spans="1:16" ht="29.1" customHeight="1" x14ac:dyDescent="0.2">
      <c r="A149" s="21"/>
      <c r="B149" s="10" t="s">
        <v>459</v>
      </c>
      <c r="C149" s="24">
        <v>12.604799999999999</v>
      </c>
      <c r="D149" s="24">
        <v>12.5724</v>
      </c>
      <c r="E149" s="21"/>
      <c r="F149" s="51"/>
      <c r="G149" s="25"/>
    </row>
    <row r="150" spans="1:16" ht="17.100000000000001" customHeight="1" x14ac:dyDescent="0.2">
      <c r="A150" s="21"/>
      <c r="B150" s="10" t="s">
        <v>237</v>
      </c>
      <c r="C150" s="24">
        <v>26.068100000000001</v>
      </c>
      <c r="D150" s="24">
        <v>26.141100000000002</v>
      </c>
      <c r="E150" s="21"/>
      <c r="F150" s="51"/>
      <c r="G150" s="25"/>
    </row>
    <row r="151" spans="1:16" ht="29.1" customHeight="1" x14ac:dyDescent="0.2">
      <c r="A151" s="21"/>
      <c r="B151" s="10" t="s">
        <v>473</v>
      </c>
      <c r="C151" s="24">
        <v>11.1187</v>
      </c>
      <c r="D151" s="24">
        <v>11.119300000000001</v>
      </c>
      <c r="E151" s="21"/>
      <c r="F151" s="51"/>
      <c r="G151" s="25"/>
    </row>
    <row r="152" spans="1:16" ht="29.1" customHeight="1" x14ac:dyDescent="0.2">
      <c r="A152" s="21"/>
      <c r="B152" s="10" t="s">
        <v>474</v>
      </c>
      <c r="C152" s="24">
        <v>12.231199999999999</v>
      </c>
      <c r="D152" s="24">
        <v>12.2355</v>
      </c>
      <c r="E152" s="21"/>
      <c r="F152" s="51"/>
      <c r="G152" s="25"/>
    </row>
    <row r="153" spans="1:16" ht="29.1" customHeight="1" x14ac:dyDescent="0.2">
      <c r="A153" s="21"/>
      <c r="B153" s="10" t="s">
        <v>475</v>
      </c>
      <c r="C153" s="24">
        <v>11.3691</v>
      </c>
      <c r="D153" s="24">
        <v>11.3728</v>
      </c>
      <c r="E153" s="21"/>
      <c r="F153" s="51"/>
      <c r="G153" s="25"/>
    </row>
    <row r="154" spans="1:16" ht="29.1" customHeight="1" x14ac:dyDescent="0.2">
      <c r="A154" s="21"/>
      <c r="B154" s="10" t="s">
        <v>470</v>
      </c>
      <c r="C154" s="24">
        <v>11.3972</v>
      </c>
      <c r="D154" s="24">
        <v>11.4068</v>
      </c>
      <c r="E154" s="21"/>
      <c r="F154" s="51"/>
      <c r="G154" s="25"/>
    </row>
    <row r="155" spans="1:16" ht="29.1" customHeight="1" x14ac:dyDescent="0.2">
      <c r="A155" s="21"/>
      <c r="B155" s="10" t="s">
        <v>476</v>
      </c>
      <c r="C155" s="24">
        <v>11.6228</v>
      </c>
      <c r="D155" s="24">
        <v>11.5802</v>
      </c>
      <c r="E155" s="21"/>
      <c r="F155" s="51"/>
      <c r="G155" s="25"/>
    </row>
    <row r="156" spans="1:16" ht="29.1" customHeight="1" x14ac:dyDescent="0.2">
      <c r="A156" s="21"/>
      <c r="B156" s="10" t="s">
        <v>285</v>
      </c>
      <c r="C156" s="24">
        <v>27.793199999999999</v>
      </c>
      <c r="D156" s="24">
        <v>27.869700000000002</v>
      </c>
      <c r="E156" s="21"/>
      <c r="F156" s="51"/>
      <c r="G156" s="25"/>
    </row>
    <row r="157" spans="1:16" ht="29.1" customHeight="1" x14ac:dyDescent="0.2">
      <c r="A157" s="21"/>
      <c r="B157" s="10" t="s">
        <v>477</v>
      </c>
      <c r="C157" s="24">
        <v>11.118600000000001</v>
      </c>
      <c r="D157" s="24">
        <v>11.119199999999999</v>
      </c>
      <c r="E157" s="21"/>
      <c r="F157" s="51"/>
      <c r="G157" s="25"/>
    </row>
    <row r="158" spans="1:16" ht="29.1" customHeight="1" x14ac:dyDescent="0.2">
      <c r="A158" s="21"/>
      <c r="B158" s="10" t="s">
        <v>478</v>
      </c>
      <c r="C158" s="24">
        <v>11.4086</v>
      </c>
      <c r="D158" s="24">
        <v>11.418200000000001</v>
      </c>
      <c r="E158" s="21"/>
      <c r="F158" s="51"/>
      <c r="G158" s="25"/>
    </row>
    <row r="159" spans="1:16" ht="17.100000000000001" customHeight="1" x14ac:dyDescent="0.2">
      <c r="A159" s="21"/>
      <c r="B159" s="10" t="s">
        <v>93</v>
      </c>
      <c r="C159" s="24">
        <v>28.758700000000001</v>
      </c>
      <c r="D159" s="24">
        <v>28.839099999999998</v>
      </c>
      <c r="E159" s="21"/>
      <c r="F159" s="51"/>
      <c r="G159" s="25"/>
    </row>
    <row r="160" spans="1:16" ht="17.100000000000001" customHeight="1" x14ac:dyDescent="0.2">
      <c r="A160" s="21"/>
      <c r="B160" s="10" t="s">
        <v>94</v>
      </c>
      <c r="C160" s="24">
        <v>16.462800000000001</v>
      </c>
      <c r="D160" s="24">
        <v>16.508900000000001</v>
      </c>
      <c r="E160" s="21"/>
      <c r="F160" s="51"/>
      <c r="G160" s="25"/>
    </row>
    <row r="161" spans="1:7" ht="29.1" customHeight="1" x14ac:dyDescent="0.2">
      <c r="A161" s="21"/>
      <c r="B161" s="10" t="s">
        <v>471</v>
      </c>
      <c r="C161" s="24">
        <v>10.9221</v>
      </c>
      <c r="D161" s="24">
        <v>10.922700000000001</v>
      </c>
      <c r="E161" s="21"/>
      <c r="F161" s="51"/>
      <c r="G161" s="25"/>
    </row>
    <row r="162" spans="1:7" ht="29.1" customHeight="1" x14ac:dyDescent="0.2">
      <c r="A162" s="21"/>
      <c r="B162" s="10" t="s">
        <v>462</v>
      </c>
      <c r="C162" s="24">
        <v>12.3581</v>
      </c>
      <c r="D162" s="24">
        <v>12.362399999999999</v>
      </c>
      <c r="E162" s="21"/>
      <c r="F162" s="51"/>
      <c r="G162" s="25"/>
    </row>
    <row r="163" spans="1:7" ht="29.1" customHeight="1" x14ac:dyDescent="0.2">
      <c r="A163" s="21"/>
      <c r="B163" s="10" t="s">
        <v>463</v>
      </c>
      <c r="C163" s="24">
        <v>11.684699999999999</v>
      </c>
      <c r="D163" s="24">
        <v>11.688800000000001</v>
      </c>
      <c r="E163" s="21"/>
      <c r="F163" s="51"/>
      <c r="G163" s="25"/>
    </row>
    <row r="164" spans="1:7" ht="29.1" customHeight="1" x14ac:dyDescent="0.2">
      <c r="A164" s="21"/>
      <c r="B164" s="10" t="s">
        <v>464</v>
      </c>
      <c r="C164" s="24">
        <v>11.453200000000001</v>
      </c>
      <c r="D164" s="24">
        <v>11.4628</v>
      </c>
      <c r="E164" s="21"/>
      <c r="F164" s="51"/>
      <c r="G164" s="25"/>
    </row>
    <row r="165" spans="1:7" ht="29.1" customHeight="1" x14ac:dyDescent="0.2">
      <c r="A165" s="21"/>
      <c r="B165" s="10" t="s">
        <v>465</v>
      </c>
      <c r="C165" s="24">
        <v>12.0524</v>
      </c>
      <c r="D165" s="24">
        <v>12.011200000000001</v>
      </c>
      <c r="E165" s="21"/>
      <c r="F165" s="51"/>
      <c r="G165" s="25"/>
    </row>
    <row r="166" spans="1:7" ht="12" customHeight="1" x14ac:dyDescent="0.2">
      <c r="A166" s="21"/>
      <c r="B166" s="51"/>
      <c r="C166" s="65"/>
      <c r="D166" s="65"/>
      <c r="E166" s="21"/>
      <c r="F166" s="51"/>
      <c r="G166" s="25"/>
    </row>
    <row r="167" spans="1:7" ht="12" customHeight="1" x14ac:dyDescent="0.2">
      <c r="A167" s="21"/>
      <c r="B167" s="51"/>
      <c r="C167" s="65"/>
      <c r="D167" s="65"/>
      <c r="E167" s="21"/>
      <c r="F167" s="51"/>
      <c r="G167" s="25"/>
    </row>
    <row r="168" spans="1:7" x14ac:dyDescent="0.2">
      <c r="A168" s="21"/>
      <c r="B168" s="149" t="s">
        <v>620</v>
      </c>
      <c r="C168" s="150"/>
      <c r="D168" s="2" t="s">
        <v>616</v>
      </c>
      <c r="E168" s="21"/>
      <c r="F168" s="21"/>
      <c r="G168" s="21"/>
    </row>
    <row r="169" spans="1:7" x14ac:dyDescent="0.2">
      <c r="A169" s="62"/>
      <c r="B169" s="119"/>
      <c r="C169" s="121"/>
      <c r="D169" s="120"/>
      <c r="E169" s="62"/>
      <c r="F169" s="62"/>
      <c r="G169" s="62"/>
    </row>
    <row r="170" spans="1:7" x14ac:dyDescent="0.2">
      <c r="A170" s="62"/>
      <c r="B170" s="149" t="s">
        <v>621</v>
      </c>
      <c r="C170" s="159"/>
      <c r="D170" s="150"/>
      <c r="E170" s="62"/>
      <c r="F170" s="62"/>
      <c r="G170" s="62"/>
    </row>
    <row r="171" spans="1:7" ht="18" customHeight="1" x14ac:dyDescent="0.2">
      <c r="A171" s="21"/>
      <c r="B171" s="26" t="s">
        <v>89</v>
      </c>
      <c r="C171" s="27" t="s">
        <v>95</v>
      </c>
      <c r="D171" s="27" t="s">
        <v>96</v>
      </c>
      <c r="E171" s="21"/>
      <c r="F171" s="21"/>
      <c r="G171" s="21"/>
    </row>
    <row r="172" spans="1:7" ht="29.1" customHeight="1" x14ac:dyDescent="0.2">
      <c r="A172" s="21"/>
      <c r="B172" s="10" t="s">
        <v>469</v>
      </c>
      <c r="C172" s="28">
        <v>3.6864000000000001E-2</v>
      </c>
      <c r="D172" s="28">
        <v>3.6864000000000001E-2</v>
      </c>
      <c r="E172" s="21"/>
      <c r="F172" s="51"/>
      <c r="G172" s="25"/>
    </row>
    <row r="173" spans="1:7" ht="29.1" customHeight="1" x14ac:dyDescent="0.2">
      <c r="A173" s="21"/>
      <c r="B173" s="10" t="s">
        <v>456</v>
      </c>
      <c r="C173" s="28">
        <v>3.8300000000000001E-2</v>
      </c>
      <c r="D173" s="14" t="s">
        <v>97</v>
      </c>
      <c r="E173" s="21"/>
      <c r="F173" s="51"/>
      <c r="G173" s="25"/>
    </row>
    <row r="174" spans="1:7" ht="29.1" customHeight="1" x14ac:dyDescent="0.2">
      <c r="A174" s="21"/>
      <c r="B174" s="10" t="s">
        <v>457</v>
      </c>
      <c r="C174" s="28">
        <v>3.6499999999999998E-2</v>
      </c>
      <c r="D174" s="14" t="s">
        <v>97</v>
      </c>
      <c r="E174" s="21"/>
      <c r="F174" s="51"/>
      <c r="G174" s="25"/>
    </row>
    <row r="175" spans="1:7" ht="29.1" customHeight="1" x14ac:dyDescent="0.2">
      <c r="A175" s="21"/>
      <c r="B175" s="10" t="s">
        <v>458</v>
      </c>
      <c r="C175" s="28">
        <v>2.93E-2</v>
      </c>
      <c r="D175" s="14" t="s">
        <v>97</v>
      </c>
      <c r="E175" s="21"/>
      <c r="F175" s="51"/>
      <c r="G175" s="25"/>
    </row>
    <row r="176" spans="1:7" ht="29.1" customHeight="1" x14ac:dyDescent="0.2">
      <c r="A176" s="21"/>
      <c r="B176" s="10" t="s">
        <v>459</v>
      </c>
      <c r="C176" s="28">
        <v>0</v>
      </c>
      <c r="D176" s="28">
        <v>7.4999999999999997E-2</v>
      </c>
      <c r="E176" s="21"/>
      <c r="F176" s="51"/>
      <c r="G176" s="25"/>
    </row>
    <row r="177" spans="1:7" ht="29.1" customHeight="1" x14ac:dyDescent="0.2">
      <c r="A177" s="21"/>
      <c r="B177" s="10" t="s">
        <v>473</v>
      </c>
      <c r="C177" s="28">
        <v>3.0429000000000001E-2</v>
      </c>
      <c r="D177" s="28">
        <v>3.0429000000000001E-2</v>
      </c>
      <c r="E177" s="21"/>
      <c r="F177" s="51"/>
      <c r="G177" s="25"/>
    </row>
    <row r="178" spans="1:7" ht="29.1" customHeight="1" x14ac:dyDescent="0.2">
      <c r="A178" s="21"/>
      <c r="B178" s="10" t="s">
        <v>474</v>
      </c>
      <c r="C178" s="28">
        <v>2.9899999999999999E-2</v>
      </c>
      <c r="D178" s="28">
        <v>2.9899999999999999E-2</v>
      </c>
      <c r="E178" s="21"/>
      <c r="F178" s="51"/>
      <c r="G178" s="25"/>
    </row>
    <row r="179" spans="1:7" ht="29.1" customHeight="1" x14ac:dyDescent="0.2">
      <c r="A179" s="21"/>
      <c r="B179" s="10" t="s">
        <v>475</v>
      </c>
      <c r="C179" s="28">
        <v>3.1199999999999999E-2</v>
      </c>
      <c r="D179" s="14" t="s">
        <v>97</v>
      </c>
      <c r="E179" s="21"/>
      <c r="F179" s="51"/>
      <c r="G179" s="25"/>
    </row>
    <row r="180" spans="1:7" ht="29.1" customHeight="1" x14ac:dyDescent="0.2">
      <c r="A180" s="21"/>
      <c r="B180" s="10" t="s">
        <v>470</v>
      </c>
      <c r="C180" s="28">
        <v>2.23E-2</v>
      </c>
      <c r="D180" s="28">
        <v>2.23E-2</v>
      </c>
      <c r="E180" s="21"/>
      <c r="F180" s="51"/>
      <c r="G180" s="25"/>
    </row>
    <row r="181" spans="1:7" ht="29.1" customHeight="1" x14ac:dyDescent="0.2">
      <c r="A181" s="21"/>
      <c r="B181" s="10" t="s">
        <v>476</v>
      </c>
      <c r="C181" s="28">
        <v>7.4999999999999997E-2</v>
      </c>
      <c r="D181" s="28">
        <v>7.4999999999999997E-2</v>
      </c>
      <c r="E181" s="21"/>
      <c r="F181" s="51"/>
      <c r="G181" s="25"/>
    </row>
    <row r="182" spans="1:7" ht="29.1" customHeight="1" x14ac:dyDescent="0.2">
      <c r="A182" s="21"/>
      <c r="B182" s="10" t="s">
        <v>477</v>
      </c>
      <c r="C182" s="28">
        <v>0</v>
      </c>
      <c r="D182" s="28">
        <v>3.0477000000000001E-2</v>
      </c>
      <c r="E182" s="21"/>
      <c r="F182" s="51"/>
      <c r="G182" s="25"/>
    </row>
    <row r="183" spans="1:7" ht="29.1" customHeight="1" x14ac:dyDescent="0.2">
      <c r="A183" s="21"/>
      <c r="B183" s="10" t="s">
        <v>478</v>
      </c>
      <c r="C183" s="28">
        <v>2.23E-2</v>
      </c>
      <c r="D183" s="14" t="s">
        <v>97</v>
      </c>
      <c r="E183" s="21"/>
      <c r="F183" s="51"/>
      <c r="G183" s="25"/>
    </row>
    <row r="184" spans="1:7" ht="29.1" customHeight="1" x14ac:dyDescent="0.2">
      <c r="A184" s="21"/>
      <c r="B184" s="10" t="s">
        <v>471</v>
      </c>
      <c r="C184" s="28">
        <v>2.9921E-2</v>
      </c>
      <c r="D184" s="28">
        <v>2.9921E-2</v>
      </c>
      <c r="E184" s="21"/>
      <c r="F184" s="51"/>
      <c r="G184" s="25"/>
    </row>
    <row r="185" spans="1:7" ht="29.1" customHeight="1" x14ac:dyDescent="0.2">
      <c r="A185" s="21"/>
      <c r="B185" s="10" t="s">
        <v>462</v>
      </c>
      <c r="C185" s="28">
        <v>3.0200000000000001E-2</v>
      </c>
      <c r="D185" s="28">
        <v>3.0200000000000001E-2</v>
      </c>
      <c r="E185" s="21"/>
      <c r="F185" s="51"/>
      <c r="G185" s="25"/>
    </row>
    <row r="186" spans="1:7" ht="29.1" customHeight="1" x14ac:dyDescent="0.2">
      <c r="A186" s="21"/>
      <c r="B186" s="10" t="s">
        <v>463</v>
      </c>
      <c r="C186" s="28">
        <v>2.8500000000000001E-2</v>
      </c>
      <c r="D186" s="14" t="s">
        <v>97</v>
      </c>
      <c r="E186" s="21"/>
      <c r="F186" s="51"/>
      <c r="G186" s="25"/>
    </row>
    <row r="187" spans="1:7" ht="29.1" customHeight="1" x14ac:dyDescent="0.2">
      <c r="A187" s="21"/>
      <c r="B187" s="10" t="s">
        <v>464</v>
      </c>
      <c r="C187" s="28">
        <v>2.24E-2</v>
      </c>
      <c r="D187" s="28">
        <v>2.24E-2</v>
      </c>
      <c r="E187" s="21"/>
      <c r="F187" s="51"/>
      <c r="G187" s="25"/>
    </row>
    <row r="188" spans="1:7" ht="29.1" customHeight="1" x14ac:dyDescent="0.2">
      <c r="A188" s="21"/>
      <c r="B188" s="10" t="s">
        <v>465</v>
      </c>
      <c r="C188" s="28">
        <v>7.4999999999999997E-2</v>
      </c>
      <c r="D188" s="28">
        <v>7.4999999999999997E-2</v>
      </c>
      <c r="E188" s="21"/>
      <c r="F188" s="51"/>
      <c r="G188" s="25"/>
    </row>
    <row r="189" spans="1:7" ht="14.1" customHeight="1" x14ac:dyDescent="0.2">
      <c r="A189" s="21"/>
      <c r="B189" s="52"/>
      <c r="C189" s="52"/>
      <c r="D189" s="30"/>
      <c r="E189" s="21"/>
      <c r="F189" s="51"/>
      <c r="G189" s="25"/>
    </row>
    <row r="190" spans="1:7" x14ac:dyDescent="0.2">
      <c r="A190" s="55"/>
      <c r="B190" s="153" t="s">
        <v>479</v>
      </c>
      <c r="C190" s="153"/>
      <c r="D190" s="153"/>
      <c r="E190" s="153"/>
      <c r="F190" s="153"/>
      <c r="G190" s="55"/>
    </row>
    <row r="191" spans="1:7" ht="14.1" customHeight="1" x14ac:dyDescent="0.2">
      <c r="A191" s="21"/>
      <c r="B191" s="51"/>
      <c r="C191" s="51"/>
      <c r="D191" s="21"/>
      <c r="E191" s="21"/>
      <c r="F191" s="21"/>
      <c r="G191" s="21"/>
    </row>
    <row r="192" spans="1:7" ht="17.100000000000001" customHeight="1" x14ac:dyDescent="0.2">
      <c r="A192" s="21"/>
      <c r="B192" s="149" t="s">
        <v>429</v>
      </c>
      <c r="C192" s="150"/>
      <c r="D192" s="2" t="s">
        <v>84</v>
      </c>
      <c r="E192" s="21"/>
      <c r="F192" s="51"/>
      <c r="G192" s="25"/>
    </row>
    <row r="193" spans="1:8" ht="29.1" customHeight="1" x14ac:dyDescent="0.2">
      <c r="A193" s="21"/>
      <c r="B193" s="149" t="s">
        <v>430</v>
      </c>
      <c r="C193" s="150"/>
      <c r="D193" s="2" t="s">
        <v>84</v>
      </c>
      <c r="E193" s="31"/>
      <c r="F193" s="21"/>
      <c r="G193" s="21"/>
    </row>
    <row r="194" spans="1:8" ht="29.1" customHeight="1" x14ac:dyDescent="0.2">
      <c r="A194" s="21"/>
      <c r="B194" s="149" t="s">
        <v>431</v>
      </c>
      <c r="C194" s="150"/>
      <c r="D194" s="2" t="s">
        <v>84</v>
      </c>
      <c r="E194" s="31"/>
      <c r="F194" s="21"/>
      <c r="G194" s="21"/>
    </row>
    <row r="195" spans="1:8" ht="17.100000000000001" customHeight="1" x14ac:dyDescent="0.2">
      <c r="A195" s="21"/>
      <c r="B195" s="149" t="s">
        <v>432</v>
      </c>
      <c r="C195" s="150"/>
      <c r="D195" s="32">
        <v>0.70979613646831274</v>
      </c>
      <c r="E195" s="31"/>
      <c r="F195" s="21"/>
      <c r="G195" s="21"/>
    </row>
    <row r="196" spans="1:8" ht="17.100000000000001" customHeight="1" x14ac:dyDescent="0.2">
      <c r="A196" s="21"/>
      <c r="B196" s="149" t="s">
        <v>433</v>
      </c>
      <c r="C196" s="150"/>
      <c r="D196" s="32">
        <v>0.51825023271410586</v>
      </c>
      <c r="E196" s="31"/>
      <c r="F196" s="21"/>
      <c r="G196" s="21"/>
    </row>
    <row r="197" spans="1:8" ht="17.100000000000001" customHeight="1" x14ac:dyDescent="0.2">
      <c r="A197" s="21"/>
      <c r="B197" s="149" t="s">
        <v>434</v>
      </c>
      <c r="C197" s="150"/>
      <c r="D197" s="2" t="s">
        <v>84</v>
      </c>
      <c r="E197" s="31"/>
      <c r="F197" s="21"/>
      <c r="G197" s="21"/>
    </row>
    <row r="198" spans="1:8" ht="11.1" customHeight="1" x14ac:dyDescent="0.2">
      <c r="A198" s="33"/>
      <c r="B198" s="33"/>
      <c r="C198" s="33"/>
      <c r="D198" s="33"/>
      <c r="E198" s="33"/>
      <c r="F198" s="33"/>
      <c r="G198" s="33"/>
    </row>
    <row r="199" spans="1:8" x14ac:dyDescent="0.2">
      <c r="B199" s="166" t="s">
        <v>614</v>
      </c>
      <c r="C199" s="166"/>
      <c r="D199" s="166"/>
      <c r="E199" s="166"/>
      <c r="F199" s="166"/>
      <c r="G199" s="166"/>
      <c r="H199" s="166"/>
    </row>
    <row r="200" spans="1:8" x14ac:dyDescent="0.2">
      <c r="B200" s="122"/>
      <c r="C200" s="122"/>
      <c r="D200" s="122"/>
      <c r="E200" s="122"/>
      <c r="F200" s="122"/>
      <c r="G200" s="122"/>
      <c r="H200" s="122"/>
    </row>
    <row r="201" spans="1:8" ht="51" x14ac:dyDescent="0.2">
      <c r="A201" s="123"/>
      <c r="B201" s="124" t="s">
        <v>622</v>
      </c>
      <c r="C201" s="124" t="s">
        <v>623</v>
      </c>
      <c r="D201" s="124" t="s">
        <v>437</v>
      </c>
      <c r="E201" s="124" t="s">
        <v>438</v>
      </c>
      <c r="F201" s="124" t="s">
        <v>624</v>
      </c>
      <c r="G201" s="122"/>
      <c r="H201" s="122"/>
    </row>
    <row r="202" spans="1:8" x14ac:dyDescent="0.2">
      <c r="A202" s="125"/>
      <c r="B202" s="126" t="s">
        <v>625</v>
      </c>
      <c r="C202" s="126" t="s">
        <v>626</v>
      </c>
      <c r="D202" s="127">
        <v>0</v>
      </c>
      <c r="E202" s="128">
        <v>0</v>
      </c>
      <c r="F202" s="129">
        <v>300</v>
      </c>
      <c r="G202" s="122"/>
      <c r="H202" s="122"/>
    </row>
    <row r="203" spans="1:8" x14ac:dyDescent="0.2">
      <c r="A203" s="33"/>
      <c r="B203" s="33"/>
      <c r="C203" s="33"/>
      <c r="D203" s="33"/>
      <c r="E203" s="33"/>
      <c r="F203" s="33"/>
      <c r="G203" s="33"/>
    </row>
    <row r="204" spans="1:8" x14ac:dyDescent="0.2">
      <c r="B204" s="53" t="s">
        <v>435</v>
      </c>
      <c r="C204" s="53" t="s">
        <v>436</v>
      </c>
      <c r="D204" s="163" t="s">
        <v>437</v>
      </c>
      <c r="E204" s="163"/>
      <c r="F204" s="163"/>
      <c r="G204" s="164" t="s">
        <v>438</v>
      </c>
      <c r="H204" s="164"/>
    </row>
    <row r="205" spans="1:8" ht="25.5" x14ac:dyDescent="0.2">
      <c r="B205" s="41" t="s">
        <v>592</v>
      </c>
      <c r="C205" s="42" t="s">
        <v>608</v>
      </c>
      <c r="D205" s="158">
        <v>0</v>
      </c>
      <c r="E205" s="158"/>
      <c r="F205" s="158"/>
      <c r="G205" s="158">
        <v>0</v>
      </c>
      <c r="H205" s="158"/>
    </row>
    <row r="206" spans="1:8" ht="25.5" x14ac:dyDescent="0.2">
      <c r="B206" s="41" t="s">
        <v>596</v>
      </c>
      <c r="C206" s="42" t="s">
        <v>609</v>
      </c>
      <c r="D206" s="158">
        <v>0</v>
      </c>
      <c r="E206" s="158"/>
      <c r="F206" s="158"/>
      <c r="G206" s="158">
        <v>0</v>
      </c>
      <c r="H206" s="158"/>
    </row>
    <row r="207" spans="1:8" ht="25.5" x14ac:dyDescent="0.2">
      <c r="B207" s="41" t="s">
        <v>590</v>
      </c>
      <c r="C207" s="42" t="s">
        <v>610</v>
      </c>
      <c r="D207" s="158">
        <v>0</v>
      </c>
      <c r="E207" s="158"/>
      <c r="F207" s="158"/>
      <c r="G207" s="158">
        <v>0</v>
      </c>
      <c r="H207" s="158"/>
    </row>
    <row r="208" spans="1:8" x14ac:dyDescent="0.2">
      <c r="B208" s="41"/>
      <c r="C208" s="41"/>
      <c r="D208" s="165"/>
      <c r="E208" s="165"/>
      <c r="F208" s="165"/>
      <c r="G208" s="165"/>
      <c r="H208" s="165"/>
    </row>
    <row r="209" spans="2:8" x14ac:dyDescent="0.2">
      <c r="B209" s="164" t="s">
        <v>598</v>
      </c>
      <c r="C209" s="164"/>
      <c r="D209" s="164"/>
      <c r="E209" s="164"/>
      <c r="F209" s="164"/>
      <c r="G209" s="164"/>
      <c r="H209" s="164"/>
    </row>
    <row r="210" spans="2:8" x14ac:dyDescent="0.2">
      <c r="B210" s="160" t="s">
        <v>435</v>
      </c>
      <c r="C210" s="160" t="s">
        <v>436</v>
      </c>
      <c r="D210" s="160" t="s">
        <v>442</v>
      </c>
      <c r="E210" s="160"/>
      <c r="F210" s="160"/>
      <c r="G210" s="160"/>
      <c r="H210" s="161" t="s">
        <v>611</v>
      </c>
    </row>
    <row r="211" spans="2:8" ht="63.75" x14ac:dyDescent="0.2">
      <c r="B211" s="160"/>
      <c r="C211" s="160"/>
      <c r="D211" s="43" t="s">
        <v>443</v>
      </c>
      <c r="E211" s="43" t="s">
        <v>600</v>
      </c>
      <c r="F211" s="43" t="s">
        <v>601</v>
      </c>
      <c r="G211" s="43" t="s">
        <v>446</v>
      </c>
      <c r="H211" s="162"/>
    </row>
    <row r="212" spans="2:8" ht="25.5" x14ac:dyDescent="0.2">
      <c r="B212" s="41" t="s">
        <v>592</v>
      </c>
      <c r="C212" s="42" t="s">
        <v>608</v>
      </c>
      <c r="D212" s="105">
        <v>1500</v>
      </c>
      <c r="E212" s="105">
        <v>99.850684900000005</v>
      </c>
      <c r="F212" s="106">
        <v>36.275342200000004</v>
      </c>
      <c r="G212" s="107">
        <v>1636.1260271000001</v>
      </c>
      <c r="H212" s="108">
        <v>726.67232000000001</v>
      </c>
    </row>
    <row r="213" spans="2:8" ht="25.5" x14ac:dyDescent="0.2">
      <c r="B213" s="41" t="s">
        <v>596</v>
      </c>
      <c r="C213" s="42" t="s">
        <v>609</v>
      </c>
      <c r="D213" s="105">
        <v>2517.2199999999998</v>
      </c>
      <c r="E213" s="105">
        <v>183.25361600000002</v>
      </c>
      <c r="F213" s="106">
        <v>45.813405699999997</v>
      </c>
      <c r="G213" s="107">
        <v>2746.2870217</v>
      </c>
      <c r="H213" s="108">
        <v>1225.53333</v>
      </c>
    </row>
    <row r="214" spans="2:8" ht="25.5" x14ac:dyDescent="0.2">
      <c r="B214" s="41" t="s">
        <v>590</v>
      </c>
      <c r="C214" s="42" t="s">
        <v>610</v>
      </c>
      <c r="D214" s="105">
        <v>4882.25</v>
      </c>
      <c r="E214" s="105">
        <v>323.21163799999999</v>
      </c>
      <c r="F214" s="106">
        <v>117.42144879999999</v>
      </c>
      <c r="G214" s="107">
        <v>5322.8830868000005</v>
      </c>
      <c r="H214" s="108">
        <v>2364.0489899999998</v>
      </c>
    </row>
    <row r="217" spans="2:8" x14ac:dyDescent="0.2">
      <c r="B217" s="109" t="s">
        <v>605</v>
      </c>
    </row>
    <row r="218" spans="2:8" x14ac:dyDescent="0.2">
      <c r="B218" s="57"/>
      <c r="C218" s="57"/>
      <c r="D218" s="57"/>
      <c r="E218" s="57"/>
      <c r="F218" s="57"/>
      <c r="G218" s="57"/>
      <c r="H218" s="57"/>
    </row>
    <row r="219" spans="2:8" x14ac:dyDescent="0.2">
      <c r="B219" s="110" t="s">
        <v>606</v>
      </c>
      <c r="C219" s="57"/>
      <c r="D219" s="57"/>
      <c r="E219" s="57"/>
      <c r="F219" s="57"/>
      <c r="G219" s="57"/>
      <c r="H219" s="57"/>
    </row>
    <row r="220" spans="2:8" x14ac:dyDescent="0.2">
      <c r="B220" s="57"/>
      <c r="C220" s="57"/>
      <c r="D220" s="57"/>
      <c r="E220" s="57"/>
      <c r="F220" s="57"/>
      <c r="G220" s="57"/>
      <c r="H220" s="57"/>
    </row>
    <row r="221" spans="2:8" x14ac:dyDescent="0.2">
      <c r="B221" s="110" t="s">
        <v>607</v>
      </c>
      <c r="C221" s="57"/>
      <c r="D221" s="57"/>
      <c r="E221" s="57"/>
      <c r="F221" s="57"/>
      <c r="G221" s="57"/>
      <c r="H221" s="57"/>
    </row>
  </sheetData>
  <mergeCells count="37">
    <mergeCell ref="A1:H1"/>
    <mergeCell ref="A2:H2"/>
    <mergeCell ref="A3:H3"/>
    <mergeCell ref="B127:D127"/>
    <mergeCell ref="B128:C128"/>
    <mergeCell ref="B123:F123"/>
    <mergeCell ref="B124:F124"/>
    <mergeCell ref="B125:F125"/>
    <mergeCell ref="B210:B211"/>
    <mergeCell ref="C210:C211"/>
    <mergeCell ref="D210:G210"/>
    <mergeCell ref="H210:H211"/>
    <mergeCell ref="B197:C197"/>
    <mergeCell ref="D204:F204"/>
    <mergeCell ref="G204:H204"/>
    <mergeCell ref="D207:F207"/>
    <mergeCell ref="G207:H207"/>
    <mergeCell ref="D208:F208"/>
    <mergeCell ref="G208:H208"/>
    <mergeCell ref="B209:H209"/>
    <mergeCell ref="B199:H199"/>
    <mergeCell ref="J2:N2"/>
    <mergeCell ref="D205:F205"/>
    <mergeCell ref="G205:H205"/>
    <mergeCell ref="D206:F206"/>
    <mergeCell ref="G206:H206"/>
    <mergeCell ref="B141:D141"/>
    <mergeCell ref="B170:D170"/>
    <mergeCell ref="B194:C194"/>
    <mergeCell ref="B195:C195"/>
    <mergeCell ref="B196:C196"/>
    <mergeCell ref="B129:C129"/>
    <mergeCell ref="B130:C130"/>
    <mergeCell ref="B190:F190"/>
    <mergeCell ref="B192:C192"/>
    <mergeCell ref="B193:C193"/>
    <mergeCell ref="B168:C168"/>
  </mergeCells>
  <hyperlinks>
    <hyperlink ref="B219" r:id="rId1" xr:uid="{E35B61A5-10E2-4D5C-AA03-102AB2C0638E}"/>
    <hyperlink ref="B221" r:id="rId2" xr:uid="{7088C590-9A66-41FD-9A2E-6757EF11B021}"/>
  </hyperlinks>
  <pageMargins left="5.000000074505806E-2" right="5.000000074505806E-2" top="0.30000001192092896" bottom="0.20000000298023224" header="0" footer="0"/>
  <pageSetup paperSize="9" orientation="landscape" r:id="rId3"/>
  <headerFooter alignWithMargins="0"/>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13BB8-EEAD-42B2-9020-5A90E9BC33AE}">
  <sheetPr>
    <outlinePr summaryBelow="0" summaryRight="0"/>
  </sheetPr>
  <dimension ref="A1:O199"/>
  <sheetViews>
    <sheetView showGridLines="0" workbookViewId="0">
      <selection sqref="A1:H1"/>
    </sheetView>
  </sheetViews>
  <sheetFormatPr defaultRowHeight="12.75" x14ac:dyDescent="0.2"/>
  <cols>
    <col min="1" max="1" width="6.85546875" customWidth="1"/>
    <col min="2" max="2" width="28.85546875" customWidth="1"/>
    <col min="3" max="3" width="34.28515625" customWidth="1"/>
    <col min="4" max="4" width="17.85546875" customWidth="1"/>
    <col min="5" max="6" width="19.140625" customWidth="1"/>
    <col min="7" max="7" width="16.42578125" customWidth="1"/>
    <col min="9" max="15" width="9.140625" style="57"/>
  </cols>
  <sheetData>
    <row r="1" spans="1:15" ht="18" customHeight="1" x14ac:dyDescent="0.2">
      <c r="A1" s="152" t="s">
        <v>0</v>
      </c>
      <c r="B1" s="152"/>
      <c r="C1" s="152"/>
      <c r="D1" s="152"/>
      <c r="E1" s="152"/>
      <c r="F1" s="152"/>
      <c r="G1" s="152"/>
      <c r="H1" s="152"/>
    </row>
    <row r="2" spans="1:15" ht="17.100000000000001" customHeight="1" x14ac:dyDescent="0.2">
      <c r="A2" s="167" t="s">
        <v>627</v>
      </c>
      <c r="B2" s="167"/>
      <c r="C2" s="167"/>
      <c r="D2" s="167"/>
      <c r="E2" s="167"/>
      <c r="F2" s="167"/>
      <c r="G2" s="167"/>
      <c r="H2" s="167"/>
      <c r="J2" s="168" t="s">
        <v>631</v>
      </c>
      <c r="K2" s="168"/>
      <c r="L2" s="168"/>
      <c r="M2" s="168"/>
      <c r="N2" s="168"/>
    </row>
    <row r="3" spans="1:15" ht="21" customHeight="1" x14ac:dyDescent="0.2">
      <c r="A3" s="152" t="s">
        <v>480</v>
      </c>
      <c r="B3" s="152"/>
      <c r="C3" s="152"/>
      <c r="D3" s="152"/>
      <c r="E3" s="152"/>
      <c r="F3" s="152"/>
      <c r="G3" s="152"/>
      <c r="H3" s="152"/>
    </row>
    <row r="4" spans="1:15" s="59" customFormat="1" ht="30" x14ac:dyDescent="0.2">
      <c r="A4" s="112" t="s">
        <v>1</v>
      </c>
      <c r="B4" s="112" t="s">
        <v>2</v>
      </c>
      <c r="C4" s="112" t="s">
        <v>3</v>
      </c>
      <c r="D4" s="112" t="s">
        <v>4</v>
      </c>
      <c r="E4" s="112" t="s">
        <v>5</v>
      </c>
      <c r="F4" s="112" t="s">
        <v>6</v>
      </c>
      <c r="G4" s="112" t="s">
        <v>7</v>
      </c>
      <c r="H4" s="49" t="s">
        <v>452</v>
      </c>
      <c r="I4" s="135"/>
      <c r="J4" s="135"/>
      <c r="K4" s="135"/>
      <c r="L4" s="135"/>
      <c r="M4" s="135"/>
      <c r="N4" s="135"/>
      <c r="O4" s="135"/>
    </row>
    <row r="5" spans="1:15" ht="14.1" customHeight="1" x14ac:dyDescent="0.2">
      <c r="A5" s="66"/>
      <c r="B5" s="66"/>
      <c r="C5" s="67" t="s">
        <v>8</v>
      </c>
      <c r="D5" s="66"/>
      <c r="E5" s="66"/>
      <c r="F5" s="66"/>
      <c r="G5" s="66"/>
      <c r="H5" s="50"/>
    </row>
    <row r="6" spans="1:15" ht="24" customHeight="1" x14ac:dyDescent="0.2">
      <c r="A6" s="66"/>
      <c r="B6" s="66"/>
      <c r="C6" s="67" t="s">
        <v>9</v>
      </c>
      <c r="D6" s="66"/>
      <c r="E6" s="66"/>
      <c r="F6" s="66"/>
      <c r="G6" s="66"/>
      <c r="H6" s="50"/>
    </row>
    <row r="7" spans="1:15" ht="14.1" customHeight="1" x14ac:dyDescent="0.2">
      <c r="A7" s="66"/>
      <c r="B7" s="66"/>
      <c r="C7" s="67" t="s">
        <v>10</v>
      </c>
      <c r="D7" s="66"/>
      <c r="E7" s="66" t="s">
        <v>11</v>
      </c>
      <c r="F7" s="68">
        <v>0</v>
      </c>
      <c r="G7" s="69">
        <v>0</v>
      </c>
      <c r="H7" s="50"/>
    </row>
    <row r="8" spans="1:15" ht="14.1" customHeight="1" x14ac:dyDescent="0.2">
      <c r="A8" s="66"/>
      <c r="B8" s="66"/>
      <c r="C8" s="70"/>
      <c r="D8" s="66"/>
      <c r="E8" s="66"/>
      <c r="F8" s="71"/>
      <c r="G8" s="71"/>
      <c r="H8" s="50"/>
    </row>
    <row r="9" spans="1:15" ht="14.1" customHeight="1" x14ac:dyDescent="0.2">
      <c r="A9" s="66"/>
      <c r="B9" s="66"/>
      <c r="C9" s="67" t="s">
        <v>12</v>
      </c>
      <c r="D9" s="66"/>
      <c r="E9" s="66"/>
      <c r="F9" s="66"/>
      <c r="G9" s="66"/>
      <c r="H9" s="50"/>
    </row>
    <row r="10" spans="1:15" ht="14.1" customHeight="1" x14ac:dyDescent="0.2">
      <c r="A10" s="66"/>
      <c r="B10" s="66"/>
      <c r="C10" s="67" t="s">
        <v>10</v>
      </c>
      <c r="D10" s="66"/>
      <c r="E10" s="66" t="s">
        <v>11</v>
      </c>
      <c r="F10" s="68">
        <v>0</v>
      </c>
      <c r="G10" s="69">
        <v>0</v>
      </c>
      <c r="H10" s="50"/>
    </row>
    <row r="11" spans="1:15" ht="14.1" customHeight="1" x14ac:dyDescent="0.2">
      <c r="A11" s="66"/>
      <c r="B11" s="66"/>
      <c r="C11" s="70"/>
      <c r="D11" s="66"/>
      <c r="E11" s="66"/>
      <c r="F11" s="71"/>
      <c r="G11" s="71"/>
      <c r="H11" s="50"/>
    </row>
    <row r="12" spans="1:15" ht="14.1" customHeight="1" x14ac:dyDescent="0.2">
      <c r="A12" s="66"/>
      <c r="B12" s="66"/>
      <c r="C12" s="67" t="s">
        <v>13</v>
      </c>
      <c r="D12" s="66"/>
      <c r="E12" s="66"/>
      <c r="F12" s="66"/>
      <c r="G12" s="66"/>
      <c r="H12" s="50"/>
    </row>
    <row r="13" spans="1:15" ht="14.1" customHeight="1" x14ac:dyDescent="0.2">
      <c r="A13" s="66"/>
      <c r="B13" s="66"/>
      <c r="C13" s="67" t="s">
        <v>10</v>
      </c>
      <c r="D13" s="66"/>
      <c r="E13" s="66" t="s">
        <v>11</v>
      </c>
      <c r="F13" s="68">
        <v>0</v>
      </c>
      <c r="G13" s="69">
        <v>0</v>
      </c>
      <c r="H13" s="50"/>
    </row>
    <row r="14" spans="1:15" ht="14.1" customHeight="1" x14ac:dyDescent="0.2">
      <c r="A14" s="66"/>
      <c r="B14" s="66"/>
      <c r="C14" s="70"/>
      <c r="D14" s="66"/>
      <c r="E14" s="66"/>
      <c r="F14" s="71"/>
      <c r="G14" s="71"/>
      <c r="H14" s="50"/>
    </row>
    <row r="15" spans="1:15" ht="14.1" customHeight="1" x14ac:dyDescent="0.2">
      <c r="A15" s="66"/>
      <c r="B15" s="66"/>
      <c r="C15" s="67" t="s">
        <v>14</v>
      </c>
      <c r="D15" s="66"/>
      <c r="E15" s="66"/>
      <c r="F15" s="66"/>
      <c r="G15" s="66"/>
      <c r="H15" s="50"/>
    </row>
    <row r="16" spans="1:15" ht="14.1" customHeight="1" x14ac:dyDescent="0.25">
      <c r="A16" s="66"/>
      <c r="B16" s="66"/>
      <c r="C16" s="67" t="s">
        <v>10</v>
      </c>
      <c r="D16" s="66"/>
      <c r="E16" s="66" t="s">
        <v>11</v>
      </c>
      <c r="F16" s="68">
        <v>0</v>
      </c>
      <c r="G16" s="69">
        <v>0</v>
      </c>
      <c r="H16" s="50"/>
      <c r="J16" s="137" t="s">
        <v>645</v>
      </c>
      <c r="K16" s="138"/>
      <c r="L16" s="138"/>
      <c r="M16" s="138"/>
      <c r="N16" s="138"/>
      <c r="O16" s="138"/>
    </row>
    <row r="17" spans="1:15" ht="14.1" customHeight="1" x14ac:dyDescent="0.2">
      <c r="A17" s="66"/>
      <c r="B17" s="66"/>
      <c r="C17" s="70"/>
      <c r="D17" s="66"/>
      <c r="E17" s="66"/>
      <c r="F17" s="71"/>
      <c r="G17" s="71"/>
      <c r="H17" s="50"/>
    </row>
    <row r="18" spans="1:15" ht="14.1" customHeight="1" x14ac:dyDescent="0.2">
      <c r="A18" s="66"/>
      <c r="B18" s="66"/>
      <c r="C18" s="67" t="s">
        <v>15</v>
      </c>
      <c r="D18" s="66"/>
      <c r="E18" s="66"/>
      <c r="F18" s="71"/>
      <c r="G18" s="71"/>
      <c r="H18" s="50"/>
    </row>
    <row r="19" spans="1:15" ht="14.1" customHeight="1" x14ac:dyDescent="0.2">
      <c r="A19" s="66"/>
      <c r="B19" s="66"/>
      <c r="C19" s="67" t="s">
        <v>10</v>
      </c>
      <c r="D19" s="66"/>
      <c r="E19" s="66" t="s">
        <v>11</v>
      </c>
      <c r="F19" s="68">
        <v>0</v>
      </c>
      <c r="G19" s="69">
        <v>0</v>
      </c>
      <c r="H19" s="50"/>
    </row>
    <row r="20" spans="1:15" ht="14.1" customHeight="1" x14ac:dyDescent="0.2">
      <c r="A20" s="66"/>
      <c r="B20" s="66"/>
      <c r="C20" s="70"/>
      <c r="D20" s="66"/>
      <c r="E20" s="66"/>
      <c r="F20" s="71"/>
      <c r="G20" s="71"/>
      <c r="H20" s="50"/>
    </row>
    <row r="21" spans="1:15" ht="14.1" customHeight="1" x14ac:dyDescent="0.2">
      <c r="A21" s="66"/>
      <c r="B21" s="66"/>
      <c r="C21" s="67" t="s">
        <v>16</v>
      </c>
      <c r="D21" s="66"/>
      <c r="E21" s="66"/>
      <c r="F21" s="71"/>
      <c r="G21" s="71"/>
      <c r="H21" s="50"/>
    </row>
    <row r="22" spans="1:15" ht="14.1" customHeight="1" x14ac:dyDescent="0.2">
      <c r="A22" s="66"/>
      <c r="B22" s="66"/>
      <c r="C22" s="67" t="s">
        <v>10</v>
      </c>
      <c r="D22" s="66"/>
      <c r="E22" s="66" t="s">
        <v>11</v>
      </c>
      <c r="F22" s="68">
        <v>0</v>
      </c>
      <c r="G22" s="69">
        <v>0</v>
      </c>
      <c r="H22" s="50"/>
    </row>
    <row r="23" spans="1:15" ht="14.1" customHeight="1" x14ac:dyDescent="0.2">
      <c r="A23" s="66"/>
      <c r="B23" s="66"/>
      <c r="C23" s="70"/>
      <c r="D23" s="66"/>
      <c r="E23" s="66"/>
      <c r="F23" s="71"/>
      <c r="G23" s="71"/>
      <c r="H23" s="50"/>
    </row>
    <row r="24" spans="1:15" ht="18" customHeight="1" x14ac:dyDescent="0.2">
      <c r="A24" s="66"/>
      <c r="B24" s="66"/>
      <c r="C24" s="67" t="s">
        <v>17</v>
      </c>
      <c r="D24" s="66"/>
      <c r="E24" s="66"/>
      <c r="F24" s="72">
        <v>0</v>
      </c>
      <c r="G24" s="73">
        <v>0</v>
      </c>
      <c r="H24" s="50"/>
    </row>
    <row r="25" spans="1:15" ht="14.1" customHeight="1" x14ac:dyDescent="0.2">
      <c r="A25" s="66"/>
      <c r="B25" s="66"/>
      <c r="C25" s="70"/>
      <c r="D25" s="66"/>
      <c r="E25" s="66"/>
      <c r="F25" s="71"/>
      <c r="G25" s="71"/>
      <c r="H25" s="50"/>
    </row>
    <row r="26" spans="1:15" ht="14.1" customHeight="1" x14ac:dyDescent="0.2">
      <c r="A26" s="66"/>
      <c r="B26" s="66"/>
      <c r="C26" s="67" t="s">
        <v>18</v>
      </c>
      <c r="D26" s="66"/>
      <c r="E26" s="66"/>
      <c r="F26" s="71"/>
      <c r="G26" s="71"/>
      <c r="H26" s="50"/>
    </row>
    <row r="27" spans="1:15" ht="24" customHeight="1" x14ac:dyDescent="0.2">
      <c r="A27" s="66"/>
      <c r="B27" s="66"/>
      <c r="C27" s="67" t="s">
        <v>9</v>
      </c>
      <c r="D27" s="66"/>
      <c r="E27" s="66"/>
      <c r="F27" s="71"/>
      <c r="G27" s="71"/>
      <c r="H27" s="50"/>
    </row>
    <row r="28" spans="1:15" ht="17.100000000000001" customHeight="1" x14ac:dyDescent="0.2">
      <c r="A28" s="74">
        <v>1</v>
      </c>
      <c r="B28" s="39" t="s">
        <v>543</v>
      </c>
      <c r="C28" s="39" t="s">
        <v>544</v>
      </c>
      <c r="D28" s="39" t="s">
        <v>23</v>
      </c>
      <c r="E28" s="75">
        <v>80</v>
      </c>
      <c r="F28" s="50">
        <v>801.46079999999995</v>
      </c>
      <c r="G28" s="76">
        <v>2.5550352833209737E-3</v>
      </c>
      <c r="H28" s="50">
        <v>3.9011999999999998</v>
      </c>
    </row>
    <row r="29" spans="1:15" ht="17.100000000000001" customHeight="1" x14ac:dyDescent="0.2">
      <c r="A29" s="74">
        <v>2</v>
      </c>
      <c r="B29" s="39" t="s">
        <v>545</v>
      </c>
      <c r="C29" s="39" t="s">
        <v>546</v>
      </c>
      <c r="D29" s="39" t="s">
        <v>23</v>
      </c>
      <c r="E29" s="75">
        <v>50</v>
      </c>
      <c r="F29" s="50">
        <v>501.36</v>
      </c>
      <c r="G29" s="76">
        <v>1.598322075946576E-3</v>
      </c>
      <c r="H29" s="50">
        <v>3.5600999999999998</v>
      </c>
    </row>
    <row r="30" spans="1:15" ht="14.1" customHeight="1" x14ac:dyDescent="0.25">
      <c r="A30" s="66"/>
      <c r="B30" s="66"/>
      <c r="C30" s="67" t="s">
        <v>10</v>
      </c>
      <c r="D30" s="66"/>
      <c r="E30" s="66" t="s">
        <v>11</v>
      </c>
      <c r="F30" s="72">
        <v>1302.8208</v>
      </c>
      <c r="G30" s="73">
        <v>4.1533573592675496E-3</v>
      </c>
      <c r="H30" s="50"/>
      <c r="J30" s="137" t="s">
        <v>636</v>
      </c>
      <c r="K30" s="138"/>
      <c r="L30" s="138"/>
      <c r="M30" s="138"/>
      <c r="N30" s="138"/>
      <c r="O30"/>
    </row>
    <row r="31" spans="1:15" ht="14.1" customHeight="1" x14ac:dyDescent="0.2">
      <c r="A31" s="66"/>
      <c r="B31" s="66"/>
      <c r="C31" s="70"/>
      <c r="D31" s="66"/>
      <c r="E31" s="66"/>
      <c r="F31" s="71"/>
      <c r="G31" s="71"/>
      <c r="H31" s="50"/>
      <c r="O31"/>
    </row>
    <row r="32" spans="1:15" ht="14.1" customHeight="1" x14ac:dyDescent="0.2">
      <c r="A32" s="66"/>
      <c r="B32" s="66"/>
      <c r="C32" s="67" t="s">
        <v>46</v>
      </c>
      <c r="D32" s="66"/>
      <c r="E32" s="66"/>
      <c r="F32" s="66"/>
      <c r="G32" s="66"/>
      <c r="H32" s="50"/>
      <c r="O32"/>
    </row>
    <row r="33" spans="1:15" ht="14.1" customHeight="1" x14ac:dyDescent="0.2">
      <c r="A33" s="66"/>
      <c r="B33" s="66"/>
      <c r="C33" s="67" t="s">
        <v>10</v>
      </c>
      <c r="D33" s="66"/>
      <c r="E33" s="66" t="s">
        <v>11</v>
      </c>
      <c r="F33" s="72">
        <v>0</v>
      </c>
      <c r="G33" s="73">
        <v>0</v>
      </c>
      <c r="H33" s="50"/>
      <c r="O33"/>
    </row>
    <row r="34" spans="1:15" ht="14.1" customHeight="1" x14ac:dyDescent="0.2">
      <c r="A34" s="66"/>
      <c r="B34" s="66"/>
      <c r="C34" s="70"/>
      <c r="D34" s="66"/>
      <c r="E34" s="66"/>
      <c r="F34" s="71"/>
      <c r="G34" s="71"/>
      <c r="H34" s="50"/>
      <c r="O34"/>
    </row>
    <row r="35" spans="1:15" ht="14.1" customHeight="1" x14ac:dyDescent="0.2">
      <c r="A35" s="66"/>
      <c r="B35" s="66"/>
      <c r="C35" s="67" t="s">
        <v>47</v>
      </c>
      <c r="D35" s="66"/>
      <c r="E35" s="66"/>
      <c r="F35" s="66"/>
      <c r="G35" s="66"/>
      <c r="H35" s="50"/>
      <c r="O35"/>
    </row>
    <row r="36" spans="1:15" ht="14.1" customHeight="1" x14ac:dyDescent="0.2">
      <c r="A36" s="66"/>
      <c r="B36" s="66"/>
      <c r="C36" s="67" t="s">
        <v>10</v>
      </c>
      <c r="D36" s="66"/>
      <c r="E36" s="66" t="s">
        <v>11</v>
      </c>
      <c r="F36" s="68">
        <v>0</v>
      </c>
      <c r="G36" s="69">
        <v>0</v>
      </c>
      <c r="H36" s="50"/>
      <c r="O36"/>
    </row>
    <row r="37" spans="1:15" ht="14.1" customHeight="1" x14ac:dyDescent="0.2">
      <c r="A37" s="66"/>
      <c r="B37" s="66"/>
      <c r="C37" s="70"/>
      <c r="D37" s="66"/>
      <c r="E37" s="66"/>
      <c r="F37" s="71"/>
      <c r="G37" s="71"/>
      <c r="H37" s="50"/>
      <c r="O37"/>
    </row>
    <row r="38" spans="1:15" ht="14.1" customHeight="1" x14ac:dyDescent="0.2">
      <c r="A38" s="66"/>
      <c r="B38" s="66"/>
      <c r="C38" s="67" t="s">
        <v>55</v>
      </c>
      <c r="D38" s="66"/>
      <c r="E38" s="66"/>
      <c r="F38" s="71"/>
      <c r="G38" s="71"/>
      <c r="H38" s="50"/>
      <c r="O38"/>
    </row>
    <row r="39" spans="1:15" ht="14.1" customHeight="1" x14ac:dyDescent="0.2">
      <c r="A39" s="66"/>
      <c r="B39" s="66"/>
      <c r="C39" s="67" t="s">
        <v>10</v>
      </c>
      <c r="D39" s="66"/>
      <c r="E39" s="66" t="s">
        <v>11</v>
      </c>
      <c r="F39" s="68">
        <v>0</v>
      </c>
      <c r="G39" s="69">
        <v>0</v>
      </c>
      <c r="H39" s="50"/>
      <c r="O39"/>
    </row>
    <row r="40" spans="1:15" ht="14.1" customHeight="1" x14ac:dyDescent="0.2">
      <c r="A40" s="66"/>
      <c r="B40" s="66"/>
      <c r="C40" s="70"/>
      <c r="D40" s="66"/>
      <c r="E40" s="66"/>
      <c r="F40" s="71"/>
      <c r="G40" s="71"/>
      <c r="H40" s="50"/>
      <c r="O40"/>
    </row>
    <row r="41" spans="1:15" ht="14.1" customHeight="1" x14ac:dyDescent="0.2">
      <c r="A41" s="66"/>
      <c r="B41" s="66"/>
      <c r="C41" s="67" t="s">
        <v>56</v>
      </c>
      <c r="D41" s="66"/>
      <c r="E41" s="66"/>
      <c r="F41" s="72">
        <v>1302.8208</v>
      </c>
      <c r="G41" s="73">
        <v>4.221641480559939E-3</v>
      </c>
      <c r="H41" s="50"/>
      <c r="O41"/>
    </row>
    <row r="42" spans="1:15" ht="14.1" customHeight="1" x14ac:dyDescent="0.2">
      <c r="A42" s="66"/>
      <c r="B42" s="66"/>
      <c r="C42" s="70"/>
      <c r="D42" s="66"/>
      <c r="E42" s="66"/>
      <c r="F42" s="71"/>
      <c r="G42" s="71"/>
      <c r="H42" s="50"/>
      <c r="O42"/>
    </row>
    <row r="43" spans="1:15" ht="14.1" customHeight="1" x14ac:dyDescent="0.2">
      <c r="A43" s="66"/>
      <c r="B43" s="66"/>
      <c r="C43" s="67" t="s">
        <v>57</v>
      </c>
      <c r="D43" s="66"/>
      <c r="E43" s="66"/>
      <c r="F43" s="71"/>
      <c r="G43" s="71"/>
      <c r="H43" s="50"/>
      <c r="O43"/>
    </row>
    <row r="44" spans="1:15" ht="14.1" customHeight="1" x14ac:dyDescent="0.2">
      <c r="A44" s="66"/>
      <c r="B44" s="66"/>
      <c r="C44" s="67" t="s">
        <v>58</v>
      </c>
      <c r="D44" s="66"/>
      <c r="E44" s="66"/>
      <c r="F44" s="71"/>
      <c r="G44" s="71"/>
      <c r="H44" s="50"/>
    </row>
    <row r="45" spans="1:15" ht="17.100000000000001" customHeight="1" x14ac:dyDescent="0.2">
      <c r="A45" s="74">
        <v>1</v>
      </c>
      <c r="B45" s="39" t="s">
        <v>547</v>
      </c>
      <c r="C45" s="39" t="s">
        <v>548</v>
      </c>
      <c r="D45" s="39" t="s">
        <v>61</v>
      </c>
      <c r="E45" s="75">
        <v>160</v>
      </c>
      <c r="F45" s="50">
        <v>797.048</v>
      </c>
      <c r="G45" s="76">
        <v>2.5409673966592197E-3</v>
      </c>
      <c r="H45" s="50">
        <v>3.5575000000000001</v>
      </c>
    </row>
    <row r="46" spans="1:15" ht="29.1" customHeight="1" x14ac:dyDescent="0.2">
      <c r="A46" s="74">
        <v>1</v>
      </c>
      <c r="B46" s="39" t="s">
        <v>287</v>
      </c>
      <c r="C46" s="39" t="s">
        <v>288</v>
      </c>
      <c r="D46" s="39" t="s">
        <v>61</v>
      </c>
      <c r="E46" s="75">
        <v>10000</v>
      </c>
      <c r="F46" s="50">
        <v>9975.1299999999992</v>
      </c>
      <c r="G46" s="76">
        <v>3.1800443771814596E-2</v>
      </c>
      <c r="H46" s="50">
        <v>3.4994999999999998</v>
      </c>
    </row>
    <row r="47" spans="1:15" ht="17.100000000000001" customHeight="1" x14ac:dyDescent="0.2">
      <c r="A47" s="74">
        <v>2</v>
      </c>
      <c r="B47" s="39" t="s">
        <v>289</v>
      </c>
      <c r="C47" s="39" t="s">
        <v>290</v>
      </c>
      <c r="D47" s="39" t="s">
        <v>61</v>
      </c>
      <c r="E47" s="75">
        <v>10000</v>
      </c>
      <c r="F47" s="50">
        <v>9973.92</v>
      </c>
      <c r="G47" s="76">
        <v>3.1796586324647103E-2</v>
      </c>
      <c r="H47" s="50">
        <v>3.5352000000000001</v>
      </c>
    </row>
    <row r="48" spans="1:15" ht="14.1" customHeight="1" x14ac:dyDescent="0.2">
      <c r="A48" s="66"/>
      <c r="B48" s="66"/>
      <c r="C48" s="67" t="s">
        <v>10</v>
      </c>
      <c r="D48" s="66"/>
      <c r="E48" s="66" t="s">
        <v>11</v>
      </c>
      <c r="F48" s="72">
        <v>20746.097999999998</v>
      </c>
      <c r="G48" s="73">
        <v>6.6137997493120909E-2</v>
      </c>
      <c r="H48" s="50"/>
    </row>
    <row r="49" spans="1:8" ht="14.1" customHeight="1" x14ac:dyDescent="0.2">
      <c r="A49" s="66"/>
      <c r="B49" s="66"/>
      <c r="C49" s="70"/>
      <c r="D49" s="66"/>
      <c r="E49" s="66"/>
      <c r="F49" s="71"/>
      <c r="G49" s="71"/>
      <c r="H49" s="50"/>
    </row>
    <row r="50" spans="1:8" ht="14.1" customHeight="1" x14ac:dyDescent="0.2">
      <c r="A50" s="66"/>
      <c r="B50" s="66"/>
      <c r="C50" s="67" t="s">
        <v>64</v>
      </c>
      <c r="D50" s="66"/>
      <c r="E50" s="66"/>
      <c r="F50" s="71"/>
      <c r="G50" s="71"/>
      <c r="H50" s="50"/>
    </row>
    <row r="51" spans="1:8" ht="25.5" x14ac:dyDescent="0.2">
      <c r="A51" s="74">
        <v>1</v>
      </c>
      <c r="B51" s="39" t="s">
        <v>291</v>
      </c>
      <c r="C51" s="39" t="s">
        <v>292</v>
      </c>
      <c r="D51" s="39" t="s">
        <v>61</v>
      </c>
      <c r="E51" s="75">
        <v>2000</v>
      </c>
      <c r="F51" s="50">
        <v>9941.5499999999993</v>
      </c>
      <c r="G51" s="76">
        <v>3.1693391642984445E-2</v>
      </c>
      <c r="H51" s="50">
        <v>3.7</v>
      </c>
    </row>
    <row r="52" spans="1:8" ht="29.1" customHeight="1" x14ac:dyDescent="0.2">
      <c r="A52" s="74">
        <v>2</v>
      </c>
      <c r="B52" s="39" t="s">
        <v>275</v>
      </c>
      <c r="C52" s="39" t="s">
        <v>276</v>
      </c>
      <c r="D52" s="39" t="s">
        <v>61</v>
      </c>
      <c r="E52" s="75">
        <v>1600</v>
      </c>
      <c r="F52" s="50">
        <v>7959.9120000000003</v>
      </c>
      <c r="G52" s="76">
        <v>2.5375983469347496E-2</v>
      </c>
      <c r="H52" s="50">
        <v>3.83</v>
      </c>
    </row>
    <row r="53" spans="1:8" ht="29.1" customHeight="1" x14ac:dyDescent="0.2">
      <c r="A53" s="74">
        <v>3</v>
      </c>
      <c r="B53" s="39" t="s">
        <v>293</v>
      </c>
      <c r="C53" s="39" t="s">
        <v>294</v>
      </c>
      <c r="D53" s="39" t="s">
        <v>61</v>
      </c>
      <c r="E53" s="75">
        <v>1000</v>
      </c>
      <c r="F53" s="50">
        <v>4988.5600000000004</v>
      </c>
      <c r="G53" s="76">
        <v>1.590339391890867E-2</v>
      </c>
      <c r="H53" s="50">
        <v>3.64</v>
      </c>
    </row>
    <row r="54" spans="1:8" ht="29.1" customHeight="1" x14ac:dyDescent="0.2">
      <c r="A54" s="74">
        <v>4</v>
      </c>
      <c r="B54" s="39" t="s">
        <v>295</v>
      </c>
      <c r="C54" s="39" t="s">
        <v>296</v>
      </c>
      <c r="D54" s="39" t="s">
        <v>61</v>
      </c>
      <c r="E54" s="75">
        <v>1000</v>
      </c>
      <c r="F54" s="50">
        <v>4985.4549999999999</v>
      </c>
      <c r="G54" s="76">
        <v>1.5893495263160674E-2</v>
      </c>
      <c r="H54" s="50">
        <v>3.55</v>
      </c>
    </row>
    <row r="55" spans="1:8" ht="29.1" customHeight="1" x14ac:dyDescent="0.2">
      <c r="A55" s="74">
        <v>5</v>
      </c>
      <c r="B55" s="39" t="s">
        <v>267</v>
      </c>
      <c r="C55" s="39" t="s">
        <v>268</v>
      </c>
      <c r="D55" s="39" t="s">
        <v>61</v>
      </c>
      <c r="E55" s="75">
        <v>1000</v>
      </c>
      <c r="F55" s="50">
        <v>4982.99</v>
      </c>
      <c r="G55" s="76">
        <v>1.5885636910046727E-2</v>
      </c>
      <c r="H55" s="50">
        <v>3.665</v>
      </c>
    </row>
    <row r="56" spans="1:8" ht="29.1" customHeight="1" x14ac:dyDescent="0.2">
      <c r="A56" s="74">
        <v>6</v>
      </c>
      <c r="B56" s="39" t="s">
        <v>297</v>
      </c>
      <c r="C56" s="39" t="s">
        <v>298</v>
      </c>
      <c r="D56" s="39" t="s">
        <v>61</v>
      </c>
      <c r="E56" s="75">
        <v>1000</v>
      </c>
      <c r="F56" s="50">
        <v>4977.5749999999998</v>
      </c>
      <c r="G56" s="76">
        <v>1.5868374036978973E-2</v>
      </c>
      <c r="H56" s="50">
        <v>3.6549999999999998</v>
      </c>
    </row>
    <row r="57" spans="1:8" ht="17.100000000000001" customHeight="1" x14ac:dyDescent="0.2">
      <c r="A57" s="74">
        <v>7</v>
      </c>
      <c r="B57" s="39" t="s">
        <v>271</v>
      </c>
      <c r="C57" s="39" t="s">
        <v>272</v>
      </c>
      <c r="D57" s="39" t="s">
        <v>61</v>
      </c>
      <c r="E57" s="75">
        <v>1000</v>
      </c>
      <c r="F57" s="50">
        <v>4973.1099999999997</v>
      </c>
      <c r="G57" s="76">
        <v>1.5854139738133627E-2</v>
      </c>
      <c r="H57" s="50">
        <v>3.6549999999999998</v>
      </c>
    </row>
    <row r="58" spans="1:8" ht="29.1" customHeight="1" x14ac:dyDescent="0.2">
      <c r="A58" s="74">
        <v>8</v>
      </c>
      <c r="B58" s="39" t="s">
        <v>299</v>
      </c>
      <c r="C58" s="39" t="s">
        <v>300</v>
      </c>
      <c r="D58" s="39" t="s">
        <v>61</v>
      </c>
      <c r="E58" s="75">
        <v>1000</v>
      </c>
      <c r="F58" s="50">
        <v>4966.22</v>
      </c>
      <c r="G58" s="76">
        <v>1.5832174605088966E-2</v>
      </c>
      <c r="H58" s="50">
        <v>4.07</v>
      </c>
    </row>
    <row r="59" spans="1:8" ht="25.5" x14ac:dyDescent="0.2">
      <c r="A59" s="74">
        <v>9</v>
      </c>
      <c r="B59" s="39" t="s">
        <v>301</v>
      </c>
      <c r="C59" s="39" t="s">
        <v>553</v>
      </c>
      <c r="D59" s="39" t="s">
        <v>61</v>
      </c>
      <c r="E59" s="75">
        <v>1000</v>
      </c>
      <c r="F59" s="50">
        <v>4959.2550000000001</v>
      </c>
      <c r="G59" s="76">
        <v>1.5809970374079378E-2</v>
      </c>
      <c r="H59" s="50">
        <v>4.41</v>
      </c>
    </row>
    <row r="60" spans="1:8" ht="17.100000000000001" customHeight="1" x14ac:dyDescent="0.2">
      <c r="A60" s="74">
        <v>10</v>
      </c>
      <c r="B60" s="39" t="s">
        <v>302</v>
      </c>
      <c r="C60" s="39" t="s">
        <v>303</v>
      </c>
      <c r="D60" s="39" t="s">
        <v>61</v>
      </c>
      <c r="E60" s="75">
        <v>1000</v>
      </c>
      <c r="F60" s="50">
        <v>4958.8050000000003</v>
      </c>
      <c r="G60" s="76">
        <v>1.5808535786289813E-2</v>
      </c>
      <c r="H60" s="50">
        <v>4.665</v>
      </c>
    </row>
    <row r="61" spans="1:8" ht="29.1" customHeight="1" x14ac:dyDescent="0.2">
      <c r="A61" s="74">
        <v>11</v>
      </c>
      <c r="B61" s="39" t="s">
        <v>304</v>
      </c>
      <c r="C61" s="39" t="s">
        <v>305</v>
      </c>
      <c r="D61" s="39" t="s">
        <v>61</v>
      </c>
      <c r="E61" s="75">
        <v>1000</v>
      </c>
      <c r="F61" s="50">
        <v>4958.0600000000004</v>
      </c>
      <c r="G61" s="76">
        <v>1.5806160746504868E-2</v>
      </c>
      <c r="H61" s="50">
        <v>3.72</v>
      </c>
    </row>
    <row r="62" spans="1:8" ht="25.5" x14ac:dyDescent="0.2">
      <c r="A62" s="74">
        <v>12</v>
      </c>
      <c r="B62" s="39" t="s">
        <v>306</v>
      </c>
      <c r="C62" s="39" t="s">
        <v>307</v>
      </c>
      <c r="D62" s="39" t="s">
        <v>61</v>
      </c>
      <c r="E62" s="75">
        <v>1000</v>
      </c>
      <c r="F62" s="50">
        <v>4953.0649999999996</v>
      </c>
      <c r="G62" s="76">
        <v>1.5790236822040702E-2</v>
      </c>
      <c r="H62" s="50">
        <v>4.2699999999999996</v>
      </c>
    </row>
    <row r="63" spans="1:8" ht="29.1" customHeight="1" x14ac:dyDescent="0.2">
      <c r="A63" s="74">
        <v>13</v>
      </c>
      <c r="B63" s="39" t="s">
        <v>277</v>
      </c>
      <c r="C63" s="39" t="s">
        <v>278</v>
      </c>
      <c r="D63" s="39" t="s">
        <v>61</v>
      </c>
      <c r="E63" s="75">
        <v>600</v>
      </c>
      <c r="F63" s="50">
        <v>2974.152</v>
      </c>
      <c r="G63" s="76">
        <v>9.4815158744627828E-3</v>
      </c>
      <c r="H63" s="50">
        <v>4.665</v>
      </c>
    </row>
    <row r="64" spans="1:8" ht="29.1" customHeight="1" x14ac:dyDescent="0.2">
      <c r="A64" s="74">
        <v>14</v>
      </c>
      <c r="B64" s="39" t="s">
        <v>308</v>
      </c>
      <c r="C64" s="39" t="s">
        <v>309</v>
      </c>
      <c r="D64" s="39" t="s">
        <v>451</v>
      </c>
      <c r="E64" s="75">
        <v>500</v>
      </c>
      <c r="F64" s="50">
        <v>2495.5949999999998</v>
      </c>
      <c r="G64" s="76">
        <v>7.9558891437727271E-3</v>
      </c>
      <c r="H64" s="50">
        <v>3.79</v>
      </c>
    </row>
    <row r="65" spans="1:8" ht="29.1" customHeight="1" x14ac:dyDescent="0.2">
      <c r="A65" s="74">
        <v>15</v>
      </c>
      <c r="B65" s="39" t="s">
        <v>310</v>
      </c>
      <c r="C65" s="39" t="s">
        <v>311</v>
      </c>
      <c r="D65" s="39" t="s">
        <v>61</v>
      </c>
      <c r="E65" s="75">
        <v>500</v>
      </c>
      <c r="F65" s="50">
        <v>2492.0149999999999</v>
      </c>
      <c r="G65" s="76">
        <v>7.9444762009135278E-3</v>
      </c>
      <c r="H65" s="50">
        <v>3.6549999999999998</v>
      </c>
    </row>
    <row r="66" spans="1:8" ht="25.5" x14ac:dyDescent="0.2">
      <c r="A66" s="74">
        <v>16</v>
      </c>
      <c r="B66" s="39" t="s">
        <v>312</v>
      </c>
      <c r="C66" s="39" t="s">
        <v>313</v>
      </c>
      <c r="D66" s="39" t="s">
        <v>61</v>
      </c>
      <c r="E66" s="75">
        <v>500</v>
      </c>
      <c r="F66" s="50">
        <v>2486.6925000000001</v>
      </c>
      <c r="G66" s="76">
        <v>7.9275082153358479E-3</v>
      </c>
      <c r="H66" s="50">
        <v>3.83</v>
      </c>
    </row>
    <row r="67" spans="1:8" ht="17.100000000000001" customHeight="1" x14ac:dyDescent="0.2">
      <c r="A67" s="74">
        <v>17</v>
      </c>
      <c r="B67" s="39" t="s">
        <v>314</v>
      </c>
      <c r="C67" s="39" t="s">
        <v>315</v>
      </c>
      <c r="D67" s="39" t="s">
        <v>451</v>
      </c>
      <c r="E67" s="75">
        <v>500</v>
      </c>
      <c r="F67" s="50">
        <v>2476.1374999999998</v>
      </c>
      <c r="G67" s="76">
        <v>7.8938591617384E-3</v>
      </c>
      <c r="H67" s="50">
        <v>4.09</v>
      </c>
    </row>
    <row r="68" spans="1:8" ht="29.1" customHeight="1" x14ac:dyDescent="0.2">
      <c r="A68" s="74">
        <v>18</v>
      </c>
      <c r="B68" s="39" t="s">
        <v>316</v>
      </c>
      <c r="C68" s="39" t="s">
        <v>585</v>
      </c>
      <c r="D68" s="39" t="s">
        <v>61</v>
      </c>
      <c r="E68" s="75">
        <v>500</v>
      </c>
      <c r="F68" s="50">
        <v>2474.5124999999998</v>
      </c>
      <c r="G68" s="76">
        <v>7.8886787058316393E-3</v>
      </c>
      <c r="H68" s="50">
        <v>4.585</v>
      </c>
    </row>
    <row r="69" spans="1:8" ht="17.100000000000001" customHeight="1" x14ac:dyDescent="0.2">
      <c r="A69" s="74">
        <v>19</v>
      </c>
      <c r="B69" s="39" t="s">
        <v>549</v>
      </c>
      <c r="C69" s="39" t="s">
        <v>550</v>
      </c>
      <c r="D69" s="39" t="s">
        <v>61</v>
      </c>
      <c r="E69" s="75">
        <v>180</v>
      </c>
      <c r="F69" s="50">
        <v>899.11350000000004</v>
      </c>
      <c r="G69" s="76">
        <v>2.8663494411831653E-3</v>
      </c>
      <c r="H69" s="50">
        <v>3.5988000000000002</v>
      </c>
    </row>
    <row r="70" spans="1:8" ht="29.1" customHeight="1" x14ac:dyDescent="0.2">
      <c r="A70" s="74">
        <v>20</v>
      </c>
      <c r="B70" s="39" t="s">
        <v>551</v>
      </c>
      <c r="C70" s="39" t="s">
        <v>552</v>
      </c>
      <c r="D70" s="39" t="s">
        <v>61</v>
      </c>
      <c r="E70" s="75">
        <v>100</v>
      </c>
      <c r="F70" s="50">
        <v>498.83550000000002</v>
      </c>
      <c r="G70" s="76">
        <v>1.5902740384471203E-3</v>
      </c>
      <c r="H70" s="50">
        <v>3.5503</v>
      </c>
    </row>
    <row r="71" spans="1:8" ht="14.1" customHeight="1" x14ac:dyDescent="0.2">
      <c r="A71" s="66"/>
      <c r="B71" s="66"/>
      <c r="C71" s="67" t="s">
        <v>10</v>
      </c>
      <c r="D71" s="66"/>
      <c r="E71" s="66" t="s">
        <v>11</v>
      </c>
      <c r="F71" s="72">
        <v>84401.610499999995</v>
      </c>
      <c r="G71" s="73">
        <v>0.26907004409524959</v>
      </c>
      <c r="H71" s="50"/>
    </row>
    <row r="72" spans="1:8" ht="14.1" customHeight="1" x14ac:dyDescent="0.2">
      <c r="A72" s="66"/>
      <c r="B72" s="66"/>
      <c r="C72" s="70"/>
      <c r="D72" s="66"/>
      <c r="E72" s="66"/>
      <c r="F72" s="71"/>
      <c r="G72" s="71"/>
      <c r="H72" s="50"/>
    </row>
    <row r="73" spans="1:8" ht="14.1" customHeight="1" x14ac:dyDescent="0.2">
      <c r="A73" s="66"/>
      <c r="B73" s="66"/>
      <c r="C73" s="67" t="s">
        <v>67</v>
      </c>
      <c r="D73" s="66"/>
      <c r="E73" s="66"/>
      <c r="F73" s="71"/>
      <c r="G73" s="71"/>
      <c r="H73" s="50"/>
    </row>
    <row r="74" spans="1:8" ht="17.100000000000001" customHeight="1" x14ac:dyDescent="0.2">
      <c r="A74" s="74">
        <v>1</v>
      </c>
      <c r="B74" s="39" t="s">
        <v>317</v>
      </c>
      <c r="C74" s="39" t="s">
        <v>567</v>
      </c>
      <c r="D74" s="39" t="s">
        <v>49</v>
      </c>
      <c r="E74" s="75">
        <v>10000000</v>
      </c>
      <c r="F74" s="50">
        <v>9920.4699999999993</v>
      </c>
      <c r="G74" s="76">
        <v>3.1626189174975519E-2</v>
      </c>
      <c r="H74" s="50">
        <v>3.5684</v>
      </c>
    </row>
    <row r="75" spans="1:8" ht="17.100000000000001" customHeight="1" x14ac:dyDescent="0.2">
      <c r="A75" s="74">
        <v>2</v>
      </c>
      <c r="B75" s="39" t="s">
        <v>318</v>
      </c>
      <c r="C75" s="39" t="s">
        <v>568</v>
      </c>
      <c r="D75" s="39" t="s">
        <v>49</v>
      </c>
      <c r="E75" s="75">
        <v>7000000</v>
      </c>
      <c r="F75" s="50">
        <v>6996.8850000000002</v>
      </c>
      <c r="G75" s="76">
        <v>2.2305879524412514E-2</v>
      </c>
      <c r="H75" s="50">
        <v>3.25</v>
      </c>
    </row>
    <row r="76" spans="1:8" ht="17.100000000000001" customHeight="1" x14ac:dyDescent="0.2">
      <c r="A76" s="74">
        <v>3</v>
      </c>
      <c r="B76" s="39" t="s">
        <v>554</v>
      </c>
      <c r="C76" s="39" t="s">
        <v>555</v>
      </c>
      <c r="D76" s="39" t="s">
        <v>49</v>
      </c>
      <c r="E76" s="75">
        <v>2980000</v>
      </c>
      <c r="F76" s="50">
        <v>2962.6713</v>
      </c>
      <c r="G76" s="76">
        <v>9.4449157143835574E-3</v>
      </c>
      <c r="H76" s="50">
        <v>3.4998</v>
      </c>
    </row>
    <row r="77" spans="1:8" ht="17.100000000000001" customHeight="1" x14ac:dyDescent="0.2">
      <c r="A77" s="74">
        <v>4</v>
      </c>
      <c r="B77" s="39" t="s">
        <v>319</v>
      </c>
      <c r="C77" s="39" t="s">
        <v>569</v>
      </c>
      <c r="D77" s="39" t="s">
        <v>49</v>
      </c>
      <c r="E77" s="75">
        <v>2776100</v>
      </c>
      <c r="F77" s="50">
        <v>2765.8561909999999</v>
      </c>
      <c r="G77" s="76">
        <v>8.8174744873320745E-3</v>
      </c>
      <c r="H77" s="50">
        <v>3.38</v>
      </c>
    </row>
    <row r="78" spans="1:8" ht="17.100000000000001" customHeight="1" x14ac:dyDescent="0.2">
      <c r="A78" s="74">
        <v>5</v>
      </c>
      <c r="B78" s="39" t="s">
        <v>556</v>
      </c>
      <c r="C78" s="39" t="s">
        <v>557</v>
      </c>
      <c r="D78" s="39" t="s">
        <v>49</v>
      </c>
      <c r="E78" s="75">
        <v>1000000</v>
      </c>
      <c r="F78" s="50">
        <v>998.31100000000004</v>
      </c>
      <c r="G78" s="76">
        <v>3.1825883795282874E-3</v>
      </c>
      <c r="H78" s="50">
        <v>3.2501000000000002</v>
      </c>
    </row>
    <row r="79" spans="1:8" ht="17.100000000000001" customHeight="1" x14ac:dyDescent="0.2">
      <c r="A79" s="74">
        <v>6</v>
      </c>
      <c r="B79" s="39" t="s">
        <v>536</v>
      </c>
      <c r="C79" s="39" t="s">
        <v>537</v>
      </c>
      <c r="D79" s="39" t="s">
        <v>49</v>
      </c>
      <c r="E79" s="75">
        <v>613000</v>
      </c>
      <c r="F79" s="50">
        <v>612.727215</v>
      </c>
      <c r="G79" s="76">
        <v>1.9533577354949815E-3</v>
      </c>
      <c r="H79" s="50">
        <v>3.2498999999999998</v>
      </c>
    </row>
    <row r="80" spans="1:8" ht="17.100000000000001" customHeight="1" x14ac:dyDescent="0.2">
      <c r="A80" s="74">
        <v>7</v>
      </c>
      <c r="B80" s="39" t="s">
        <v>558</v>
      </c>
      <c r="C80" s="39" t="s">
        <v>559</v>
      </c>
      <c r="D80" s="39" t="s">
        <v>49</v>
      </c>
      <c r="E80" s="75">
        <v>500000</v>
      </c>
      <c r="F80" s="50">
        <v>499.47449999999998</v>
      </c>
      <c r="G80" s="76">
        <v>1.5923111531083013E-3</v>
      </c>
      <c r="H80" s="50">
        <v>3.2002000000000002</v>
      </c>
    </row>
    <row r="81" spans="1:8" ht="17.100000000000001" customHeight="1" x14ac:dyDescent="0.2">
      <c r="A81" s="74">
        <v>8</v>
      </c>
      <c r="B81" s="39" t="s">
        <v>560</v>
      </c>
      <c r="C81" s="39" t="s">
        <v>561</v>
      </c>
      <c r="D81" s="39" t="s">
        <v>49</v>
      </c>
      <c r="E81" s="75">
        <v>500000</v>
      </c>
      <c r="F81" s="50">
        <v>499.4665</v>
      </c>
      <c r="G81" s="76">
        <v>1.5922856493253759E-3</v>
      </c>
      <c r="H81" s="50">
        <v>3.2488999999999999</v>
      </c>
    </row>
    <row r="82" spans="1:8" ht="17.100000000000001" customHeight="1" x14ac:dyDescent="0.2">
      <c r="A82" s="74">
        <v>9</v>
      </c>
      <c r="B82" s="39" t="s">
        <v>562</v>
      </c>
      <c r="C82" s="39" t="s">
        <v>563</v>
      </c>
      <c r="D82" s="39" t="s">
        <v>49</v>
      </c>
      <c r="E82" s="75">
        <v>500000</v>
      </c>
      <c r="F82" s="50">
        <v>498.83800000000002</v>
      </c>
      <c r="G82" s="76">
        <v>1.5902820083792844E-3</v>
      </c>
      <c r="H82" s="50">
        <v>3.2700999999999998</v>
      </c>
    </row>
    <row r="83" spans="1:8" ht="17.100000000000001" customHeight="1" x14ac:dyDescent="0.2">
      <c r="A83" s="74">
        <v>10</v>
      </c>
      <c r="B83" s="39" t="s">
        <v>564</v>
      </c>
      <c r="C83" s="39" t="s">
        <v>565</v>
      </c>
      <c r="D83" s="39" t="s">
        <v>49</v>
      </c>
      <c r="E83" s="75">
        <v>500000</v>
      </c>
      <c r="F83" s="50">
        <v>498.54</v>
      </c>
      <c r="G83" s="76">
        <v>1.5893319924653064E-3</v>
      </c>
      <c r="H83" s="50">
        <v>3.3403999999999998</v>
      </c>
    </row>
    <row r="84" spans="1:8" ht="17.100000000000001" customHeight="1" x14ac:dyDescent="0.2">
      <c r="A84" s="74">
        <v>11</v>
      </c>
      <c r="B84" s="39" t="s">
        <v>398</v>
      </c>
      <c r="C84" s="39" t="s">
        <v>566</v>
      </c>
      <c r="D84" s="39" t="s">
        <v>49</v>
      </c>
      <c r="E84" s="75">
        <v>500000</v>
      </c>
      <c r="F84" s="50">
        <v>497.4975</v>
      </c>
      <c r="G84" s="76">
        <v>1.5860085307528157E-3</v>
      </c>
      <c r="H84" s="50">
        <v>3.4</v>
      </c>
    </row>
    <row r="85" spans="1:8" ht="14.1" customHeight="1" x14ac:dyDescent="0.2">
      <c r="A85" s="66"/>
      <c r="B85" s="66"/>
      <c r="C85" s="67" t="s">
        <v>10</v>
      </c>
      <c r="D85" s="66"/>
      <c r="E85" s="66" t="s">
        <v>11</v>
      </c>
      <c r="F85" s="72">
        <v>26750.737205999998</v>
      </c>
      <c r="G85" s="73">
        <v>8.5280624350158013E-2</v>
      </c>
      <c r="H85" s="50"/>
    </row>
    <row r="86" spans="1:8" ht="14.1" customHeight="1" x14ac:dyDescent="0.2">
      <c r="A86" s="66"/>
      <c r="B86" s="66"/>
      <c r="C86" s="70"/>
      <c r="D86" s="66"/>
      <c r="E86" s="66"/>
      <c r="F86" s="71"/>
      <c r="G86" s="71"/>
      <c r="H86" s="50"/>
    </row>
    <row r="87" spans="1:8" ht="14.1" customHeight="1" x14ac:dyDescent="0.2">
      <c r="A87" s="66"/>
      <c r="B87" s="66"/>
      <c r="C87" s="67" t="s">
        <v>69</v>
      </c>
      <c r="D87" s="66"/>
      <c r="E87" s="66"/>
      <c r="F87" s="71"/>
      <c r="G87" s="71"/>
      <c r="H87" s="50"/>
    </row>
    <row r="88" spans="1:8" ht="17.100000000000001" customHeight="1" x14ac:dyDescent="0.2">
      <c r="A88" s="74">
        <v>1</v>
      </c>
      <c r="B88" s="39"/>
      <c r="C88" s="39" t="s">
        <v>70</v>
      </c>
      <c r="D88" s="39"/>
      <c r="E88" s="77"/>
      <c r="F88" s="50">
        <v>95057.239933200006</v>
      </c>
      <c r="G88" s="76">
        <v>0.30303990159522892</v>
      </c>
      <c r="H88" s="50">
        <v>3.4504560529072292</v>
      </c>
    </row>
    <row r="89" spans="1:8" ht="17.100000000000001" customHeight="1" x14ac:dyDescent="0.2">
      <c r="A89" s="74">
        <v>2</v>
      </c>
      <c r="B89" s="39"/>
      <c r="C89" s="39" t="s">
        <v>71</v>
      </c>
      <c r="D89" s="39"/>
      <c r="E89" s="77"/>
      <c r="F89" s="50">
        <v>51303.1010427</v>
      </c>
      <c r="G89" s="76">
        <v>0.16355289405031356</v>
      </c>
      <c r="H89" s="50">
        <v>3.5655822479098256</v>
      </c>
    </row>
    <row r="90" spans="1:8" ht="14.1" customHeight="1" x14ac:dyDescent="0.2">
      <c r="A90" s="66"/>
      <c r="B90" s="66"/>
      <c r="C90" s="67" t="s">
        <v>10</v>
      </c>
      <c r="D90" s="66"/>
      <c r="E90" s="66" t="s">
        <v>11</v>
      </c>
      <c r="F90" s="68">
        <v>146360.34097590001</v>
      </c>
      <c r="G90" s="69">
        <v>0.46659279564554246</v>
      </c>
      <c r="H90" s="50"/>
    </row>
    <row r="91" spans="1:8" ht="14.1" customHeight="1" x14ac:dyDescent="0.2">
      <c r="A91" s="66"/>
      <c r="B91" s="66"/>
      <c r="C91" s="70"/>
      <c r="D91" s="66"/>
      <c r="E91" s="66"/>
      <c r="F91" s="71"/>
      <c r="G91" s="71"/>
      <c r="H91" s="50"/>
    </row>
    <row r="92" spans="1:8" ht="14.1" customHeight="1" x14ac:dyDescent="0.2">
      <c r="A92" s="66"/>
      <c r="B92" s="66"/>
      <c r="C92" s="67" t="s">
        <v>72</v>
      </c>
      <c r="D92" s="66"/>
      <c r="E92" s="66"/>
      <c r="F92" s="72">
        <v>278258.78668189998</v>
      </c>
      <c r="G92" s="73">
        <v>0.88708146158407086</v>
      </c>
      <c r="H92" s="50"/>
    </row>
    <row r="93" spans="1:8" ht="14.1" customHeight="1" x14ac:dyDescent="0.2">
      <c r="A93" s="66"/>
      <c r="B93" s="66"/>
      <c r="C93" s="71"/>
      <c r="D93" s="66"/>
      <c r="E93" s="66"/>
      <c r="F93" s="66"/>
      <c r="G93" s="66"/>
      <c r="H93" s="50"/>
    </row>
    <row r="94" spans="1:8" ht="14.1" customHeight="1" x14ac:dyDescent="0.2">
      <c r="A94" s="66"/>
      <c r="B94" s="66"/>
      <c r="C94" s="67" t="s">
        <v>73</v>
      </c>
      <c r="D94" s="66"/>
      <c r="E94" s="66"/>
      <c r="F94" s="66"/>
      <c r="G94" s="66"/>
      <c r="H94" s="50"/>
    </row>
    <row r="95" spans="1:8" ht="14.1" customHeight="1" x14ac:dyDescent="0.2">
      <c r="A95" s="66"/>
      <c r="B95" s="66"/>
      <c r="C95" s="67" t="s">
        <v>74</v>
      </c>
      <c r="D95" s="66"/>
      <c r="E95" s="66"/>
      <c r="F95" s="66"/>
      <c r="G95" s="66"/>
      <c r="H95" s="50"/>
    </row>
    <row r="96" spans="1:8" ht="14.1" customHeight="1" x14ac:dyDescent="0.2">
      <c r="A96" s="66"/>
      <c r="B96" s="66"/>
      <c r="C96" s="67" t="s">
        <v>10</v>
      </c>
      <c r="D96" s="66"/>
      <c r="E96" s="66" t="s">
        <v>11</v>
      </c>
      <c r="F96" s="68">
        <v>0</v>
      </c>
      <c r="G96" s="69">
        <v>0</v>
      </c>
      <c r="H96" s="50"/>
    </row>
    <row r="97" spans="1:8" ht="14.1" customHeight="1" x14ac:dyDescent="0.2">
      <c r="A97" s="66"/>
      <c r="B97" s="66"/>
      <c r="C97" s="70"/>
      <c r="D97" s="66"/>
      <c r="E97" s="66"/>
      <c r="F97" s="71"/>
      <c r="G97" s="71"/>
      <c r="H97" s="50"/>
    </row>
    <row r="98" spans="1:8" ht="14.1" customHeight="1" x14ac:dyDescent="0.2">
      <c r="A98" s="66"/>
      <c r="B98" s="66"/>
      <c r="C98" s="67" t="s">
        <v>75</v>
      </c>
      <c r="D98" s="66"/>
      <c r="E98" s="66"/>
      <c r="F98" s="66"/>
      <c r="G98" s="66"/>
      <c r="H98" s="50"/>
    </row>
    <row r="99" spans="1:8" ht="14.1" customHeight="1" x14ac:dyDescent="0.2">
      <c r="A99" s="66"/>
      <c r="B99" s="66"/>
      <c r="C99" s="67" t="s">
        <v>76</v>
      </c>
      <c r="D99" s="66"/>
      <c r="E99" s="66"/>
      <c r="F99" s="66"/>
      <c r="G99" s="66"/>
      <c r="H99" s="50"/>
    </row>
    <row r="100" spans="1:8" ht="14.1" customHeight="1" x14ac:dyDescent="0.2">
      <c r="A100" s="66"/>
      <c r="B100" s="66"/>
      <c r="C100" s="67" t="s">
        <v>10</v>
      </c>
      <c r="D100" s="66"/>
      <c r="E100" s="66" t="s">
        <v>11</v>
      </c>
      <c r="F100" s="68">
        <v>0</v>
      </c>
      <c r="G100" s="69">
        <v>0</v>
      </c>
      <c r="H100" s="50"/>
    </row>
    <row r="101" spans="1:8" ht="14.1" customHeight="1" x14ac:dyDescent="0.2">
      <c r="A101" s="66"/>
      <c r="B101" s="66"/>
      <c r="C101" s="70"/>
      <c r="D101" s="66"/>
      <c r="E101" s="66"/>
      <c r="F101" s="71"/>
      <c r="G101" s="71"/>
      <c r="H101" s="50"/>
    </row>
    <row r="102" spans="1:8" ht="24" customHeight="1" x14ac:dyDescent="0.2">
      <c r="A102" s="66"/>
      <c r="B102" s="66"/>
      <c r="C102" s="67" t="s">
        <v>77</v>
      </c>
      <c r="D102" s="66"/>
      <c r="E102" s="66"/>
      <c r="F102" s="71"/>
      <c r="G102" s="71"/>
      <c r="H102" s="50"/>
    </row>
    <row r="103" spans="1:8" ht="14.1" customHeight="1" x14ac:dyDescent="0.2">
      <c r="A103" s="66"/>
      <c r="B103" s="66"/>
      <c r="C103" s="67" t="s">
        <v>10</v>
      </c>
      <c r="D103" s="66"/>
      <c r="E103" s="66" t="s">
        <v>11</v>
      </c>
      <c r="F103" s="68">
        <v>0</v>
      </c>
      <c r="G103" s="69">
        <v>0</v>
      </c>
      <c r="H103" s="50"/>
    </row>
    <row r="104" spans="1:8" ht="14.1" customHeight="1" x14ac:dyDescent="0.2">
      <c r="A104" s="66"/>
      <c r="B104" s="66"/>
      <c r="C104" s="70"/>
      <c r="D104" s="66"/>
      <c r="E104" s="66"/>
      <c r="F104" s="71"/>
      <c r="G104" s="71"/>
      <c r="H104" s="50"/>
    </row>
    <row r="105" spans="1:8" ht="14.1" customHeight="1" x14ac:dyDescent="0.2">
      <c r="A105" s="66"/>
      <c r="B105" s="39"/>
      <c r="C105" s="39"/>
      <c r="D105" s="67"/>
      <c r="E105" s="66"/>
      <c r="F105" s="39"/>
      <c r="G105" s="77"/>
      <c r="H105" s="50"/>
    </row>
    <row r="106" spans="1:8" ht="18" customHeight="1" x14ac:dyDescent="0.2">
      <c r="A106" s="77"/>
      <c r="B106" s="39"/>
      <c r="C106" s="39" t="s">
        <v>78</v>
      </c>
      <c r="D106" s="39"/>
      <c r="E106" s="77"/>
      <c r="F106" s="50">
        <v>34117.348433840001</v>
      </c>
      <c r="G106" s="76">
        <v>0.1087651810566615</v>
      </c>
      <c r="H106" s="50"/>
    </row>
    <row r="107" spans="1:8" ht="14.1" customHeight="1" x14ac:dyDescent="0.2">
      <c r="A107" s="70"/>
      <c r="B107" s="70"/>
      <c r="C107" s="67" t="s">
        <v>79</v>
      </c>
      <c r="D107" s="71"/>
      <c r="E107" s="71"/>
      <c r="F107" s="72">
        <v>313678.95591573999</v>
      </c>
      <c r="G107" s="73">
        <v>1</v>
      </c>
      <c r="H107" s="50"/>
    </row>
    <row r="108" spans="1:8" ht="14.1" customHeight="1" x14ac:dyDescent="0.2">
      <c r="A108" s="78"/>
      <c r="B108" s="78"/>
      <c r="C108" s="78"/>
      <c r="D108" s="79"/>
      <c r="E108" s="79"/>
      <c r="F108" s="79"/>
      <c r="G108" s="79"/>
    </row>
    <row r="109" spans="1:8" ht="17.100000000000001" customHeight="1" x14ac:dyDescent="0.2">
      <c r="A109" s="80"/>
      <c r="B109" s="153" t="s">
        <v>80</v>
      </c>
      <c r="C109" s="153"/>
      <c r="D109" s="153"/>
      <c r="E109" s="153"/>
      <c r="F109" s="153"/>
      <c r="G109" s="81"/>
    </row>
    <row r="110" spans="1:8" ht="17.100000000000001" customHeight="1" x14ac:dyDescent="0.2">
      <c r="A110" s="80"/>
      <c r="B110" s="153" t="s">
        <v>81</v>
      </c>
      <c r="C110" s="153"/>
      <c r="D110" s="153"/>
      <c r="E110" s="153"/>
      <c r="F110" s="153"/>
      <c r="G110" s="81"/>
    </row>
    <row r="111" spans="1:8" ht="14.1" customHeight="1" x14ac:dyDescent="0.2">
      <c r="A111" s="80"/>
      <c r="B111" s="153" t="s">
        <v>11</v>
      </c>
      <c r="C111" s="153"/>
      <c r="D111" s="153"/>
      <c r="E111" s="153"/>
      <c r="F111" s="153"/>
      <c r="G111" s="81"/>
    </row>
    <row r="112" spans="1:8" ht="14.1" customHeight="1" x14ac:dyDescent="0.2">
      <c r="A112" s="80"/>
      <c r="B112" s="80"/>
      <c r="C112" s="80"/>
      <c r="D112" s="81"/>
      <c r="E112" s="81"/>
      <c r="F112" s="81"/>
      <c r="G112" s="81"/>
    </row>
    <row r="113" spans="1:7" ht="14.1" customHeight="1" x14ac:dyDescent="0.2">
      <c r="A113" s="17"/>
      <c r="B113" s="155" t="s">
        <v>82</v>
      </c>
      <c r="C113" s="156"/>
      <c r="D113" s="157"/>
      <c r="E113" s="20"/>
      <c r="F113" s="19"/>
      <c r="G113" s="19"/>
    </row>
    <row r="114" spans="1:7" ht="29.1" customHeight="1" x14ac:dyDescent="0.2">
      <c r="A114" s="17"/>
      <c r="B114" s="149" t="s">
        <v>83</v>
      </c>
      <c r="C114" s="150"/>
      <c r="D114" s="2" t="s">
        <v>654</v>
      </c>
      <c r="E114" s="20"/>
      <c r="F114" s="19"/>
      <c r="G114" s="19"/>
    </row>
    <row r="115" spans="1:7" ht="17.100000000000001" customHeight="1" x14ac:dyDescent="0.2">
      <c r="A115" s="17"/>
      <c r="B115" s="149" t="s">
        <v>85</v>
      </c>
      <c r="C115" s="150"/>
      <c r="D115" s="2" t="s">
        <v>84</v>
      </c>
      <c r="E115" s="20"/>
      <c r="F115" s="19"/>
      <c r="G115" s="19"/>
    </row>
    <row r="116" spans="1:7" ht="17.100000000000001" customHeight="1" x14ac:dyDescent="0.2">
      <c r="A116" s="80"/>
      <c r="B116" s="149" t="s">
        <v>618</v>
      </c>
      <c r="C116" s="159"/>
      <c r="D116" s="150"/>
      <c r="E116" s="82"/>
      <c r="F116" s="81"/>
      <c r="G116" s="81"/>
    </row>
    <row r="117" spans="1:7" ht="24" customHeight="1" x14ac:dyDescent="0.2">
      <c r="A117" s="55"/>
      <c r="B117" s="83" t="s">
        <v>11</v>
      </c>
      <c r="C117" s="83" t="s">
        <v>87</v>
      </c>
      <c r="D117" s="83" t="s">
        <v>88</v>
      </c>
      <c r="E117" s="55"/>
      <c r="F117" s="55"/>
      <c r="G117" s="55"/>
    </row>
    <row r="118" spans="1:7" ht="18" customHeight="1" x14ac:dyDescent="0.2">
      <c r="A118" s="55"/>
      <c r="B118" s="84" t="s">
        <v>89</v>
      </c>
      <c r="C118" s="83" t="s">
        <v>90</v>
      </c>
      <c r="D118" s="83" t="s">
        <v>91</v>
      </c>
      <c r="E118" s="55"/>
      <c r="F118" s="55"/>
      <c r="G118" s="55"/>
    </row>
    <row r="119" spans="1:7" ht="17.100000000000001" customHeight="1" x14ac:dyDescent="0.2">
      <c r="A119" s="55"/>
      <c r="B119" s="39" t="s">
        <v>92</v>
      </c>
      <c r="C119" s="115">
        <v>1857.0205000000001</v>
      </c>
      <c r="D119" s="85">
        <v>1862.2636</v>
      </c>
      <c r="E119" s="55"/>
      <c r="F119" s="56"/>
      <c r="G119" s="86"/>
    </row>
    <row r="120" spans="1:7" ht="29.1" customHeight="1" x14ac:dyDescent="0.2">
      <c r="A120" s="55"/>
      <c r="B120" s="39" t="s">
        <v>469</v>
      </c>
      <c r="C120" s="115">
        <v>1000.6367</v>
      </c>
      <c r="D120" s="85">
        <v>1000.6367</v>
      </c>
      <c r="E120" s="55"/>
      <c r="F120" s="56"/>
      <c r="G120" s="86"/>
    </row>
    <row r="121" spans="1:7" ht="29.1" customHeight="1" x14ac:dyDescent="0.2">
      <c r="A121" s="55"/>
      <c r="B121" s="39" t="s">
        <v>456</v>
      </c>
      <c r="C121" s="115">
        <v>1007.2959</v>
      </c>
      <c r="D121" s="85">
        <v>1006.9382000000001</v>
      </c>
      <c r="E121" s="55"/>
      <c r="F121" s="56"/>
      <c r="G121" s="86"/>
    </row>
    <row r="122" spans="1:7" ht="29.1" customHeight="1" x14ac:dyDescent="0.2">
      <c r="A122" s="55"/>
      <c r="B122" s="39" t="s">
        <v>458</v>
      </c>
      <c r="C122" s="115">
        <v>1023.96</v>
      </c>
      <c r="D122" s="85">
        <v>1024.0817999999999</v>
      </c>
      <c r="E122" s="55"/>
      <c r="F122" s="56"/>
      <c r="G122" s="86"/>
    </row>
    <row r="123" spans="1:7" ht="17.100000000000001" customHeight="1" x14ac:dyDescent="0.2">
      <c r="A123" s="55"/>
      <c r="B123" s="39" t="s">
        <v>93</v>
      </c>
      <c r="C123" s="115">
        <v>1844.9196999999999</v>
      </c>
      <c r="D123" s="85">
        <v>1849.9872</v>
      </c>
      <c r="E123" s="55"/>
      <c r="F123" s="56"/>
      <c r="G123" s="86"/>
    </row>
    <row r="124" spans="1:7" ht="29.1" customHeight="1" x14ac:dyDescent="0.2">
      <c r="A124" s="55"/>
      <c r="B124" s="39" t="s">
        <v>471</v>
      </c>
      <c r="C124" s="115">
        <v>1000.8893</v>
      </c>
      <c r="D124" s="85">
        <v>1000.8893</v>
      </c>
      <c r="E124" s="55"/>
      <c r="F124" s="56"/>
      <c r="G124" s="86"/>
    </row>
    <row r="125" spans="1:7" ht="29.1" customHeight="1" x14ac:dyDescent="0.2">
      <c r="A125" s="55"/>
      <c r="B125" s="39" t="s">
        <v>462</v>
      </c>
      <c r="C125" s="115">
        <v>1006.8296</v>
      </c>
      <c r="D125" s="85">
        <v>1006.4817</v>
      </c>
      <c r="E125" s="55"/>
      <c r="F125" s="56"/>
      <c r="G125" s="86"/>
    </row>
    <row r="126" spans="1:7" ht="29.1" customHeight="1" x14ac:dyDescent="0.2">
      <c r="A126" s="55"/>
      <c r="B126" s="39" t="s">
        <v>464</v>
      </c>
      <c r="C126" s="115">
        <v>1023.9087</v>
      </c>
      <c r="D126" s="85">
        <v>1024.0293999999999</v>
      </c>
      <c r="E126" s="55"/>
      <c r="F126" s="56"/>
      <c r="G126" s="86"/>
    </row>
    <row r="127" spans="1:7" ht="29.25" customHeight="1" x14ac:dyDescent="0.2">
      <c r="A127" s="60"/>
      <c r="B127" s="10" t="s">
        <v>320</v>
      </c>
      <c r="C127" s="130">
        <v>0</v>
      </c>
      <c r="D127" s="24">
        <v>1000</v>
      </c>
      <c r="E127" s="61"/>
      <c r="F127" s="61"/>
      <c r="G127" s="61"/>
    </row>
    <row r="128" spans="1:7" ht="25.5" x14ac:dyDescent="0.2">
      <c r="A128" s="60"/>
      <c r="B128" s="10" t="s">
        <v>321</v>
      </c>
      <c r="C128" s="130">
        <v>0</v>
      </c>
      <c r="D128" s="24">
        <v>1000</v>
      </c>
      <c r="E128" s="61"/>
      <c r="F128" s="61"/>
      <c r="G128" s="61"/>
    </row>
    <row r="129" spans="1:7" ht="25.5" x14ac:dyDescent="0.2">
      <c r="A129" s="60"/>
      <c r="B129" s="10" t="s">
        <v>322</v>
      </c>
      <c r="C129" s="130">
        <v>0</v>
      </c>
      <c r="D129" s="24">
        <v>1000</v>
      </c>
      <c r="E129" s="61"/>
      <c r="F129" s="61"/>
      <c r="G129" s="61"/>
    </row>
    <row r="130" spans="1:7" ht="25.5" x14ac:dyDescent="0.2">
      <c r="A130" s="60"/>
      <c r="B130" s="10" t="s">
        <v>323</v>
      </c>
      <c r="C130" s="130">
        <v>0</v>
      </c>
      <c r="D130" s="24">
        <v>1000</v>
      </c>
      <c r="E130" s="61"/>
      <c r="F130" s="61"/>
      <c r="G130" s="61"/>
    </row>
    <row r="131" spans="1:7" ht="17.100000000000001" customHeight="1" x14ac:dyDescent="0.2">
      <c r="A131" s="60"/>
      <c r="B131" s="149" t="s">
        <v>619</v>
      </c>
      <c r="C131" s="159"/>
      <c r="D131" s="150"/>
      <c r="E131" s="61"/>
      <c r="F131" s="61"/>
      <c r="G131" s="61"/>
    </row>
    <row r="132" spans="1:7" ht="24" customHeight="1" x14ac:dyDescent="0.2">
      <c r="A132" s="21"/>
      <c r="B132" s="22" t="s">
        <v>11</v>
      </c>
      <c r="C132" s="22" t="s">
        <v>87</v>
      </c>
      <c r="D132" s="22" t="s">
        <v>88</v>
      </c>
      <c r="E132" s="21"/>
      <c r="F132" s="21"/>
      <c r="G132" s="21"/>
    </row>
    <row r="133" spans="1:7" ht="18" customHeight="1" x14ac:dyDescent="0.2">
      <c r="A133" s="21"/>
      <c r="B133" s="23" t="s">
        <v>89</v>
      </c>
      <c r="C133" s="22" t="s">
        <v>90</v>
      </c>
      <c r="D133" s="22" t="s">
        <v>91</v>
      </c>
      <c r="E133" s="21"/>
      <c r="F133" s="21"/>
      <c r="G133" s="21"/>
    </row>
    <row r="134" spans="1:7" ht="17.100000000000001" customHeight="1" x14ac:dyDescent="0.2">
      <c r="A134" s="21"/>
      <c r="B134" s="10" t="s">
        <v>92</v>
      </c>
      <c r="C134" s="24">
        <v>44.376300000000001</v>
      </c>
      <c r="D134" s="24">
        <v>44.510300000000001</v>
      </c>
      <c r="E134" s="21"/>
      <c r="F134" s="51"/>
      <c r="G134" s="25"/>
    </row>
    <row r="135" spans="1:7" ht="17.100000000000001" customHeight="1" x14ac:dyDescent="0.2">
      <c r="A135" s="21"/>
      <c r="B135" s="10" t="s">
        <v>236</v>
      </c>
      <c r="C135" s="24">
        <v>15.8809</v>
      </c>
      <c r="D135" s="24">
        <v>15.928900000000001</v>
      </c>
      <c r="E135" s="21"/>
      <c r="F135" s="51"/>
      <c r="G135" s="25"/>
    </row>
    <row r="136" spans="1:7" ht="29.1" customHeight="1" x14ac:dyDescent="0.2">
      <c r="A136" s="21"/>
      <c r="B136" s="10" t="s">
        <v>469</v>
      </c>
      <c r="C136" s="24">
        <v>10.102499999999999</v>
      </c>
      <c r="D136" s="24">
        <v>10.102499999999999</v>
      </c>
      <c r="E136" s="21"/>
      <c r="F136" s="51"/>
      <c r="G136" s="25"/>
    </row>
    <row r="137" spans="1:7" ht="29.1" customHeight="1" x14ac:dyDescent="0.2">
      <c r="A137" s="21"/>
      <c r="B137" s="10" t="s">
        <v>456</v>
      </c>
      <c r="C137" s="24">
        <v>12.0695</v>
      </c>
      <c r="D137" s="24">
        <v>12.067299999999999</v>
      </c>
      <c r="E137" s="21"/>
      <c r="F137" s="51"/>
      <c r="G137" s="25"/>
    </row>
    <row r="138" spans="1:7" ht="29.1" customHeight="1" x14ac:dyDescent="0.2">
      <c r="A138" s="21"/>
      <c r="B138" s="10" t="s">
        <v>457</v>
      </c>
      <c r="C138" s="24">
        <v>26.366900000000001</v>
      </c>
      <c r="D138" s="24">
        <v>26.362100000000002</v>
      </c>
      <c r="E138" s="21"/>
      <c r="F138" s="51"/>
      <c r="G138" s="25"/>
    </row>
    <row r="139" spans="1:7" ht="29.1" customHeight="1" x14ac:dyDescent="0.2">
      <c r="A139" s="21"/>
      <c r="B139" s="10" t="s">
        <v>458</v>
      </c>
      <c r="C139" s="24">
        <v>10.788500000000001</v>
      </c>
      <c r="D139" s="24">
        <v>10.790699999999999</v>
      </c>
      <c r="E139" s="21"/>
      <c r="F139" s="51"/>
      <c r="G139" s="25"/>
    </row>
    <row r="140" spans="1:7" ht="29.1" customHeight="1" x14ac:dyDescent="0.2">
      <c r="A140" s="21"/>
      <c r="B140" s="10" t="s">
        <v>459</v>
      </c>
      <c r="C140" s="24">
        <v>40.375500000000002</v>
      </c>
      <c r="D140" s="24">
        <v>40.4223</v>
      </c>
      <c r="E140" s="21"/>
      <c r="F140" s="51"/>
      <c r="G140" s="25"/>
    </row>
    <row r="141" spans="1:7" ht="17.100000000000001" customHeight="1" x14ac:dyDescent="0.2">
      <c r="A141" s="21"/>
      <c r="B141" s="10" t="s">
        <v>237</v>
      </c>
      <c r="C141" s="24">
        <v>41.180199999999999</v>
      </c>
      <c r="D141" s="24">
        <v>41.300699999999999</v>
      </c>
      <c r="E141" s="21"/>
      <c r="F141" s="51"/>
      <c r="G141" s="25"/>
    </row>
    <row r="142" spans="1:7" ht="17.100000000000001" customHeight="1" x14ac:dyDescent="0.2">
      <c r="A142" s="21"/>
      <c r="B142" s="10" t="s">
        <v>476</v>
      </c>
      <c r="C142" s="24">
        <v>12.5101</v>
      </c>
      <c r="D142" s="24">
        <v>12.4716</v>
      </c>
      <c r="E142" s="21"/>
      <c r="F142" s="51"/>
      <c r="G142" s="25"/>
    </row>
    <row r="143" spans="1:7" ht="29.1" customHeight="1" x14ac:dyDescent="0.2">
      <c r="A143" s="21"/>
      <c r="B143" s="10" t="s">
        <v>473</v>
      </c>
      <c r="C143" s="24">
        <v>10.0953</v>
      </c>
      <c r="D143" s="24">
        <v>10.0953</v>
      </c>
      <c r="E143" s="21"/>
      <c r="F143" s="51"/>
      <c r="G143" s="25"/>
    </row>
    <row r="144" spans="1:7" ht="29.1" customHeight="1" x14ac:dyDescent="0.2">
      <c r="A144" s="21"/>
      <c r="B144" s="10" t="s">
        <v>474</v>
      </c>
      <c r="C144" s="24">
        <v>12</v>
      </c>
      <c r="D144" s="24">
        <v>11.9979</v>
      </c>
      <c r="E144" s="21"/>
      <c r="F144" s="51"/>
      <c r="G144" s="25"/>
    </row>
    <row r="145" spans="1:15" ht="29.1" customHeight="1" x14ac:dyDescent="0.2">
      <c r="A145" s="21"/>
      <c r="B145" s="10" t="s">
        <v>475</v>
      </c>
      <c r="C145" s="24">
        <v>11.138400000000001</v>
      </c>
      <c r="D145" s="24">
        <v>11.1363</v>
      </c>
      <c r="E145" s="21"/>
      <c r="F145" s="51"/>
      <c r="G145" s="25"/>
    </row>
    <row r="146" spans="1:15" ht="29.1" customHeight="1" x14ac:dyDescent="0.2">
      <c r="A146" s="21"/>
      <c r="B146" s="10" t="s">
        <v>470</v>
      </c>
      <c r="C146" s="24">
        <v>10.2889</v>
      </c>
      <c r="D146" s="24">
        <v>10.291</v>
      </c>
      <c r="E146" s="21"/>
      <c r="F146" s="51"/>
      <c r="G146" s="25"/>
    </row>
    <row r="147" spans="1:15" ht="29.1" customHeight="1" x14ac:dyDescent="0.2">
      <c r="A147" s="21"/>
      <c r="B147" s="10" t="s">
        <v>477</v>
      </c>
      <c r="C147" s="24">
        <v>10.0953</v>
      </c>
      <c r="D147" s="24">
        <v>10.0953</v>
      </c>
      <c r="E147" s="21"/>
      <c r="F147" s="51"/>
      <c r="G147" s="25"/>
    </row>
    <row r="148" spans="1:15" ht="17.100000000000001" customHeight="1" x14ac:dyDescent="0.2">
      <c r="A148" s="21"/>
      <c r="B148" s="10" t="s">
        <v>93</v>
      </c>
      <c r="C148" s="24">
        <v>44.064</v>
      </c>
      <c r="D148" s="24">
        <v>44.192900000000002</v>
      </c>
      <c r="E148" s="21"/>
      <c r="F148" s="51"/>
      <c r="G148" s="25"/>
    </row>
    <row r="149" spans="1:15" ht="17.100000000000001" customHeight="1" x14ac:dyDescent="0.2">
      <c r="A149" s="21"/>
      <c r="B149" s="10" t="s">
        <v>94</v>
      </c>
      <c r="C149" s="24">
        <v>15.750999999999999</v>
      </c>
      <c r="D149" s="24">
        <v>15.7971</v>
      </c>
      <c r="E149" s="21"/>
      <c r="F149" s="51"/>
      <c r="G149" s="25"/>
    </row>
    <row r="150" spans="1:15" ht="29.1" customHeight="1" x14ac:dyDescent="0.2">
      <c r="A150" s="21"/>
      <c r="B150" s="10" t="s">
        <v>471</v>
      </c>
      <c r="C150" s="24">
        <v>10.0953</v>
      </c>
      <c r="D150" s="24">
        <v>10.0953</v>
      </c>
      <c r="E150" s="21"/>
      <c r="F150" s="51"/>
      <c r="G150" s="25"/>
    </row>
    <row r="151" spans="1:15" ht="29.1" customHeight="1" x14ac:dyDescent="0.2">
      <c r="A151" s="21"/>
      <c r="B151" s="10" t="s">
        <v>462</v>
      </c>
      <c r="C151" s="24">
        <v>12.0449</v>
      </c>
      <c r="D151" s="24">
        <v>12.0428</v>
      </c>
      <c r="E151" s="21"/>
      <c r="F151" s="51"/>
      <c r="G151" s="25"/>
    </row>
    <row r="152" spans="1:15" ht="29.1" customHeight="1" x14ac:dyDescent="0.2">
      <c r="A152" s="21"/>
      <c r="B152" s="10" t="s">
        <v>463</v>
      </c>
      <c r="C152" s="24">
        <v>11.1534</v>
      </c>
      <c r="D152" s="24">
        <v>11.1515</v>
      </c>
      <c r="E152" s="21"/>
      <c r="F152" s="51"/>
      <c r="G152" s="25"/>
      <c r="I152"/>
      <c r="J152"/>
      <c r="K152"/>
      <c r="L152"/>
      <c r="M152"/>
      <c r="N152"/>
      <c r="O152"/>
    </row>
    <row r="153" spans="1:15" ht="29.1" customHeight="1" x14ac:dyDescent="0.2">
      <c r="A153" s="21"/>
      <c r="B153" s="10" t="s">
        <v>464</v>
      </c>
      <c r="C153" s="24">
        <v>10.645</v>
      </c>
      <c r="D153" s="24">
        <v>10.6471</v>
      </c>
      <c r="E153" s="21"/>
      <c r="F153" s="51"/>
      <c r="G153" s="25"/>
    </row>
    <row r="154" spans="1:15" ht="29.1" customHeight="1" x14ac:dyDescent="0.2">
      <c r="A154" s="21"/>
      <c r="B154" s="10" t="s">
        <v>465</v>
      </c>
      <c r="C154" s="24">
        <v>40.136699999999998</v>
      </c>
      <c r="D154" s="24">
        <v>40.179200000000002</v>
      </c>
      <c r="E154" s="21"/>
      <c r="F154" s="51"/>
      <c r="G154" s="25"/>
    </row>
    <row r="155" spans="1:15" ht="41.1" customHeight="1" x14ac:dyDescent="0.2">
      <c r="A155" s="21"/>
      <c r="B155" s="39" t="s">
        <v>320</v>
      </c>
      <c r="C155" s="24">
        <v>10</v>
      </c>
      <c r="D155" s="24">
        <v>10</v>
      </c>
      <c r="E155" s="21"/>
      <c r="F155" s="51"/>
      <c r="G155" s="25"/>
    </row>
    <row r="156" spans="1:15" ht="41.1" customHeight="1" x14ac:dyDescent="0.2">
      <c r="A156" s="21"/>
      <c r="B156" s="39" t="s">
        <v>321</v>
      </c>
      <c r="C156" s="24">
        <v>13.159599999999999</v>
      </c>
      <c r="D156" s="24">
        <v>13.199299999999999</v>
      </c>
      <c r="E156" s="21"/>
      <c r="F156" s="51"/>
      <c r="G156" s="25"/>
    </row>
    <row r="157" spans="1:15" ht="41.1" customHeight="1" x14ac:dyDescent="0.2">
      <c r="A157" s="21"/>
      <c r="B157" s="10" t="s">
        <v>322</v>
      </c>
      <c r="C157" s="24">
        <v>13.1699</v>
      </c>
      <c r="D157" s="24">
        <v>13.2096</v>
      </c>
      <c r="E157" s="21"/>
      <c r="F157" s="51"/>
      <c r="G157" s="25"/>
    </row>
    <row r="158" spans="1:15" ht="41.1" customHeight="1" x14ac:dyDescent="0.2">
      <c r="A158" s="21"/>
      <c r="B158" s="10" t="s">
        <v>323</v>
      </c>
      <c r="C158" s="24">
        <v>10</v>
      </c>
      <c r="D158" s="24">
        <v>10</v>
      </c>
      <c r="E158" s="21"/>
      <c r="F158" s="51"/>
      <c r="G158" s="25"/>
    </row>
    <row r="159" spans="1:15" ht="14.1" customHeight="1" x14ac:dyDescent="0.2">
      <c r="A159" s="21"/>
      <c r="B159" s="21"/>
      <c r="C159" s="21"/>
      <c r="D159" s="21"/>
      <c r="E159" s="21"/>
      <c r="F159" s="21"/>
      <c r="G159" s="21"/>
    </row>
    <row r="160" spans="1:15" ht="14.1" customHeight="1" x14ac:dyDescent="0.2">
      <c r="A160" s="21"/>
      <c r="B160" s="52"/>
      <c r="C160" s="52"/>
      <c r="D160" s="30"/>
      <c r="E160" s="21"/>
      <c r="F160" s="51"/>
      <c r="G160" s="25"/>
    </row>
    <row r="161" spans="1:7" ht="17.100000000000001" customHeight="1" x14ac:dyDescent="0.2">
      <c r="A161" s="21"/>
      <c r="B161" s="149" t="s">
        <v>628</v>
      </c>
      <c r="C161" s="159"/>
      <c r="D161" s="150"/>
      <c r="E161" s="21"/>
      <c r="F161" s="21"/>
      <c r="G161" s="21"/>
    </row>
    <row r="162" spans="1:7" ht="18" customHeight="1" x14ac:dyDescent="0.2">
      <c r="A162" s="21"/>
      <c r="B162" s="26" t="s">
        <v>89</v>
      </c>
      <c r="C162" s="27" t="s">
        <v>95</v>
      </c>
      <c r="D162" s="27" t="s">
        <v>96</v>
      </c>
      <c r="E162" s="21"/>
      <c r="F162" s="21"/>
      <c r="G162" s="21"/>
    </row>
    <row r="163" spans="1:7" ht="29.1" customHeight="1" x14ac:dyDescent="0.2">
      <c r="A163" s="21"/>
      <c r="B163" s="10" t="s">
        <v>469</v>
      </c>
      <c r="C163" s="117">
        <v>2.8220962000000003</v>
      </c>
      <c r="D163" s="117">
        <v>2.8220962000000003</v>
      </c>
      <c r="E163" s="21"/>
      <c r="F163" s="114"/>
      <c r="G163" s="25"/>
    </row>
    <row r="164" spans="1:7" ht="29.1" customHeight="1" x14ac:dyDescent="0.2">
      <c r="A164" s="21"/>
      <c r="B164" s="10" t="s">
        <v>458</v>
      </c>
      <c r="C164" s="117">
        <v>2.7663000000000002</v>
      </c>
      <c r="D164" s="117">
        <v>2.7663000000000002</v>
      </c>
      <c r="E164" s="21"/>
      <c r="F164" s="114"/>
      <c r="G164" s="25"/>
    </row>
    <row r="165" spans="1:7" ht="29.1" customHeight="1" x14ac:dyDescent="0.2">
      <c r="A165" s="21"/>
      <c r="B165" s="10" t="s">
        <v>456</v>
      </c>
      <c r="C165" s="117">
        <v>3.1958498500000001</v>
      </c>
      <c r="D165" s="117">
        <v>3.1958498500000001</v>
      </c>
      <c r="E165" s="21"/>
      <c r="F165" s="114"/>
      <c r="G165" s="25"/>
    </row>
    <row r="166" spans="1:7" ht="29.1" customHeight="1" x14ac:dyDescent="0.2">
      <c r="A166" s="21"/>
      <c r="B166" s="10" t="s">
        <v>471</v>
      </c>
      <c r="C166" s="117">
        <v>2.7569517999999995</v>
      </c>
      <c r="D166" s="117">
        <v>2.7569517999999995</v>
      </c>
      <c r="E166" s="21"/>
      <c r="F166" s="114"/>
      <c r="G166" s="25"/>
    </row>
    <row r="167" spans="1:7" ht="29.1" customHeight="1" x14ac:dyDescent="0.2">
      <c r="A167" s="21"/>
      <c r="B167" s="10" t="s">
        <v>464</v>
      </c>
      <c r="C167" s="117">
        <v>2.6890000000000001</v>
      </c>
      <c r="D167" s="117">
        <v>2.6890000000000001</v>
      </c>
      <c r="E167" s="21"/>
      <c r="F167" s="114"/>
      <c r="G167" s="25"/>
    </row>
    <row r="168" spans="1:7" ht="29.1" customHeight="1" x14ac:dyDescent="0.2">
      <c r="A168" s="21"/>
      <c r="B168" s="10" t="s">
        <v>462</v>
      </c>
      <c r="C168" s="117">
        <v>3.10939385</v>
      </c>
      <c r="D168" s="117">
        <v>3.10939385</v>
      </c>
      <c r="E168" s="21"/>
      <c r="F168" s="114"/>
      <c r="G168" s="25"/>
    </row>
    <row r="169" spans="1:7" ht="17.100000000000001" customHeight="1" x14ac:dyDescent="0.2">
      <c r="A169" s="21"/>
      <c r="B169" s="149" t="s">
        <v>621</v>
      </c>
      <c r="C169" s="159"/>
      <c r="D169" s="150"/>
      <c r="E169" s="21"/>
      <c r="F169" s="21"/>
      <c r="G169" s="21"/>
    </row>
    <row r="170" spans="1:7" ht="18" customHeight="1" x14ac:dyDescent="0.2">
      <c r="A170" s="21"/>
      <c r="B170" s="26" t="s">
        <v>89</v>
      </c>
      <c r="C170" s="27" t="s">
        <v>95</v>
      </c>
      <c r="D170" s="27" t="s">
        <v>96</v>
      </c>
      <c r="E170" s="21"/>
      <c r="F170" s="21"/>
      <c r="G170" s="21"/>
    </row>
    <row r="171" spans="1:7" ht="29.1" customHeight="1" x14ac:dyDescent="0.2">
      <c r="A171" s="21"/>
      <c r="B171" s="10" t="s">
        <v>469</v>
      </c>
      <c r="C171" s="28">
        <v>3.0453999999999998E-2</v>
      </c>
      <c r="D171" s="28">
        <v>3.0453999999999998E-2</v>
      </c>
      <c r="E171" s="21"/>
      <c r="F171" s="51"/>
      <c r="G171" s="25"/>
    </row>
    <row r="172" spans="1:7" ht="29.1" customHeight="1" x14ac:dyDescent="0.2">
      <c r="A172" s="21"/>
      <c r="B172" s="10" t="s">
        <v>456</v>
      </c>
      <c r="C172" s="28">
        <v>3.8600000000000002E-2</v>
      </c>
      <c r="D172" s="14" t="s">
        <v>97</v>
      </c>
      <c r="E172" s="21"/>
      <c r="F172" s="51"/>
      <c r="G172" s="25"/>
    </row>
    <row r="173" spans="1:7" ht="29.1" customHeight="1" x14ac:dyDescent="0.2">
      <c r="A173" s="21"/>
      <c r="B173" s="10" t="s">
        <v>457</v>
      </c>
      <c r="C173" s="28">
        <v>8.43E-2</v>
      </c>
      <c r="D173" s="14" t="s">
        <v>97</v>
      </c>
      <c r="E173" s="21"/>
      <c r="F173" s="51"/>
      <c r="G173" s="25"/>
    </row>
    <row r="174" spans="1:7" ht="29.1" customHeight="1" x14ac:dyDescent="0.2">
      <c r="A174" s="21"/>
      <c r="B174" s="10" t="s">
        <v>458</v>
      </c>
      <c r="C174" s="28">
        <v>3.0300000000000001E-2</v>
      </c>
      <c r="D174" s="14" t="s">
        <v>97</v>
      </c>
      <c r="E174" s="21"/>
      <c r="F174" s="51"/>
      <c r="G174" s="25"/>
    </row>
    <row r="175" spans="1:7" ht="29.1" customHeight="1" x14ac:dyDescent="0.2">
      <c r="A175" s="21"/>
      <c r="B175" s="10" t="s">
        <v>459</v>
      </c>
      <c r="C175" s="28">
        <v>0</v>
      </c>
      <c r="D175" s="28">
        <v>7.4999999999999997E-2</v>
      </c>
      <c r="E175" s="21"/>
      <c r="F175" s="51"/>
      <c r="G175" s="25"/>
    </row>
    <row r="176" spans="1:7" ht="17.100000000000001" customHeight="1" x14ac:dyDescent="0.2">
      <c r="A176" s="21"/>
      <c r="B176" s="10" t="s">
        <v>476</v>
      </c>
      <c r="C176" s="28">
        <v>0</v>
      </c>
      <c r="D176" s="28">
        <v>7.4999999999999997E-2</v>
      </c>
      <c r="E176" s="21"/>
      <c r="F176" s="51"/>
      <c r="G176" s="25"/>
    </row>
    <row r="177" spans="1:7" ht="29.1" customHeight="1" x14ac:dyDescent="0.2">
      <c r="A177" s="21"/>
      <c r="B177" s="10" t="s">
        <v>473</v>
      </c>
      <c r="C177" s="28">
        <v>2.9485000000000001E-2</v>
      </c>
      <c r="D177" s="28">
        <v>2.9485000000000001E-2</v>
      </c>
      <c r="E177" s="21"/>
      <c r="F177" s="51"/>
      <c r="G177" s="25"/>
    </row>
    <row r="178" spans="1:7" ht="29.1" customHeight="1" x14ac:dyDescent="0.2">
      <c r="A178" s="21"/>
      <c r="B178" s="10" t="s">
        <v>474</v>
      </c>
      <c r="C178" s="28">
        <v>3.7100000000000001E-2</v>
      </c>
      <c r="D178" s="28">
        <v>3.7100000000000001E-2</v>
      </c>
      <c r="E178" s="21"/>
      <c r="F178" s="51"/>
      <c r="G178" s="25"/>
    </row>
    <row r="179" spans="1:7" ht="29.1" customHeight="1" x14ac:dyDescent="0.2">
      <c r="A179" s="21"/>
      <c r="B179" s="10" t="s">
        <v>475</v>
      </c>
      <c r="C179" s="28">
        <v>3.7699999999999997E-2</v>
      </c>
      <c r="D179" s="14" t="s">
        <v>97</v>
      </c>
      <c r="E179" s="21"/>
      <c r="F179" s="51"/>
      <c r="G179" s="25"/>
    </row>
    <row r="180" spans="1:7" ht="29.1" customHeight="1" x14ac:dyDescent="0.2">
      <c r="A180" s="21"/>
      <c r="B180" s="10" t="s">
        <v>470</v>
      </c>
      <c r="C180" s="28">
        <v>2.8000000000000001E-2</v>
      </c>
      <c r="D180" s="14" t="s">
        <v>97</v>
      </c>
      <c r="E180" s="21"/>
      <c r="F180" s="51"/>
      <c r="G180" s="25"/>
    </row>
    <row r="181" spans="1:7" ht="29.1" customHeight="1" x14ac:dyDescent="0.2">
      <c r="A181" s="21"/>
      <c r="B181" s="10" t="s">
        <v>477</v>
      </c>
      <c r="C181" s="28">
        <v>2.9526E-2</v>
      </c>
      <c r="D181" s="28">
        <v>2.9526E-2</v>
      </c>
      <c r="E181" s="21"/>
      <c r="F181" s="51"/>
      <c r="G181" s="25"/>
    </row>
    <row r="182" spans="1:7" ht="29.1" customHeight="1" x14ac:dyDescent="0.2">
      <c r="A182" s="21"/>
      <c r="B182" s="10" t="s">
        <v>471</v>
      </c>
      <c r="C182" s="28">
        <v>2.9529E-2</v>
      </c>
      <c r="D182" s="28">
        <v>2.9529E-2</v>
      </c>
      <c r="E182" s="21"/>
      <c r="F182" s="51"/>
      <c r="G182" s="25"/>
    </row>
    <row r="183" spans="1:7" ht="29.1" customHeight="1" x14ac:dyDescent="0.2">
      <c r="A183" s="21"/>
      <c r="B183" s="10" t="s">
        <v>462</v>
      </c>
      <c r="C183" s="28">
        <v>3.73E-2</v>
      </c>
      <c r="D183" s="28">
        <v>3.73E-2</v>
      </c>
      <c r="E183" s="21"/>
      <c r="F183" s="51"/>
      <c r="G183" s="25"/>
    </row>
    <row r="184" spans="1:7" ht="29.1" customHeight="1" x14ac:dyDescent="0.2">
      <c r="A184" s="21"/>
      <c r="B184" s="10" t="s">
        <v>463</v>
      </c>
      <c r="C184" s="28">
        <v>3.4500000000000003E-2</v>
      </c>
      <c r="D184" s="14" t="s">
        <v>97</v>
      </c>
      <c r="E184" s="21"/>
      <c r="F184" s="51"/>
      <c r="G184" s="25"/>
    </row>
    <row r="185" spans="1:7" ht="29.1" customHeight="1" x14ac:dyDescent="0.2">
      <c r="A185" s="21"/>
      <c r="B185" s="10" t="s">
        <v>464</v>
      </c>
      <c r="C185" s="28">
        <v>2.9000000000000001E-2</v>
      </c>
      <c r="D185" s="28">
        <v>2.9000000000000001E-2</v>
      </c>
      <c r="E185" s="21"/>
      <c r="F185" s="51"/>
      <c r="G185" s="25"/>
    </row>
    <row r="186" spans="1:7" ht="29.1" customHeight="1" x14ac:dyDescent="0.2">
      <c r="A186" s="21"/>
      <c r="B186" s="10" t="s">
        <v>465</v>
      </c>
      <c r="C186" s="28">
        <v>0</v>
      </c>
      <c r="D186" s="28">
        <v>7.4999999999999997E-2</v>
      </c>
      <c r="E186" s="21"/>
      <c r="F186" s="51"/>
      <c r="G186" s="25"/>
    </row>
    <row r="187" spans="1:7" ht="14.1" customHeight="1" x14ac:dyDescent="0.2">
      <c r="A187" s="21"/>
      <c r="B187" s="114"/>
      <c r="C187" s="114"/>
      <c r="D187" s="21"/>
      <c r="E187" s="21"/>
      <c r="F187" s="21"/>
      <c r="G187" s="21"/>
    </row>
    <row r="188" spans="1:7" x14ac:dyDescent="0.2">
      <c r="A188" s="55"/>
      <c r="B188" s="153" t="s">
        <v>479</v>
      </c>
      <c r="C188" s="153"/>
      <c r="D188" s="153"/>
      <c r="E188" s="153"/>
      <c r="F188" s="153"/>
      <c r="G188" s="55"/>
    </row>
    <row r="189" spans="1:7" ht="14.1" customHeight="1" x14ac:dyDescent="0.2">
      <c r="A189" s="21"/>
      <c r="B189" s="51"/>
      <c r="C189" s="51"/>
      <c r="D189" s="21"/>
      <c r="E189" s="21"/>
      <c r="F189" s="21"/>
      <c r="G189" s="21"/>
    </row>
    <row r="190" spans="1:7" ht="17.100000000000001" customHeight="1" x14ac:dyDescent="0.2">
      <c r="A190" s="21"/>
      <c r="B190" s="169" t="s">
        <v>429</v>
      </c>
      <c r="C190" s="170"/>
      <c r="D190" s="2" t="s">
        <v>84</v>
      </c>
      <c r="E190" s="21"/>
      <c r="F190" s="51"/>
      <c r="G190" s="25"/>
    </row>
    <row r="191" spans="1:7" ht="29.1" customHeight="1" x14ac:dyDescent="0.2">
      <c r="A191" s="21"/>
      <c r="B191" s="169" t="s">
        <v>430</v>
      </c>
      <c r="C191" s="170"/>
      <c r="D191" s="2" t="s">
        <v>84</v>
      </c>
      <c r="E191" s="31"/>
      <c r="F191" s="21"/>
      <c r="G191" s="21"/>
    </row>
    <row r="192" spans="1:7" ht="29.1" customHeight="1" x14ac:dyDescent="0.2">
      <c r="A192" s="21"/>
      <c r="B192" s="169" t="s">
        <v>431</v>
      </c>
      <c r="C192" s="170"/>
      <c r="D192" s="2" t="s">
        <v>84</v>
      </c>
      <c r="E192" s="31"/>
      <c r="F192" s="21"/>
      <c r="G192" s="21"/>
    </row>
    <row r="193" spans="1:7" ht="17.100000000000001" customHeight="1" x14ac:dyDescent="0.2">
      <c r="A193" s="21"/>
      <c r="B193" s="169" t="s">
        <v>432</v>
      </c>
      <c r="C193" s="170"/>
      <c r="D193" s="32">
        <v>5.6730199425054542E-2</v>
      </c>
      <c r="E193" s="31"/>
      <c r="F193" s="21"/>
      <c r="G193" s="21"/>
    </row>
    <row r="194" spans="1:7" ht="17.100000000000001" customHeight="1" x14ac:dyDescent="0.2">
      <c r="A194" s="21"/>
      <c r="B194" s="169" t="s">
        <v>433</v>
      </c>
      <c r="C194" s="170"/>
      <c r="D194" s="32">
        <v>5.6717950822807048E-2</v>
      </c>
      <c r="E194" s="31"/>
      <c r="F194" s="21"/>
      <c r="G194" s="21"/>
    </row>
    <row r="195" spans="1:7" ht="17.100000000000001" customHeight="1" x14ac:dyDescent="0.2">
      <c r="A195" s="21"/>
      <c r="B195" s="169" t="s">
        <v>434</v>
      </c>
      <c r="C195" s="170"/>
      <c r="D195" s="2" t="s">
        <v>84</v>
      </c>
      <c r="E195" s="31"/>
      <c r="F195" s="21"/>
      <c r="G195" s="21"/>
    </row>
    <row r="196" spans="1:7" ht="11.1" customHeight="1" x14ac:dyDescent="0.2">
      <c r="A196" s="33"/>
      <c r="B196" s="33"/>
      <c r="C196" s="33"/>
      <c r="D196" s="33"/>
      <c r="E196" s="33"/>
      <c r="F196" s="33"/>
      <c r="G196" s="33"/>
    </row>
    <row r="197" spans="1:7" x14ac:dyDescent="0.2">
      <c r="B197" s="147" t="s">
        <v>651</v>
      </c>
      <c r="C197" s="141"/>
      <c r="D197" s="141"/>
      <c r="E197" s="142"/>
      <c r="F197" s="143"/>
    </row>
    <row r="198" spans="1:7" ht="38.25" x14ac:dyDescent="0.2">
      <c r="B198" s="144" t="s">
        <v>623</v>
      </c>
      <c r="C198" s="144" t="s">
        <v>622</v>
      </c>
      <c r="D198" s="144" t="s">
        <v>652</v>
      </c>
      <c r="E198" s="144" t="s">
        <v>653</v>
      </c>
      <c r="F198" s="144" t="s">
        <v>624</v>
      </c>
    </row>
    <row r="199" spans="1:7" x14ac:dyDescent="0.2">
      <c r="B199" s="126" t="s">
        <v>626</v>
      </c>
      <c r="C199" s="126" t="s">
        <v>625</v>
      </c>
      <c r="D199" s="145">
        <v>0</v>
      </c>
      <c r="E199" s="146">
        <v>0</v>
      </c>
      <c r="F199" s="129">
        <v>5650</v>
      </c>
    </row>
  </sheetData>
  <sortState xmlns:xlrd2="http://schemas.microsoft.com/office/spreadsheetml/2017/richdata2" ref="A74:H84">
    <sortCondition descending="1" ref="G74:G84"/>
  </sortState>
  <mergeCells count="21">
    <mergeCell ref="A1:H1"/>
    <mergeCell ref="A2:H2"/>
    <mergeCell ref="A3:H3"/>
    <mergeCell ref="B113:D113"/>
    <mergeCell ref="B114:C114"/>
    <mergeCell ref="B109:F109"/>
    <mergeCell ref="B110:F110"/>
    <mergeCell ref="B111:F111"/>
    <mergeCell ref="B195:C195"/>
    <mergeCell ref="B188:F188"/>
    <mergeCell ref="B190:C190"/>
    <mergeCell ref="B191:C191"/>
    <mergeCell ref="B192:C192"/>
    <mergeCell ref="J2:N2"/>
    <mergeCell ref="B161:D161"/>
    <mergeCell ref="B169:D169"/>
    <mergeCell ref="B193:C193"/>
    <mergeCell ref="B194:C194"/>
    <mergeCell ref="B131:D131"/>
    <mergeCell ref="B115:C115"/>
    <mergeCell ref="B116:D116"/>
  </mergeCells>
  <pageMargins left="5.000000074505806E-2" right="5.000000074505806E-2" top="0.30000001192092896" bottom="0.20000000298023224" header="0" footer="0"/>
  <pageSetup paperSize="9"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92"/>
  <sheetViews>
    <sheetView showGridLines="0" workbookViewId="0">
      <selection sqref="A1:H1"/>
    </sheetView>
  </sheetViews>
  <sheetFormatPr defaultRowHeight="12.75" x14ac:dyDescent="0.2"/>
  <cols>
    <col min="1" max="1" width="6.85546875" customWidth="1"/>
    <col min="2" max="2" width="23.7109375" customWidth="1"/>
    <col min="3" max="3" width="34.28515625" customWidth="1"/>
    <col min="4" max="4" width="17.85546875" customWidth="1"/>
    <col min="5" max="6" width="19.140625" customWidth="1"/>
    <col min="7" max="7" width="16.42578125" customWidth="1"/>
    <col min="8" max="8" width="9.140625" customWidth="1"/>
    <col min="9" max="15" width="9.140625" style="57"/>
  </cols>
  <sheetData>
    <row r="1" spans="1:15" ht="15" x14ac:dyDescent="0.2">
      <c r="A1" s="152" t="s">
        <v>0</v>
      </c>
      <c r="B1" s="152"/>
      <c r="C1" s="152"/>
      <c r="D1" s="152"/>
      <c r="E1" s="152"/>
      <c r="F1" s="152"/>
      <c r="G1" s="152"/>
      <c r="H1" s="152"/>
    </row>
    <row r="2" spans="1:15" ht="15" customHeight="1" x14ac:dyDescent="0.2">
      <c r="A2" s="167" t="s">
        <v>629</v>
      </c>
      <c r="B2" s="167"/>
      <c r="C2" s="167"/>
      <c r="D2" s="167"/>
      <c r="E2" s="167"/>
      <c r="F2" s="167"/>
      <c r="G2" s="167"/>
      <c r="H2" s="167"/>
      <c r="J2" s="148" t="s">
        <v>631</v>
      </c>
      <c r="K2" s="148"/>
      <c r="L2" s="148"/>
      <c r="M2" s="148"/>
      <c r="N2" s="148"/>
    </row>
    <row r="3" spans="1:15" ht="15" x14ac:dyDescent="0.2">
      <c r="A3" s="152" t="s">
        <v>480</v>
      </c>
      <c r="B3" s="152"/>
      <c r="C3" s="152"/>
      <c r="D3" s="152"/>
      <c r="E3" s="152"/>
      <c r="F3" s="152"/>
      <c r="G3" s="152"/>
      <c r="H3" s="152"/>
    </row>
    <row r="4" spans="1:15" s="59" customFormat="1" ht="30" x14ac:dyDescent="0.2">
      <c r="A4" s="58" t="s">
        <v>1</v>
      </c>
      <c r="B4" s="58" t="s">
        <v>2</v>
      </c>
      <c r="C4" s="58" t="s">
        <v>3</v>
      </c>
      <c r="D4" s="58" t="s">
        <v>4</v>
      </c>
      <c r="E4" s="58" t="s">
        <v>5</v>
      </c>
      <c r="F4" s="58" t="s">
        <v>6</v>
      </c>
      <c r="G4" s="58" t="s">
        <v>7</v>
      </c>
      <c r="H4" s="49" t="s">
        <v>452</v>
      </c>
      <c r="I4" s="135"/>
      <c r="J4" s="135"/>
      <c r="K4" s="135"/>
      <c r="L4" s="135"/>
      <c r="M4" s="135"/>
      <c r="N4" s="135"/>
      <c r="O4" s="135"/>
    </row>
    <row r="5" spans="1:15" x14ac:dyDescent="0.2">
      <c r="A5" s="1"/>
      <c r="B5" s="1"/>
      <c r="C5" s="2" t="s">
        <v>8</v>
      </c>
      <c r="D5" s="1"/>
      <c r="E5" s="1"/>
      <c r="F5" s="1"/>
      <c r="G5" s="1"/>
      <c r="H5" s="50"/>
    </row>
    <row r="6" spans="1:15" ht="25.5" x14ac:dyDescent="0.2">
      <c r="A6" s="1"/>
      <c r="B6" s="1"/>
      <c r="C6" s="2" t="s">
        <v>9</v>
      </c>
      <c r="D6" s="1"/>
      <c r="E6" s="1"/>
      <c r="F6" s="1"/>
      <c r="G6" s="1"/>
      <c r="H6" s="50"/>
    </row>
    <row r="7" spans="1:15" x14ac:dyDescent="0.2">
      <c r="A7" s="1"/>
      <c r="B7" s="1"/>
      <c r="C7" s="2" t="s">
        <v>10</v>
      </c>
      <c r="D7" s="1"/>
      <c r="E7" s="1" t="s">
        <v>11</v>
      </c>
      <c r="F7" s="3">
        <v>0</v>
      </c>
      <c r="G7" s="4">
        <v>0</v>
      </c>
      <c r="H7" s="50"/>
    </row>
    <row r="8" spans="1:15" x14ac:dyDescent="0.2">
      <c r="A8" s="1"/>
      <c r="B8" s="1"/>
      <c r="C8" s="5"/>
      <c r="D8" s="1"/>
      <c r="E8" s="1"/>
      <c r="F8" s="6"/>
      <c r="G8" s="6"/>
      <c r="H8" s="50"/>
    </row>
    <row r="9" spans="1:15" x14ac:dyDescent="0.2">
      <c r="A9" s="1"/>
      <c r="B9" s="1"/>
      <c r="C9" s="2" t="s">
        <v>12</v>
      </c>
      <c r="D9" s="1"/>
      <c r="E9" s="1"/>
      <c r="F9" s="1"/>
      <c r="G9" s="1"/>
      <c r="H9" s="50"/>
    </row>
    <row r="10" spans="1:15" x14ac:dyDescent="0.2">
      <c r="A10" s="1"/>
      <c r="B10" s="1"/>
      <c r="C10" s="2" t="s">
        <v>10</v>
      </c>
      <c r="D10" s="1"/>
      <c r="E10" s="1" t="s">
        <v>11</v>
      </c>
      <c r="F10" s="3">
        <v>0</v>
      </c>
      <c r="G10" s="4">
        <v>0</v>
      </c>
      <c r="H10" s="50"/>
    </row>
    <row r="11" spans="1:15" x14ac:dyDescent="0.2">
      <c r="A11" s="1"/>
      <c r="B11" s="1"/>
      <c r="C11" s="5"/>
      <c r="D11" s="1"/>
      <c r="E11" s="1"/>
      <c r="F11" s="6"/>
      <c r="G11" s="6"/>
      <c r="H11" s="50"/>
    </row>
    <row r="12" spans="1:15" x14ac:dyDescent="0.2">
      <c r="A12" s="1"/>
      <c r="B12" s="1"/>
      <c r="C12" s="2" t="s">
        <v>13</v>
      </c>
      <c r="D12" s="1"/>
      <c r="E12" s="1"/>
      <c r="F12" s="1"/>
      <c r="G12" s="1"/>
      <c r="H12" s="50"/>
    </row>
    <row r="13" spans="1:15" x14ac:dyDescent="0.2">
      <c r="A13" s="1"/>
      <c r="B13" s="1"/>
      <c r="C13" s="2" t="s">
        <v>10</v>
      </c>
      <c r="D13" s="1"/>
      <c r="E13" s="1" t="s">
        <v>11</v>
      </c>
      <c r="F13" s="3">
        <v>0</v>
      </c>
      <c r="G13" s="4">
        <v>0</v>
      </c>
      <c r="H13" s="50"/>
    </row>
    <row r="14" spans="1:15" x14ac:dyDescent="0.2">
      <c r="A14" s="1"/>
      <c r="B14" s="1"/>
      <c r="C14" s="5"/>
      <c r="D14" s="1"/>
      <c r="E14" s="1"/>
      <c r="F14" s="6"/>
      <c r="G14" s="6"/>
      <c r="H14" s="50"/>
    </row>
    <row r="15" spans="1:15" x14ac:dyDescent="0.2">
      <c r="A15" s="1"/>
      <c r="B15" s="1"/>
      <c r="C15" s="2" t="s">
        <v>14</v>
      </c>
      <c r="D15" s="1"/>
      <c r="E15" s="1"/>
      <c r="F15" s="1"/>
      <c r="G15" s="1"/>
      <c r="H15" s="50"/>
    </row>
    <row r="16" spans="1:15" ht="15" x14ac:dyDescent="0.25">
      <c r="A16" s="1"/>
      <c r="B16" s="1"/>
      <c r="C16" s="2" t="s">
        <v>10</v>
      </c>
      <c r="D16" s="1"/>
      <c r="E16" s="1" t="s">
        <v>11</v>
      </c>
      <c r="F16" s="3">
        <v>0</v>
      </c>
      <c r="G16" s="4">
        <v>0</v>
      </c>
      <c r="H16" s="50"/>
      <c r="J16" s="137" t="s">
        <v>647</v>
      </c>
      <c r="K16" s="139"/>
      <c r="L16" s="139"/>
      <c r="M16" s="139"/>
      <c r="N16" s="139"/>
      <c r="O16" s="139"/>
    </row>
    <row r="17" spans="1:10" x14ac:dyDescent="0.2">
      <c r="A17" s="1"/>
      <c r="B17" s="1"/>
      <c r="C17" s="5"/>
      <c r="D17" s="1"/>
      <c r="E17" s="1"/>
      <c r="F17" s="6"/>
      <c r="G17" s="6"/>
      <c r="H17" s="50"/>
    </row>
    <row r="18" spans="1:10" x14ac:dyDescent="0.2">
      <c r="A18" s="1"/>
      <c r="B18" s="1"/>
      <c r="C18" s="2" t="s">
        <v>15</v>
      </c>
      <c r="D18" s="1"/>
      <c r="E18" s="1"/>
      <c r="F18" s="6"/>
      <c r="G18" s="6"/>
      <c r="H18" s="50"/>
    </row>
    <row r="19" spans="1:10" x14ac:dyDescent="0.2">
      <c r="A19" s="1"/>
      <c r="B19" s="1"/>
      <c r="C19" s="2" t="s">
        <v>10</v>
      </c>
      <c r="D19" s="1"/>
      <c r="E19" s="1" t="s">
        <v>11</v>
      </c>
      <c r="F19" s="3">
        <v>0</v>
      </c>
      <c r="G19" s="4">
        <v>0</v>
      </c>
      <c r="H19" s="50"/>
    </row>
    <row r="20" spans="1:10" x14ac:dyDescent="0.2">
      <c r="A20" s="1"/>
      <c r="B20" s="1"/>
      <c r="C20" s="5"/>
      <c r="D20" s="1"/>
      <c r="E20" s="1"/>
      <c r="F20" s="6"/>
      <c r="G20" s="6"/>
      <c r="H20" s="50"/>
    </row>
    <row r="21" spans="1:10" x14ac:dyDescent="0.2">
      <c r="A21" s="1"/>
      <c r="B21" s="1"/>
      <c r="C21" s="2" t="s">
        <v>16</v>
      </c>
      <c r="D21" s="1"/>
      <c r="E21" s="1"/>
      <c r="F21" s="6"/>
      <c r="G21" s="6"/>
      <c r="H21" s="50"/>
    </row>
    <row r="22" spans="1:10" x14ac:dyDescent="0.2">
      <c r="A22" s="1"/>
      <c r="B22" s="1"/>
      <c r="C22" s="2" t="s">
        <v>10</v>
      </c>
      <c r="D22" s="1"/>
      <c r="E22" s="1" t="s">
        <v>11</v>
      </c>
      <c r="F22" s="3">
        <v>0</v>
      </c>
      <c r="G22" s="4">
        <v>0</v>
      </c>
      <c r="H22" s="50"/>
    </row>
    <row r="23" spans="1:10" x14ac:dyDescent="0.2">
      <c r="A23" s="1"/>
      <c r="B23" s="1"/>
      <c r="C23" s="5"/>
      <c r="D23" s="1"/>
      <c r="E23" s="1"/>
      <c r="F23" s="6"/>
      <c r="G23" s="6"/>
      <c r="H23" s="50"/>
    </row>
    <row r="24" spans="1:10" x14ac:dyDescent="0.2">
      <c r="A24" s="1"/>
      <c r="B24" s="1"/>
      <c r="C24" s="2" t="s">
        <v>17</v>
      </c>
      <c r="D24" s="1"/>
      <c r="E24" s="1"/>
      <c r="F24" s="7">
        <v>0</v>
      </c>
      <c r="G24" s="8">
        <v>0</v>
      </c>
      <c r="H24" s="50"/>
    </row>
    <row r="25" spans="1:10" x14ac:dyDescent="0.2">
      <c r="A25" s="1"/>
      <c r="B25" s="1"/>
      <c r="C25" s="5"/>
      <c r="D25" s="1"/>
      <c r="E25" s="1"/>
      <c r="F25" s="6"/>
      <c r="G25" s="6"/>
      <c r="H25" s="50"/>
    </row>
    <row r="26" spans="1:10" x14ac:dyDescent="0.2">
      <c r="A26" s="1"/>
      <c r="B26" s="1"/>
      <c r="C26" s="2" t="s">
        <v>18</v>
      </c>
      <c r="D26" s="1"/>
      <c r="E26" s="1"/>
      <c r="F26" s="6"/>
      <c r="G26" s="6"/>
      <c r="H26" s="50"/>
    </row>
    <row r="27" spans="1:10" ht="25.5" x14ac:dyDescent="0.2">
      <c r="A27" s="1"/>
      <c r="B27" s="1"/>
      <c r="C27" s="2" t="s">
        <v>9</v>
      </c>
      <c r="D27" s="1"/>
      <c r="E27" s="1"/>
      <c r="F27" s="6"/>
      <c r="G27" s="6"/>
      <c r="H27" s="50"/>
    </row>
    <row r="28" spans="1:10" ht="25.5" x14ac:dyDescent="0.2">
      <c r="A28" s="9">
        <v>1</v>
      </c>
      <c r="B28" s="10" t="s">
        <v>19</v>
      </c>
      <c r="C28" s="10" t="s">
        <v>20</v>
      </c>
      <c r="D28" s="10" t="s">
        <v>449</v>
      </c>
      <c r="E28" s="11">
        <v>200</v>
      </c>
      <c r="F28" s="12">
        <v>2000.8119999999999</v>
      </c>
      <c r="G28" s="13">
        <v>4.8829626532340235E-2</v>
      </c>
      <c r="H28" s="50">
        <v>4.4400000000000004</v>
      </c>
    </row>
    <row r="29" spans="1:10" ht="25.5" x14ac:dyDescent="0.25">
      <c r="A29" s="9">
        <v>2</v>
      </c>
      <c r="B29" s="10" t="s">
        <v>21</v>
      </c>
      <c r="C29" s="10" t="s">
        <v>22</v>
      </c>
      <c r="D29" s="10" t="s">
        <v>23</v>
      </c>
      <c r="E29" s="11">
        <v>150</v>
      </c>
      <c r="F29" s="12">
        <v>1565.16</v>
      </c>
      <c r="G29" s="13">
        <v>3.8197580913827807E-2</v>
      </c>
      <c r="H29" s="50">
        <v>5.21</v>
      </c>
      <c r="J29" s="137" t="s">
        <v>637</v>
      </c>
    </row>
    <row r="30" spans="1:10" ht="25.5" x14ac:dyDescent="0.2">
      <c r="A30" s="9">
        <v>3</v>
      </c>
      <c r="B30" s="10" t="s">
        <v>24</v>
      </c>
      <c r="C30" s="10" t="s">
        <v>25</v>
      </c>
      <c r="D30" s="10" t="s">
        <v>23</v>
      </c>
      <c r="E30" s="11">
        <v>150</v>
      </c>
      <c r="F30" s="12">
        <v>1531.9259999999999</v>
      </c>
      <c r="G30" s="13">
        <v>3.7386508305219002E-2</v>
      </c>
      <c r="H30" s="50">
        <v>4.0999999999999996</v>
      </c>
      <c r="J30"/>
    </row>
    <row r="31" spans="1:10" ht="25.5" x14ac:dyDescent="0.2">
      <c r="A31" s="9">
        <v>4</v>
      </c>
      <c r="B31" s="10" t="s">
        <v>26</v>
      </c>
      <c r="C31" s="10" t="s">
        <v>27</v>
      </c>
      <c r="D31" s="10" t="s">
        <v>450</v>
      </c>
      <c r="E31" s="11">
        <v>163476</v>
      </c>
      <c r="F31" s="12">
        <v>1368.25161624</v>
      </c>
      <c r="G31" s="13">
        <v>3.3392050539116175E-2</v>
      </c>
      <c r="H31" s="50">
        <v>10.816700000000001</v>
      </c>
      <c r="J31"/>
    </row>
    <row r="32" spans="1:10" ht="25.5" x14ac:dyDescent="0.2">
      <c r="A32" s="9">
        <v>5</v>
      </c>
      <c r="B32" s="10" t="s">
        <v>28</v>
      </c>
      <c r="C32" s="10" t="s">
        <v>29</v>
      </c>
      <c r="D32" s="10" t="s">
        <v>23</v>
      </c>
      <c r="E32" s="11">
        <v>120</v>
      </c>
      <c r="F32" s="12">
        <v>1200.0408</v>
      </c>
      <c r="G32" s="13">
        <v>2.9286881569868035E-2</v>
      </c>
      <c r="H32" s="50">
        <v>5.6441999999999997</v>
      </c>
      <c r="J32"/>
    </row>
    <row r="33" spans="1:10" ht="25.5" x14ac:dyDescent="0.2">
      <c r="A33" s="9">
        <v>6</v>
      </c>
      <c r="B33" s="10" t="s">
        <v>30</v>
      </c>
      <c r="C33" s="10" t="s">
        <v>31</v>
      </c>
      <c r="D33" s="10" t="s">
        <v>23</v>
      </c>
      <c r="E33" s="11">
        <v>100</v>
      </c>
      <c r="F33" s="12">
        <v>1022.499</v>
      </c>
      <c r="G33" s="13">
        <v>2.4953990829568874E-2</v>
      </c>
      <c r="H33" s="50">
        <v>5</v>
      </c>
      <c r="J33"/>
    </row>
    <row r="34" spans="1:10" ht="25.5" x14ac:dyDescent="0.2">
      <c r="A34" s="9">
        <v>7</v>
      </c>
      <c r="B34" s="10" t="s">
        <v>32</v>
      </c>
      <c r="C34" s="10" t="s">
        <v>33</v>
      </c>
      <c r="D34" s="10" t="s">
        <v>23</v>
      </c>
      <c r="E34" s="11">
        <v>100</v>
      </c>
      <c r="F34" s="12">
        <v>1019.644</v>
      </c>
      <c r="G34" s="13">
        <v>2.4884314826151346E-2</v>
      </c>
      <c r="H34" s="50">
        <v>5.12</v>
      </c>
      <c r="J34"/>
    </row>
    <row r="35" spans="1:10" ht="25.5" x14ac:dyDescent="0.2">
      <c r="A35" s="9">
        <v>8</v>
      </c>
      <c r="B35" s="10" t="s">
        <v>34</v>
      </c>
      <c r="C35" s="10" t="s">
        <v>35</v>
      </c>
      <c r="D35" s="10" t="s">
        <v>449</v>
      </c>
      <c r="E35" s="11">
        <v>100</v>
      </c>
      <c r="F35" s="12">
        <v>1016.597</v>
      </c>
      <c r="G35" s="13">
        <v>2.4809953080997857E-2</v>
      </c>
      <c r="H35" s="50">
        <v>4.29</v>
      </c>
      <c r="J35"/>
    </row>
    <row r="36" spans="1:10" ht="25.5" x14ac:dyDescent="0.2">
      <c r="A36" s="9">
        <v>9</v>
      </c>
      <c r="B36" s="10" t="s">
        <v>36</v>
      </c>
      <c r="C36" s="10" t="s">
        <v>37</v>
      </c>
      <c r="D36" s="10" t="s">
        <v>23</v>
      </c>
      <c r="E36" s="11">
        <v>100</v>
      </c>
      <c r="F36" s="12">
        <v>1015.675</v>
      </c>
      <c r="G36" s="13">
        <v>2.47874517587033E-2</v>
      </c>
      <c r="H36" s="50">
        <v>4.4249999999999998</v>
      </c>
      <c r="J36"/>
    </row>
    <row r="37" spans="1:10" ht="25.5" x14ac:dyDescent="0.2">
      <c r="A37" s="9">
        <v>10</v>
      </c>
      <c r="B37" s="10" t="s">
        <v>38</v>
      </c>
      <c r="C37" s="10" t="s">
        <v>39</v>
      </c>
      <c r="D37" s="10" t="s">
        <v>23</v>
      </c>
      <c r="E37" s="11">
        <v>100</v>
      </c>
      <c r="F37" s="12">
        <v>990.18200000000002</v>
      </c>
      <c r="G37" s="13">
        <v>2.4165297518730255E-2</v>
      </c>
      <c r="H37" s="50">
        <v>5.86</v>
      </c>
    </row>
    <row r="38" spans="1:10" ht="25.5" x14ac:dyDescent="0.2">
      <c r="A38" s="9">
        <v>11</v>
      </c>
      <c r="B38" s="10" t="s">
        <v>40</v>
      </c>
      <c r="C38" s="10" t="s">
        <v>41</v>
      </c>
      <c r="D38" s="10" t="s">
        <v>23</v>
      </c>
      <c r="E38" s="11">
        <v>50</v>
      </c>
      <c r="F38" s="12">
        <v>512.51350000000002</v>
      </c>
      <c r="G38" s="13">
        <v>1.2507843214546174E-2</v>
      </c>
      <c r="H38" s="50">
        <v>5</v>
      </c>
    </row>
    <row r="39" spans="1:10" x14ac:dyDescent="0.2">
      <c r="A39" s="9">
        <v>12</v>
      </c>
      <c r="B39" s="10" t="s">
        <v>42</v>
      </c>
      <c r="C39" s="10" t="s">
        <v>43</v>
      </c>
      <c r="D39" s="10" t="s">
        <v>23</v>
      </c>
      <c r="E39" s="11">
        <v>90</v>
      </c>
      <c r="F39" s="12">
        <v>922.077</v>
      </c>
      <c r="G39" s="13">
        <v>2.2503201472232618E-2</v>
      </c>
      <c r="H39" s="50">
        <v>4.665</v>
      </c>
    </row>
    <row r="40" spans="1:10" ht="25.5" x14ac:dyDescent="0.2">
      <c r="A40" s="9">
        <v>13</v>
      </c>
      <c r="B40" s="10" t="s">
        <v>44</v>
      </c>
      <c r="C40" s="10" t="s">
        <v>45</v>
      </c>
      <c r="D40" s="10" t="s">
        <v>449</v>
      </c>
      <c r="E40" s="11">
        <v>50</v>
      </c>
      <c r="F40" s="12">
        <v>510.45</v>
      </c>
      <c r="G40" s="13">
        <v>1.2457483693337041E-2</v>
      </c>
      <c r="H40" s="50">
        <v>4.9649999999999999</v>
      </c>
    </row>
    <row r="41" spans="1:10" ht="29.1" customHeight="1" x14ac:dyDescent="0.2">
      <c r="A41" s="9">
        <v>14</v>
      </c>
      <c r="B41" s="10" t="s">
        <v>482</v>
      </c>
      <c r="C41" s="10" t="s">
        <v>483</v>
      </c>
      <c r="D41" s="10" t="s">
        <v>23</v>
      </c>
      <c r="E41" s="11">
        <v>50</v>
      </c>
      <c r="F41" s="12">
        <v>522.07100000000003</v>
      </c>
      <c r="G41" s="13">
        <v>1.2741093092886988E-2</v>
      </c>
      <c r="H41" s="50">
        <v>5.3949999999999996</v>
      </c>
    </row>
    <row r="42" spans="1:10" ht="29.1" customHeight="1" x14ac:dyDescent="0.2">
      <c r="A42" s="9">
        <v>15</v>
      </c>
      <c r="B42" s="10" t="s">
        <v>484</v>
      </c>
      <c r="C42" s="10" t="s">
        <v>485</v>
      </c>
      <c r="D42" s="10" t="s">
        <v>23</v>
      </c>
      <c r="E42" s="11">
        <v>50</v>
      </c>
      <c r="F42" s="12">
        <v>519.95950000000005</v>
      </c>
      <c r="G42" s="13">
        <v>1.2689562136243868E-2</v>
      </c>
      <c r="H42" s="50">
        <v>5.9</v>
      </c>
    </row>
    <row r="43" spans="1:10" ht="17.100000000000001" customHeight="1" x14ac:dyDescent="0.2">
      <c r="A43" s="9">
        <v>16</v>
      </c>
      <c r="B43" s="10" t="s">
        <v>486</v>
      </c>
      <c r="C43" s="10" t="s">
        <v>487</v>
      </c>
      <c r="D43" s="10" t="s">
        <v>449</v>
      </c>
      <c r="E43" s="11">
        <v>50</v>
      </c>
      <c r="F43" s="12">
        <v>519.57150000000001</v>
      </c>
      <c r="G43" s="13">
        <v>1.2680093033152448E-2</v>
      </c>
      <c r="H43" s="50">
        <v>5.2</v>
      </c>
    </row>
    <row r="44" spans="1:10" ht="29.1" customHeight="1" x14ac:dyDescent="0.2">
      <c r="A44" s="9">
        <v>17</v>
      </c>
      <c r="B44" s="10" t="s">
        <v>488</v>
      </c>
      <c r="C44" s="10" t="s">
        <v>489</v>
      </c>
      <c r="D44" s="10" t="s">
        <v>23</v>
      </c>
      <c r="E44" s="11">
        <v>50</v>
      </c>
      <c r="F44" s="12">
        <v>515.14250000000004</v>
      </c>
      <c r="G44" s="13">
        <v>1.2572003709462E-2</v>
      </c>
      <c r="H44" s="50">
        <v>5.12</v>
      </c>
    </row>
    <row r="45" spans="1:10" ht="29.1" customHeight="1" x14ac:dyDescent="0.2">
      <c r="A45" s="9">
        <v>18</v>
      </c>
      <c r="B45" s="10" t="s">
        <v>490</v>
      </c>
      <c r="C45" s="10" t="s">
        <v>491</v>
      </c>
      <c r="D45" s="10" t="s">
        <v>23</v>
      </c>
      <c r="E45" s="11">
        <v>50</v>
      </c>
      <c r="F45" s="12">
        <v>511.55200000000002</v>
      </c>
      <c r="G45" s="13">
        <v>1.2484377898509062E-2</v>
      </c>
      <c r="H45" s="50">
        <v>5.2350000000000003</v>
      </c>
    </row>
    <row r="46" spans="1:10" ht="29.1" customHeight="1" x14ac:dyDescent="0.2">
      <c r="A46" s="9">
        <v>19</v>
      </c>
      <c r="B46" s="10" t="s">
        <v>492</v>
      </c>
      <c r="C46" s="10" t="s">
        <v>493</v>
      </c>
      <c r="D46" s="10" t="s">
        <v>23</v>
      </c>
      <c r="E46" s="11">
        <v>50</v>
      </c>
      <c r="F46" s="12">
        <v>509.887</v>
      </c>
      <c r="G46" s="13">
        <v>1.2443743731892535E-2</v>
      </c>
      <c r="H46" s="50">
        <v>4.62</v>
      </c>
    </row>
    <row r="47" spans="1:10" ht="17.100000000000001" customHeight="1" x14ac:dyDescent="0.2">
      <c r="A47" s="9">
        <v>20</v>
      </c>
      <c r="B47" s="10" t="s">
        <v>494</v>
      </c>
      <c r="C47" s="10" t="s">
        <v>495</v>
      </c>
      <c r="D47" s="10" t="s">
        <v>23</v>
      </c>
      <c r="E47" s="11">
        <v>50</v>
      </c>
      <c r="F47" s="12">
        <v>496.053</v>
      </c>
      <c r="G47" s="13">
        <v>1.2106126277854677E-2</v>
      </c>
      <c r="H47" s="50">
        <v>5.68</v>
      </c>
    </row>
    <row r="48" spans="1:10" ht="29.1" customHeight="1" x14ac:dyDescent="0.2">
      <c r="A48" s="9">
        <v>21</v>
      </c>
      <c r="B48" s="10" t="s">
        <v>496</v>
      </c>
      <c r="C48" s="10" t="s">
        <v>497</v>
      </c>
      <c r="D48" s="10" t="s">
        <v>23</v>
      </c>
      <c r="E48" s="11">
        <v>35</v>
      </c>
      <c r="F48" s="12">
        <v>371.60410000000002</v>
      </c>
      <c r="G48" s="13">
        <v>9.0689627115823051E-3</v>
      </c>
      <c r="H48" s="50">
        <v>5.16</v>
      </c>
    </row>
    <row r="49" spans="1:8" ht="17.100000000000001" customHeight="1" x14ac:dyDescent="0.2">
      <c r="A49" s="9">
        <v>22</v>
      </c>
      <c r="B49" s="10" t="s">
        <v>498</v>
      </c>
      <c r="C49" s="10" t="s">
        <v>499</v>
      </c>
      <c r="D49" s="10" t="s">
        <v>23</v>
      </c>
      <c r="E49" s="11">
        <v>10</v>
      </c>
      <c r="F49" s="12">
        <v>104.72799999999999</v>
      </c>
      <c r="G49" s="13">
        <v>2.5558768777271066E-3</v>
      </c>
      <c r="H49" s="50">
        <v>4.7949999999999999</v>
      </c>
    </row>
    <row r="50" spans="1:8" ht="29.1" customHeight="1" x14ac:dyDescent="0.2">
      <c r="A50" s="9">
        <v>23</v>
      </c>
      <c r="B50" s="10" t="s">
        <v>500</v>
      </c>
      <c r="C50" s="10" t="s">
        <v>501</v>
      </c>
      <c r="D50" s="10" t="s">
        <v>23</v>
      </c>
      <c r="E50" s="11">
        <v>10</v>
      </c>
      <c r="F50" s="12">
        <v>103.86799999999999</v>
      </c>
      <c r="G50" s="13">
        <v>2.5348886595347865E-3</v>
      </c>
      <c r="H50" s="50">
        <v>4.7350000000000003</v>
      </c>
    </row>
    <row r="51" spans="1:8" ht="29.1" customHeight="1" x14ac:dyDescent="0.2">
      <c r="A51" s="9">
        <v>24</v>
      </c>
      <c r="B51" s="10" t="s">
        <v>203</v>
      </c>
      <c r="C51" s="10" t="s">
        <v>204</v>
      </c>
      <c r="D51" s="10" t="s">
        <v>23</v>
      </c>
      <c r="E51" s="11">
        <v>10</v>
      </c>
      <c r="F51" s="12">
        <v>100.3874</v>
      </c>
      <c r="G51" s="13">
        <v>2.4499449476275892E-3</v>
      </c>
      <c r="H51" s="50">
        <v>4.6001000000000003</v>
      </c>
    </row>
    <row r="52" spans="1:8" x14ac:dyDescent="0.2">
      <c r="A52" s="1"/>
      <c r="B52" s="1"/>
      <c r="C52" s="2" t="s">
        <v>10</v>
      </c>
      <c r="D52" s="1"/>
      <c r="E52" s="1" t="s">
        <v>11</v>
      </c>
      <c r="F52" s="7">
        <v>18950.651916239996</v>
      </c>
      <c r="G52" s="8">
        <v>0.46248885733111206</v>
      </c>
      <c r="H52" s="50"/>
    </row>
    <row r="53" spans="1:8" x14ac:dyDescent="0.2">
      <c r="A53" s="1"/>
      <c r="B53" s="1"/>
      <c r="C53" s="5"/>
      <c r="D53" s="1"/>
      <c r="E53" s="1"/>
      <c r="F53" s="6"/>
      <c r="G53" s="6"/>
      <c r="H53" s="50"/>
    </row>
    <row r="54" spans="1:8" x14ac:dyDescent="0.2">
      <c r="A54" s="1"/>
      <c r="B54" s="1"/>
      <c r="C54" s="2" t="s">
        <v>46</v>
      </c>
      <c r="D54" s="1"/>
      <c r="E54" s="1"/>
      <c r="F54" s="1"/>
      <c r="G54" s="1"/>
      <c r="H54" s="50"/>
    </row>
    <row r="55" spans="1:8" x14ac:dyDescent="0.2">
      <c r="A55" s="1"/>
      <c r="B55" s="1"/>
      <c r="C55" s="2" t="s">
        <v>10</v>
      </c>
      <c r="D55" s="1"/>
      <c r="E55" s="1" t="s">
        <v>11</v>
      </c>
      <c r="F55" s="3">
        <v>0</v>
      </c>
      <c r="G55" s="4">
        <v>0</v>
      </c>
      <c r="H55" s="50"/>
    </row>
    <row r="56" spans="1:8" x14ac:dyDescent="0.2">
      <c r="A56" s="1"/>
      <c r="B56" s="1"/>
      <c r="C56" s="5"/>
      <c r="D56" s="1"/>
      <c r="E56" s="1"/>
      <c r="F56" s="6"/>
      <c r="G56" s="6"/>
      <c r="H56" s="50"/>
    </row>
    <row r="57" spans="1:8" x14ac:dyDescent="0.2">
      <c r="A57" s="1"/>
      <c r="B57" s="1"/>
      <c r="C57" s="2" t="s">
        <v>47</v>
      </c>
      <c r="D57" s="1"/>
      <c r="E57" s="1"/>
      <c r="F57" s="1"/>
      <c r="G57" s="1"/>
      <c r="H57" s="50"/>
    </row>
    <row r="58" spans="1:8" ht="25.5" x14ac:dyDescent="0.2">
      <c r="A58" s="9">
        <v>1</v>
      </c>
      <c r="B58" s="10" t="s">
        <v>48</v>
      </c>
      <c r="C58" s="10" t="s">
        <v>413</v>
      </c>
      <c r="D58" s="10" t="s">
        <v>49</v>
      </c>
      <c r="E58" s="11">
        <f>2500000+650000</f>
        <v>3150000</v>
      </c>
      <c r="F58" s="12">
        <v>3117.3155999999999</v>
      </c>
      <c r="G58" s="13">
        <v>7.6077790682701887E-2</v>
      </c>
      <c r="H58" s="50">
        <v>5.5532000000000004</v>
      </c>
    </row>
    <row r="59" spans="1:8" ht="25.5" x14ac:dyDescent="0.2">
      <c r="A59" s="9">
        <v>2</v>
      </c>
      <c r="B59" s="10" t="s">
        <v>50</v>
      </c>
      <c r="C59" s="10" t="s">
        <v>417</v>
      </c>
      <c r="D59" s="10" t="s">
        <v>49</v>
      </c>
      <c r="E59" s="11">
        <v>1500000</v>
      </c>
      <c r="F59" s="12">
        <v>1462.3995</v>
      </c>
      <c r="G59" s="13">
        <v>3.5689720686441849E-2</v>
      </c>
      <c r="H59" s="50">
        <v>6.4558999999999997</v>
      </c>
    </row>
    <row r="60" spans="1:8" ht="25.5" x14ac:dyDescent="0.2">
      <c r="A60" s="9">
        <v>3</v>
      </c>
      <c r="B60" s="10" t="s">
        <v>51</v>
      </c>
      <c r="C60" s="10" t="s">
        <v>52</v>
      </c>
      <c r="D60" s="10" t="s">
        <v>49</v>
      </c>
      <c r="E60" s="11">
        <v>750000</v>
      </c>
      <c r="F60" s="12">
        <v>775.23149999999998</v>
      </c>
      <c r="G60" s="13">
        <v>1.8919451013441502E-2</v>
      </c>
      <c r="H60" s="50">
        <v>4.6481000000000003</v>
      </c>
    </row>
    <row r="61" spans="1:8" ht="25.5" x14ac:dyDescent="0.2">
      <c r="A61" s="9">
        <v>4</v>
      </c>
      <c r="B61" s="10" t="s">
        <v>53</v>
      </c>
      <c r="C61" s="10" t="s">
        <v>418</v>
      </c>
      <c r="D61" s="10" t="s">
        <v>49</v>
      </c>
      <c r="E61" s="11">
        <v>750000</v>
      </c>
      <c r="F61" s="12">
        <v>774.07725000000005</v>
      </c>
      <c r="G61" s="13">
        <v>1.8891281651989777E-2</v>
      </c>
      <c r="H61" s="50">
        <v>4.7343999999999999</v>
      </c>
    </row>
    <row r="62" spans="1:8" ht="25.5" x14ac:dyDescent="0.2">
      <c r="A62" s="9">
        <v>5</v>
      </c>
      <c r="B62" s="10" t="s">
        <v>54</v>
      </c>
      <c r="C62" s="10" t="s">
        <v>416</v>
      </c>
      <c r="D62" s="10" t="s">
        <v>49</v>
      </c>
      <c r="E62" s="11">
        <v>500000</v>
      </c>
      <c r="F62" s="12">
        <v>497.31</v>
      </c>
      <c r="G62" s="13">
        <v>1.2136803243282288E-2</v>
      </c>
      <c r="H62" s="50">
        <v>5.8666999999999998</v>
      </c>
    </row>
    <row r="63" spans="1:8" ht="25.5" x14ac:dyDescent="0.2">
      <c r="A63" s="9">
        <v>6</v>
      </c>
      <c r="B63" s="10" t="s">
        <v>230</v>
      </c>
      <c r="C63" s="10" t="s">
        <v>415</v>
      </c>
      <c r="D63" s="10" t="s">
        <v>49</v>
      </c>
      <c r="E63" s="11">
        <v>950000</v>
      </c>
      <c r="F63" s="12">
        <v>943.95989999999995</v>
      </c>
      <c r="G63" s="13">
        <v>2.303725156511718E-2</v>
      </c>
      <c r="H63" s="50">
        <v>5.7972000000000001</v>
      </c>
    </row>
    <row r="64" spans="1:8" ht="25.5" x14ac:dyDescent="0.2">
      <c r="A64" s="9">
        <v>7</v>
      </c>
      <c r="B64" s="10" t="s">
        <v>502</v>
      </c>
      <c r="C64" s="10" t="s">
        <v>503</v>
      </c>
      <c r="D64" s="10" t="s">
        <v>49</v>
      </c>
      <c r="E64" s="11">
        <v>500000</v>
      </c>
      <c r="F64" s="12">
        <v>521.96900000000005</v>
      </c>
      <c r="G64" s="13">
        <v>1.2738603792589761E-2</v>
      </c>
      <c r="H64" s="50">
        <v>5.7972000000000001</v>
      </c>
    </row>
    <row r="65" spans="1:8" ht="25.5" x14ac:dyDescent="0.2">
      <c r="A65" s="9">
        <v>8</v>
      </c>
      <c r="B65" s="10" t="s">
        <v>504</v>
      </c>
      <c r="C65" s="10" t="s">
        <v>505</v>
      </c>
      <c r="D65" s="10" t="s">
        <v>49</v>
      </c>
      <c r="E65" s="11">
        <v>500000</v>
      </c>
      <c r="F65" s="12">
        <v>500.97250000000003</v>
      </c>
      <c r="G65" s="13">
        <v>1.2226186207386211E-2</v>
      </c>
      <c r="H65" s="50">
        <v>6.4066000000000001</v>
      </c>
    </row>
    <row r="66" spans="1:8" ht="25.5" x14ac:dyDescent="0.2">
      <c r="A66" s="9">
        <v>9</v>
      </c>
      <c r="B66" s="10" t="s">
        <v>506</v>
      </c>
      <c r="C66" s="10" t="s">
        <v>511</v>
      </c>
      <c r="D66" s="10" t="s">
        <v>49</v>
      </c>
      <c r="E66" s="11">
        <v>400000</v>
      </c>
      <c r="F66" s="12">
        <v>429.8372</v>
      </c>
      <c r="G66" s="13">
        <v>1.0490135977646494E-2</v>
      </c>
      <c r="H66" s="50">
        <v>5.6965000000000003</v>
      </c>
    </row>
    <row r="67" spans="1:8" ht="25.5" x14ac:dyDescent="0.2">
      <c r="A67" s="9">
        <v>10</v>
      </c>
      <c r="B67" s="10" t="s">
        <v>507</v>
      </c>
      <c r="C67" s="10" t="s">
        <v>508</v>
      </c>
      <c r="D67" s="10" t="s">
        <v>49</v>
      </c>
      <c r="E67" s="11">
        <v>395300</v>
      </c>
      <c r="F67" s="12">
        <v>404.44487020000003</v>
      </c>
      <c r="G67" s="13">
        <v>9.8704385843281749E-3</v>
      </c>
      <c r="H67" s="50">
        <v>4.3674999999999997</v>
      </c>
    </row>
    <row r="68" spans="1:8" ht="25.5" x14ac:dyDescent="0.2">
      <c r="A68" s="9">
        <v>11</v>
      </c>
      <c r="B68" s="10" t="s">
        <v>509</v>
      </c>
      <c r="C68" s="10" t="s">
        <v>510</v>
      </c>
      <c r="D68" s="10" t="s">
        <v>49</v>
      </c>
      <c r="E68" s="11">
        <v>250000</v>
      </c>
      <c r="F68" s="12">
        <v>260.46724999999998</v>
      </c>
      <c r="G68" s="13">
        <v>6.3566784592483929E-3</v>
      </c>
      <c r="H68" s="50">
        <v>5.9295999999999998</v>
      </c>
    </row>
    <row r="69" spans="1:8" ht="25.5" x14ac:dyDescent="0.2">
      <c r="A69" s="9">
        <v>12</v>
      </c>
      <c r="B69" s="10" t="s">
        <v>266</v>
      </c>
      <c r="C69" s="10" t="s">
        <v>419</v>
      </c>
      <c r="D69" s="10" t="s">
        <v>49</v>
      </c>
      <c r="E69" s="11">
        <v>100000</v>
      </c>
      <c r="F69" s="12">
        <v>104.5266</v>
      </c>
      <c r="G69" s="13">
        <v>2.5509617298853241E-3</v>
      </c>
      <c r="H69" s="50">
        <v>4.9935</v>
      </c>
    </row>
    <row r="70" spans="1:8" x14ac:dyDescent="0.2">
      <c r="A70" s="1"/>
      <c r="B70" s="1"/>
      <c r="C70" s="2" t="s">
        <v>10</v>
      </c>
      <c r="D70" s="1"/>
      <c r="E70" s="1" t="s">
        <v>11</v>
      </c>
      <c r="F70" s="7">
        <v>9792.5111701999995</v>
      </c>
      <c r="G70" s="8">
        <v>0.23898530359405887</v>
      </c>
      <c r="H70" s="50"/>
    </row>
    <row r="71" spans="1:8" x14ac:dyDescent="0.2">
      <c r="A71" s="1"/>
      <c r="B71" s="1"/>
      <c r="C71" s="5"/>
      <c r="D71" s="1"/>
      <c r="E71" s="1"/>
      <c r="F71" s="6"/>
      <c r="G71" s="6"/>
      <c r="H71" s="50"/>
    </row>
    <row r="72" spans="1:8" x14ac:dyDescent="0.2">
      <c r="A72" s="1"/>
      <c r="B72" s="1"/>
      <c r="C72" s="2" t="s">
        <v>55</v>
      </c>
      <c r="D72" s="1"/>
      <c r="E72" s="1"/>
      <c r="F72" s="6"/>
      <c r="G72" s="6"/>
      <c r="H72" s="50"/>
    </row>
    <row r="73" spans="1:8" x14ac:dyDescent="0.2">
      <c r="A73" s="1"/>
      <c r="B73" s="1"/>
      <c r="C73" s="2" t="s">
        <v>10</v>
      </c>
      <c r="D73" s="1"/>
      <c r="E73" s="1" t="s">
        <v>11</v>
      </c>
      <c r="F73" s="3">
        <v>0</v>
      </c>
      <c r="G73" s="4">
        <v>0</v>
      </c>
      <c r="H73" s="50"/>
    </row>
    <row r="74" spans="1:8" x14ac:dyDescent="0.2">
      <c r="A74" s="1"/>
      <c r="B74" s="1"/>
      <c r="C74" s="5"/>
      <c r="D74" s="1"/>
      <c r="E74" s="1"/>
      <c r="F74" s="6"/>
      <c r="G74" s="6"/>
      <c r="H74" s="50"/>
    </row>
    <row r="75" spans="1:8" x14ac:dyDescent="0.2">
      <c r="A75" s="1"/>
      <c r="B75" s="1"/>
      <c r="C75" s="2" t="s">
        <v>56</v>
      </c>
      <c r="D75" s="1"/>
      <c r="E75" s="1"/>
      <c r="F75" s="7">
        <v>28743.163086439996</v>
      </c>
      <c r="G75" s="8">
        <v>0.7014741609251709</v>
      </c>
      <c r="H75" s="50"/>
    </row>
    <row r="76" spans="1:8" x14ac:dyDescent="0.2">
      <c r="A76" s="1"/>
      <c r="B76" s="1"/>
      <c r="C76" s="5"/>
      <c r="D76" s="1"/>
      <c r="E76" s="1"/>
      <c r="F76" s="6"/>
      <c r="G76" s="6"/>
      <c r="H76" s="50"/>
    </row>
    <row r="77" spans="1:8" x14ac:dyDescent="0.2">
      <c r="A77" s="1"/>
      <c r="B77" s="1"/>
      <c r="C77" s="2" t="s">
        <v>57</v>
      </c>
      <c r="D77" s="1"/>
      <c r="E77" s="1"/>
      <c r="F77" s="6"/>
      <c r="G77" s="6"/>
      <c r="H77" s="50"/>
    </row>
    <row r="78" spans="1:8" x14ac:dyDescent="0.2">
      <c r="A78" s="1"/>
      <c r="B78" s="1"/>
      <c r="C78" s="2" t="s">
        <v>58</v>
      </c>
      <c r="D78" s="1"/>
      <c r="E78" s="1"/>
      <c r="F78" s="6"/>
      <c r="G78" s="6"/>
      <c r="H78" s="50"/>
    </row>
    <row r="79" spans="1:8" x14ac:dyDescent="0.2">
      <c r="A79" s="9">
        <v>1</v>
      </c>
      <c r="B79" s="10" t="s">
        <v>59</v>
      </c>
      <c r="C79" s="10" t="s">
        <v>60</v>
      </c>
      <c r="D79" s="10" t="s">
        <v>61</v>
      </c>
      <c r="E79" s="11">
        <v>200</v>
      </c>
      <c r="F79" s="12">
        <v>987.34</v>
      </c>
      <c r="G79" s="13">
        <v>2.40959387790761E-2</v>
      </c>
      <c r="H79" s="50">
        <v>4</v>
      </c>
    </row>
    <row r="80" spans="1:8" x14ac:dyDescent="0.2">
      <c r="A80" s="9">
        <v>2</v>
      </c>
      <c r="B80" s="10" t="s">
        <v>62</v>
      </c>
      <c r="C80" s="10" t="s">
        <v>63</v>
      </c>
      <c r="D80" s="10" t="s">
        <v>61</v>
      </c>
      <c r="E80" s="11">
        <v>1000</v>
      </c>
      <c r="F80" s="12">
        <v>985.76700000000005</v>
      </c>
      <c r="G80" s="13">
        <v>2.4057549863708054E-2</v>
      </c>
      <c r="H80" s="50">
        <v>4.0540000000000003</v>
      </c>
    </row>
    <row r="81" spans="1:8" x14ac:dyDescent="0.2">
      <c r="A81" s="1"/>
      <c r="B81" s="1"/>
      <c r="C81" s="2" t="s">
        <v>10</v>
      </c>
      <c r="D81" s="1"/>
      <c r="E81" s="1" t="s">
        <v>11</v>
      </c>
      <c r="F81" s="7">
        <v>1973.107</v>
      </c>
      <c r="G81" s="8">
        <v>4.8153488642784154E-2</v>
      </c>
      <c r="H81" s="50"/>
    </row>
    <row r="82" spans="1:8" x14ac:dyDescent="0.2">
      <c r="A82" s="1"/>
      <c r="B82" s="1"/>
      <c r="C82" s="5"/>
      <c r="D82" s="1"/>
      <c r="E82" s="1"/>
      <c r="F82" s="6"/>
      <c r="G82" s="6"/>
      <c r="H82" s="50"/>
    </row>
    <row r="83" spans="1:8" x14ac:dyDescent="0.2">
      <c r="A83" s="1"/>
      <c r="B83" s="1"/>
      <c r="C83" s="2" t="s">
        <v>64</v>
      </c>
      <c r="D83" s="1"/>
      <c r="E83" s="1"/>
      <c r="F83" s="6"/>
      <c r="G83" s="6"/>
      <c r="H83" s="50"/>
    </row>
    <row r="84" spans="1:8" x14ac:dyDescent="0.2">
      <c r="A84" s="9">
        <v>1</v>
      </c>
      <c r="B84" s="10" t="s">
        <v>65</v>
      </c>
      <c r="C84" s="10" t="s">
        <v>66</v>
      </c>
      <c r="D84" s="10" t="s">
        <v>61</v>
      </c>
      <c r="E84" s="11">
        <v>300</v>
      </c>
      <c r="F84" s="12">
        <v>1465.83</v>
      </c>
      <c r="G84" s="13">
        <v>3.5773441712614817E-2</v>
      </c>
      <c r="H84" s="50">
        <v>4.55</v>
      </c>
    </row>
    <row r="85" spans="1:8" x14ac:dyDescent="0.2">
      <c r="A85" s="1"/>
      <c r="B85" s="1"/>
      <c r="C85" s="2" t="s">
        <v>10</v>
      </c>
      <c r="D85" s="1"/>
      <c r="E85" s="1" t="s">
        <v>11</v>
      </c>
      <c r="F85" s="7">
        <v>1465.83</v>
      </c>
      <c r="G85" s="8">
        <v>3.5773441712614817E-2</v>
      </c>
      <c r="H85" s="50"/>
    </row>
    <row r="86" spans="1:8" x14ac:dyDescent="0.2">
      <c r="A86" s="1"/>
      <c r="B86" s="1"/>
      <c r="C86" s="5"/>
      <c r="D86" s="1"/>
      <c r="E86" s="1"/>
      <c r="F86" s="6"/>
      <c r="G86" s="6"/>
      <c r="H86" s="50"/>
    </row>
    <row r="87" spans="1:8" x14ac:dyDescent="0.2">
      <c r="A87" s="1"/>
      <c r="B87" s="1"/>
      <c r="C87" s="2" t="s">
        <v>67</v>
      </c>
      <c r="D87" s="1"/>
      <c r="E87" s="1"/>
      <c r="F87" s="6"/>
      <c r="G87" s="6"/>
      <c r="H87" s="50"/>
    </row>
    <row r="88" spans="1:8" x14ac:dyDescent="0.2">
      <c r="A88" s="9">
        <v>1</v>
      </c>
      <c r="B88" s="10" t="s">
        <v>68</v>
      </c>
      <c r="C88" s="10" t="s">
        <v>420</v>
      </c>
      <c r="D88" s="10" t="s">
        <v>49</v>
      </c>
      <c r="E88" s="11">
        <v>2500000</v>
      </c>
      <c r="F88" s="12">
        <v>2466.2750000000001</v>
      </c>
      <c r="G88" s="13">
        <v>6.0189206770075061E-2</v>
      </c>
      <c r="H88" s="50">
        <v>3.81</v>
      </c>
    </row>
    <row r="89" spans="1:8" x14ac:dyDescent="0.2">
      <c r="A89" s="1"/>
      <c r="B89" s="1"/>
      <c r="C89" s="2" t="s">
        <v>10</v>
      </c>
      <c r="D89" s="1"/>
      <c r="E89" s="1" t="s">
        <v>11</v>
      </c>
      <c r="F89" s="7">
        <v>2466.2750000000001</v>
      </c>
      <c r="G89" s="8">
        <v>6.0189206770075061E-2</v>
      </c>
      <c r="H89" s="50"/>
    </row>
    <row r="90" spans="1:8" x14ac:dyDescent="0.2">
      <c r="A90" s="1"/>
      <c r="B90" s="1"/>
      <c r="C90" s="5"/>
      <c r="D90" s="1"/>
      <c r="E90" s="1"/>
      <c r="F90" s="6"/>
      <c r="G90" s="6"/>
      <c r="H90" s="50"/>
    </row>
    <row r="91" spans="1:8" x14ac:dyDescent="0.2">
      <c r="A91" s="1"/>
      <c r="B91" s="1"/>
      <c r="C91" s="2" t="s">
        <v>69</v>
      </c>
      <c r="D91" s="1"/>
      <c r="E91" s="1"/>
      <c r="F91" s="6"/>
      <c r="G91" s="6"/>
      <c r="H91" s="50"/>
    </row>
    <row r="92" spans="1:8" x14ac:dyDescent="0.2">
      <c r="A92" s="9">
        <v>1</v>
      </c>
      <c r="B92" s="10"/>
      <c r="C92" s="10" t="s">
        <v>70</v>
      </c>
      <c r="D92" s="10"/>
      <c r="E92" s="14"/>
      <c r="F92" s="12">
        <v>4338.4156053999995</v>
      </c>
      <c r="G92" s="13">
        <v>0.10587862015709559</v>
      </c>
      <c r="H92" s="50">
        <v>3.4504560529072292</v>
      </c>
    </row>
    <row r="93" spans="1:8" x14ac:dyDescent="0.2">
      <c r="A93" s="9">
        <v>2</v>
      </c>
      <c r="B93" s="10"/>
      <c r="C93" s="10" t="s">
        <v>71</v>
      </c>
      <c r="D93" s="10"/>
      <c r="E93" s="14"/>
      <c r="F93" s="12">
        <v>2341.4751081999998</v>
      </c>
      <c r="G93" s="13">
        <v>5.7143477282311846E-2</v>
      </c>
      <c r="H93" s="50">
        <v>3.5655822479098256</v>
      </c>
    </row>
    <row r="94" spans="1:8" x14ac:dyDescent="0.2">
      <c r="A94" s="1"/>
      <c r="B94" s="1"/>
      <c r="C94" s="2" t="s">
        <v>10</v>
      </c>
      <c r="D94" s="1"/>
      <c r="E94" s="1" t="s">
        <v>11</v>
      </c>
      <c r="F94" s="7">
        <v>6679.8907135999998</v>
      </c>
      <c r="G94" s="8">
        <v>0.16302209743940743</v>
      </c>
      <c r="H94" s="50"/>
    </row>
    <row r="95" spans="1:8" x14ac:dyDescent="0.2">
      <c r="A95" s="1"/>
      <c r="B95" s="1"/>
      <c r="C95" s="5"/>
      <c r="D95" s="1"/>
      <c r="E95" s="1"/>
      <c r="F95" s="6"/>
      <c r="G95" s="6"/>
      <c r="H95" s="50"/>
    </row>
    <row r="96" spans="1:8" x14ac:dyDescent="0.2">
      <c r="A96" s="1"/>
      <c r="B96" s="1"/>
      <c r="C96" s="2" t="s">
        <v>72</v>
      </c>
      <c r="D96" s="1"/>
      <c r="E96" s="1"/>
      <c r="F96" s="7">
        <v>12585.102713599999</v>
      </c>
      <c r="G96" s="8">
        <v>0.30713823456488143</v>
      </c>
      <c r="H96" s="50"/>
    </row>
    <row r="97" spans="1:8" x14ac:dyDescent="0.2">
      <c r="A97" s="1"/>
      <c r="B97" s="1"/>
      <c r="C97" s="6"/>
      <c r="D97" s="1"/>
      <c r="E97" s="1"/>
      <c r="F97" s="1"/>
      <c r="G97" s="1"/>
      <c r="H97" s="50"/>
    </row>
    <row r="98" spans="1:8" x14ac:dyDescent="0.2">
      <c r="A98" s="1"/>
      <c r="B98" s="1"/>
      <c r="C98" s="2" t="s">
        <v>73</v>
      </c>
      <c r="D98" s="1"/>
      <c r="E98" s="1"/>
      <c r="F98" s="1"/>
      <c r="G98" s="1"/>
      <c r="H98" s="50"/>
    </row>
    <row r="99" spans="1:8" x14ac:dyDescent="0.2">
      <c r="A99" s="1"/>
      <c r="B99" s="1"/>
      <c r="C99" s="2" t="s">
        <v>74</v>
      </c>
      <c r="D99" s="1"/>
      <c r="E99" s="1"/>
      <c r="F99" s="1"/>
      <c r="G99" s="1"/>
      <c r="H99" s="50"/>
    </row>
    <row r="100" spans="1:8" x14ac:dyDescent="0.2">
      <c r="A100" s="1"/>
      <c r="B100" s="1"/>
      <c r="C100" s="2" t="s">
        <v>10</v>
      </c>
      <c r="D100" s="1"/>
      <c r="E100" s="1" t="s">
        <v>11</v>
      </c>
      <c r="F100" s="3">
        <v>0</v>
      </c>
      <c r="G100" s="4">
        <v>0</v>
      </c>
      <c r="H100" s="50"/>
    </row>
    <row r="101" spans="1:8" x14ac:dyDescent="0.2">
      <c r="A101" s="1"/>
      <c r="B101" s="1"/>
      <c r="C101" s="5"/>
      <c r="D101" s="1"/>
      <c r="E101" s="1"/>
      <c r="F101" s="6"/>
      <c r="G101" s="6"/>
      <c r="H101" s="50"/>
    </row>
    <row r="102" spans="1:8" x14ac:dyDescent="0.2">
      <c r="A102" s="1"/>
      <c r="B102" s="1"/>
      <c r="C102" s="2" t="s">
        <v>75</v>
      </c>
      <c r="D102" s="1"/>
      <c r="E102" s="1"/>
      <c r="F102" s="1"/>
      <c r="G102" s="1"/>
      <c r="H102" s="50"/>
    </row>
    <row r="103" spans="1:8" x14ac:dyDescent="0.2">
      <c r="A103" s="1"/>
      <c r="B103" s="1"/>
      <c r="C103" s="2" t="s">
        <v>76</v>
      </c>
      <c r="D103" s="1"/>
      <c r="E103" s="1"/>
      <c r="F103" s="1"/>
      <c r="G103" s="1"/>
      <c r="H103" s="50"/>
    </row>
    <row r="104" spans="1:8" x14ac:dyDescent="0.2">
      <c r="A104" s="1"/>
      <c r="B104" s="1"/>
      <c r="C104" s="2" t="s">
        <v>10</v>
      </c>
      <c r="D104" s="1"/>
      <c r="E104" s="1" t="s">
        <v>11</v>
      </c>
      <c r="F104" s="3">
        <v>0</v>
      </c>
      <c r="G104" s="4">
        <v>0</v>
      </c>
      <c r="H104" s="50"/>
    </row>
    <row r="105" spans="1:8" x14ac:dyDescent="0.2">
      <c r="A105" s="1"/>
      <c r="B105" s="1"/>
      <c r="C105" s="5"/>
      <c r="D105" s="1"/>
      <c r="E105" s="1"/>
      <c r="F105" s="6"/>
      <c r="G105" s="6"/>
      <c r="H105" s="50"/>
    </row>
    <row r="106" spans="1:8" ht="25.5" x14ac:dyDescent="0.2">
      <c r="A106" s="1"/>
      <c r="B106" s="1"/>
      <c r="C106" s="2" t="s">
        <v>77</v>
      </c>
      <c r="D106" s="1"/>
      <c r="E106" s="1"/>
      <c r="F106" s="6"/>
      <c r="G106" s="6"/>
      <c r="H106" s="50"/>
    </row>
    <row r="107" spans="1:8" x14ac:dyDescent="0.2">
      <c r="A107" s="1"/>
      <c r="B107" s="1"/>
      <c r="C107" s="2" t="s">
        <v>10</v>
      </c>
      <c r="D107" s="1"/>
      <c r="E107" s="1" t="s">
        <v>11</v>
      </c>
      <c r="F107" s="3">
        <v>0</v>
      </c>
      <c r="G107" s="4">
        <v>0</v>
      </c>
      <c r="H107" s="50"/>
    </row>
    <row r="108" spans="1:8" x14ac:dyDescent="0.2">
      <c r="A108" s="1"/>
      <c r="B108" s="1"/>
      <c r="C108" s="5"/>
      <c r="D108" s="1"/>
      <c r="E108" s="1"/>
      <c r="F108" s="6"/>
      <c r="G108" s="6"/>
      <c r="H108" s="50"/>
    </row>
    <row r="109" spans="1:8" x14ac:dyDescent="0.2">
      <c r="A109" s="1"/>
      <c r="B109" s="10"/>
      <c r="C109" s="10"/>
      <c r="D109" s="2"/>
      <c r="E109" s="1"/>
      <c r="F109" s="10"/>
      <c r="G109" s="14"/>
      <c r="H109" s="50"/>
    </row>
    <row r="110" spans="1:8" x14ac:dyDescent="0.2">
      <c r="A110" s="14"/>
      <c r="B110" s="10"/>
      <c r="C110" s="10" t="s">
        <v>78</v>
      </c>
      <c r="D110" s="10"/>
      <c r="E110" s="14"/>
      <c r="F110" s="12">
        <v>-352.89608930000009</v>
      </c>
      <c r="G110" s="13">
        <v>-8.612395490052235E-3</v>
      </c>
      <c r="H110" s="50"/>
    </row>
    <row r="111" spans="1:8" x14ac:dyDescent="0.2">
      <c r="A111" s="5"/>
      <c r="B111" s="5"/>
      <c r="C111" s="2" t="s">
        <v>79</v>
      </c>
      <c r="D111" s="6"/>
      <c r="E111" s="6"/>
      <c r="F111" s="7">
        <v>40975.369710739993</v>
      </c>
      <c r="G111" s="8">
        <v>1</v>
      </c>
      <c r="H111" s="50"/>
    </row>
    <row r="112" spans="1:8" ht="14.1" customHeight="1" x14ac:dyDescent="0.2">
      <c r="A112" s="15"/>
      <c r="B112" s="15"/>
      <c r="C112" s="15"/>
      <c r="D112" s="16"/>
      <c r="E112" s="16"/>
      <c r="F112" s="16"/>
      <c r="G112" s="16"/>
    </row>
    <row r="113" spans="1:7" ht="17.100000000000001" customHeight="1" x14ac:dyDescent="0.2">
      <c r="A113" s="17"/>
      <c r="B113" s="154" t="s">
        <v>80</v>
      </c>
      <c r="C113" s="154"/>
      <c r="D113" s="154"/>
      <c r="E113" s="154"/>
      <c r="F113" s="154"/>
      <c r="G113" s="19"/>
    </row>
    <row r="114" spans="1:7" ht="17.100000000000001" customHeight="1" x14ac:dyDescent="0.2">
      <c r="A114" s="17"/>
      <c r="B114" s="154" t="s">
        <v>81</v>
      </c>
      <c r="C114" s="154"/>
      <c r="D114" s="154"/>
      <c r="E114" s="154"/>
      <c r="F114" s="154"/>
      <c r="G114" s="19"/>
    </row>
    <row r="115" spans="1:7" ht="14.1" customHeight="1" x14ac:dyDescent="0.2">
      <c r="A115" s="17"/>
      <c r="B115" s="154" t="s">
        <v>11</v>
      </c>
      <c r="C115" s="154"/>
      <c r="D115" s="154"/>
      <c r="E115" s="154"/>
      <c r="F115" s="154"/>
      <c r="G115" s="19"/>
    </row>
    <row r="116" spans="1:7" ht="14.1" customHeight="1" x14ac:dyDescent="0.2">
      <c r="A116" s="17"/>
      <c r="B116" s="17"/>
      <c r="C116" s="17"/>
      <c r="D116" s="19"/>
      <c r="E116" s="19"/>
      <c r="F116" s="19"/>
      <c r="G116" s="19"/>
    </row>
    <row r="117" spans="1:7" ht="14.1" customHeight="1" x14ac:dyDescent="0.2">
      <c r="A117" s="17"/>
      <c r="B117" s="155" t="s">
        <v>82</v>
      </c>
      <c r="C117" s="156"/>
      <c r="D117" s="157"/>
      <c r="E117" s="20"/>
      <c r="F117" s="19"/>
      <c r="G117" s="19"/>
    </row>
    <row r="118" spans="1:7" ht="29.1" customHeight="1" x14ac:dyDescent="0.2">
      <c r="A118" s="17"/>
      <c r="B118" s="149" t="s">
        <v>83</v>
      </c>
      <c r="C118" s="150"/>
      <c r="D118" s="2" t="s">
        <v>655</v>
      </c>
      <c r="E118" s="20"/>
      <c r="F118" s="19"/>
      <c r="G118" s="19"/>
    </row>
    <row r="119" spans="1:7" ht="17.100000000000001" customHeight="1" x14ac:dyDescent="0.2">
      <c r="A119" s="17"/>
      <c r="B119" s="149" t="s">
        <v>85</v>
      </c>
      <c r="C119" s="150"/>
      <c r="D119" s="2" t="s">
        <v>84</v>
      </c>
      <c r="E119" s="20"/>
      <c r="F119" s="19"/>
      <c r="G119" s="19"/>
    </row>
    <row r="120" spans="1:7" ht="17.100000000000001" customHeight="1" x14ac:dyDescent="0.2">
      <c r="A120" s="17"/>
      <c r="B120" s="149" t="s">
        <v>618</v>
      </c>
      <c r="C120" s="159"/>
      <c r="D120" s="150"/>
      <c r="E120" s="20"/>
      <c r="F120" s="19"/>
      <c r="G120" s="19"/>
    </row>
    <row r="121" spans="1:7" ht="24" customHeight="1" x14ac:dyDescent="0.2">
      <c r="A121" s="62"/>
      <c r="B121" s="22" t="s">
        <v>11</v>
      </c>
      <c r="C121" s="22" t="s">
        <v>87</v>
      </c>
      <c r="D121" s="22" t="s">
        <v>88</v>
      </c>
      <c r="E121" s="62"/>
      <c r="F121" s="62"/>
      <c r="G121" s="62"/>
    </row>
    <row r="122" spans="1:7" ht="18" customHeight="1" x14ac:dyDescent="0.2">
      <c r="A122" s="62"/>
      <c r="B122" s="23" t="s">
        <v>89</v>
      </c>
      <c r="C122" s="22" t="s">
        <v>90</v>
      </c>
      <c r="D122" s="22" t="s">
        <v>91</v>
      </c>
      <c r="E122" s="62"/>
      <c r="F122" s="62"/>
      <c r="G122" s="62"/>
    </row>
    <row r="123" spans="1:7" ht="17.100000000000001" customHeight="1" x14ac:dyDescent="0.2">
      <c r="A123" s="62"/>
      <c r="B123" s="10" t="s">
        <v>92</v>
      </c>
      <c r="C123" s="14">
        <v>37.572899999999997</v>
      </c>
      <c r="D123" s="24">
        <v>37.715899999999998</v>
      </c>
      <c r="E123" s="62"/>
      <c r="F123" s="63"/>
      <c r="G123" s="64"/>
    </row>
    <row r="124" spans="1:7" ht="29.1" customHeight="1" x14ac:dyDescent="0.2">
      <c r="A124" s="62"/>
      <c r="B124" s="39" t="s">
        <v>458</v>
      </c>
      <c r="C124" s="14">
        <v>12.886699999999999</v>
      </c>
      <c r="D124" s="24">
        <v>12.881500000000001</v>
      </c>
      <c r="E124" s="62"/>
      <c r="F124" s="63"/>
      <c r="G124" s="64"/>
    </row>
    <row r="125" spans="1:7" ht="17.100000000000001" customHeight="1" x14ac:dyDescent="0.2">
      <c r="A125" s="62"/>
      <c r="B125" s="10" t="s">
        <v>93</v>
      </c>
      <c r="C125" s="14">
        <v>35.442700000000002</v>
      </c>
      <c r="D125" s="24">
        <v>35.564900000000002</v>
      </c>
      <c r="E125" s="62"/>
      <c r="F125" s="63"/>
      <c r="G125" s="64"/>
    </row>
    <row r="126" spans="1:7" ht="29.1" customHeight="1" x14ac:dyDescent="0.2">
      <c r="A126" s="62"/>
      <c r="B126" s="39" t="s">
        <v>464</v>
      </c>
      <c r="C126" s="14">
        <v>12.8521</v>
      </c>
      <c r="D126" s="24">
        <v>12.847</v>
      </c>
      <c r="E126" s="62"/>
      <c r="F126" s="63"/>
      <c r="G126" s="64"/>
    </row>
    <row r="127" spans="1:7" ht="17.100000000000001" customHeight="1" x14ac:dyDescent="0.2">
      <c r="A127" s="17"/>
      <c r="B127" s="149" t="s">
        <v>619</v>
      </c>
      <c r="C127" s="159"/>
      <c r="D127" s="150"/>
      <c r="E127" s="20"/>
      <c r="F127" s="19"/>
      <c r="G127" s="19"/>
    </row>
    <row r="128" spans="1:7" ht="24" customHeight="1" x14ac:dyDescent="0.2">
      <c r="A128" s="21"/>
      <c r="B128" s="22" t="s">
        <v>11</v>
      </c>
      <c r="C128" s="22" t="s">
        <v>87</v>
      </c>
      <c r="D128" s="22" t="s">
        <v>88</v>
      </c>
      <c r="E128" s="21"/>
      <c r="F128" s="21"/>
      <c r="G128" s="21"/>
    </row>
    <row r="129" spans="1:15" ht="18" customHeight="1" x14ac:dyDescent="0.2">
      <c r="A129" s="21"/>
      <c r="B129" s="23" t="s">
        <v>89</v>
      </c>
      <c r="C129" s="22" t="s">
        <v>90</v>
      </c>
      <c r="D129" s="22" t="s">
        <v>91</v>
      </c>
      <c r="E129" s="21"/>
      <c r="F129" s="21"/>
      <c r="G129" s="21"/>
    </row>
    <row r="130" spans="1:15" s="98" customFormat="1" x14ac:dyDescent="0.2">
      <c r="A130" s="100"/>
      <c r="B130" s="96" t="s">
        <v>92</v>
      </c>
      <c r="C130" s="131">
        <v>38.995199999999997</v>
      </c>
      <c r="D130" s="131">
        <v>39.099400000000003</v>
      </c>
      <c r="E130" s="100"/>
      <c r="F130" s="101"/>
      <c r="G130" s="102"/>
      <c r="I130"/>
      <c r="J130"/>
      <c r="K130"/>
      <c r="L130"/>
      <c r="M130"/>
      <c r="N130"/>
      <c r="O130"/>
    </row>
    <row r="131" spans="1:15" s="98" customFormat="1" ht="25.5" x14ac:dyDescent="0.2">
      <c r="A131" s="100"/>
      <c r="B131" s="96" t="s">
        <v>456</v>
      </c>
      <c r="C131" s="131">
        <v>14.7935</v>
      </c>
      <c r="D131" s="131">
        <v>14.7982</v>
      </c>
      <c r="E131" s="100"/>
      <c r="F131" s="101"/>
      <c r="G131" s="102"/>
      <c r="I131" s="57"/>
      <c r="J131" s="57"/>
      <c r="K131" s="57"/>
      <c r="L131" s="57"/>
      <c r="M131" s="57"/>
      <c r="N131" s="57"/>
      <c r="O131" s="57"/>
    </row>
    <row r="132" spans="1:15" s="98" customFormat="1" ht="25.5" x14ac:dyDescent="0.2">
      <c r="A132" s="100"/>
      <c r="B132" s="96" t="s">
        <v>457</v>
      </c>
      <c r="C132" s="131">
        <v>13.388</v>
      </c>
      <c r="D132" s="131">
        <v>13.392200000000001</v>
      </c>
      <c r="E132" s="100"/>
      <c r="F132" s="101"/>
      <c r="G132" s="102"/>
      <c r="I132"/>
      <c r="J132"/>
      <c r="K132"/>
      <c r="L132"/>
      <c r="M132"/>
      <c r="N132"/>
      <c r="O132"/>
    </row>
    <row r="133" spans="1:15" s="98" customFormat="1" ht="25.5" x14ac:dyDescent="0.2">
      <c r="A133" s="100"/>
      <c r="B133" s="96" t="s">
        <v>458</v>
      </c>
      <c r="C133" s="131">
        <v>14.0054</v>
      </c>
      <c r="D133" s="131">
        <v>14.0078</v>
      </c>
      <c r="E133" s="100"/>
      <c r="F133" s="101"/>
      <c r="G133" s="102"/>
      <c r="I133" s="57"/>
      <c r="J133" s="57"/>
      <c r="K133" s="57"/>
      <c r="L133" s="57"/>
      <c r="M133" s="57"/>
      <c r="N133" s="57"/>
      <c r="O133" s="57"/>
    </row>
    <row r="134" spans="1:15" s="98" customFormat="1" ht="25.5" x14ac:dyDescent="0.2">
      <c r="A134" s="100"/>
      <c r="B134" s="96" t="s">
        <v>459</v>
      </c>
      <c r="C134" s="131">
        <v>14.0975</v>
      </c>
      <c r="D134" s="131">
        <v>14.0601</v>
      </c>
      <c r="E134" s="100"/>
      <c r="F134" s="101"/>
      <c r="G134" s="102"/>
      <c r="I134" s="57"/>
      <c r="J134" s="57"/>
      <c r="K134" s="57"/>
      <c r="L134" s="57"/>
      <c r="M134" s="57"/>
      <c r="N134" s="57"/>
      <c r="O134" s="57"/>
    </row>
    <row r="135" spans="1:15" s="98" customFormat="1" ht="25.5" x14ac:dyDescent="0.2">
      <c r="A135" s="100"/>
      <c r="B135" s="96" t="s">
        <v>460</v>
      </c>
      <c r="C135" s="131">
        <v>13.852600000000001</v>
      </c>
      <c r="D135" s="131">
        <v>13.8896</v>
      </c>
      <c r="E135" s="100"/>
      <c r="F135" s="101"/>
      <c r="G135" s="102"/>
      <c r="I135" s="57"/>
      <c r="J135" s="57"/>
      <c r="K135" s="57"/>
      <c r="L135" s="57"/>
      <c r="M135" s="57"/>
      <c r="N135" s="57"/>
      <c r="O135" s="57"/>
    </row>
    <row r="136" spans="1:15" s="98" customFormat="1" x14ac:dyDescent="0.2">
      <c r="A136" s="100"/>
      <c r="B136" s="96" t="s">
        <v>461</v>
      </c>
      <c r="C136" s="97" t="s">
        <v>97</v>
      </c>
      <c r="D136" s="131">
        <v>12.2117</v>
      </c>
      <c r="E136" s="100"/>
      <c r="F136" s="101"/>
      <c r="G136" s="102"/>
      <c r="I136" s="57"/>
      <c r="J136" s="57"/>
      <c r="K136" s="57"/>
      <c r="L136" s="57"/>
      <c r="M136" s="57"/>
      <c r="N136" s="57"/>
      <c r="O136" s="57"/>
    </row>
    <row r="137" spans="1:15" s="98" customFormat="1" x14ac:dyDescent="0.2">
      <c r="A137" s="100"/>
      <c r="B137" s="96" t="s">
        <v>93</v>
      </c>
      <c r="C137" s="131">
        <v>36.305799999999998</v>
      </c>
      <c r="D137" s="131">
        <v>36.380200000000002</v>
      </c>
      <c r="E137" s="100"/>
      <c r="F137" s="101"/>
      <c r="G137" s="102"/>
      <c r="I137" s="57"/>
      <c r="J137" s="57"/>
      <c r="K137" s="57"/>
      <c r="L137" s="57"/>
      <c r="M137" s="57"/>
      <c r="N137" s="57"/>
      <c r="O137" s="57"/>
    </row>
    <row r="138" spans="1:15" s="98" customFormat="1" x14ac:dyDescent="0.2">
      <c r="A138" s="100"/>
      <c r="B138" s="96" t="s">
        <v>94</v>
      </c>
      <c r="C138" s="131">
        <v>18.1297</v>
      </c>
      <c r="D138" s="131">
        <v>18.166799999999999</v>
      </c>
      <c r="E138" s="100"/>
      <c r="F138" s="101"/>
      <c r="G138" s="102"/>
      <c r="I138" s="57"/>
      <c r="J138" s="57"/>
      <c r="K138" s="57"/>
      <c r="L138" s="57"/>
      <c r="M138" s="57"/>
      <c r="N138" s="57"/>
      <c r="O138" s="57"/>
    </row>
    <row r="139" spans="1:15" s="98" customFormat="1" ht="25.5" x14ac:dyDescent="0.2">
      <c r="A139" s="100"/>
      <c r="B139" s="96" t="s">
        <v>462</v>
      </c>
      <c r="C139" s="131">
        <v>14.395</v>
      </c>
      <c r="D139" s="131">
        <v>14.4</v>
      </c>
      <c r="E139" s="100"/>
      <c r="F139" s="101"/>
      <c r="G139" s="102"/>
      <c r="I139" s="57"/>
      <c r="J139" s="57"/>
      <c r="K139" s="57"/>
      <c r="L139" s="57"/>
      <c r="M139" s="57"/>
      <c r="N139" s="57"/>
      <c r="O139" s="57"/>
    </row>
    <row r="140" spans="1:15" s="98" customFormat="1" ht="25.5" x14ac:dyDescent="0.2">
      <c r="A140" s="100"/>
      <c r="B140" s="96" t="s">
        <v>463</v>
      </c>
      <c r="C140" s="131">
        <v>13.0267</v>
      </c>
      <c r="D140" s="131">
        <v>13.0314</v>
      </c>
      <c r="E140" s="100"/>
      <c r="F140" s="101"/>
      <c r="G140" s="102"/>
      <c r="I140" s="57"/>
      <c r="J140" s="57"/>
      <c r="K140" s="57"/>
      <c r="L140" s="57"/>
      <c r="M140" s="57"/>
      <c r="N140" s="57"/>
      <c r="O140" s="57"/>
    </row>
    <row r="141" spans="1:15" s="98" customFormat="1" ht="25.5" x14ac:dyDescent="0.2">
      <c r="A141" s="100"/>
      <c r="B141" s="96" t="s">
        <v>464</v>
      </c>
      <c r="C141" s="131">
        <v>13.6555</v>
      </c>
      <c r="D141" s="131">
        <v>13.657400000000001</v>
      </c>
      <c r="E141" s="100"/>
      <c r="F141" s="101"/>
      <c r="G141" s="102"/>
      <c r="I141" s="57"/>
      <c r="J141" s="57"/>
      <c r="K141" s="57"/>
      <c r="L141" s="57"/>
      <c r="M141" s="57"/>
      <c r="N141" s="57"/>
      <c r="O141" s="57"/>
    </row>
    <row r="142" spans="1:15" s="98" customFormat="1" ht="25.5" x14ac:dyDescent="0.2">
      <c r="A142" s="100"/>
      <c r="B142" s="96" t="s">
        <v>465</v>
      </c>
      <c r="C142" s="131">
        <v>12.1469</v>
      </c>
      <c r="D142" s="131">
        <v>12.0967</v>
      </c>
      <c r="E142" s="100"/>
      <c r="F142" s="101"/>
      <c r="G142" s="102"/>
      <c r="I142" s="57"/>
      <c r="J142" s="57"/>
      <c r="K142" s="57"/>
      <c r="L142" s="57"/>
      <c r="M142" s="57"/>
      <c r="N142" s="57"/>
      <c r="O142" s="57"/>
    </row>
    <row r="143" spans="1:15" s="98" customFormat="1" ht="25.5" x14ac:dyDescent="0.2">
      <c r="A143" s="100"/>
      <c r="B143" s="96" t="s">
        <v>466</v>
      </c>
      <c r="C143" s="131">
        <v>12.819000000000001</v>
      </c>
      <c r="D143" s="131">
        <v>12.8453</v>
      </c>
      <c r="E143" s="100"/>
      <c r="F143" s="101"/>
      <c r="G143" s="102"/>
      <c r="I143" s="57"/>
      <c r="J143" s="57"/>
      <c r="K143" s="57"/>
      <c r="L143" s="57"/>
      <c r="M143" s="57"/>
      <c r="N143" s="57"/>
      <c r="O143" s="57"/>
    </row>
    <row r="144" spans="1:15" s="98" customFormat="1" ht="25.5" x14ac:dyDescent="0.2">
      <c r="A144" s="100"/>
      <c r="B144" s="132" t="s">
        <v>467</v>
      </c>
      <c r="C144" s="131">
        <v>12.180999999999999</v>
      </c>
      <c r="D144" s="131">
        <v>12.2059</v>
      </c>
      <c r="E144" s="100"/>
      <c r="F144" s="101"/>
      <c r="G144" s="102"/>
      <c r="I144" s="57"/>
      <c r="J144" s="57"/>
      <c r="K144" s="57"/>
      <c r="L144" s="57"/>
      <c r="M144" s="57"/>
      <c r="N144" s="57"/>
      <c r="O144" s="57"/>
    </row>
    <row r="145" spans="1:7" x14ac:dyDescent="0.2">
      <c r="A145" s="21"/>
      <c r="B145" s="25"/>
      <c r="C145" s="25"/>
      <c r="D145" s="25"/>
      <c r="E145" s="21"/>
      <c r="F145" s="51"/>
      <c r="G145" s="25"/>
    </row>
    <row r="146" spans="1:7" ht="17.100000000000001" customHeight="1" x14ac:dyDescent="0.2">
      <c r="A146" s="21"/>
      <c r="B146" s="149" t="s">
        <v>620</v>
      </c>
      <c r="C146" s="159"/>
      <c r="D146" s="150"/>
      <c r="E146" s="21"/>
      <c r="F146" s="21"/>
      <c r="G146" s="21"/>
    </row>
    <row r="147" spans="1:7" ht="18" customHeight="1" x14ac:dyDescent="0.2">
      <c r="A147" s="21"/>
      <c r="B147" s="26" t="s">
        <v>89</v>
      </c>
      <c r="C147" s="27" t="s">
        <v>95</v>
      </c>
      <c r="D147" s="27" t="s">
        <v>96</v>
      </c>
      <c r="E147" s="21"/>
      <c r="F147" s="21"/>
      <c r="G147" s="21"/>
    </row>
    <row r="148" spans="1:7" ht="25.5" x14ac:dyDescent="0.2">
      <c r="A148" s="21"/>
      <c r="B148" s="10" t="s">
        <v>458</v>
      </c>
      <c r="C148" s="28">
        <v>5.4100000000000002E-2</v>
      </c>
      <c r="D148" s="118">
        <v>5.4100000000000002E-2</v>
      </c>
      <c r="E148" s="21"/>
      <c r="F148" s="114"/>
      <c r="G148" s="25"/>
    </row>
    <row r="149" spans="1:7" ht="25.5" x14ac:dyDescent="0.2">
      <c r="A149" s="21"/>
      <c r="B149" s="10" t="s">
        <v>464</v>
      </c>
      <c r="C149" s="28">
        <v>4.9299999999999997E-2</v>
      </c>
      <c r="D149" s="118">
        <v>4.9299999999999997E-2</v>
      </c>
      <c r="E149" s="21"/>
      <c r="F149" s="114"/>
      <c r="G149" s="25"/>
    </row>
    <row r="150" spans="1:7" ht="17.100000000000001" customHeight="1" x14ac:dyDescent="0.2">
      <c r="A150" s="21"/>
      <c r="B150" s="149" t="s">
        <v>621</v>
      </c>
      <c r="C150" s="159"/>
      <c r="D150" s="150"/>
      <c r="E150" s="21"/>
      <c r="F150" s="21"/>
      <c r="G150" s="21"/>
    </row>
    <row r="151" spans="1:7" ht="18" customHeight="1" x14ac:dyDescent="0.2">
      <c r="A151" s="21"/>
      <c r="B151" s="26" t="s">
        <v>89</v>
      </c>
      <c r="C151" s="27" t="s">
        <v>95</v>
      </c>
      <c r="D151" s="27" t="s">
        <v>96</v>
      </c>
      <c r="E151" s="21"/>
      <c r="F151" s="21"/>
      <c r="G151" s="21"/>
    </row>
    <row r="152" spans="1:7" ht="25.5" x14ac:dyDescent="0.2">
      <c r="A152" s="21"/>
      <c r="B152" s="10" t="s">
        <v>456</v>
      </c>
      <c r="C152" s="28">
        <v>3.4799999999999998E-2</v>
      </c>
      <c r="D152" s="14" t="s">
        <v>97</v>
      </c>
      <c r="E152" s="21"/>
      <c r="F152" s="18"/>
      <c r="G152" s="25"/>
    </row>
    <row r="153" spans="1:7" ht="25.5" x14ac:dyDescent="0.2">
      <c r="A153" s="21"/>
      <c r="B153" s="10" t="s">
        <v>457</v>
      </c>
      <c r="C153" s="28">
        <v>3.15E-2</v>
      </c>
      <c r="D153" s="14" t="s">
        <v>97</v>
      </c>
      <c r="E153" s="21"/>
      <c r="F153" s="18"/>
      <c r="G153" s="25"/>
    </row>
    <row r="154" spans="1:7" ht="25.5" x14ac:dyDescent="0.2">
      <c r="A154" s="21"/>
      <c r="B154" s="10" t="s">
        <v>458</v>
      </c>
      <c r="C154" s="28">
        <v>3.5000000000000003E-2</v>
      </c>
      <c r="D154" s="14" t="s">
        <v>97</v>
      </c>
      <c r="E154" s="21"/>
      <c r="F154" s="18"/>
      <c r="G154" s="25"/>
    </row>
    <row r="155" spans="1:7" ht="25.5" x14ac:dyDescent="0.2">
      <c r="A155" s="21"/>
      <c r="B155" s="10" t="s">
        <v>459</v>
      </c>
      <c r="C155" s="28">
        <v>0</v>
      </c>
      <c r="D155" s="28">
        <v>7.4999999999999997E-2</v>
      </c>
      <c r="E155" s="21"/>
      <c r="F155" s="18"/>
      <c r="G155" s="25"/>
    </row>
    <row r="156" spans="1:7" ht="25.5" x14ac:dyDescent="0.2">
      <c r="A156" s="21"/>
      <c r="B156" s="10" t="s">
        <v>462</v>
      </c>
      <c r="C156" s="28">
        <v>2.4500000000000001E-2</v>
      </c>
      <c r="D156" s="28">
        <v>2.4500000000000001E-2</v>
      </c>
      <c r="E156" s="21"/>
      <c r="F156" s="18"/>
      <c r="G156" s="25"/>
    </row>
    <row r="157" spans="1:7" ht="25.5" x14ac:dyDescent="0.2">
      <c r="A157" s="21"/>
      <c r="B157" s="10" t="s">
        <v>463</v>
      </c>
      <c r="C157" s="28">
        <v>2.1999999999999999E-2</v>
      </c>
      <c r="D157" s="14" t="s">
        <v>97</v>
      </c>
      <c r="E157" s="21"/>
      <c r="F157" s="18"/>
      <c r="G157" s="25"/>
    </row>
    <row r="158" spans="1:7" ht="25.5" x14ac:dyDescent="0.2">
      <c r="A158" s="21"/>
      <c r="B158" s="10" t="s">
        <v>464</v>
      </c>
      <c r="C158" s="28">
        <v>2.5999999999999999E-2</v>
      </c>
      <c r="D158" s="14" t="s">
        <v>97</v>
      </c>
      <c r="E158" s="21"/>
      <c r="F158" s="18"/>
      <c r="G158" s="25"/>
    </row>
    <row r="159" spans="1:7" ht="25.5" x14ac:dyDescent="0.2">
      <c r="A159" s="21"/>
      <c r="B159" s="10" t="s">
        <v>465</v>
      </c>
      <c r="C159" s="28">
        <v>0</v>
      </c>
      <c r="D159" s="28">
        <v>7.4999999999999997E-2</v>
      </c>
      <c r="E159" s="21"/>
      <c r="F159" s="18"/>
      <c r="G159" s="25"/>
    </row>
    <row r="160" spans="1:7" ht="14.1" customHeight="1" x14ac:dyDescent="0.2">
      <c r="A160" s="21"/>
      <c r="B160" s="113"/>
      <c r="C160" s="113"/>
      <c r="D160" s="30"/>
      <c r="E160" s="21"/>
      <c r="F160" s="114"/>
      <c r="G160" s="25"/>
    </row>
    <row r="161" spans="1:8" x14ac:dyDescent="0.2">
      <c r="A161" s="55"/>
      <c r="B161" s="153" t="s">
        <v>479</v>
      </c>
      <c r="C161" s="153"/>
      <c r="D161" s="153"/>
      <c r="E161" s="153"/>
      <c r="F161" s="153"/>
      <c r="G161" s="55"/>
    </row>
    <row r="162" spans="1:8" ht="14.1" customHeight="1" x14ac:dyDescent="0.2">
      <c r="A162" s="21"/>
      <c r="B162" s="18"/>
      <c r="C162" s="18"/>
      <c r="D162" s="21"/>
      <c r="E162" s="21"/>
      <c r="F162" s="21"/>
      <c r="G162" s="21"/>
    </row>
    <row r="163" spans="1:8" ht="17.100000000000001" customHeight="1" x14ac:dyDescent="0.2">
      <c r="A163" s="21"/>
      <c r="B163" s="149" t="s">
        <v>429</v>
      </c>
      <c r="C163" s="150"/>
      <c r="D163" s="2" t="s">
        <v>84</v>
      </c>
      <c r="E163" s="21"/>
      <c r="F163" s="18"/>
      <c r="G163" s="25"/>
    </row>
    <row r="164" spans="1:8" ht="29.1" customHeight="1" x14ac:dyDescent="0.2">
      <c r="A164" s="21"/>
      <c r="B164" s="149" t="s">
        <v>430</v>
      </c>
      <c r="C164" s="150"/>
      <c r="D164" s="2" t="s">
        <v>84</v>
      </c>
      <c r="E164" s="31"/>
      <c r="F164" s="21"/>
      <c r="G164" s="21"/>
    </row>
    <row r="165" spans="1:8" ht="29.1" customHeight="1" x14ac:dyDescent="0.2">
      <c r="A165" s="21"/>
      <c r="B165" s="149" t="s">
        <v>431</v>
      </c>
      <c r="C165" s="150"/>
      <c r="D165" s="2" t="s">
        <v>84</v>
      </c>
      <c r="E165" s="31"/>
      <c r="F165" s="21"/>
      <c r="G165" s="21"/>
    </row>
    <row r="166" spans="1:8" ht="17.100000000000001" customHeight="1" x14ac:dyDescent="0.2">
      <c r="A166" s="21"/>
      <c r="B166" s="149" t="s">
        <v>432</v>
      </c>
      <c r="C166" s="150"/>
      <c r="D166" s="32">
        <v>2.0497137409688753</v>
      </c>
      <c r="E166" s="31"/>
      <c r="F166" s="21"/>
      <c r="G166" s="21"/>
    </row>
    <row r="167" spans="1:8" ht="17.100000000000001" customHeight="1" x14ac:dyDescent="0.2">
      <c r="A167" s="21"/>
      <c r="B167" s="149" t="s">
        <v>433</v>
      </c>
      <c r="C167" s="150"/>
      <c r="D167" s="32">
        <v>1.6536509831184583</v>
      </c>
      <c r="E167" s="31"/>
      <c r="F167" s="21"/>
      <c r="G167" s="21"/>
    </row>
    <row r="168" spans="1:8" ht="17.100000000000001" customHeight="1" x14ac:dyDescent="0.2">
      <c r="A168" s="21"/>
      <c r="B168" s="149" t="s">
        <v>434</v>
      </c>
      <c r="C168" s="150"/>
      <c r="D168" s="2" t="s">
        <v>84</v>
      </c>
      <c r="E168" s="31"/>
      <c r="F168" s="21"/>
      <c r="G168" s="21"/>
    </row>
    <row r="169" spans="1:8" ht="11.1" customHeight="1" x14ac:dyDescent="0.2">
      <c r="A169" s="33"/>
      <c r="B169" s="33"/>
      <c r="C169" s="33"/>
      <c r="D169" s="33"/>
      <c r="E169" s="33"/>
      <c r="F169" s="33"/>
      <c r="G169" s="33"/>
    </row>
    <row r="170" spans="1:8" x14ac:dyDescent="0.2">
      <c r="B170" s="166" t="s">
        <v>614</v>
      </c>
      <c r="C170" s="166"/>
      <c r="D170" s="166"/>
      <c r="E170" s="166"/>
      <c r="F170" s="166"/>
      <c r="G170" s="166"/>
      <c r="H170" s="166"/>
    </row>
    <row r="171" spans="1:8" ht="11.1" customHeight="1" x14ac:dyDescent="0.2">
      <c r="A171" s="33"/>
      <c r="B171" s="33"/>
      <c r="C171" s="33"/>
      <c r="D171" s="33"/>
      <c r="E171" s="33"/>
      <c r="F171" s="33"/>
      <c r="G171" s="33"/>
    </row>
    <row r="172" spans="1:8" x14ac:dyDescent="0.2">
      <c r="B172" s="53" t="s">
        <v>435</v>
      </c>
      <c r="C172" s="53" t="s">
        <v>436</v>
      </c>
      <c r="D172" s="174" t="s">
        <v>437</v>
      </c>
      <c r="E172" s="175"/>
      <c r="F172" s="176"/>
      <c r="G172" s="177" t="s">
        <v>438</v>
      </c>
      <c r="H172" s="178"/>
    </row>
    <row r="173" spans="1:8" ht="25.5" x14ac:dyDescent="0.2">
      <c r="B173" s="41" t="s">
        <v>590</v>
      </c>
      <c r="C173" s="42" t="s">
        <v>591</v>
      </c>
      <c r="D173" s="171">
        <v>0</v>
      </c>
      <c r="E173" s="172"/>
      <c r="F173" s="173"/>
      <c r="G173" s="171">
        <v>0</v>
      </c>
      <c r="H173" s="173"/>
    </row>
    <row r="174" spans="1:8" ht="25.5" x14ac:dyDescent="0.2">
      <c r="B174" s="41" t="s">
        <v>592</v>
      </c>
      <c r="C174" s="42" t="s">
        <v>593</v>
      </c>
      <c r="D174" s="171">
        <v>0</v>
      </c>
      <c r="E174" s="172"/>
      <c r="F174" s="173"/>
      <c r="G174" s="171">
        <v>0</v>
      </c>
      <c r="H174" s="173"/>
    </row>
    <row r="175" spans="1:8" ht="25.5" x14ac:dyDescent="0.2">
      <c r="B175" s="41" t="s">
        <v>594</v>
      </c>
      <c r="C175" s="42" t="s">
        <v>595</v>
      </c>
      <c r="D175" s="171">
        <v>0</v>
      </c>
      <c r="E175" s="172"/>
      <c r="F175" s="173"/>
      <c r="G175" s="171">
        <v>0</v>
      </c>
      <c r="H175" s="173"/>
    </row>
    <row r="176" spans="1:8" ht="25.5" x14ac:dyDescent="0.2">
      <c r="B176" s="41" t="s">
        <v>596</v>
      </c>
      <c r="C176" s="42" t="s">
        <v>597</v>
      </c>
      <c r="D176" s="171">
        <v>0</v>
      </c>
      <c r="E176" s="172"/>
      <c r="F176" s="173"/>
      <c r="G176" s="171">
        <v>0</v>
      </c>
      <c r="H176" s="173"/>
    </row>
    <row r="177" spans="2:8" x14ac:dyDescent="0.2">
      <c r="B177" s="41"/>
      <c r="C177" s="41"/>
      <c r="D177" s="165"/>
      <c r="E177" s="165"/>
      <c r="F177" s="165"/>
      <c r="G177" s="165"/>
      <c r="H177" s="165"/>
    </row>
    <row r="178" spans="2:8" x14ac:dyDescent="0.2">
      <c r="B178" s="164" t="s">
        <v>598</v>
      </c>
      <c r="C178" s="164"/>
      <c r="D178" s="164"/>
      <c r="E178" s="164"/>
      <c r="F178" s="164"/>
      <c r="G178" s="164"/>
      <c r="H178" s="164"/>
    </row>
    <row r="179" spans="2:8" x14ac:dyDescent="0.2">
      <c r="B179" s="160" t="s">
        <v>435</v>
      </c>
      <c r="C179" s="160" t="s">
        <v>436</v>
      </c>
      <c r="D179" s="160" t="s">
        <v>442</v>
      </c>
      <c r="E179" s="160"/>
      <c r="F179" s="160"/>
      <c r="G179" s="160"/>
      <c r="H179" s="161" t="s">
        <v>599</v>
      </c>
    </row>
    <row r="180" spans="2:8" ht="63.75" x14ac:dyDescent="0.2">
      <c r="B180" s="160"/>
      <c r="C180" s="160"/>
      <c r="D180" s="43" t="s">
        <v>443</v>
      </c>
      <c r="E180" s="43" t="s">
        <v>600</v>
      </c>
      <c r="F180" s="43" t="s">
        <v>601</v>
      </c>
      <c r="G180" s="43" t="s">
        <v>602</v>
      </c>
      <c r="H180" s="162"/>
    </row>
    <row r="181" spans="2:8" ht="25.5" x14ac:dyDescent="0.2">
      <c r="B181" s="41" t="s">
        <v>590</v>
      </c>
      <c r="C181" s="42" t="s">
        <v>591</v>
      </c>
      <c r="D181" s="105">
        <v>3000</v>
      </c>
      <c r="E181" s="105">
        <v>198.60410960000002</v>
      </c>
      <c r="F181" s="106">
        <v>72.152053199999997</v>
      </c>
      <c r="G181" s="107">
        <v>3270.7561627999999</v>
      </c>
      <c r="H181" s="108">
        <v>1452.6372699999999</v>
      </c>
    </row>
    <row r="182" spans="2:8" ht="25.5" x14ac:dyDescent="0.2">
      <c r="B182" s="41" t="s">
        <v>592</v>
      </c>
      <c r="C182" s="42" t="s">
        <v>593</v>
      </c>
      <c r="D182" s="105">
        <v>500</v>
      </c>
      <c r="E182" s="105">
        <v>33.283561599999999</v>
      </c>
      <c r="F182" s="106">
        <v>12.091777499999999</v>
      </c>
      <c r="G182" s="107">
        <f>D182+E182+F182</f>
        <v>545.37533910000002</v>
      </c>
      <c r="H182" s="108">
        <v>242.22076999999999</v>
      </c>
    </row>
    <row r="183" spans="2:8" ht="25.5" x14ac:dyDescent="0.2">
      <c r="B183" s="41" t="s">
        <v>594</v>
      </c>
      <c r="C183" s="42" t="s">
        <v>603</v>
      </c>
      <c r="D183" s="105">
        <v>2000</v>
      </c>
      <c r="E183" s="105">
        <v>39.762295099999996</v>
      </c>
      <c r="F183" s="106">
        <v>64.029485721917808</v>
      </c>
      <c r="G183" s="107">
        <v>2103.7917808219199</v>
      </c>
      <c r="H183" s="108">
        <v>933.64715000000001</v>
      </c>
    </row>
    <row r="184" spans="2:8" ht="25.5" x14ac:dyDescent="0.2">
      <c r="B184" s="41" t="s">
        <v>596</v>
      </c>
      <c r="C184" s="42" t="s">
        <v>597</v>
      </c>
      <c r="D184" s="105">
        <v>1882.78</v>
      </c>
      <c r="E184" s="105">
        <v>137.066384</v>
      </c>
      <c r="F184" s="106">
        <v>34.266601500000007</v>
      </c>
      <c r="G184" s="107">
        <v>2054.1129854999999</v>
      </c>
      <c r="H184" s="108">
        <v>916.65184999999997</v>
      </c>
    </row>
    <row r="185" spans="2:8" x14ac:dyDescent="0.2">
      <c r="B185" s="41"/>
      <c r="C185" s="41"/>
      <c r="D185" s="41"/>
      <c r="E185" s="41"/>
      <c r="F185" s="107"/>
      <c r="G185" s="107"/>
      <c r="H185" s="41"/>
    </row>
    <row r="186" spans="2:8" x14ac:dyDescent="0.2">
      <c r="B186" s="179" t="s">
        <v>604</v>
      </c>
      <c r="C186" s="179"/>
      <c r="D186" s="179"/>
      <c r="E186" s="179"/>
      <c r="F186" s="179"/>
      <c r="G186" s="179"/>
      <c r="H186" s="179"/>
    </row>
    <row r="187" spans="2:8" x14ac:dyDescent="0.2">
      <c r="B187" s="57"/>
      <c r="C187" s="57"/>
      <c r="D187" s="57"/>
      <c r="E187" s="57"/>
      <c r="F187" s="57"/>
      <c r="G187" s="57"/>
      <c r="H187" s="57"/>
    </row>
    <row r="188" spans="2:8" x14ac:dyDescent="0.2">
      <c r="B188" s="109" t="s">
        <v>605</v>
      </c>
      <c r="C188" s="57"/>
      <c r="D188" s="57"/>
      <c r="E188" s="57"/>
      <c r="F188" s="57"/>
      <c r="G188" s="57"/>
      <c r="H188" s="57"/>
    </row>
    <row r="189" spans="2:8" x14ac:dyDescent="0.2">
      <c r="B189" s="57"/>
      <c r="C189" s="57"/>
      <c r="D189" s="57"/>
      <c r="E189" s="57"/>
      <c r="F189" s="57"/>
      <c r="G189" s="57"/>
      <c r="H189" s="57"/>
    </row>
    <row r="190" spans="2:8" x14ac:dyDescent="0.2">
      <c r="B190" s="110" t="s">
        <v>606</v>
      </c>
      <c r="C190" s="57"/>
      <c r="D190" s="57"/>
      <c r="E190" s="57"/>
      <c r="F190" s="57"/>
      <c r="G190" s="57"/>
      <c r="H190" s="57"/>
    </row>
    <row r="191" spans="2:8" x14ac:dyDescent="0.2">
      <c r="B191" s="57"/>
      <c r="C191" s="57"/>
      <c r="D191" s="57"/>
      <c r="E191" s="57"/>
      <c r="F191" s="57"/>
      <c r="G191" s="57"/>
      <c r="H191" s="57"/>
    </row>
    <row r="192" spans="2:8" x14ac:dyDescent="0.2">
      <c r="B192" s="110" t="s">
        <v>607</v>
      </c>
      <c r="C192" s="57"/>
      <c r="D192" s="57"/>
      <c r="E192" s="57"/>
      <c r="F192" s="57"/>
      <c r="G192" s="57"/>
      <c r="H192" s="57"/>
    </row>
  </sheetData>
  <mergeCells count="40">
    <mergeCell ref="A1:H1"/>
    <mergeCell ref="A2:H2"/>
    <mergeCell ref="A3:H3"/>
    <mergeCell ref="B170:H170"/>
    <mergeCell ref="B161:F161"/>
    <mergeCell ref="B115:F115"/>
    <mergeCell ref="B117:D117"/>
    <mergeCell ref="B118:C118"/>
    <mergeCell ref="B119:C119"/>
    <mergeCell ref="B120:D120"/>
    <mergeCell ref="B127:D127"/>
    <mergeCell ref="B146:D146"/>
    <mergeCell ref="B150:D150"/>
    <mergeCell ref="B165:C165"/>
    <mergeCell ref="B166:C166"/>
    <mergeCell ref="B167:C167"/>
    <mergeCell ref="B186:H186"/>
    <mergeCell ref="D177:F177"/>
    <mergeCell ref="G177:H177"/>
    <mergeCell ref="B178:H178"/>
    <mergeCell ref="B179:B180"/>
    <mergeCell ref="C179:C180"/>
    <mergeCell ref="D179:G179"/>
    <mergeCell ref="H179:H180"/>
    <mergeCell ref="J2:N2"/>
    <mergeCell ref="D175:F175"/>
    <mergeCell ref="G175:H175"/>
    <mergeCell ref="D176:F176"/>
    <mergeCell ref="G176:H176"/>
    <mergeCell ref="D172:F172"/>
    <mergeCell ref="G172:H172"/>
    <mergeCell ref="D173:F173"/>
    <mergeCell ref="G173:H173"/>
    <mergeCell ref="D174:F174"/>
    <mergeCell ref="G174:H174"/>
    <mergeCell ref="B113:F113"/>
    <mergeCell ref="B114:F114"/>
    <mergeCell ref="B168:C168"/>
    <mergeCell ref="B163:C163"/>
    <mergeCell ref="B164:C164"/>
  </mergeCells>
  <hyperlinks>
    <hyperlink ref="B190" r:id="rId1" xr:uid="{3F119CA3-8B28-424E-9F41-A6C1204D3D11}"/>
    <hyperlink ref="B192" r:id="rId2" xr:uid="{3B3E5599-9015-41E7-B815-455115B8B633}"/>
  </hyperlinks>
  <pageMargins left="5.000000074505806E-2" right="5.000000074505806E-2" top="0.30000001192092896" bottom="0.20000000298023224" header="0" footer="0"/>
  <pageSetup paperSize="9" orientation="landscape" r:id="rId3"/>
  <headerFooter alignWithMargins="0"/>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O181"/>
  <sheetViews>
    <sheetView showGridLines="0" workbookViewId="0">
      <selection sqref="A1:H1"/>
    </sheetView>
  </sheetViews>
  <sheetFormatPr defaultRowHeight="12.75" x14ac:dyDescent="0.2"/>
  <cols>
    <col min="1" max="1" width="6.85546875" customWidth="1"/>
    <col min="2" max="2" width="24.7109375" customWidth="1"/>
    <col min="3" max="3" width="34.28515625" customWidth="1"/>
    <col min="4" max="4" width="17.85546875" customWidth="1"/>
    <col min="5" max="5" width="19.140625" customWidth="1"/>
    <col min="6" max="6" width="19.140625" style="98" customWidth="1"/>
    <col min="7" max="7" width="16.42578125" style="98" customWidth="1"/>
    <col min="9" max="15" width="9.140625" style="57"/>
  </cols>
  <sheetData>
    <row r="1" spans="1:15" ht="18" customHeight="1" x14ac:dyDescent="0.2">
      <c r="A1" s="152" t="s">
        <v>0</v>
      </c>
      <c r="B1" s="152"/>
      <c r="C1" s="152"/>
      <c r="D1" s="152"/>
      <c r="E1" s="152"/>
      <c r="F1" s="152"/>
      <c r="G1" s="152"/>
      <c r="H1" s="152"/>
    </row>
    <row r="2" spans="1:15" ht="17.100000000000001" customHeight="1" x14ac:dyDescent="0.2">
      <c r="A2" s="167" t="s">
        <v>630</v>
      </c>
      <c r="B2" s="167"/>
      <c r="C2" s="167"/>
      <c r="D2" s="167"/>
      <c r="E2" s="167"/>
      <c r="F2" s="167"/>
      <c r="G2" s="167"/>
      <c r="H2" s="167"/>
      <c r="J2" s="148" t="s">
        <v>631</v>
      </c>
      <c r="K2" s="148"/>
      <c r="L2" s="148"/>
      <c r="M2" s="148"/>
      <c r="N2" s="148"/>
    </row>
    <row r="3" spans="1:15" ht="21" customHeight="1" x14ac:dyDescent="0.2">
      <c r="A3" s="152" t="s">
        <v>480</v>
      </c>
      <c r="B3" s="152"/>
      <c r="C3" s="152"/>
      <c r="D3" s="152"/>
      <c r="E3" s="152"/>
      <c r="F3" s="152"/>
      <c r="G3" s="152"/>
      <c r="H3" s="152"/>
    </row>
    <row r="4" spans="1:15" s="59" customFormat="1" ht="30" x14ac:dyDescent="0.2">
      <c r="A4" s="58" t="s">
        <v>1</v>
      </c>
      <c r="B4" s="58" t="s">
        <v>2</v>
      </c>
      <c r="C4" s="58" t="s">
        <v>3</v>
      </c>
      <c r="D4" s="58" t="s">
        <v>4</v>
      </c>
      <c r="E4" s="58" t="s">
        <v>5</v>
      </c>
      <c r="F4" s="87" t="s">
        <v>6</v>
      </c>
      <c r="G4" s="87" t="s">
        <v>7</v>
      </c>
      <c r="H4" s="49" t="s">
        <v>452</v>
      </c>
      <c r="I4" s="135"/>
      <c r="J4" s="135"/>
      <c r="K4" s="135"/>
      <c r="L4" s="135"/>
      <c r="M4" s="135"/>
      <c r="N4" s="135"/>
      <c r="O4" s="135"/>
    </row>
    <row r="5" spans="1:15" x14ac:dyDescent="0.2">
      <c r="A5" s="1"/>
      <c r="B5" s="1"/>
      <c r="C5" s="2" t="s">
        <v>8</v>
      </c>
      <c r="D5" s="1"/>
      <c r="E5" s="1"/>
      <c r="F5" s="88"/>
      <c r="G5" s="88"/>
      <c r="H5" s="50"/>
    </row>
    <row r="6" spans="1:15" ht="25.5" x14ac:dyDescent="0.2">
      <c r="A6" s="1"/>
      <c r="B6" s="1"/>
      <c r="C6" s="2" t="s">
        <v>9</v>
      </c>
      <c r="D6" s="1"/>
      <c r="E6" s="1"/>
      <c r="F6" s="88"/>
      <c r="G6" s="88"/>
      <c r="H6" s="50"/>
    </row>
    <row r="7" spans="1:15" x14ac:dyDescent="0.2">
      <c r="A7" s="1"/>
      <c r="B7" s="1"/>
      <c r="C7" s="2" t="s">
        <v>10</v>
      </c>
      <c r="D7" s="1"/>
      <c r="E7" s="1" t="s">
        <v>11</v>
      </c>
      <c r="F7" s="89">
        <v>0</v>
      </c>
      <c r="G7" s="90">
        <v>0</v>
      </c>
      <c r="H7" s="50"/>
    </row>
    <row r="8" spans="1:15" x14ac:dyDescent="0.2">
      <c r="A8" s="1"/>
      <c r="B8" s="1"/>
      <c r="C8" s="5"/>
      <c r="D8" s="1"/>
      <c r="E8" s="1"/>
      <c r="F8" s="91"/>
      <c r="G8" s="91"/>
      <c r="H8" s="50"/>
    </row>
    <row r="9" spans="1:15" x14ac:dyDescent="0.2">
      <c r="A9" s="1"/>
      <c r="B9" s="1"/>
      <c r="C9" s="2" t="s">
        <v>12</v>
      </c>
      <c r="D9" s="1"/>
      <c r="E9" s="1"/>
      <c r="F9" s="88"/>
      <c r="G9" s="88"/>
      <c r="H9" s="50"/>
    </row>
    <row r="10" spans="1:15" x14ac:dyDescent="0.2">
      <c r="A10" s="1"/>
      <c r="B10" s="1"/>
      <c r="C10" s="2" t="s">
        <v>10</v>
      </c>
      <c r="D10" s="1"/>
      <c r="E10" s="1" t="s">
        <v>11</v>
      </c>
      <c r="F10" s="89">
        <v>0</v>
      </c>
      <c r="G10" s="90">
        <v>0</v>
      </c>
      <c r="H10" s="50"/>
    </row>
    <row r="11" spans="1:15" x14ac:dyDescent="0.2">
      <c r="A11" s="1"/>
      <c r="B11" s="1"/>
      <c r="C11" s="5"/>
      <c r="D11" s="1"/>
      <c r="E11" s="1"/>
      <c r="F11" s="91"/>
      <c r="G11" s="91"/>
      <c r="H11" s="50"/>
    </row>
    <row r="12" spans="1:15" x14ac:dyDescent="0.2">
      <c r="A12" s="1"/>
      <c r="B12" s="1"/>
      <c r="C12" s="2" t="s">
        <v>13</v>
      </c>
      <c r="D12" s="1"/>
      <c r="E12" s="1"/>
      <c r="F12" s="88"/>
      <c r="G12" s="88"/>
      <c r="H12" s="50"/>
    </row>
    <row r="13" spans="1:15" x14ac:dyDescent="0.2">
      <c r="A13" s="1"/>
      <c r="B13" s="1"/>
      <c r="C13" s="2" t="s">
        <v>10</v>
      </c>
      <c r="D13" s="1"/>
      <c r="E13" s="1" t="s">
        <v>11</v>
      </c>
      <c r="F13" s="89">
        <v>0</v>
      </c>
      <c r="G13" s="90">
        <v>0</v>
      </c>
      <c r="H13" s="50"/>
    </row>
    <row r="14" spans="1:15" x14ac:dyDescent="0.2">
      <c r="A14" s="1"/>
      <c r="B14" s="1"/>
      <c r="C14" s="5"/>
      <c r="D14" s="1"/>
      <c r="E14" s="1"/>
      <c r="F14" s="91"/>
      <c r="G14" s="91"/>
      <c r="H14" s="50"/>
    </row>
    <row r="15" spans="1:15" x14ac:dyDescent="0.2">
      <c r="A15" s="1"/>
      <c r="B15" s="1"/>
      <c r="C15" s="2" t="s">
        <v>14</v>
      </c>
      <c r="D15" s="1"/>
      <c r="E15" s="1"/>
      <c r="F15" s="88"/>
      <c r="G15" s="88"/>
      <c r="H15" s="50"/>
    </row>
    <row r="16" spans="1:15" ht="15" x14ac:dyDescent="0.25">
      <c r="A16" s="1"/>
      <c r="B16" s="1"/>
      <c r="C16" s="2" t="s">
        <v>10</v>
      </c>
      <c r="D16" s="1"/>
      <c r="E16" s="1" t="s">
        <v>11</v>
      </c>
      <c r="F16" s="89">
        <v>0</v>
      </c>
      <c r="G16" s="90">
        <v>0</v>
      </c>
      <c r="H16" s="50"/>
      <c r="J16" s="137" t="s">
        <v>646</v>
      </c>
      <c r="K16" s="140"/>
      <c r="L16" s="140"/>
      <c r="M16" s="140"/>
      <c r="N16" s="140"/>
      <c r="O16" s="140"/>
    </row>
    <row r="17" spans="1:15" x14ac:dyDescent="0.2">
      <c r="A17" s="1"/>
      <c r="B17" s="1"/>
      <c r="C17" s="5"/>
      <c r="D17" s="1"/>
      <c r="E17" s="1"/>
      <c r="F17" s="91"/>
      <c r="G17" s="91"/>
      <c r="H17" s="50"/>
    </row>
    <row r="18" spans="1:15" x14ac:dyDescent="0.2">
      <c r="A18" s="1"/>
      <c r="B18" s="1"/>
      <c r="C18" s="2" t="s">
        <v>15</v>
      </c>
      <c r="D18" s="1"/>
      <c r="E18" s="1"/>
      <c r="F18" s="91"/>
      <c r="G18" s="91"/>
      <c r="H18" s="50"/>
    </row>
    <row r="19" spans="1:15" x14ac:dyDescent="0.2">
      <c r="A19" s="1"/>
      <c r="B19" s="1"/>
      <c r="C19" s="2" t="s">
        <v>10</v>
      </c>
      <c r="D19" s="1"/>
      <c r="E19" s="1" t="s">
        <v>11</v>
      </c>
      <c r="F19" s="89">
        <v>0</v>
      </c>
      <c r="G19" s="90">
        <v>0</v>
      </c>
      <c r="H19" s="50"/>
    </row>
    <row r="20" spans="1:15" x14ac:dyDescent="0.2">
      <c r="A20" s="1"/>
      <c r="B20" s="1"/>
      <c r="C20" s="5"/>
      <c r="D20" s="1"/>
      <c r="E20" s="1"/>
      <c r="F20" s="91"/>
      <c r="G20" s="91"/>
      <c r="H20" s="50"/>
    </row>
    <row r="21" spans="1:15" x14ac:dyDescent="0.2">
      <c r="A21" s="1"/>
      <c r="B21" s="1"/>
      <c r="C21" s="2" t="s">
        <v>16</v>
      </c>
      <c r="D21" s="1"/>
      <c r="E21" s="1"/>
      <c r="F21" s="91"/>
      <c r="G21" s="91"/>
      <c r="H21" s="50"/>
    </row>
    <row r="22" spans="1:15" x14ac:dyDescent="0.2">
      <c r="A22" s="1"/>
      <c r="B22" s="1"/>
      <c r="C22" s="2" t="s">
        <v>10</v>
      </c>
      <c r="D22" s="1"/>
      <c r="E22" s="1" t="s">
        <v>11</v>
      </c>
      <c r="F22" s="89">
        <v>0</v>
      </c>
      <c r="G22" s="90">
        <v>0</v>
      </c>
      <c r="H22" s="50"/>
    </row>
    <row r="23" spans="1:15" x14ac:dyDescent="0.2">
      <c r="A23" s="1"/>
      <c r="B23" s="1"/>
      <c r="C23" s="5"/>
      <c r="D23" s="1"/>
      <c r="E23" s="1"/>
      <c r="F23" s="91"/>
      <c r="G23" s="91"/>
      <c r="H23" s="50"/>
    </row>
    <row r="24" spans="1:15" x14ac:dyDescent="0.2">
      <c r="A24" s="1"/>
      <c r="B24" s="1"/>
      <c r="C24" s="2" t="s">
        <v>17</v>
      </c>
      <c r="D24" s="1"/>
      <c r="E24" s="1"/>
      <c r="F24" s="92">
        <v>0</v>
      </c>
      <c r="G24" s="93">
        <v>0</v>
      </c>
      <c r="H24" s="50"/>
    </row>
    <row r="25" spans="1:15" x14ac:dyDescent="0.2">
      <c r="A25" s="1"/>
      <c r="B25" s="1"/>
      <c r="C25" s="5"/>
      <c r="D25" s="1"/>
      <c r="E25" s="1"/>
      <c r="F25" s="91"/>
      <c r="G25" s="91"/>
      <c r="H25" s="50"/>
    </row>
    <row r="26" spans="1:15" x14ac:dyDescent="0.2">
      <c r="A26" s="1"/>
      <c r="B26" s="1"/>
      <c r="C26" s="2" t="s">
        <v>18</v>
      </c>
      <c r="D26" s="1"/>
      <c r="E26" s="1"/>
      <c r="F26" s="91"/>
      <c r="G26" s="91"/>
      <c r="H26" s="50"/>
    </row>
    <row r="27" spans="1:15" ht="25.5" x14ac:dyDescent="0.2">
      <c r="A27" s="1"/>
      <c r="B27" s="1"/>
      <c r="C27" s="2" t="s">
        <v>9</v>
      </c>
      <c r="D27" s="1"/>
      <c r="E27" s="1"/>
      <c r="F27" s="91"/>
      <c r="G27" s="91"/>
      <c r="H27" s="50"/>
    </row>
    <row r="28" spans="1:15" ht="25.5" x14ac:dyDescent="0.2">
      <c r="A28" s="9">
        <v>1</v>
      </c>
      <c r="B28" s="10" t="s">
        <v>19</v>
      </c>
      <c r="C28" s="10" t="s">
        <v>20</v>
      </c>
      <c r="D28" s="10" t="s">
        <v>449</v>
      </c>
      <c r="E28" s="11">
        <v>500</v>
      </c>
      <c r="F28" s="94">
        <v>5002.03</v>
      </c>
      <c r="G28" s="95">
        <v>3.9576163866482487E-2</v>
      </c>
      <c r="H28" s="50">
        <v>4.4400000000000004</v>
      </c>
    </row>
    <row r="29" spans="1:15" ht="25.5" x14ac:dyDescent="0.25">
      <c r="A29" s="9">
        <v>2</v>
      </c>
      <c r="B29" s="10" t="s">
        <v>243</v>
      </c>
      <c r="C29" s="10" t="s">
        <v>244</v>
      </c>
      <c r="D29" s="10" t="s">
        <v>23</v>
      </c>
      <c r="E29" s="11">
        <v>350</v>
      </c>
      <c r="F29" s="94">
        <v>3531.1115</v>
      </c>
      <c r="G29" s="95">
        <v>2.7938226550984456E-2</v>
      </c>
      <c r="H29" s="50">
        <v>3.6949999999999998</v>
      </c>
      <c r="J29" s="137" t="s">
        <v>638</v>
      </c>
      <c r="K29" s="140"/>
      <c r="L29" s="140"/>
      <c r="M29" s="140"/>
      <c r="N29" s="140"/>
      <c r="O29"/>
    </row>
    <row r="30" spans="1:15" ht="25.5" x14ac:dyDescent="0.2">
      <c r="A30" s="9">
        <v>3</v>
      </c>
      <c r="B30" s="10" t="s">
        <v>181</v>
      </c>
      <c r="C30" s="10" t="s">
        <v>182</v>
      </c>
      <c r="D30" s="10" t="s">
        <v>23</v>
      </c>
      <c r="E30" s="11">
        <v>250</v>
      </c>
      <c r="F30" s="94">
        <v>2557.0250000000001</v>
      </c>
      <c r="G30" s="95">
        <v>2.0231234201052849E-2</v>
      </c>
      <c r="H30" s="50">
        <v>4.8049999999999997</v>
      </c>
      <c r="O30"/>
    </row>
    <row r="31" spans="1:15" ht="25.5" x14ac:dyDescent="0.2">
      <c r="A31" s="9">
        <v>4</v>
      </c>
      <c r="B31" s="10" t="s">
        <v>36</v>
      </c>
      <c r="C31" s="10" t="s">
        <v>37</v>
      </c>
      <c r="D31" s="10" t="s">
        <v>23</v>
      </c>
      <c r="E31" s="11">
        <v>250</v>
      </c>
      <c r="F31" s="94">
        <v>2539.1875</v>
      </c>
      <c r="G31" s="95">
        <v>2.0090103535509385E-2</v>
      </c>
      <c r="H31" s="50">
        <v>4.4249999999999998</v>
      </c>
      <c r="O31"/>
    </row>
    <row r="32" spans="1:15" ht="25.5" x14ac:dyDescent="0.2">
      <c r="A32" s="9">
        <v>5</v>
      </c>
      <c r="B32" s="10" t="s">
        <v>262</v>
      </c>
      <c r="C32" s="10" t="s">
        <v>263</v>
      </c>
      <c r="D32" s="10" t="s">
        <v>23</v>
      </c>
      <c r="E32" s="11">
        <v>250</v>
      </c>
      <c r="F32" s="94">
        <v>2519.1149999999998</v>
      </c>
      <c r="G32" s="95">
        <v>1.9931289504164115E-2</v>
      </c>
      <c r="H32" s="50">
        <v>3.68</v>
      </c>
      <c r="O32"/>
    </row>
    <row r="33" spans="1:15" ht="25.5" x14ac:dyDescent="0.2">
      <c r="A33" s="9">
        <v>6</v>
      </c>
      <c r="B33" s="10" t="s">
        <v>114</v>
      </c>
      <c r="C33" s="10" t="s">
        <v>115</v>
      </c>
      <c r="D33" s="10" t="s">
        <v>23</v>
      </c>
      <c r="E33" s="11">
        <v>250</v>
      </c>
      <c r="F33" s="94">
        <v>2513.7575000000002</v>
      </c>
      <c r="G33" s="95">
        <v>1.9888900854372997E-2</v>
      </c>
      <c r="H33" s="50">
        <v>5.44</v>
      </c>
      <c r="O33"/>
    </row>
    <row r="34" spans="1:15" ht="25.5" x14ac:dyDescent="0.2">
      <c r="A34" s="9">
        <v>7</v>
      </c>
      <c r="B34" s="10" t="s">
        <v>28</v>
      </c>
      <c r="C34" s="10" t="s">
        <v>29</v>
      </c>
      <c r="D34" s="10" t="s">
        <v>23</v>
      </c>
      <c r="E34" s="11">
        <v>250</v>
      </c>
      <c r="F34" s="94">
        <v>2500.085</v>
      </c>
      <c r="G34" s="95">
        <v>1.9780723754182775E-2</v>
      </c>
      <c r="H34" s="50">
        <v>5.6441999999999997</v>
      </c>
      <c r="O34"/>
    </row>
    <row r="35" spans="1:15" ht="25.5" x14ac:dyDescent="0.2">
      <c r="A35" s="9">
        <v>8</v>
      </c>
      <c r="B35" s="10" t="s">
        <v>386</v>
      </c>
      <c r="C35" s="10" t="s">
        <v>387</v>
      </c>
      <c r="D35" s="10" t="s">
        <v>23</v>
      </c>
      <c r="E35" s="11">
        <v>100</v>
      </c>
      <c r="F35" s="94">
        <v>1023.342</v>
      </c>
      <c r="G35" s="95">
        <v>8.0967028753234031E-3</v>
      </c>
      <c r="H35" s="50">
        <v>4.5</v>
      </c>
      <c r="O35"/>
    </row>
    <row r="36" spans="1:15" ht="25.5" x14ac:dyDescent="0.2">
      <c r="A36" s="9">
        <v>9</v>
      </c>
      <c r="B36" s="10" t="s">
        <v>388</v>
      </c>
      <c r="C36" s="10" t="s">
        <v>389</v>
      </c>
      <c r="D36" s="10" t="s">
        <v>225</v>
      </c>
      <c r="E36" s="11">
        <v>100</v>
      </c>
      <c r="F36" s="94">
        <v>1001.617</v>
      </c>
      <c r="G36" s="95">
        <v>7.9248142301134913E-3</v>
      </c>
      <c r="H36" s="50">
        <v>3.74</v>
      </c>
      <c r="O36"/>
    </row>
    <row r="37" spans="1:15" ht="25.5" x14ac:dyDescent="0.2">
      <c r="A37" s="9">
        <v>10</v>
      </c>
      <c r="B37" s="10" t="s">
        <v>571</v>
      </c>
      <c r="C37" s="10" t="s">
        <v>572</v>
      </c>
      <c r="D37" s="10" t="s">
        <v>23</v>
      </c>
      <c r="E37" s="11">
        <v>50</v>
      </c>
      <c r="F37" s="94">
        <v>508.13850000000002</v>
      </c>
      <c r="G37" s="95">
        <v>4.0204022252702627E-3</v>
      </c>
      <c r="H37" s="50">
        <v>4.0599999999999996</v>
      </c>
    </row>
    <row r="38" spans="1:15" ht="25.5" x14ac:dyDescent="0.2">
      <c r="A38" s="9">
        <v>11</v>
      </c>
      <c r="B38" s="10" t="s">
        <v>573</v>
      </c>
      <c r="C38" s="10" t="s">
        <v>574</v>
      </c>
      <c r="D38" s="10" t="s">
        <v>23</v>
      </c>
      <c r="E38" s="11">
        <v>50</v>
      </c>
      <c r="F38" s="94">
        <v>507.22199999999998</v>
      </c>
      <c r="G38" s="95">
        <v>4.0131508584884497E-3</v>
      </c>
      <c r="H38" s="50">
        <v>4.5</v>
      </c>
    </row>
    <row r="39" spans="1:15" ht="25.5" x14ac:dyDescent="0.2">
      <c r="A39" s="9">
        <v>12</v>
      </c>
      <c r="B39" s="10" t="s">
        <v>223</v>
      </c>
      <c r="C39" s="10" t="s">
        <v>224</v>
      </c>
      <c r="D39" s="10" t="s">
        <v>225</v>
      </c>
      <c r="E39" s="11">
        <v>50</v>
      </c>
      <c r="F39" s="94">
        <v>507.19549999999998</v>
      </c>
      <c r="G39" s="95">
        <v>4.0129411899453857E-3</v>
      </c>
      <c r="H39" s="50">
        <v>4.4048999999999996</v>
      </c>
    </row>
    <row r="40" spans="1:15" ht="29.1" customHeight="1" x14ac:dyDescent="0.2">
      <c r="A40" s="9">
        <v>13</v>
      </c>
      <c r="B40" s="10" t="s">
        <v>577</v>
      </c>
      <c r="C40" s="10" t="s">
        <v>578</v>
      </c>
      <c r="D40" s="10" t="s">
        <v>23</v>
      </c>
      <c r="E40" s="11">
        <v>50</v>
      </c>
      <c r="F40" s="94">
        <v>506.80349999999999</v>
      </c>
      <c r="G40" s="95">
        <v>4.009839677912139E-3</v>
      </c>
      <c r="H40" s="50">
        <v>4.0999999999999996</v>
      </c>
    </row>
    <row r="41" spans="1:15" x14ac:dyDescent="0.2">
      <c r="A41" s="9">
        <v>14</v>
      </c>
      <c r="B41" s="10" t="s">
        <v>264</v>
      </c>
      <c r="C41" s="10" t="s">
        <v>265</v>
      </c>
      <c r="D41" s="10" t="s">
        <v>23</v>
      </c>
      <c r="E41" s="11">
        <v>50</v>
      </c>
      <c r="F41" s="94">
        <v>504.16149999999999</v>
      </c>
      <c r="G41" s="95">
        <v>3.9889361197696952E-3</v>
      </c>
      <c r="H41" s="50">
        <v>3.67</v>
      </c>
    </row>
    <row r="42" spans="1:15" ht="25.5" x14ac:dyDescent="0.2">
      <c r="A42" s="9">
        <v>15</v>
      </c>
      <c r="B42" s="10" t="s">
        <v>245</v>
      </c>
      <c r="C42" s="10" t="s">
        <v>246</v>
      </c>
      <c r="D42" s="10" t="s">
        <v>23</v>
      </c>
      <c r="E42" s="11">
        <v>50</v>
      </c>
      <c r="F42" s="94">
        <v>503.85700000000003</v>
      </c>
      <c r="G42" s="95">
        <v>3.9865269095295842E-3</v>
      </c>
      <c r="H42" s="50">
        <v>3.75</v>
      </c>
    </row>
    <row r="43" spans="1:15" ht="25.5" x14ac:dyDescent="0.2">
      <c r="A43" s="9">
        <v>16</v>
      </c>
      <c r="B43" s="10" t="s">
        <v>514</v>
      </c>
      <c r="C43" s="10" t="s">
        <v>515</v>
      </c>
      <c r="D43" s="10" t="s">
        <v>23</v>
      </c>
      <c r="E43" s="11">
        <v>30</v>
      </c>
      <c r="F43" s="94">
        <v>303.60809999999998</v>
      </c>
      <c r="G43" s="95">
        <v>2.4021535090336123E-3</v>
      </c>
      <c r="H43" s="50">
        <v>4.4249999999999998</v>
      </c>
    </row>
    <row r="44" spans="1:15" ht="25.5" x14ac:dyDescent="0.2">
      <c r="A44" s="9">
        <v>17</v>
      </c>
      <c r="B44" s="10" t="s">
        <v>516</v>
      </c>
      <c r="C44" s="10" t="s">
        <v>517</v>
      </c>
      <c r="D44" s="10" t="s">
        <v>23</v>
      </c>
      <c r="E44" s="11">
        <v>30</v>
      </c>
      <c r="F44" s="94">
        <v>303.04649999999998</v>
      </c>
      <c r="G44" s="95">
        <v>2.3977101183247571E-3</v>
      </c>
      <c r="H44" s="50">
        <v>4.1349999999999998</v>
      </c>
    </row>
    <row r="45" spans="1:15" ht="25.5" x14ac:dyDescent="0.2">
      <c r="A45" s="9">
        <v>18</v>
      </c>
      <c r="B45" s="10" t="s">
        <v>575</v>
      </c>
      <c r="C45" s="10" t="s">
        <v>576</v>
      </c>
      <c r="D45" s="10" t="s">
        <v>23</v>
      </c>
      <c r="E45" s="11">
        <v>30</v>
      </c>
      <c r="F45" s="94">
        <v>302.56290000000001</v>
      </c>
      <c r="G45" s="95">
        <v>2.393883865214354E-3</v>
      </c>
      <c r="H45" s="50">
        <v>4.375</v>
      </c>
    </row>
    <row r="46" spans="1:15" x14ac:dyDescent="0.2">
      <c r="A46" s="1"/>
      <c r="B46" s="1"/>
      <c r="C46" s="2" t="s">
        <v>10</v>
      </c>
      <c r="D46" s="1"/>
      <c r="E46" s="1" t="s">
        <v>11</v>
      </c>
      <c r="F46" s="92">
        <f>SUM(F28:F45)</f>
        <v>27133.866000000005</v>
      </c>
      <c r="G46" s="93">
        <f>SUM(G28:G45)</f>
        <v>0.21468370384567417</v>
      </c>
      <c r="H46" s="50"/>
    </row>
    <row r="47" spans="1:15" x14ac:dyDescent="0.2">
      <c r="A47" s="1"/>
      <c r="B47" s="1"/>
      <c r="C47" s="5"/>
      <c r="D47" s="1"/>
      <c r="E47" s="1"/>
      <c r="F47" s="91"/>
      <c r="G47" s="91"/>
      <c r="H47" s="50"/>
    </row>
    <row r="48" spans="1:15" x14ac:dyDescent="0.2">
      <c r="A48" s="1"/>
      <c r="B48" s="1"/>
      <c r="C48" s="2" t="s">
        <v>46</v>
      </c>
      <c r="D48" s="1"/>
      <c r="E48" s="1"/>
      <c r="F48" s="88"/>
      <c r="G48" s="88"/>
      <c r="H48" s="50"/>
    </row>
    <row r="49" spans="1:8" x14ac:dyDescent="0.2">
      <c r="A49" s="1"/>
      <c r="B49" s="1"/>
      <c r="C49" s="2" t="s">
        <v>10</v>
      </c>
      <c r="D49" s="1"/>
      <c r="E49" s="1" t="s">
        <v>11</v>
      </c>
      <c r="F49" s="89">
        <v>0</v>
      </c>
      <c r="G49" s="90">
        <v>0</v>
      </c>
      <c r="H49" s="50"/>
    </row>
    <row r="50" spans="1:8" x14ac:dyDescent="0.2">
      <c r="A50" s="1"/>
      <c r="B50" s="1"/>
      <c r="C50" s="5"/>
      <c r="D50" s="1"/>
      <c r="E50" s="1"/>
      <c r="F50" s="91"/>
      <c r="G50" s="91"/>
      <c r="H50" s="50"/>
    </row>
    <row r="51" spans="1:8" x14ac:dyDescent="0.2">
      <c r="A51" s="1"/>
      <c r="B51" s="1"/>
      <c r="C51" s="2" t="s">
        <v>47</v>
      </c>
      <c r="D51" s="1"/>
      <c r="E51" s="1"/>
      <c r="F51" s="88"/>
      <c r="G51" s="88"/>
      <c r="H51" s="50"/>
    </row>
    <row r="52" spans="1:8" ht="25.5" x14ac:dyDescent="0.2">
      <c r="A52" s="9">
        <v>1</v>
      </c>
      <c r="B52" s="10" t="s">
        <v>579</v>
      </c>
      <c r="C52" s="10" t="s">
        <v>582</v>
      </c>
      <c r="D52" s="10" t="s">
        <v>49</v>
      </c>
      <c r="E52" s="11">
        <v>500000</v>
      </c>
      <c r="F52" s="94">
        <v>504.80200000000002</v>
      </c>
      <c r="G52" s="95">
        <v>3.9940037688954468E-3</v>
      </c>
      <c r="H52" s="50">
        <v>3.6717</v>
      </c>
    </row>
    <row r="53" spans="1:8" ht="25.5" x14ac:dyDescent="0.2">
      <c r="A53" s="9">
        <v>2</v>
      </c>
      <c r="B53" s="10" t="s">
        <v>521</v>
      </c>
      <c r="C53" s="10" t="s">
        <v>522</v>
      </c>
      <c r="D53" s="10" t="s">
        <v>49</v>
      </c>
      <c r="E53" s="11">
        <v>300000</v>
      </c>
      <c r="F53" s="94">
        <v>308.38319999999999</v>
      </c>
      <c r="G53" s="95">
        <v>2.4399341980896241E-3</v>
      </c>
      <c r="H53" s="50">
        <v>4.4290000000000003</v>
      </c>
    </row>
    <row r="54" spans="1:8" ht="25.5" x14ac:dyDescent="0.2">
      <c r="A54" s="9">
        <v>3</v>
      </c>
      <c r="B54" s="10" t="s">
        <v>525</v>
      </c>
      <c r="C54" s="10" t="s">
        <v>540</v>
      </c>
      <c r="D54" s="10" t="s">
        <v>49</v>
      </c>
      <c r="E54" s="11">
        <v>300000</v>
      </c>
      <c r="F54" s="94">
        <v>307.97730000000001</v>
      </c>
      <c r="G54" s="95">
        <v>2.4367227089715253E-3</v>
      </c>
      <c r="H54" s="50">
        <v>4.3352000000000004</v>
      </c>
    </row>
    <row r="55" spans="1:8" ht="25.5" x14ac:dyDescent="0.2">
      <c r="A55" s="9">
        <v>4</v>
      </c>
      <c r="B55" s="10" t="s">
        <v>523</v>
      </c>
      <c r="C55" s="10" t="s">
        <v>538</v>
      </c>
      <c r="D55" s="10" t="s">
        <v>49</v>
      </c>
      <c r="E55" s="11">
        <v>200000</v>
      </c>
      <c r="F55" s="94">
        <v>203.6354</v>
      </c>
      <c r="G55" s="95">
        <v>1.6111674578954361E-3</v>
      </c>
      <c r="H55" s="50">
        <v>4.0002000000000004</v>
      </c>
    </row>
    <row r="56" spans="1:8" ht="25.5" x14ac:dyDescent="0.2">
      <c r="A56" s="9">
        <v>5</v>
      </c>
      <c r="B56" s="10" t="s">
        <v>524</v>
      </c>
      <c r="C56" s="10" t="s">
        <v>539</v>
      </c>
      <c r="D56" s="10" t="s">
        <v>49</v>
      </c>
      <c r="E56" s="11">
        <v>150000</v>
      </c>
      <c r="F56" s="94">
        <v>152.43285</v>
      </c>
      <c r="G56" s="95">
        <v>1.2060518330027899E-3</v>
      </c>
      <c r="H56" s="50">
        <v>3.9089</v>
      </c>
    </row>
    <row r="57" spans="1:8" ht="25.5" x14ac:dyDescent="0.2">
      <c r="A57" s="9">
        <v>6</v>
      </c>
      <c r="B57" s="10" t="s">
        <v>518</v>
      </c>
      <c r="C57" s="10" t="s">
        <v>519</v>
      </c>
      <c r="D57" s="10" t="s">
        <v>49</v>
      </c>
      <c r="E57" s="11">
        <v>100000</v>
      </c>
      <c r="F57" s="94">
        <v>101.8387</v>
      </c>
      <c r="G57" s="95">
        <v>8.057498813780706E-4</v>
      </c>
      <c r="H57" s="50">
        <v>4.4493999999999998</v>
      </c>
    </row>
    <row r="58" spans="1:8" x14ac:dyDescent="0.2">
      <c r="A58" s="1"/>
      <c r="B58" s="1"/>
      <c r="C58" s="2" t="s">
        <v>10</v>
      </c>
      <c r="D58" s="1"/>
      <c r="E58" s="1" t="s">
        <v>11</v>
      </c>
      <c r="F58" s="89">
        <v>1579.06945</v>
      </c>
      <c r="G58" s="90">
        <v>1.2493629848232893E-2</v>
      </c>
      <c r="H58" s="50"/>
    </row>
    <row r="59" spans="1:8" x14ac:dyDescent="0.2">
      <c r="A59" s="1"/>
      <c r="B59" s="1"/>
      <c r="C59" s="5"/>
      <c r="D59" s="1"/>
      <c r="E59" s="1"/>
      <c r="F59" s="91"/>
      <c r="G59" s="91"/>
      <c r="H59" s="50"/>
    </row>
    <row r="60" spans="1:8" x14ac:dyDescent="0.2">
      <c r="A60" s="1"/>
      <c r="B60" s="1"/>
      <c r="C60" s="2" t="s">
        <v>55</v>
      </c>
      <c r="D60" s="1"/>
      <c r="E60" s="1"/>
      <c r="F60" s="91"/>
      <c r="G60" s="91"/>
      <c r="H60" s="50"/>
    </row>
    <row r="61" spans="1:8" x14ac:dyDescent="0.2">
      <c r="A61" s="1"/>
      <c r="B61" s="1"/>
      <c r="C61" s="2" t="s">
        <v>10</v>
      </c>
      <c r="D61" s="1"/>
      <c r="E61" s="1" t="s">
        <v>11</v>
      </c>
      <c r="F61" s="89">
        <v>0</v>
      </c>
      <c r="G61" s="90">
        <v>0</v>
      </c>
      <c r="H61" s="50"/>
    </row>
    <row r="62" spans="1:8" x14ac:dyDescent="0.2">
      <c r="A62" s="1"/>
      <c r="B62" s="1"/>
      <c r="C62" s="5"/>
      <c r="D62" s="1"/>
      <c r="E62" s="1"/>
      <c r="F62" s="91"/>
      <c r="G62" s="91"/>
      <c r="H62" s="50"/>
    </row>
    <row r="63" spans="1:8" x14ac:dyDescent="0.2">
      <c r="A63" s="1"/>
      <c r="B63" s="1"/>
      <c r="C63" s="2" t="s">
        <v>56</v>
      </c>
      <c r="D63" s="1"/>
      <c r="E63" s="1"/>
      <c r="F63" s="92">
        <v>28712.935450000001</v>
      </c>
      <c r="G63" s="93">
        <v>0.22717733369390708</v>
      </c>
      <c r="H63" s="50"/>
    </row>
    <row r="64" spans="1:8" x14ac:dyDescent="0.2">
      <c r="A64" s="1"/>
      <c r="B64" s="1"/>
      <c r="C64" s="5"/>
      <c r="D64" s="1"/>
      <c r="E64" s="1"/>
      <c r="F64" s="91"/>
      <c r="G64" s="91"/>
      <c r="H64" s="50"/>
    </row>
    <row r="65" spans="1:8" x14ac:dyDescent="0.2">
      <c r="A65" s="1"/>
      <c r="B65" s="1"/>
      <c r="C65" s="2" t="s">
        <v>57</v>
      </c>
      <c r="D65" s="1"/>
      <c r="E65" s="1"/>
      <c r="F65" s="91"/>
      <c r="G65" s="91"/>
      <c r="H65" s="50"/>
    </row>
    <row r="66" spans="1:8" x14ac:dyDescent="0.2">
      <c r="A66" s="1"/>
      <c r="B66" s="1"/>
      <c r="C66" s="2" t="s">
        <v>58</v>
      </c>
      <c r="D66" s="1"/>
      <c r="E66" s="1"/>
      <c r="F66" s="91"/>
      <c r="G66" s="91"/>
      <c r="H66" s="50"/>
    </row>
    <row r="67" spans="1:8" ht="25.5" x14ac:dyDescent="0.2">
      <c r="A67" s="9">
        <v>1</v>
      </c>
      <c r="B67" s="10" t="s">
        <v>390</v>
      </c>
      <c r="C67" s="10" t="s">
        <v>391</v>
      </c>
      <c r="D67" s="10" t="s">
        <v>61</v>
      </c>
      <c r="E67" s="11">
        <v>5000</v>
      </c>
      <c r="F67" s="94">
        <v>4959.21</v>
      </c>
      <c r="G67" s="95">
        <v>3.9237371148973244E-2</v>
      </c>
      <c r="H67" s="50">
        <v>3.6172</v>
      </c>
    </row>
    <row r="68" spans="1:8" x14ac:dyDescent="0.2">
      <c r="A68" s="9">
        <v>2</v>
      </c>
      <c r="B68" s="10" t="s">
        <v>392</v>
      </c>
      <c r="C68" s="10" t="s">
        <v>393</v>
      </c>
      <c r="D68" s="10" t="s">
        <v>61</v>
      </c>
      <c r="E68" s="11">
        <v>500</v>
      </c>
      <c r="F68" s="94">
        <v>2468.6174999999998</v>
      </c>
      <c r="G68" s="95">
        <v>1.953175224932004E-2</v>
      </c>
      <c r="H68" s="50">
        <v>4</v>
      </c>
    </row>
    <row r="69" spans="1:8" x14ac:dyDescent="0.2">
      <c r="A69" s="9">
        <v>3</v>
      </c>
      <c r="B69" s="10" t="s">
        <v>59</v>
      </c>
      <c r="C69" s="10" t="s">
        <v>60</v>
      </c>
      <c r="D69" s="10" t="s">
        <v>61</v>
      </c>
      <c r="E69" s="11">
        <v>500</v>
      </c>
      <c r="F69" s="94">
        <v>2468.35</v>
      </c>
      <c r="G69" s="95">
        <v>1.9529635783838172E-2</v>
      </c>
      <c r="H69" s="50">
        <v>4</v>
      </c>
    </row>
    <row r="70" spans="1:8" ht="17.100000000000001" customHeight="1" x14ac:dyDescent="0.2">
      <c r="A70" s="9">
        <v>4</v>
      </c>
      <c r="B70" s="10" t="s">
        <v>526</v>
      </c>
      <c r="C70" s="10" t="s">
        <v>527</v>
      </c>
      <c r="D70" s="10" t="s">
        <v>61</v>
      </c>
      <c r="E70" s="11">
        <v>300</v>
      </c>
      <c r="F70" s="94">
        <v>298.26780000000002</v>
      </c>
      <c r="G70" s="95">
        <v>2.3599009459949714E-3</v>
      </c>
      <c r="H70" s="50">
        <v>3.6551</v>
      </c>
    </row>
    <row r="71" spans="1:8" ht="17.100000000000001" customHeight="1" x14ac:dyDescent="0.2">
      <c r="A71" s="9">
        <v>5</v>
      </c>
      <c r="B71" s="10" t="s">
        <v>547</v>
      </c>
      <c r="C71" s="10" t="s">
        <v>548</v>
      </c>
      <c r="D71" s="10" t="s">
        <v>61</v>
      </c>
      <c r="E71" s="11">
        <v>40</v>
      </c>
      <c r="F71" s="94">
        <v>199.262</v>
      </c>
      <c r="G71" s="95">
        <v>1.5765650274714533E-3</v>
      </c>
      <c r="H71" s="50">
        <v>3.5575000000000001</v>
      </c>
    </row>
    <row r="72" spans="1:8" x14ac:dyDescent="0.2">
      <c r="A72" s="1"/>
      <c r="B72" s="1"/>
      <c r="C72" s="2" t="s">
        <v>10</v>
      </c>
      <c r="D72" s="1"/>
      <c r="E72" s="1" t="s">
        <v>11</v>
      </c>
      <c r="F72" s="92">
        <v>10393.7073</v>
      </c>
      <c r="G72" s="93">
        <v>8.2235225155597877E-2</v>
      </c>
      <c r="H72" s="50"/>
    </row>
    <row r="73" spans="1:8" x14ac:dyDescent="0.2">
      <c r="A73" s="1"/>
      <c r="B73" s="1"/>
      <c r="C73" s="5"/>
      <c r="D73" s="1"/>
      <c r="E73" s="1"/>
      <c r="F73" s="91"/>
      <c r="G73" s="91"/>
      <c r="H73" s="50"/>
    </row>
    <row r="74" spans="1:8" x14ac:dyDescent="0.2">
      <c r="A74" s="1"/>
      <c r="B74" s="1"/>
      <c r="C74" s="2" t="s">
        <v>64</v>
      </c>
      <c r="D74" s="1"/>
      <c r="E74" s="1"/>
      <c r="F74" s="91"/>
      <c r="G74" s="91"/>
      <c r="H74" s="50"/>
    </row>
    <row r="75" spans="1:8" ht="25.5" x14ac:dyDescent="0.2">
      <c r="A75" s="9">
        <v>1</v>
      </c>
      <c r="B75" s="10" t="s">
        <v>279</v>
      </c>
      <c r="C75" s="10" t="s">
        <v>280</v>
      </c>
      <c r="D75" s="10" t="s">
        <v>61</v>
      </c>
      <c r="E75" s="11">
        <v>1000</v>
      </c>
      <c r="F75" s="94">
        <v>4993.79</v>
      </c>
      <c r="G75" s="95">
        <v>3.9510968817620361E-2</v>
      </c>
      <c r="H75" s="50">
        <v>4.1262999999999996</v>
      </c>
    </row>
    <row r="76" spans="1:8" ht="25.5" x14ac:dyDescent="0.2">
      <c r="A76" s="9">
        <v>2</v>
      </c>
      <c r="B76" s="10" t="s">
        <v>267</v>
      </c>
      <c r="C76" s="10" t="s">
        <v>268</v>
      </c>
      <c r="D76" s="10" t="s">
        <v>61</v>
      </c>
      <c r="E76" s="11">
        <v>1000</v>
      </c>
      <c r="F76" s="94">
        <v>4982.99</v>
      </c>
      <c r="G76" s="95">
        <v>3.9425518996296219E-2</v>
      </c>
      <c r="H76" s="50">
        <v>3.665</v>
      </c>
    </row>
    <row r="77" spans="1:8" ht="25.5" x14ac:dyDescent="0.2">
      <c r="A77" s="9">
        <v>3</v>
      </c>
      <c r="B77" s="10" t="s">
        <v>312</v>
      </c>
      <c r="C77" s="10" t="s">
        <v>313</v>
      </c>
      <c r="D77" s="10" t="s">
        <v>61</v>
      </c>
      <c r="E77" s="11">
        <v>1000</v>
      </c>
      <c r="F77" s="94">
        <v>4973.3850000000002</v>
      </c>
      <c r="G77" s="95">
        <v>3.9349524039461181E-2</v>
      </c>
      <c r="H77" s="50">
        <v>3.83</v>
      </c>
    </row>
    <row r="78" spans="1:8" x14ac:dyDescent="0.2">
      <c r="A78" s="9">
        <v>4</v>
      </c>
      <c r="B78" s="10" t="s">
        <v>281</v>
      </c>
      <c r="C78" s="10" t="s">
        <v>282</v>
      </c>
      <c r="D78" s="10" t="s">
        <v>61</v>
      </c>
      <c r="E78" s="11">
        <v>800</v>
      </c>
      <c r="F78" s="94">
        <v>3972.3159999999998</v>
      </c>
      <c r="G78" s="95">
        <v>3.1429045596577838E-2</v>
      </c>
      <c r="H78" s="50">
        <v>4.625</v>
      </c>
    </row>
    <row r="79" spans="1:8" x14ac:dyDescent="0.2">
      <c r="A79" s="9">
        <v>5</v>
      </c>
      <c r="B79" s="10" t="s">
        <v>283</v>
      </c>
      <c r="C79" s="10" t="s">
        <v>411</v>
      </c>
      <c r="D79" s="10" t="s">
        <v>61</v>
      </c>
      <c r="E79" s="11">
        <v>800</v>
      </c>
      <c r="F79" s="94">
        <v>3971.32</v>
      </c>
      <c r="G79" s="95">
        <v>3.1421165224166839E-2</v>
      </c>
      <c r="H79" s="50">
        <v>4.5449999999999999</v>
      </c>
    </row>
    <row r="80" spans="1:8" x14ac:dyDescent="0.2">
      <c r="A80" s="9">
        <v>6</v>
      </c>
      <c r="B80" s="10" t="s">
        <v>273</v>
      </c>
      <c r="C80" s="10" t="s">
        <v>274</v>
      </c>
      <c r="D80" s="10" t="s">
        <v>61</v>
      </c>
      <c r="E80" s="11">
        <v>600</v>
      </c>
      <c r="F80" s="94">
        <v>2991.0059999999999</v>
      </c>
      <c r="G80" s="95">
        <v>2.3664900766615218E-2</v>
      </c>
      <c r="H80" s="50">
        <v>4.2213000000000003</v>
      </c>
    </row>
    <row r="81" spans="1:8" x14ac:dyDescent="0.2">
      <c r="A81" s="9">
        <v>7</v>
      </c>
      <c r="B81" s="10" t="s">
        <v>394</v>
      </c>
      <c r="C81" s="10" t="s">
        <v>395</v>
      </c>
      <c r="D81" s="10" t="s">
        <v>451</v>
      </c>
      <c r="E81" s="11">
        <v>500</v>
      </c>
      <c r="F81" s="94">
        <v>2495.6350000000002</v>
      </c>
      <c r="G81" s="95">
        <v>1.9745515262989032E-2</v>
      </c>
      <c r="H81" s="50">
        <v>3.99</v>
      </c>
    </row>
    <row r="82" spans="1:8" x14ac:dyDescent="0.2">
      <c r="A82" s="9">
        <v>8</v>
      </c>
      <c r="B82" s="10" t="s">
        <v>308</v>
      </c>
      <c r="C82" s="10" t="s">
        <v>309</v>
      </c>
      <c r="D82" s="10" t="s">
        <v>451</v>
      </c>
      <c r="E82" s="11">
        <v>500</v>
      </c>
      <c r="F82" s="94">
        <v>2495.5949999999998</v>
      </c>
      <c r="G82" s="95">
        <v>1.974519878216931E-2</v>
      </c>
      <c r="H82" s="50">
        <v>3.79</v>
      </c>
    </row>
    <row r="83" spans="1:8" x14ac:dyDescent="0.2">
      <c r="A83" s="9">
        <v>9</v>
      </c>
      <c r="B83" s="10" t="s">
        <v>271</v>
      </c>
      <c r="C83" s="10" t="s">
        <v>272</v>
      </c>
      <c r="D83" s="10" t="s">
        <v>61</v>
      </c>
      <c r="E83" s="11">
        <v>500</v>
      </c>
      <c r="F83" s="94">
        <v>2486.5549999999998</v>
      </c>
      <c r="G83" s="95">
        <v>1.9673674116912804E-2</v>
      </c>
      <c r="H83" s="50">
        <v>3.6549999999999998</v>
      </c>
    </row>
    <row r="84" spans="1:8" x14ac:dyDescent="0.2">
      <c r="A84" s="9">
        <v>10</v>
      </c>
      <c r="B84" s="10" t="s">
        <v>396</v>
      </c>
      <c r="C84" s="10" t="s">
        <v>397</v>
      </c>
      <c r="D84" s="10" t="s">
        <v>61</v>
      </c>
      <c r="E84" s="11">
        <v>500</v>
      </c>
      <c r="F84" s="94">
        <v>2486.5549999999998</v>
      </c>
      <c r="G84" s="95">
        <v>1.9673674116912804E-2</v>
      </c>
      <c r="H84" s="50">
        <v>3.6549999999999998</v>
      </c>
    </row>
    <row r="85" spans="1:8" x14ac:dyDescent="0.2">
      <c r="A85" s="9">
        <v>11</v>
      </c>
      <c r="B85" s="10" t="s">
        <v>284</v>
      </c>
      <c r="C85" s="10" t="s">
        <v>412</v>
      </c>
      <c r="D85" s="10" t="s">
        <v>61</v>
      </c>
      <c r="E85" s="11">
        <v>500</v>
      </c>
      <c r="F85" s="94">
        <v>2444.62</v>
      </c>
      <c r="G85" s="95">
        <v>1.9341883537539843E-2</v>
      </c>
      <c r="H85" s="50">
        <v>5.44</v>
      </c>
    </row>
    <row r="86" spans="1:8" x14ac:dyDescent="0.2">
      <c r="A86" s="1"/>
      <c r="B86" s="1"/>
      <c r="C86" s="2" t="s">
        <v>10</v>
      </c>
      <c r="D86" s="1"/>
      <c r="E86" s="1" t="s">
        <v>11</v>
      </c>
      <c r="F86" s="92">
        <v>38293.767</v>
      </c>
      <c r="G86" s="93">
        <v>0.30298106925726143</v>
      </c>
      <c r="H86" s="50"/>
    </row>
    <row r="87" spans="1:8" x14ac:dyDescent="0.2">
      <c r="A87" s="1"/>
      <c r="B87" s="1"/>
      <c r="C87" s="5"/>
      <c r="D87" s="1"/>
      <c r="E87" s="1"/>
      <c r="F87" s="91"/>
      <c r="G87" s="91"/>
      <c r="H87" s="50"/>
    </row>
    <row r="88" spans="1:8" x14ac:dyDescent="0.2">
      <c r="A88" s="1"/>
      <c r="B88" s="1"/>
      <c r="C88" s="2" t="s">
        <v>67</v>
      </c>
      <c r="D88" s="1"/>
      <c r="E88" s="1"/>
      <c r="F88" s="91"/>
      <c r="G88" s="91"/>
      <c r="H88" s="50"/>
    </row>
    <row r="89" spans="1:8" x14ac:dyDescent="0.2">
      <c r="A89" s="9">
        <v>1</v>
      </c>
      <c r="B89" s="10" t="s">
        <v>68</v>
      </c>
      <c r="C89" s="10" t="s">
        <v>420</v>
      </c>
      <c r="D89" s="10" t="s">
        <v>49</v>
      </c>
      <c r="E89" s="11">
        <v>15000000</v>
      </c>
      <c r="F89" s="94">
        <v>14797.65</v>
      </c>
      <c r="G89" s="95">
        <v>0.11707931004789147</v>
      </c>
      <c r="H89" s="50">
        <v>3.81</v>
      </c>
    </row>
    <row r="90" spans="1:8" x14ac:dyDescent="0.2">
      <c r="A90" s="9">
        <v>2</v>
      </c>
      <c r="B90" s="10" t="s">
        <v>398</v>
      </c>
      <c r="C90" s="10" t="s">
        <v>423</v>
      </c>
      <c r="D90" s="10" t="s">
        <v>49</v>
      </c>
      <c r="E90" s="11">
        <f>10000000+500000</f>
        <v>10500000</v>
      </c>
      <c r="F90" s="94">
        <v>10447.4475</v>
      </c>
      <c r="G90" s="95">
        <v>8.2660418719294526E-2</v>
      </c>
      <c r="H90" s="50">
        <v>3.4</v>
      </c>
    </row>
    <row r="91" spans="1:8" x14ac:dyDescent="0.2">
      <c r="A91" s="9">
        <v>3</v>
      </c>
      <c r="B91" s="10" t="s">
        <v>399</v>
      </c>
      <c r="C91" s="10" t="s">
        <v>424</v>
      </c>
      <c r="D91" s="10" t="s">
        <v>49</v>
      </c>
      <c r="E91" s="11">
        <v>5000000</v>
      </c>
      <c r="F91" s="94">
        <v>4967.6099999999997</v>
      </c>
      <c r="G91" s="95">
        <v>3.9303832121114241E-2</v>
      </c>
      <c r="H91" s="50">
        <v>3.5001000000000002</v>
      </c>
    </row>
    <row r="92" spans="1:8" ht="17.100000000000001" customHeight="1" x14ac:dyDescent="0.2">
      <c r="A92" s="9">
        <v>4</v>
      </c>
      <c r="B92" s="10" t="s">
        <v>580</v>
      </c>
      <c r="C92" s="10" t="s">
        <v>581</v>
      </c>
      <c r="D92" s="10" t="s">
        <v>49</v>
      </c>
      <c r="E92" s="11">
        <v>500000</v>
      </c>
      <c r="F92" s="94">
        <v>494.47149999999999</v>
      </c>
      <c r="G92" s="95">
        <v>3.9122686411927551E-3</v>
      </c>
      <c r="H92" s="50">
        <v>3.7101000000000002</v>
      </c>
    </row>
    <row r="93" spans="1:8" ht="17.100000000000001" customHeight="1" x14ac:dyDescent="0.2">
      <c r="A93" s="9">
        <v>5</v>
      </c>
      <c r="B93" s="10" t="s">
        <v>534</v>
      </c>
      <c r="C93" s="10" t="s">
        <v>535</v>
      </c>
      <c r="D93" s="10" t="s">
        <v>49</v>
      </c>
      <c r="E93" s="11">
        <v>400000</v>
      </c>
      <c r="F93" s="94">
        <v>397.37079999999997</v>
      </c>
      <c r="G93" s="95">
        <v>3.1440059129104062E-3</v>
      </c>
      <c r="H93" s="50">
        <v>3.5</v>
      </c>
    </row>
    <row r="94" spans="1:8" ht="17.100000000000001" customHeight="1" x14ac:dyDescent="0.2">
      <c r="A94" s="9">
        <v>6</v>
      </c>
      <c r="B94" s="10" t="s">
        <v>536</v>
      </c>
      <c r="C94" s="10" t="s">
        <v>537</v>
      </c>
      <c r="D94" s="10" t="s">
        <v>49</v>
      </c>
      <c r="E94" s="11">
        <v>65000</v>
      </c>
      <c r="F94" s="94">
        <v>64.971074999999999</v>
      </c>
      <c r="G94" s="95">
        <v>5.1405247685070332E-4</v>
      </c>
      <c r="H94" s="50">
        <v>3.2498999999999998</v>
      </c>
    </row>
    <row r="95" spans="1:8" x14ac:dyDescent="0.2">
      <c r="A95" s="1"/>
      <c r="B95" s="1"/>
      <c r="C95" s="2" t="s">
        <v>10</v>
      </c>
      <c r="D95" s="1"/>
      <c r="E95" s="1" t="s">
        <v>11</v>
      </c>
      <c r="F95" s="92">
        <v>31169.520875000002</v>
      </c>
      <c r="G95" s="93">
        <v>0.24661388791925412</v>
      </c>
      <c r="H95" s="50"/>
    </row>
    <row r="96" spans="1:8" x14ac:dyDescent="0.2">
      <c r="A96" s="1"/>
      <c r="B96" s="1"/>
      <c r="C96" s="5"/>
      <c r="D96" s="1"/>
      <c r="E96" s="1"/>
      <c r="F96" s="91"/>
      <c r="G96" s="91"/>
      <c r="H96" s="50"/>
    </row>
    <row r="97" spans="1:8" x14ac:dyDescent="0.2">
      <c r="A97" s="1"/>
      <c r="B97" s="1"/>
      <c r="C97" s="2" t="s">
        <v>69</v>
      </c>
      <c r="D97" s="1"/>
      <c r="E97" s="1"/>
      <c r="F97" s="91"/>
      <c r="G97" s="91"/>
      <c r="H97" s="50"/>
    </row>
    <row r="98" spans="1:8" x14ac:dyDescent="0.2">
      <c r="A98" s="9">
        <v>1</v>
      </c>
      <c r="B98" s="10"/>
      <c r="C98" s="10" t="s">
        <v>70</v>
      </c>
      <c r="D98" s="10"/>
      <c r="E98" s="14"/>
      <c r="F98" s="94">
        <v>10778.369305300001</v>
      </c>
      <c r="G98" s="95">
        <v>8.5278678824400864E-2</v>
      </c>
      <c r="H98" s="50">
        <v>3.4504560529072292</v>
      </c>
    </row>
    <row r="99" spans="1:8" x14ac:dyDescent="0.2">
      <c r="A99" s="9">
        <v>2</v>
      </c>
      <c r="B99" s="10"/>
      <c r="C99" s="10" t="s">
        <v>71</v>
      </c>
      <c r="D99" s="10"/>
      <c r="E99" s="14"/>
      <c r="F99" s="94">
        <v>5817.1662127999998</v>
      </c>
      <c r="G99" s="95">
        <v>4.6025538286723219E-2</v>
      </c>
      <c r="H99" s="50">
        <v>3.5655822479098256</v>
      </c>
    </row>
    <row r="100" spans="1:8" x14ac:dyDescent="0.2">
      <c r="A100" s="1"/>
      <c r="B100" s="1"/>
      <c r="C100" s="2" t="s">
        <v>10</v>
      </c>
      <c r="D100" s="1"/>
      <c r="E100" s="1" t="s">
        <v>11</v>
      </c>
      <c r="F100" s="92">
        <v>16595.535518100001</v>
      </c>
      <c r="G100" s="93">
        <v>0.13130421711112408</v>
      </c>
      <c r="H100" s="50"/>
    </row>
    <row r="101" spans="1:8" x14ac:dyDescent="0.2">
      <c r="A101" s="1"/>
      <c r="B101" s="1"/>
      <c r="C101" s="5"/>
      <c r="D101" s="1"/>
      <c r="E101" s="1"/>
      <c r="F101" s="91"/>
      <c r="G101" s="91"/>
      <c r="H101" s="50"/>
    </row>
    <row r="102" spans="1:8" x14ac:dyDescent="0.2">
      <c r="A102" s="1"/>
      <c r="B102" s="1"/>
      <c r="C102" s="2" t="s">
        <v>72</v>
      </c>
      <c r="D102" s="1"/>
      <c r="E102" s="1"/>
      <c r="F102" s="92">
        <v>96452.530693099994</v>
      </c>
      <c r="G102" s="93">
        <v>0.76313439944323747</v>
      </c>
      <c r="H102" s="50"/>
    </row>
    <row r="103" spans="1:8" x14ac:dyDescent="0.2">
      <c r="A103" s="1"/>
      <c r="B103" s="1"/>
      <c r="C103" s="6"/>
      <c r="D103" s="1"/>
      <c r="E103" s="1"/>
      <c r="F103" s="88"/>
      <c r="G103" s="88"/>
      <c r="H103" s="50"/>
    </row>
    <row r="104" spans="1:8" x14ac:dyDescent="0.2">
      <c r="A104" s="1"/>
      <c r="B104" s="1"/>
      <c r="C104" s="2" t="s">
        <v>73</v>
      </c>
      <c r="D104" s="1"/>
      <c r="E104" s="1"/>
      <c r="F104" s="88"/>
      <c r="G104" s="88"/>
      <c r="H104" s="50"/>
    </row>
    <row r="105" spans="1:8" x14ac:dyDescent="0.2">
      <c r="A105" s="1"/>
      <c r="B105" s="1"/>
      <c r="C105" s="2" t="s">
        <v>74</v>
      </c>
      <c r="D105" s="1"/>
      <c r="E105" s="1"/>
      <c r="F105" s="88"/>
      <c r="G105" s="88"/>
      <c r="H105" s="50"/>
    </row>
    <row r="106" spans="1:8" x14ac:dyDescent="0.2">
      <c r="A106" s="1"/>
      <c r="B106" s="1"/>
      <c r="C106" s="2" t="s">
        <v>10</v>
      </c>
      <c r="D106" s="1"/>
      <c r="E106" s="1" t="s">
        <v>11</v>
      </c>
      <c r="F106" s="89">
        <v>0</v>
      </c>
      <c r="G106" s="90">
        <v>0</v>
      </c>
      <c r="H106" s="50"/>
    </row>
    <row r="107" spans="1:8" x14ac:dyDescent="0.2">
      <c r="A107" s="1"/>
      <c r="B107" s="1"/>
      <c r="C107" s="5"/>
      <c r="D107" s="1"/>
      <c r="E107" s="1"/>
      <c r="F107" s="91"/>
      <c r="G107" s="91"/>
      <c r="H107" s="50"/>
    </row>
    <row r="108" spans="1:8" x14ac:dyDescent="0.2">
      <c r="A108" s="1"/>
      <c r="B108" s="1"/>
      <c r="C108" s="2" t="s">
        <v>75</v>
      </c>
      <c r="D108" s="1"/>
      <c r="E108" s="1"/>
      <c r="F108" s="88"/>
      <c r="G108" s="88"/>
      <c r="H108" s="50"/>
    </row>
    <row r="109" spans="1:8" x14ac:dyDescent="0.2">
      <c r="A109" s="1"/>
      <c r="B109" s="1"/>
      <c r="C109" s="2" t="s">
        <v>76</v>
      </c>
      <c r="D109" s="1"/>
      <c r="E109" s="1"/>
      <c r="F109" s="88"/>
      <c r="G109" s="88"/>
      <c r="H109" s="50"/>
    </row>
    <row r="110" spans="1:8" x14ac:dyDescent="0.2">
      <c r="A110" s="1"/>
      <c r="B110" s="1"/>
      <c r="C110" s="2" t="s">
        <v>10</v>
      </c>
      <c r="D110" s="1"/>
      <c r="E110" s="1" t="s">
        <v>11</v>
      </c>
      <c r="F110" s="89">
        <v>0</v>
      </c>
      <c r="G110" s="90">
        <v>0</v>
      </c>
      <c r="H110" s="50"/>
    </row>
    <row r="111" spans="1:8" x14ac:dyDescent="0.2">
      <c r="A111" s="1"/>
      <c r="B111" s="1"/>
      <c r="C111" s="5"/>
      <c r="D111" s="1"/>
      <c r="E111" s="1"/>
      <c r="F111" s="91"/>
      <c r="G111" s="91"/>
      <c r="H111" s="50"/>
    </row>
    <row r="112" spans="1:8" ht="25.5" x14ac:dyDescent="0.2">
      <c r="A112" s="1"/>
      <c r="B112" s="1"/>
      <c r="C112" s="2" t="s">
        <v>77</v>
      </c>
      <c r="D112" s="1"/>
      <c r="E112" s="1"/>
      <c r="F112" s="91"/>
      <c r="G112" s="91"/>
      <c r="H112" s="50"/>
    </row>
    <row r="113" spans="1:8" x14ac:dyDescent="0.2">
      <c r="A113" s="1"/>
      <c r="B113" s="1"/>
      <c r="C113" s="2" t="s">
        <v>10</v>
      </c>
      <c r="D113" s="1"/>
      <c r="E113" s="1" t="s">
        <v>11</v>
      </c>
      <c r="F113" s="89">
        <v>0</v>
      </c>
      <c r="G113" s="90">
        <v>0</v>
      </c>
      <c r="H113" s="50"/>
    </row>
    <row r="114" spans="1:8" x14ac:dyDescent="0.2">
      <c r="A114" s="1"/>
      <c r="B114" s="1"/>
      <c r="C114" s="5"/>
      <c r="D114" s="1"/>
      <c r="E114" s="1"/>
      <c r="F114" s="91"/>
      <c r="G114" s="91"/>
      <c r="H114" s="50"/>
    </row>
    <row r="115" spans="1:8" x14ac:dyDescent="0.2">
      <c r="A115" s="1"/>
      <c r="B115" s="10"/>
      <c r="C115" s="10"/>
      <c r="D115" s="2"/>
      <c r="E115" s="1"/>
      <c r="F115" s="96"/>
      <c r="G115" s="97"/>
      <c r="H115" s="50"/>
    </row>
    <row r="116" spans="1:8" x14ac:dyDescent="0.2">
      <c r="A116" s="14"/>
      <c r="B116" s="10"/>
      <c r="C116" s="10" t="s">
        <v>78</v>
      </c>
      <c r="D116" s="10"/>
      <c r="E116" s="14"/>
      <c r="F116" s="94">
        <v>1224.49971805</v>
      </c>
      <c r="G116" s="95">
        <v>9.688266862855361E-3</v>
      </c>
      <c r="H116" s="50"/>
    </row>
    <row r="117" spans="1:8" x14ac:dyDescent="0.2">
      <c r="A117" s="5"/>
      <c r="B117" s="5"/>
      <c r="C117" s="2" t="s">
        <v>79</v>
      </c>
      <c r="D117" s="6"/>
      <c r="E117" s="6"/>
      <c r="F117" s="92">
        <v>126389.96586115001</v>
      </c>
      <c r="G117" s="93">
        <v>1</v>
      </c>
      <c r="H117" s="50"/>
    </row>
    <row r="118" spans="1:8" ht="14.1" customHeight="1" x14ac:dyDescent="0.2">
      <c r="A118" s="15"/>
      <c r="B118" s="15"/>
      <c r="C118" s="15"/>
      <c r="D118" s="16"/>
      <c r="E118" s="16"/>
    </row>
    <row r="119" spans="1:8" ht="17.100000000000001" customHeight="1" x14ac:dyDescent="0.2">
      <c r="A119" s="17"/>
      <c r="B119" s="154" t="s">
        <v>80</v>
      </c>
      <c r="C119" s="154"/>
      <c r="D119" s="154"/>
      <c r="E119" s="154"/>
      <c r="F119" s="154"/>
      <c r="G119" s="99"/>
    </row>
    <row r="120" spans="1:8" ht="17.100000000000001" customHeight="1" x14ac:dyDescent="0.2">
      <c r="A120" s="17"/>
      <c r="B120" s="154" t="s">
        <v>81</v>
      </c>
      <c r="C120" s="154"/>
      <c r="D120" s="154"/>
      <c r="E120" s="154"/>
      <c r="F120" s="154"/>
      <c r="G120" s="99"/>
    </row>
    <row r="121" spans="1:8" ht="14.1" customHeight="1" x14ac:dyDescent="0.2">
      <c r="A121" s="17"/>
      <c r="B121" s="154" t="s">
        <v>11</v>
      </c>
      <c r="C121" s="154"/>
      <c r="D121" s="154"/>
      <c r="E121" s="154"/>
      <c r="F121" s="154"/>
      <c r="G121" s="99"/>
    </row>
    <row r="122" spans="1:8" ht="14.1" customHeight="1" x14ac:dyDescent="0.2">
      <c r="A122" s="17"/>
      <c r="B122" s="17"/>
      <c r="C122" s="17"/>
      <c r="D122" s="19"/>
      <c r="E122" s="19"/>
      <c r="F122" s="99"/>
      <c r="G122" s="99"/>
    </row>
    <row r="123" spans="1:8" ht="14.1" customHeight="1" x14ac:dyDescent="0.2">
      <c r="A123" s="17"/>
      <c r="B123" s="155" t="s">
        <v>82</v>
      </c>
      <c r="C123" s="156"/>
      <c r="D123" s="157"/>
      <c r="E123" s="20"/>
      <c r="F123" s="99"/>
      <c r="G123" s="99"/>
    </row>
    <row r="124" spans="1:8" ht="29.1" customHeight="1" x14ac:dyDescent="0.2">
      <c r="A124" s="17"/>
      <c r="B124" s="149" t="s">
        <v>83</v>
      </c>
      <c r="C124" s="150"/>
      <c r="D124" s="2" t="s">
        <v>656</v>
      </c>
      <c r="E124" s="20"/>
      <c r="F124" s="99"/>
      <c r="G124" s="99"/>
    </row>
    <row r="125" spans="1:8" ht="17.100000000000001" customHeight="1" x14ac:dyDescent="0.2">
      <c r="A125" s="17"/>
      <c r="B125" s="149" t="s">
        <v>85</v>
      </c>
      <c r="C125" s="150"/>
      <c r="D125" s="2" t="s">
        <v>84</v>
      </c>
      <c r="E125" s="20"/>
      <c r="F125" s="99"/>
      <c r="G125" s="99"/>
    </row>
    <row r="126" spans="1:8" ht="17.100000000000001" customHeight="1" x14ac:dyDescent="0.2">
      <c r="A126" s="60"/>
      <c r="B126" s="149" t="s">
        <v>618</v>
      </c>
      <c r="C126" s="159"/>
      <c r="D126" s="150"/>
      <c r="E126" s="20"/>
      <c r="F126" s="61"/>
      <c r="G126" s="61"/>
    </row>
    <row r="127" spans="1:8" ht="24" customHeight="1" x14ac:dyDescent="0.2">
      <c r="A127" s="62"/>
      <c r="B127" s="22" t="s">
        <v>11</v>
      </c>
      <c r="C127" s="22" t="s">
        <v>87</v>
      </c>
      <c r="D127" s="22" t="s">
        <v>88</v>
      </c>
      <c r="E127" s="62"/>
      <c r="F127" s="62"/>
      <c r="G127" s="62"/>
    </row>
    <row r="128" spans="1:8" ht="18" customHeight="1" x14ac:dyDescent="0.2">
      <c r="A128" s="62"/>
      <c r="B128" s="23" t="s">
        <v>89</v>
      </c>
      <c r="C128" s="22" t="s">
        <v>90</v>
      </c>
      <c r="D128" s="22" t="s">
        <v>91</v>
      </c>
      <c r="E128" s="62"/>
      <c r="F128" s="62"/>
      <c r="G128" s="62"/>
    </row>
    <row r="129" spans="1:15" ht="17.100000000000001" customHeight="1" x14ac:dyDescent="0.2">
      <c r="A129" s="62"/>
      <c r="B129" s="10" t="s">
        <v>92</v>
      </c>
      <c r="C129" s="14">
        <v>2313.6628000000001</v>
      </c>
      <c r="D129" s="24">
        <v>2320.4542000000001</v>
      </c>
      <c r="E129" s="62"/>
      <c r="F129" s="63"/>
      <c r="G129" s="64"/>
    </row>
    <row r="130" spans="1:15" ht="29.1" customHeight="1" x14ac:dyDescent="0.2">
      <c r="A130" s="62"/>
      <c r="B130" s="10" t="s">
        <v>458</v>
      </c>
      <c r="C130" s="14">
        <v>1059.9758999999999</v>
      </c>
      <c r="D130" s="24">
        <v>1060.2779</v>
      </c>
      <c r="E130" s="62"/>
      <c r="F130" s="63"/>
      <c r="G130" s="64"/>
    </row>
    <row r="131" spans="1:15" ht="17.100000000000001" customHeight="1" x14ac:dyDescent="0.2">
      <c r="A131" s="62"/>
      <c r="B131" s="10" t="s">
        <v>93</v>
      </c>
      <c r="C131" s="14">
        <v>2215.8112999999998</v>
      </c>
      <c r="D131" s="24">
        <v>2220.7492999999999</v>
      </c>
      <c r="E131" s="62"/>
      <c r="F131" s="63"/>
      <c r="G131" s="64"/>
      <c r="I131"/>
      <c r="J131"/>
      <c r="K131"/>
      <c r="L131"/>
      <c r="M131"/>
      <c r="N131"/>
      <c r="O131"/>
    </row>
    <row r="132" spans="1:15" ht="29.1" customHeight="1" x14ac:dyDescent="0.2">
      <c r="A132" s="62"/>
      <c r="B132" s="10" t="s">
        <v>471</v>
      </c>
      <c r="C132" s="116">
        <v>1005.43</v>
      </c>
      <c r="D132" s="24">
        <v>1005.43</v>
      </c>
      <c r="E132" s="62"/>
      <c r="F132" s="63"/>
      <c r="G132" s="64"/>
    </row>
    <row r="133" spans="1:15" ht="29.1" customHeight="1" x14ac:dyDescent="0.2">
      <c r="A133" s="62"/>
      <c r="B133" s="10" t="s">
        <v>462</v>
      </c>
      <c r="C133" s="14">
        <v>1019.3519</v>
      </c>
      <c r="D133" s="24">
        <v>1019.0888</v>
      </c>
      <c r="E133" s="62"/>
      <c r="F133" s="63"/>
      <c r="G133" s="64"/>
    </row>
    <row r="134" spans="1:15" ht="29.1" customHeight="1" x14ac:dyDescent="0.2">
      <c r="A134" s="62"/>
      <c r="B134" s="10" t="s">
        <v>464</v>
      </c>
      <c r="C134" s="14">
        <v>1059.6312</v>
      </c>
      <c r="D134" s="24">
        <v>1059.9031</v>
      </c>
      <c r="E134" s="62"/>
      <c r="F134" s="63"/>
      <c r="G134" s="64"/>
    </row>
    <row r="135" spans="1:15" ht="17.100000000000001" customHeight="1" x14ac:dyDescent="0.2">
      <c r="A135" s="17"/>
      <c r="B135" s="149" t="s">
        <v>619</v>
      </c>
      <c r="C135" s="159"/>
      <c r="D135" s="150"/>
      <c r="E135" s="20"/>
      <c r="F135" s="99"/>
      <c r="G135" s="99"/>
    </row>
    <row r="136" spans="1:15" ht="24" customHeight="1" x14ac:dyDescent="0.2">
      <c r="A136" s="21"/>
      <c r="B136" s="22" t="s">
        <v>11</v>
      </c>
      <c r="C136" s="22" t="s">
        <v>87</v>
      </c>
      <c r="D136" s="22" t="s">
        <v>88</v>
      </c>
      <c r="E136" s="21"/>
      <c r="F136" s="100"/>
      <c r="G136" s="100"/>
    </row>
    <row r="137" spans="1:15" ht="18" customHeight="1" x14ac:dyDescent="0.2">
      <c r="A137" s="21"/>
      <c r="B137" s="23" t="s">
        <v>89</v>
      </c>
      <c r="C137" s="22" t="s">
        <v>90</v>
      </c>
      <c r="D137" s="22" t="s">
        <v>91</v>
      </c>
      <c r="E137" s="21"/>
      <c r="F137" s="100"/>
      <c r="G137" s="100"/>
    </row>
    <row r="138" spans="1:15" ht="17.100000000000001" customHeight="1" x14ac:dyDescent="0.2">
      <c r="A138" s="21"/>
      <c r="B138" s="10" t="s">
        <v>92</v>
      </c>
      <c r="C138" s="24">
        <v>11.343999999999999</v>
      </c>
      <c r="D138" s="24">
        <v>11.3788</v>
      </c>
      <c r="E138" s="21"/>
      <c r="F138" s="101"/>
      <c r="G138" s="102"/>
    </row>
    <row r="139" spans="1:15" ht="29.1" customHeight="1" x14ac:dyDescent="0.2">
      <c r="A139" s="21"/>
      <c r="B139" s="10" t="s">
        <v>469</v>
      </c>
      <c r="C139" s="24">
        <v>10.17</v>
      </c>
      <c r="D139" s="24">
        <v>10.17</v>
      </c>
      <c r="E139" s="21"/>
      <c r="F139" s="101"/>
      <c r="G139" s="102"/>
    </row>
    <row r="140" spans="1:15" ht="29.1" customHeight="1" x14ac:dyDescent="0.2">
      <c r="A140" s="21"/>
      <c r="B140" s="10" t="s">
        <v>456</v>
      </c>
      <c r="C140" s="24">
        <v>10.346299999999999</v>
      </c>
      <c r="D140" s="24">
        <v>10.3452</v>
      </c>
      <c r="E140" s="21"/>
      <c r="F140" s="101"/>
      <c r="G140" s="102"/>
    </row>
    <row r="141" spans="1:15" ht="29.1" customHeight="1" x14ac:dyDescent="0.2">
      <c r="A141" s="21"/>
      <c r="B141" s="10" t="s">
        <v>457</v>
      </c>
      <c r="C141" s="14" t="s">
        <v>97</v>
      </c>
      <c r="D141" s="24">
        <v>10.261699999999999</v>
      </c>
      <c r="E141" s="21"/>
      <c r="F141" s="101"/>
      <c r="G141" s="102"/>
    </row>
    <row r="142" spans="1:15" ht="29.1" customHeight="1" x14ac:dyDescent="0.2">
      <c r="A142" s="21"/>
      <c r="B142" s="10" t="s">
        <v>458</v>
      </c>
      <c r="C142" s="24">
        <v>10.2865</v>
      </c>
      <c r="D142" s="24">
        <v>10.2883</v>
      </c>
      <c r="E142" s="21"/>
      <c r="F142" s="101"/>
      <c r="G142" s="102"/>
    </row>
    <row r="143" spans="1:15" ht="29.1" customHeight="1" x14ac:dyDescent="0.2">
      <c r="A143" s="21"/>
      <c r="B143" s="10" t="s">
        <v>459</v>
      </c>
      <c r="C143" s="24">
        <v>10.840199999999999</v>
      </c>
      <c r="D143" s="24">
        <v>10.7979</v>
      </c>
      <c r="E143" s="21"/>
      <c r="F143" s="101"/>
      <c r="G143" s="102"/>
    </row>
    <row r="144" spans="1:15" ht="17.100000000000001" customHeight="1" x14ac:dyDescent="0.2">
      <c r="A144" s="21"/>
      <c r="B144" s="10" t="s">
        <v>93</v>
      </c>
      <c r="C144" s="24">
        <v>11.016299999999999</v>
      </c>
      <c r="D144" s="24">
        <v>11.037599999999999</v>
      </c>
      <c r="E144" s="21"/>
      <c r="F144" s="101"/>
      <c r="G144" s="102"/>
    </row>
    <row r="145" spans="1:7" ht="29.1" customHeight="1" x14ac:dyDescent="0.2">
      <c r="A145" s="21"/>
      <c r="B145" s="10" t="s">
        <v>471</v>
      </c>
      <c r="C145" s="24">
        <v>10.15</v>
      </c>
      <c r="D145" s="24">
        <v>10.15</v>
      </c>
      <c r="E145" s="21"/>
      <c r="F145" s="101"/>
      <c r="G145" s="102"/>
    </row>
    <row r="146" spans="1:7" ht="29.1" customHeight="1" x14ac:dyDescent="0.2">
      <c r="A146" s="21"/>
      <c r="B146" s="10" t="s">
        <v>462</v>
      </c>
      <c r="C146" s="24">
        <v>10.286799999999999</v>
      </c>
      <c r="D146" s="24">
        <v>10.2865</v>
      </c>
      <c r="E146" s="21"/>
      <c r="F146" s="101"/>
      <c r="G146" s="102"/>
    </row>
    <row r="147" spans="1:7" ht="29.1" customHeight="1" x14ac:dyDescent="0.2">
      <c r="A147" s="21"/>
      <c r="B147" s="10" t="s">
        <v>463</v>
      </c>
      <c r="C147" s="24">
        <v>10.260999999999999</v>
      </c>
      <c r="D147" s="24">
        <v>10.2608</v>
      </c>
      <c r="E147" s="21"/>
      <c r="F147" s="101"/>
      <c r="G147" s="102"/>
    </row>
    <row r="148" spans="1:7" ht="29.1" customHeight="1" x14ac:dyDescent="0.2">
      <c r="A148" s="21"/>
      <c r="B148" s="10" t="s">
        <v>464</v>
      </c>
      <c r="C148" s="24">
        <v>10.249599999999999</v>
      </c>
      <c r="D148" s="24">
        <v>10.2509</v>
      </c>
      <c r="E148" s="21"/>
      <c r="F148" s="101"/>
      <c r="G148" s="102"/>
    </row>
    <row r="149" spans="1:7" ht="29.1" customHeight="1" x14ac:dyDescent="0.2">
      <c r="A149" s="21"/>
      <c r="B149" s="10" t="s">
        <v>465</v>
      </c>
      <c r="C149" s="24">
        <v>10.5252</v>
      </c>
      <c r="D149" s="24">
        <v>10.470499999999999</v>
      </c>
      <c r="E149" s="21"/>
      <c r="F149" s="101"/>
      <c r="G149" s="102"/>
    </row>
    <row r="150" spans="1:7" ht="14.1" customHeight="1" x14ac:dyDescent="0.2">
      <c r="A150" s="21"/>
      <c r="B150" s="21"/>
      <c r="C150" s="21"/>
      <c r="D150" s="21"/>
      <c r="E150" s="21"/>
      <c r="F150" s="100"/>
      <c r="G150" s="100"/>
    </row>
    <row r="151" spans="1:7" ht="17.100000000000001" customHeight="1" x14ac:dyDescent="0.2">
      <c r="A151" s="21"/>
      <c r="B151" s="149" t="s">
        <v>620</v>
      </c>
      <c r="C151" s="159"/>
      <c r="D151" s="150"/>
      <c r="E151" s="21"/>
      <c r="F151" s="21"/>
      <c r="G151" s="21"/>
    </row>
    <row r="152" spans="1:7" ht="18" customHeight="1" x14ac:dyDescent="0.2">
      <c r="A152" s="21"/>
      <c r="B152" s="26" t="s">
        <v>89</v>
      </c>
      <c r="C152" s="27" t="s">
        <v>95</v>
      </c>
      <c r="D152" s="27" t="s">
        <v>96</v>
      </c>
      <c r="E152" s="21"/>
      <c r="F152" s="21"/>
      <c r="G152" s="21"/>
    </row>
    <row r="153" spans="1:7" ht="29.1" customHeight="1" x14ac:dyDescent="0.2">
      <c r="A153" s="21"/>
      <c r="B153" s="10" t="s">
        <v>458</v>
      </c>
      <c r="C153" s="117">
        <v>2.8037000000000001</v>
      </c>
      <c r="D153" s="117">
        <v>2.8037000000000001</v>
      </c>
      <c r="E153" s="21"/>
      <c r="F153" s="114"/>
      <c r="G153" s="25"/>
    </row>
    <row r="154" spans="1:7" ht="29.1" customHeight="1" x14ac:dyDescent="0.2">
      <c r="A154" s="21"/>
      <c r="B154" s="10" t="s">
        <v>471</v>
      </c>
      <c r="C154" s="117">
        <v>2.2481020099999998</v>
      </c>
      <c r="D154" s="117">
        <v>2.2481020099999998</v>
      </c>
      <c r="E154" s="21"/>
      <c r="F154" s="114"/>
      <c r="G154" s="25"/>
    </row>
    <row r="155" spans="1:7" ht="29.1" customHeight="1" x14ac:dyDescent="0.2">
      <c r="A155" s="21"/>
      <c r="B155" s="10" t="s">
        <v>464</v>
      </c>
      <c r="C155" s="117">
        <v>2.0886</v>
      </c>
      <c r="D155" s="117">
        <v>2.0886</v>
      </c>
      <c r="E155" s="21"/>
      <c r="F155" s="114"/>
      <c r="G155" s="25"/>
    </row>
    <row r="156" spans="1:7" ht="29.1" customHeight="1" x14ac:dyDescent="0.2">
      <c r="A156" s="21"/>
      <c r="B156" s="10" t="s">
        <v>462</v>
      </c>
      <c r="C156" s="117">
        <v>2.5838397</v>
      </c>
      <c r="D156" s="117">
        <v>2.5838397</v>
      </c>
      <c r="E156" s="21"/>
      <c r="F156" s="114"/>
      <c r="G156" s="25"/>
    </row>
    <row r="157" spans="1:7" ht="17.100000000000001" customHeight="1" x14ac:dyDescent="0.2">
      <c r="A157" s="62"/>
      <c r="B157" s="149" t="s">
        <v>621</v>
      </c>
      <c r="C157" s="159"/>
      <c r="D157" s="150"/>
      <c r="E157" s="62"/>
      <c r="F157" s="133"/>
      <c r="G157" s="133"/>
    </row>
    <row r="158" spans="1:7" ht="18" customHeight="1" x14ac:dyDescent="0.2">
      <c r="A158" s="21"/>
      <c r="B158" s="26" t="s">
        <v>89</v>
      </c>
      <c r="C158" s="27" t="s">
        <v>95</v>
      </c>
      <c r="D158" s="27" t="s">
        <v>96</v>
      </c>
      <c r="E158" s="21"/>
      <c r="F158" s="100"/>
      <c r="G158" s="100"/>
    </row>
    <row r="159" spans="1:7" ht="29.1" customHeight="1" x14ac:dyDescent="0.2">
      <c r="A159" s="21"/>
      <c r="B159" s="10" t="s">
        <v>469</v>
      </c>
      <c r="C159" s="28">
        <v>3.0789E-2</v>
      </c>
      <c r="D159" s="14" t="s">
        <v>97</v>
      </c>
      <c r="E159" s="21"/>
      <c r="F159" s="101"/>
      <c r="G159" s="102"/>
    </row>
    <row r="160" spans="1:7" ht="29.1" customHeight="1" x14ac:dyDescent="0.2">
      <c r="A160" s="21"/>
      <c r="B160" s="10" t="s">
        <v>456</v>
      </c>
      <c r="C160" s="28">
        <v>3.2399999999999998E-2</v>
      </c>
      <c r="D160" s="14" t="s">
        <v>97</v>
      </c>
      <c r="E160" s="21"/>
      <c r="F160" s="101"/>
      <c r="G160" s="102"/>
    </row>
    <row r="161" spans="1:7" ht="29.1" customHeight="1" x14ac:dyDescent="0.2">
      <c r="A161" s="21"/>
      <c r="B161" s="10" t="s">
        <v>457</v>
      </c>
      <c r="C161" s="28">
        <v>0.1457</v>
      </c>
      <c r="D161" s="14" t="s">
        <v>97</v>
      </c>
      <c r="E161" s="21"/>
      <c r="F161" s="101"/>
      <c r="G161" s="102"/>
    </row>
    <row r="162" spans="1:7" ht="29.1" customHeight="1" x14ac:dyDescent="0.2">
      <c r="A162" s="21"/>
      <c r="B162" s="10" t="s">
        <v>458</v>
      </c>
      <c r="C162" s="28">
        <v>2.9399999999999999E-2</v>
      </c>
      <c r="D162" s="14" t="s">
        <v>97</v>
      </c>
      <c r="E162" s="21"/>
      <c r="F162" s="101"/>
      <c r="G162" s="102"/>
    </row>
    <row r="163" spans="1:7" ht="29.1" customHeight="1" x14ac:dyDescent="0.2">
      <c r="A163" s="21"/>
      <c r="B163" s="10" t="s">
        <v>459</v>
      </c>
      <c r="C163" s="28">
        <v>0</v>
      </c>
      <c r="D163" s="28">
        <v>7.4999999999999997E-2</v>
      </c>
      <c r="E163" s="21"/>
      <c r="F163" s="101"/>
      <c r="G163" s="102"/>
    </row>
    <row r="164" spans="1:7" ht="29.1" customHeight="1" x14ac:dyDescent="0.2">
      <c r="A164" s="21"/>
      <c r="B164" s="10" t="s">
        <v>471</v>
      </c>
      <c r="C164" s="28">
        <v>1.9619000000000001E-2</v>
      </c>
      <c r="D164" s="28">
        <v>1.9619000000000001E-2</v>
      </c>
      <c r="E164" s="21"/>
      <c r="F164" s="101"/>
      <c r="G164" s="102"/>
    </row>
    <row r="165" spans="1:7" ht="29.1" customHeight="1" x14ac:dyDescent="0.2">
      <c r="A165" s="21"/>
      <c r="B165" s="10" t="s">
        <v>462</v>
      </c>
      <c r="C165" s="28">
        <v>2.0199999999999999E-2</v>
      </c>
      <c r="D165" s="28">
        <v>2.0199999999999999E-2</v>
      </c>
      <c r="E165" s="21"/>
      <c r="F165" s="101"/>
      <c r="G165" s="102"/>
    </row>
    <row r="166" spans="1:7" ht="29.1" customHeight="1" x14ac:dyDescent="0.2">
      <c r="A166" s="21"/>
      <c r="B166" s="10" t="s">
        <v>463</v>
      </c>
      <c r="C166" s="28">
        <v>2.01E-2</v>
      </c>
      <c r="D166" s="14" t="s">
        <v>97</v>
      </c>
      <c r="E166" s="21"/>
      <c r="F166" s="101"/>
      <c r="G166" s="102"/>
    </row>
    <row r="167" spans="1:7" ht="29.1" customHeight="1" x14ac:dyDescent="0.2">
      <c r="A167" s="21"/>
      <c r="B167" s="10" t="s">
        <v>464</v>
      </c>
      <c r="C167" s="28">
        <v>1.8499999999999999E-2</v>
      </c>
      <c r="D167" s="14" t="s">
        <v>97</v>
      </c>
      <c r="E167" s="21"/>
      <c r="F167" s="101"/>
      <c r="G167" s="102"/>
    </row>
    <row r="168" spans="1:7" ht="29.1" customHeight="1" x14ac:dyDescent="0.2">
      <c r="A168" s="21"/>
      <c r="B168" s="10" t="s">
        <v>465</v>
      </c>
      <c r="C168" s="28">
        <v>0</v>
      </c>
      <c r="D168" s="28">
        <v>7.4999999999999997E-2</v>
      </c>
      <c r="E168" s="21"/>
      <c r="F168" s="101"/>
      <c r="G168" s="102"/>
    </row>
    <row r="169" spans="1:7" ht="14.1" customHeight="1" x14ac:dyDescent="0.2">
      <c r="A169" s="21"/>
      <c r="B169" s="114"/>
      <c r="C169" s="114"/>
      <c r="D169" s="21"/>
      <c r="E169" s="21"/>
      <c r="F169" s="100"/>
      <c r="G169" s="100"/>
    </row>
    <row r="170" spans="1:7" x14ac:dyDescent="0.2">
      <c r="A170" s="55"/>
      <c r="B170" s="153" t="s">
        <v>479</v>
      </c>
      <c r="C170" s="153"/>
      <c r="D170" s="153"/>
      <c r="E170" s="153"/>
      <c r="F170" s="153"/>
      <c r="G170" s="103"/>
    </row>
    <row r="171" spans="1:7" ht="14.1" customHeight="1" x14ac:dyDescent="0.2">
      <c r="A171" s="21"/>
      <c r="B171" s="18"/>
      <c r="C171" s="18"/>
      <c r="D171" s="21"/>
      <c r="E171" s="21"/>
      <c r="F171" s="100"/>
      <c r="G171" s="100"/>
    </row>
    <row r="172" spans="1:7" ht="29.1" customHeight="1" x14ac:dyDescent="0.2">
      <c r="A172" s="21"/>
      <c r="B172" s="149" t="s">
        <v>98</v>
      </c>
      <c r="C172" s="150"/>
      <c r="D172" s="2" t="s">
        <v>84</v>
      </c>
      <c r="E172" s="31"/>
      <c r="F172" s="100"/>
      <c r="G172" s="100"/>
    </row>
    <row r="173" spans="1:7" ht="29.1" customHeight="1" x14ac:dyDescent="0.2">
      <c r="A173" s="21"/>
      <c r="B173" s="149" t="s">
        <v>99</v>
      </c>
      <c r="C173" s="150"/>
      <c r="D173" s="2" t="s">
        <v>84</v>
      </c>
      <c r="E173" s="31"/>
      <c r="F173" s="100"/>
      <c r="G173" s="100"/>
    </row>
    <row r="174" spans="1:7" ht="17.100000000000001" customHeight="1" x14ac:dyDescent="0.2">
      <c r="A174" s="21"/>
      <c r="B174" s="149" t="s">
        <v>100</v>
      </c>
      <c r="C174" s="150"/>
      <c r="D174" s="32">
        <v>0.28108333527207258</v>
      </c>
      <c r="E174" s="31"/>
      <c r="F174" s="100"/>
      <c r="G174" s="100"/>
    </row>
    <row r="175" spans="1:7" ht="17.100000000000001" customHeight="1" x14ac:dyDescent="0.2">
      <c r="A175" s="21"/>
      <c r="B175" s="149" t="s">
        <v>101</v>
      </c>
      <c r="C175" s="150"/>
      <c r="D175" s="32">
        <v>0.2590640424019679</v>
      </c>
      <c r="E175" s="31"/>
      <c r="F175" s="100"/>
      <c r="G175" s="100"/>
    </row>
    <row r="176" spans="1:7" ht="17.100000000000001" customHeight="1" x14ac:dyDescent="0.2">
      <c r="A176" s="21"/>
      <c r="B176" s="149" t="s">
        <v>102</v>
      </c>
      <c r="C176" s="150"/>
      <c r="D176" s="2" t="s">
        <v>84</v>
      </c>
      <c r="E176" s="31"/>
      <c r="F176" s="100"/>
      <c r="G176" s="100"/>
    </row>
    <row r="177" spans="1:8" ht="14.1" customHeight="1" x14ac:dyDescent="0.2">
      <c r="A177" s="21"/>
      <c r="B177" s="151"/>
      <c r="C177" s="151"/>
      <c r="D177" s="30"/>
      <c r="E177" s="21"/>
      <c r="F177" s="101"/>
      <c r="G177" s="102"/>
    </row>
    <row r="178" spans="1:8" x14ac:dyDescent="0.2">
      <c r="B178" s="166" t="s">
        <v>615</v>
      </c>
      <c r="C178" s="166"/>
      <c r="D178" s="166"/>
      <c r="E178" s="166"/>
      <c r="F178" s="166"/>
      <c r="G178" s="166"/>
      <c r="H178" s="166"/>
    </row>
    <row r="179" spans="1:8" x14ac:dyDescent="0.2">
      <c r="B179" s="122"/>
      <c r="C179" s="122"/>
      <c r="D179" s="122"/>
      <c r="E179" s="122"/>
      <c r="F179" s="122"/>
      <c r="G179" s="122"/>
      <c r="H179" s="122"/>
    </row>
    <row r="180" spans="1:8" ht="51" x14ac:dyDescent="0.2">
      <c r="B180" s="124" t="s">
        <v>622</v>
      </c>
      <c r="C180" s="124" t="s">
        <v>623</v>
      </c>
      <c r="D180" s="124" t="s">
        <v>437</v>
      </c>
      <c r="E180" s="124" t="s">
        <v>438</v>
      </c>
      <c r="F180" s="124" t="s">
        <v>624</v>
      </c>
      <c r="G180" s="122"/>
      <c r="H180" s="122"/>
    </row>
    <row r="181" spans="1:8" x14ac:dyDescent="0.2">
      <c r="B181" s="126" t="s">
        <v>625</v>
      </c>
      <c r="C181" s="126" t="s">
        <v>626</v>
      </c>
      <c r="D181" s="127">
        <v>0</v>
      </c>
      <c r="E181" s="128">
        <v>0</v>
      </c>
      <c r="F181" s="129">
        <v>500</v>
      </c>
      <c r="G181" s="122"/>
      <c r="H181" s="122"/>
    </row>
  </sheetData>
  <sortState xmlns:xlrd2="http://schemas.microsoft.com/office/spreadsheetml/2017/richdata2" ref="A28:H45">
    <sortCondition descending="1" ref="G28:G45"/>
  </sortState>
  <mergeCells count="22">
    <mergeCell ref="A1:H1"/>
    <mergeCell ref="A2:H2"/>
    <mergeCell ref="A3:H3"/>
    <mergeCell ref="B170:F170"/>
    <mergeCell ref="B172:C172"/>
    <mergeCell ref="B119:F119"/>
    <mergeCell ref="B120:F120"/>
    <mergeCell ref="B121:F121"/>
    <mergeCell ref="B123:D123"/>
    <mergeCell ref="B124:C124"/>
    <mergeCell ref="B125:C125"/>
    <mergeCell ref="B126:D126"/>
    <mergeCell ref="B135:D135"/>
    <mergeCell ref="B151:D151"/>
    <mergeCell ref="B157:D157"/>
    <mergeCell ref="J2:N2"/>
    <mergeCell ref="B178:H178"/>
    <mergeCell ref="B173:C173"/>
    <mergeCell ref="B174:C174"/>
    <mergeCell ref="B175:C175"/>
    <mergeCell ref="B176:C176"/>
    <mergeCell ref="B177:C177"/>
  </mergeCells>
  <pageMargins left="5.000000074505806E-2" right="5.000000074505806E-2" top="0.30000001192092896" bottom="0.20000000298023224" header="0" footer="0"/>
  <pageSetup paperSize="9"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P124"/>
  <sheetViews>
    <sheetView showGridLines="0" workbookViewId="0">
      <selection sqref="A1:I1"/>
    </sheetView>
  </sheetViews>
  <sheetFormatPr defaultRowHeight="12.75" x14ac:dyDescent="0.2"/>
  <cols>
    <col min="1" max="1" width="6.85546875" customWidth="1"/>
    <col min="2" max="2" width="20.5703125" customWidth="1"/>
    <col min="3" max="3" width="34.28515625" customWidth="1"/>
    <col min="4" max="4" width="17.85546875" customWidth="1"/>
    <col min="5" max="5" width="19.140625" customWidth="1"/>
    <col min="6" max="6" width="21" customWidth="1"/>
    <col min="7" max="7" width="16.42578125" customWidth="1"/>
    <col min="8" max="8" width="10.5703125" customWidth="1"/>
    <col min="9" max="9" width="11.28515625" bestFit="1" customWidth="1"/>
    <col min="10" max="16" width="9.140625" style="57"/>
  </cols>
  <sheetData>
    <row r="1" spans="1:16" ht="18" customHeight="1" x14ac:dyDescent="0.2">
      <c r="A1" s="152" t="s">
        <v>0</v>
      </c>
      <c r="B1" s="152"/>
      <c r="C1" s="152"/>
      <c r="D1" s="152"/>
      <c r="E1" s="152"/>
      <c r="F1" s="152"/>
      <c r="G1" s="152"/>
      <c r="H1" s="152"/>
      <c r="I1" s="152"/>
    </row>
    <row r="2" spans="1:16" ht="17.100000000000001" customHeight="1" x14ac:dyDescent="0.2">
      <c r="A2" s="152" t="s">
        <v>383</v>
      </c>
      <c r="B2" s="152"/>
      <c r="C2" s="152"/>
      <c r="D2" s="152"/>
      <c r="E2" s="152"/>
      <c r="F2" s="152"/>
      <c r="G2" s="152"/>
      <c r="H2" s="152"/>
      <c r="I2" s="152"/>
      <c r="K2" s="148" t="s">
        <v>631</v>
      </c>
      <c r="L2" s="148"/>
      <c r="M2" s="148"/>
      <c r="N2" s="148"/>
      <c r="O2" s="148"/>
    </row>
    <row r="3" spans="1:16" ht="21" customHeight="1" x14ac:dyDescent="0.2">
      <c r="A3" s="152" t="s">
        <v>480</v>
      </c>
      <c r="B3" s="152"/>
      <c r="C3" s="152"/>
      <c r="D3" s="152"/>
      <c r="E3" s="152"/>
      <c r="F3" s="152"/>
      <c r="G3" s="152"/>
      <c r="H3" s="152"/>
      <c r="I3" s="152"/>
    </row>
    <row r="4" spans="1:16" s="59" customFormat="1" ht="30" x14ac:dyDescent="0.2">
      <c r="A4" s="58" t="s">
        <v>1</v>
      </c>
      <c r="B4" s="58" t="s">
        <v>2</v>
      </c>
      <c r="C4" s="58" t="s">
        <v>3</v>
      </c>
      <c r="D4" s="58" t="s">
        <v>4</v>
      </c>
      <c r="E4" s="58" t="s">
        <v>5</v>
      </c>
      <c r="F4" s="58" t="s">
        <v>6</v>
      </c>
      <c r="G4" s="58" t="s">
        <v>7</v>
      </c>
      <c r="H4" s="49" t="s">
        <v>452</v>
      </c>
      <c r="I4" s="49" t="s">
        <v>455</v>
      </c>
      <c r="J4" s="135"/>
      <c r="K4" s="135"/>
      <c r="L4" s="135"/>
      <c r="M4" s="135"/>
      <c r="N4" s="135"/>
      <c r="O4" s="135"/>
      <c r="P4" s="135"/>
    </row>
    <row r="5" spans="1:16" x14ac:dyDescent="0.2">
      <c r="A5" s="1"/>
      <c r="B5" s="1"/>
      <c r="C5" s="2" t="s">
        <v>8</v>
      </c>
      <c r="D5" s="1"/>
      <c r="E5" s="1"/>
      <c r="F5" s="1"/>
      <c r="G5" s="1"/>
      <c r="H5" s="50"/>
      <c r="I5" s="54"/>
    </row>
    <row r="6" spans="1:16" ht="25.5" x14ac:dyDescent="0.2">
      <c r="A6" s="1"/>
      <c r="B6" s="1"/>
      <c r="C6" s="2" t="s">
        <v>9</v>
      </c>
      <c r="D6" s="1"/>
      <c r="E6" s="1"/>
      <c r="F6" s="1"/>
      <c r="G6" s="1"/>
      <c r="H6" s="50"/>
      <c r="I6" s="54"/>
    </row>
    <row r="7" spans="1:16" x14ac:dyDescent="0.2">
      <c r="A7" s="1"/>
      <c r="B7" s="1"/>
      <c r="C7" s="2" t="s">
        <v>10</v>
      </c>
      <c r="D7" s="1"/>
      <c r="E7" s="1" t="s">
        <v>11</v>
      </c>
      <c r="F7" s="3">
        <v>0</v>
      </c>
      <c r="G7" s="4">
        <v>0</v>
      </c>
      <c r="H7" s="50"/>
      <c r="I7" s="54"/>
    </row>
    <row r="8" spans="1:16" x14ac:dyDescent="0.2">
      <c r="A8" s="1"/>
      <c r="B8" s="1"/>
      <c r="C8" s="5"/>
      <c r="D8" s="1"/>
      <c r="E8" s="1"/>
      <c r="F8" s="6"/>
      <c r="G8" s="6"/>
      <c r="H8" s="50"/>
      <c r="I8" s="54"/>
    </row>
    <row r="9" spans="1:16" x14ac:dyDescent="0.2">
      <c r="A9" s="1"/>
      <c r="B9" s="1"/>
      <c r="C9" s="2" t="s">
        <v>12</v>
      </c>
      <c r="D9" s="1"/>
      <c r="E9" s="1"/>
      <c r="F9" s="1"/>
      <c r="G9" s="1"/>
      <c r="H9" s="50"/>
      <c r="I9" s="54"/>
    </row>
    <row r="10" spans="1:16" x14ac:dyDescent="0.2">
      <c r="A10" s="1"/>
      <c r="B10" s="1"/>
      <c r="C10" s="2" t="s">
        <v>10</v>
      </c>
      <c r="D10" s="1"/>
      <c r="E10" s="1" t="s">
        <v>11</v>
      </c>
      <c r="F10" s="3">
        <v>0</v>
      </c>
      <c r="G10" s="4">
        <v>0</v>
      </c>
      <c r="H10" s="50"/>
      <c r="I10" s="54"/>
    </row>
    <row r="11" spans="1:16" x14ac:dyDescent="0.2">
      <c r="A11" s="1"/>
      <c r="B11" s="1"/>
      <c r="C11" s="5"/>
      <c r="D11" s="1"/>
      <c r="E11" s="1"/>
      <c r="F11" s="6"/>
      <c r="G11" s="6"/>
      <c r="H11" s="50"/>
      <c r="I11" s="54"/>
    </row>
    <row r="12" spans="1:16" x14ac:dyDescent="0.2">
      <c r="A12" s="1"/>
      <c r="B12" s="1"/>
      <c r="C12" s="2" t="s">
        <v>13</v>
      </c>
      <c r="D12" s="1"/>
      <c r="E12" s="1"/>
      <c r="F12" s="1"/>
      <c r="G12" s="1"/>
      <c r="H12" s="50"/>
      <c r="I12" s="54"/>
    </row>
    <row r="13" spans="1:16" x14ac:dyDescent="0.2">
      <c r="A13" s="1"/>
      <c r="B13" s="1"/>
      <c r="C13" s="2" t="s">
        <v>10</v>
      </c>
      <c r="D13" s="1"/>
      <c r="E13" s="1" t="s">
        <v>11</v>
      </c>
      <c r="F13" s="3">
        <v>0</v>
      </c>
      <c r="G13" s="4">
        <v>0</v>
      </c>
      <c r="H13" s="50"/>
      <c r="I13" s="54"/>
    </row>
    <row r="14" spans="1:16" x14ac:dyDescent="0.2">
      <c r="A14" s="1"/>
      <c r="B14" s="1"/>
      <c r="C14" s="5"/>
      <c r="D14" s="1"/>
      <c r="E14" s="1"/>
      <c r="F14" s="6"/>
      <c r="G14" s="6"/>
      <c r="H14" s="50"/>
      <c r="I14" s="54"/>
    </row>
    <row r="15" spans="1:16" x14ac:dyDescent="0.2">
      <c r="A15" s="1"/>
      <c r="B15" s="1"/>
      <c r="C15" s="2" t="s">
        <v>14</v>
      </c>
      <c r="D15" s="1"/>
      <c r="E15" s="1"/>
      <c r="F15" s="1"/>
      <c r="G15" s="1"/>
      <c r="H15" s="50"/>
      <c r="I15" s="54"/>
    </row>
    <row r="16" spans="1:16" ht="15" x14ac:dyDescent="0.25">
      <c r="A16" s="1"/>
      <c r="B16" s="1"/>
      <c r="C16" s="2" t="s">
        <v>10</v>
      </c>
      <c r="D16" s="1"/>
      <c r="E16" s="1" t="s">
        <v>11</v>
      </c>
      <c r="F16" s="3">
        <v>0</v>
      </c>
      <c r="G16" s="4">
        <v>0</v>
      </c>
      <c r="H16" s="50"/>
      <c r="I16" s="54"/>
      <c r="J16" s="138"/>
      <c r="K16" s="137" t="s">
        <v>642</v>
      </c>
      <c r="L16" s="138"/>
      <c r="M16" s="138"/>
      <c r="N16" s="138"/>
      <c r="O16" s="138"/>
    </row>
    <row r="17" spans="1:16" x14ac:dyDescent="0.2">
      <c r="A17" s="1"/>
      <c r="B17" s="1"/>
      <c r="C17" s="5"/>
      <c r="D17" s="1"/>
      <c r="E17" s="1"/>
      <c r="F17" s="6"/>
      <c r="G17" s="6"/>
      <c r="H17" s="50"/>
      <c r="I17" s="54"/>
    </row>
    <row r="18" spans="1:16" x14ac:dyDescent="0.2">
      <c r="A18" s="1"/>
      <c r="B18" s="1"/>
      <c r="C18" s="2" t="s">
        <v>15</v>
      </c>
      <c r="D18" s="1"/>
      <c r="E18" s="1"/>
      <c r="F18" s="6"/>
      <c r="G18" s="6"/>
      <c r="H18" s="50"/>
      <c r="I18" s="54"/>
    </row>
    <row r="19" spans="1:16" x14ac:dyDescent="0.2">
      <c r="A19" s="1"/>
      <c r="B19" s="1"/>
      <c r="C19" s="2" t="s">
        <v>10</v>
      </c>
      <c r="D19" s="1"/>
      <c r="E19" s="1" t="s">
        <v>11</v>
      </c>
      <c r="F19" s="3">
        <v>0</v>
      </c>
      <c r="G19" s="4">
        <v>0</v>
      </c>
      <c r="H19" s="50"/>
      <c r="I19" s="54"/>
    </row>
    <row r="20" spans="1:16" x14ac:dyDescent="0.2">
      <c r="A20" s="1"/>
      <c r="B20" s="1"/>
      <c r="C20" s="5"/>
      <c r="D20" s="1"/>
      <c r="E20" s="1"/>
      <c r="F20" s="6"/>
      <c r="G20" s="6"/>
      <c r="H20" s="50"/>
      <c r="I20" s="54"/>
    </row>
    <row r="21" spans="1:16" x14ac:dyDescent="0.2">
      <c r="A21" s="1"/>
      <c r="B21" s="1"/>
      <c r="C21" s="2" t="s">
        <v>16</v>
      </c>
      <c r="D21" s="1"/>
      <c r="E21" s="1"/>
      <c r="F21" s="6"/>
      <c r="G21" s="6"/>
      <c r="H21" s="50"/>
      <c r="I21" s="54"/>
    </row>
    <row r="22" spans="1:16" x14ac:dyDescent="0.2">
      <c r="A22" s="1"/>
      <c r="B22" s="1"/>
      <c r="C22" s="2" t="s">
        <v>10</v>
      </c>
      <c r="D22" s="1"/>
      <c r="E22" s="1" t="s">
        <v>11</v>
      </c>
      <c r="F22" s="3">
        <v>0</v>
      </c>
      <c r="G22" s="4">
        <v>0</v>
      </c>
      <c r="H22" s="50"/>
      <c r="I22" s="54"/>
    </row>
    <row r="23" spans="1:16" x14ac:dyDescent="0.2">
      <c r="A23" s="1"/>
      <c r="B23" s="1"/>
      <c r="C23" s="5"/>
      <c r="D23" s="1"/>
      <c r="E23" s="1"/>
      <c r="F23" s="6"/>
      <c r="G23" s="6"/>
      <c r="H23" s="50"/>
      <c r="I23" s="54"/>
    </row>
    <row r="24" spans="1:16" x14ac:dyDescent="0.2">
      <c r="A24" s="1"/>
      <c r="B24" s="1"/>
      <c r="C24" s="2" t="s">
        <v>17</v>
      </c>
      <c r="D24" s="1"/>
      <c r="E24" s="1"/>
      <c r="F24" s="7">
        <v>0</v>
      </c>
      <c r="G24" s="8">
        <v>0</v>
      </c>
      <c r="H24" s="50"/>
      <c r="I24" s="54"/>
    </row>
    <row r="25" spans="1:16" x14ac:dyDescent="0.2">
      <c r="A25" s="1"/>
      <c r="B25" s="1"/>
      <c r="C25" s="5"/>
      <c r="D25" s="1"/>
      <c r="E25" s="1"/>
      <c r="F25" s="6"/>
      <c r="G25" s="6"/>
      <c r="H25" s="50"/>
      <c r="I25" s="54"/>
    </row>
    <row r="26" spans="1:16" x14ac:dyDescent="0.2">
      <c r="A26" s="1"/>
      <c r="B26" s="1"/>
      <c r="C26" s="2" t="s">
        <v>18</v>
      </c>
      <c r="D26" s="1"/>
      <c r="E26" s="1"/>
      <c r="F26" s="6"/>
      <c r="G26" s="6"/>
      <c r="H26" s="50"/>
      <c r="I26" s="54"/>
    </row>
    <row r="27" spans="1:16" ht="25.5" x14ac:dyDescent="0.2">
      <c r="A27" s="1"/>
      <c r="B27" s="1"/>
      <c r="C27" s="2" t="s">
        <v>9</v>
      </c>
      <c r="D27" s="1"/>
      <c r="E27" s="1"/>
      <c r="F27" s="6"/>
      <c r="G27" s="6"/>
      <c r="H27" s="50"/>
      <c r="I27" s="54"/>
    </row>
    <row r="28" spans="1:16" ht="25.5" x14ac:dyDescent="0.2">
      <c r="A28" s="9">
        <v>1</v>
      </c>
      <c r="B28" s="10" t="s">
        <v>382</v>
      </c>
      <c r="C28" s="39" t="s">
        <v>453</v>
      </c>
      <c r="D28" s="10" t="s">
        <v>158</v>
      </c>
      <c r="E28" s="11">
        <v>50</v>
      </c>
      <c r="F28" s="12">
        <v>528.21199999999999</v>
      </c>
      <c r="G28" s="13">
        <v>8.2818266000000001E-2</v>
      </c>
      <c r="H28" s="50">
        <v>7.4927000000000001</v>
      </c>
      <c r="I28" s="54">
        <v>5.64</v>
      </c>
    </row>
    <row r="29" spans="1:16" x14ac:dyDescent="0.2">
      <c r="A29" s="9">
        <v>2</v>
      </c>
      <c r="B29" s="10" t="s">
        <v>219</v>
      </c>
      <c r="C29" s="10" t="s">
        <v>220</v>
      </c>
      <c r="D29" s="10" t="s">
        <v>23</v>
      </c>
      <c r="E29" s="11">
        <v>50</v>
      </c>
      <c r="F29" s="12">
        <v>523.73699999999997</v>
      </c>
      <c r="G29" s="13">
        <v>8.2116631999999995E-2</v>
      </c>
      <c r="H29" s="50">
        <v>6.35</v>
      </c>
      <c r="I29" s="54"/>
    </row>
    <row r="30" spans="1:16" ht="25.5" x14ac:dyDescent="0.25">
      <c r="A30" s="9">
        <v>3</v>
      </c>
      <c r="B30" s="10" t="s">
        <v>179</v>
      </c>
      <c r="C30" s="10" t="s">
        <v>180</v>
      </c>
      <c r="D30" s="10" t="s">
        <v>23</v>
      </c>
      <c r="E30" s="11">
        <v>50</v>
      </c>
      <c r="F30" s="12">
        <v>515.37549999999999</v>
      </c>
      <c r="G30" s="13">
        <v>8.0805633000000002E-2</v>
      </c>
      <c r="H30" s="50">
        <v>4.6550000000000002</v>
      </c>
      <c r="I30" s="54"/>
      <c r="K30" s="137" t="s">
        <v>639</v>
      </c>
      <c r="L30" s="138"/>
      <c r="M30" s="138"/>
      <c r="N30" s="138"/>
      <c r="O30" s="138"/>
      <c r="P30"/>
    </row>
    <row r="31" spans="1:16" ht="25.5" x14ac:dyDescent="0.2">
      <c r="A31" s="9">
        <v>4</v>
      </c>
      <c r="B31" s="10" t="s">
        <v>110</v>
      </c>
      <c r="C31" s="10" t="s">
        <v>111</v>
      </c>
      <c r="D31" s="10" t="s">
        <v>449</v>
      </c>
      <c r="E31" s="11">
        <v>50</v>
      </c>
      <c r="F31" s="12">
        <v>511.91800000000001</v>
      </c>
      <c r="G31" s="13">
        <v>8.0263532999999998E-2</v>
      </c>
      <c r="H31" s="50">
        <v>4.8449999999999998</v>
      </c>
      <c r="I31" s="54"/>
      <c r="P31"/>
    </row>
    <row r="32" spans="1:16" ht="25.5" x14ac:dyDescent="0.2">
      <c r="A32" s="9">
        <v>5</v>
      </c>
      <c r="B32" s="10" t="s">
        <v>38</v>
      </c>
      <c r="C32" s="10" t="s">
        <v>39</v>
      </c>
      <c r="D32" s="10" t="s">
        <v>23</v>
      </c>
      <c r="E32" s="11">
        <v>50</v>
      </c>
      <c r="F32" s="12">
        <v>495.09100000000001</v>
      </c>
      <c r="G32" s="13">
        <v>7.7625230000000003E-2</v>
      </c>
      <c r="H32" s="50">
        <v>5.86</v>
      </c>
      <c r="I32" s="54"/>
      <c r="P32"/>
    </row>
    <row r="33" spans="1:16" ht="25.5" x14ac:dyDescent="0.2">
      <c r="A33" s="9">
        <v>6</v>
      </c>
      <c r="B33" s="10" t="s">
        <v>28</v>
      </c>
      <c r="C33" s="10" t="s">
        <v>29</v>
      </c>
      <c r="D33" s="10" t="s">
        <v>23</v>
      </c>
      <c r="E33" s="11">
        <v>30</v>
      </c>
      <c r="F33" s="12">
        <v>300.0102</v>
      </c>
      <c r="G33" s="13">
        <v>4.7038546000000001E-2</v>
      </c>
      <c r="H33" s="50">
        <v>5.6441999999999997</v>
      </c>
      <c r="I33" s="54"/>
      <c r="P33"/>
    </row>
    <row r="34" spans="1:16" x14ac:dyDescent="0.2">
      <c r="A34" s="1"/>
      <c r="B34" s="1"/>
      <c r="C34" s="2" t="s">
        <v>10</v>
      </c>
      <c r="D34" s="1"/>
      <c r="E34" s="1" t="s">
        <v>11</v>
      </c>
      <c r="F34" s="7">
        <v>2874.3437000000004</v>
      </c>
      <c r="G34" s="8">
        <v>0.45066783999999999</v>
      </c>
      <c r="H34" s="50"/>
      <c r="I34" s="54"/>
      <c r="P34"/>
    </row>
    <row r="35" spans="1:16" x14ac:dyDescent="0.2">
      <c r="A35" s="1"/>
      <c r="B35" s="1"/>
      <c r="C35" s="5"/>
      <c r="D35" s="1"/>
      <c r="E35" s="1"/>
      <c r="F35" s="6"/>
      <c r="G35" s="6"/>
      <c r="H35" s="50"/>
      <c r="I35" s="54"/>
      <c r="P35"/>
    </row>
    <row r="36" spans="1:16" x14ac:dyDescent="0.2">
      <c r="A36" s="1"/>
      <c r="B36" s="1"/>
      <c r="C36" s="2" t="s">
        <v>46</v>
      </c>
      <c r="D36" s="1"/>
      <c r="E36" s="1"/>
      <c r="F36" s="1"/>
      <c r="G36" s="1"/>
      <c r="H36" s="50"/>
      <c r="I36" s="54"/>
      <c r="P36"/>
    </row>
    <row r="37" spans="1:16" x14ac:dyDescent="0.2">
      <c r="A37" s="1"/>
      <c r="B37" s="1"/>
      <c r="C37" s="2" t="s">
        <v>10</v>
      </c>
      <c r="D37" s="1"/>
      <c r="E37" s="1" t="s">
        <v>11</v>
      </c>
      <c r="F37" s="3">
        <v>0</v>
      </c>
      <c r="G37" s="4">
        <v>0</v>
      </c>
      <c r="H37" s="50"/>
      <c r="I37" s="54"/>
      <c r="P37"/>
    </row>
    <row r="38" spans="1:16" x14ac:dyDescent="0.2">
      <c r="A38" s="1"/>
      <c r="B38" s="1"/>
      <c r="C38" s="5"/>
      <c r="D38" s="1"/>
      <c r="E38" s="1"/>
      <c r="F38" s="6"/>
      <c r="G38" s="6"/>
      <c r="H38" s="50"/>
      <c r="I38" s="54"/>
      <c r="P38"/>
    </row>
    <row r="39" spans="1:16" x14ac:dyDescent="0.2">
      <c r="A39" s="1"/>
      <c r="B39" s="1"/>
      <c r="C39" s="2" t="s">
        <v>47</v>
      </c>
      <c r="D39" s="1"/>
      <c r="E39" s="1"/>
      <c r="F39" s="1"/>
      <c r="G39" s="1"/>
      <c r="H39" s="50"/>
      <c r="I39" s="54"/>
      <c r="P39"/>
    </row>
    <row r="40" spans="1:16" ht="25.5" x14ac:dyDescent="0.2">
      <c r="A40" s="9">
        <v>1</v>
      </c>
      <c r="B40" s="10" t="s">
        <v>48</v>
      </c>
      <c r="C40" s="10" t="s">
        <v>413</v>
      </c>
      <c r="D40" s="10" t="s">
        <v>49</v>
      </c>
      <c r="E40" s="11">
        <v>1000000</v>
      </c>
      <c r="F40" s="12">
        <v>989.62400000000002</v>
      </c>
      <c r="G40" s="13">
        <v>0.15516297200000001</v>
      </c>
      <c r="H40" s="50">
        <v>5.5532000000000004</v>
      </c>
      <c r="I40" s="54"/>
      <c r="P40"/>
    </row>
    <row r="41" spans="1:16" ht="25.5" x14ac:dyDescent="0.2">
      <c r="A41" s="9">
        <v>2</v>
      </c>
      <c r="B41" s="10" t="s">
        <v>50</v>
      </c>
      <c r="C41" s="10" t="s">
        <v>417</v>
      </c>
      <c r="D41" s="10" t="s">
        <v>49</v>
      </c>
      <c r="E41" s="11">
        <v>1000000</v>
      </c>
      <c r="F41" s="12">
        <v>974.93299999999999</v>
      </c>
      <c r="G41" s="13">
        <v>0.152859573</v>
      </c>
      <c r="H41" s="50">
        <v>6.4558999999999997</v>
      </c>
      <c r="I41" s="54"/>
      <c r="P41"/>
    </row>
    <row r="42" spans="1:16" ht="25.5" x14ac:dyDescent="0.2">
      <c r="A42" s="9">
        <v>3</v>
      </c>
      <c r="B42" s="10" t="s">
        <v>231</v>
      </c>
      <c r="C42" s="10" t="s">
        <v>232</v>
      </c>
      <c r="D42" s="10" t="s">
        <v>49</v>
      </c>
      <c r="E42" s="11">
        <v>500000</v>
      </c>
      <c r="F42" s="12">
        <v>491.48899999999998</v>
      </c>
      <c r="G42" s="13">
        <v>7.7060473000000004E-2</v>
      </c>
      <c r="H42" s="50">
        <v>5.6452999999999998</v>
      </c>
      <c r="I42" s="54"/>
      <c r="P42"/>
    </row>
    <row r="43" spans="1:16" x14ac:dyDescent="0.2">
      <c r="A43" s="1"/>
      <c r="B43" s="1"/>
      <c r="C43" s="2" t="s">
        <v>10</v>
      </c>
      <c r="D43" s="1"/>
      <c r="E43" s="1" t="s">
        <v>11</v>
      </c>
      <c r="F43" s="7">
        <v>2456.0459999999998</v>
      </c>
      <c r="G43" s="8">
        <v>0.385083018</v>
      </c>
      <c r="H43" s="50"/>
      <c r="I43" s="54"/>
    </row>
    <row r="44" spans="1:16" x14ac:dyDescent="0.2">
      <c r="A44" s="1"/>
      <c r="B44" s="1"/>
      <c r="C44" s="5"/>
      <c r="D44" s="1"/>
      <c r="E44" s="1"/>
      <c r="F44" s="6"/>
      <c r="G44" s="6"/>
      <c r="H44" s="50"/>
      <c r="I44" s="54"/>
    </row>
    <row r="45" spans="1:16" x14ac:dyDescent="0.2">
      <c r="A45" s="1"/>
      <c r="B45" s="1"/>
      <c r="C45" s="2" t="s">
        <v>55</v>
      </c>
      <c r="D45" s="1"/>
      <c r="E45" s="1"/>
      <c r="F45" s="6"/>
      <c r="G45" s="6"/>
      <c r="H45" s="50"/>
      <c r="I45" s="54"/>
    </row>
    <row r="46" spans="1:16" x14ac:dyDescent="0.2">
      <c r="A46" s="1"/>
      <c r="B46" s="1"/>
      <c r="C46" s="2" t="s">
        <v>10</v>
      </c>
      <c r="D46" s="1"/>
      <c r="E46" s="1" t="s">
        <v>11</v>
      </c>
      <c r="F46" s="3">
        <v>0</v>
      </c>
      <c r="G46" s="4">
        <v>0</v>
      </c>
      <c r="H46" s="50"/>
      <c r="I46" s="54"/>
    </row>
    <row r="47" spans="1:16" x14ac:dyDescent="0.2">
      <c r="A47" s="1"/>
      <c r="B47" s="1"/>
      <c r="C47" s="5"/>
      <c r="D47" s="1"/>
      <c r="E47" s="1"/>
      <c r="F47" s="6"/>
      <c r="G47" s="6"/>
      <c r="H47" s="50"/>
      <c r="I47" s="54"/>
    </row>
    <row r="48" spans="1:16" x14ac:dyDescent="0.2">
      <c r="A48" s="1"/>
      <c r="B48" s="1"/>
      <c r="C48" s="2" t="s">
        <v>56</v>
      </c>
      <c r="D48" s="1"/>
      <c r="E48" s="1"/>
      <c r="F48" s="7">
        <v>5330.3896999999997</v>
      </c>
      <c r="G48" s="8">
        <v>0.83575085800000004</v>
      </c>
      <c r="H48" s="50"/>
      <c r="I48" s="54"/>
    </row>
    <row r="49" spans="1:9" x14ac:dyDescent="0.2">
      <c r="A49" s="1"/>
      <c r="B49" s="1"/>
      <c r="C49" s="5"/>
      <c r="D49" s="1"/>
      <c r="E49" s="1"/>
      <c r="F49" s="6"/>
      <c r="G49" s="6"/>
      <c r="H49" s="50"/>
      <c r="I49" s="54"/>
    </row>
    <row r="50" spans="1:9" x14ac:dyDescent="0.2">
      <c r="A50" s="1"/>
      <c r="B50" s="1"/>
      <c r="C50" s="2" t="s">
        <v>57</v>
      </c>
      <c r="D50" s="1"/>
      <c r="E50" s="1"/>
      <c r="F50" s="6"/>
      <c r="G50" s="6"/>
      <c r="H50" s="50"/>
      <c r="I50" s="54"/>
    </row>
    <row r="51" spans="1:9" x14ac:dyDescent="0.2">
      <c r="A51" s="1"/>
      <c r="B51" s="1"/>
      <c r="C51" s="2" t="s">
        <v>58</v>
      </c>
      <c r="D51" s="1"/>
      <c r="E51" s="1"/>
      <c r="F51" s="6"/>
      <c r="G51" s="6"/>
      <c r="H51" s="50"/>
      <c r="I51" s="54"/>
    </row>
    <row r="52" spans="1:9" x14ac:dyDescent="0.2">
      <c r="A52" s="1"/>
      <c r="B52" s="1"/>
      <c r="C52" s="2" t="s">
        <v>10</v>
      </c>
      <c r="D52" s="1"/>
      <c r="E52" s="1" t="s">
        <v>11</v>
      </c>
      <c r="F52" s="3">
        <v>0</v>
      </c>
      <c r="G52" s="4">
        <v>0</v>
      </c>
      <c r="H52" s="50"/>
      <c r="I52" s="54"/>
    </row>
    <row r="53" spans="1:9" x14ac:dyDescent="0.2">
      <c r="A53" s="1"/>
      <c r="B53" s="1"/>
      <c r="C53" s="5"/>
      <c r="D53" s="1"/>
      <c r="E53" s="1"/>
      <c r="F53" s="6"/>
      <c r="G53" s="6"/>
      <c r="H53" s="50"/>
      <c r="I53" s="54"/>
    </row>
    <row r="54" spans="1:9" x14ac:dyDescent="0.2">
      <c r="A54" s="1"/>
      <c r="B54" s="1"/>
      <c r="C54" s="2" t="s">
        <v>64</v>
      </c>
      <c r="D54" s="1"/>
      <c r="E54" s="1"/>
      <c r="F54" s="6"/>
      <c r="G54" s="6"/>
      <c r="H54" s="50"/>
      <c r="I54" s="54"/>
    </row>
    <row r="55" spans="1:9" x14ac:dyDescent="0.2">
      <c r="A55" s="1"/>
      <c r="B55" s="1"/>
      <c r="C55" s="2" t="s">
        <v>10</v>
      </c>
      <c r="D55" s="1"/>
      <c r="E55" s="1" t="s">
        <v>11</v>
      </c>
      <c r="F55" s="3">
        <v>0</v>
      </c>
      <c r="G55" s="4">
        <v>0</v>
      </c>
      <c r="H55" s="50"/>
      <c r="I55" s="54"/>
    </row>
    <row r="56" spans="1:9" x14ac:dyDescent="0.2">
      <c r="A56" s="1"/>
      <c r="B56" s="1"/>
      <c r="C56" s="5"/>
      <c r="D56" s="1"/>
      <c r="E56" s="1"/>
      <c r="F56" s="6"/>
      <c r="G56" s="6"/>
      <c r="H56" s="50"/>
      <c r="I56" s="54"/>
    </row>
    <row r="57" spans="1:9" x14ac:dyDescent="0.2">
      <c r="A57" s="1"/>
      <c r="B57" s="1"/>
      <c r="C57" s="2" t="s">
        <v>67</v>
      </c>
      <c r="D57" s="1"/>
      <c r="E57" s="1"/>
      <c r="F57" s="6"/>
      <c r="G57" s="6"/>
      <c r="H57" s="50"/>
      <c r="I57" s="54"/>
    </row>
    <row r="58" spans="1:9" x14ac:dyDescent="0.2">
      <c r="A58" s="1"/>
      <c r="B58" s="1"/>
      <c r="C58" s="2" t="s">
        <v>10</v>
      </c>
      <c r="D58" s="1"/>
      <c r="E58" s="1" t="s">
        <v>11</v>
      </c>
      <c r="F58" s="3">
        <v>0</v>
      </c>
      <c r="G58" s="4">
        <v>0</v>
      </c>
      <c r="H58" s="50"/>
      <c r="I58" s="54"/>
    </row>
    <row r="59" spans="1:9" x14ac:dyDescent="0.2">
      <c r="A59" s="1"/>
      <c r="B59" s="1"/>
      <c r="C59" s="5"/>
      <c r="D59" s="1"/>
      <c r="E59" s="1"/>
      <c r="F59" s="6"/>
      <c r="G59" s="6"/>
      <c r="H59" s="50"/>
      <c r="I59" s="54"/>
    </row>
    <row r="60" spans="1:9" x14ac:dyDescent="0.2">
      <c r="A60" s="1"/>
      <c r="B60" s="1"/>
      <c r="C60" s="2" t="s">
        <v>69</v>
      </c>
      <c r="D60" s="1"/>
      <c r="E60" s="1"/>
      <c r="F60" s="6"/>
      <c r="G60" s="6"/>
      <c r="H60" s="50"/>
      <c r="I60" s="54"/>
    </row>
    <row r="61" spans="1:9" x14ac:dyDescent="0.2">
      <c r="A61" s="9">
        <v>1</v>
      </c>
      <c r="B61" s="10"/>
      <c r="C61" s="10" t="s">
        <v>70</v>
      </c>
      <c r="D61" s="10"/>
      <c r="E61" s="14"/>
      <c r="F61" s="12">
        <v>599.88856899999996</v>
      </c>
      <c r="G61" s="13">
        <v>9.4056423E-2</v>
      </c>
      <c r="H61" s="50">
        <v>3.4504560529072292</v>
      </c>
      <c r="I61" s="54"/>
    </row>
    <row r="62" spans="1:9" x14ac:dyDescent="0.2">
      <c r="A62" s="9">
        <v>2</v>
      </c>
      <c r="B62" s="10"/>
      <c r="C62" s="10" t="s">
        <v>71</v>
      </c>
      <c r="D62" s="10"/>
      <c r="E62" s="14"/>
      <c r="F62" s="12">
        <v>323.76435420000001</v>
      </c>
      <c r="G62" s="13">
        <v>5.0762955999999998E-2</v>
      </c>
      <c r="H62" s="50">
        <v>3.5655822479098256</v>
      </c>
      <c r="I62" s="54"/>
    </row>
    <row r="63" spans="1:9" x14ac:dyDescent="0.2">
      <c r="A63" s="1"/>
      <c r="B63" s="1"/>
      <c r="C63" s="2" t="s">
        <v>10</v>
      </c>
      <c r="D63" s="1"/>
      <c r="E63" s="1" t="s">
        <v>11</v>
      </c>
      <c r="F63" s="7">
        <v>923.65292320000003</v>
      </c>
      <c r="G63" s="8">
        <v>0.144819379</v>
      </c>
      <c r="H63" s="50"/>
      <c r="I63" s="54"/>
    </row>
    <row r="64" spans="1:9" x14ac:dyDescent="0.2">
      <c r="A64" s="1"/>
      <c r="B64" s="1"/>
      <c r="C64" s="5"/>
      <c r="D64" s="1"/>
      <c r="E64" s="1"/>
      <c r="F64" s="6"/>
      <c r="G64" s="6"/>
      <c r="H64" s="50"/>
      <c r="I64" s="54"/>
    </row>
    <row r="65" spans="1:9" x14ac:dyDescent="0.2">
      <c r="A65" s="1"/>
      <c r="B65" s="1"/>
      <c r="C65" s="2" t="s">
        <v>72</v>
      </c>
      <c r="D65" s="1"/>
      <c r="E65" s="1"/>
      <c r="F65" s="7">
        <v>923.65292320000003</v>
      </c>
      <c r="G65" s="8">
        <v>0.144819379</v>
      </c>
      <c r="H65" s="50"/>
      <c r="I65" s="54"/>
    </row>
    <row r="66" spans="1:9" x14ac:dyDescent="0.2">
      <c r="A66" s="1"/>
      <c r="B66" s="1"/>
      <c r="C66" s="6"/>
      <c r="D66" s="1"/>
      <c r="E66" s="1"/>
      <c r="F66" s="1"/>
      <c r="G66" s="1"/>
      <c r="H66" s="50"/>
      <c r="I66" s="54"/>
    </row>
    <row r="67" spans="1:9" x14ac:dyDescent="0.2">
      <c r="A67" s="1"/>
      <c r="B67" s="1"/>
      <c r="C67" s="2" t="s">
        <v>73</v>
      </c>
      <c r="D67" s="1"/>
      <c r="E67" s="1"/>
      <c r="F67" s="1"/>
      <c r="G67" s="1"/>
      <c r="H67" s="50"/>
      <c r="I67" s="54"/>
    </row>
    <row r="68" spans="1:9" x14ac:dyDescent="0.2">
      <c r="A68" s="1"/>
      <c r="B68" s="1"/>
      <c r="C68" s="2" t="s">
        <v>74</v>
      </c>
      <c r="D68" s="1"/>
      <c r="E68" s="1"/>
      <c r="F68" s="1"/>
      <c r="G68" s="1"/>
      <c r="H68" s="50"/>
      <c r="I68" s="54"/>
    </row>
    <row r="69" spans="1:9" x14ac:dyDescent="0.2">
      <c r="A69" s="1"/>
      <c r="B69" s="1"/>
      <c r="C69" s="2" t="s">
        <v>10</v>
      </c>
      <c r="D69" s="1"/>
      <c r="E69" s="1" t="s">
        <v>11</v>
      </c>
      <c r="F69" s="3">
        <v>0</v>
      </c>
      <c r="G69" s="4">
        <v>0</v>
      </c>
      <c r="H69" s="50"/>
      <c r="I69" s="54"/>
    </row>
    <row r="70" spans="1:9" x14ac:dyDescent="0.2">
      <c r="A70" s="1"/>
      <c r="B70" s="1"/>
      <c r="C70" s="5"/>
      <c r="D70" s="1"/>
      <c r="E70" s="1"/>
      <c r="F70" s="6"/>
      <c r="G70" s="6"/>
      <c r="H70" s="50"/>
      <c r="I70" s="54"/>
    </row>
    <row r="71" spans="1:9" x14ac:dyDescent="0.2">
      <c r="A71" s="1"/>
      <c r="B71" s="1"/>
      <c r="C71" s="2" t="s">
        <v>75</v>
      </c>
      <c r="D71" s="1"/>
      <c r="E71" s="1"/>
      <c r="F71" s="1"/>
      <c r="G71" s="1"/>
      <c r="H71" s="50"/>
      <c r="I71" s="54"/>
    </row>
    <row r="72" spans="1:9" x14ac:dyDescent="0.2">
      <c r="A72" s="1"/>
      <c r="B72" s="1"/>
      <c r="C72" s="2" t="s">
        <v>76</v>
      </c>
      <c r="D72" s="1"/>
      <c r="E72" s="1"/>
      <c r="F72" s="1"/>
      <c r="G72" s="1"/>
      <c r="H72" s="50"/>
      <c r="I72" s="54"/>
    </row>
    <row r="73" spans="1:9" x14ac:dyDescent="0.2">
      <c r="A73" s="1"/>
      <c r="B73" s="1"/>
      <c r="C73" s="2" t="s">
        <v>10</v>
      </c>
      <c r="D73" s="1"/>
      <c r="E73" s="1" t="s">
        <v>11</v>
      </c>
      <c r="F73" s="3">
        <v>0</v>
      </c>
      <c r="G73" s="4">
        <v>0</v>
      </c>
      <c r="H73" s="50"/>
      <c r="I73" s="54"/>
    </row>
    <row r="74" spans="1:9" x14ac:dyDescent="0.2">
      <c r="A74" s="1"/>
      <c r="B74" s="1"/>
      <c r="C74" s="5"/>
      <c r="D74" s="1"/>
      <c r="E74" s="1"/>
      <c r="F74" s="6"/>
      <c r="G74" s="6"/>
      <c r="H74" s="50"/>
      <c r="I74" s="54"/>
    </row>
    <row r="75" spans="1:9" ht="25.5" x14ac:dyDescent="0.2">
      <c r="A75" s="1"/>
      <c r="B75" s="1"/>
      <c r="C75" s="2" t="s">
        <v>77</v>
      </c>
      <c r="D75" s="1"/>
      <c r="E75" s="1"/>
      <c r="F75" s="6"/>
      <c r="G75" s="6"/>
      <c r="H75" s="50"/>
      <c r="I75" s="54"/>
    </row>
    <row r="76" spans="1:9" x14ac:dyDescent="0.2">
      <c r="A76" s="1"/>
      <c r="B76" s="1"/>
      <c r="C76" s="2" t="s">
        <v>10</v>
      </c>
      <c r="D76" s="1"/>
      <c r="E76" s="1" t="s">
        <v>11</v>
      </c>
      <c r="F76" s="3">
        <v>0</v>
      </c>
      <c r="G76" s="4">
        <v>0</v>
      </c>
      <c r="H76" s="50"/>
      <c r="I76" s="54"/>
    </row>
    <row r="77" spans="1:9" x14ac:dyDescent="0.2">
      <c r="A77" s="1"/>
      <c r="B77" s="1"/>
      <c r="C77" s="5"/>
      <c r="D77" s="1"/>
      <c r="E77" s="1"/>
      <c r="F77" s="6"/>
      <c r="G77" s="6"/>
      <c r="H77" s="50"/>
      <c r="I77" s="54"/>
    </row>
    <row r="78" spans="1:9" x14ac:dyDescent="0.2">
      <c r="A78" s="1"/>
      <c r="B78" s="10"/>
      <c r="C78" s="10"/>
      <c r="D78" s="2"/>
      <c r="E78" s="1"/>
      <c r="F78" s="10"/>
      <c r="G78" s="14"/>
      <c r="H78" s="50"/>
      <c r="I78" s="54"/>
    </row>
    <row r="79" spans="1:9" x14ac:dyDescent="0.2">
      <c r="A79" s="14"/>
      <c r="B79" s="10"/>
      <c r="C79" s="10" t="s">
        <v>78</v>
      </c>
      <c r="D79" s="10"/>
      <c r="E79" s="14"/>
      <c r="F79" s="12">
        <v>123.92235331000001</v>
      </c>
      <c r="G79" s="13">
        <v>1.9429763999999999E-2</v>
      </c>
      <c r="H79" s="50"/>
      <c r="I79" s="54"/>
    </row>
    <row r="80" spans="1:9" x14ac:dyDescent="0.2">
      <c r="A80" s="5"/>
      <c r="B80" s="5"/>
      <c r="C80" s="2" t="s">
        <v>79</v>
      </c>
      <c r="D80" s="6"/>
      <c r="E80" s="6"/>
      <c r="F80" s="7">
        <v>6377.9649765100003</v>
      </c>
      <c r="G80" s="8">
        <v>1.0000000010000001</v>
      </c>
      <c r="H80" s="50"/>
      <c r="I80" s="54"/>
    </row>
    <row r="81" spans="1:7" x14ac:dyDescent="0.2">
      <c r="A81" s="15"/>
      <c r="B81" s="15"/>
      <c r="C81" s="15"/>
      <c r="D81" s="16"/>
      <c r="E81" s="16"/>
      <c r="F81" s="16"/>
      <c r="G81" s="16"/>
    </row>
    <row r="82" spans="1:7" ht="17.100000000000001" customHeight="1" x14ac:dyDescent="0.2">
      <c r="A82" s="17"/>
      <c r="B82" s="154" t="s">
        <v>80</v>
      </c>
      <c r="C82" s="154"/>
      <c r="D82" s="154"/>
      <c r="E82" s="154"/>
      <c r="F82" s="154"/>
      <c r="G82" s="19"/>
    </row>
    <row r="83" spans="1:7" ht="17.100000000000001" customHeight="1" x14ac:dyDescent="0.2">
      <c r="A83" s="17"/>
      <c r="B83" s="154" t="s">
        <v>81</v>
      </c>
      <c r="C83" s="154"/>
      <c r="D83" s="154"/>
      <c r="E83" s="154"/>
      <c r="F83" s="154"/>
      <c r="G83" s="19"/>
    </row>
    <row r="84" spans="1:7" ht="14.1" customHeight="1" x14ac:dyDescent="0.2">
      <c r="A84" s="17"/>
      <c r="B84" s="154" t="s">
        <v>11</v>
      </c>
      <c r="C84" s="154"/>
      <c r="D84" s="154"/>
      <c r="E84" s="154"/>
      <c r="F84" s="154"/>
      <c r="G84" s="19"/>
    </row>
    <row r="85" spans="1:7" ht="14.1" customHeight="1" x14ac:dyDescent="0.2">
      <c r="A85" s="17"/>
      <c r="B85" s="17"/>
      <c r="C85" s="17"/>
      <c r="D85" s="19"/>
      <c r="E85" s="19"/>
      <c r="F85" s="19"/>
      <c r="G85" s="19"/>
    </row>
    <row r="86" spans="1:7" ht="14.1" customHeight="1" x14ac:dyDescent="0.2">
      <c r="A86" s="17"/>
      <c r="B86" s="155" t="s">
        <v>82</v>
      </c>
      <c r="C86" s="156"/>
      <c r="D86" s="157"/>
      <c r="E86" s="20"/>
      <c r="F86" s="19"/>
      <c r="G86" s="19"/>
    </row>
    <row r="87" spans="1:7" ht="29.1" customHeight="1" x14ac:dyDescent="0.2">
      <c r="A87" s="17"/>
      <c r="B87" s="149" t="s">
        <v>83</v>
      </c>
      <c r="C87" s="150"/>
      <c r="D87" s="2" t="s">
        <v>654</v>
      </c>
      <c r="E87" s="20"/>
      <c r="F87" s="19"/>
      <c r="G87" s="19"/>
    </row>
    <row r="88" spans="1:7" ht="17.100000000000001" customHeight="1" x14ac:dyDescent="0.2">
      <c r="A88" s="17"/>
      <c r="B88" s="149" t="s">
        <v>85</v>
      </c>
      <c r="C88" s="150"/>
      <c r="D88" s="2" t="s">
        <v>84</v>
      </c>
      <c r="E88" s="20"/>
      <c r="F88" s="19"/>
      <c r="G88" s="19"/>
    </row>
    <row r="89" spans="1:7" ht="17.100000000000001" customHeight="1" x14ac:dyDescent="0.2">
      <c r="A89" s="17"/>
      <c r="B89" s="149" t="s">
        <v>86</v>
      </c>
      <c r="C89" s="150"/>
      <c r="D89" s="6" t="s">
        <v>11</v>
      </c>
      <c r="E89" s="20"/>
      <c r="F89" s="19"/>
      <c r="G89" s="19"/>
    </row>
    <row r="90" spans="1:7" ht="24" customHeight="1" x14ac:dyDescent="0.2">
      <c r="A90" s="21"/>
      <c r="B90" s="22" t="s">
        <v>11</v>
      </c>
      <c r="C90" s="22" t="s">
        <v>87</v>
      </c>
      <c r="D90" s="22" t="s">
        <v>88</v>
      </c>
      <c r="E90" s="21"/>
      <c r="F90" s="21"/>
      <c r="G90" s="21"/>
    </row>
    <row r="91" spans="1:7" ht="18" customHeight="1" x14ac:dyDescent="0.2">
      <c r="A91" s="21"/>
      <c r="B91" s="23" t="s">
        <v>89</v>
      </c>
      <c r="C91" s="22" t="s">
        <v>90</v>
      </c>
      <c r="D91" s="22" t="s">
        <v>91</v>
      </c>
      <c r="E91" s="21"/>
      <c r="F91" s="21"/>
      <c r="G91" s="21"/>
    </row>
    <row r="92" spans="1:7" x14ac:dyDescent="0.2">
      <c r="A92" s="21"/>
      <c r="B92" s="10" t="s">
        <v>92</v>
      </c>
      <c r="C92" s="24">
        <v>63.869300000000003</v>
      </c>
      <c r="D92" s="24">
        <v>63.814</v>
      </c>
      <c r="E92" s="21"/>
      <c r="F92" s="18"/>
      <c r="G92" s="25"/>
    </row>
    <row r="93" spans="1:7" ht="25.5" x14ac:dyDescent="0.2">
      <c r="A93" s="21"/>
      <c r="B93" s="10" t="s">
        <v>459</v>
      </c>
      <c r="C93" s="24">
        <v>23.570599999999999</v>
      </c>
      <c r="D93" s="24">
        <v>23.475200000000001</v>
      </c>
      <c r="E93" s="21"/>
      <c r="F93" s="18"/>
      <c r="G93" s="25"/>
    </row>
    <row r="94" spans="1:7" ht="25.5" x14ac:dyDescent="0.2">
      <c r="A94" s="21"/>
      <c r="B94" s="10" t="s">
        <v>461</v>
      </c>
      <c r="C94" s="24">
        <v>13.4696</v>
      </c>
      <c r="D94" s="24">
        <v>13.4579</v>
      </c>
      <c r="E94" s="21"/>
      <c r="F94" s="18"/>
      <c r="G94" s="25"/>
    </row>
    <row r="95" spans="1:7" ht="25.5" x14ac:dyDescent="0.2">
      <c r="A95" s="21"/>
      <c r="B95" s="10" t="s">
        <v>285</v>
      </c>
      <c r="C95" s="24">
        <v>66.780600000000007</v>
      </c>
      <c r="D95" s="24">
        <v>66.665700000000001</v>
      </c>
      <c r="E95" s="21"/>
      <c r="F95" s="18"/>
      <c r="G95" s="25"/>
    </row>
    <row r="96" spans="1:7" x14ac:dyDescent="0.2">
      <c r="A96" s="21"/>
      <c r="B96" s="10" t="s">
        <v>93</v>
      </c>
      <c r="C96" s="24">
        <v>59.081699999999998</v>
      </c>
      <c r="D96" s="24">
        <v>58.98</v>
      </c>
      <c r="E96" s="21"/>
      <c r="F96" s="18"/>
      <c r="G96" s="25"/>
    </row>
    <row r="97" spans="1:16" x14ac:dyDescent="0.2">
      <c r="A97" s="21"/>
      <c r="B97" s="10" t="s">
        <v>94</v>
      </c>
      <c r="C97" s="24">
        <v>20.179099999999998</v>
      </c>
      <c r="D97" s="24">
        <v>20.144300000000001</v>
      </c>
      <c r="E97" s="21"/>
      <c r="F97" s="18"/>
      <c r="G97" s="25"/>
    </row>
    <row r="98" spans="1:16" ht="25.5" x14ac:dyDescent="0.2">
      <c r="A98" s="21"/>
      <c r="B98" s="10" t="s">
        <v>465</v>
      </c>
      <c r="C98" s="24">
        <v>12.3566</v>
      </c>
      <c r="D98" s="24">
        <v>12.260300000000001</v>
      </c>
      <c r="E98" s="21"/>
      <c r="F98" s="18"/>
      <c r="G98" s="25"/>
    </row>
    <row r="99" spans="1:16" ht="25.5" x14ac:dyDescent="0.2">
      <c r="A99" s="21"/>
      <c r="B99" s="10" t="s">
        <v>466</v>
      </c>
      <c r="C99" s="24">
        <v>12.537100000000001</v>
      </c>
      <c r="D99" s="24">
        <v>12.515499999999999</v>
      </c>
      <c r="E99" s="21"/>
      <c r="F99" s="18"/>
      <c r="G99" s="25"/>
    </row>
    <row r="100" spans="1:16" ht="25.5" x14ac:dyDescent="0.2">
      <c r="A100" s="21"/>
      <c r="B100" s="10" t="s">
        <v>467</v>
      </c>
      <c r="C100" s="24">
        <v>12.307600000000001</v>
      </c>
      <c r="D100" s="24">
        <v>12.2864</v>
      </c>
      <c r="E100" s="21"/>
      <c r="F100" s="18"/>
      <c r="G100" s="25"/>
    </row>
    <row r="101" spans="1:16" ht="14.1" customHeight="1" x14ac:dyDescent="0.2">
      <c r="A101" s="21"/>
      <c r="B101" s="21"/>
      <c r="C101" s="21"/>
      <c r="D101" s="21"/>
      <c r="E101" s="21"/>
      <c r="F101" s="21"/>
      <c r="G101" s="21"/>
    </row>
    <row r="102" spans="1:16" ht="17.100000000000001" customHeight="1" x14ac:dyDescent="0.2">
      <c r="A102" s="21"/>
      <c r="B102" s="149" t="s">
        <v>468</v>
      </c>
      <c r="C102" s="150"/>
      <c r="D102" s="2" t="s">
        <v>11</v>
      </c>
      <c r="E102" s="21"/>
      <c r="F102" s="21"/>
      <c r="G102" s="21"/>
    </row>
    <row r="103" spans="1:16" ht="18" customHeight="1" x14ac:dyDescent="0.2">
      <c r="A103" s="21"/>
      <c r="B103" s="26" t="s">
        <v>89</v>
      </c>
      <c r="C103" s="27" t="s">
        <v>95</v>
      </c>
      <c r="D103" s="27" t="s">
        <v>96</v>
      </c>
      <c r="E103" s="21"/>
      <c r="F103" s="21"/>
      <c r="G103" s="21"/>
    </row>
    <row r="104" spans="1:16" ht="25.5" x14ac:dyDescent="0.2">
      <c r="A104" s="21"/>
      <c r="B104" s="10" t="s">
        <v>459</v>
      </c>
      <c r="C104" s="28">
        <v>0</v>
      </c>
      <c r="D104" s="28">
        <v>7.4999999999999997E-2</v>
      </c>
      <c r="E104" s="21"/>
      <c r="F104" s="18"/>
      <c r="G104" s="25"/>
    </row>
    <row r="105" spans="1:16" ht="25.5" x14ac:dyDescent="0.2">
      <c r="A105" s="21"/>
      <c r="B105" s="10" t="s">
        <v>465</v>
      </c>
      <c r="C105" s="28">
        <v>7.4999999999999997E-2</v>
      </c>
      <c r="D105" s="28">
        <v>7.4999999999999997E-2</v>
      </c>
      <c r="E105" s="21"/>
      <c r="F105" s="18"/>
      <c r="G105" s="25"/>
    </row>
    <row r="106" spans="1:16" ht="14.1" customHeight="1" x14ac:dyDescent="0.2">
      <c r="A106" s="21"/>
      <c r="B106" s="29"/>
      <c r="C106" s="29"/>
      <c r="D106" s="30"/>
      <c r="E106" s="21"/>
      <c r="F106" s="18"/>
      <c r="G106" s="25"/>
    </row>
    <row r="107" spans="1:16" x14ac:dyDescent="0.2">
      <c r="A107" s="55"/>
      <c r="B107" s="153" t="s">
        <v>479</v>
      </c>
      <c r="C107" s="153"/>
      <c r="D107" s="153"/>
      <c r="E107" s="153"/>
      <c r="F107" s="153"/>
      <c r="G107" s="55"/>
      <c r="I107" s="57"/>
    </row>
    <row r="108" spans="1:16" ht="14.1" customHeight="1" x14ac:dyDescent="0.2">
      <c r="A108" s="21"/>
      <c r="B108" s="18"/>
      <c r="C108" s="18"/>
      <c r="D108" s="21"/>
      <c r="E108" s="21"/>
      <c r="F108" s="21"/>
      <c r="G108" s="21"/>
    </row>
    <row r="109" spans="1:16" ht="17.100000000000001" customHeight="1" x14ac:dyDescent="0.2">
      <c r="A109" s="21"/>
      <c r="B109" s="169" t="s">
        <v>429</v>
      </c>
      <c r="C109" s="170"/>
      <c r="D109" s="2" t="s">
        <v>84</v>
      </c>
      <c r="E109" s="21"/>
      <c r="F109" s="18"/>
      <c r="G109" s="25"/>
      <c r="J109"/>
      <c r="K109"/>
      <c r="L109"/>
      <c r="M109"/>
      <c r="N109"/>
      <c r="O109"/>
      <c r="P109"/>
    </row>
    <row r="110" spans="1:16" ht="29.1" customHeight="1" x14ac:dyDescent="0.2">
      <c r="A110" s="21"/>
      <c r="B110" s="169" t="s">
        <v>430</v>
      </c>
      <c r="C110" s="170"/>
      <c r="D110" s="2" t="s">
        <v>84</v>
      </c>
      <c r="E110" s="31"/>
      <c r="F110" s="21"/>
      <c r="G110" s="21"/>
    </row>
    <row r="111" spans="1:16" ht="29.1" customHeight="1" x14ac:dyDescent="0.2">
      <c r="A111" s="21"/>
      <c r="B111" s="169" t="s">
        <v>431</v>
      </c>
      <c r="C111" s="170"/>
      <c r="D111" s="2" t="s">
        <v>84</v>
      </c>
      <c r="E111" s="31"/>
      <c r="F111" s="21"/>
      <c r="G111" s="21"/>
    </row>
    <row r="112" spans="1:16" ht="17.100000000000001" customHeight="1" x14ac:dyDescent="0.2">
      <c r="A112" s="21"/>
      <c r="B112" s="169" t="s">
        <v>432</v>
      </c>
      <c r="C112" s="170"/>
      <c r="D112" s="32">
        <v>3.8530293915906078</v>
      </c>
      <c r="E112" s="31"/>
      <c r="F112" s="21"/>
      <c r="G112" s="21"/>
    </row>
    <row r="113" spans="1:16" ht="17.100000000000001" customHeight="1" x14ac:dyDescent="0.2">
      <c r="A113" s="21"/>
      <c r="B113" s="169" t="s">
        <v>433</v>
      </c>
      <c r="C113" s="170"/>
      <c r="D113" s="32">
        <v>3.1250029254498215</v>
      </c>
      <c r="E113" s="31"/>
      <c r="F113" s="21"/>
      <c r="G113" s="21"/>
    </row>
    <row r="114" spans="1:16" ht="17.100000000000001" customHeight="1" x14ac:dyDescent="0.2">
      <c r="A114" s="21"/>
      <c r="B114" s="169" t="s">
        <v>434</v>
      </c>
      <c r="C114" s="170"/>
      <c r="D114" s="2" t="s">
        <v>84</v>
      </c>
      <c r="E114" s="31"/>
      <c r="F114" s="21"/>
      <c r="G114" s="21"/>
    </row>
    <row r="115" spans="1:16" ht="11.1" customHeight="1" x14ac:dyDescent="0.2">
      <c r="A115" s="33"/>
      <c r="B115" s="33"/>
      <c r="C115" s="33"/>
      <c r="D115" s="33"/>
      <c r="E115" s="33"/>
      <c r="F115" s="33"/>
      <c r="G115" s="33"/>
    </row>
    <row r="116" spans="1:16" x14ac:dyDescent="0.2">
      <c r="A116" s="134"/>
      <c r="B116" s="180" t="s">
        <v>614</v>
      </c>
      <c r="C116" s="180"/>
      <c r="D116" s="180"/>
      <c r="E116" s="180"/>
      <c r="F116" s="180"/>
      <c r="G116" s="180"/>
      <c r="H116" s="180"/>
    </row>
    <row r="117" spans="1:16" x14ac:dyDescent="0.2">
      <c r="B117" s="40" t="s">
        <v>435</v>
      </c>
      <c r="C117" s="40" t="s">
        <v>436</v>
      </c>
      <c r="D117" s="163" t="s">
        <v>437</v>
      </c>
      <c r="E117" s="163"/>
      <c r="F117" s="163"/>
      <c r="G117" s="164" t="s">
        <v>438</v>
      </c>
      <c r="H117" s="164"/>
    </row>
    <row r="118" spans="1:16" ht="25.5" x14ac:dyDescent="0.2">
      <c r="B118" s="41" t="s">
        <v>439</v>
      </c>
      <c r="C118" s="42" t="s">
        <v>440</v>
      </c>
      <c r="D118" s="188">
        <v>0</v>
      </c>
      <c r="E118" s="188"/>
      <c r="F118" s="188"/>
      <c r="G118" s="188">
        <v>0</v>
      </c>
      <c r="H118" s="188"/>
    </row>
    <row r="119" spans="1:16" x14ac:dyDescent="0.2">
      <c r="B119" s="41"/>
      <c r="C119" s="41"/>
      <c r="D119" s="189"/>
      <c r="E119" s="190"/>
      <c r="F119" s="191"/>
      <c r="G119" s="189"/>
      <c r="H119" s="191"/>
    </row>
    <row r="120" spans="1:16" x14ac:dyDescent="0.2">
      <c r="B120" s="177" t="s">
        <v>441</v>
      </c>
      <c r="C120" s="181"/>
      <c r="D120" s="181"/>
      <c r="E120" s="181"/>
      <c r="F120" s="181"/>
      <c r="G120" s="181"/>
      <c r="H120" s="178"/>
    </row>
    <row r="121" spans="1:16" x14ac:dyDescent="0.2">
      <c r="B121" s="182" t="s">
        <v>435</v>
      </c>
      <c r="C121" s="182" t="s">
        <v>436</v>
      </c>
      <c r="D121" s="183" t="s">
        <v>442</v>
      </c>
      <c r="E121" s="184"/>
      <c r="F121" s="184"/>
      <c r="G121" s="184"/>
      <c r="H121" s="41"/>
    </row>
    <row r="122" spans="1:16" ht="51" x14ac:dyDescent="0.2">
      <c r="B122" s="160"/>
      <c r="C122" s="160"/>
      <c r="D122" s="43" t="s">
        <v>443</v>
      </c>
      <c r="E122" s="43" t="s">
        <v>444</v>
      </c>
      <c r="F122" s="43" t="s">
        <v>445</v>
      </c>
      <c r="G122" s="43" t="s">
        <v>446</v>
      </c>
      <c r="H122" s="43" t="s">
        <v>448</v>
      </c>
    </row>
    <row r="123" spans="1:16" ht="25.5" x14ac:dyDescent="0.2">
      <c r="B123" s="44" t="s">
        <v>439</v>
      </c>
      <c r="C123" s="45" t="s">
        <v>440</v>
      </c>
      <c r="D123" s="46">
        <v>200</v>
      </c>
      <c r="E123" s="46">
        <v>6.8852450999999997</v>
      </c>
      <c r="F123" s="47">
        <v>0</v>
      </c>
      <c r="G123" s="46">
        <v>206.88524509999999</v>
      </c>
      <c r="H123" s="48">
        <v>3.2399999999999998E-2</v>
      </c>
    </row>
    <row r="124" spans="1:16" ht="25.5" customHeight="1" x14ac:dyDescent="0.2">
      <c r="B124" s="185" t="s">
        <v>447</v>
      </c>
      <c r="C124" s="186"/>
      <c r="D124" s="186"/>
      <c r="E124" s="186"/>
      <c r="F124" s="186"/>
      <c r="G124" s="186"/>
      <c r="H124" s="187"/>
      <c r="J124" s="135"/>
      <c r="K124" s="135"/>
      <c r="L124" s="135"/>
      <c r="M124" s="135"/>
      <c r="N124" s="135"/>
      <c r="O124" s="135"/>
      <c r="P124" s="135"/>
    </row>
  </sheetData>
  <mergeCells count="31">
    <mergeCell ref="A1:I1"/>
    <mergeCell ref="A2:I2"/>
    <mergeCell ref="A3:I3"/>
    <mergeCell ref="B107:F107"/>
    <mergeCell ref="B102:C102"/>
    <mergeCell ref="B84:F84"/>
    <mergeCell ref="B86:D86"/>
    <mergeCell ref="B87:C87"/>
    <mergeCell ref="B88:C88"/>
    <mergeCell ref="B89:C89"/>
    <mergeCell ref="B124:H124"/>
    <mergeCell ref="D117:F117"/>
    <mergeCell ref="G117:H117"/>
    <mergeCell ref="D118:F118"/>
    <mergeCell ref="G118:H118"/>
    <mergeCell ref="D119:F119"/>
    <mergeCell ref="G119:H119"/>
    <mergeCell ref="K2:O2"/>
    <mergeCell ref="B116:H116"/>
    <mergeCell ref="B120:H120"/>
    <mergeCell ref="B121:B122"/>
    <mergeCell ref="C121:C122"/>
    <mergeCell ref="D121:G121"/>
    <mergeCell ref="B111:C111"/>
    <mergeCell ref="B112:C112"/>
    <mergeCell ref="B113:C113"/>
    <mergeCell ref="B114:C114"/>
    <mergeCell ref="B109:C109"/>
    <mergeCell ref="B110:C110"/>
    <mergeCell ref="B82:F82"/>
    <mergeCell ref="B83:F83"/>
  </mergeCells>
  <pageMargins left="5.000000074505806E-2" right="5.000000074505806E-2" top="0.30000001192092896" bottom="0.20000000298023224" header="0" footer="0"/>
  <pageSetup paperSize="9"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P151"/>
  <sheetViews>
    <sheetView showGridLines="0" workbookViewId="0">
      <selection sqref="A1: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11.28515625" bestFit="1" customWidth="1"/>
    <col min="10" max="10" width="9.140625" style="57"/>
    <col min="11" max="11" width="14.42578125" style="57" bestFit="1" customWidth="1"/>
    <col min="12" max="16" width="9.140625" style="57"/>
  </cols>
  <sheetData>
    <row r="1" spans="1:16" ht="18" customHeight="1" x14ac:dyDescent="0.2">
      <c r="A1" s="152" t="s">
        <v>0</v>
      </c>
      <c r="B1" s="152"/>
      <c r="C1" s="152"/>
      <c r="D1" s="152"/>
      <c r="E1" s="152"/>
      <c r="F1" s="152"/>
      <c r="G1" s="152"/>
      <c r="H1" s="152"/>
      <c r="I1" s="152"/>
    </row>
    <row r="2" spans="1:16" ht="17.100000000000001" customHeight="1" x14ac:dyDescent="0.2">
      <c r="A2" s="152" t="s">
        <v>384</v>
      </c>
      <c r="B2" s="152"/>
      <c r="C2" s="152"/>
      <c r="D2" s="152"/>
      <c r="E2" s="152"/>
      <c r="F2" s="152"/>
      <c r="G2" s="152"/>
      <c r="H2" s="152"/>
      <c r="I2" s="152"/>
      <c r="K2" s="148" t="s">
        <v>631</v>
      </c>
      <c r="L2" s="148"/>
      <c r="M2" s="148"/>
      <c r="N2" s="148"/>
      <c r="O2" s="148"/>
    </row>
    <row r="3" spans="1:16" ht="21" customHeight="1" x14ac:dyDescent="0.2">
      <c r="A3" s="152" t="s">
        <v>480</v>
      </c>
      <c r="B3" s="152"/>
      <c r="C3" s="152"/>
      <c r="D3" s="152"/>
      <c r="E3" s="152"/>
      <c r="F3" s="152"/>
      <c r="G3" s="152"/>
      <c r="H3" s="152"/>
      <c r="I3" s="152"/>
    </row>
    <row r="4" spans="1:16" s="59" customFormat="1" ht="30" x14ac:dyDescent="0.2">
      <c r="A4" s="58" t="s">
        <v>1</v>
      </c>
      <c r="B4" s="58" t="s">
        <v>2</v>
      </c>
      <c r="C4" s="58" t="s">
        <v>3</v>
      </c>
      <c r="D4" s="58" t="s">
        <v>4</v>
      </c>
      <c r="E4" s="58" t="s">
        <v>5</v>
      </c>
      <c r="F4" s="58" t="s">
        <v>6</v>
      </c>
      <c r="G4" s="58" t="s">
        <v>7</v>
      </c>
      <c r="H4" s="49" t="s">
        <v>452</v>
      </c>
      <c r="I4" s="49" t="s">
        <v>455</v>
      </c>
      <c r="J4" s="135"/>
      <c r="K4" s="135"/>
      <c r="L4" s="135"/>
      <c r="M4" s="135"/>
      <c r="N4" s="135"/>
      <c r="O4" s="135"/>
      <c r="P4" s="135"/>
    </row>
    <row r="5" spans="1:16" x14ac:dyDescent="0.2">
      <c r="A5" s="1"/>
      <c r="B5" s="1"/>
      <c r="C5" s="2" t="s">
        <v>8</v>
      </c>
      <c r="D5" s="1"/>
      <c r="E5" s="1"/>
      <c r="F5" s="1"/>
      <c r="G5" s="1"/>
      <c r="H5" s="50"/>
      <c r="I5" s="54"/>
    </row>
    <row r="6" spans="1:16" ht="25.5" x14ac:dyDescent="0.2">
      <c r="A6" s="1"/>
      <c r="B6" s="1"/>
      <c r="C6" s="2" t="s">
        <v>9</v>
      </c>
      <c r="D6" s="1"/>
      <c r="E6" s="1"/>
      <c r="F6" s="1"/>
      <c r="G6" s="1"/>
      <c r="H6" s="50"/>
      <c r="I6" s="54"/>
    </row>
    <row r="7" spans="1:16" x14ac:dyDescent="0.2">
      <c r="A7" s="9">
        <v>1</v>
      </c>
      <c r="B7" s="10" t="s">
        <v>327</v>
      </c>
      <c r="C7" s="10" t="s">
        <v>328</v>
      </c>
      <c r="D7" s="10" t="s">
        <v>329</v>
      </c>
      <c r="E7" s="11">
        <v>11435</v>
      </c>
      <c r="F7" s="12">
        <v>84.636152499999994</v>
      </c>
      <c r="G7" s="13">
        <v>2.4910611999999999E-2</v>
      </c>
      <c r="H7" s="50"/>
      <c r="I7" s="54"/>
    </row>
    <row r="8" spans="1:16" x14ac:dyDescent="0.2">
      <c r="A8" s="9">
        <v>2</v>
      </c>
      <c r="B8" s="10" t="s">
        <v>347</v>
      </c>
      <c r="C8" s="10" t="s">
        <v>348</v>
      </c>
      <c r="D8" s="10" t="s">
        <v>329</v>
      </c>
      <c r="E8" s="11">
        <v>4914</v>
      </c>
      <c r="F8" s="12">
        <v>72.697716</v>
      </c>
      <c r="G8" s="13">
        <v>2.1396821E-2</v>
      </c>
      <c r="H8" s="50"/>
      <c r="I8" s="54"/>
    </row>
    <row r="9" spans="1:16" x14ac:dyDescent="0.2">
      <c r="A9" s="9">
        <v>3</v>
      </c>
      <c r="B9" s="10" t="s">
        <v>343</v>
      </c>
      <c r="C9" s="10" t="s">
        <v>344</v>
      </c>
      <c r="D9" s="10" t="s">
        <v>345</v>
      </c>
      <c r="E9" s="11">
        <v>2941</v>
      </c>
      <c r="F9" s="12">
        <v>55.758419000000004</v>
      </c>
      <c r="G9" s="13">
        <v>1.6411147000000001E-2</v>
      </c>
      <c r="H9" s="50"/>
      <c r="I9" s="54"/>
    </row>
    <row r="10" spans="1:16" ht="25.5" x14ac:dyDescent="0.2">
      <c r="A10" s="9">
        <v>4</v>
      </c>
      <c r="B10" s="10" t="s">
        <v>370</v>
      </c>
      <c r="C10" s="10" t="s">
        <v>371</v>
      </c>
      <c r="D10" s="10" t="s">
        <v>340</v>
      </c>
      <c r="E10" s="11">
        <v>260</v>
      </c>
      <c r="F10" s="12">
        <v>40.194310000000002</v>
      </c>
      <c r="G10" s="13">
        <v>1.1830227E-2</v>
      </c>
      <c r="H10" s="50"/>
      <c r="I10" s="54"/>
    </row>
    <row r="11" spans="1:16" x14ac:dyDescent="0.2">
      <c r="A11" s="9">
        <v>5</v>
      </c>
      <c r="B11" s="10" t="s">
        <v>352</v>
      </c>
      <c r="C11" s="10" t="s">
        <v>353</v>
      </c>
      <c r="D11" s="10" t="s">
        <v>334</v>
      </c>
      <c r="E11" s="11">
        <v>2754</v>
      </c>
      <c r="F11" s="12">
        <v>36.328014000000003</v>
      </c>
      <c r="G11" s="13">
        <v>1.0692276000000001E-2</v>
      </c>
      <c r="H11" s="50"/>
      <c r="I11" s="54"/>
    </row>
    <row r="12" spans="1:16" x14ac:dyDescent="0.2">
      <c r="A12" s="9">
        <v>6</v>
      </c>
      <c r="B12" s="10" t="s">
        <v>332</v>
      </c>
      <c r="C12" s="10" t="s">
        <v>333</v>
      </c>
      <c r="D12" s="10" t="s">
        <v>334</v>
      </c>
      <c r="E12" s="11">
        <v>1855</v>
      </c>
      <c r="F12" s="12">
        <v>35.017762500000003</v>
      </c>
      <c r="G12" s="13">
        <v>1.0306635E-2</v>
      </c>
      <c r="H12" s="50"/>
      <c r="I12" s="54"/>
    </row>
    <row r="13" spans="1:16" x14ac:dyDescent="0.2">
      <c r="A13" s="9">
        <v>7</v>
      </c>
      <c r="B13" s="10" t="s">
        <v>358</v>
      </c>
      <c r="C13" s="10" t="s">
        <v>359</v>
      </c>
      <c r="D13" s="10" t="s">
        <v>326</v>
      </c>
      <c r="E13" s="11">
        <v>9000</v>
      </c>
      <c r="F13" s="12">
        <v>34.6905</v>
      </c>
      <c r="G13" s="13">
        <v>1.0210313E-2</v>
      </c>
      <c r="H13" s="50"/>
      <c r="I13" s="54"/>
    </row>
    <row r="14" spans="1:16" x14ac:dyDescent="0.2">
      <c r="A14" s="9">
        <v>8</v>
      </c>
      <c r="B14" s="10" t="s">
        <v>365</v>
      </c>
      <c r="C14" s="10" t="s">
        <v>366</v>
      </c>
      <c r="D14" s="10" t="s">
        <v>334</v>
      </c>
      <c r="E14" s="11">
        <v>654</v>
      </c>
      <c r="F14" s="12">
        <v>31.261199999999999</v>
      </c>
      <c r="G14" s="13">
        <v>9.2009810000000004E-3</v>
      </c>
      <c r="H14" s="50"/>
      <c r="I14" s="54"/>
    </row>
    <row r="15" spans="1:16" x14ac:dyDescent="0.2">
      <c r="A15" s="9">
        <v>9</v>
      </c>
      <c r="B15" s="10" t="s">
        <v>335</v>
      </c>
      <c r="C15" s="10" t="s">
        <v>336</v>
      </c>
      <c r="D15" s="10" t="s">
        <v>329</v>
      </c>
      <c r="E15" s="11">
        <v>4063</v>
      </c>
      <c r="F15" s="12">
        <v>27.5694865</v>
      </c>
      <c r="G15" s="13">
        <v>8.1144140000000003E-3</v>
      </c>
      <c r="H15" s="50"/>
      <c r="I15" s="54"/>
    </row>
    <row r="16" spans="1:16" ht="15" x14ac:dyDescent="0.25">
      <c r="A16" s="9">
        <v>10</v>
      </c>
      <c r="B16" s="10" t="s">
        <v>337</v>
      </c>
      <c r="C16" s="10" t="s">
        <v>338</v>
      </c>
      <c r="D16" s="10" t="s">
        <v>339</v>
      </c>
      <c r="E16" s="11">
        <v>3065</v>
      </c>
      <c r="F16" s="12">
        <v>20.958469999999998</v>
      </c>
      <c r="G16" s="13">
        <v>6.168621E-3</v>
      </c>
      <c r="H16" s="50"/>
      <c r="I16" s="54"/>
      <c r="J16" s="138"/>
      <c r="K16" s="137" t="s">
        <v>633</v>
      </c>
      <c r="L16" s="138"/>
      <c r="M16" s="138"/>
      <c r="N16" s="138"/>
      <c r="O16" s="138"/>
    </row>
    <row r="17" spans="1:16" x14ac:dyDescent="0.2">
      <c r="A17" s="9">
        <v>11</v>
      </c>
      <c r="B17" s="10" t="s">
        <v>363</v>
      </c>
      <c r="C17" s="10" t="s">
        <v>364</v>
      </c>
      <c r="D17" s="10" t="s">
        <v>346</v>
      </c>
      <c r="E17" s="11">
        <v>881</v>
      </c>
      <c r="F17" s="12">
        <v>20.102658000000002</v>
      </c>
      <c r="G17" s="13">
        <v>5.9167330000000004E-3</v>
      </c>
      <c r="H17" s="50"/>
      <c r="I17" s="54"/>
    </row>
    <row r="18" spans="1:16" x14ac:dyDescent="0.2">
      <c r="A18" s="9">
        <v>12</v>
      </c>
      <c r="B18" s="10" t="s">
        <v>324</v>
      </c>
      <c r="C18" s="10" t="s">
        <v>325</v>
      </c>
      <c r="D18" s="10" t="s">
        <v>326</v>
      </c>
      <c r="E18" s="11">
        <v>759</v>
      </c>
      <c r="F18" s="12">
        <v>17.974258500000001</v>
      </c>
      <c r="G18" s="13">
        <v>5.2902899999999996E-3</v>
      </c>
      <c r="H18" s="50"/>
      <c r="I18" s="54"/>
    </row>
    <row r="19" spans="1:16" x14ac:dyDescent="0.2">
      <c r="A19" s="9">
        <v>13</v>
      </c>
      <c r="B19" s="10" t="s">
        <v>330</v>
      </c>
      <c r="C19" s="10" t="s">
        <v>331</v>
      </c>
      <c r="D19" s="10" t="s">
        <v>329</v>
      </c>
      <c r="E19" s="11">
        <v>3845</v>
      </c>
      <c r="F19" s="12">
        <v>17.704302500000001</v>
      </c>
      <c r="G19" s="13">
        <v>5.2108349999999996E-3</v>
      </c>
      <c r="H19" s="50"/>
      <c r="I19" s="54"/>
    </row>
    <row r="20" spans="1:16" x14ac:dyDescent="0.2">
      <c r="A20" s="9">
        <v>14</v>
      </c>
      <c r="B20" s="10" t="s">
        <v>378</v>
      </c>
      <c r="C20" s="10" t="s">
        <v>379</v>
      </c>
      <c r="D20" s="10" t="s">
        <v>349</v>
      </c>
      <c r="E20" s="11">
        <v>1813</v>
      </c>
      <c r="F20" s="12">
        <v>17.116533</v>
      </c>
      <c r="G20" s="13">
        <v>5.0378389999999997E-3</v>
      </c>
      <c r="H20" s="50"/>
      <c r="I20" s="54"/>
    </row>
    <row r="21" spans="1:16" ht="25.5" x14ac:dyDescent="0.2">
      <c r="A21" s="9">
        <v>15</v>
      </c>
      <c r="B21" s="10" t="s">
        <v>354</v>
      </c>
      <c r="C21" s="10" t="s">
        <v>355</v>
      </c>
      <c r="D21" s="10" t="s">
        <v>340</v>
      </c>
      <c r="E21" s="11">
        <v>1812</v>
      </c>
      <c r="F21" s="12">
        <v>16.095996</v>
      </c>
      <c r="G21" s="13">
        <v>4.7374690000000002E-3</v>
      </c>
      <c r="H21" s="50"/>
      <c r="I21" s="54"/>
    </row>
    <row r="22" spans="1:16" x14ac:dyDescent="0.2">
      <c r="A22" s="9">
        <v>16</v>
      </c>
      <c r="B22" s="10" t="s">
        <v>376</v>
      </c>
      <c r="C22" s="10" t="s">
        <v>377</v>
      </c>
      <c r="D22" s="10" t="s">
        <v>360</v>
      </c>
      <c r="E22" s="11">
        <v>12950</v>
      </c>
      <c r="F22" s="12">
        <v>15.857275</v>
      </c>
      <c r="G22" s="13">
        <v>4.6672069999999996E-3</v>
      </c>
      <c r="H22" s="50"/>
      <c r="I22" s="54"/>
    </row>
    <row r="23" spans="1:16" x14ac:dyDescent="0.2">
      <c r="A23" s="9">
        <v>17</v>
      </c>
      <c r="B23" s="10" t="s">
        <v>356</v>
      </c>
      <c r="C23" s="10" t="s">
        <v>357</v>
      </c>
      <c r="D23" s="10" t="s">
        <v>349</v>
      </c>
      <c r="E23" s="11">
        <v>406</v>
      </c>
      <c r="F23" s="12">
        <v>15.690073</v>
      </c>
      <c r="G23" s="13">
        <v>4.6179949999999997E-3</v>
      </c>
      <c r="H23" s="50"/>
      <c r="I23" s="54"/>
    </row>
    <row r="24" spans="1:16" x14ac:dyDescent="0.2">
      <c r="A24" s="9">
        <v>18</v>
      </c>
      <c r="B24" s="10" t="s">
        <v>367</v>
      </c>
      <c r="C24" s="10" t="s">
        <v>368</v>
      </c>
      <c r="D24" s="10" t="s">
        <v>369</v>
      </c>
      <c r="E24" s="11">
        <v>515</v>
      </c>
      <c r="F24" s="12">
        <v>15.62613</v>
      </c>
      <c r="G24" s="13">
        <v>4.5991749999999996E-3</v>
      </c>
      <c r="H24" s="50"/>
      <c r="I24" s="54"/>
    </row>
    <row r="25" spans="1:16" ht="25.5" x14ac:dyDescent="0.2">
      <c r="A25" s="9">
        <v>19</v>
      </c>
      <c r="B25" s="10" t="s">
        <v>350</v>
      </c>
      <c r="C25" s="10" t="s">
        <v>351</v>
      </c>
      <c r="D25" s="10" t="s">
        <v>426</v>
      </c>
      <c r="E25" s="11">
        <v>170</v>
      </c>
      <c r="F25" s="12">
        <v>12.904785</v>
      </c>
      <c r="G25" s="13">
        <v>3.7982129999999999E-3</v>
      </c>
      <c r="H25" s="50"/>
      <c r="I25" s="54"/>
    </row>
    <row r="26" spans="1:16" x14ac:dyDescent="0.2">
      <c r="A26" s="9">
        <v>20</v>
      </c>
      <c r="B26" s="10" t="s">
        <v>372</v>
      </c>
      <c r="C26" s="10" t="s">
        <v>373</v>
      </c>
      <c r="D26" s="10" t="s">
        <v>329</v>
      </c>
      <c r="E26" s="11">
        <v>5313</v>
      </c>
      <c r="F26" s="12">
        <v>12.501488999999999</v>
      </c>
      <c r="G26" s="13">
        <v>3.6795119999999998E-3</v>
      </c>
      <c r="H26" s="50"/>
      <c r="I26" s="54"/>
    </row>
    <row r="27" spans="1:16" x14ac:dyDescent="0.2">
      <c r="A27" s="9">
        <v>21</v>
      </c>
      <c r="B27" s="10" t="s">
        <v>341</v>
      </c>
      <c r="C27" s="10" t="s">
        <v>342</v>
      </c>
      <c r="D27" s="10" t="s">
        <v>334</v>
      </c>
      <c r="E27" s="11">
        <v>182</v>
      </c>
      <c r="F27" s="12">
        <v>6.8037970000000003</v>
      </c>
      <c r="G27" s="13">
        <v>2.0025339999999998E-3</v>
      </c>
      <c r="H27" s="50"/>
      <c r="I27" s="54"/>
    </row>
    <row r="28" spans="1:16" x14ac:dyDescent="0.2">
      <c r="A28" s="9">
        <v>22</v>
      </c>
      <c r="B28" s="10" t="s">
        <v>374</v>
      </c>
      <c r="C28" s="10" t="s">
        <v>375</v>
      </c>
      <c r="D28" s="10" t="s">
        <v>361</v>
      </c>
      <c r="E28" s="11">
        <v>1429</v>
      </c>
      <c r="F28" s="12">
        <v>6.722016</v>
      </c>
      <c r="G28" s="13">
        <v>1.9784630000000002E-3</v>
      </c>
      <c r="H28" s="50"/>
      <c r="I28" s="54"/>
    </row>
    <row r="29" spans="1:16" ht="25.5" x14ac:dyDescent="0.25">
      <c r="A29" s="9">
        <v>23</v>
      </c>
      <c r="B29" s="10" t="s">
        <v>362</v>
      </c>
      <c r="C29" s="39" t="s">
        <v>425</v>
      </c>
      <c r="D29" s="10" t="s">
        <v>339</v>
      </c>
      <c r="E29" s="11">
        <v>218</v>
      </c>
      <c r="F29" s="12">
        <v>0.76877700000000004</v>
      </c>
      <c r="G29" s="13">
        <v>2.26271E-4</v>
      </c>
      <c r="H29" s="50"/>
      <c r="I29" s="54"/>
      <c r="K29" s="137"/>
      <c r="L29" s="138"/>
      <c r="M29" s="138"/>
      <c r="N29" s="138"/>
      <c r="O29" s="138"/>
      <c r="P29"/>
    </row>
    <row r="30" spans="1:16" x14ac:dyDescent="0.2">
      <c r="A30" s="1"/>
      <c r="B30" s="1"/>
      <c r="C30" s="2" t="s">
        <v>10</v>
      </c>
      <c r="D30" s="1"/>
      <c r="E30" s="1" t="s">
        <v>11</v>
      </c>
      <c r="F30" s="7">
        <v>614.98012049999988</v>
      </c>
      <c r="G30" s="8">
        <v>0.18100458300000002</v>
      </c>
      <c r="H30" s="50"/>
      <c r="I30" s="54"/>
      <c r="P30"/>
    </row>
    <row r="31" spans="1:16" x14ac:dyDescent="0.2">
      <c r="A31" s="1"/>
      <c r="B31" s="1"/>
      <c r="C31" s="5"/>
      <c r="D31" s="1"/>
      <c r="E31" s="1"/>
      <c r="F31" s="6"/>
      <c r="G31" s="6"/>
      <c r="H31" s="50"/>
      <c r="I31" s="54"/>
      <c r="P31"/>
    </row>
    <row r="32" spans="1:16" x14ac:dyDescent="0.2">
      <c r="A32" s="1"/>
      <c r="B32" s="1"/>
      <c r="C32" s="2" t="s">
        <v>12</v>
      </c>
      <c r="D32" s="1"/>
      <c r="E32" s="1"/>
      <c r="F32" s="1"/>
      <c r="G32" s="1"/>
      <c r="H32" s="50"/>
      <c r="I32" s="54"/>
      <c r="P32"/>
    </row>
    <row r="33" spans="1:16" x14ac:dyDescent="0.2">
      <c r="A33" s="1"/>
      <c r="B33" s="1"/>
      <c r="C33" s="2" t="s">
        <v>10</v>
      </c>
      <c r="D33" s="1"/>
      <c r="E33" s="1" t="s">
        <v>11</v>
      </c>
      <c r="F33" s="3">
        <v>0</v>
      </c>
      <c r="G33" s="4">
        <v>0</v>
      </c>
      <c r="H33" s="50"/>
      <c r="I33" s="54"/>
      <c r="P33"/>
    </row>
    <row r="34" spans="1:16" x14ac:dyDescent="0.2">
      <c r="A34" s="1"/>
      <c r="B34" s="1"/>
      <c r="C34" s="5"/>
      <c r="D34" s="1"/>
      <c r="E34" s="1"/>
      <c r="F34" s="6"/>
      <c r="G34" s="6"/>
      <c r="H34" s="50"/>
      <c r="I34" s="54"/>
      <c r="P34"/>
    </row>
    <row r="35" spans="1:16" x14ac:dyDescent="0.2">
      <c r="A35" s="1"/>
      <c r="B35" s="1"/>
      <c r="C35" s="2" t="s">
        <v>13</v>
      </c>
      <c r="D35" s="1"/>
      <c r="E35" s="1"/>
      <c r="F35" s="1"/>
      <c r="G35" s="1"/>
      <c r="H35" s="50"/>
      <c r="I35" s="54"/>
      <c r="P35"/>
    </row>
    <row r="36" spans="1:16" x14ac:dyDescent="0.2">
      <c r="A36" s="1"/>
      <c r="B36" s="1"/>
      <c r="C36" s="2" t="s">
        <v>10</v>
      </c>
      <c r="D36" s="1"/>
      <c r="E36" s="1" t="s">
        <v>11</v>
      </c>
      <c r="F36" s="3">
        <v>0</v>
      </c>
      <c r="G36" s="4">
        <v>0</v>
      </c>
      <c r="H36" s="50"/>
      <c r="I36" s="54"/>
      <c r="P36"/>
    </row>
    <row r="37" spans="1:16" x14ac:dyDescent="0.2">
      <c r="A37" s="1"/>
      <c r="B37" s="1"/>
      <c r="C37" s="5"/>
      <c r="D37" s="1"/>
      <c r="E37" s="1"/>
      <c r="F37" s="6"/>
      <c r="G37" s="6"/>
      <c r="H37" s="50"/>
      <c r="I37" s="54"/>
      <c r="P37"/>
    </row>
    <row r="38" spans="1:16" x14ac:dyDescent="0.2">
      <c r="A38" s="1"/>
      <c r="B38" s="1"/>
      <c r="C38" s="2" t="s">
        <v>14</v>
      </c>
      <c r="D38" s="1"/>
      <c r="E38" s="1"/>
      <c r="F38" s="1"/>
      <c r="G38" s="1"/>
      <c r="H38" s="50"/>
      <c r="I38" s="54"/>
      <c r="P38"/>
    </row>
    <row r="39" spans="1:16" x14ac:dyDescent="0.2">
      <c r="A39" s="1"/>
      <c r="B39" s="1"/>
      <c r="C39" s="2" t="s">
        <v>10</v>
      </c>
      <c r="D39" s="1"/>
      <c r="E39" s="1" t="s">
        <v>11</v>
      </c>
      <c r="F39" s="7">
        <v>0</v>
      </c>
      <c r="G39" s="8">
        <v>0</v>
      </c>
      <c r="H39" s="50"/>
      <c r="I39" s="54"/>
      <c r="J39"/>
      <c r="P39"/>
    </row>
    <row r="40" spans="1:16" x14ac:dyDescent="0.2">
      <c r="A40" s="1"/>
      <c r="B40" s="1"/>
      <c r="C40" s="5"/>
      <c r="D40" s="1"/>
      <c r="E40" s="1"/>
      <c r="F40" s="6"/>
      <c r="G40" s="6"/>
      <c r="H40" s="50"/>
      <c r="I40" s="54"/>
      <c r="J40"/>
      <c r="P40"/>
    </row>
    <row r="41" spans="1:16" x14ac:dyDescent="0.2">
      <c r="A41" s="1"/>
      <c r="B41" s="1"/>
      <c r="C41" s="2" t="s">
        <v>15</v>
      </c>
      <c r="D41" s="1"/>
      <c r="E41" s="1"/>
      <c r="F41" s="6"/>
      <c r="G41" s="6"/>
      <c r="H41" s="50"/>
      <c r="I41" s="54"/>
      <c r="J41"/>
      <c r="P41"/>
    </row>
    <row r="42" spans="1:16" x14ac:dyDescent="0.2">
      <c r="A42" s="1"/>
      <c r="B42" s="1"/>
      <c r="C42" s="2" t="s">
        <v>10</v>
      </c>
      <c r="D42" s="1"/>
      <c r="E42" s="1" t="s">
        <v>11</v>
      </c>
      <c r="F42" s="3">
        <v>0</v>
      </c>
      <c r="G42" s="4">
        <v>0</v>
      </c>
      <c r="H42" s="50"/>
      <c r="I42" s="54"/>
      <c r="P42"/>
    </row>
    <row r="43" spans="1:16" x14ac:dyDescent="0.2">
      <c r="A43" s="1"/>
      <c r="B43" s="1"/>
      <c r="C43" s="5"/>
      <c r="D43" s="1"/>
      <c r="E43" s="1"/>
      <c r="F43" s="6"/>
      <c r="G43" s="6"/>
      <c r="H43" s="50"/>
      <c r="I43" s="54"/>
      <c r="P43"/>
    </row>
    <row r="44" spans="1:16" x14ac:dyDescent="0.2">
      <c r="A44" s="1"/>
      <c r="B44" s="1"/>
      <c r="C44" s="2" t="s">
        <v>16</v>
      </c>
      <c r="D44" s="1"/>
      <c r="E44" s="1"/>
      <c r="F44" s="6"/>
      <c r="G44" s="6"/>
      <c r="H44" s="50"/>
      <c r="I44" s="54"/>
      <c r="P44"/>
    </row>
    <row r="45" spans="1:16" x14ac:dyDescent="0.2">
      <c r="A45" s="1"/>
      <c r="B45" s="1"/>
      <c r="C45" s="2" t="s">
        <v>10</v>
      </c>
      <c r="D45" s="1"/>
      <c r="E45" s="1" t="s">
        <v>11</v>
      </c>
      <c r="F45" s="3">
        <v>0</v>
      </c>
      <c r="G45" s="4">
        <v>0</v>
      </c>
      <c r="H45" s="50"/>
      <c r="I45" s="54"/>
    </row>
    <row r="46" spans="1:16" x14ac:dyDescent="0.2">
      <c r="A46" s="1"/>
      <c r="B46" s="1"/>
      <c r="C46" s="5"/>
      <c r="D46" s="1"/>
      <c r="E46" s="1"/>
      <c r="F46" s="6"/>
      <c r="G46" s="6"/>
      <c r="H46" s="50"/>
      <c r="I46" s="54"/>
    </row>
    <row r="47" spans="1:16" x14ac:dyDescent="0.2">
      <c r="A47" s="1"/>
      <c r="B47" s="1"/>
      <c r="C47" s="2" t="s">
        <v>17</v>
      </c>
      <c r="D47" s="1"/>
      <c r="E47" s="1"/>
      <c r="F47" s="7">
        <v>614.9801205</v>
      </c>
      <c r="G47" s="8">
        <v>0.181004583</v>
      </c>
      <c r="H47" s="50"/>
      <c r="I47" s="54"/>
    </row>
    <row r="48" spans="1:16" x14ac:dyDescent="0.2">
      <c r="A48" s="1"/>
      <c r="B48" s="1"/>
      <c r="C48" s="5"/>
      <c r="D48" s="1"/>
      <c r="E48" s="1"/>
      <c r="F48" s="6"/>
      <c r="G48" s="6"/>
      <c r="H48" s="50"/>
      <c r="I48" s="54"/>
    </row>
    <row r="49" spans="1:9" x14ac:dyDescent="0.2">
      <c r="A49" s="1"/>
      <c r="B49" s="1"/>
      <c r="C49" s="2" t="s">
        <v>18</v>
      </c>
      <c r="D49" s="1"/>
      <c r="E49" s="1"/>
      <c r="F49" s="6"/>
      <c r="G49" s="6"/>
      <c r="H49" s="50"/>
      <c r="I49" s="54"/>
    </row>
    <row r="50" spans="1:9" ht="25.5" x14ac:dyDescent="0.2">
      <c r="A50" s="1"/>
      <c r="B50" s="1"/>
      <c r="C50" s="2" t="s">
        <v>9</v>
      </c>
      <c r="D50" s="1"/>
      <c r="E50" s="1"/>
      <c r="F50" s="6"/>
      <c r="G50" s="6"/>
      <c r="H50" s="50"/>
      <c r="I50" s="54"/>
    </row>
    <row r="51" spans="1:9" x14ac:dyDescent="0.2">
      <c r="A51" s="9">
        <v>1</v>
      </c>
      <c r="B51" s="10" t="s">
        <v>247</v>
      </c>
      <c r="C51" s="10" t="s">
        <v>248</v>
      </c>
      <c r="D51" s="10" t="s">
        <v>23</v>
      </c>
      <c r="E51" s="11">
        <v>22</v>
      </c>
      <c r="F51" s="12">
        <v>222.2209</v>
      </c>
      <c r="G51" s="13">
        <v>6.5405368000000005E-2</v>
      </c>
      <c r="H51" s="50">
        <v>3.72</v>
      </c>
      <c r="I51" s="54"/>
    </row>
    <row r="52" spans="1:9" ht="38.25" x14ac:dyDescent="0.2">
      <c r="A52" s="9">
        <v>2</v>
      </c>
      <c r="B52" s="10" t="s">
        <v>381</v>
      </c>
      <c r="C52" s="39" t="s">
        <v>454</v>
      </c>
      <c r="D52" s="10" t="s">
        <v>380</v>
      </c>
      <c r="E52" s="11">
        <v>20</v>
      </c>
      <c r="F52" s="12">
        <v>202.58879999999999</v>
      </c>
      <c r="G52" s="13">
        <v>5.9627131999999999E-2</v>
      </c>
      <c r="H52" s="50">
        <v>8.6445000000000007</v>
      </c>
      <c r="I52" s="54">
        <v>4.9000000000000004</v>
      </c>
    </row>
    <row r="53" spans="1:9" ht="25.5" x14ac:dyDescent="0.2">
      <c r="A53" s="9">
        <v>3</v>
      </c>
      <c r="B53" s="10" t="s">
        <v>241</v>
      </c>
      <c r="C53" s="10" t="s">
        <v>242</v>
      </c>
      <c r="D53" s="10" t="s">
        <v>449</v>
      </c>
      <c r="E53" s="11">
        <v>20</v>
      </c>
      <c r="F53" s="12">
        <v>202.32480000000001</v>
      </c>
      <c r="G53" s="13">
        <v>5.954943E-2</v>
      </c>
      <c r="H53" s="50">
        <v>4.09</v>
      </c>
      <c r="I53" s="54"/>
    </row>
    <row r="54" spans="1:9" ht="25.5" x14ac:dyDescent="0.2">
      <c r="A54" s="9">
        <v>4</v>
      </c>
      <c r="B54" s="10" t="s">
        <v>253</v>
      </c>
      <c r="C54" s="10" t="s">
        <v>254</v>
      </c>
      <c r="D54" s="10" t="s">
        <v>23</v>
      </c>
      <c r="E54" s="11">
        <v>20</v>
      </c>
      <c r="F54" s="12">
        <v>201.83940000000001</v>
      </c>
      <c r="G54" s="13">
        <v>5.9406564000000002E-2</v>
      </c>
      <c r="H54" s="50">
        <v>3.8650000000000002</v>
      </c>
      <c r="I54" s="54"/>
    </row>
    <row r="55" spans="1:9" ht="25.5" x14ac:dyDescent="0.2">
      <c r="A55" s="9">
        <v>5</v>
      </c>
      <c r="B55" s="10" t="s">
        <v>245</v>
      </c>
      <c r="C55" s="10" t="s">
        <v>246</v>
      </c>
      <c r="D55" s="10" t="s">
        <v>23</v>
      </c>
      <c r="E55" s="11">
        <v>20</v>
      </c>
      <c r="F55" s="12">
        <v>201.5428</v>
      </c>
      <c r="G55" s="13">
        <v>5.9319267000000002E-2</v>
      </c>
      <c r="H55" s="50">
        <v>3.75</v>
      </c>
      <c r="I55" s="54"/>
    </row>
    <row r="56" spans="1:9" ht="25.5" x14ac:dyDescent="0.2">
      <c r="A56" s="9">
        <v>6</v>
      </c>
      <c r="B56" s="10" t="s">
        <v>243</v>
      </c>
      <c r="C56" s="10" t="s">
        <v>244</v>
      </c>
      <c r="D56" s="10" t="s">
        <v>23</v>
      </c>
      <c r="E56" s="11">
        <v>13</v>
      </c>
      <c r="F56" s="12">
        <v>131.15557000000001</v>
      </c>
      <c r="G56" s="13">
        <v>3.8602482E-2</v>
      </c>
      <c r="H56" s="50">
        <v>3.6949999999999998</v>
      </c>
      <c r="I56" s="54"/>
    </row>
    <row r="57" spans="1:9" ht="25.5" x14ac:dyDescent="0.2">
      <c r="A57" s="9">
        <v>7</v>
      </c>
      <c r="B57" s="10" t="s">
        <v>26</v>
      </c>
      <c r="C57" s="10" t="s">
        <v>27</v>
      </c>
      <c r="D57" s="10" t="s">
        <v>450</v>
      </c>
      <c r="E57" s="11">
        <v>12738</v>
      </c>
      <c r="F57" s="12">
        <v>106.61374812</v>
      </c>
      <c r="G57" s="13">
        <v>3.1379188000000002E-2</v>
      </c>
      <c r="H57" s="50">
        <v>10.816700000000001</v>
      </c>
      <c r="I57" s="54"/>
    </row>
    <row r="58" spans="1:9" x14ac:dyDescent="0.2">
      <c r="A58" s="1"/>
      <c r="B58" s="1"/>
      <c r="C58" s="2" t="s">
        <v>10</v>
      </c>
      <c r="D58" s="1"/>
      <c r="E58" s="1" t="s">
        <v>11</v>
      </c>
      <c r="F58" s="7">
        <v>1268.2860181200001</v>
      </c>
      <c r="G58" s="8">
        <v>0.373289431</v>
      </c>
      <c r="H58" s="50"/>
      <c r="I58" s="54"/>
    </row>
    <row r="59" spans="1:9" x14ac:dyDescent="0.2">
      <c r="A59" s="1"/>
      <c r="B59" s="1"/>
      <c r="C59" s="5"/>
      <c r="D59" s="1"/>
      <c r="E59" s="1"/>
      <c r="F59" s="6"/>
      <c r="G59" s="6"/>
      <c r="H59" s="50"/>
      <c r="I59" s="54"/>
    </row>
    <row r="60" spans="1:9" x14ac:dyDescent="0.2">
      <c r="A60" s="1"/>
      <c r="B60" s="1"/>
      <c r="C60" s="2" t="s">
        <v>46</v>
      </c>
      <c r="D60" s="1"/>
      <c r="E60" s="1"/>
      <c r="F60" s="1"/>
      <c r="G60" s="1"/>
      <c r="H60" s="50"/>
      <c r="I60" s="54"/>
    </row>
    <row r="61" spans="1:9" x14ac:dyDescent="0.2">
      <c r="A61" s="1"/>
      <c r="B61" s="1"/>
      <c r="C61" s="2" t="s">
        <v>10</v>
      </c>
      <c r="D61" s="1"/>
      <c r="E61" s="1" t="s">
        <v>11</v>
      </c>
      <c r="F61" s="3">
        <v>0</v>
      </c>
      <c r="G61" s="4">
        <v>0</v>
      </c>
      <c r="H61" s="50"/>
      <c r="I61" s="54"/>
    </row>
    <row r="62" spans="1:9" x14ac:dyDescent="0.2">
      <c r="A62" s="1"/>
      <c r="B62" s="1"/>
      <c r="C62" s="5"/>
      <c r="D62" s="1"/>
      <c r="E62" s="1"/>
      <c r="F62" s="6"/>
      <c r="G62" s="6"/>
      <c r="H62" s="50"/>
      <c r="I62" s="54"/>
    </row>
    <row r="63" spans="1:9" x14ac:dyDescent="0.2">
      <c r="A63" s="1"/>
      <c r="B63" s="1"/>
      <c r="C63" s="2" t="s">
        <v>47</v>
      </c>
      <c r="D63" s="1"/>
      <c r="E63" s="1"/>
      <c r="F63" s="1"/>
      <c r="G63" s="1"/>
      <c r="H63" s="50"/>
      <c r="I63" s="54"/>
    </row>
    <row r="64" spans="1:9" ht="25.5" x14ac:dyDescent="0.2">
      <c r="A64" s="9">
        <v>1</v>
      </c>
      <c r="B64" s="10" t="s">
        <v>48</v>
      </c>
      <c r="C64" s="10" t="s">
        <v>413</v>
      </c>
      <c r="D64" s="10" t="s">
        <v>49</v>
      </c>
      <c r="E64" s="11">
        <v>500000</v>
      </c>
      <c r="F64" s="12">
        <v>494.81200000000001</v>
      </c>
      <c r="G64" s="13">
        <v>0.14563598999999999</v>
      </c>
      <c r="H64" s="50">
        <v>5.5532000000000004</v>
      </c>
      <c r="I64" s="54"/>
    </row>
    <row r="65" spans="1:9" ht="25.5" x14ac:dyDescent="0.2">
      <c r="A65" s="9">
        <v>2</v>
      </c>
      <c r="B65" s="10" t="s">
        <v>50</v>
      </c>
      <c r="C65" s="10" t="s">
        <v>417</v>
      </c>
      <c r="D65" s="10" t="s">
        <v>49</v>
      </c>
      <c r="E65" s="11">
        <v>500000</v>
      </c>
      <c r="F65" s="12">
        <v>487.4665</v>
      </c>
      <c r="G65" s="13">
        <v>0.14347402000000001</v>
      </c>
      <c r="H65" s="50">
        <v>6.4558999999999997</v>
      </c>
      <c r="I65" s="54"/>
    </row>
    <row r="66" spans="1:9" x14ac:dyDescent="0.2">
      <c r="A66" s="1"/>
      <c r="B66" s="1"/>
      <c r="C66" s="2" t="s">
        <v>10</v>
      </c>
      <c r="D66" s="1"/>
      <c r="E66" s="1" t="s">
        <v>11</v>
      </c>
      <c r="F66" s="7">
        <v>982.27850000000001</v>
      </c>
      <c r="G66" s="8">
        <v>0.28911000999999997</v>
      </c>
      <c r="H66" s="50"/>
      <c r="I66" s="54"/>
    </row>
    <row r="67" spans="1:9" x14ac:dyDescent="0.2">
      <c r="A67" s="1"/>
      <c r="B67" s="1"/>
      <c r="C67" s="5"/>
      <c r="D67" s="1"/>
      <c r="E67" s="1"/>
      <c r="F67" s="6"/>
      <c r="G67" s="6"/>
      <c r="H67" s="50"/>
      <c r="I67" s="54"/>
    </row>
    <row r="68" spans="1:9" x14ac:dyDescent="0.2">
      <c r="A68" s="1"/>
      <c r="B68" s="1"/>
      <c r="C68" s="2" t="s">
        <v>55</v>
      </c>
      <c r="D68" s="1"/>
      <c r="E68" s="1"/>
      <c r="F68" s="6"/>
      <c r="G68" s="6"/>
      <c r="H68" s="50"/>
      <c r="I68" s="54"/>
    </row>
    <row r="69" spans="1:9" x14ac:dyDescent="0.2">
      <c r="A69" s="1"/>
      <c r="B69" s="1"/>
      <c r="C69" s="2" t="s">
        <v>10</v>
      </c>
      <c r="D69" s="1"/>
      <c r="E69" s="1" t="s">
        <v>11</v>
      </c>
      <c r="F69" s="3">
        <v>0</v>
      </c>
      <c r="G69" s="4">
        <v>0</v>
      </c>
      <c r="H69" s="50"/>
      <c r="I69" s="54"/>
    </row>
    <row r="70" spans="1:9" x14ac:dyDescent="0.2">
      <c r="A70" s="1"/>
      <c r="B70" s="1"/>
      <c r="C70" s="5"/>
      <c r="D70" s="1"/>
      <c r="E70" s="1"/>
      <c r="F70" s="6"/>
      <c r="G70" s="6"/>
      <c r="H70" s="50"/>
      <c r="I70" s="54"/>
    </row>
    <row r="71" spans="1:9" x14ac:dyDescent="0.2">
      <c r="A71" s="1"/>
      <c r="B71" s="1"/>
      <c r="C71" s="2" t="s">
        <v>56</v>
      </c>
      <c r="D71" s="1"/>
      <c r="E71" s="1"/>
      <c r="F71" s="7">
        <v>2250.5645181199998</v>
      </c>
      <c r="G71" s="8">
        <v>0.66239944100000003</v>
      </c>
      <c r="H71" s="50"/>
      <c r="I71" s="54"/>
    </row>
    <row r="72" spans="1:9" x14ac:dyDescent="0.2">
      <c r="A72" s="1"/>
      <c r="B72" s="1"/>
      <c r="C72" s="5"/>
      <c r="D72" s="1"/>
      <c r="E72" s="1"/>
      <c r="F72" s="6"/>
      <c r="G72" s="6"/>
      <c r="H72" s="50"/>
      <c r="I72" s="54"/>
    </row>
    <row r="73" spans="1:9" x14ac:dyDescent="0.2">
      <c r="A73" s="1"/>
      <c r="B73" s="1"/>
      <c r="C73" s="2" t="s">
        <v>57</v>
      </c>
      <c r="D73" s="1"/>
      <c r="E73" s="1"/>
      <c r="F73" s="6"/>
      <c r="G73" s="6"/>
      <c r="H73" s="50"/>
      <c r="I73" s="54"/>
    </row>
    <row r="74" spans="1:9" x14ac:dyDescent="0.2">
      <c r="A74" s="1"/>
      <c r="B74" s="1"/>
      <c r="C74" s="2" t="s">
        <v>58</v>
      </c>
      <c r="D74" s="1"/>
      <c r="E74" s="1"/>
      <c r="F74" s="6"/>
      <c r="G74" s="6"/>
      <c r="H74" s="50"/>
      <c r="I74" s="54"/>
    </row>
    <row r="75" spans="1:9" x14ac:dyDescent="0.2">
      <c r="A75" s="1"/>
      <c r="B75" s="1"/>
      <c r="C75" s="2" t="s">
        <v>10</v>
      </c>
      <c r="D75" s="1"/>
      <c r="E75" s="1" t="s">
        <v>11</v>
      </c>
      <c r="F75" s="3">
        <v>0</v>
      </c>
      <c r="G75" s="4">
        <v>0</v>
      </c>
      <c r="H75" s="50"/>
      <c r="I75" s="54"/>
    </row>
    <row r="76" spans="1:9" x14ac:dyDescent="0.2">
      <c r="A76" s="1"/>
      <c r="B76" s="1"/>
      <c r="C76" s="5"/>
      <c r="D76" s="1"/>
      <c r="E76" s="1"/>
      <c r="F76" s="6"/>
      <c r="G76" s="6"/>
      <c r="H76" s="50"/>
      <c r="I76" s="54"/>
    </row>
    <row r="77" spans="1:9" x14ac:dyDescent="0.2">
      <c r="A77" s="1"/>
      <c r="B77" s="1"/>
      <c r="C77" s="2" t="s">
        <v>64</v>
      </c>
      <c r="D77" s="1"/>
      <c r="E77" s="1"/>
      <c r="F77" s="6"/>
      <c r="G77" s="6"/>
      <c r="H77" s="50"/>
      <c r="I77" s="54"/>
    </row>
    <row r="78" spans="1:9" x14ac:dyDescent="0.2">
      <c r="A78" s="1"/>
      <c r="B78" s="1"/>
      <c r="C78" s="2" t="s">
        <v>10</v>
      </c>
      <c r="D78" s="1"/>
      <c r="E78" s="1" t="s">
        <v>11</v>
      </c>
      <c r="F78" s="3">
        <v>0</v>
      </c>
      <c r="G78" s="4">
        <v>0</v>
      </c>
      <c r="H78" s="50"/>
      <c r="I78" s="54"/>
    </row>
    <row r="79" spans="1:9" x14ac:dyDescent="0.2">
      <c r="A79" s="1"/>
      <c r="B79" s="1"/>
      <c r="C79" s="5"/>
      <c r="D79" s="1"/>
      <c r="E79" s="1"/>
      <c r="F79" s="6"/>
      <c r="G79" s="6"/>
      <c r="H79" s="50"/>
      <c r="I79" s="54"/>
    </row>
    <row r="80" spans="1:9" x14ac:dyDescent="0.2">
      <c r="A80" s="1"/>
      <c r="B80" s="1"/>
      <c r="C80" s="2" t="s">
        <v>67</v>
      </c>
      <c r="D80" s="1"/>
      <c r="E80" s="1"/>
      <c r="F80" s="6"/>
      <c r="G80" s="6"/>
      <c r="H80" s="50"/>
      <c r="I80" s="54"/>
    </row>
    <row r="81" spans="1:9" x14ac:dyDescent="0.2">
      <c r="A81" s="1"/>
      <c r="B81" s="1"/>
      <c r="C81" s="2" t="s">
        <v>10</v>
      </c>
      <c r="D81" s="1"/>
      <c r="E81" s="1" t="s">
        <v>11</v>
      </c>
      <c r="F81" s="3">
        <v>0</v>
      </c>
      <c r="G81" s="4">
        <v>0</v>
      </c>
      <c r="H81" s="50"/>
      <c r="I81" s="54"/>
    </row>
    <row r="82" spans="1:9" x14ac:dyDescent="0.2">
      <c r="A82" s="1"/>
      <c r="B82" s="1"/>
      <c r="C82" s="5"/>
      <c r="D82" s="1"/>
      <c r="E82" s="1"/>
      <c r="F82" s="6"/>
      <c r="G82" s="6"/>
      <c r="H82" s="50"/>
      <c r="I82" s="54"/>
    </row>
    <row r="83" spans="1:9" x14ac:dyDescent="0.2">
      <c r="A83" s="1"/>
      <c r="B83" s="1"/>
      <c r="C83" s="2" t="s">
        <v>69</v>
      </c>
      <c r="D83" s="1"/>
      <c r="E83" s="1"/>
      <c r="F83" s="6"/>
      <c r="G83" s="6"/>
      <c r="H83" s="50"/>
      <c r="I83" s="54"/>
    </row>
    <row r="84" spans="1:9" x14ac:dyDescent="0.2">
      <c r="A84" s="9">
        <v>1</v>
      </c>
      <c r="B84" s="10"/>
      <c r="C84" s="10" t="s">
        <v>70</v>
      </c>
      <c r="D84" s="10"/>
      <c r="E84" s="14"/>
      <c r="F84" s="12">
        <v>623.40160040000001</v>
      </c>
      <c r="G84" s="13">
        <v>0.18348324099999999</v>
      </c>
      <c r="H84" s="50">
        <v>3.4504560529072292</v>
      </c>
      <c r="I84" s="54"/>
    </row>
    <row r="85" spans="1:9" x14ac:dyDescent="0.2">
      <c r="A85" s="9">
        <v>2</v>
      </c>
      <c r="B85" s="10"/>
      <c r="C85" s="10" t="s">
        <v>71</v>
      </c>
      <c r="D85" s="10"/>
      <c r="E85" s="14"/>
      <c r="F85" s="12">
        <v>336.45447789999997</v>
      </c>
      <c r="G85" s="13">
        <v>9.9027269000000001E-2</v>
      </c>
      <c r="H85" s="50">
        <v>3.5655822479098256</v>
      </c>
      <c r="I85" s="54"/>
    </row>
    <row r="86" spans="1:9" x14ac:dyDescent="0.2">
      <c r="A86" s="1"/>
      <c r="B86" s="1"/>
      <c r="C86" s="2" t="s">
        <v>10</v>
      </c>
      <c r="D86" s="1"/>
      <c r="E86" s="1" t="s">
        <v>11</v>
      </c>
      <c r="F86" s="7">
        <v>959.85607830000004</v>
      </c>
      <c r="G86" s="8">
        <v>0.28251050999999999</v>
      </c>
      <c r="H86" s="50"/>
      <c r="I86" s="54"/>
    </row>
    <row r="87" spans="1:9" x14ac:dyDescent="0.2">
      <c r="A87" s="1"/>
      <c r="B87" s="1"/>
      <c r="C87" s="5"/>
      <c r="D87" s="1"/>
      <c r="E87" s="1"/>
      <c r="F87" s="6"/>
      <c r="G87" s="6"/>
      <c r="H87" s="50"/>
      <c r="I87" s="54"/>
    </row>
    <row r="88" spans="1:9" x14ac:dyDescent="0.2">
      <c r="A88" s="1"/>
      <c r="B88" s="1"/>
      <c r="C88" s="2" t="s">
        <v>72</v>
      </c>
      <c r="D88" s="1"/>
      <c r="E88" s="1"/>
      <c r="F88" s="7">
        <v>959.85607830000004</v>
      </c>
      <c r="G88" s="8">
        <v>0.28251050999999999</v>
      </c>
      <c r="H88" s="50"/>
      <c r="I88" s="54"/>
    </row>
    <row r="89" spans="1:9" x14ac:dyDescent="0.2">
      <c r="A89" s="1"/>
      <c r="B89" s="1"/>
      <c r="C89" s="6"/>
      <c r="D89" s="1"/>
      <c r="E89" s="1"/>
      <c r="F89" s="1"/>
      <c r="G89" s="1"/>
      <c r="H89" s="50"/>
      <c r="I89" s="54"/>
    </row>
    <row r="90" spans="1:9" x14ac:dyDescent="0.2">
      <c r="A90" s="1"/>
      <c r="B90" s="1"/>
      <c r="C90" s="2" t="s">
        <v>73</v>
      </c>
      <c r="D90" s="1"/>
      <c r="E90" s="1"/>
      <c r="F90" s="1"/>
      <c r="G90" s="1"/>
      <c r="H90" s="50"/>
      <c r="I90" s="54"/>
    </row>
    <row r="91" spans="1:9" x14ac:dyDescent="0.2">
      <c r="A91" s="1"/>
      <c r="B91" s="1"/>
      <c r="C91" s="2" t="s">
        <v>74</v>
      </c>
      <c r="D91" s="1"/>
      <c r="E91" s="1"/>
      <c r="F91" s="1"/>
      <c r="G91" s="1"/>
      <c r="H91" s="50"/>
      <c r="I91" s="54"/>
    </row>
    <row r="92" spans="1:9" x14ac:dyDescent="0.2">
      <c r="A92" s="1"/>
      <c r="B92" s="1"/>
      <c r="C92" s="2" t="s">
        <v>10</v>
      </c>
      <c r="D92" s="1"/>
      <c r="E92" s="1" t="s">
        <v>11</v>
      </c>
      <c r="F92" s="3">
        <v>0</v>
      </c>
      <c r="G92" s="4">
        <v>0</v>
      </c>
      <c r="H92" s="50"/>
      <c r="I92" s="54"/>
    </row>
    <row r="93" spans="1:9" x14ac:dyDescent="0.2">
      <c r="A93" s="1"/>
      <c r="B93" s="1"/>
      <c r="C93" s="5"/>
      <c r="D93" s="1"/>
      <c r="E93" s="1"/>
      <c r="F93" s="6"/>
      <c r="G93" s="6"/>
      <c r="H93" s="50"/>
      <c r="I93" s="54"/>
    </row>
    <row r="94" spans="1:9" x14ac:dyDescent="0.2">
      <c r="A94" s="1"/>
      <c r="B94" s="1"/>
      <c r="C94" s="2" t="s">
        <v>75</v>
      </c>
      <c r="D94" s="1"/>
      <c r="E94" s="1"/>
      <c r="F94" s="1"/>
      <c r="G94" s="1"/>
      <c r="H94" s="50"/>
      <c r="I94" s="54"/>
    </row>
    <row r="95" spans="1:9" x14ac:dyDescent="0.2">
      <c r="A95" s="1"/>
      <c r="B95" s="1"/>
      <c r="C95" s="2" t="s">
        <v>76</v>
      </c>
      <c r="D95" s="1"/>
      <c r="E95" s="1"/>
      <c r="F95" s="1"/>
      <c r="G95" s="1"/>
      <c r="H95" s="50"/>
      <c r="I95" s="54"/>
    </row>
    <row r="96" spans="1:9" x14ac:dyDescent="0.2">
      <c r="A96" s="1"/>
      <c r="B96" s="1"/>
      <c r="C96" s="2" t="s">
        <v>10</v>
      </c>
      <c r="D96" s="1"/>
      <c r="E96" s="1" t="s">
        <v>11</v>
      </c>
      <c r="F96" s="3">
        <v>0</v>
      </c>
      <c r="G96" s="4">
        <v>0</v>
      </c>
      <c r="H96" s="50"/>
      <c r="I96" s="54"/>
    </row>
    <row r="97" spans="1:9" x14ac:dyDescent="0.2">
      <c r="A97" s="1"/>
      <c r="B97" s="1"/>
      <c r="C97" s="5"/>
      <c r="D97" s="1"/>
      <c r="E97" s="1"/>
      <c r="F97" s="6"/>
      <c r="G97" s="6"/>
      <c r="H97" s="50"/>
      <c r="I97" s="54"/>
    </row>
    <row r="98" spans="1:9" ht="25.5" x14ac:dyDescent="0.2">
      <c r="A98" s="1"/>
      <c r="B98" s="1"/>
      <c r="C98" s="2" t="s">
        <v>77</v>
      </c>
      <c r="D98" s="1"/>
      <c r="E98" s="1"/>
      <c r="F98" s="6"/>
      <c r="G98" s="6"/>
      <c r="H98" s="50"/>
      <c r="I98" s="54"/>
    </row>
    <row r="99" spans="1:9" x14ac:dyDescent="0.2">
      <c r="A99" s="1"/>
      <c r="B99" s="1"/>
      <c r="C99" s="2" t="s">
        <v>10</v>
      </c>
      <c r="D99" s="1"/>
      <c r="E99" s="1" t="s">
        <v>11</v>
      </c>
      <c r="F99" s="3">
        <v>0</v>
      </c>
      <c r="G99" s="4">
        <v>0</v>
      </c>
      <c r="H99" s="50"/>
      <c r="I99" s="54"/>
    </row>
    <row r="100" spans="1:9" x14ac:dyDescent="0.2">
      <c r="A100" s="1"/>
      <c r="B100" s="1"/>
      <c r="C100" s="5"/>
      <c r="D100" s="1"/>
      <c r="E100" s="1"/>
      <c r="F100" s="6"/>
      <c r="G100" s="6"/>
      <c r="H100" s="50"/>
      <c r="I100" s="54"/>
    </row>
    <row r="101" spans="1:9" x14ac:dyDescent="0.2">
      <c r="A101" s="1"/>
      <c r="B101" s="10"/>
      <c r="C101" s="10"/>
      <c r="D101" s="2"/>
      <c r="E101" s="1"/>
      <c r="F101" s="10"/>
      <c r="G101" s="14"/>
      <c r="H101" s="50"/>
      <c r="I101" s="54"/>
    </row>
    <row r="102" spans="1:9" x14ac:dyDescent="0.2">
      <c r="A102" s="14"/>
      <c r="B102" s="10"/>
      <c r="C102" s="10" t="s">
        <v>78</v>
      </c>
      <c r="D102" s="10"/>
      <c r="E102" s="14"/>
      <c r="F102" s="12">
        <v>-427.80649261999997</v>
      </c>
      <c r="G102" s="13">
        <v>-0.12591453399999999</v>
      </c>
      <c r="H102" s="50"/>
      <c r="I102" s="54"/>
    </row>
    <row r="103" spans="1:9" x14ac:dyDescent="0.2">
      <c r="A103" s="5"/>
      <c r="B103" s="5"/>
      <c r="C103" s="2" t="s">
        <v>79</v>
      </c>
      <c r="D103" s="6"/>
      <c r="E103" s="6"/>
      <c r="F103" s="7">
        <v>3397.5942243</v>
      </c>
      <c r="G103" s="8">
        <v>1</v>
      </c>
      <c r="H103" s="50"/>
      <c r="I103" s="54"/>
    </row>
    <row r="104" spans="1:9" ht="14.1" customHeight="1" x14ac:dyDescent="0.2">
      <c r="A104" s="15"/>
      <c r="B104" s="15"/>
      <c r="C104" s="15"/>
      <c r="D104" s="16"/>
      <c r="E104" s="16"/>
      <c r="F104" s="16"/>
      <c r="G104" s="16"/>
    </row>
    <row r="105" spans="1:9" ht="17.100000000000001" customHeight="1" x14ac:dyDescent="0.2">
      <c r="A105" s="17"/>
      <c r="B105" s="154" t="s">
        <v>80</v>
      </c>
      <c r="C105" s="154"/>
      <c r="D105" s="154"/>
      <c r="E105" s="154"/>
      <c r="F105" s="154"/>
      <c r="G105" s="19"/>
    </row>
    <row r="106" spans="1:9" ht="17.100000000000001" customHeight="1" x14ac:dyDescent="0.2">
      <c r="A106" s="17"/>
      <c r="B106" s="154" t="s">
        <v>81</v>
      </c>
      <c r="C106" s="154"/>
      <c r="D106" s="154"/>
      <c r="E106" s="154"/>
      <c r="F106" s="154"/>
      <c r="G106" s="19"/>
    </row>
    <row r="107" spans="1:9" ht="14.1" customHeight="1" x14ac:dyDescent="0.2">
      <c r="A107" s="17"/>
      <c r="B107" s="154" t="s">
        <v>11</v>
      </c>
      <c r="C107" s="154"/>
      <c r="D107" s="154"/>
      <c r="E107" s="154"/>
      <c r="F107" s="154"/>
      <c r="G107" s="19"/>
    </row>
    <row r="108" spans="1:9" ht="14.1" customHeight="1" x14ac:dyDescent="0.2">
      <c r="A108" s="17"/>
      <c r="B108" s="17"/>
      <c r="C108" s="17"/>
      <c r="D108" s="19"/>
      <c r="E108" s="19"/>
      <c r="F108" s="19"/>
      <c r="G108" s="19"/>
    </row>
    <row r="109" spans="1:9" ht="14.1" customHeight="1" x14ac:dyDescent="0.2">
      <c r="A109" s="17"/>
      <c r="B109" s="155" t="s">
        <v>82</v>
      </c>
      <c r="C109" s="156"/>
      <c r="D109" s="157"/>
      <c r="E109" s="20"/>
      <c r="F109" s="19"/>
      <c r="G109" s="19"/>
    </row>
    <row r="110" spans="1:9" ht="29.1" customHeight="1" x14ac:dyDescent="0.2">
      <c r="A110" s="17"/>
      <c r="B110" s="149" t="s">
        <v>83</v>
      </c>
      <c r="C110" s="150"/>
      <c r="D110" s="2" t="s">
        <v>657</v>
      </c>
      <c r="E110" s="20"/>
      <c r="F110" s="19"/>
      <c r="G110" s="19"/>
    </row>
    <row r="111" spans="1:9" ht="17.100000000000001" customHeight="1" x14ac:dyDescent="0.2">
      <c r="A111" s="17"/>
      <c r="B111" s="149" t="s">
        <v>85</v>
      </c>
      <c r="C111" s="150"/>
      <c r="D111" s="2" t="s">
        <v>84</v>
      </c>
      <c r="E111" s="20"/>
      <c r="F111" s="19"/>
      <c r="G111" s="19"/>
    </row>
    <row r="112" spans="1:9" ht="17.100000000000001" customHeight="1" x14ac:dyDescent="0.2">
      <c r="A112" s="17"/>
      <c r="B112" s="149" t="s">
        <v>86</v>
      </c>
      <c r="C112" s="150"/>
      <c r="D112" s="6" t="s">
        <v>11</v>
      </c>
      <c r="E112" s="20"/>
      <c r="F112" s="19"/>
      <c r="G112" s="19"/>
    </row>
    <row r="113" spans="1:7" ht="24" customHeight="1" x14ac:dyDescent="0.2">
      <c r="A113" s="21"/>
      <c r="B113" s="22" t="s">
        <v>11</v>
      </c>
      <c r="C113" s="22" t="s">
        <v>87</v>
      </c>
      <c r="D113" s="22" t="s">
        <v>88</v>
      </c>
      <c r="E113" s="21"/>
      <c r="F113" s="21"/>
      <c r="G113" s="21"/>
    </row>
    <row r="114" spans="1:7" ht="18" customHeight="1" x14ac:dyDescent="0.2">
      <c r="A114" s="21"/>
      <c r="B114" s="23" t="s">
        <v>89</v>
      </c>
      <c r="C114" s="22" t="s">
        <v>90</v>
      </c>
      <c r="D114" s="22" t="s">
        <v>91</v>
      </c>
      <c r="E114" s="21"/>
      <c r="F114" s="21"/>
      <c r="G114" s="21"/>
    </row>
    <row r="115" spans="1:7" ht="17.100000000000001" customHeight="1" x14ac:dyDescent="0.2">
      <c r="A115" s="21"/>
      <c r="B115" s="10" t="s">
        <v>92</v>
      </c>
      <c r="C115" s="24">
        <v>25.114100000000001</v>
      </c>
      <c r="D115" s="24">
        <v>25.297699999999999</v>
      </c>
      <c r="E115" s="21"/>
      <c r="F115" s="18"/>
      <c r="G115" s="25"/>
    </row>
    <row r="116" spans="1:7" ht="29.1" customHeight="1" x14ac:dyDescent="0.2">
      <c r="A116" s="21"/>
      <c r="B116" s="10" t="s">
        <v>458</v>
      </c>
      <c r="C116" s="24">
        <v>13.378399999999999</v>
      </c>
      <c r="D116" s="24">
        <v>13.4763</v>
      </c>
      <c r="E116" s="21"/>
      <c r="F116" s="18"/>
      <c r="G116" s="25"/>
    </row>
    <row r="117" spans="1:7" ht="29.1" customHeight="1" x14ac:dyDescent="0.2">
      <c r="A117" s="21"/>
      <c r="B117" s="10" t="s">
        <v>459</v>
      </c>
      <c r="C117" s="24">
        <v>16.936499999999999</v>
      </c>
      <c r="D117" s="24">
        <v>16.9847</v>
      </c>
      <c r="E117" s="21"/>
      <c r="F117" s="18"/>
      <c r="G117" s="25"/>
    </row>
    <row r="118" spans="1:7" ht="29.1" customHeight="1" x14ac:dyDescent="0.2">
      <c r="A118" s="21"/>
      <c r="B118" s="10" t="s">
        <v>460</v>
      </c>
      <c r="C118" s="24">
        <v>17.003900000000002</v>
      </c>
      <c r="D118" s="24">
        <v>17.1282</v>
      </c>
      <c r="E118" s="21"/>
      <c r="F118" s="18"/>
      <c r="G118" s="25"/>
    </row>
    <row r="119" spans="1:7" ht="17.100000000000001" customHeight="1" x14ac:dyDescent="0.2">
      <c r="A119" s="21"/>
      <c r="B119" s="10" t="s">
        <v>93</v>
      </c>
      <c r="C119" s="24">
        <v>23.565899999999999</v>
      </c>
      <c r="D119" s="24">
        <v>23.718900000000001</v>
      </c>
      <c r="E119" s="21"/>
      <c r="F119" s="18"/>
      <c r="G119" s="25"/>
    </row>
    <row r="120" spans="1:7" ht="29.1" customHeight="1" x14ac:dyDescent="0.2">
      <c r="A120" s="21"/>
      <c r="B120" s="10" t="s">
        <v>464</v>
      </c>
      <c r="C120" s="24">
        <v>13.265000000000001</v>
      </c>
      <c r="D120" s="24">
        <v>13.351100000000001</v>
      </c>
      <c r="E120" s="21"/>
      <c r="F120" s="18"/>
      <c r="G120" s="25"/>
    </row>
    <row r="121" spans="1:7" ht="29.1" customHeight="1" x14ac:dyDescent="0.2">
      <c r="A121" s="21"/>
      <c r="B121" s="10" t="s">
        <v>465</v>
      </c>
      <c r="C121" s="24">
        <v>15.8302</v>
      </c>
      <c r="D121" s="24">
        <v>15.8574</v>
      </c>
      <c r="E121" s="21"/>
      <c r="F121" s="18"/>
      <c r="G121" s="25"/>
    </row>
    <row r="122" spans="1:7" ht="29.1" customHeight="1" x14ac:dyDescent="0.2">
      <c r="A122" s="21"/>
      <c r="B122" s="10" t="s">
        <v>466</v>
      </c>
      <c r="C122" s="24">
        <v>15.8392</v>
      </c>
      <c r="D122" s="24">
        <v>15.942</v>
      </c>
      <c r="E122" s="21"/>
      <c r="F122" s="18"/>
      <c r="G122" s="25"/>
    </row>
    <row r="123" spans="1:7" ht="14.1" customHeight="1" x14ac:dyDescent="0.2">
      <c r="A123" s="21"/>
      <c r="B123" s="21"/>
      <c r="C123" s="21"/>
      <c r="D123" s="21"/>
      <c r="E123" s="21"/>
      <c r="F123" s="21"/>
      <c r="G123" s="21"/>
    </row>
    <row r="124" spans="1:7" ht="17.100000000000001" customHeight="1" x14ac:dyDescent="0.2">
      <c r="A124" s="21"/>
      <c r="B124" s="149" t="s">
        <v>468</v>
      </c>
      <c r="C124" s="150"/>
      <c r="D124" s="2" t="s">
        <v>11</v>
      </c>
      <c r="E124" s="21"/>
      <c r="F124" s="21"/>
      <c r="G124" s="21"/>
    </row>
    <row r="125" spans="1:7" ht="18" customHeight="1" x14ac:dyDescent="0.2">
      <c r="A125" s="21"/>
      <c r="B125" s="26" t="s">
        <v>89</v>
      </c>
      <c r="C125" s="27" t="s">
        <v>95</v>
      </c>
      <c r="D125" s="27" t="s">
        <v>96</v>
      </c>
      <c r="E125" s="21"/>
      <c r="F125" s="21"/>
      <c r="G125" s="21"/>
    </row>
    <row r="126" spans="1:7" ht="29.1" customHeight="1" x14ac:dyDescent="0.2">
      <c r="A126" s="21"/>
      <c r="B126" s="10" t="s">
        <v>459</v>
      </c>
      <c r="C126" s="28">
        <v>0</v>
      </c>
      <c r="D126" s="28">
        <v>7.4999999999999997E-2</v>
      </c>
      <c r="E126" s="21"/>
      <c r="F126" s="18"/>
      <c r="G126" s="25"/>
    </row>
    <row r="127" spans="1:7" ht="29.1" customHeight="1" x14ac:dyDescent="0.2">
      <c r="A127" s="21"/>
      <c r="B127" s="10" t="s">
        <v>465</v>
      </c>
      <c r="C127" s="28">
        <v>7.4999999999999997E-2</v>
      </c>
      <c r="D127" s="28">
        <v>7.4999999999999997E-2</v>
      </c>
      <c r="E127" s="21"/>
      <c r="F127" s="18"/>
      <c r="G127" s="25"/>
    </row>
    <row r="128" spans="1:7" ht="14.1" customHeight="1" x14ac:dyDescent="0.2">
      <c r="A128" s="21"/>
      <c r="B128" s="29"/>
      <c r="C128" s="29"/>
      <c r="D128" s="30"/>
      <c r="E128" s="21"/>
      <c r="F128" s="18"/>
      <c r="G128" s="25"/>
    </row>
    <row r="129" spans="1:16" x14ac:dyDescent="0.2">
      <c r="A129" s="55"/>
      <c r="B129" s="153" t="s">
        <v>479</v>
      </c>
      <c r="C129" s="153"/>
      <c r="D129" s="153"/>
      <c r="E129" s="153"/>
      <c r="F129" s="153"/>
      <c r="G129" s="55"/>
      <c r="I129" s="57"/>
    </row>
    <row r="130" spans="1:16" ht="14.1" customHeight="1" x14ac:dyDescent="0.2">
      <c r="A130" s="21"/>
      <c r="B130" s="18"/>
      <c r="C130" s="18"/>
      <c r="D130" s="21"/>
      <c r="E130" s="21"/>
      <c r="F130" s="21"/>
      <c r="G130" s="21"/>
    </row>
    <row r="131" spans="1:16" ht="29.1" customHeight="1" x14ac:dyDescent="0.2">
      <c r="A131" s="21"/>
      <c r="B131" s="169" t="s">
        <v>98</v>
      </c>
      <c r="C131" s="170"/>
      <c r="D131" s="2" t="s">
        <v>84</v>
      </c>
      <c r="E131" s="31"/>
      <c r="F131" s="21"/>
      <c r="G131" s="21"/>
    </row>
    <row r="132" spans="1:16" ht="29.1" customHeight="1" x14ac:dyDescent="0.2">
      <c r="A132" s="21"/>
      <c r="B132" s="169" t="s">
        <v>99</v>
      </c>
      <c r="C132" s="170"/>
      <c r="D132" s="2" t="s">
        <v>84</v>
      </c>
      <c r="E132" s="31"/>
      <c r="F132" s="21"/>
      <c r="G132" s="21"/>
    </row>
    <row r="133" spans="1:16" ht="17.100000000000001" customHeight="1" x14ac:dyDescent="0.2">
      <c r="A133" s="21"/>
      <c r="B133" s="169" t="s">
        <v>427</v>
      </c>
      <c r="C133" s="170"/>
      <c r="D133" s="32">
        <v>1.8533228348741448</v>
      </c>
      <c r="E133" s="31"/>
      <c r="F133" s="21"/>
      <c r="G133" s="21"/>
    </row>
    <row r="134" spans="1:16" ht="17.100000000000001" customHeight="1" x14ac:dyDescent="0.2">
      <c r="A134" s="21"/>
      <c r="B134" s="169" t="s">
        <v>428</v>
      </c>
      <c r="C134" s="170"/>
      <c r="D134" s="32">
        <v>1.349007360068464</v>
      </c>
      <c r="E134" s="31"/>
      <c r="F134" s="21"/>
      <c r="G134" s="21"/>
      <c r="J134"/>
      <c r="K134"/>
      <c r="L134"/>
      <c r="M134"/>
      <c r="N134"/>
      <c r="O134"/>
      <c r="P134"/>
    </row>
    <row r="135" spans="1:16" ht="17.100000000000001" customHeight="1" x14ac:dyDescent="0.2">
      <c r="A135" s="21"/>
      <c r="B135" s="169" t="s">
        <v>102</v>
      </c>
      <c r="C135" s="170"/>
      <c r="D135" s="2" t="s">
        <v>84</v>
      </c>
      <c r="E135" s="31"/>
      <c r="F135" s="21"/>
      <c r="G135" s="21"/>
    </row>
    <row r="136" spans="1:16" ht="14.1" customHeight="1" x14ac:dyDescent="0.2">
      <c r="A136" s="21"/>
      <c r="B136" s="151"/>
      <c r="C136" s="151"/>
      <c r="D136" s="30"/>
      <c r="E136" s="21"/>
      <c r="F136" s="18"/>
      <c r="G136" s="25"/>
    </row>
    <row r="137" spans="1:16" x14ac:dyDescent="0.2">
      <c r="B137" s="180" t="s">
        <v>615</v>
      </c>
      <c r="C137" s="180"/>
      <c r="D137" s="180"/>
      <c r="E137" s="180"/>
      <c r="F137" s="180"/>
      <c r="G137" s="180"/>
      <c r="H137" s="180"/>
    </row>
    <row r="138" spans="1:16" x14ac:dyDescent="0.2">
      <c r="B138" s="53" t="s">
        <v>435</v>
      </c>
      <c r="C138" s="53" t="s">
        <v>436</v>
      </c>
      <c r="D138" s="163" t="s">
        <v>437</v>
      </c>
      <c r="E138" s="163"/>
      <c r="F138" s="163"/>
      <c r="G138" s="164" t="s">
        <v>438</v>
      </c>
      <c r="H138" s="164"/>
    </row>
    <row r="139" spans="1:16" ht="25.5" x14ac:dyDescent="0.2">
      <c r="B139" s="41" t="s">
        <v>594</v>
      </c>
      <c r="C139" s="42" t="s">
        <v>612</v>
      </c>
      <c r="D139" s="158">
        <v>0</v>
      </c>
      <c r="E139" s="158"/>
      <c r="F139" s="158"/>
      <c r="G139" s="158">
        <v>0</v>
      </c>
      <c r="H139" s="158"/>
    </row>
    <row r="140" spans="1:16" x14ac:dyDescent="0.2">
      <c r="B140" s="41"/>
      <c r="C140" s="41"/>
      <c r="D140" s="165"/>
      <c r="E140" s="165"/>
      <c r="F140" s="165"/>
      <c r="G140" s="165"/>
      <c r="H140" s="165"/>
    </row>
    <row r="141" spans="1:16" x14ac:dyDescent="0.2">
      <c r="B141" s="164" t="s">
        <v>598</v>
      </c>
      <c r="C141" s="164"/>
      <c r="D141" s="164"/>
      <c r="E141" s="164"/>
      <c r="F141" s="164"/>
      <c r="G141" s="164"/>
      <c r="H141" s="164"/>
    </row>
    <row r="142" spans="1:16" x14ac:dyDescent="0.2">
      <c r="B142" s="160" t="s">
        <v>435</v>
      </c>
      <c r="C142" s="160" t="s">
        <v>436</v>
      </c>
      <c r="D142" s="160" t="s">
        <v>442</v>
      </c>
      <c r="E142" s="160"/>
      <c r="F142" s="160"/>
      <c r="G142" s="160"/>
      <c r="H142" s="161" t="s">
        <v>611</v>
      </c>
    </row>
    <row r="143" spans="1:16" ht="63.75" x14ac:dyDescent="0.2">
      <c r="B143" s="160"/>
      <c r="C143" s="160"/>
      <c r="D143" s="43" t="s">
        <v>443</v>
      </c>
      <c r="E143" s="43" t="s">
        <v>600</v>
      </c>
      <c r="F143" s="43" t="s">
        <v>601</v>
      </c>
      <c r="G143" s="43" t="s">
        <v>446</v>
      </c>
      <c r="H143" s="162"/>
    </row>
    <row r="144" spans="1:16" ht="25.5" x14ac:dyDescent="0.2">
      <c r="B144" s="41" t="s">
        <v>594</v>
      </c>
      <c r="C144" s="42" t="s">
        <v>613</v>
      </c>
      <c r="D144" s="105">
        <v>500</v>
      </c>
      <c r="E144" s="105">
        <v>9.9405737999999992</v>
      </c>
      <c r="F144" s="111">
        <v>16.00737140547945</v>
      </c>
      <c r="G144" s="105">
        <v>525.94794520547941</v>
      </c>
      <c r="H144" s="108">
        <v>233.40679</v>
      </c>
    </row>
    <row r="147" spans="2:8" x14ac:dyDescent="0.2">
      <c r="B147" s="109" t="s">
        <v>605</v>
      </c>
    </row>
    <row r="148" spans="2:8" x14ac:dyDescent="0.2">
      <c r="B148" s="57"/>
      <c r="C148" s="57"/>
      <c r="D148" s="57"/>
      <c r="E148" s="57"/>
      <c r="F148" s="57"/>
      <c r="G148" s="57"/>
      <c r="H148" s="57"/>
    </row>
    <row r="149" spans="2:8" x14ac:dyDescent="0.2">
      <c r="B149" s="110" t="s">
        <v>606</v>
      </c>
      <c r="C149" s="57"/>
      <c r="D149" s="57"/>
      <c r="E149" s="57"/>
      <c r="F149" s="57"/>
      <c r="G149" s="57"/>
      <c r="H149" s="57"/>
    </row>
    <row r="150" spans="2:8" x14ac:dyDescent="0.2">
      <c r="B150" s="57"/>
      <c r="C150" s="57"/>
      <c r="D150" s="57"/>
      <c r="E150" s="57"/>
      <c r="F150" s="57"/>
      <c r="G150" s="57"/>
      <c r="H150" s="57"/>
    </row>
    <row r="151" spans="2:8" x14ac:dyDescent="0.2">
      <c r="B151" s="110" t="s">
        <v>607</v>
      </c>
      <c r="C151" s="57"/>
      <c r="D151" s="57"/>
      <c r="E151" s="57"/>
      <c r="F151" s="57"/>
      <c r="G151" s="57"/>
      <c r="H151" s="57"/>
    </row>
  </sheetData>
  <mergeCells count="31">
    <mergeCell ref="B135:C135"/>
    <mergeCell ref="B136:C136"/>
    <mergeCell ref="A1:I1"/>
    <mergeCell ref="A2:I2"/>
    <mergeCell ref="A3:I3"/>
    <mergeCell ref="B131:C131"/>
    <mergeCell ref="B105:F105"/>
    <mergeCell ref="B106:F106"/>
    <mergeCell ref="B107:F107"/>
    <mergeCell ref="B109:D109"/>
    <mergeCell ref="B110:C110"/>
    <mergeCell ref="B111:C111"/>
    <mergeCell ref="B112:C112"/>
    <mergeCell ref="B124:C124"/>
    <mergeCell ref="B129:F129"/>
    <mergeCell ref="K2:O2"/>
    <mergeCell ref="D140:F140"/>
    <mergeCell ref="G140:H140"/>
    <mergeCell ref="B141:H141"/>
    <mergeCell ref="B142:B143"/>
    <mergeCell ref="C142:C143"/>
    <mergeCell ref="D142:G142"/>
    <mergeCell ref="H142:H143"/>
    <mergeCell ref="B137:H137"/>
    <mergeCell ref="D138:F138"/>
    <mergeCell ref="G138:H138"/>
    <mergeCell ref="D139:F139"/>
    <mergeCell ref="G139:H139"/>
    <mergeCell ref="B132:C132"/>
    <mergeCell ref="B133:C133"/>
    <mergeCell ref="B134:C134"/>
  </mergeCells>
  <hyperlinks>
    <hyperlink ref="B149" r:id="rId1" xr:uid="{9E7266C2-C1FF-4000-8A29-CC403B2E02B9}"/>
    <hyperlink ref="B151" r:id="rId2" xr:uid="{3BE6137E-F2B3-4CAD-A27B-882080AF89F2}"/>
  </hyperlinks>
  <pageMargins left="5.000000074505806E-2" right="5.000000074505806E-2" top="0.30000001192092896" bottom="0.20000000298023224" header="0" footer="0"/>
  <pageSetup paperSize="9" orientation="landscape" r:id="rId3"/>
  <headerFooter alignWithMargins="0"/>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O11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15" width="9.140625" style="57"/>
  </cols>
  <sheetData>
    <row r="1" spans="1:15" ht="18" customHeight="1" x14ac:dyDescent="0.2">
      <c r="A1" s="152" t="s">
        <v>0</v>
      </c>
      <c r="B1" s="152"/>
      <c r="C1" s="152"/>
      <c r="D1" s="152"/>
      <c r="E1" s="152"/>
      <c r="F1" s="152"/>
      <c r="G1" s="152"/>
      <c r="H1" s="152"/>
    </row>
    <row r="2" spans="1:15" ht="17.100000000000001" customHeight="1" x14ac:dyDescent="0.2">
      <c r="A2" s="152" t="s">
        <v>385</v>
      </c>
      <c r="B2" s="152"/>
      <c r="C2" s="152"/>
      <c r="D2" s="152"/>
      <c r="E2" s="152"/>
      <c r="F2" s="152"/>
      <c r="G2" s="152"/>
      <c r="H2" s="152"/>
      <c r="J2" s="148" t="s">
        <v>631</v>
      </c>
      <c r="K2" s="148"/>
      <c r="L2" s="148"/>
      <c r="M2" s="148"/>
      <c r="N2" s="148"/>
    </row>
    <row r="3" spans="1:15" ht="21" customHeight="1" x14ac:dyDescent="0.2">
      <c r="A3" s="152" t="s">
        <v>480</v>
      </c>
      <c r="B3" s="152"/>
      <c r="C3" s="152"/>
      <c r="D3" s="152"/>
      <c r="E3" s="152"/>
      <c r="F3" s="152"/>
      <c r="G3" s="152"/>
      <c r="H3" s="152"/>
    </row>
    <row r="4" spans="1:15" s="59" customFormat="1" ht="30" x14ac:dyDescent="0.2">
      <c r="A4" s="58" t="s">
        <v>1</v>
      </c>
      <c r="B4" s="58" t="s">
        <v>2</v>
      </c>
      <c r="C4" s="58" t="s">
        <v>3</v>
      </c>
      <c r="D4" s="58" t="s">
        <v>4</v>
      </c>
      <c r="E4" s="58" t="s">
        <v>5</v>
      </c>
      <c r="F4" s="58" t="s">
        <v>6</v>
      </c>
      <c r="G4" s="58" t="s">
        <v>7</v>
      </c>
      <c r="H4" s="49" t="s">
        <v>452</v>
      </c>
      <c r="I4" s="135"/>
      <c r="J4" s="135"/>
      <c r="K4" s="135"/>
      <c r="L4" s="135"/>
      <c r="M4" s="135"/>
      <c r="N4" s="135"/>
      <c r="O4" s="135"/>
    </row>
    <row r="5" spans="1:15" x14ac:dyDescent="0.2">
      <c r="A5" s="1"/>
      <c r="B5" s="1"/>
      <c r="C5" s="2" t="s">
        <v>8</v>
      </c>
      <c r="D5" s="1"/>
      <c r="E5" s="1"/>
      <c r="F5" s="1"/>
      <c r="G5" s="1"/>
      <c r="H5" s="50"/>
    </row>
    <row r="6" spans="1:15" ht="25.5" x14ac:dyDescent="0.2">
      <c r="A6" s="1"/>
      <c r="B6" s="1"/>
      <c r="C6" s="2" t="s">
        <v>9</v>
      </c>
      <c r="D6" s="1"/>
      <c r="E6" s="1"/>
      <c r="F6" s="1"/>
      <c r="G6" s="1"/>
      <c r="H6" s="50"/>
    </row>
    <row r="7" spans="1:15" x14ac:dyDescent="0.2">
      <c r="A7" s="1"/>
      <c r="B7" s="1"/>
      <c r="C7" s="2" t="s">
        <v>10</v>
      </c>
      <c r="D7" s="1"/>
      <c r="E7" s="1" t="s">
        <v>11</v>
      </c>
      <c r="F7" s="3">
        <v>0</v>
      </c>
      <c r="G7" s="4">
        <v>0</v>
      </c>
      <c r="H7" s="50"/>
    </row>
    <row r="8" spans="1:15" x14ac:dyDescent="0.2">
      <c r="A8" s="1"/>
      <c r="B8" s="1"/>
      <c r="C8" s="5"/>
      <c r="D8" s="1"/>
      <c r="E8" s="1"/>
      <c r="F8" s="6"/>
      <c r="G8" s="6"/>
      <c r="H8" s="50"/>
    </row>
    <row r="9" spans="1:15" x14ac:dyDescent="0.2">
      <c r="A9" s="1"/>
      <c r="B9" s="1"/>
      <c r="C9" s="2" t="s">
        <v>12</v>
      </c>
      <c r="D9" s="1"/>
      <c r="E9" s="1"/>
      <c r="F9" s="1"/>
      <c r="G9" s="1"/>
      <c r="H9" s="50"/>
    </row>
    <row r="10" spans="1:15" x14ac:dyDescent="0.2">
      <c r="A10" s="1"/>
      <c r="B10" s="1"/>
      <c r="C10" s="2" t="s">
        <v>10</v>
      </c>
      <c r="D10" s="1"/>
      <c r="E10" s="1" t="s">
        <v>11</v>
      </c>
      <c r="F10" s="3">
        <v>0</v>
      </c>
      <c r="G10" s="4">
        <v>0</v>
      </c>
      <c r="H10" s="50"/>
    </row>
    <row r="11" spans="1:15" x14ac:dyDescent="0.2">
      <c r="A11" s="1"/>
      <c r="B11" s="1"/>
      <c r="C11" s="5"/>
      <c r="D11" s="1"/>
      <c r="E11" s="1"/>
      <c r="F11" s="6"/>
      <c r="G11" s="6"/>
      <c r="H11" s="50"/>
    </row>
    <row r="12" spans="1:15" x14ac:dyDescent="0.2">
      <c r="A12" s="1"/>
      <c r="B12" s="1"/>
      <c r="C12" s="2" t="s">
        <v>13</v>
      </c>
      <c r="D12" s="1"/>
      <c r="E12" s="1"/>
      <c r="F12" s="1"/>
      <c r="G12" s="1"/>
      <c r="H12" s="50"/>
    </row>
    <row r="13" spans="1:15" x14ac:dyDescent="0.2">
      <c r="A13" s="1"/>
      <c r="B13" s="1"/>
      <c r="C13" s="2" t="s">
        <v>10</v>
      </c>
      <c r="D13" s="1"/>
      <c r="E13" s="1" t="s">
        <v>11</v>
      </c>
      <c r="F13" s="3">
        <v>0</v>
      </c>
      <c r="G13" s="4">
        <v>0</v>
      </c>
      <c r="H13" s="50"/>
    </row>
    <row r="14" spans="1:15" x14ac:dyDescent="0.2">
      <c r="A14" s="1"/>
      <c r="B14" s="1"/>
      <c r="C14" s="5"/>
      <c r="D14" s="1"/>
      <c r="E14" s="1"/>
      <c r="F14" s="6"/>
      <c r="G14" s="6"/>
      <c r="H14" s="50"/>
    </row>
    <row r="15" spans="1:15" x14ac:dyDescent="0.2">
      <c r="A15" s="1"/>
      <c r="B15" s="1"/>
      <c r="C15" s="2" t="s">
        <v>14</v>
      </c>
      <c r="D15" s="1"/>
      <c r="E15" s="1"/>
      <c r="F15" s="1"/>
      <c r="G15" s="1"/>
      <c r="H15" s="50"/>
    </row>
    <row r="16" spans="1:15" ht="15" x14ac:dyDescent="0.25">
      <c r="A16" s="1"/>
      <c r="B16" s="1"/>
      <c r="C16" s="2" t="s">
        <v>10</v>
      </c>
      <c r="D16" s="1"/>
      <c r="E16" s="1" t="s">
        <v>11</v>
      </c>
      <c r="F16" s="3">
        <v>0</v>
      </c>
      <c r="G16" s="4">
        <v>0</v>
      </c>
      <c r="H16" s="50"/>
      <c r="J16" s="137" t="s">
        <v>650</v>
      </c>
      <c r="K16" s="138"/>
      <c r="L16" s="138"/>
      <c r="M16" s="138"/>
      <c r="N16" s="138"/>
      <c r="O16" s="138"/>
    </row>
    <row r="17" spans="1:15" x14ac:dyDescent="0.2">
      <c r="A17" s="1"/>
      <c r="B17" s="1"/>
      <c r="C17" s="5"/>
      <c r="D17" s="1"/>
      <c r="E17" s="1"/>
      <c r="F17" s="6"/>
      <c r="G17" s="6"/>
      <c r="H17" s="50"/>
    </row>
    <row r="18" spans="1:15" x14ac:dyDescent="0.2">
      <c r="A18" s="1"/>
      <c r="B18" s="1"/>
      <c r="C18" s="2" t="s">
        <v>15</v>
      </c>
      <c r="D18" s="1"/>
      <c r="E18" s="1"/>
      <c r="F18" s="6"/>
      <c r="G18" s="6"/>
      <c r="H18" s="50"/>
    </row>
    <row r="19" spans="1:15" x14ac:dyDescent="0.2">
      <c r="A19" s="1"/>
      <c r="B19" s="1"/>
      <c r="C19" s="2" t="s">
        <v>10</v>
      </c>
      <c r="D19" s="1"/>
      <c r="E19" s="1" t="s">
        <v>11</v>
      </c>
      <c r="F19" s="3">
        <v>0</v>
      </c>
      <c r="G19" s="4">
        <v>0</v>
      </c>
      <c r="H19" s="50"/>
    </row>
    <row r="20" spans="1:15" x14ac:dyDescent="0.2">
      <c r="A20" s="1"/>
      <c r="B20" s="1"/>
      <c r="C20" s="5"/>
      <c r="D20" s="1"/>
      <c r="E20" s="1"/>
      <c r="F20" s="6"/>
      <c r="G20" s="6"/>
      <c r="H20" s="50"/>
    </row>
    <row r="21" spans="1:15" x14ac:dyDescent="0.2">
      <c r="A21" s="1"/>
      <c r="B21" s="1"/>
      <c r="C21" s="2" t="s">
        <v>16</v>
      </c>
      <c r="D21" s="1"/>
      <c r="E21" s="1"/>
      <c r="F21" s="6"/>
      <c r="G21" s="6"/>
      <c r="H21" s="50"/>
    </row>
    <row r="22" spans="1:15" x14ac:dyDescent="0.2">
      <c r="A22" s="1"/>
      <c r="B22" s="1"/>
      <c r="C22" s="2" t="s">
        <v>10</v>
      </c>
      <c r="D22" s="1"/>
      <c r="E22" s="1" t="s">
        <v>11</v>
      </c>
      <c r="F22" s="3">
        <v>0</v>
      </c>
      <c r="G22" s="4">
        <v>0</v>
      </c>
      <c r="H22" s="50"/>
    </row>
    <row r="23" spans="1:15" x14ac:dyDescent="0.2">
      <c r="A23" s="1"/>
      <c r="B23" s="1"/>
      <c r="C23" s="5"/>
      <c r="D23" s="1"/>
      <c r="E23" s="1"/>
      <c r="F23" s="6"/>
      <c r="G23" s="6"/>
      <c r="H23" s="50"/>
    </row>
    <row r="24" spans="1:15" x14ac:dyDescent="0.2">
      <c r="A24" s="1"/>
      <c r="B24" s="1"/>
      <c r="C24" s="2" t="s">
        <v>17</v>
      </c>
      <c r="D24" s="1"/>
      <c r="E24" s="1"/>
      <c r="F24" s="7">
        <v>0</v>
      </c>
      <c r="G24" s="8">
        <v>0</v>
      </c>
      <c r="H24" s="50"/>
    </row>
    <row r="25" spans="1:15" x14ac:dyDescent="0.2">
      <c r="A25" s="1"/>
      <c r="B25" s="1"/>
      <c r="C25" s="5"/>
      <c r="D25" s="1"/>
      <c r="E25" s="1"/>
      <c r="F25" s="6"/>
      <c r="G25" s="6"/>
      <c r="H25" s="50"/>
    </row>
    <row r="26" spans="1:15" x14ac:dyDescent="0.2">
      <c r="A26" s="1"/>
      <c r="B26" s="1"/>
      <c r="C26" s="2" t="s">
        <v>18</v>
      </c>
      <c r="D26" s="1"/>
      <c r="E26" s="1"/>
      <c r="F26" s="6"/>
      <c r="G26" s="6"/>
      <c r="H26" s="50"/>
    </row>
    <row r="27" spans="1:15" ht="25.5" x14ac:dyDescent="0.2">
      <c r="A27" s="1"/>
      <c r="B27" s="1"/>
      <c r="C27" s="2" t="s">
        <v>9</v>
      </c>
      <c r="D27" s="1"/>
      <c r="E27" s="1"/>
      <c r="F27" s="6"/>
      <c r="G27" s="6"/>
      <c r="H27" s="50"/>
    </row>
    <row r="28" spans="1:15" x14ac:dyDescent="0.2">
      <c r="A28" s="1"/>
      <c r="B28" s="1"/>
      <c r="C28" s="2" t="s">
        <v>10</v>
      </c>
      <c r="D28" s="1"/>
      <c r="E28" s="1" t="s">
        <v>11</v>
      </c>
      <c r="F28" s="3">
        <v>0</v>
      </c>
      <c r="G28" s="4">
        <v>0</v>
      </c>
      <c r="H28" s="50"/>
    </row>
    <row r="29" spans="1:15" x14ac:dyDescent="0.2">
      <c r="A29" s="1"/>
      <c r="B29" s="1"/>
      <c r="C29" s="5"/>
      <c r="D29" s="1"/>
      <c r="E29" s="1"/>
      <c r="F29" s="6"/>
      <c r="G29" s="6"/>
      <c r="H29" s="50"/>
    </row>
    <row r="30" spans="1:15" x14ac:dyDescent="0.2">
      <c r="A30" s="1"/>
      <c r="B30" s="1"/>
      <c r="C30" s="2" t="s">
        <v>46</v>
      </c>
      <c r="D30" s="1"/>
      <c r="E30" s="1"/>
      <c r="F30" s="1"/>
      <c r="G30" s="1"/>
      <c r="H30" s="50"/>
    </row>
    <row r="31" spans="1:15" ht="15" x14ac:dyDescent="0.25">
      <c r="A31" s="1"/>
      <c r="B31" s="1"/>
      <c r="C31" s="2" t="s">
        <v>10</v>
      </c>
      <c r="D31" s="1"/>
      <c r="E31" s="1" t="s">
        <v>11</v>
      </c>
      <c r="F31" s="3">
        <v>0</v>
      </c>
      <c r="G31" s="4">
        <v>0</v>
      </c>
      <c r="H31" s="50"/>
      <c r="J31" s="137" t="s">
        <v>640</v>
      </c>
      <c r="K31" s="138"/>
      <c r="L31" s="138"/>
      <c r="M31" s="138"/>
      <c r="N31" s="138"/>
      <c r="O31"/>
    </row>
    <row r="32" spans="1:15" x14ac:dyDescent="0.2">
      <c r="A32" s="1"/>
      <c r="B32" s="1"/>
      <c r="C32" s="5"/>
      <c r="D32" s="1"/>
      <c r="E32" s="1"/>
      <c r="F32" s="6"/>
      <c r="G32" s="6"/>
      <c r="H32" s="50"/>
      <c r="O32"/>
    </row>
    <row r="33" spans="1:15" x14ac:dyDescent="0.2">
      <c r="A33" s="1"/>
      <c r="B33" s="1"/>
      <c r="C33" s="2" t="s">
        <v>47</v>
      </c>
      <c r="D33" s="1"/>
      <c r="E33" s="1"/>
      <c r="F33" s="1"/>
      <c r="G33" s="1"/>
      <c r="H33" s="50"/>
      <c r="O33"/>
    </row>
    <row r="34" spans="1:15" x14ac:dyDescent="0.2">
      <c r="A34" s="1"/>
      <c r="B34" s="1"/>
      <c r="C34" s="2" t="s">
        <v>10</v>
      </c>
      <c r="D34" s="1"/>
      <c r="E34" s="1" t="s">
        <v>11</v>
      </c>
      <c r="F34" s="3">
        <v>0</v>
      </c>
      <c r="G34" s="4">
        <v>0</v>
      </c>
      <c r="H34" s="50"/>
      <c r="O34"/>
    </row>
    <row r="35" spans="1:15" x14ac:dyDescent="0.2">
      <c r="A35" s="1"/>
      <c r="B35" s="1"/>
      <c r="C35" s="5"/>
      <c r="D35" s="1"/>
      <c r="E35" s="1"/>
      <c r="F35" s="6"/>
      <c r="G35" s="6"/>
      <c r="H35" s="50"/>
      <c r="O35"/>
    </row>
    <row r="36" spans="1:15" x14ac:dyDescent="0.2">
      <c r="A36" s="1"/>
      <c r="B36" s="1"/>
      <c r="C36" s="2" t="s">
        <v>55</v>
      </c>
      <c r="D36" s="1"/>
      <c r="E36" s="1"/>
      <c r="F36" s="6"/>
      <c r="G36" s="6"/>
      <c r="H36" s="50"/>
      <c r="O36"/>
    </row>
    <row r="37" spans="1:15" x14ac:dyDescent="0.2">
      <c r="A37" s="1"/>
      <c r="B37" s="1"/>
      <c r="C37" s="2" t="s">
        <v>10</v>
      </c>
      <c r="D37" s="1"/>
      <c r="E37" s="1" t="s">
        <v>11</v>
      </c>
      <c r="F37" s="3">
        <v>0</v>
      </c>
      <c r="G37" s="4">
        <v>0</v>
      </c>
      <c r="H37" s="50"/>
      <c r="O37"/>
    </row>
    <row r="38" spans="1:15" x14ac:dyDescent="0.2">
      <c r="A38" s="1"/>
      <c r="B38" s="1"/>
      <c r="C38" s="5"/>
      <c r="D38" s="1"/>
      <c r="E38" s="1"/>
      <c r="F38" s="6"/>
      <c r="G38" s="6"/>
      <c r="H38" s="50"/>
      <c r="O38"/>
    </row>
    <row r="39" spans="1:15" x14ac:dyDescent="0.2">
      <c r="A39" s="1"/>
      <c r="B39" s="1"/>
      <c r="C39" s="2" t="s">
        <v>56</v>
      </c>
      <c r="D39" s="1"/>
      <c r="E39" s="1"/>
      <c r="F39" s="7">
        <v>0</v>
      </c>
      <c r="G39" s="8">
        <v>0</v>
      </c>
      <c r="H39" s="50"/>
      <c r="O39"/>
    </row>
    <row r="40" spans="1:15" x14ac:dyDescent="0.2">
      <c r="A40" s="1"/>
      <c r="B40" s="1"/>
      <c r="C40" s="5"/>
      <c r="D40" s="1"/>
      <c r="E40" s="1"/>
      <c r="F40" s="6"/>
      <c r="G40" s="6"/>
      <c r="H40" s="50"/>
      <c r="O40"/>
    </row>
    <row r="41" spans="1:15" x14ac:dyDescent="0.2">
      <c r="A41" s="1"/>
      <c r="B41" s="1"/>
      <c r="C41" s="2" t="s">
        <v>57</v>
      </c>
      <c r="D41" s="1"/>
      <c r="E41" s="1"/>
      <c r="F41" s="6"/>
      <c r="G41" s="6"/>
      <c r="H41" s="50"/>
      <c r="O41"/>
    </row>
    <row r="42" spans="1:15" x14ac:dyDescent="0.2">
      <c r="A42" s="1"/>
      <c r="B42" s="1"/>
      <c r="C42" s="2" t="s">
        <v>58</v>
      </c>
      <c r="D42" s="1"/>
      <c r="E42" s="1"/>
      <c r="F42" s="6"/>
      <c r="G42" s="6"/>
      <c r="H42" s="50"/>
      <c r="O42"/>
    </row>
    <row r="43" spans="1:15" x14ac:dyDescent="0.2">
      <c r="A43" s="1"/>
      <c r="B43" s="1"/>
      <c r="C43" s="2" t="s">
        <v>10</v>
      </c>
      <c r="D43" s="1"/>
      <c r="E43" s="1" t="s">
        <v>11</v>
      </c>
      <c r="F43" s="3">
        <v>0</v>
      </c>
      <c r="G43" s="4">
        <v>0</v>
      </c>
      <c r="H43" s="50"/>
      <c r="O43"/>
    </row>
    <row r="44" spans="1:15" x14ac:dyDescent="0.2">
      <c r="A44" s="1"/>
      <c r="B44" s="1"/>
      <c r="C44" s="5"/>
      <c r="D44" s="1"/>
      <c r="E44" s="1"/>
      <c r="F44" s="6"/>
      <c r="G44" s="6"/>
      <c r="H44" s="50"/>
      <c r="O44"/>
    </row>
    <row r="45" spans="1:15" x14ac:dyDescent="0.2">
      <c r="A45" s="1"/>
      <c r="B45" s="1"/>
      <c r="C45" s="2" t="s">
        <v>64</v>
      </c>
      <c r="D45" s="1"/>
      <c r="E45" s="1"/>
      <c r="F45" s="6"/>
      <c r="G45" s="6"/>
      <c r="H45" s="50"/>
      <c r="O45"/>
    </row>
    <row r="46" spans="1:15" x14ac:dyDescent="0.2">
      <c r="A46" s="1"/>
      <c r="B46" s="1"/>
      <c r="C46" s="2" t="s">
        <v>10</v>
      </c>
      <c r="D46" s="1"/>
      <c r="E46" s="1" t="s">
        <v>11</v>
      </c>
      <c r="F46" s="3">
        <v>0</v>
      </c>
      <c r="G46" s="4">
        <v>0</v>
      </c>
      <c r="H46" s="50"/>
      <c r="O46"/>
    </row>
    <row r="47" spans="1:15" x14ac:dyDescent="0.2">
      <c r="A47" s="1"/>
      <c r="B47" s="1"/>
      <c r="C47" s="5"/>
      <c r="D47" s="1"/>
      <c r="E47" s="1"/>
      <c r="F47" s="6"/>
      <c r="G47" s="6"/>
      <c r="H47" s="50"/>
    </row>
    <row r="48" spans="1:15" x14ac:dyDescent="0.2">
      <c r="A48" s="1"/>
      <c r="B48" s="1"/>
      <c r="C48" s="2" t="s">
        <v>67</v>
      </c>
      <c r="D48" s="1"/>
      <c r="E48" s="1"/>
      <c r="F48" s="6"/>
      <c r="G48" s="6"/>
      <c r="H48" s="50"/>
    </row>
    <row r="49" spans="1:8" x14ac:dyDescent="0.2">
      <c r="A49" s="1"/>
      <c r="B49" s="1"/>
      <c r="C49" s="2" t="s">
        <v>10</v>
      </c>
      <c r="D49" s="1"/>
      <c r="E49" s="1" t="s">
        <v>11</v>
      </c>
      <c r="F49" s="3">
        <v>0</v>
      </c>
      <c r="G49" s="4">
        <v>0</v>
      </c>
      <c r="H49" s="50"/>
    </row>
    <row r="50" spans="1:8" x14ac:dyDescent="0.2">
      <c r="A50" s="1"/>
      <c r="B50" s="1"/>
      <c r="C50" s="5"/>
      <c r="D50" s="1"/>
      <c r="E50" s="1"/>
      <c r="F50" s="6"/>
      <c r="G50" s="6"/>
      <c r="H50" s="50"/>
    </row>
    <row r="51" spans="1:8" x14ac:dyDescent="0.2">
      <c r="A51" s="1"/>
      <c r="B51" s="1"/>
      <c r="C51" s="2" t="s">
        <v>69</v>
      </c>
      <c r="D51" s="1"/>
      <c r="E51" s="1"/>
      <c r="F51" s="6"/>
      <c r="G51" s="6"/>
      <c r="H51" s="50"/>
    </row>
    <row r="52" spans="1:8" x14ac:dyDescent="0.2">
      <c r="A52" s="9">
        <v>1</v>
      </c>
      <c r="B52" s="10"/>
      <c r="C52" s="10" t="s">
        <v>70</v>
      </c>
      <c r="D52" s="10"/>
      <c r="E52" s="14"/>
      <c r="F52" s="12">
        <v>48056.840760599996</v>
      </c>
      <c r="G52" s="13">
        <v>0.643218756</v>
      </c>
      <c r="H52" s="50">
        <v>3.4504560529072292</v>
      </c>
    </row>
    <row r="53" spans="1:8" x14ac:dyDescent="0.2">
      <c r="A53" s="9">
        <v>2</v>
      </c>
      <c r="B53" s="10"/>
      <c r="C53" s="10" t="s">
        <v>71</v>
      </c>
      <c r="D53" s="10"/>
      <c r="E53" s="14"/>
      <c r="F53" s="12">
        <v>25936.6352453</v>
      </c>
      <c r="G53" s="13">
        <v>0.34714995799999998</v>
      </c>
      <c r="H53" s="50">
        <v>3.5655822479098256</v>
      </c>
    </row>
    <row r="54" spans="1:8" x14ac:dyDescent="0.2">
      <c r="A54" s="1"/>
      <c r="B54" s="1"/>
      <c r="C54" s="2" t="s">
        <v>10</v>
      </c>
      <c r="D54" s="1"/>
      <c r="E54" s="1" t="s">
        <v>11</v>
      </c>
      <c r="F54" s="7">
        <v>73993.476005899996</v>
      </c>
      <c r="G54" s="8">
        <v>0.99036871400000004</v>
      </c>
      <c r="H54" s="50"/>
    </row>
    <row r="55" spans="1:8" x14ac:dyDescent="0.2">
      <c r="A55" s="1"/>
      <c r="B55" s="1"/>
      <c r="C55" s="5"/>
      <c r="D55" s="1"/>
      <c r="E55" s="1"/>
      <c r="F55" s="6"/>
      <c r="G55" s="6"/>
      <c r="H55" s="50"/>
    </row>
    <row r="56" spans="1:8" x14ac:dyDescent="0.2">
      <c r="A56" s="1"/>
      <c r="B56" s="1"/>
      <c r="C56" s="2" t="s">
        <v>72</v>
      </c>
      <c r="D56" s="1"/>
      <c r="E56" s="1"/>
      <c r="F56" s="7">
        <v>73993.476005899996</v>
      </c>
      <c r="G56" s="8">
        <v>0.99036871400000004</v>
      </c>
      <c r="H56" s="50"/>
    </row>
    <row r="57" spans="1:8" x14ac:dyDescent="0.2">
      <c r="A57" s="1"/>
      <c r="B57" s="1"/>
      <c r="C57" s="6"/>
      <c r="D57" s="1"/>
      <c r="E57" s="1"/>
      <c r="F57" s="1"/>
      <c r="G57" s="1"/>
      <c r="H57" s="50"/>
    </row>
    <row r="58" spans="1:8" x14ac:dyDescent="0.2">
      <c r="A58" s="1"/>
      <c r="B58" s="1"/>
      <c r="C58" s="2" t="s">
        <v>73</v>
      </c>
      <c r="D58" s="1"/>
      <c r="E58" s="1"/>
      <c r="F58" s="1"/>
      <c r="G58" s="1"/>
      <c r="H58" s="50"/>
    </row>
    <row r="59" spans="1:8" x14ac:dyDescent="0.2">
      <c r="A59" s="1"/>
      <c r="B59" s="1"/>
      <c r="C59" s="2" t="s">
        <v>74</v>
      </c>
      <c r="D59" s="1"/>
      <c r="E59" s="1"/>
      <c r="F59" s="1"/>
      <c r="G59" s="1"/>
      <c r="H59" s="50"/>
    </row>
    <row r="60" spans="1:8" x14ac:dyDescent="0.2">
      <c r="A60" s="1"/>
      <c r="B60" s="1"/>
      <c r="C60" s="2" t="s">
        <v>10</v>
      </c>
      <c r="D60" s="1"/>
      <c r="E60" s="1" t="s">
        <v>11</v>
      </c>
      <c r="F60" s="3">
        <v>0</v>
      </c>
      <c r="G60" s="4">
        <v>0</v>
      </c>
      <c r="H60" s="50"/>
    </row>
    <row r="61" spans="1:8" x14ac:dyDescent="0.2">
      <c r="A61" s="1"/>
      <c r="B61" s="1"/>
      <c r="C61" s="5"/>
      <c r="D61" s="1"/>
      <c r="E61" s="1"/>
      <c r="F61" s="6"/>
      <c r="G61" s="6"/>
      <c r="H61" s="50"/>
    </row>
    <row r="62" spans="1:8" x14ac:dyDescent="0.2">
      <c r="A62" s="1"/>
      <c r="B62" s="1"/>
      <c r="C62" s="2" t="s">
        <v>75</v>
      </c>
      <c r="D62" s="1"/>
      <c r="E62" s="1"/>
      <c r="F62" s="1"/>
      <c r="G62" s="1"/>
      <c r="H62" s="50"/>
    </row>
    <row r="63" spans="1:8" x14ac:dyDescent="0.2">
      <c r="A63" s="1"/>
      <c r="B63" s="1"/>
      <c r="C63" s="2" t="s">
        <v>76</v>
      </c>
      <c r="D63" s="1"/>
      <c r="E63" s="1"/>
      <c r="F63" s="1"/>
      <c r="G63" s="1"/>
      <c r="H63" s="50"/>
    </row>
    <row r="64" spans="1:8" x14ac:dyDescent="0.2">
      <c r="A64" s="1"/>
      <c r="B64" s="1"/>
      <c r="C64" s="2" t="s">
        <v>10</v>
      </c>
      <c r="D64" s="1"/>
      <c r="E64" s="1" t="s">
        <v>11</v>
      </c>
      <c r="F64" s="3">
        <v>0</v>
      </c>
      <c r="G64" s="4">
        <v>0</v>
      </c>
      <c r="H64" s="50"/>
    </row>
    <row r="65" spans="1:8" x14ac:dyDescent="0.2">
      <c r="A65" s="1"/>
      <c r="B65" s="1"/>
      <c r="C65" s="5"/>
      <c r="D65" s="1"/>
      <c r="E65" s="1"/>
      <c r="F65" s="6"/>
      <c r="G65" s="6"/>
      <c r="H65" s="50"/>
    </row>
    <row r="66" spans="1:8" ht="25.5" x14ac:dyDescent="0.2">
      <c r="A66" s="1"/>
      <c r="B66" s="1"/>
      <c r="C66" s="2" t="s">
        <v>77</v>
      </c>
      <c r="D66" s="1"/>
      <c r="E66" s="1"/>
      <c r="F66" s="6"/>
      <c r="G66" s="6"/>
      <c r="H66" s="50"/>
    </row>
    <row r="67" spans="1:8" x14ac:dyDescent="0.2">
      <c r="A67" s="1"/>
      <c r="B67" s="1"/>
      <c r="C67" s="2" t="s">
        <v>10</v>
      </c>
      <c r="D67" s="1"/>
      <c r="E67" s="1" t="s">
        <v>11</v>
      </c>
      <c r="F67" s="3">
        <v>0</v>
      </c>
      <c r="G67" s="4">
        <v>0</v>
      </c>
      <c r="H67" s="50"/>
    </row>
    <row r="68" spans="1:8" x14ac:dyDescent="0.2">
      <c r="A68" s="1"/>
      <c r="B68" s="1"/>
      <c r="C68" s="5"/>
      <c r="D68" s="1"/>
      <c r="E68" s="1"/>
      <c r="F68" s="6"/>
      <c r="G68" s="6"/>
      <c r="H68" s="50"/>
    </row>
    <row r="69" spans="1:8" x14ac:dyDescent="0.2">
      <c r="A69" s="1"/>
      <c r="B69" s="10"/>
      <c r="C69" s="10"/>
      <c r="D69" s="2"/>
      <c r="E69" s="1"/>
      <c r="F69" s="10"/>
      <c r="G69" s="14"/>
      <c r="H69" s="50"/>
    </row>
    <row r="70" spans="1:8" x14ac:dyDescent="0.2">
      <c r="A70" s="14"/>
      <c r="B70" s="10"/>
      <c r="C70" s="10" t="s">
        <v>78</v>
      </c>
      <c r="D70" s="10"/>
      <c r="E70" s="14"/>
      <c r="F70" s="12">
        <v>719.58282521000001</v>
      </c>
      <c r="G70" s="13">
        <v>9.6312859999999993E-3</v>
      </c>
      <c r="H70" s="50"/>
    </row>
    <row r="71" spans="1:8" x14ac:dyDescent="0.2">
      <c r="A71" s="5"/>
      <c r="B71" s="5"/>
      <c r="C71" s="2" t="s">
        <v>79</v>
      </c>
      <c r="D71" s="6"/>
      <c r="E71" s="6"/>
      <c r="F71" s="7">
        <v>74713.05883111</v>
      </c>
      <c r="G71" s="8">
        <v>1</v>
      </c>
      <c r="H71" s="50"/>
    </row>
    <row r="72" spans="1:8" ht="14.1" customHeight="1" x14ac:dyDescent="0.2">
      <c r="A72" s="15"/>
      <c r="B72" s="15"/>
      <c r="C72" s="15"/>
      <c r="D72" s="16"/>
      <c r="E72" s="16"/>
      <c r="F72" s="16"/>
      <c r="G72" s="16"/>
    </row>
    <row r="73" spans="1:8" ht="17.100000000000001" customHeight="1" x14ac:dyDescent="0.2">
      <c r="A73" s="17"/>
      <c r="B73" s="154" t="s">
        <v>80</v>
      </c>
      <c r="C73" s="154"/>
      <c r="D73" s="154"/>
      <c r="E73" s="154"/>
      <c r="F73" s="154"/>
      <c r="G73" s="19"/>
    </row>
    <row r="74" spans="1:8" ht="17.100000000000001" customHeight="1" x14ac:dyDescent="0.2">
      <c r="A74" s="17"/>
      <c r="B74" s="154" t="s">
        <v>81</v>
      </c>
      <c r="C74" s="154"/>
      <c r="D74" s="154"/>
      <c r="E74" s="154"/>
      <c r="F74" s="154"/>
      <c r="G74" s="19"/>
    </row>
    <row r="75" spans="1:8" ht="14.1" customHeight="1" x14ac:dyDescent="0.2">
      <c r="A75" s="17"/>
      <c r="B75" s="154" t="s">
        <v>11</v>
      </c>
      <c r="C75" s="154"/>
      <c r="D75" s="154"/>
      <c r="E75" s="154"/>
      <c r="F75" s="154"/>
      <c r="G75" s="19"/>
    </row>
    <row r="76" spans="1:8" ht="14.1" customHeight="1" x14ac:dyDescent="0.2">
      <c r="A76" s="17"/>
      <c r="B76" s="17"/>
      <c r="C76" s="17"/>
      <c r="D76" s="19"/>
      <c r="E76" s="19"/>
      <c r="F76" s="19"/>
      <c r="G76" s="19"/>
    </row>
    <row r="77" spans="1:8" ht="14.1" customHeight="1" x14ac:dyDescent="0.2">
      <c r="A77" s="17"/>
      <c r="B77" s="155" t="s">
        <v>82</v>
      </c>
      <c r="C77" s="156"/>
      <c r="D77" s="157"/>
      <c r="E77" s="20"/>
      <c r="F77" s="19"/>
      <c r="G77" s="19"/>
    </row>
    <row r="78" spans="1:8" ht="29.1" customHeight="1" x14ac:dyDescent="0.2">
      <c r="A78" s="17"/>
      <c r="B78" s="149" t="s">
        <v>83</v>
      </c>
      <c r="C78" s="150"/>
      <c r="D78" s="2" t="s">
        <v>84</v>
      </c>
      <c r="E78" s="20"/>
      <c r="F78" s="19"/>
      <c r="G78" s="19"/>
    </row>
    <row r="79" spans="1:8" ht="17.100000000000001" customHeight="1" x14ac:dyDescent="0.2">
      <c r="A79" s="17"/>
      <c r="B79" s="149" t="s">
        <v>85</v>
      </c>
      <c r="C79" s="150"/>
      <c r="D79" s="2" t="s">
        <v>84</v>
      </c>
      <c r="E79" s="20"/>
      <c r="F79" s="19"/>
      <c r="G79" s="19"/>
    </row>
    <row r="80" spans="1:8" ht="17.100000000000001" customHeight="1" x14ac:dyDescent="0.2">
      <c r="A80" s="17"/>
      <c r="B80" s="149" t="s">
        <v>86</v>
      </c>
      <c r="C80" s="150"/>
      <c r="D80" s="6" t="s">
        <v>11</v>
      </c>
      <c r="E80" s="20"/>
      <c r="F80" s="19"/>
      <c r="G80" s="19"/>
    </row>
    <row r="81" spans="1:7" ht="24" customHeight="1" x14ac:dyDescent="0.2">
      <c r="A81" s="21"/>
      <c r="B81" s="22" t="s">
        <v>11</v>
      </c>
      <c r="C81" s="22" t="s">
        <v>87</v>
      </c>
      <c r="D81" s="22" t="s">
        <v>88</v>
      </c>
      <c r="E81" s="21"/>
      <c r="F81" s="21"/>
      <c r="G81" s="21"/>
    </row>
    <row r="82" spans="1:7" ht="18" customHeight="1" x14ac:dyDescent="0.2">
      <c r="A82" s="21"/>
      <c r="B82" s="23" t="s">
        <v>89</v>
      </c>
      <c r="C82" s="22" t="s">
        <v>90</v>
      </c>
      <c r="D82" s="22" t="s">
        <v>91</v>
      </c>
      <c r="E82" s="21"/>
      <c r="F82" s="21"/>
      <c r="G82" s="21"/>
    </row>
    <row r="83" spans="1:7" ht="17.100000000000001" customHeight="1" x14ac:dyDescent="0.2">
      <c r="A83" s="21"/>
      <c r="B83" s="10" t="s">
        <v>92</v>
      </c>
      <c r="C83" s="24">
        <v>1117.4437</v>
      </c>
      <c r="D83" s="24">
        <v>1120.5938000000001</v>
      </c>
      <c r="E83" s="21"/>
      <c r="F83" s="18"/>
      <c r="G83" s="25"/>
    </row>
    <row r="84" spans="1:7" ht="29.1" customHeight="1" x14ac:dyDescent="0.2">
      <c r="A84" s="21"/>
      <c r="B84" s="10" t="s">
        <v>469</v>
      </c>
      <c r="C84" s="24">
        <v>1000.03</v>
      </c>
      <c r="D84" s="24">
        <v>1000.03</v>
      </c>
      <c r="E84" s="21"/>
      <c r="F84" s="18"/>
      <c r="G84" s="25"/>
    </row>
    <row r="85" spans="1:7" ht="29.1" customHeight="1" x14ac:dyDescent="0.2">
      <c r="A85" s="21"/>
      <c r="B85" s="10" t="s">
        <v>456</v>
      </c>
      <c r="C85" s="24">
        <v>1048.6733999999999</v>
      </c>
      <c r="D85" s="24">
        <v>1048.4961000000001</v>
      </c>
      <c r="E85" s="21"/>
      <c r="F85" s="18"/>
      <c r="G85" s="25"/>
    </row>
    <row r="86" spans="1:7" ht="29.1" customHeight="1" x14ac:dyDescent="0.2">
      <c r="A86" s="21"/>
      <c r="B86" s="10" t="s">
        <v>457</v>
      </c>
      <c r="C86" s="24">
        <v>1063.9258</v>
      </c>
      <c r="D86" s="24">
        <v>1063.7425000000001</v>
      </c>
      <c r="E86" s="21"/>
      <c r="F86" s="18"/>
      <c r="G86" s="25"/>
    </row>
    <row r="87" spans="1:7" ht="29.1" customHeight="1" x14ac:dyDescent="0.2">
      <c r="A87" s="21"/>
      <c r="B87" s="10" t="s">
        <v>458</v>
      </c>
      <c r="C87" s="24">
        <v>1043.5304000000001</v>
      </c>
      <c r="D87" s="24">
        <v>1043.6775</v>
      </c>
      <c r="E87" s="21"/>
      <c r="F87" s="18"/>
      <c r="G87" s="25"/>
    </row>
    <row r="88" spans="1:7" ht="17.100000000000001" customHeight="1" x14ac:dyDescent="0.2">
      <c r="A88" s="21"/>
      <c r="B88" s="10" t="s">
        <v>93</v>
      </c>
      <c r="C88" s="24">
        <v>1114.2405000000001</v>
      </c>
      <c r="D88" s="24">
        <v>1117.2742000000001</v>
      </c>
      <c r="E88" s="21"/>
      <c r="F88" s="18"/>
      <c r="G88" s="25"/>
    </row>
    <row r="89" spans="1:7" ht="29.1" customHeight="1" x14ac:dyDescent="0.2">
      <c r="A89" s="21"/>
      <c r="B89" s="10" t="s">
        <v>471</v>
      </c>
      <c r="C89" s="24">
        <v>1000.03</v>
      </c>
      <c r="D89" s="24">
        <v>1000.03</v>
      </c>
      <c r="E89" s="21"/>
      <c r="F89" s="18"/>
      <c r="G89" s="25"/>
    </row>
    <row r="90" spans="1:7" ht="29.1" customHeight="1" x14ac:dyDescent="0.2">
      <c r="A90" s="21"/>
      <c r="B90" s="10" t="s">
        <v>462</v>
      </c>
      <c r="C90" s="24">
        <v>1047.5361</v>
      </c>
      <c r="D90" s="24">
        <v>1047.4102</v>
      </c>
      <c r="E90" s="21"/>
      <c r="F90" s="18"/>
      <c r="G90" s="25"/>
    </row>
    <row r="91" spans="1:7" ht="29.1" customHeight="1" x14ac:dyDescent="0.2">
      <c r="A91" s="21"/>
      <c r="B91" s="10" t="s">
        <v>463</v>
      </c>
      <c r="C91" s="24">
        <v>1065.3542</v>
      </c>
      <c r="D91" s="24">
        <v>1065.1777999999999</v>
      </c>
      <c r="E91" s="21"/>
      <c r="F91" s="18"/>
      <c r="G91" s="25"/>
    </row>
    <row r="92" spans="1:7" ht="29.1" customHeight="1" x14ac:dyDescent="0.2">
      <c r="A92" s="21"/>
      <c r="B92" s="10" t="s">
        <v>464</v>
      </c>
      <c r="C92" s="24">
        <v>1039.8063999999999</v>
      </c>
      <c r="D92" s="24">
        <v>1039.9437</v>
      </c>
      <c r="E92" s="21"/>
      <c r="F92" s="18"/>
      <c r="G92" s="25"/>
    </row>
    <row r="93" spans="1:7" ht="14.1" customHeight="1" x14ac:dyDescent="0.2">
      <c r="A93" s="21"/>
      <c r="B93" s="21"/>
      <c r="C93" s="21"/>
      <c r="D93" s="21"/>
      <c r="E93" s="21"/>
      <c r="F93" s="21"/>
      <c r="G93" s="21"/>
    </row>
    <row r="94" spans="1:7" ht="17.100000000000001" customHeight="1" x14ac:dyDescent="0.2">
      <c r="A94" s="21"/>
      <c r="B94" s="149" t="s">
        <v>468</v>
      </c>
      <c r="C94" s="150"/>
      <c r="D94" s="2" t="s">
        <v>11</v>
      </c>
      <c r="E94" s="21"/>
      <c r="F94" s="21"/>
      <c r="G94" s="21"/>
    </row>
    <row r="95" spans="1:7" ht="18" customHeight="1" x14ac:dyDescent="0.2">
      <c r="A95" s="21"/>
      <c r="B95" s="26" t="s">
        <v>89</v>
      </c>
      <c r="C95" s="27" t="s">
        <v>95</v>
      </c>
      <c r="D95" s="27" t="s">
        <v>96</v>
      </c>
      <c r="E95" s="21"/>
      <c r="F95" s="21"/>
      <c r="G95" s="21"/>
    </row>
    <row r="96" spans="1:7" ht="29.1" customHeight="1" x14ac:dyDescent="0.2">
      <c r="A96" s="21"/>
      <c r="B96" s="10" t="s">
        <v>469</v>
      </c>
      <c r="C96" s="28">
        <v>2.7981669999999998</v>
      </c>
      <c r="D96" s="14" t="s">
        <v>97</v>
      </c>
      <c r="E96" s="21"/>
      <c r="F96" s="18"/>
      <c r="G96" s="25"/>
    </row>
    <row r="97" spans="1:15" ht="29.1" customHeight="1" x14ac:dyDescent="0.2">
      <c r="A97" s="21"/>
      <c r="B97" s="10" t="s">
        <v>456</v>
      </c>
      <c r="C97" s="28">
        <v>3.1324000000000001</v>
      </c>
      <c r="D97" s="14" t="s">
        <v>97</v>
      </c>
      <c r="E97" s="21"/>
      <c r="F97" s="18"/>
      <c r="G97" s="25"/>
    </row>
    <row r="98" spans="1:15" ht="29.1" customHeight="1" x14ac:dyDescent="0.2">
      <c r="A98" s="21"/>
      <c r="B98" s="10" t="s">
        <v>457</v>
      </c>
      <c r="C98" s="28">
        <v>3.1802000000000001</v>
      </c>
      <c r="D98" s="14" t="s">
        <v>97</v>
      </c>
      <c r="E98" s="21"/>
      <c r="F98" s="18"/>
      <c r="G98" s="25"/>
    </row>
    <row r="99" spans="1:15" ht="29.1" customHeight="1" x14ac:dyDescent="0.2">
      <c r="A99" s="21"/>
      <c r="B99" s="10" t="s">
        <v>458</v>
      </c>
      <c r="C99" s="28">
        <v>2.7934000000000001</v>
      </c>
      <c r="D99" s="14" t="s">
        <v>97</v>
      </c>
      <c r="E99" s="21"/>
      <c r="F99" s="18"/>
      <c r="G99" s="25"/>
    </row>
    <row r="100" spans="1:15" ht="29.1" customHeight="1" x14ac:dyDescent="0.2">
      <c r="A100" s="21"/>
      <c r="B100" s="10" t="s">
        <v>471</v>
      </c>
      <c r="C100" s="28">
        <v>2.7188310000000002</v>
      </c>
      <c r="D100" s="14" t="s">
        <v>97</v>
      </c>
      <c r="E100" s="21"/>
      <c r="F100" s="18"/>
      <c r="G100" s="25"/>
    </row>
    <row r="101" spans="1:15" ht="29.1" customHeight="1" x14ac:dyDescent="0.2">
      <c r="A101" s="21"/>
      <c r="B101" s="10" t="s">
        <v>462</v>
      </c>
      <c r="C101" s="28">
        <v>2.9723999999999999</v>
      </c>
      <c r="D101" s="14" t="s">
        <v>97</v>
      </c>
      <c r="E101" s="21"/>
      <c r="F101" s="18"/>
      <c r="G101" s="25"/>
    </row>
    <row r="102" spans="1:15" ht="29.1" customHeight="1" x14ac:dyDescent="0.2">
      <c r="A102" s="21"/>
      <c r="B102" s="10" t="s">
        <v>463</v>
      </c>
      <c r="C102" s="28">
        <v>3.0512999999999999</v>
      </c>
      <c r="D102" s="14" t="s">
        <v>97</v>
      </c>
      <c r="E102" s="21"/>
      <c r="F102" s="18"/>
      <c r="G102" s="25"/>
    </row>
    <row r="103" spans="1:15" ht="29.1" customHeight="1" x14ac:dyDescent="0.2">
      <c r="A103" s="21"/>
      <c r="B103" s="10" t="s">
        <v>464</v>
      </c>
      <c r="C103" s="28">
        <v>2.6911999999999998</v>
      </c>
      <c r="D103" s="14" t="s">
        <v>97</v>
      </c>
      <c r="E103" s="21"/>
      <c r="F103" s="18"/>
      <c r="G103" s="25"/>
    </row>
    <row r="104" spans="1:15" ht="14.1" customHeight="1" x14ac:dyDescent="0.2">
      <c r="A104" s="21"/>
      <c r="B104" s="29"/>
      <c r="C104" s="29"/>
      <c r="D104" s="30"/>
      <c r="E104" s="21"/>
      <c r="F104" s="18"/>
      <c r="G104" s="25"/>
      <c r="I104"/>
      <c r="J104"/>
      <c r="K104"/>
      <c r="L104"/>
      <c r="M104"/>
      <c r="N104"/>
      <c r="O104"/>
    </row>
    <row r="105" spans="1:15" x14ac:dyDescent="0.2">
      <c r="A105" s="55"/>
      <c r="B105" s="153" t="s">
        <v>479</v>
      </c>
      <c r="C105" s="153"/>
      <c r="D105" s="153"/>
      <c r="E105" s="153"/>
      <c r="F105" s="153"/>
      <c r="G105" s="55"/>
    </row>
    <row r="106" spans="1:15" ht="14.1" customHeight="1" x14ac:dyDescent="0.2">
      <c r="A106" s="21"/>
      <c r="B106" s="18"/>
      <c r="C106" s="18"/>
      <c r="D106" s="21"/>
      <c r="E106" s="21"/>
      <c r="F106" s="21"/>
      <c r="G106" s="21"/>
    </row>
    <row r="107" spans="1:15" ht="29.1" customHeight="1" x14ac:dyDescent="0.2">
      <c r="A107" s="21"/>
      <c r="B107" s="149" t="s">
        <v>98</v>
      </c>
      <c r="C107" s="150"/>
      <c r="D107" s="2" t="s">
        <v>84</v>
      </c>
      <c r="E107" s="31"/>
      <c r="F107" s="21"/>
      <c r="G107" s="21"/>
    </row>
    <row r="108" spans="1:15" ht="29.1" customHeight="1" x14ac:dyDescent="0.2">
      <c r="A108" s="21"/>
      <c r="B108" s="149" t="s">
        <v>99</v>
      </c>
      <c r="C108" s="150"/>
      <c r="D108" s="2" t="s">
        <v>84</v>
      </c>
      <c r="E108" s="31"/>
      <c r="F108" s="21"/>
      <c r="G108" s="21"/>
    </row>
    <row r="109" spans="1:15" ht="17.100000000000001" customHeight="1" x14ac:dyDescent="0.2">
      <c r="A109" s="21"/>
      <c r="B109" s="149" t="s">
        <v>100</v>
      </c>
      <c r="C109" s="150"/>
      <c r="D109" s="32">
        <v>0</v>
      </c>
      <c r="E109" s="31"/>
      <c r="F109" s="21"/>
      <c r="G109" s="21"/>
    </row>
    <row r="110" spans="1:15" ht="17.100000000000001" customHeight="1" x14ac:dyDescent="0.2">
      <c r="A110" s="21"/>
      <c r="B110" s="149" t="s">
        <v>101</v>
      </c>
      <c r="C110" s="150"/>
      <c r="D110" s="32">
        <v>0</v>
      </c>
      <c r="E110" s="31"/>
      <c r="F110" s="21"/>
      <c r="G110" s="21"/>
    </row>
    <row r="111" spans="1:15" ht="17.100000000000001" customHeight="1" x14ac:dyDescent="0.2">
      <c r="A111" s="21"/>
      <c r="B111" s="149" t="s">
        <v>102</v>
      </c>
      <c r="C111" s="150"/>
      <c r="D111" s="2" t="s">
        <v>84</v>
      </c>
      <c r="E111" s="31"/>
      <c r="F111" s="21"/>
      <c r="G111" s="21"/>
    </row>
    <row r="112" spans="1:15" ht="14.1" customHeight="1" x14ac:dyDescent="0.2">
      <c r="A112" s="21"/>
      <c r="B112" s="151"/>
      <c r="C112" s="151"/>
      <c r="D112" s="30"/>
      <c r="E112" s="21"/>
      <c r="F112" s="18"/>
      <c r="G112" s="25"/>
    </row>
  </sheetData>
  <mergeCells count="19">
    <mergeCell ref="B112:C112"/>
    <mergeCell ref="A1:H1"/>
    <mergeCell ref="A2:H2"/>
    <mergeCell ref="A3:H3"/>
    <mergeCell ref="B105:F105"/>
    <mergeCell ref="B107:C107"/>
    <mergeCell ref="B73:F73"/>
    <mergeCell ref="B74:F74"/>
    <mergeCell ref="B75:F75"/>
    <mergeCell ref="B77:D77"/>
    <mergeCell ref="B78:C78"/>
    <mergeCell ref="B79:C79"/>
    <mergeCell ref="B80:C80"/>
    <mergeCell ref="B94:C94"/>
    <mergeCell ref="J2:N2"/>
    <mergeCell ref="B108:C108"/>
    <mergeCell ref="B109:C109"/>
    <mergeCell ref="B110:C110"/>
    <mergeCell ref="B111:C111"/>
  </mergeCells>
  <pageMargins left="5.000000074505806E-2" right="5.000000074505806E-2" top="0.30000001192092896" bottom="0.20000000298023224" header="0" footer="0"/>
  <pageSetup paperSize="9"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Index</vt:lpstr>
      <vt:lpstr>SFRLTP</vt:lpstr>
      <vt:lpstr>SFRSTP</vt:lpstr>
      <vt:lpstr>SFTPIS</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Venkat Raman R - Sundaram Mutual</cp:lastModifiedBy>
  <dcterms:created xsi:type="dcterms:W3CDTF">2022-01-01T03:00:20Z</dcterms:created>
  <dcterms:modified xsi:type="dcterms:W3CDTF">2022-01-19T12:01:44Z</dcterms:modified>
</cp:coreProperties>
</file>