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202300"/>
  <mc:AlternateContent xmlns:mc="http://schemas.openxmlformats.org/markup-compatibility/2006">
    <mc:Choice Requires="x15">
      <x15ac:absPath xmlns:x15ac="http://schemas.microsoft.com/office/spreadsheetml/2010/11/ac" url="C:\Users\swapna\AppData\Local\Microsoft\Windows\INetCache\Content.Outlook\JQ23XPK4\"/>
    </mc:Choice>
  </mc:AlternateContent>
  <xr:revisionPtr revIDLastSave="0" documentId="13_ncr:1_{97F2A8F7-2581-4C72-88CE-C977063F3864}" xr6:coauthVersionLast="47" xr6:coauthVersionMax="47" xr10:uidLastSave="{00000000-0000-0000-0000-000000000000}"/>
  <bookViews>
    <workbookView xWindow="-120" yWindow="-120" windowWidth="29040" windowHeight="15840" tabRatio="739" xr2:uid="{19637B13-5430-45FE-89D6-4CE9143C01A9}"/>
  </bookViews>
  <sheets>
    <sheet name="Index" sheetId="12" r:id="rId1"/>
    <sheet name="SFRLTP" sheetId="1" r:id="rId2"/>
    <sheet name="SFRSTP" sheetId="2" r:id="rId3"/>
    <sheet name="SMMF" sheetId="3" r:id="rId4"/>
    <sheet name="SPLDF" sheetId="4" r:id="rId5"/>
    <sheet name="SPMON" sheetId="5" r:id="rId6"/>
    <sheet name="SPSDF" sheetId="6" r:id="rId7"/>
    <sheet name="SPUSDF" sheetId="7" r:id="rId8"/>
    <sheet name="SUNBDS" sheetId="8" r:id="rId9"/>
    <sheet name="SUNMIA" sheetId="9" r:id="rId10"/>
    <sheet name="SUNONF" sheetId="10"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58" i="4" l="1"/>
  <c r="I159" i="4"/>
  <c r="I160" i="4"/>
  <c r="G74" i="10"/>
  <c r="G73" i="10"/>
  <c r="F74" i="10"/>
  <c r="F73" i="10"/>
  <c r="G99" i="9"/>
  <c r="F99" i="9"/>
  <c r="F81" i="8"/>
  <c r="F82" i="8" s="1"/>
  <c r="G81" i="8" s="1"/>
  <c r="G82" i="8" s="1"/>
  <c r="F135" i="7"/>
  <c r="G98" i="6"/>
  <c r="G97" i="6"/>
  <c r="F98" i="6"/>
  <c r="F97" i="6"/>
  <c r="G144" i="5"/>
  <c r="G145" i="5" s="1"/>
  <c r="F145" i="5"/>
  <c r="F144" i="5"/>
  <c r="F102" i="4"/>
  <c r="F103" i="4" s="1"/>
  <c r="G96" i="2"/>
  <c r="G95" i="2"/>
  <c r="F96" i="2"/>
  <c r="F95" i="2"/>
  <c r="G102" i="4" l="1"/>
  <c r="G103" i="4" s="1"/>
  <c r="J145" i="9" l="1"/>
  <c r="F30" i="9"/>
  <c r="F48" i="9" s="1"/>
  <c r="G13" i="9"/>
  <c r="G30" i="9" s="1"/>
  <c r="G48" i="9" s="1"/>
  <c r="G116" i="8"/>
  <c r="F133" i="7"/>
  <c r="I158" i="6"/>
  <c r="J158" i="6" s="1"/>
  <c r="I157" i="6"/>
  <c r="J157" i="6" s="1"/>
  <c r="I156" i="6"/>
  <c r="J156" i="6" s="1"/>
  <c r="G156" i="6"/>
  <c r="I155" i="6"/>
  <c r="J155" i="6" s="1"/>
  <c r="J160" i="4"/>
  <c r="J159" i="4"/>
  <c r="J158" i="4"/>
  <c r="G89" i="9"/>
  <c r="F89" i="9"/>
  <c r="G123" i="7"/>
  <c r="F123" i="7"/>
  <c r="F136" i="7" l="1"/>
  <c r="G135" i="7" l="1"/>
  <c r="G136" i="7" s="1"/>
  <c r="H167" i="7"/>
</calcChain>
</file>

<file path=xl/sharedStrings.xml><?xml version="1.0" encoding="utf-8"?>
<sst xmlns="http://schemas.openxmlformats.org/spreadsheetml/2006/main" count="3225" uniqueCount="687">
  <si>
    <t>SUNDARAM MUTUAL FUND</t>
  </si>
  <si>
    <t>Sundaram Corporate Bond Fund</t>
  </si>
  <si>
    <t>SL No</t>
  </si>
  <si>
    <t>ISIN Code</t>
  </si>
  <si>
    <t>Name of the instrument</t>
  </si>
  <si>
    <t>Rating / 
Industry</t>
  </si>
  <si>
    <t>Quantity</t>
  </si>
  <si>
    <t>Mkt Value
Rs. in Lacs</t>
  </si>
  <si>
    <t>% of Net Asset</t>
  </si>
  <si>
    <t>A) Equity &amp; Equity Related</t>
  </si>
  <si>
    <t>(a) Listed / awaiting listing on Stock Exchange</t>
  </si>
  <si>
    <t>Sub Total</t>
  </si>
  <si>
    <t/>
  </si>
  <si>
    <t xml:space="preserve">0 </t>
  </si>
  <si>
    <t>(b) Overseas Security</t>
  </si>
  <si>
    <t>(c) Privately Placed / Unlisted</t>
  </si>
  <si>
    <t>(d) Preference / Right Shares</t>
  </si>
  <si>
    <t>(e) Warrants</t>
  </si>
  <si>
    <t>f) Derivative</t>
  </si>
  <si>
    <t>Total for Equity &amp; Equity Related</t>
  </si>
  <si>
    <t>B) Debt Instruments</t>
  </si>
  <si>
    <t>INE556F08KL3</t>
  </si>
  <si>
    <t>Small Industries Development Bank of India - 7.83% - 24/11/2028**</t>
  </si>
  <si>
    <t>CRISIL AAA</t>
  </si>
  <si>
    <t>INE053F08411</t>
  </si>
  <si>
    <t>Indian Railway Finance Corporation Ltd - 7.37% - 31/07/2029**</t>
  </si>
  <si>
    <t>INE557F08FR8</t>
  </si>
  <si>
    <t>National Housing Bank - 7.22% - 23/07/2026</t>
  </si>
  <si>
    <t>INE115A07QJ2</t>
  </si>
  <si>
    <t>LIC Housing Finance Ltd - 7.7% - 16/05/2028**</t>
  </si>
  <si>
    <t>INE040A08930</t>
  </si>
  <si>
    <t>HDFC Bank Ltd (Prev HDFC Ltd) - 7.65% - 25/05/2033</t>
  </si>
  <si>
    <t>INE261F08EJ7</t>
  </si>
  <si>
    <t>National Bank for Agriculture &amp; Rural Development - 7.64% - 06/12/2029**</t>
  </si>
  <si>
    <t>ICRA AAA</t>
  </si>
  <si>
    <t>INE261F08EH1</t>
  </si>
  <si>
    <t>National Bank for Agriculture &amp; Rural Development - 7.62% - 10/05/2029**</t>
  </si>
  <si>
    <t>INE020B08EK4</t>
  </si>
  <si>
    <t>REC LTD - 7.46% - 30/06/2028**</t>
  </si>
  <si>
    <t>INE134E08NB7</t>
  </si>
  <si>
    <t>Power Finance Corporation Ltd - 7.32% - 15/07/2039**</t>
  </si>
  <si>
    <t>INE020B08EL2</t>
  </si>
  <si>
    <t>REC LTD - 7.44% - 30/04/2026**</t>
  </si>
  <si>
    <t>INE053F08304</t>
  </si>
  <si>
    <t>Indian Railway Finance Corporation Ltd - 7.23% - 15/10/2026**</t>
  </si>
  <si>
    <t>INE296A07SV1</t>
  </si>
  <si>
    <t>Bajaj Finance Ltd - 7.82% - 31/01/2034**</t>
  </si>
  <si>
    <t>INE134E08MX3</t>
  </si>
  <si>
    <t>Power Finance Corporation Ltd - 7.6% - 13/04/2029**</t>
  </si>
  <si>
    <t>INE242A08544</t>
  </si>
  <si>
    <t>Indian Oil Corporation Ltd - 7.44% - 25/11/2027**</t>
  </si>
  <si>
    <t>INE557F08FS6</t>
  </si>
  <si>
    <t>National Housing Bank - 7.4% - 16/07/2026</t>
  </si>
  <si>
    <t>INE040A08666</t>
  </si>
  <si>
    <t>HDFC Bank Ltd (Prev HDFC Ltd) - 7.8% - 03/05/2033**</t>
  </si>
  <si>
    <t>INE020B08EP3</t>
  </si>
  <si>
    <t>REC LTD - 7.77% - 30/09/2026**</t>
  </si>
  <si>
    <t>INE261F08DX0</t>
  </si>
  <si>
    <t>National Bank for Agriculture &amp; Rural Development - 7.58% - 31/07/2026**</t>
  </si>
  <si>
    <t>INE115A07MW4</t>
  </si>
  <si>
    <t>LIC Housing Finance Ltd - 7.95% - 29/01/2028**</t>
  </si>
  <si>
    <t>INE041007100</t>
  </si>
  <si>
    <t>Embassy Office Parks REIT - 7.77% - 05/06/2025**</t>
  </si>
  <si>
    <t>INE556F08KH1</t>
  </si>
  <si>
    <t>Small Industries Development Bank of India - 7.43% - 31/08/2026**</t>
  </si>
  <si>
    <t>INE296A07SU3</t>
  </si>
  <si>
    <t>Bajaj Finance Ltd - 7.87% - 08/02/2034**</t>
  </si>
  <si>
    <t>INE556F08KP4</t>
  </si>
  <si>
    <t>Small Industries Development Bank of India - 7.68% - 10/08/2027**</t>
  </si>
  <si>
    <t>INE134E08IO0</t>
  </si>
  <si>
    <t>Power Finance Corporation Ltd - 7.23% - 05/01/2027**</t>
  </si>
  <si>
    <t>(b) Privately Placed / Unlisted</t>
  </si>
  <si>
    <t>(c) Govt Security</t>
  </si>
  <si>
    <t>IN0020240019</t>
  </si>
  <si>
    <t>7.10% Central Government Securities 08/04/2034</t>
  </si>
  <si>
    <t>Sovereign</t>
  </si>
  <si>
    <t>IN0020230135</t>
  </si>
  <si>
    <t>7.32% Government Securities-13/11/2030</t>
  </si>
  <si>
    <t>IN0020240035</t>
  </si>
  <si>
    <t>7.34% Central Government Securities 22/04/2064</t>
  </si>
  <si>
    <t>IN0020230051</t>
  </si>
  <si>
    <t>7.30% Government Securities - 19/06/2053</t>
  </si>
  <si>
    <t>IN3120240400</t>
  </si>
  <si>
    <t>6.96% Tamil Nadu State Government Securities - 04/12/2028</t>
  </si>
  <si>
    <t>IN0020230101</t>
  </si>
  <si>
    <t>7.37% Government Securities-23/10/2028</t>
  </si>
  <si>
    <t>IN0020230077</t>
  </si>
  <si>
    <t>7.18%  Government Securities - 24/07/2037</t>
  </si>
  <si>
    <t>(d) Securitized Debt Instruments</t>
  </si>
  <si>
    <t>Total for Debt Instruments</t>
  </si>
  <si>
    <t>C) Money Market Instruments</t>
  </si>
  <si>
    <t>(a) Certificate of Deposits</t>
  </si>
  <si>
    <t>(b) Commercial Papers</t>
  </si>
  <si>
    <t>(c) Treasury Bills</t>
  </si>
  <si>
    <t>(d) ReverseRepo / TREPS</t>
  </si>
  <si>
    <t>TREPS</t>
  </si>
  <si>
    <t>Total for Money Market Instruments</t>
  </si>
  <si>
    <t>D) Mutual Fund Units</t>
  </si>
  <si>
    <t>(a) Investment in Mutual Fund Units</t>
  </si>
  <si>
    <t>INF0RQ622028</t>
  </si>
  <si>
    <t>Corporate Debt Market Development Fund - Class A2</t>
  </si>
  <si>
    <t>E) Others</t>
  </si>
  <si>
    <t>(a) Deposits with Commercial Banks</t>
  </si>
  <si>
    <t>(b) Share Application Money pending Allotment</t>
  </si>
  <si>
    <t>Cash and Other Net Current Assets^</t>
  </si>
  <si>
    <t>Grand Total</t>
  </si>
  <si>
    <t>Notes</t>
  </si>
  <si>
    <t>a) Total securities classified as below investment grade or default provided for and its percentage to NAV</t>
  </si>
  <si>
    <t>Nil</t>
  </si>
  <si>
    <t>b) Total value and percentage of illiquid equity shares</t>
  </si>
  <si>
    <t>c) NAV  per  unit (Rupees per unit)</t>
  </si>
  <si>
    <t>At the end</t>
  </si>
  <si>
    <t>Option</t>
  </si>
  <si>
    <t>Direct Plan - Growth</t>
  </si>
  <si>
    <t>Regular Plan - Growth</t>
  </si>
  <si>
    <t>Individual &amp; HUF</t>
  </si>
  <si>
    <t>Others</t>
  </si>
  <si>
    <t>-</t>
  </si>
  <si>
    <t>e) Total outstanding exposure in derivative instruments at the end of the period</t>
  </si>
  <si>
    <t>f) Total investments in foreign securities /ADR'S/GDR'S at the end of the period</t>
  </si>
  <si>
    <t>Sundaram Banking &amp; PSU Fund</t>
  </si>
  <si>
    <t>INE020B08EA5</t>
  </si>
  <si>
    <t>REC LTD - 7.55% - 31/03/2028**</t>
  </si>
  <si>
    <t>INE040A08955</t>
  </si>
  <si>
    <t>HDFC Bank Ltd - 7.7% - 16/05/2028**</t>
  </si>
  <si>
    <t>INE557F08FY4</t>
  </si>
  <si>
    <t>National Housing Bank - 7.59% - 14/07/2027**</t>
  </si>
  <si>
    <t>INE556F08KF5</t>
  </si>
  <si>
    <t>Small Industries Development Bank of India - 7.54% - 12/01/2026**</t>
  </si>
  <si>
    <t>INE134E08LK2</t>
  </si>
  <si>
    <t>Power Finance Corporation Ltd - 6.09% - 27/08/2026</t>
  </si>
  <si>
    <t>INE514E08GE8</t>
  </si>
  <si>
    <t>Export Import Bank of India - 7.35% - 27/07/2028**</t>
  </si>
  <si>
    <t>INE752E08734</t>
  </si>
  <si>
    <t>Power Grid Corporation of India Ltd - 7.35% - 12/03/2034**</t>
  </si>
  <si>
    <t>INE0KUG08035</t>
  </si>
  <si>
    <t>National Bank for Financing Infrastructure and Development - 7.43% - 04/07/2034**</t>
  </si>
  <si>
    <t>INE053F08338</t>
  </si>
  <si>
    <t>Indian Railway Finance Corporation Ltd - 7.68% - 24/11/2026**</t>
  </si>
  <si>
    <t>IN0020240027</t>
  </si>
  <si>
    <t>7.23% Central Government Securities 15/04/2039</t>
  </si>
  <si>
    <t>Direct Plan - Bonus</t>
  </si>
  <si>
    <t>Regular Plan - Bonus</t>
  </si>
  <si>
    <t>Sundaram Money Market Fund</t>
  </si>
  <si>
    <t>INE084A16CN3</t>
  </si>
  <si>
    <t>Bank of India - 03/03/2025**</t>
  </si>
  <si>
    <t>CRISIL A1+</t>
  </si>
  <si>
    <t>INE028A16GG5</t>
  </si>
  <si>
    <t>Bank of Baroda - 03/03/2025**</t>
  </si>
  <si>
    <t>IND A1+</t>
  </si>
  <si>
    <t>INE237A165W2</t>
  </si>
  <si>
    <t>Kotak Mahindra Bank Ltd - 05/03/2025</t>
  </si>
  <si>
    <t>INE562A16MT4</t>
  </si>
  <si>
    <t>Indian Bank - 10/03/2025**</t>
  </si>
  <si>
    <t>INE160A16RD0</t>
  </si>
  <si>
    <t>INE261F16967</t>
  </si>
  <si>
    <t>National Bank for Agriculture &amp; Rural Development - 27/02/2026**</t>
  </si>
  <si>
    <t>INE556F16BB6</t>
  </si>
  <si>
    <t>Small Industries Development Bank of India - 27/02/2026</t>
  </si>
  <si>
    <t>INE949L16CY1</t>
  </si>
  <si>
    <t>AU Small Finance Bank Ltd - 28/10/2025**</t>
  </si>
  <si>
    <t>INE171A16MK3</t>
  </si>
  <si>
    <t>The Federal Bank Ltd - 25/11/2025**</t>
  </si>
  <si>
    <t>INE084A16CS2</t>
  </si>
  <si>
    <t>Bank of India - 28/11/2025**</t>
  </si>
  <si>
    <t>INE040A16FY5</t>
  </si>
  <si>
    <t>HDFC Bank Ltd - 04/12/2025</t>
  </si>
  <si>
    <t>INE556F16AX2</t>
  </si>
  <si>
    <t>Small Industries Development Bank of India - 05/12/2025**</t>
  </si>
  <si>
    <t>INE095A16X85</t>
  </si>
  <si>
    <t>IndusInd Bank Ltd - 05/12/2025**</t>
  </si>
  <si>
    <t>INE476A16A24</t>
  </si>
  <si>
    <t>Canara Bank - 03/02/2026**</t>
  </si>
  <si>
    <t>INE562A16OA0</t>
  </si>
  <si>
    <t>Indian Bank - 04/02/2026**</t>
  </si>
  <si>
    <t>INE261F16934</t>
  </si>
  <si>
    <t>National Bank for Agriculture &amp; Rural Development - 05/02/2026**</t>
  </si>
  <si>
    <t>INE237A165Z5</t>
  </si>
  <si>
    <t>Kotak Mahindra Bank Ltd - 18/02/2026**</t>
  </si>
  <si>
    <t>INE261F16959</t>
  </si>
  <si>
    <t>National Bank for Agriculture &amp; Rural Development - 17/02/2026**</t>
  </si>
  <si>
    <t>INE237A166Z3</t>
  </si>
  <si>
    <t>Kotak Mahindra Bank Ltd - 27/02/2026**</t>
  </si>
  <si>
    <t>INE008A16X99</t>
  </si>
  <si>
    <t>IDBI Bank Ltd - 23/02/2026**</t>
  </si>
  <si>
    <t>INE092T16XX1</t>
  </si>
  <si>
    <t>IDFC First Bank Ltd - 23/01/2026**</t>
  </si>
  <si>
    <t>INE476A16A65</t>
  </si>
  <si>
    <t>Canara Bank - 24/02/2026**</t>
  </si>
  <si>
    <t>INE01GA16228</t>
  </si>
  <si>
    <t>DBS Bank India Ltd - 07/03/2025**</t>
  </si>
  <si>
    <t>INE095A16X69</t>
  </si>
  <si>
    <t>IndusInd Bank Ltd - 21/11/2025**</t>
  </si>
  <si>
    <t>INE090AD6170</t>
  </si>
  <si>
    <t>ICICI Bank Ltd - 25/07/2025</t>
  </si>
  <si>
    <t>ICRA A1+</t>
  </si>
  <si>
    <t>INE028A16GP6</t>
  </si>
  <si>
    <t>Bank of Baroda - 05/05/2025**</t>
  </si>
  <si>
    <t>INE238AD6835</t>
  </si>
  <si>
    <t>Axis Bank Ltd - 06/06/2025**</t>
  </si>
  <si>
    <t>INE040A16FA5</t>
  </si>
  <si>
    <t>HDFC Bank Ltd - 24/06/2025**</t>
  </si>
  <si>
    <t>INE514E14SK8</t>
  </si>
  <si>
    <t>Export Import Bank of India - 04/03/2025**</t>
  </si>
  <si>
    <t>INE763G14XJ8</t>
  </si>
  <si>
    <t>INE403D14544</t>
  </si>
  <si>
    <t>Bharti Telecom Ltd - 17/10/2025**</t>
  </si>
  <si>
    <t>INE115A14FJ1</t>
  </si>
  <si>
    <t>LIC Housing Finance Ltd - 18/02/2026**</t>
  </si>
  <si>
    <t>INE338I14JI6</t>
  </si>
  <si>
    <t>Motilal Oswal Financial Services Ltd - 25/02/2026**</t>
  </si>
  <si>
    <t>INE824H14QT9</t>
  </si>
  <si>
    <t>Julius Baer Capital (India) Private Ltd - 17/06/2025**</t>
  </si>
  <si>
    <t>INE572E14JM1</t>
  </si>
  <si>
    <t>PNB Housing Finance Ltd - 25/09/2025**</t>
  </si>
  <si>
    <t>INE115A14EX5</t>
  </si>
  <si>
    <t>LIC Housing Finance Ltd - 21/03/2025**</t>
  </si>
  <si>
    <t>IN002024Z461</t>
  </si>
  <si>
    <t>364 Days - T Bill - 27/02/2026</t>
  </si>
  <si>
    <t>IN002024Y290</t>
  </si>
  <si>
    <t>182 Days - T Bill - 01/05/2025</t>
  </si>
  <si>
    <t>IN002024Z453</t>
  </si>
  <si>
    <t>364 Days - T Bill - 20/02/2026</t>
  </si>
  <si>
    <t>IN002024Y332</t>
  </si>
  <si>
    <t>182 Days - T Bill - 29/05/2025</t>
  </si>
  <si>
    <t>Sundaram Low Duration Fund</t>
  </si>
  <si>
    <t>INE477A07373</t>
  </si>
  <si>
    <t>Can Fin Homes Ltd - 8.45% - 27/05/2026**</t>
  </si>
  <si>
    <t>IND AA+</t>
  </si>
  <si>
    <t>INE721A07SB0</t>
  </si>
  <si>
    <t>Shriram Finance Ltd - 9.2% - 22/05/2026</t>
  </si>
  <si>
    <t>CRISIL AA+</t>
  </si>
  <si>
    <t>INE020B08ED9</t>
  </si>
  <si>
    <t>REC LTD - 7.56% - 30/06/2026**</t>
  </si>
  <si>
    <t>INE403D08181</t>
  </si>
  <si>
    <t>Bharti Telecom Ltd - 8.9% - 04/12/2025**</t>
  </si>
  <si>
    <t>INE572E07183</t>
  </si>
  <si>
    <t>PNB Housing Finance Ltd - 8.15% - 29/07/2027**</t>
  </si>
  <si>
    <t>INE020B08EM0</t>
  </si>
  <si>
    <t>REC LTD - 7.64% - 30/06/2026</t>
  </si>
  <si>
    <t>INE414G07HI7</t>
  </si>
  <si>
    <t>Muthoot Finance Ltd - 8.3% - 06/01/2026**</t>
  </si>
  <si>
    <t>INE523H07CB9</t>
  </si>
  <si>
    <t>JM Financial Products Ltd - 8.92% - 16/11/2026**</t>
  </si>
  <si>
    <t>CRISIL AA</t>
  </si>
  <si>
    <t>INE261F08DP6</t>
  </si>
  <si>
    <t>National Bank for Agriculture &amp; Rural Development - 7.35% - 08/07/2025**</t>
  </si>
  <si>
    <t>INE233A08121</t>
  </si>
  <si>
    <t>Godrej Industries Ltd - 8.36% - 28/08/2026**</t>
  </si>
  <si>
    <t>INE721A07RU2</t>
  </si>
  <si>
    <t>Shriram Finance Ltd - 9.25% - 19/12/2025**</t>
  </si>
  <si>
    <t>INE121A07QT9</t>
  </si>
  <si>
    <t>Cholamandalam Investment and Finance Co Ltd - 8.45% - 21/11/2025**</t>
  </si>
  <si>
    <t>ICRA AA+</t>
  </si>
  <si>
    <t>INE020B08FF1</t>
  </si>
  <si>
    <t>REC LTD - 7.56% - 31/08/2027**</t>
  </si>
  <si>
    <t>INE414G07JL7</t>
  </si>
  <si>
    <t>Muthoot Finance Ltd - 8.65% - 31/01/2028**</t>
  </si>
  <si>
    <t>IN0020220037</t>
  </si>
  <si>
    <t>7.38% Central Government Securities 20/06/2027</t>
  </si>
  <si>
    <t>IN0020240050</t>
  </si>
  <si>
    <t>7.04% Central Government Securities 03/06/2029</t>
  </si>
  <si>
    <t>INE040A16GK2</t>
  </si>
  <si>
    <t>HDFC Bank Ltd - 27/05/2025**</t>
  </si>
  <si>
    <t>INE008A16Y07</t>
  </si>
  <si>
    <t>IDBI Bank Ltd - 27/05/2025**</t>
  </si>
  <si>
    <t>INE949L16CX3</t>
  </si>
  <si>
    <t>AU Small Finance Bank Ltd - 01/10/2025**</t>
  </si>
  <si>
    <t>Sundaram Liquid Fund</t>
  </si>
  <si>
    <t>INE115A07PQ9</t>
  </si>
  <si>
    <t>LIC Housing Finance Ltd - 5.9943% - 12/03/2025**</t>
  </si>
  <si>
    <t>INE692A16HP7</t>
  </si>
  <si>
    <t>Union Bank of India - 18/03/2025</t>
  </si>
  <si>
    <t>INE160A16QQ4</t>
  </si>
  <si>
    <t>Punjab National Bank - 27/03/2025**</t>
  </si>
  <si>
    <t>INE562A16NZ9</t>
  </si>
  <si>
    <t>Indian Bank - 06/05/2025**</t>
  </si>
  <si>
    <t>INE238AD6975</t>
  </si>
  <si>
    <t>Axis Bank Ltd - 16/05/2025**</t>
  </si>
  <si>
    <t>INE562A16MR8</t>
  </si>
  <si>
    <t>Indian Bank - 13/03/2025**</t>
  </si>
  <si>
    <t>INE692A16HF8</t>
  </si>
  <si>
    <t>Union Bank of India - 26/03/2025</t>
  </si>
  <si>
    <t>INE692A16IQ3</t>
  </si>
  <si>
    <t>Union Bank of India - 06/05/2025**</t>
  </si>
  <si>
    <t>INE476A16A40</t>
  </si>
  <si>
    <t>Canara Bank - 08/05/2025**</t>
  </si>
  <si>
    <t>INE160A16QZ5</t>
  </si>
  <si>
    <t>Punjab National Bank - 08/05/2025**</t>
  </si>
  <si>
    <t>INE008A16X81</t>
  </si>
  <si>
    <t>IDBI Bank Ltd - 08/05/2025**</t>
  </si>
  <si>
    <t>INE562A16OD4</t>
  </si>
  <si>
    <t>Indian Bank - 19/05/2025**</t>
  </si>
  <si>
    <t>INE171A16ME6</t>
  </si>
  <si>
    <t>The Federal Bank Ltd - 23/05/2025**</t>
  </si>
  <si>
    <t>INE01GA16236</t>
  </si>
  <si>
    <t>DBS Bank India Ltd - 19/03/2025**</t>
  </si>
  <si>
    <t>INE160A16QP6</t>
  </si>
  <si>
    <t>Punjab National Bank - 20/03/2025**</t>
  </si>
  <si>
    <t>INE514E16CH3</t>
  </si>
  <si>
    <t>Export Import Bank of India - 24/03/2025**</t>
  </si>
  <si>
    <t>INE261F16868</t>
  </si>
  <si>
    <t>National Bank for Agriculture &amp; Rural Development - 26/03/2025**</t>
  </si>
  <si>
    <t>INE028A16HM1</t>
  </si>
  <si>
    <t>Bank of Baroda - 17/04/2025**</t>
  </si>
  <si>
    <t>INE160A16OP1</t>
  </si>
  <si>
    <t>Punjab National Bank - 11/03/2025**</t>
  </si>
  <si>
    <t>INE692A16IT7</t>
  </si>
  <si>
    <t>Union Bank of India - 23/05/2025**</t>
  </si>
  <si>
    <t>INE261F16850</t>
  </si>
  <si>
    <t>National Bank for Agriculture &amp; Rural Development - 18/03/2025**</t>
  </si>
  <si>
    <t>INE040A16GG0</t>
  </si>
  <si>
    <t>HDFC Bank Ltd - 09/05/2025</t>
  </si>
  <si>
    <t>INE976I14PP5</t>
  </si>
  <si>
    <t>Tata Capital Ltd - 08/05/2025**</t>
  </si>
  <si>
    <t>INE261F14MZ4</t>
  </si>
  <si>
    <t>National Bank for Agriculture &amp; Rural Development - 07/05/2025**</t>
  </si>
  <si>
    <t>INE514E14SQ5</t>
  </si>
  <si>
    <t>Export Import Bank of India - 27/05/2025**</t>
  </si>
  <si>
    <t>INE261F14MP5</t>
  </si>
  <si>
    <t>National Bank for Agriculture &amp; Rural Development - 13/03/2025**</t>
  </si>
  <si>
    <t>INE0DZE14172</t>
  </si>
  <si>
    <t>Kisetsu Saison Finance - 20/03/2025**</t>
  </si>
  <si>
    <t>INE261F14MV3</t>
  </si>
  <si>
    <t>National Bank for Agriculture &amp; Rural Development - 28/04/2025**</t>
  </si>
  <si>
    <t>INE514E14SP7</t>
  </si>
  <si>
    <t>Export Import Bank of India - 07/05/2025**</t>
  </si>
  <si>
    <t>INE477S14CX5</t>
  </si>
  <si>
    <t>Tata Motors Finance Ltd - 07/05/2025**</t>
  </si>
  <si>
    <t>INE763G14WY9</t>
  </si>
  <si>
    <t>ICICI Securities Ltd - 08/05/2025**</t>
  </si>
  <si>
    <t>INE289B14JI6</t>
  </si>
  <si>
    <t>GIC Housing Finance Ltd - 16/05/2025**</t>
  </si>
  <si>
    <t>INE09OL14GQ4</t>
  </si>
  <si>
    <t>Birla Group Holdings Pvt Ltd - 23/05/2025**</t>
  </si>
  <si>
    <t>INE477A14DQ5</t>
  </si>
  <si>
    <t>Can Fin Homes Ltd - 29/05/2025**</t>
  </si>
  <si>
    <t>INE071G14GH5</t>
  </si>
  <si>
    <t>ICICI Home Finance Company Ltd - 13/03/2025**</t>
  </si>
  <si>
    <t>INE233A14X49</t>
  </si>
  <si>
    <t>Godrej Industries Ltd - 20/03/2025**</t>
  </si>
  <si>
    <t>INE212K14AL2</t>
  </si>
  <si>
    <t>SBI Cap securities Ltd - 20/03/2025**</t>
  </si>
  <si>
    <t>INE824H14QY9</t>
  </si>
  <si>
    <t>Julius Baer Capital (India) Private Ltd - 20/03/2025**</t>
  </si>
  <si>
    <t>INE763G14WK8</t>
  </si>
  <si>
    <t>ICICI Securities Ltd - 21/03/2025**</t>
  </si>
  <si>
    <t>INE338I14JA3</t>
  </si>
  <si>
    <t>Motilal Oswal Financial Services Ltd - 22/04/2025**</t>
  </si>
  <si>
    <t>INE261F14MY7</t>
  </si>
  <si>
    <t>National Bank for Agriculture &amp; Rural Development - 06/05/2025**</t>
  </si>
  <si>
    <t>INE233A14Z62</t>
  </si>
  <si>
    <t>Godrej Industries Ltd - 09/05/2025**</t>
  </si>
  <si>
    <t>INE071G14GF9</t>
  </si>
  <si>
    <t>ICICI Home Finance Company Ltd - 07/03/2025**</t>
  </si>
  <si>
    <t>INE144H14HF0</t>
  </si>
  <si>
    <t>Deutsche Investments India Private Ltd - 13/03/2025**</t>
  </si>
  <si>
    <t>INE417C14835</t>
  </si>
  <si>
    <t>Pilani Investment and Industries Corporation Ltd. - 13/03/2025**</t>
  </si>
  <si>
    <t>INE115A14EY3</t>
  </si>
  <si>
    <t>LIC Housing Finance Ltd - 18/03/2025**</t>
  </si>
  <si>
    <t>INE850D14TI0</t>
  </si>
  <si>
    <t>Godrej Agrovet Ltd - 18/03/2025**</t>
  </si>
  <si>
    <t>INE865C14MW6</t>
  </si>
  <si>
    <t>Aditya Birla Money Ltd - 20/03/2025**</t>
  </si>
  <si>
    <t>INE700G14NC6</t>
  </si>
  <si>
    <t>HDFC Securities Ltd - 22/04/2025**</t>
  </si>
  <si>
    <t>INE763G14WX1</t>
  </si>
  <si>
    <t>ICICI Securities Ltd - 07/05/2025**</t>
  </si>
  <si>
    <t>INE929O14DA0</t>
  </si>
  <si>
    <t>Reliance Retail Ventures Ltd - 09/05/2025**</t>
  </si>
  <si>
    <t>INE338I14JC9</t>
  </si>
  <si>
    <t>Motilal Oswal Financial Services Ltd - 07/05/2025**</t>
  </si>
  <si>
    <t>INE865C14NA0</t>
  </si>
  <si>
    <t>Aditya Birla Money Ltd - 09/05/2025**</t>
  </si>
  <si>
    <t>INE261F14NB3</t>
  </si>
  <si>
    <t>National Bank for Agriculture &amp; Rural Development - 22/05/2025**</t>
  </si>
  <si>
    <t>INE498L14DM7</t>
  </si>
  <si>
    <t>L &amp; T Finance Ltd - 23/05/2025**</t>
  </si>
  <si>
    <t>INE498L14DL9</t>
  </si>
  <si>
    <t>L &amp; T Finance Ltd - 26/05/2025**</t>
  </si>
  <si>
    <t>INE790I14FS5</t>
  </si>
  <si>
    <t>HSBC InvestDirect Financial Services India Limited - 27/05/2025**</t>
  </si>
  <si>
    <t>INE233A140H0</t>
  </si>
  <si>
    <t>INE02FN14416</t>
  </si>
  <si>
    <t>IGH Holdings Private Limited - 27/05/2025**</t>
  </si>
  <si>
    <t>IN002024X441</t>
  </si>
  <si>
    <t>91 Days - T Bill - 08/05/2025</t>
  </si>
  <si>
    <t>IN002024X375</t>
  </si>
  <si>
    <t>91 Days - T Bill - 20/03/2025</t>
  </si>
  <si>
    <t>IN002024X425</t>
  </si>
  <si>
    <t>91 Days - T Bill - 24/04/2025</t>
  </si>
  <si>
    <t>IN002024X458</t>
  </si>
  <si>
    <t>91 Days - T Bill - 15/05/2025</t>
  </si>
  <si>
    <t>IN002024X474</t>
  </si>
  <si>
    <t>91 Days - T Bill - 30/05/2025</t>
  </si>
  <si>
    <t>IN002024Z024</t>
  </si>
  <si>
    <t>364 Days - T Bill - 11/04/2025</t>
  </si>
  <si>
    <t>Reverse Repo</t>
  </si>
  <si>
    <t>Sundaram Short Duration Fund</t>
  </si>
  <si>
    <t>INE134E08MJ2</t>
  </si>
  <si>
    <t>Power Finance Corporation Ltd - 7.77% - 15/04/2028**</t>
  </si>
  <si>
    <t>INE121A07RZ4</t>
  </si>
  <si>
    <t>Cholamandalam Investment and Finance Co Ltd - 8.54% - 12/04/2029**</t>
  </si>
  <si>
    <t>INE261F08EF5</t>
  </si>
  <si>
    <t>National Bank for Agriculture &amp; Rural Development - 7.8% - 15/03/2027</t>
  </si>
  <si>
    <t>INE020B08EI8</t>
  </si>
  <si>
    <t>REC LTD - 7.51% - 31/07/2026**</t>
  </si>
  <si>
    <t>INE134E08LP1</t>
  </si>
  <si>
    <t>Power Finance Corporation Ltd - 7.13% - 15/07/2026**</t>
  </si>
  <si>
    <t>INE115A07PI6</t>
  </si>
  <si>
    <t>LIC Housing Finance Ltd - 6.17% - 03/09/2026**</t>
  </si>
  <si>
    <t>IN3120230484</t>
  </si>
  <si>
    <t>7.44% Tamil Nadu State Government Securities -20/03/2034</t>
  </si>
  <si>
    <t>Sundaram Ultra Short Duration Fund</t>
  </si>
  <si>
    <t>INE081A08231</t>
  </si>
  <si>
    <t>Tata Steel Ltd - 7.7% - 13/03/2025**</t>
  </si>
  <si>
    <t>CARE AA+</t>
  </si>
  <si>
    <t>INE572E07134</t>
  </si>
  <si>
    <t>PNB Housing Finance Ltd - 8.43% - 14/03/2025**</t>
  </si>
  <si>
    <t>INE121A07RB5</t>
  </si>
  <si>
    <t>Cholamandalam Investment and Finance Co Ltd - 8.25% - 04/03/2025**</t>
  </si>
  <si>
    <t>INE756I07EI4</t>
  </si>
  <si>
    <t>HDB Financial Services Ltd - 7.5% - 23/09/2025**</t>
  </si>
  <si>
    <t>INE261F08DK7</t>
  </si>
  <si>
    <t>National Bank for Agriculture &amp; Rural Development - 5.7% - 31/07/2025**</t>
  </si>
  <si>
    <t>INE028A16GS0</t>
  </si>
  <si>
    <t>Bank of Baroda - 23/05/2025**</t>
  </si>
  <si>
    <t>INE238AD6843</t>
  </si>
  <si>
    <t>Axis Bank Ltd - 05/06/2025**</t>
  </si>
  <si>
    <t>INE692A16IC3</t>
  </si>
  <si>
    <t>Union Bank of India - 04/12/2025**</t>
  </si>
  <si>
    <t>INE095A16Y50</t>
  </si>
  <si>
    <t>IndusInd Bank Ltd - 04/02/2026**</t>
  </si>
  <si>
    <t>INE238AD6967</t>
  </si>
  <si>
    <t>Axis Bank Ltd - 19/05/2025**</t>
  </si>
  <si>
    <t>INE084A16CT0</t>
  </si>
  <si>
    <t>Bank of India - 28/05/2025**</t>
  </si>
  <si>
    <t>INE556F16AS2</t>
  </si>
  <si>
    <t>Small Industries Development Bank of India - 10/06/2025</t>
  </si>
  <si>
    <t>INE095A16X10</t>
  </si>
  <si>
    <t>IndusInd Bank Ltd - 19/08/2025**</t>
  </si>
  <si>
    <t>INE238AD6884</t>
  </si>
  <si>
    <t>Axis Bank Ltd - 22/08/2025**</t>
  </si>
  <si>
    <t>INE556F16AY0</t>
  </si>
  <si>
    <t>Small Industries Development Bank of India - 13/01/2026**</t>
  </si>
  <si>
    <t>INE040A16GD7</t>
  </si>
  <si>
    <t>HDFC Bank Ltd - 30/01/2026**</t>
  </si>
  <si>
    <t>INE477S14CC9</t>
  </si>
  <si>
    <t>Tata Motors Finance Ltd - 11/03/2025**</t>
  </si>
  <si>
    <t>INE514E14SL6</t>
  </si>
  <si>
    <t>Export Import Bank of India - 03/06/2025**</t>
  </si>
  <si>
    <t>INE790I14FT3</t>
  </si>
  <si>
    <t>INE115A14FF9</t>
  </si>
  <si>
    <t>LIC Housing Finance Ltd - 11/09/2025**</t>
  </si>
  <si>
    <t>INE115A14EV9</t>
  </si>
  <si>
    <t>LIC Housing Finance Ltd - 04/03/2025**</t>
  </si>
  <si>
    <t>INE417C14710</t>
  </si>
  <si>
    <t>Pilani Investment and Industries Corporation Ltd. - 21/03/2025**</t>
  </si>
  <si>
    <t>INE763G14TX7</t>
  </si>
  <si>
    <t>ICICI Securities Ltd - 10/03/2025**</t>
  </si>
  <si>
    <t>IN002024Y324</t>
  </si>
  <si>
    <t>182 Days - T Bill - 23/05/2025</t>
  </si>
  <si>
    <t>Sundaram Medium Duration Fund</t>
  </si>
  <si>
    <t>IN0020210186</t>
  </si>
  <si>
    <t>5.74% Central Government Securities 15/11/2026</t>
  </si>
  <si>
    <t>Sundaram Conservative Hybrid Fund</t>
  </si>
  <si>
    <t>INE040A01034</t>
  </si>
  <si>
    <t>HDFC Bank Ltd</t>
  </si>
  <si>
    <t>Banks</t>
  </si>
  <si>
    <t>INE090A01021</t>
  </si>
  <si>
    <t>ICICI Bank Ltd</t>
  </si>
  <si>
    <t>INE002A01018</t>
  </si>
  <si>
    <t>Reliance Industries Ltd</t>
  </si>
  <si>
    <t>Petroleum Products</t>
  </si>
  <si>
    <t>INE397D01024</t>
  </si>
  <si>
    <t>Bharti Airtel Ltd</t>
  </si>
  <si>
    <t>Telecom - Services</t>
  </si>
  <si>
    <t>INE009A01021</t>
  </si>
  <si>
    <t>Infosys Ltd</t>
  </si>
  <si>
    <t>It - Software</t>
  </si>
  <si>
    <t>INE860A01027</t>
  </si>
  <si>
    <t>HCL Technologies Ltd</t>
  </si>
  <si>
    <t>INE238A01034</t>
  </si>
  <si>
    <t>Axis Bank Ltd</t>
  </si>
  <si>
    <t>INE062A01020</t>
  </si>
  <si>
    <t>State Bank of India</t>
  </si>
  <si>
    <t>INE154A01025</t>
  </si>
  <si>
    <t>ITC Ltd</t>
  </si>
  <si>
    <t>Diversified Fmcg</t>
  </si>
  <si>
    <t>INE237A01028</t>
  </si>
  <si>
    <t>Kotak Mahindra Bank Ltd</t>
  </si>
  <si>
    <t>INE481G01011</t>
  </si>
  <si>
    <t>Ultratech Cement Ltd</t>
  </si>
  <si>
    <t>Cement &amp; Cement Products</t>
  </si>
  <si>
    <t>INE018A01030</t>
  </si>
  <si>
    <t>Larsen &amp; Toubro Ltd</t>
  </si>
  <si>
    <t>Construction</t>
  </si>
  <si>
    <t>INE917I01010</t>
  </si>
  <si>
    <t>Bajaj Auto Ltd</t>
  </si>
  <si>
    <t>Automobiles</t>
  </si>
  <si>
    <t>INE797F01020</t>
  </si>
  <si>
    <t>Jubilant Foodworks Ltd</t>
  </si>
  <si>
    <t>Leisure Services</t>
  </si>
  <si>
    <t>INE196A01026</t>
  </si>
  <si>
    <t>Marico Ltd</t>
  </si>
  <si>
    <t>Agricultural Food &amp; Other Products</t>
  </si>
  <si>
    <t>INE585B01010</t>
  </si>
  <si>
    <t>Maruti Suzuki India Ltd</t>
  </si>
  <si>
    <t>INE029A01011</t>
  </si>
  <si>
    <t>Bharat Petroleum Corporation Ltd</t>
  </si>
  <si>
    <t>INE540L01014</t>
  </si>
  <si>
    <t>Alkem Laboratories Ltd</t>
  </si>
  <si>
    <t>Pharmaceuticals &amp; Biotechnology</t>
  </si>
  <si>
    <t>INE854D01024</t>
  </si>
  <si>
    <t>United Spirits Ltd</t>
  </si>
  <si>
    <t>Beverages</t>
  </si>
  <si>
    <t>INE726G01019</t>
  </si>
  <si>
    <t>ICICI Prudential Life Insurance Company Ltd</t>
  </si>
  <si>
    <t>Insurance</t>
  </si>
  <si>
    <t>INE047A01021</t>
  </si>
  <si>
    <t>Grasim Industries Ltd</t>
  </si>
  <si>
    <t>INE603J01030</t>
  </si>
  <si>
    <t>PI Industries Ltd</t>
  </si>
  <si>
    <t>Fertilizers &amp; Agrochemicals</t>
  </si>
  <si>
    <t>IN9397D01014</t>
  </si>
  <si>
    <t>Sundaram Overnight Fund</t>
  </si>
  <si>
    <t>IN002024X367</t>
  </si>
  <si>
    <t>91 Days - T Bill - 13/03/2025</t>
  </si>
  <si>
    <t>IN002023Z521</t>
  </si>
  <si>
    <t>364 Days - T Bill - 06/03/2025</t>
  </si>
  <si>
    <t>IN002024X359</t>
  </si>
  <si>
    <t>91 Days - T Bill - 06/03/2025</t>
  </si>
  <si>
    <t>IN002023Z539</t>
  </si>
  <si>
    <t>364 Days- T Bill-13/03/2025</t>
  </si>
  <si>
    <t>YTM (%)*</t>
  </si>
  <si>
    <t>S. No.</t>
  </si>
  <si>
    <t>ACRONYM</t>
  </si>
  <si>
    <t>SCHEME NAME</t>
  </si>
  <si>
    <t>SFRLTP</t>
  </si>
  <si>
    <t>SFRSTP</t>
  </si>
  <si>
    <t>SMMF</t>
  </si>
  <si>
    <t>SPLDF</t>
  </si>
  <si>
    <t>SPMON</t>
  </si>
  <si>
    <t>SPSDF</t>
  </si>
  <si>
    <t>SPUSDF</t>
  </si>
  <si>
    <t>SUNBDS</t>
  </si>
  <si>
    <t>SUNMIA</t>
  </si>
  <si>
    <t>SUNONF</t>
  </si>
  <si>
    <t>**Non Traded Securities - Wherever applicable</t>
  </si>
  <si>
    <t>^ Net current assets includes interest accrued on fixed income securities - Wherever applicable</t>
  </si>
  <si>
    <t># percentage to NAV of security is less than 0.01% - Wherever applicable</t>
  </si>
  <si>
    <t>(b) Corporate Debt Market Development Fund</t>
  </si>
  <si>
    <t>At the beginning</t>
  </si>
  <si>
    <t>d) IDCW declared during the period (Rupees per unit)</t>
  </si>
  <si>
    <t>g) Repo in corporate debt</t>
  </si>
  <si>
    <t>Portfolio Information</t>
  </si>
  <si>
    <t>Scheme Name :</t>
  </si>
  <si>
    <t>Description (if any)</t>
  </si>
  <si>
    <t>Annualised Portfolio YTM %* :</t>
  </si>
  <si>
    <t>Macaulay Duration (years)</t>
  </si>
  <si>
    <t>Average Maturity (years)</t>
  </si>
  <si>
    <t xml:space="preserve">As on (Date) </t>
  </si>
  <si>
    <t>* in case of semi annual YTM,  it will be annualised </t>
  </si>
  <si>
    <t>Scheme Riskometer :</t>
  </si>
  <si>
    <t>Tier I Benchmark Riskometer :</t>
  </si>
  <si>
    <t>Tier II Benchmark Riskometer :</t>
  </si>
  <si>
    <t xml:space="preserve">                    NIFTY Corporate Bond Index A-II</t>
  </si>
  <si>
    <t xml:space="preserve">               NIFTY AAA Short Duration Bond Index</t>
  </si>
  <si>
    <t>e) Bonus declared during the period (Rupees per unit)</t>
  </si>
  <si>
    <t>f) Total outstanding exposure in derivative instruments at the end of the period</t>
  </si>
  <si>
    <t>g) Total investments in foreign securities /ADR'S/GDR'S at the end of the period</t>
  </si>
  <si>
    <t>h) Repo in corporate debt</t>
  </si>
  <si>
    <t xml:space="preserve">           NIFTY Banking and PSU Debt Index A-II</t>
  </si>
  <si>
    <t xml:space="preserve">            NIFTY AAA Short Duration Bond Index</t>
  </si>
  <si>
    <t>++ Aggregate Investments by Other schemes of Sundaram Mutual Fund - Rs.56,497.43 Lakhs</t>
  </si>
  <si>
    <t xml:space="preserve">                    NIFTY Money Market Index A-I</t>
  </si>
  <si>
    <t xml:space="preserve">                     NIFTY Money Market Index</t>
  </si>
  <si>
    <t>Refer below point i)</t>
  </si>
  <si>
    <t>Average Maturity  (years)</t>
  </si>
  <si>
    <t xml:space="preserve">ISIN </t>
  </si>
  <si>
    <t>Name of The security</t>
  </si>
  <si>
    <t>VALUE OF THE SECURITY CONSIDERED UNDER NET RECEIVABLES</t>
  </si>
  <si>
    <t>% TO AUM</t>
  </si>
  <si>
    <t>Total Amount (Principal &amp; Interest)  (Rs. Lakh)</t>
  </si>
  <si>
    <t>INE121H14JU3</t>
  </si>
  <si>
    <t xml:space="preserve">IL&amp;FS Financial Services Ltd. 24SEP18 CP </t>
  </si>
  <si>
    <t>ISIN</t>
  </si>
  <si>
    <t>NAME OF THE SECURITY</t>
  </si>
  <si>
    <t>INE202B07IK1</t>
  </si>
  <si>
    <t xml:space="preserve">Dewan Housing Finance Corporation Ltd-9.10%-09/09/2019 </t>
  </si>
  <si>
    <t>INE202B07HQ0</t>
  </si>
  <si>
    <t>9.10%-Dewan Housing Finance Corporation Ltd-16/08/2019</t>
  </si>
  <si>
    <t>INE202B07IJ3</t>
  </si>
  <si>
    <t xml:space="preserve">9.05% Dewan Housing Finance Corporation Ltd-NCD-09/09/2019 </t>
  </si>
  <si>
    <t>TOTAL AMOUNT INCLUDING INTEREST DUE TO AND RECOVERED BY THE SCHEME</t>
  </si>
  <si>
    <t>TOTAL AMOUNT DUE</t>
  </si>
  <si>
    <t>Amount Recovered 30th Sep 2021 (Rs. In Lacs)</t>
  </si>
  <si>
    <t>Further amount received on 31-Aug-2024  (Rs. In Lacs)</t>
  </si>
  <si>
    <t xml:space="preserve">Total settlement till date  ( Rs . In Lacs ) </t>
  </si>
  <si>
    <t>PRINCIPAL (Rs. in Lacs)</t>
  </si>
  <si>
    <t>Interest Accrued till 3rd June 2019
(Rs. in Lacs)</t>
  </si>
  <si>
    <t>Interest not accrued due to category by rating agency as default till maturity (Rs. in Lacs)</t>
  </si>
  <si>
    <t>Total 
(Rs. in Lacs)</t>
  </si>
  <si>
    <t>For Further details please refer the below Links for Rationale</t>
  </si>
  <si>
    <t>https://www.sundarammutual.com/pdf2/2021/Rationale_for_Valuation/DHFL_Valuation_impact_22_Sep_2021.pdf</t>
  </si>
  <si>
    <t>https://www.sundarammutual.com/pdf2/2021/Rationale_for_Valuation/Update_on_DHFL_Recovery_30_sep_2021.pdf</t>
  </si>
  <si>
    <t>https://www.sundarammutual.com/pdf2/2024/Rationale_for_Valuation/Update_on_DHFL_Recovery_31_Aug_2024_V1.pdf</t>
  </si>
  <si>
    <t xml:space="preserve">              NIFTY Low Duration Debt Index A-I</t>
  </si>
  <si>
    <t xml:space="preserve">                  NIFTY Low Duration Debt Index</t>
  </si>
  <si>
    <t>++ Aggregate Investments by Other schemes of Sundaram Mutual Fund - Rs.5,565.18 Lakhs</t>
  </si>
  <si>
    <t>Net receivable/ Market value  (Rs. Lakh)</t>
  </si>
  <si>
    <t>% to NAV</t>
  </si>
  <si>
    <t xml:space="preserve">                      NIFTY Liquid Index A-I</t>
  </si>
  <si>
    <t xml:space="preserve">                       NIFTY Liquid Index</t>
  </si>
  <si>
    <t>9.05% Dewan Housing Finance Corporation Ltd-NCD-09/09/2019</t>
  </si>
  <si>
    <t>Dewan Housing Finance Corporation Ltd-9.10%-09/09/2019</t>
  </si>
  <si>
    <t>INE202B07654</t>
  </si>
  <si>
    <t>11.55%_Prev 11.45%-Dewan Housing Finance Corp Ltd-12/09/2019  ##</t>
  </si>
  <si>
    <t>9.10%-Dewan Housing Finance Corporation Ltd-16/08/2019 ##</t>
  </si>
  <si>
    <t>Further amount received on  31-Aug-2024   (Rs. In Lacs)</t>
  </si>
  <si>
    <t>Total
(Rs. in Lacs)</t>
  </si>
  <si>
    <t>11.55% Prev 11.45%-Dewan Housing Finance Corp Ltd-12/09/2019  ##</t>
  </si>
  <si>
    <t>## Sundaram Short Term Credit Risk Fund has been merged with Sundaram Short Term Debt Fund on 29th Dec 2020. Hence, the above Securities defaulted prior to the merger date have been moved to the Target scheme. Further with effect from 31st Dec 2021, Sundaram Short Term Debt Fund got merged into Principal Short Term Debt Fund and renamed as Sundaram Short Duration Fund.</t>
  </si>
  <si>
    <t xml:space="preserve">               Nifty Short Duration Debt Index A-II</t>
  </si>
  <si>
    <t xml:space="preserve">                NIFTY Short Duration Debt Index</t>
  </si>
  <si>
    <t>Interest Rate Swaps</t>
  </si>
  <si>
    <t>Interest Rate Swaps Pay Fix Receive Floating (11/12/2025) (FV 2500 Lacs)~</t>
  </si>
  <si>
    <t>#</t>
  </si>
  <si>
    <t>~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</si>
  <si>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Refer below point h)</t>
  </si>
  <si>
    <t>Swap Type</t>
  </si>
  <si>
    <t>Underlying Security</t>
  </si>
  <si>
    <t>Long Position</t>
  </si>
  <si>
    <t>Short Position</t>
  </si>
  <si>
    <t>Notional Value (Rs. in lacs.)</t>
  </si>
  <si>
    <t>Maturity date</t>
  </si>
  <si>
    <t>Fixed to Float</t>
  </si>
  <si>
    <t xml:space="preserve">Shriram Finance Ltd </t>
  </si>
  <si>
    <t>Receiving Floating</t>
  </si>
  <si>
    <t>Pay Fixed</t>
  </si>
  <si>
    <t>Total Amount(Principal &amp; Interest)  (Rs. Lakh)</t>
  </si>
  <si>
    <t xml:space="preserve">          NIFTY Ultra Short Duration Debt Index A-I</t>
  </si>
  <si>
    <t xml:space="preserve">              NIFTY Ultra Short Duration Debt Index</t>
  </si>
  <si>
    <t>INE528G08394</t>
  </si>
  <si>
    <t>9%-YES BANK LTD-NCD-Call opt-18/10/2022-Perpetual Bond $</t>
  </si>
  <si>
    <t>TOTAL AMOUNT INCLUDING INTEREST DUE TO THE SCHEME</t>
  </si>
  <si>
    <t>Interest Accrued till 05 Mar 2020
(Rs. in Lacs)</t>
  </si>
  <si>
    <t>$ Yes Bank Limited Reconstruction Scheme 2020” was notified in the Official Gazette on March 13, 2020. Based on that, the Basel III Additional Tier I Bonds (ISIN - INE528G08394) were written down in the scheme along with the Interest accrued.</t>
  </si>
  <si>
    <t xml:space="preserve">          NIFTY Medium Duration Debt Index A-III</t>
  </si>
  <si>
    <t xml:space="preserve">              NIFTY Medium Duration Debt Index</t>
  </si>
  <si>
    <t>INE0GGX23010</t>
  </si>
  <si>
    <t>Power Grid Infrastructure Investment Trust(InvIT)</t>
  </si>
  <si>
    <t>Power</t>
  </si>
  <si>
    <t>Bharti Airtel Ltd - Partly Paid Right Shares</t>
  </si>
  <si>
    <t>Macaulay Duration - only for Debt portion (years)</t>
  </si>
  <si>
    <t>Average Maturity  - only for Debt portion (years)</t>
  </si>
  <si>
    <t>VALUE OF THE SECURITY CONSIDERED 
UNDER NET RECEIVABLES</t>
  </si>
  <si>
    <t xml:space="preserve">11.55% Prev 11.45%-Dewan Housing Finance Corp Ltd-12/09/2019  </t>
  </si>
  <si>
    <t>Amount Recovered (Rs. In Lacs) 30th Sep 2021</t>
  </si>
  <si>
    <t>Further amount received on 31/08/2024  (Rs. In Lacs)</t>
  </si>
  <si>
    <t xml:space="preserve">11.55%_Prev 11.45%-Dewan Housing Finance Corp Ltd-12/09/2019  </t>
  </si>
  <si>
    <t>Benchmark Riskometer :</t>
  </si>
  <si>
    <t xml:space="preserve">      CRISIL Hybrid 85 Plus 15 - Conservative Index</t>
  </si>
  <si>
    <t>Macaulay Duration (Days)</t>
  </si>
  <si>
    <t>Average Maturity (Days)</t>
  </si>
  <si>
    <t xml:space="preserve">                        NIFTY 1D Rate Index</t>
  </si>
  <si>
    <t xml:space="preserve">                         NIFTY 1D Rate Index</t>
  </si>
  <si>
    <t>28-Feb-2025</t>
  </si>
  <si>
    <t>i) Exposure to securities classified as below investment grade or default as on 28-Feb-2025:-</t>
  </si>
  <si>
    <t>h)  Hedging Positions through Swaps as on 28-Feb-2025:-</t>
  </si>
  <si>
    <t>% to AUM as on  28-Feb-2025</t>
  </si>
  <si>
    <t>h) Exposure to securities classified as below investment grade or default as on 28-Feb-2025:-</t>
  </si>
  <si>
    <t>Regular Plan - Quarterly IDCW</t>
  </si>
  <si>
    <t>Direct Plan - Monthly IDCW</t>
  </si>
  <si>
    <t>Direct Plan - Quarterly IDCW</t>
  </si>
  <si>
    <t>Direct Plan - Halfyearly IDCW</t>
  </si>
  <si>
    <t>Direct Plan - Annual IDCW</t>
  </si>
  <si>
    <t>Regular Plan - Monthly IDCW</t>
  </si>
  <si>
    <t>Regular Plan - Halfyearly IDCW</t>
  </si>
  <si>
    <t>Regular Plan - Annual IDCW</t>
  </si>
  <si>
    <t>YTM (%)</t>
  </si>
  <si>
    <t>Punjab National Bank - 02/06/2025**</t>
  </si>
  <si>
    <t>ICICI Securities Ltd - 03/03/2026**</t>
  </si>
  <si>
    <t>Godrej Industries Ltd - 02/06/2025**</t>
  </si>
  <si>
    <t>HSBC InvestDirect Financial Services India Limited - 03/06/2025**</t>
  </si>
  <si>
    <t>Monthly Portfolio Statement for the month ended 28 February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</si>
</sst>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3" formatCode="_(* #,##0.00_);_(* \(#,##0.00\);_(* &quot;-&quot;??_);_(@_)"/>
    <numFmt numFmtId="164" formatCode="_ * #,##0.00_ ;_ * \-#,##0.00_ ;_ * &quot;-&quot;??_ ;_ @_ "/>
    <numFmt numFmtId="165" formatCode="[$-1014009]###0.00%;\(###0.00%\)"/>
    <numFmt numFmtId="166" formatCode="[$-1014009]###0.00;\(###0.00\)"/>
    <numFmt numFmtId="167" formatCode="[$-1014009]General"/>
    <numFmt numFmtId="168" formatCode="[$-1014009]###0;\(###0\)"/>
    <numFmt numFmtId="169" formatCode="[$-1014009]###0.0000;\(###0.0000\)"/>
    <numFmt numFmtId="170" formatCode="[$-1014009]#,##0.00\ %;\(#,##0.00\)"/>
    <numFmt numFmtId="171" formatCode="[$-1014009]#.0000"/>
    <numFmt numFmtId="172" formatCode="[$-1014009]#,##0.000000;\-#,##0.000000"/>
    <numFmt numFmtId="173" formatCode="[$-1014009]#,##0.00;\(#,##0.00\)"/>
    <numFmt numFmtId="174" formatCode="dd\-mmm\-yyyy"/>
    <numFmt numFmtId="175" formatCode="[$-1014009]#,##0;\(#,##0\)"/>
    <numFmt numFmtId="176" formatCode="[$-409]d\-mmm\-yy;@"/>
  </numFmts>
  <fonts count="39" x14ac:knownFonts="1">
    <font>
      <sz val="10"/>
      <name val="Arial"/>
      <charset val="1"/>
    </font>
    <font>
      <sz val="11"/>
      <color theme="1"/>
      <name val="Aptos Narrow"/>
      <family val="2"/>
      <scheme val="minor"/>
    </font>
    <font>
      <b/>
      <sz val="11"/>
      <color indexed="8"/>
      <name val="Calibri"/>
      <family val="2"/>
    </font>
    <font>
      <sz val="10"/>
      <color indexed="8"/>
      <name val="Calibri"/>
      <family val="2"/>
    </font>
    <font>
      <b/>
      <sz val="10"/>
      <color indexed="8"/>
      <name val="Calibri"/>
      <family val="2"/>
    </font>
    <font>
      <b/>
      <i/>
      <sz val="10"/>
      <color indexed="8"/>
      <name val="Calibri"/>
      <family val="2"/>
    </font>
    <font>
      <b/>
      <sz val="9"/>
      <color indexed="8"/>
      <name val="Calibri"/>
      <family val="2"/>
    </font>
    <font>
      <sz val="10"/>
      <name val="Arial"/>
      <family val="2"/>
    </font>
    <font>
      <b/>
      <sz val="11"/>
      <color theme="0"/>
      <name val="Aptos Narrow"/>
      <family val="2"/>
      <scheme val="minor"/>
    </font>
    <font>
      <sz val="11"/>
      <color theme="0"/>
      <name val="Aptos Narrow"/>
      <family val="2"/>
      <scheme val="minor"/>
    </font>
    <font>
      <b/>
      <sz val="11"/>
      <color indexed="8"/>
      <name val="Calibri"/>
      <family val="2"/>
    </font>
    <font>
      <sz val="10"/>
      <color indexed="8"/>
      <name val="Calibri"/>
      <family val="2"/>
    </font>
    <font>
      <b/>
      <sz val="11"/>
      <color theme="1"/>
      <name val="Calibri"/>
      <family val="2"/>
    </font>
    <font>
      <b/>
      <sz val="11"/>
      <name val="Calibri"/>
      <family val="2"/>
    </font>
    <font>
      <sz val="11"/>
      <color theme="1"/>
      <name val="Calibri"/>
      <family val="2"/>
    </font>
    <font>
      <u/>
      <sz val="10"/>
      <color theme="10"/>
      <name val="Arial"/>
      <family val="2"/>
    </font>
    <font>
      <u/>
      <sz val="11"/>
      <color theme="10"/>
      <name val="Calibri"/>
      <family val="2"/>
    </font>
    <font>
      <sz val="11"/>
      <name val="Calibri"/>
      <family val="2"/>
    </font>
    <font>
      <b/>
      <i/>
      <sz val="10"/>
      <color indexed="8"/>
      <name val="Calibri"/>
      <family val="2"/>
    </font>
    <font>
      <b/>
      <sz val="10"/>
      <color indexed="8"/>
      <name val="Calibri"/>
      <family val="2"/>
    </font>
    <font>
      <sz val="10"/>
      <name val="Arial"/>
      <family val="2"/>
    </font>
    <font>
      <sz val="10"/>
      <name val="Calibri"/>
      <family val="2"/>
    </font>
    <font>
      <b/>
      <sz val="10"/>
      <name val="Calibri"/>
      <family val="2"/>
    </font>
    <font>
      <b/>
      <sz val="10"/>
      <name val="Arial"/>
      <family val="2"/>
    </font>
    <font>
      <b/>
      <sz val="10"/>
      <color theme="1"/>
      <name val="Calibri"/>
      <family val="2"/>
    </font>
    <font>
      <sz val="10"/>
      <color theme="1"/>
      <name val="Calibri"/>
      <family val="2"/>
    </font>
    <font>
      <b/>
      <sz val="10"/>
      <color theme="1"/>
      <name val="Aptos Narrow"/>
      <family val="2"/>
      <scheme val="minor"/>
    </font>
    <font>
      <sz val="10"/>
      <color theme="1"/>
      <name val="Aptos Narrow"/>
      <family val="2"/>
      <scheme val="minor"/>
    </font>
    <font>
      <sz val="11"/>
      <color indexed="8"/>
      <name val="Calibri"/>
      <family val="2"/>
    </font>
    <font>
      <b/>
      <sz val="10"/>
      <name val="Aptos Narrow"/>
      <family val="2"/>
      <scheme val="minor"/>
    </font>
    <font>
      <b/>
      <u/>
      <sz val="8.5"/>
      <name val="Verdana"/>
      <family val="2"/>
    </font>
    <font>
      <sz val="8.5"/>
      <name val="Verdana"/>
      <family val="2"/>
    </font>
    <font>
      <b/>
      <sz val="10"/>
      <color theme="1"/>
      <name val="Tahoma"/>
      <family val="2"/>
    </font>
    <font>
      <b/>
      <sz val="10"/>
      <color rgb="FF000000"/>
      <name val="Tahoma"/>
      <family val="2"/>
    </font>
    <font>
      <sz val="10"/>
      <color theme="1"/>
      <name val="Tahoma"/>
      <family val="2"/>
    </font>
    <font>
      <sz val="10"/>
      <color rgb="FF000000"/>
      <name val="Tahoma"/>
      <family val="2"/>
    </font>
    <font>
      <sz val="10"/>
      <color theme="1"/>
      <name val="Arial"/>
      <family val="2"/>
    </font>
    <font>
      <sz val="11"/>
      <name val="Aptos Narrow"/>
      <family val="2"/>
      <scheme val="minor"/>
    </font>
    <font>
      <b/>
      <sz val="11"/>
      <name val="Aptos Narrow"/>
      <family val="2"/>
      <scheme val="minor"/>
    </font>
  </fonts>
  <fills count="2">
    <fill>
      <patternFill patternType="none"/>
    </fill>
    <fill>
      <patternFill patternType="gray125"/>
    </fill>
  </fills>
  <borders count="17">
    <border>
      <left/>
      <right/>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right/>
      <top style="thin">
        <color indexed="8"/>
      </top>
      <bottom/>
      <diagonal/>
    </border>
    <border>
      <left style="thin">
        <color indexed="8"/>
      </left>
      <right/>
      <top/>
      <bottom/>
      <diagonal/>
    </border>
    <border>
      <left style="thin">
        <color auto="1"/>
      </left>
      <right style="thin">
        <color auto="1"/>
      </right>
      <top style="thin">
        <color auto="1"/>
      </top>
      <bottom style="thin">
        <color auto="1"/>
      </bottom>
      <diagonal/>
    </border>
    <border>
      <left style="thin">
        <color indexed="8"/>
      </left>
      <right style="thin">
        <color indexed="8"/>
      </right>
      <top/>
      <bottom style="thin">
        <color indexed="8"/>
      </bottom>
      <diagonal/>
    </border>
    <border>
      <left style="thin">
        <color indexed="8"/>
      </left>
      <right/>
      <top/>
      <bottom style="thin">
        <color indexed="8"/>
      </bottom>
      <diagonal/>
    </border>
    <border>
      <left style="thin">
        <color indexed="64"/>
      </left>
      <right style="thin">
        <color indexed="64"/>
      </right>
      <top style="thin">
        <color indexed="64"/>
      </top>
      <bottom style="thin">
        <color indexed="64"/>
      </bottom>
      <diagonal/>
    </border>
    <border>
      <left style="thin">
        <color auto="1"/>
      </left>
      <right style="thin">
        <color auto="1"/>
      </right>
      <top/>
      <bottom style="thin">
        <color auto="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8"/>
      </right>
      <top style="thin">
        <color indexed="64"/>
      </top>
      <bottom style="thin">
        <color indexed="64"/>
      </bottom>
      <diagonal/>
    </border>
    <border>
      <left style="thin">
        <color indexed="64"/>
      </left>
      <right style="thin">
        <color indexed="64"/>
      </right>
      <top style="thin">
        <color indexed="64"/>
      </top>
      <bottom/>
      <diagonal/>
    </border>
  </borders>
  <cellStyleXfs count="12">
    <xf numFmtId="0" fontId="0" fillId="0" borderId="0">
      <alignment wrapText="1"/>
    </xf>
    <xf numFmtId="164" fontId="7" fillId="0" borderId="0" applyFont="0" applyFill="0" applyBorder="0" applyAlignment="0" applyProtection="0"/>
    <xf numFmtId="0" fontId="1" fillId="0" borderId="0"/>
    <xf numFmtId="0" fontId="1" fillId="0" borderId="0"/>
    <xf numFmtId="0" fontId="15" fillId="0" borderId="0" applyNumberFormat="0" applyFill="0" applyBorder="0" applyAlignment="0" applyProtection="0">
      <alignment wrapText="1"/>
    </xf>
    <xf numFmtId="0" fontId="20" fillId="0" borderId="0">
      <alignment wrapText="1"/>
    </xf>
    <xf numFmtId="164" fontId="20" fillId="0" borderId="0" applyFont="0" applyFill="0" applyBorder="0" applyAlignment="0" applyProtection="0"/>
    <xf numFmtId="9" fontId="28" fillId="0" borderId="0" applyFont="0" applyFill="0" applyBorder="0" applyAlignment="0" applyProtection="0"/>
    <xf numFmtId="9" fontId="20" fillId="0" borderId="0" applyFont="0" applyFill="0" applyBorder="0" applyAlignment="0" applyProtection="0"/>
    <xf numFmtId="0" fontId="1" fillId="0" borderId="0"/>
    <xf numFmtId="0" fontId="1" fillId="0" borderId="0"/>
    <xf numFmtId="9" fontId="7" fillId="0" borderId="0" applyFont="0" applyFill="0" applyBorder="0" applyAlignment="0" applyProtection="0"/>
  </cellStyleXfs>
  <cellXfs count="219">
    <xf numFmtId="0" fontId="0" fillId="0" borderId="0" xfId="0">
      <alignment wrapText="1"/>
    </xf>
    <xf numFmtId="0" fontId="12" fillId="0" borderId="10" xfId="2" applyFont="1" applyBorder="1" applyAlignment="1">
      <alignment horizontal="center"/>
    </xf>
    <xf numFmtId="0" fontId="13" fillId="0" borderId="10" xfId="2" applyFont="1" applyBorder="1" applyAlignment="1">
      <alignment horizontal="center" vertical="center"/>
    </xf>
    <xf numFmtId="0" fontId="14" fillId="0" borderId="0" xfId="3" applyFont="1"/>
    <xf numFmtId="0" fontId="14" fillId="0" borderId="10" xfId="2" applyFont="1" applyBorder="1" applyAlignment="1">
      <alignment horizontal="center"/>
    </xf>
    <xf numFmtId="0" fontId="16" fillId="0" borderId="10" xfId="4" applyFont="1" applyFill="1" applyBorder="1" applyAlignment="1">
      <alignment vertical="center"/>
    </xf>
    <xf numFmtId="0" fontId="17" fillId="0" borderId="10" xfId="2" applyFont="1" applyBorder="1" applyAlignment="1">
      <alignment vertical="top"/>
    </xf>
    <xf numFmtId="164" fontId="21" fillId="0" borderId="10" xfId="6" applyFont="1" applyFill="1" applyBorder="1" applyAlignment="1">
      <alignment vertical="center"/>
    </xf>
    <xf numFmtId="164" fontId="25" fillId="0" borderId="10" xfId="6" applyFont="1" applyFill="1" applyBorder="1" applyAlignment="1">
      <alignment vertical="center"/>
    </xf>
    <xf numFmtId="4" fontId="27" fillId="0" borderId="10" xfId="7" applyNumberFormat="1" applyFont="1" applyFill="1" applyBorder="1"/>
    <xf numFmtId="10" fontId="25" fillId="0" borderId="10" xfId="8" applyNumberFormat="1" applyFont="1" applyFill="1" applyBorder="1" applyAlignment="1">
      <alignment vertical="center"/>
    </xf>
    <xf numFmtId="4" fontId="27" fillId="0" borderId="0" xfId="7" applyNumberFormat="1" applyFont="1" applyFill="1" applyBorder="1"/>
    <xf numFmtId="0" fontId="2" fillId="0" borderId="7" xfId="0" applyFont="1" applyBorder="1" applyAlignment="1">
      <alignment horizontal="center" vertical="top" wrapText="1" readingOrder="1"/>
    </xf>
    <xf numFmtId="164" fontId="10" fillId="0" borderId="7" xfId="1" applyFont="1" applyFill="1" applyBorder="1" applyAlignment="1">
      <alignment horizontal="center" vertical="center" wrapText="1" readingOrder="1"/>
    </xf>
    <xf numFmtId="0" fontId="0" fillId="0" borderId="0" xfId="0" applyAlignment="1">
      <alignment horizontal="center" wrapText="1"/>
    </xf>
    <xf numFmtId="0" fontId="3" fillId="0" borderId="8" xfId="0" applyFont="1" applyBorder="1" applyAlignment="1">
      <alignment horizontal="right" vertical="top" wrapText="1" readingOrder="1"/>
    </xf>
    <xf numFmtId="0" fontId="4" fillId="0" borderId="8" xfId="0" applyFont="1" applyBorder="1" applyAlignment="1">
      <alignment horizontal="left" vertical="center" wrapText="1" readingOrder="1"/>
    </xf>
    <xf numFmtId="0" fontId="3" fillId="0" borderId="9" xfId="0" applyFont="1" applyBorder="1" applyAlignment="1">
      <alignment horizontal="right" vertical="top" wrapText="1" readingOrder="1"/>
    </xf>
    <xf numFmtId="166" fontId="11" fillId="0" borderId="11" xfId="0" applyNumberFormat="1" applyFont="1" applyBorder="1" applyAlignment="1">
      <alignment horizontal="right" vertical="center" wrapText="1" readingOrder="1"/>
    </xf>
    <xf numFmtId="0" fontId="3" fillId="0" borderId="4" xfId="0" applyFont="1" applyBorder="1" applyAlignment="1">
      <alignment horizontal="right" vertical="top" wrapText="1" readingOrder="1"/>
    </xf>
    <xf numFmtId="0" fontId="4" fillId="0" borderId="4" xfId="0" applyFont="1" applyBorder="1" applyAlignment="1">
      <alignment horizontal="left" vertical="center" wrapText="1" readingOrder="1"/>
    </xf>
    <xf numFmtId="0" fontId="3" fillId="0" borderId="1" xfId="0" applyFont="1" applyBorder="1" applyAlignment="1">
      <alignment horizontal="right" vertical="top" wrapText="1" readingOrder="1"/>
    </xf>
    <xf numFmtId="0" fontId="4" fillId="0" borderId="4" xfId="0" applyFont="1" applyBorder="1" applyAlignment="1">
      <alignment horizontal="right" vertical="center" wrapText="1" readingOrder="1"/>
    </xf>
    <xf numFmtId="165" fontId="4" fillId="0" borderId="1" xfId="0" applyNumberFormat="1" applyFont="1" applyBorder="1" applyAlignment="1">
      <alignment horizontal="right" vertical="center" wrapText="1" readingOrder="1"/>
    </xf>
    <xf numFmtId="0" fontId="5" fillId="0" borderId="4" xfId="0" applyFont="1" applyBorder="1" applyAlignment="1">
      <alignment horizontal="left" vertical="center" wrapText="1" readingOrder="1"/>
    </xf>
    <xf numFmtId="0" fontId="5" fillId="0" borderId="4" xfId="0" applyFont="1" applyBorder="1" applyAlignment="1">
      <alignment horizontal="right" vertical="center" wrapText="1" readingOrder="1"/>
    </xf>
    <xf numFmtId="0" fontId="5" fillId="0" borderId="1" xfId="0" applyFont="1" applyBorder="1" applyAlignment="1">
      <alignment horizontal="right" vertical="center" wrapText="1" readingOrder="1"/>
    </xf>
    <xf numFmtId="166" fontId="4" fillId="0" borderId="4" xfId="0" applyNumberFormat="1" applyFont="1" applyBorder="1" applyAlignment="1">
      <alignment horizontal="right" vertical="center" wrapText="1" readingOrder="1"/>
    </xf>
    <xf numFmtId="167" fontId="3" fillId="0" borderId="4" xfId="0" applyNumberFormat="1" applyFont="1" applyBorder="1" applyAlignment="1">
      <alignment horizontal="right" vertical="center" wrapText="1" readingOrder="1"/>
    </xf>
    <xf numFmtId="0" fontId="3" fillId="0" borderId="4" xfId="0" applyFont="1" applyBorder="1" applyAlignment="1">
      <alignment horizontal="left" vertical="center" wrapText="1" readingOrder="1"/>
    </xf>
    <xf numFmtId="168" fontId="3" fillId="0" borderId="4" xfId="0" applyNumberFormat="1" applyFont="1" applyBorder="1" applyAlignment="1">
      <alignment horizontal="right" vertical="center" wrapText="1" readingOrder="1"/>
    </xf>
    <xf numFmtId="166" fontId="3" fillId="0" borderId="4" xfId="0" applyNumberFormat="1" applyFont="1" applyBorder="1" applyAlignment="1">
      <alignment horizontal="right" vertical="center" wrapText="1" readingOrder="1"/>
    </xf>
    <xf numFmtId="165" fontId="3" fillId="0" borderId="1" xfId="0" applyNumberFormat="1" applyFont="1" applyBorder="1" applyAlignment="1">
      <alignment horizontal="right" vertical="center" wrapText="1" readingOrder="1"/>
    </xf>
    <xf numFmtId="0" fontId="3" fillId="0" borderId="4" xfId="0" applyFont="1" applyBorder="1" applyAlignment="1">
      <alignment horizontal="right" vertical="center" wrapText="1" readingOrder="1"/>
    </xf>
    <xf numFmtId="0" fontId="11" fillId="0" borderId="4" xfId="0" applyFont="1" applyBorder="1" applyAlignment="1">
      <alignment horizontal="right" vertical="top" wrapText="1" readingOrder="1"/>
    </xf>
    <xf numFmtId="0" fontId="18" fillId="0" borderId="4" xfId="0" applyFont="1" applyBorder="1" applyAlignment="1">
      <alignment horizontal="left" vertical="center" wrapText="1" readingOrder="1"/>
    </xf>
    <xf numFmtId="0" fontId="18" fillId="0" borderId="4" xfId="0" applyFont="1" applyBorder="1" applyAlignment="1">
      <alignment horizontal="right" vertical="center" wrapText="1" readingOrder="1"/>
    </xf>
    <xf numFmtId="166" fontId="11" fillId="0" borderId="10" xfId="0" applyNumberFormat="1" applyFont="1" applyBorder="1" applyAlignment="1">
      <alignment horizontal="right" vertical="center" wrapText="1" readingOrder="1"/>
    </xf>
    <xf numFmtId="0" fontId="19" fillId="0" borderId="4" xfId="0" applyFont="1" applyBorder="1" applyAlignment="1">
      <alignment horizontal="left" vertical="center" wrapText="1" readingOrder="1"/>
    </xf>
    <xf numFmtId="166" fontId="11" fillId="0" borderId="4" xfId="0" applyNumberFormat="1" applyFont="1" applyBorder="1" applyAlignment="1">
      <alignment horizontal="right" vertical="center" wrapText="1" readingOrder="1"/>
    </xf>
    <xf numFmtId="0" fontId="20" fillId="0" borderId="0" xfId="5">
      <alignment wrapText="1"/>
    </xf>
    <xf numFmtId="0" fontId="21" fillId="0" borderId="0" xfId="0" applyFont="1">
      <alignment wrapText="1"/>
    </xf>
    <xf numFmtId="167" fontId="11" fillId="0" borderId="4" xfId="0" applyNumberFormat="1" applyFont="1" applyBorder="1" applyAlignment="1">
      <alignment horizontal="right" vertical="center" wrapText="1" readingOrder="1"/>
    </xf>
    <xf numFmtId="0" fontId="11" fillId="0" borderId="4" xfId="0" applyFont="1" applyBorder="1" applyAlignment="1">
      <alignment horizontal="left" vertical="center" wrapText="1" readingOrder="1"/>
    </xf>
    <xf numFmtId="169" fontId="11" fillId="0" borderId="4" xfId="0" applyNumberFormat="1" applyFont="1" applyBorder="1" applyAlignment="1">
      <alignment horizontal="right" vertical="center" wrapText="1" readingOrder="1"/>
    </xf>
    <xf numFmtId="165" fontId="11" fillId="0" borderId="4" xfId="0" applyNumberFormat="1" applyFont="1" applyBorder="1" applyAlignment="1">
      <alignment horizontal="right" vertical="center" wrapText="1" readingOrder="1"/>
    </xf>
    <xf numFmtId="166" fontId="19" fillId="0" borderId="4" xfId="0" applyNumberFormat="1" applyFont="1" applyBorder="1" applyAlignment="1">
      <alignment horizontal="right" vertical="center" wrapText="1" readingOrder="1"/>
    </xf>
    <xf numFmtId="165" fontId="19" fillId="0" borderId="4" xfId="0" applyNumberFormat="1" applyFont="1" applyBorder="1" applyAlignment="1">
      <alignment horizontal="right" vertical="center" wrapText="1" readingOrder="1"/>
    </xf>
    <xf numFmtId="170" fontId="4" fillId="0" borderId="1" xfId="0" applyNumberFormat="1" applyFont="1" applyBorder="1" applyAlignment="1">
      <alignment horizontal="right" vertical="center" wrapText="1" readingOrder="1"/>
    </xf>
    <xf numFmtId="0" fontId="5" fillId="0" borderId="5" xfId="0" applyFont="1" applyBorder="1" applyAlignment="1">
      <alignment horizontal="left" vertical="center" wrapText="1" readingOrder="1"/>
    </xf>
    <xf numFmtId="0" fontId="5" fillId="0" borderId="5" xfId="0" applyFont="1" applyBorder="1" applyAlignment="1">
      <alignment horizontal="right" vertical="center" wrapText="1" readingOrder="1"/>
    </xf>
    <xf numFmtId="0" fontId="18" fillId="0" borderId="0" xfId="0" applyFont="1" applyAlignment="1">
      <alignment horizontal="left" vertical="center" wrapText="1" readingOrder="1"/>
    </xf>
    <xf numFmtId="0" fontId="11" fillId="0" borderId="0" xfId="0" applyFont="1" applyAlignment="1">
      <alignment horizontal="left" vertical="center" wrapText="1" readingOrder="1"/>
    </xf>
    <xf numFmtId="0" fontId="5" fillId="0" borderId="0" xfId="0" applyFont="1" applyAlignment="1">
      <alignment horizontal="left" vertical="center" wrapText="1" readingOrder="1"/>
    </xf>
    <xf numFmtId="0" fontId="5" fillId="0" borderId="0" xfId="0" applyFont="1" applyAlignment="1">
      <alignment horizontal="right" vertical="center" wrapText="1" readingOrder="1"/>
    </xf>
    <xf numFmtId="0" fontId="5" fillId="0" borderId="6" xfId="0" applyFont="1" applyBorder="1" applyAlignment="1">
      <alignment horizontal="right" vertical="center" wrapText="1" readingOrder="1"/>
    </xf>
    <xf numFmtId="0" fontId="11" fillId="0" borderId="0" xfId="0" applyFont="1" applyAlignment="1">
      <alignment horizontal="right" vertical="top" wrapText="1" readingOrder="1"/>
    </xf>
    <xf numFmtId="0" fontId="19" fillId="0" borderId="4" xfId="0" applyFont="1" applyBorder="1" applyAlignment="1">
      <alignment horizontal="right" vertical="top" wrapText="1" readingOrder="1"/>
    </xf>
    <xf numFmtId="0" fontId="19" fillId="0" borderId="4" xfId="0" applyFont="1" applyBorder="1" applyAlignment="1">
      <alignment horizontal="left" vertical="top" wrapText="1" readingOrder="1"/>
    </xf>
    <xf numFmtId="174" fontId="19" fillId="0" borderId="4" xfId="0" applyNumberFormat="1" applyFont="1" applyBorder="1" applyAlignment="1">
      <alignment horizontal="right" vertical="top" wrapText="1" readingOrder="1"/>
    </xf>
    <xf numFmtId="0" fontId="3" fillId="0" borderId="0" xfId="0" applyFont="1" applyAlignment="1">
      <alignment horizontal="right" vertical="top" wrapText="1" readingOrder="1"/>
    </xf>
    <xf numFmtId="171" fontId="3" fillId="0" borderId="4" xfId="0" applyNumberFormat="1" applyFont="1" applyBorder="1" applyAlignment="1">
      <alignment horizontal="right" vertical="center" wrapText="1" readingOrder="1"/>
    </xf>
    <xf numFmtId="0" fontId="3" fillId="0" borderId="0" xfId="0" applyFont="1" applyAlignment="1">
      <alignment horizontal="left" vertical="center" wrapText="1" readingOrder="1"/>
    </xf>
    <xf numFmtId="0" fontId="3" fillId="0" borderId="0" xfId="0" applyFont="1" applyAlignment="1">
      <alignment horizontal="right" vertical="center" wrapText="1" readingOrder="1"/>
    </xf>
    <xf numFmtId="0" fontId="6" fillId="0" borderId="4" xfId="0" applyFont="1" applyBorder="1" applyAlignment="1">
      <alignment horizontal="left" vertical="center" wrapText="1" readingOrder="1"/>
    </xf>
    <xf numFmtId="0" fontId="6" fillId="0" borderId="4" xfId="0" applyFont="1" applyBorder="1" applyAlignment="1">
      <alignment horizontal="right" vertical="center" wrapText="1" readingOrder="1"/>
    </xf>
    <xf numFmtId="172" fontId="3" fillId="0" borderId="4" xfId="0" applyNumberFormat="1" applyFont="1" applyBorder="1" applyAlignment="1">
      <alignment horizontal="right" vertical="center" wrapText="1" readingOrder="1"/>
    </xf>
    <xf numFmtId="0" fontId="3" fillId="0" borderId="5" xfId="0" applyFont="1" applyBorder="1" applyAlignment="1">
      <alignment horizontal="left" vertical="center" wrapText="1" readingOrder="1"/>
    </xf>
    <xf numFmtId="0" fontId="4" fillId="0" borderId="5" xfId="0" applyFont="1" applyBorder="1" applyAlignment="1">
      <alignment horizontal="left" vertical="center" wrapText="1" readingOrder="1"/>
    </xf>
    <xf numFmtId="0" fontId="11" fillId="0" borderId="6" xfId="0" applyFont="1" applyBorder="1" applyAlignment="1">
      <alignment horizontal="right" vertical="top" wrapText="1" readingOrder="1"/>
    </xf>
    <xf numFmtId="0" fontId="0" fillId="0" borderId="0" xfId="0" applyAlignment="1">
      <alignment horizontal="center" vertical="top" readingOrder="1"/>
    </xf>
    <xf numFmtId="0" fontId="21" fillId="0" borderId="0" xfId="0" applyFont="1" applyAlignment="1">
      <alignment vertical="center" wrapText="1"/>
    </xf>
    <xf numFmtId="0" fontId="22" fillId="0" borderId="10" xfId="0" applyFont="1" applyBorder="1" applyAlignment="1">
      <alignment horizontal="center" vertical="center" wrapText="1"/>
    </xf>
    <xf numFmtId="0" fontId="21" fillId="0" borderId="10" xfId="0" applyFont="1" applyBorder="1" applyAlignment="1">
      <alignment vertical="center" wrapText="1"/>
    </xf>
    <xf numFmtId="0" fontId="21" fillId="0" borderId="10" xfId="0" applyFont="1" applyBorder="1" applyAlignment="1">
      <alignment horizontal="justify" vertical="center" wrapText="1"/>
    </xf>
    <xf numFmtId="173" fontId="19" fillId="0" borderId="4" xfId="0" applyNumberFormat="1" applyFont="1" applyBorder="1" applyAlignment="1">
      <alignment horizontal="left" vertical="center" wrapText="1" readingOrder="1"/>
    </xf>
    <xf numFmtId="175" fontId="19" fillId="0" borderId="4" xfId="0" quotePrefix="1" applyNumberFormat="1" applyFont="1" applyBorder="1" applyAlignment="1">
      <alignment horizontal="left" vertical="center" wrapText="1" readingOrder="1"/>
    </xf>
    <xf numFmtId="0" fontId="0" fillId="0" borderId="0" xfId="0" applyAlignment="1">
      <alignment vertical="center" wrapText="1"/>
    </xf>
    <xf numFmtId="0" fontId="23" fillId="0" borderId="0" xfId="0" applyFont="1">
      <alignment wrapText="1"/>
    </xf>
    <xf numFmtId="0" fontId="23" fillId="0" borderId="0" xfId="0" applyFont="1" applyAlignment="1"/>
    <xf numFmtId="0" fontId="0" fillId="0" borderId="0" xfId="0" applyAlignment="1"/>
    <xf numFmtId="0" fontId="11" fillId="0" borderId="0" xfId="0" applyFont="1" applyAlignment="1">
      <alignment horizontal="right" vertical="center" wrapText="1" readingOrder="1"/>
    </xf>
    <xf numFmtId="0" fontId="0" fillId="0" borderId="0" xfId="0" applyAlignment="1">
      <alignment horizontal="center" vertical="center" wrapText="1"/>
    </xf>
    <xf numFmtId="10" fontId="0" fillId="0" borderId="0" xfId="11" applyNumberFormat="1" applyFont="1" applyFill="1" applyAlignment="1">
      <alignment wrapText="1"/>
    </xf>
    <xf numFmtId="10" fontId="0" fillId="0" borderId="0" xfId="11" applyNumberFormat="1" applyFont="1" applyFill="1" applyAlignment="1">
      <alignment horizontal="center" wrapText="1"/>
    </xf>
    <xf numFmtId="165" fontId="4" fillId="0" borderId="4" xfId="0" applyNumberFormat="1" applyFont="1" applyBorder="1" applyAlignment="1">
      <alignment horizontal="right" vertical="center" wrapText="1" readingOrder="1"/>
    </xf>
    <xf numFmtId="165" fontId="3" fillId="0" borderId="4" xfId="0" applyNumberFormat="1" applyFont="1" applyBorder="1" applyAlignment="1">
      <alignment horizontal="right" vertical="center" wrapText="1" readingOrder="1"/>
    </xf>
    <xf numFmtId="170" fontId="4" fillId="0" borderId="4" xfId="0" applyNumberFormat="1" applyFont="1" applyBorder="1" applyAlignment="1">
      <alignment horizontal="right" vertical="center" wrapText="1" readingOrder="1"/>
    </xf>
    <xf numFmtId="0" fontId="19" fillId="0" borderId="0" xfId="0" applyFont="1" applyAlignment="1">
      <alignment horizontal="left" vertical="center" wrapText="1" readingOrder="1"/>
    </xf>
    <xf numFmtId="0" fontId="22" fillId="0" borderId="0" xfId="0" applyFont="1" applyAlignment="1">
      <alignment vertical="center" readingOrder="1"/>
    </xf>
    <xf numFmtId="0" fontId="22" fillId="0" borderId="0" xfId="0" applyFont="1" applyAlignment="1">
      <alignment horizontal="left" vertical="center" readingOrder="1"/>
    </xf>
    <xf numFmtId="0" fontId="24" fillId="0" borderId="0" xfId="0" applyFont="1" applyAlignment="1">
      <alignment vertical="center" wrapText="1"/>
    </xf>
    <xf numFmtId="0" fontId="24" fillId="0" borderId="10" xfId="0" applyFont="1" applyBorder="1" applyAlignment="1">
      <alignment horizontal="center" vertical="center" wrapText="1"/>
    </xf>
    <xf numFmtId="0" fontId="21" fillId="0" borderId="0" xfId="0" applyFont="1" applyAlignment="1">
      <alignment vertical="center"/>
    </xf>
    <xf numFmtId="0" fontId="21" fillId="0" borderId="10" xfId="0" applyFont="1" applyBorder="1" applyAlignment="1">
      <alignment vertical="center"/>
    </xf>
    <xf numFmtId="4" fontId="21" fillId="0" borderId="10" xfId="0" applyNumberFormat="1" applyFont="1" applyBorder="1" applyAlignment="1">
      <alignment vertical="center"/>
    </xf>
    <xf numFmtId="0" fontId="21" fillId="0" borderId="0" xfId="0" applyFont="1" applyAlignment="1">
      <alignment horizontal="center" vertical="center" readingOrder="1"/>
    </xf>
    <xf numFmtId="0" fontId="26" fillId="0" borderId="10" xfId="2" applyFont="1" applyBorder="1" applyAlignment="1">
      <alignment horizontal="center"/>
    </xf>
    <xf numFmtId="0" fontId="27" fillId="0" borderId="10" xfId="2" applyFont="1" applyBorder="1"/>
    <xf numFmtId="0" fontId="27" fillId="0" borderId="10" xfId="2" applyFont="1" applyBorder="1" applyAlignment="1">
      <alignment wrapText="1"/>
    </xf>
    <xf numFmtId="0" fontId="26" fillId="0" borderId="10" xfId="2" applyFont="1" applyBorder="1" applyAlignment="1">
      <alignment horizontal="center" vertical="center"/>
    </xf>
    <xf numFmtId="0" fontId="26" fillId="0" borderId="10" xfId="2" applyFont="1" applyBorder="1" applyAlignment="1">
      <alignment horizontal="center" vertical="center" wrapText="1"/>
    </xf>
    <xf numFmtId="4" fontId="27" fillId="0" borderId="10" xfId="2" applyNumberFormat="1" applyFont="1" applyBorder="1"/>
    <xf numFmtId="164" fontId="27" fillId="0" borderId="10" xfId="6" applyFont="1" applyFill="1" applyBorder="1"/>
    <xf numFmtId="43" fontId="27" fillId="0" borderId="10" xfId="2" applyNumberFormat="1" applyFont="1" applyBorder="1"/>
    <xf numFmtId="0" fontId="29" fillId="0" borderId="0" xfId="0" applyFont="1" applyAlignment="1"/>
    <xf numFmtId="0" fontId="15" fillId="0" borderId="0" xfId="4" applyFill="1" applyAlignment="1"/>
    <xf numFmtId="2" fontId="21" fillId="0" borderId="10" xfId="0" applyNumberFormat="1" applyFont="1" applyBorder="1" applyAlignment="1">
      <alignment vertical="center"/>
    </xf>
    <xf numFmtId="0" fontId="29" fillId="0" borderId="0" xfId="0" applyFont="1" applyAlignment="1">
      <alignment horizontal="left" vertical="top" readingOrder="1"/>
    </xf>
    <xf numFmtId="0" fontId="27" fillId="0" borderId="0" xfId="2" applyFont="1"/>
    <xf numFmtId="0" fontId="27" fillId="0" borderId="0" xfId="2" applyFont="1" applyAlignment="1">
      <alignment wrapText="1"/>
    </xf>
    <xf numFmtId="4" fontId="27" fillId="0" borderId="0" xfId="2" applyNumberFormat="1" applyFont="1"/>
    <xf numFmtId="164" fontId="27" fillId="0" borderId="0" xfId="6" applyFont="1" applyFill="1" applyBorder="1"/>
    <xf numFmtId="43" fontId="27" fillId="0" borderId="0" xfId="2" applyNumberFormat="1" applyFont="1"/>
    <xf numFmtId="0" fontId="18" fillId="0" borderId="10" xfId="0" applyFont="1" applyBorder="1" applyAlignment="1">
      <alignment horizontal="left" vertical="center" wrapText="1" readingOrder="1"/>
    </xf>
    <xf numFmtId="0" fontId="30" fillId="0" borderId="10" xfId="0" applyFont="1" applyBorder="1">
      <alignment wrapText="1"/>
    </xf>
    <xf numFmtId="0" fontId="18" fillId="0" borderId="10" xfId="0" applyFont="1" applyBorder="1" applyAlignment="1">
      <alignment horizontal="right" vertical="center" wrapText="1" readingOrder="1"/>
    </xf>
    <xf numFmtId="0" fontId="0" fillId="0" borderId="10" xfId="0" applyBorder="1">
      <alignment wrapText="1"/>
    </xf>
    <xf numFmtId="0" fontId="31" fillId="0" borderId="10" xfId="0" applyFont="1" applyBorder="1">
      <alignment wrapText="1"/>
    </xf>
    <xf numFmtId="168" fontId="11" fillId="0" borderId="10" xfId="0" applyNumberFormat="1" applyFont="1" applyBorder="1" applyAlignment="1">
      <alignment horizontal="right" vertical="center" wrapText="1" readingOrder="1"/>
    </xf>
    <xf numFmtId="165" fontId="11" fillId="0" borderId="10" xfId="0" applyNumberFormat="1" applyFont="1" applyBorder="1" applyAlignment="1">
      <alignment horizontal="right" vertical="center" wrapText="1" readingOrder="1"/>
    </xf>
    <xf numFmtId="0" fontId="29" fillId="0" borderId="0" xfId="9" applyFont="1"/>
    <xf numFmtId="0" fontId="0" fillId="0" borderId="0" xfId="0" applyAlignment="1">
      <alignment horizontal="center" vertical="center"/>
    </xf>
    <xf numFmtId="0" fontId="32" fillId="0" borderId="7" xfId="0" applyFont="1" applyBorder="1" applyAlignment="1">
      <alignment horizontal="center" vertical="center" wrapText="1"/>
    </xf>
    <xf numFmtId="0" fontId="33" fillId="0" borderId="7" xfId="0" applyFont="1" applyBorder="1" applyAlignment="1">
      <alignment horizontal="center" vertical="center" wrapText="1"/>
    </xf>
    <xf numFmtId="10" fontId="0" fillId="0" borderId="0" xfId="11" applyNumberFormat="1" applyFont="1" applyFill="1" applyAlignment="1">
      <alignment horizontal="center" vertical="center" wrapText="1"/>
    </xf>
    <xf numFmtId="0" fontId="0" fillId="0" borderId="0" xfId="0" applyAlignment="1">
      <alignment vertical="center"/>
    </xf>
    <xf numFmtId="0" fontId="34" fillId="0" borderId="7" xfId="0" applyFont="1" applyBorder="1" applyAlignment="1">
      <alignment vertical="center"/>
    </xf>
    <xf numFmtId="0" fontId="35" fillId="0" borderId="7" xfId="0" applyFont="1" applyBorder="1" applyAlignment="1">
      <alignment vertical="center" wrapText="1"/>
    </xf>
    <xf numFmtId="0" fontId="35" fillId="0" borderId="7" xfId="0" applyFont="1" applyBorder="1" applyAlignment="1">
      <alignment vertical="center"/>
    </xf>
    <xf numFmtId="164" fontId="34" fillId="0" borderId="7" xfId="6" applyFont="1" applyFill="1" applyBorder="1" applyAlignment="1">
      <alignment vertical="center"/>
    </xf>
    <xf numFmtId="176" fontId="34" fillId="0" borderId="7" xfId="0" applyNumberFormat="1" applyFont="1" applyBorder="1" applyAlignment="1">
      <alignment vertical="center"/>
    </xf>
    <xf numFmtId="10" fontId="0" fillId="0" borderId="0" xfId="11" applyNumberFormat="1" applyFont="1" applyFill="1" applyAlignment="1">
      <alignment vertical="center" wrapText="1"/>
    </xf>
    <xf numFmtId="10" fontId="36" fillId="0" borderId="0" xfId="11" applyNumberFormat="1" applyFont="1" applyFill="1" applyAlignment="1"/>
    <xf numFmtId="0" fontId="36" fillId="0" borderId="0" xfId="0" applyFont="1" applyAlignment="1"/>
    <xf numFmtId="0" fontId="24" fillId="0" borderId="10" xfId="0" applyFont="1" applyBorder="1" applyAlignment="1">
      <alignment vertical="center" wrapText="1"/>
    </xf>
    <xf numFmtId="0" fontId="8" fillId="0" borderId="0" xfId="10" applyFont="1" applyAlignment="1">
      <alignment horizontal="center" vertical="center"/>
    </xf>
    <xf numFmtId="0" fontId="1" fillId="0" borderId="0" xfId="10" applyAlignment="1">
      <alignment wrapText="1"/>
    </xf>
    <xf numFmtId="4" fontId="9" fillId="0" borderId="0" xfId="10" applyNumberFormat="1" applyFont="1"/>
    <xf numFmtId="0" fontId="37" fillId="0" borderId="0" xfId="10" applyFont="1" applyAlignment="1">
      <alignment wrapText="1"/>
    </xf>
    <xf numFmtId="0" fontId="24" fillId="0" borderId="10" xfId="10" applyFont="1" applyBorder="1" applyAlignment="1">
      <alignment horizontal="center" vertical="center"/>
    </xf>
    <xf numFmtId="0" fontId="24" fillId="0" borderId="0" xfId="10" applyFont="1" applyAlignment="1">
      <alignment horizontal="center" vertical="center"/>
    </xf>
    <xf numFmtId="0" fontId="25" fillId="0" borderId="10" xfId="10" applyFont="1" applyBorder="1" applyAlignment="1">
      <alignment vertical="center"/>
    </xf>
    <xf numFmtId="0" fontId="25" fillId="0" borderId="10" xfId="10" applyFont="1" applyBorder="1" applyAlignment="1">
      <alignment vertical="center" wrapText="1"/>
    </xf>
    <xf numFmtId="0" fontId="25" fillId="0" borderId="0" xfId="10" applyFont="1" applyAlignment="1">
      <alignment horizontal="center" vertical="center"/>
    </xf>
    <xf numFmtId="0" fontId="24" fillId="0" borderId="10" xfId="10" applyFont="1" applyBorder="1" applyAlignment="1">
      <alignment horizontal="center" vertical="center" wrapText="1"/>
    </xf>
    <xf numFmtId="0" fontId="38" fillId="0" borderId="0" xfId="10" applyFont="1" applyAlignment="1">
      <alignment horizontal="center" vertical="center"/>
    </xf>
    <xf numFmtId="0" fontId="25" fillId="0" borderId="10" xfId="10" applyFont="1" applyBorder="1" applyAlignment="1">
      <alignment horizontal="left" vertical="center"/>
    </xf>
    <xf numFmtId="4" fontId="25" fillId="0" borderId="10" xfId="10" applyNumberFormat="1" applyFont="1" applyBorder="1" applyAlignment="1">
      <alignment horizontal="right" vertical="center"/>
    </xf>
    <xf numFmtId="10" fontId="25" fillId="0" borderId="10" xfId="7" applyNumberFormat="1" applyFont="1" applyFill="1" applyBorder="1" applyAlignment="1">
      <alignment vertical="center"/>
    </xf>
    <xf numFmtId="164" fontId="37" fillId="0" borderId="0" xfId="6" applyFont="1" applyFill="1" applyAlignment="1">
      <alignment vertical="center"/>
    </xf>
    <xf numFmtId="164" fontId="25" fillId="0" borderId="0" xfId="6" applyFont="1" applyFill="1" applyAlignment="1">
      <alignment horizontal="center" vertical="center"/>
    </xf>
    <xf numFmtId="168" fontId="11" fillId="0" borderId="4" xfId="0" applyNumberFormat="1" applyFont="1" applyBorder="1" applyAlignment="1">
      <alignment horizontal="right" vertical="center" wrapText="1" readingOrder="1"/>
    </xf>
    <xf numFmtId="0" fontId="23" fillId="0" borderId="0" xfId="0" applyFont="1" applyAlignment="1">
      <alignment horizontal="center" vertical="center" wrapText="1"/>
    </xf>
    <xf numFmtId="14" fontId="21" fillId="0" borderId="10" xfId="0" quotePrefix="1" applyNumberFormat="1" applyFont="1" applyBorder="1" applyAlignment="1">
      <alignment horizontal="justify" vertical="center" wrapText="1"/>
    </xf>
    <xf numFmtId="0" fontId="20" fillId="0" borderId="0" xfId="5" applyAlignment="1">
      <alignment vertical="center" wrapText="1"/>
    </xf>
    <xf numFmtId="0" fontId="27" fillId="0" borderId="10" xfId="2" applyFont="1" applyBorder="1" applyAlignment="1">
      <alignment vertical="center"/>
    </xf>
    <xf numFmtId="2" fontId="27" fillId="0" borderId="10" xfId="2" applyNumberFormat="1" applyFont="1" applyBorder="1"/>
    <xf numFmtId="4" fontId="20" fillId="0" borderId="10" xfId="5" applyNumberFormat="1" applyBorder="1">
      <alignment wrapText="1"/>
    </xf>
    <xf numFmtId="0" fontId="3" fillId="0" borderId="1" xfId="0" applyFont="1" applyBorder="1" applyAlignment="1">
      <alignment horizontal="right" vertical="center" wrapText="1" readingOrder="1"/>
    </xf>
    <xf numFmtId="175" fontId="19" fillId="0" borderId="4" xfId="0" applyNumberFormat="1" applyFont="1" applyBorder="1" applyAlignment="1">
      <alignment horizontal="left" vertical="center" wrapText="1" readingOrder="1"/>
    </xf>
    <xf numFmtId="164" fontId="0" fillId="0" borderId="0" xfId="6" applyFont="1" applyFill="1" applyAlignment="1">
      <alignment wrapText="1"/>
    </xf>
    <xf numFmtId="0" fontId="11" fillId="0" borderId="12" xfId="0" applyFont="1" applyBorder="1" applyAlignment="1">
      <alignment horizontal="left" vertical="center" wrapText="1" readingOrder="1"/>
    </xf>
    <xf numFmtId="0" fontId="11" fillId="0" borderId="13" xfId="0" applyFont="1" applyBorder="1" applyAlignment="1">
      <alignment horizontal="left" vertical="center" wrapText="1" readingOrder="1"/>
    </xf>
    <xf numFmtId="0" fontId="11" fillId="0" borderId="14" xfId="0" applyFont="1" applyBorder="1" applyAlignment="1">
      <alignment horizontal="left" vertical="center" wrapText="1" readingOrder="1"/>
    </xf>
    <xf numFmtId="0" fontId="11" fillId="0" borderId="10" xfId="0" applyFont="1" applyBorder="1" applyAlignment="1">
      <alignment horizontal="left" vertical="center" wrapText="1" readingOrder="1"/>
    </xf>
    <xf numFmtId="0" fontId="22" fillId="0" borderId="12" xfId="0" applyFont="1" applyBorder="1" applyAlignment="1">
      <alignment horizontal="center" vertical="center"/>
    </xf>
    <xf numFmtId="0" fontId="22" fillId="0" borderId="13" xfId="0" applyFont="1" applyBorder="1" applyAlignment="1">
      <alignment horizontal="center" vertical="center"/>
    </xf>
    <xf numFmtId="0" fontId="22" fillId="0" borderId="14" xfId="0" applyFont="1" applyBorder="1" applyAlignment="1">
      <alignment horizontal="center" vertical="center"/>
    </xf>
    <xf numFmtId="0" fontId="19" fillId="0" borderId="10" xfId="0" applyFont="1" applyBorder="1" applyAlignment="1">
      <alignment horizontal="center" vertical="center" wrapText="1" readingOrder="1"/>
    </xf>
    <xf numFmtId="0" fontId="2" fillId="0" borderId="7" xfId="0" applyFont="1" applyBorder="1" applyAlignment="1">
      <alignment horizontal="center" vertical="center" wrapText="1" readingOrder="1"/>
    </xf>
    <xf numFmtId="0" fontId="11" fillId="0" borderId="0" xfId="0" applyFont="1" applyAlignment="1">
      <alignment horizontal="left" vertical="center" wrapText="1" readingOrder="1"/>
    </xf>
    <xf numFmtId="0" fontId="11" fillId="0" borderId="1" xfId="0" applyFont="1" applyBorder="1" applyAlignment="1">
      <alignment horizontal="left" vertical="center" wrapText="1" readingOrder="1"/>
    </xf>
    <xf numFmtId="0" fontId="11" fillId="0" borderId="3" xfId="0" applyFont="1" applyBorder="1" applyAlignment="1">
      <alignment horizontal="left" vertical="center" wrapText="1" readingOrder="1"/>
    </xf>
    <xf numFmtId="0" fontId="4" fillId="0" borderId="1" xfId="0" applyFont="1" applyBorder="1" applyAlignment="1">
      <alignment horizontal="left" vertical="center" wrapText="1" readingOrder="1"/>
    </xf>
    <xf numFmtId="0" fontId="4" fillId="0" borderId="2" xfId="0" applyFont="1" applyBorder="1" applyAlignment="1">
      <alignment horizontal="left" vertical="center" wrapText="1" readingOrder="1"/>
    </xf>
    <xf numFmtId="0" fontId="4" fillId="0" borderId="3" xfId="0" applyFont="1" applyBorder="1" applyAlignment="1">
      <alignment horizontal="left" vertical="center" wrapText="1" readingOrder="1"/>
    </xf>
    <xf numFmtId="0" fontId="3" fillId="0" borderId="1" xfId="0" applyFont="1" applyBorder="1" applyAlignment="1">
      <alignment horizontal="left" vertical="center" wrapText="1" readingOrder="1"/>
    </xf>
    <xf numFmtId="0" fontId="3" fillId="0" borderId="3" xfId="0" applyFont="1" applyBorder="1" applyAlignment="1">
      <alignment horizontal="left" vertical="center" wrapText="1" readingOrder="1"/>
    </xf>
    <xf numFmtId="0" fontId="11" fillId="0" borderId="15" xfId="0" applyFont="1" applyBorder="1" applyAlignment="1">
      <alignment horizontal="left" vertical="center" wrapText="1" readingOrder="1"/>
    </xf>
    <xf numFmtId="0" fontId="19" fillId="0" borderId="12" xfId="0" applyFont="1" applyBorder="1" applyAlignment="1">
      <alignment horizontal="center" vertical="center" wrapText="1" readingOrder="1"/>
    </xf>
    <xf numFmtId="0" fontId="19" fillId="0" borderId="14" xfId="0" applyFont="1" applyBorder="1" applyAlignment="1">
      <alignment horizontal="center" vertical="center" wrapText="1" readingOrder="1"/>
    </xf>
    <xf numFmtId="0" fontId="11" fillId="0" borderId="0" xfId="0" quotePrefix="1" applyFont="1" applyAlignment="1">
      <alignment horizontal="left" vertical="center" wrapText="1" readingOrder="1"/>
    </xf>
    <xf numFmtId="0" fontId="26" fillId="0" borderId="16" xfId="2" applyFont="1" applyBorder="1" applyAlignment="1">
      <alignment horizontal="center" vertical="center" wrapText="1"/>
    </xf>
    <xf numFmtId="0" fontId="26" fillId="0" borderId="11" xfId="2" applyFont="1" applyBorder="1" applyAlignment="1">
      <alignment horizontal="center" vertical="center" wrapText="1"/>
    </xf>
    <xf numFmtId="0" fontId="26" fillId="0" borderId="10" xfId="2" applyFont="1" applyBorder="1" applyAlignment="1">
      <alignment horizontal="center" vertical="center"/>
    </xf>
    <xf numFmtId="0" fontId="26" fillId="0" borderId="10" xfId="2" applyFont="1" applyBorder="1" applyAlignment="1">
      <alignment horizontal="center" vertical="center" wrapText="1"/>
    </xf>
    <xf numFmtId="164" fontId="27" fillId="0" borderId="10" xfId="6" applyFont="1" applyFill="1" applyBorder="1" applyAlignment="1">
      <alignment horizontal="center"/>
    </xf>
    <xf numFmtId="0" fontId="27" fillId="0" borderId="10" xfId="2" applyFont="1" applyBorder="1" applyAlignment="1">
      <alignment horizontal="center"/>
    </xf>
    <xf numFmtId="0" fontId="26" fillId="0" borderId="10" xfId="2" applyFont="1" applyBorder="1" applyAlignment="1">
      <alignment horizontal="center"/>
    </xf>
    <xf numFmtId="0" fontId="26" fillId="0" borderId="10" xfId="2" applyFont="1" applyBorder="1" applyAlignment="1">
      <alignment horizontal="center" wrapText="1"/>
    </xf>
    <xf numFmtId="0" fontId="27" fillId="0" borderId="0" xfId="2" applyFont="1" applyAlignment="1">
      <alignment horizontal="left" vertical="center" wrapText="1"/>
    </xf>
    <xf numFmtId="0" fontId="27" fillId="0" borderId="0" xfId="2" applyFont="1" applyAlignment="1">
      <alignment horizontal="center"/>
    </xf>
    <xf numFmtId="0" fontId="26" fillId="0" borderId="0" xfId="2" applyFont="1" applyAlignment="1">
      <alignment horizontal="center"/>
    </xf>
    <xf numFmtId="164" fontId="27" fillId="0" borderId="12" xfId="6" applyFont="1" applyFill="1" applyBorder="1" applyAlignment="1">
      <alignment horizontal="center"/>
    </xf>
    <xf numFmtId="164" fontId="27" fillId="0" borderId="13" xfId="6" applyFont="1" applyFill="1" applyBorder="1" applyAlignment="1">
      <alignment horizontal="center"/>
    </xf>
    <xf numFmtId="164" fontId="27" fillId="0" borderId="14" xfId="6" applyFont="1" applyFill="1" applyBorder="1" applyAlignment="1">
      <alignment horizontal="center"/>
    </xf>
    <xf numFmtId="0" fontId="29" fillId="0" borderId="0" xfId="0" applyFont="1" applyAlignment="1">
      <alignment horizontal="left" vertical="top" readingOrder="1"/>
    </xf>
    <xf numFmtId="0" fontId="26" fillId="0" borderId="12" xfId="2" applyFont="1" applyBorder="1" applyAlignment="1">
      <alignment horizontal="center" wrapText="1"/>
    </xf>
    <xf numFmtId="0" fontId="26" fillId="0" borderId="13" xfId="2" applyFont="1" applyBorder="1" applyAlignment="1">
      <alignment horizontal="center" wrapText="1"/>
    </xf>
    <xf numFmtId="0" fontId="26" fillId="0" borderId="14" xfId="2" applyFont="1" applyBorder="1" applyAlignment="1">
      <alignment horizontal="center" wrapText="1"/>
    </xf>
    <xf numFmtId="0" fontId="26" fillId="0" borderId="12" xfId="2" applyFont="1" applyBorder="1" applyAlignment="1">
      <alignment horizontal="center"/>
    </xf>
    <xf numFmtId="0" fontId="26" fillId="0" borderId="14" xfId="2" applyFont="1" applyBorder="1" applyAlignment="1">
      <alignment horizontal="center"/>
    </xf>
    <xf numFmtId="0" fontId="11" fillId="0" borderId="0" xfId="0" applyFont="1" applyAlignment="1">
      <alignment horizontal="justify" vertical="top" wrapText="1" readingOrder="1"/>
    </xf>
    <xf numFmtId="0" fontId="24" fillId="0" borderId="12" xfId="10" applyFont="1" applyBorder="1" applyAlignment="1">
      <alignment horizontal="center" vertical="center"/>
    </xf>
    <xf numFmtId="0" fontId="24" fillId="0" borderId="13" xfId="10" applyFont="1" applyBorder="1" applyAlignment="1">
      <alignment horizontal="center" vertical="center"/>
    </xf>
    <xf numFmtId="0" fontId="24" fillId="0" borderId="14" xfId="10" applyFont="1" applyBorder="1" applyAlignment="1">
      <alignment horizontal="center" vertical="center"/>
    </xf>
    <xf numFmtId="0" fontId="24" fillId="0" borderId="10" xfId="10" applyFont="1" applyBorder="1" applyAlignment="1">
      <alignment horizontal="center" vertical="center"/>
    </xf>
    <xf numFmtId="0" fontId="25" fillId="0" borderId="12" xfId="10" applyFont="1" applyBorder="1" applyAlignment="1">
      <alignment horizontal="left" vertical="center" wrapText="1"/>
    </xf>
    <xf numFmtId="0" fontId="25" fillId="0" borderId="13" xfId="10" applyFont="1" applyBorder="1" applyAlignment="1">
      <alignment horizontal="left" vertical="center" wrapText="1"/>
    </xf>
    <xf numFmtId="0" fontId="25" fillId="0" borderId="14" xfId="10" applyFont="1" applyBorder="1" applyAlignment="1">
      <alignment horizontal="left" vertical="center" wrapText="1"/>
    </xf>
    <xf numFmtId="0" fontId="22" fillId="0" borderId="12" xfId="0" applyFont="1" applyBorder="1" applyAlignment="1">
      <alignment horizontal="left" vertical="center" readingOrder="1"/>
    </xf>
    <xf numFmtId="0" fontId="22" fillId="0" borderId="13" xfId="0" applyFont="1" applyBorder="1" applyAlignment="1">
      <alignment horizontal="left" vertical="center" readingOrder="1"/>
    </xf>
    <xf numFmtId="0" fontId="22" fillId="0" borderId="14" xfId="0" applyFont="1" applyBorder="1" applyAlignment="1">
      <alignment horizontal="left" vertical="center" readingOrder="1"/>
    </xf>
    <xf numFmtId="0" fontId="24" fillId="0" borderId="12" xfId="10" applyFont="1" applyBorder="1" applyAlignment="1">
      <alignment horizontal="center" vertical="center" wrapText="1"/>
    </xf>
    <xf numFmtId="0" fontId="24" fillId="0" borderId="14" xfId="10" applyFont="1" applyBorder="1" applyAlignment="1">
      <alignment horizontal="center" vertical="center" wrapText="1"/>
    </xf>
    <xf numFmtId="164" fontId="25" fillId="0" borderId="12" xfId="6" applyFont="1" applyFill="1" applyBorder="1" applyAlignment="1">
      <alignment horizontal="center" vertical="center"/>
    </xf>
    <xf numFmtId="164" fontId="25" fillId="0" borderId="14" xfId="6" applyFont="1" applyFill="1" applyBorder="1" applyAlignment="1">
      <alignment horizontal="center" vertical="center"/>
    </xf>
    <xf numFmtId="0" fontId="29" fillId="0" borderId="10" xfId="0" applyFont="1" applyBorder="1" applyAlignment="1">
      <alignment horizontal="left" vertical="top" readingOrder="1"/>
    </xf>
  </cellXfs>
  <cellStyles count="12">
    <cellStyle name="Comma 2" xfId="6" xr:uid="{9EC110D5-7627-4F95-AF0A-7819C12673C1}"/>
    <cellStyle name="Comma 3" xfId="1" xr:uid="{305BB99F-950D-40D8-9847-EA0C608279ED}"/>
    <cellStyle name="Hyperlink 2" xfId="4" xr:uid="{95A6B568-A0CF-4D7B-B727-A5E0B4B9843C}"/>
    <cellStyle name="Normal" xfId="0" builtinId="0"/>
    <cellStyle name="Normal 2 2 2" xfId="2" xr:uid="{E23E115E-703C-4AA5-B528-8CEAA692BF5F}"/>
    <cellStyle name="Normal 2 2 3" xfId="10" xr:uid="{D7B49557-7649-4A72-B6AD-0813673096EE}"/>
    <cellStyle name="Normal 2 3" xfId="3" xr:uid="{87C74DBA-ED76-4971-AA48-19F29E52BB3B}"/>
    <cellStyle name="Normal 3" xfId="5" xr:uid="{EB9BE01B-C16D-4119-9552-5576AFEAC88C}"/>
    <cellStyle name="Normal 4" xfId="9" xr:uid="{2CEA3177-2719-4188-A7E1-459C4C8EAA24}"/>
    <cellStyle name="Percent" xfId="11" builtinId="5"/>
    <cellStyle name="Percent 2" xfId="7" xr:uid="{4C281FDC-ED9F-426E-9693-669CC2520C70}"/>
    <cellStyle name="Percent 3" xfId="8" xr:uid="{ABF66A4A-51D8-48BD-9DFA-042262B54B9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image" Target="../media/image3.pn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image" Target="../media/image3.pn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3.png"/></Relationships>
</file>

<file path=xl/drawings/_rels/drawing9.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10.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editAs="oneCell">
    <xdr:from>
      <xdr:col>1</xdr:col>
      <xdr:colOff>28574</xdr:colOff>
      <xdr:row>149</xdr:row>
      <xdr:rowOff>0</xdr:rowOff>
    </xdr:from>
    <xdr:to>
      <xdr:col>2</xdr:col>
      <xdr:colOff>1780347</xdr:colOff>
      <xdr:row>150</xdr:row>
      <xdr:rowOff>27375</xdr:rowOff>
    </xdr:to>
    <xdr:pic>
      <xdr:nvPicPr>
        <xdr:cNvPr id="5" name="Picture 4">
          <a:extLst>
            <a:ext uri="{FF2B5EF4-FFF2-40B4-BE49-F238E27FC236}">
              <a16:creationId xmlns:a16="http://schemas.microsoft.com/office/drawing/2014/main" id="{78ED7618-32F7-43DE-A563-25E465DA715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19099" y="30594300"/>
          <a:ext cx="3104323"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152400</xdr:colOff>
      <xdr:row>154</xdr:row>
      <xdr:rowOff>76201</xdr:rowOff>
    </xdr:from>
    <xdr:to>
      <xdr:col>7</xdr:col>
      <xdr:colOff>567239</xdr:colOff>
      <xdr:row>154</xdr:row>
      <xdr:rowOff>2056201</xdr:rowOff>
    </xdr:to>
    <xdr:pic>
      <xdr:nvPicPr>
        <xdr:cNvPr id="7" name="Picture 6">
          <a:extLst>
            <a:ext uri="{FF2B5EF4-FFF2-40B4-BE49-F238E27FC236}">
              <a16:creationId xmlns:a16="http://schemas.microsoft.com/office/drawing/2014/main" id="{666AD765-9E63-4FAA-8A37-28497D1FFE6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381500" y="33270826"/>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314325</xdr:colOff>
      <xdr:row>154</xdr:row>
      <xdr:rowOff>95251</xdr:rowOff>
    </xdr:from>
    <xdr:to>
      <xdr:col>2</xdr:col>
      <xdr:colOff>1957889</xdr:colOff>
      <xdr:row>154</xdr:row>
      <xdr:rowOff>2075251</xdr:rowOff>
    </xdr:to>
    <xdr:pic>
      <xdr:nvPicPr>
        <xdr:cNvPr id="2" name="Picture 1">
          <a:extLst>
            <a:ext uri="{FF2B5EF4-FFF2-40B4-BE49-F238E27FC236}">
              <a16:creationId xmlns:a16="http://schemas.microsoft.com/office/drawing/2014/main" id="{22775345-782C-4930-97A6-E3A00345FEF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14325" y="33289876"/>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138</xdr:row>
      <xdr:rowOff>0</xdr:rowOff>
    </xdr:from>
    <xdr:to>
      <xdr:col>2</xdr:col>
      <xdr:colOff>1189798</xdr:colOff>
      <xdr:row>139</xdr:row>
      <xdr:rowOff>27375</xdr:rowOff>
    </xdr:to>
    <xdr:pic>
      <xdr:nvPicPr>
        <xdr:cNvPr id="5" name="Picture 4">
          <a:extLst>
            <a:ext uri="{FF2B5EF4-FFF2-40B4-BE49-F238E27FC236}">
              <a16:creationId xmlns:a16="http://schemas.microsoft.com/office/drawing/2014/main" id="{5AE02BA8-9D1A-495E-B730-067CC413DC1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27184350"/>
          <a:ext cx="3104323"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143</xdr:row>
      <xdr:rowOff>0</xdr:rowOff>
    </xdr:from>
    <xdr:to>
      <xdr:col>2</xdr:col>
      <xdr:colOff>1472114</xdr:colOff>
      <xdr:row>143</xdr:row>
      <xdr:rowOff>1980000</xdr:rowOff>
    </xdr:to>
    <xdr:pic>
      <xdr:nvPicPr>
        <xdr:cNvPr id="6" name="Picture 5">
          <a:extLst>
            <a:ext uri="{FF2B5EF4-FFF2-40B4-BE49-F238E27FC236}">
              <a16:creationId xmlns:a16="http://schemas.microsoft.com/office/drawing/2014/main" id="{45CBC3AC-D147-4BB6-9C6B-810CC8FB9BE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29784675"/>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352425</xdr:colOff>
      <xdr:row>143</xdr:row>
      <xdr:rowOff>0</xdr:rowOff>
    </xdr:from>
    <xdr:to>
      <xdr:col>9</xdr:col>
      <xdr:colOff>281489</xdr:colOff>
      <xdr:row>143</xdr:row>
      <xdr:rowOff>1980000</xdr:rowOff>
    </xdr:to>
    <xdr:pic>
      <xdr:nvPicPr>
        <xdr:cNvPr id="7" name="Picture 6">
          <a:extLst>
            <a:ext uri="{FF2B5EF4-FFF2-40B4-BE49-F238E27FC236}">
              <a16:creationId xmlns:a16="http://schemas.microsoft.com/office/drawing/2014/main" id="{333EA82A-F69F-4651-AD39-0F73626A901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29225" y="29784675"/>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160</xdr:row>
      <xdr:rowOff>0</xdr:rowOff>
    </xdr:from>
    <xdr:to>
      <xdr:col>2</xdr:col>
      <xdr:colOff>2034089</xdr:colOff>
      <xdr:row>160</xdr:row>
      <xdr:rowOff>1980000</xdr:rowOff>
    </xdr:to>
    <xdr:pic>
      <xdr:nvPicPr>
        <xdr:cNvPr id="5" name="Picture 4">
          <a:extLst>
            <a:ext uri="{FF2B5EF4-FFF2-40B4-BE49-F238E27FC236}">
              <a16:creationId xmlns:a16="http://schemas.microsoft.com/office/drawing/2014/main" id="{3F2D4FB2-7041-476F-9DB3-50073031BA0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31623000"/>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2733675</xdr:colOff>
      <xdr:row>160</xdr:row>
      <xdr:rowOff>0</xdr:rowOff>
    </xdr:from>
    <xdr:to>
      <xdr:col>7</xdr:col>
      <xdr:colOff>424364</xdr:colOff>
      <xdr:row>160</xdr:row>
      <xdr:rowOff>1980000</xdr:rowOff>
    </xdr:to>
    <xdr:pic>
      <xdr:nvPicPr>
        <xdr:cNvPr id="6" name="Picture 5">
          <a:extLst>
            <a:ext uri="{FF2B5EF4-FFF2-40B4-BE49-F238E27FC236}">
              <a16:creationId xmlns:a16="http://schemas.microsoft.com/office/drawing/2014/main" id="{8975EECA-6E0A-4DAD-AC0D-F9912378A3D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476750" y="31623000"/>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342900</xdr:colOff>
      <xdr:row>155</xdr:row>
      <xdr:rowOff>28575</xdr:rowOff>
    </xdr:from>
    <xdr:to>
      <xdr:col>2</xdr:col>
      <xdr:colOff>1986464</xdr:colOff>
      <xdr:row>156</xdr:row>
      <xdr:rowOff>55950</xdr:rowOff>
    </xdr:to>
    <xdr:pic>
      <xdr:nvPicPr>
        <xdr:cNvPr id="2" name="Picture 1">
          <a:extLst>
            <a:ext uri="{FF2B5EF4-FFF2-40B4-BE49-F238E27FC236}">
              <a16:creationId xmlns:a16="http://schemas.microsoft.com/office/drawing/2014/main" id="{A96360A6-E0EC-4620-86A0-1FB977812FC7}"/>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42900" y="29051250"/>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177</xdr:row>
      <xdr:rowOff>0</xdr:rowOff>
    </xdr:from>
    <xdr:to>
      <xdr:col>2</xdr:col>
      <xdr:colOff>2034089</xdr:colOff>
      <xdr:row>177</xdr:row>
      <xdr:rowOff>1980000</xdr:rowOff>
    </xdr:to>
    <xdr:pic>
      <xdr:nvPicPr>
        <xdr:cNvPr id="5" name="Picture 4">
          <a:extLst>
            <a:ext uri="{FF2B5EF4-FFF2-40B4-BE49-F238E27FC236}">
              <a16:creationId xmlns:a16="http://schemas.microsoft.com/office/drawing/2014/main" id="{ED14A70F-B12F-4603-8401-E46E57AC32A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39252525"/>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123825</xdr:colOff>
      <xdr:row>177</xdr:row>
      <xdr:rowOff>0</xdr:rowOff>
    </xdr:from>
    <xdr:to>
      <xdr:col>7</xdr:col>
      <xdr:colOff>557714</xdr:colOff>
      <xdr:row>177</xdr:row>
      <xdr:rowOff>1980000</xdr:rowOff>
    </xdr:to>
    <xdr:pic>
      <xdr:nvPicPr>
        <xdr:cNvPr id="6" name="Picture 5">
          <a:extLst>
            <a:ext uri="{FF2B5EF4-FFF2-40B4-BE49-F238E27FC236}">
              <a16:creationId xmlns:a16="http://schemas.microsoft.com/office/drawing/2014/main" id="{F4AC8BE9-3BAE-4750-91C4-5F70F1C167D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352925" y="39252525"/>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38100</xdr:colOff>
      <xdr:row>172</xdr:row>
      <xdr:rowOff>57150</xdr:rowOff>
    </xdr:from>
    <xdr:to>
      <xdr:col>2</xdr:col>
      <xdr:colOff>2019300</xdr:colOff>
      <xdr:row>173</xdr:row>
      <xdr:rowOff>84525</xdr:rowOff>
    </xdr:to>
    <xdr:pic>
      <xdr:nvPicPr>
        <xdr:cNvPr id="2" name="Picture 1">
          <a:extLst>
            <a:ext uri="{FF2B5EF4-FFF2-40B4-BE49-F238E27FC236}">
              <a16:creationId xmlns:a16="http://schemas.microsoft.com/office/drawing/2014/main" id="{2305D5D3-1346-489E-9A01-6859F5EBA5A8}"/>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28625" y="36385500"/>
          <a:ext cx="3333750"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195</xdr:row>
      <xdr:rowOff>0</xdr:rowOff>
    </xdr:from>
    <xdr:to>
      <xdr:col>2</xdr:col>
      <xdr:colOff>2034089</xdr:colOff>
      <xdr:row>196</xdr:row>
      <xdr:rowOff>27375</xdr:rowOff>
    </xdr:to>
    <xdr:pic>
      <xdr:nvPicPr>
        <xdr:cNvPr id="5" name="Picture 4">
          <a:extLst>
            <a:ext uri="{FF2B5EF4-FFF2-40B4-BE49-F238E27FC236}">
              <a16:creationId xmlns:a16="http://schemas.microsoft.com/office/drawing/2014/main" id="{BDB4EA06-5D1A-4DD8-9FE6-0F12B382127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38071425"/>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200</xdr:row>
      <xdr:rowOff>0</xdr:rowOff>
    </xdr:from>
    <xdr:to>
      <xdr:col>2</xdr:col>
      <xdr:colOff>2034089</xdr:colOff>
      <xdr:row>200</xdr:row>
      <xdr:rowOff>1980000</xdr:rowOff>
    </xdr:to>
    <xdr:pic>
      <xdr:nvPicPr>
        <xdr:cNvPr id="6" name="Picture 5">
          <a:extLst>
            <a:ext uri="{FF2B5EF4-FFF2-40B4-BE49-F238E27FC236}">
              <a16:creationId xmlns:a16="http://schemas.microsoft.com/office/drawing/2014/main" id="{70AC4413-FBF8-4318-BE9B-DA2CAB44251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40671750"/>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123825</xdr:colOff>
      <xdr:row>200</xdr:row>
      <xdr:rowOff>0</xdr:rowOff>
    </xdr:from>
    <xdr:to>
      <xdr:col>7</xdr:col>
      <xdr:colOff>491039</xdr:colOff>
      <xdr:row>200</xdr:row>
      <xdr:rowOff>1980000</xdr:rowOff>
    </xdr:to>
    <xdr:pic>
      <xdr:nvPicPr>
        <xdr:cNvPr id="7" name="Picture 6">
          <a:extLst>
            <a:ext uri="{FF2B5EF4-FFF2-40B4-BE49-F238E27FC236}">
              <a16:creationId xmlns:a16="http://schemas.microsoft.com/office/drawing/2014/main" id="{C4A5BED1-E2F7-4107-A2A9-0F008933FFE1}"/>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352925" y="40671750"/>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171</xdr:row>
      <xdr:rowOff>0</xdr:rowOff>
    </xdr:from>
    <xdr:to>
      <xdr:col>2</xdr:col>
      <xdr:colOff>1751773</xdr:colOff>
      <xdr:row>172</xdr:row>
      <xdr:rowOff>27375</xdr:rowOff>
    </xdr:to>
    <xdr:pic>
      <xdr:nvPicPr>
        <xdr:cNvPr id="5" name="Picture 4">
          <a:extLst>
            <a:ext uri="{FF2B5EF4-FFF2-40B4-BE49-F238E27FC236}">
              <a16:creationId xmlns:a16="http://schemas.microsoft.com/office/drawing/2014/main" id="{D25A22E5-4278-460F-9AB8-7D7831C24B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37223700"/>
          <a:ext cx="3104323"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123825</xdr:colOff>
      <xdr:row>176</xdr:row>
      <xdr:rowOff>0</xdr:rowOff>
    </xdr:from>
    <xdr:to>
      <xdr:col>7</xdr:col>
      <xdr:colOff>605339</xdr:colOff>
      <xdr:row>176</xdr:row>
      <xdr:rowOff>1980000</xdr:rowOff>
    </xdr:to>
    <xdr:pic>
      <xdr:nvPicPr>
        <xdr:cNvPr id="6" name="Picture 5">
          <a:extLst>
            <a:ext uri="{FF2B5EF4-FFF2-40B4-BE49-F238E27FC236}">
              <a16:creationId xmlns:a16="http://schemas.microsoft.com/office/drawing/2014/main" id="{88D1F31C-1B8F-40AD-B58A-7F7608C1506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352925" y="39824025"/>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176</xdr:row>
      <xdr:rowOff>0</xdr:rowOff>
    </xdr:from>
    <xdr:to>
      <xdr:col>2</xdr:col>
      <xdr:colOff>2034089</xdr:colOff>
      <xdr:row>176</xdr:row>
      <xdr:rowOff>1980000</xdr:rowOff>
    </xdr:to>
    <xdr:pic>
      <xdr:nvPicPr>
        <xdr:cNvPr id="7" name="Picture 6">
          <a:extLst>
            <a:ext uri="{FF2B5EF4-FFF2-40B4-BE49-F238E27FC236}">
              <a16:creationId xmlns:a16="http://schemas.microsoft.com/office/drawing/2014/main" id="{B00857F2-83BE-4B44-9118-CC93798FF03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39824025"/>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193</xdr:row>
      <xdr:rowOff>0</xdr:rowOff>
    </xdr:from>
    <xdr:to>
      <xdr:col>2</xdr:col>
      <xdr:colOff>2034089</xdr:colOff>
      <xdr:row>193</xdr:row>
      <xdr:rowOff>1980000</xdr:rowOff>
    </xdr:to>
    <xdr:pic>
      <xdr:nvPicPr>
        <xdr:cNvPr id="5" name="Picture 4">
          <a:extLst>
            <a:ext uri="{FF2B5EF4-FFF2-40B4-BE49-F238E27FC236}">
              <a16:creationId xmlns:a16="http://schemas.microsoft.com/office/drawing/2014/main" id="{8F7CF0A8-D739-4F63-ACB8-81CC801C125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41738550"/>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123825</xdr:colOff>
      <xdr:row>193</xdr:row>
      <xdr:rowOff>0</xdr:rowOff>
    </xdr:from>
    <xdr:to>
      <xdr:col>7</xdr:col>
      <xdr:colOff>557714</xdr:colOff>
      <xdr:row>193</xdr:row>
      <xdr:rowOff>1980000</xdr:rowOff>
    </xdr:to>
    <xdr:pic>
      <xdr:nvPicPr>
        <xdr:cNvPr id="6" name="Picture 5">
          <a:extLst>
            <a:ext uri="{FF2B5EF4-FFF2-40B4-BE49-F238E27FC236}">
              <a16:creationId xmlns:a16="http://schemas.microsoft.com/office/drawing/2014/main" id="{7F5DBD47-2898-44B0-B909-C3D03706A11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352925" y="41738550"/>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187</xdr:row>
      <xdr:rowOff>0</xdr:rowOff>
    </xdr:from>
    <xdr:to>
      <xdr:col>2</xdr:col>
      <xdr:colOff>1751773</xdr:colOff>
      <xdr:row>188</xdr:row>
      <xdr:rowOff>27375</xdr:rowOff>
    </xdr:to>
    <xdr:pic>
      <xdr:nvPicPr>
        <xdr:cNvPr id="7" name="Picture 6">
          <a:extLst>
            <a:ext uri="{FF2B5EF4-FFF2-40B4-BE49-F238E27FC236}">
              <a16:creationId xmlns:a16="http://schemas.microsoft.com/office/drawing/2014/main" id="{7C3439A3-924D-450F-878E-CCE04646334E}"/>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90525" y="38814375"/>
          <a:ext cx="3104323"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3</xdr:col>
      <xdr:colOff>400050</xdr:colOff>
      <xdr:row>136</xdr:row>
      <xdr:rowOff>19050</xdr:rowOff>
    </xdr:from>
    <xdr:to>
      <xdr:col>8</xdr:col>
      <xdr:colOff>481514</xdr:colOff>
      <xdr:row>136</xdr:row>
      <xdr:rowOff>1999050</xdr:rowOff>
    </xdr:to>
    <xdr:pic>
      <xdr:nvPicPr>
        <xdr:cNvPr id="5" name="Picture 4">
          <a:extLst>
            <a:ext uri="{FF2B5EF4-FFF2-40B4-BE49-F238E27FC236}">
              <a16:creationId xmlns:a16="http://schemas.microsoft.com/office/drawing/2014/main" id="{EA21B37C-11CA-4017-9AA6-A3159F12B9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38700" y="29165550"/>
          <a:ext cx="3720014"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131</xdr:row>
      <xdr:rowOff>0</xdr:rowOff>
    </xdr:from>
    <xdr:to>
      <xdr:col>2</xdr:col>
      <xdr:colOff>1418398</xdr:colOff>
      <xdr:row>132</xdr:row>
      <xdr:rowOff>27375</xdr:rowOff>
    </xdr:to>
    <xdr:pic>
      <xdr:nvPicPr>
        <xdr:cNvPr id="6" name="Picture 5">
          <a:extLst>
            <a:ext uri="{FF2B5EF4-FFF2-40B4-BE49-F238E27FC236}">
              <a16:creationId xmlns:a16="http://schemas.microsoft.com/office/drawing/2014/main" id="{3823E31F-C654-497B-AF16-268ED5B396F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26546175"/>
          <a:ext cx="3104323"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9526</xdr:colOff>
      <xdr:row>136</xdr:row>
      <xdr:rowOff>38101</xdr:rowOff>
    </xdr:from>
    <xdr:to>
      <xdr:col>2</xdr:col>
      <xdr:colOff>1710240</xdr:colOff>
      <xdr:row>136</xdr:row>
      <xdr:rowOff>2018101</xdr:rowOff>
    </xdr:to>
    <xdr:pic>
      <xdr:nvPicPr>
        <xdr:cNvPr id="7" name="Picture 6">
          <a:extLst>
            <a:ext uri="{FF2B5EF4-FFF2-40B4-BE49-F238E27FC236}">
              <a16:creationId xmlns:a16="http://schemas.microsoft.com/office/drawing/2014/main" id="{617102F2-50C2-4C2C-87C3-0EB5C9EEA3D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00051" y="29184601"/>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0</xdr:colOff>
      <xdr:row>157</xdr:row>
      <xdr:rowOff>0</xdr:rowOff>
    </xdr:from>
    <xdr:to>
      <xdr:col>2</xdr:col>
      <xdr:colOff>2095500</xdr:colOff>
      <xdr:row>158</xdr:row>
      <xdr:rowOff>28576</xdr:rowOff>
    </xdr:to>
    <xdr:pic>
      <xdr:nvPicPr>
        <xdr:cNvPr id="4" name="Picture 3">
          <a:extLst>
            <a:ext uri="{FF2B5EF4-FFF2-40B4-BE49-F238E27FC236}">
              <a16:creationId xmlns:a16="http://schemas.microsoft.com/office/drawing/2014/main" id="{C774850D-8A11-4983-91EE-4398FE66E84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31099125"/>
          <a:ext cx="3448050" cy="19812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162</xdr:row>
      <xdr:rowOff>0</xdr:rowOff>
    </xdr:from>
    <xdr:to>
      <xdr:col>2</xdr:col>
      <xdr:colOff>1994905</xdr:colOff>
      <xdr:row>162</xdr:row>
      <xdr:rowOff>1980000</xdr:rowOff>
    </xdr:to>
    <xdr:pic>
      <xdr:nvPicPr>
        <xdr:cNvPr id="5" name="Picture 4">
          <a:extLst>
            <a:ext uri="{FF2B5EF4-FFF2-40B4-BE49-F238E27FC236}">
              <a16:creationId xmlns:a16="http://schemas.microsoft.com/office/drawing/2014/main" id="{3DAA9510-A4FD-4991-9F53-78A5E9FE17F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3369945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0</xdr:colOff>
      <xdr:row>117</xdr:row>
      <xdr:rowOff>161924</xdr:rowOff>
    </xdr:from>
    <xdr:to>
      <xdr:col>2</xdr:col>
      <xdr:colOff>1912648</xdr:colOff>
      <xdr:row>118</xdr:row>
      <xdr:rowOff>1979999</xdr:rowOff>
    </xdr:to>
    <xdr:pic>
      <xdr:nvPicPr>
        <xdr:cNvPr id="5" name="Picture 4">
          <a:extLst>
            <a:ext uri="{FF2B5EF4-FFF2-40B4-BE49-F238E27FC236}">
              <a16:creationId xmlns:a16="http://schemas.microsoft.com/office/drawing/2014/main" id="{95B567B7-7BFE-4B49-984A-E6163898F3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22431374"/>
          <a:ext cx="3465223"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476250</xdr:colOff>
      <xdr:row>117</xdr:row>
      <xdr:rowOff>161923</xdr:rowOff>
    </xdr:from>
    <xdr:to>
      <xdr:col>8</xdr:col>
      <xdr:colOff>409575</xdr:colOff>
      <xdr:row>118</xdr:row>
      <xdr:rowOff>1992681</xdr:rowOff>
    </xdr:to>
    <xdr:pic>
      <xdr:nvPicPr>
        <xdr:cNvPr id="6" name="Picture 5">
          <a:extLst>
            <a:ext uri="{FF2B5EF4-FFF2-40B4-BE49-F238E27FC236}">
              <a16:creationId xmlns:a16="http://schemas.microsoft.com/office/drawing/2014/main" id="{C2D1590F-9710-435C-9FF9-12C56202142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05375" y="22431373"/>
          <a:ext cx="3448050" cy="19926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38100</xdr:colOff>
      <xdr:row>113</xdr:row>
      <xdr:rowOff>76198</xdr:rowOff>
    </xdr:from>
    <xdr:to>
      <xdr:col>2</xdr:col>
      <xdr:colOff>1873125</xdr:colOff>
      <xdr:row>114</xdr:row>
      <xdr:rowOff>102097</xdr:rowOff>
    </xdr:to>
    <xdr:pic>
      <xdr:nvPicPr>
        <xdr:cNvPr id="3" name="Picture 2">
          <a:extLst>
            <a:ext uri="{FF2B5EF4-FFF2-40B4-BE49-F238E27FC236}">
              <a16:creationId xmlns:a16="http://schemas.microsoft.com/office/drawing/2014/main" id="{F899FE0D-EC01-488E-AECB-9F01D7E32A4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bwMode="auto">
        <a:xfrm>
          <a:off x="428625" y="19583398"/>
          <a:ext cx="3387600" cy="19785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openxmlformats.org/officeDocument/2006/relationships/hyperlink" Target="https://www.sundarammutual.com/pdf2/2024/Rationale_for_Valuation/Update_on_DHFL_Recovery_31_Aug_2024_V1.pdf" TargetMode="External"/><Relationship Id="rId2" Type="http://schemas.openxmlformats.org/officeDocument/2006/relationships/hyperlink" Target="https://www.sundarammutual.com/pdf2/2021/Rationale_for_Valuation/Update_on_DHFL_Recovery_30_sep_2021.pdf" TargetMode="External"/><Relationship Id="rId1" Type="http://schemas.openxmlformats.org/officeDocument/2006/relationships/hyperlink" Target="https://www.sundarammutual.com/pdf2/2021/Rationale_for_Valuation/DHFL_Valuation_impact_22_Sep_2021.pdf" TargetMode="External"/><Relationship Id="rId4"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3" Type="http://schemas.openxmlformats.org/officeDocument/2006/relationships/hyperlink" Target="https://www.sundarammutual.com/pdf2/2024/Rationale_for_Valuation/Update_on_DHFL_Recovery_31_Aug_2024_V1.pdf" TargetMode="External"/><Relationship Id="rId2" Type="http://schemas.openxmlformats.org/officeDocument/2006/relationships/hyperlink" Target="https://www.sundarammutual.com/pdf2/2021/Rationale_for_Valuation/Update_on_DHFL_Recovery_30_sep_2021.pdf" TargetMode="External"/><Relationship Id="rId1" Type="http://schemas.openxmlformats.org/officeDocument/2006/relationships/hyperlink" Target="https://www.sundarammutual.com/pdf2/2021/Rationale_for_Valuation/DHFL_Valuation_impact_22_Sep_2021.pdf" TargetMode="External"/><Relationship Id="rId4"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3" Type="http://schemas.openxmlformats.org/officeDocument/2006/relationships/hyperlink" Target="https://www.sundarammutual.com/pdf2/2024/Rationale_for_Valuation/Update_on_DHFL_Recovery_31_Aug_2024_V1.pdf" TargetMode="External"/><Relationship Id="rId2" Type="http://schemas.openxmlformats.org/officeDocument/2006/relationships/hyperlink" Target="https://www.sundarammutual.com/pdf2/2021/Rationale_for_Valuation/Update_on_DHFL_Recovery_30_sep_2021.pdf" TargetMode="External"/><Relationship Id="rId1" Type="http://schemas.openxmlformats.org/officeDocument/2006/relationships/hyperlink" Target="https://www.sundarammutual.com/pdf2/2021/Rationale_for_Valuation/DHFL_Valuation_impact_22_Sep_2021.pdf" TargetMode="External"/><Relationship Id="rId4"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E39D94-8E45-45AB-84B9-67E54F45E1E8}">
  <dimension ref="A1:C11"/>
  <sheetViews>
    <sheetView tabSelected="1" workbookViewId="0">
      <selection activeCell="E26" sqref="E26"/>
    </sheetView>
  </sheetViews>
  <sheetFormatPr defaultColWidth="8.85546875" defaultRowHeight="15" x14ac:dyDescent="0.25"/>
  <cols>
    <col min="1" max="1" width="6.140625" style="3" bestFit="1" customWidth="1"/>
    <col min="2" max="2" width="10.85546875" style="3" bestFit="1" customWidth="1"/>
    <col min="3" max="3" width="35" style="3" bestFit="1" customWidth="1"/>
    <col min="4" max="16384" width="8.85546875" style="3"/>
  </cols>
  <sheetData>
    <row r="1" spans="1:3" x14ac:dyDescent="0.25">
      <c r="A1" s="1" t="s">
        <v>536</v>
      </c>
      <c r="B1" s="2" t="s">
        <v>537</v>
      </c>
      <c r="C1" s="2" t="s">
        <v>538</v>
      </c>
    </row>
    <row r="2" spans="1:3" x14ac:dyDescent="0.25">
      <c r="A2" s="4">
        <v>1</v>
      </c>
      <c r="B2" s="5" t="s">
        <v>539</v>
      </c>
      <c r="C2" s="6" t="s">
        <v>1</v>
      </c>
    </row>
    <row r="3" spans="1:3" x14ac:dyDescent="0.25">
      <c r="A3" s="4">
        <v>2</v>
      </c>
      <c r="B3" s="5" t="s">
        <v>540</v>
      </c>
      <c r="C3" s="6" t="s">
        <v>120</v>
      </c>
    </row>
    <row r="4" spans="1:3" x14ac:dyDescent="0.25">
      <c r="A4" s="4">
        <v>3</v>
      </c>
      <c r="B4" s="5" t="s">
        <v>541</v>
      </c>
      <c r="C4" s="6" t="s">
        <v>143</v>
      </c>
    </row>
    <row r="5" spans="1:3" x14ac:dyDescent="0.25">
      <c r="A5" s="4">
        <v>4</v>
      </c>
      <c r="B5" s="5" t="s">
        <v>542</v>
      </c>
      <c r="C5" s="6" t="s">
        <v>225</v>
      </c>
    </row>
    <row r="6" spans="1:3" x14ac:dyDescent="0.25">
      <c r="A6" s="4">
        <v>5</v>
      </c>
      <c r="B6" s="5" t="s">
        <v>543</v>
      </c>
      <c r="C6" s="6" t="s">
        <v>268</v>
      </c>
    </row>
    <row r="7" spans="1:3" x14ac:dyDescent="0.25">
      <c r="A7" s="4">
        <v>6</v>
      </c>
      <c r="B7" s="5" t="s">
        <v>544</v>
      </c>
      <c r="C7" s="6" t="s">
        <v>399</v>
      </c>
    </row>
    <row r="8" spans="1:3" x14ac:dyDescent="0.25">
      <c r="A8" s="4">
        <v>7</v>
      </c>
      <c r="B8" s="5" t="s">
        <v>545</v>
      </c>
      <c r="C8" s="6" t="s">
        <v>414</v>
      </c>
    </row>
    <row r="9" spans="1:3" x14ac:dyDescent="0.25">
      <c r="A9" s="4">
        <v>8</v>
      </c>
      <c r="B9" s="5" t="s">
        <v>546</v>
      </c>
      <c r="C9" s="6" t="s">
        <v>463</v>
      </c>
    </row>
    <row r="10" spans="1:3" x14ac:dyDescent="0.25">
      <c r="A10" s="4">
        <v>9</v>
      </c>
      <c r="B10" s="5" t="s">
        <v>547</v>
      </c>
      <c r="C10" s="6" t="s">
        <v>466</v>
      </c>
    </row>
    <row r="11" spans="1:3" x14ac:dyDescent="0.25">
      <c r="A11" s="4">
        <v>10</v>
      </c>
      <c r="B11" s="5" t="s">
        <v>548</v>
      </c>
      <c r="C11" s="6" t="s">
        <v>526</v>
      </c>
    </row>
  </sheetData>
  <hyperlinks>
    <hyperlink ref="B3" location="SFRSTP!A1" display="SFRSTP" xr:uid="{D575CFCC-9172-4F53-996C-17798384B8E6}"/>
    <hyperlink ref="B4" location="SMMF!A1" display="SMMF" xr:uid="{8FE93288-96C3-4720-A05F-C056622B2223}"/>
    <hyperlink ref="B5" location="SPLDF!A1" display="SPLDF" xr:uid="{FE39DABB-95AC-4AE2-99F7-8D95090B2CB9}"/>
    <hyperlink ref="B6" location="SPMON!A1" display="SPMON" xr:uid="{11A1FB63-0436-4847-B33F-60103D0239A1}"/>
    <hyperlink ref="B7" location="SPSDF!A1" display="SPSDF" xr:uid="{7E5787CF-5FD5-4519-8E38-CF24241FFE69}"/>
    <hyperlink ref="B8" location="SPUSDF!A1" display="SPUSDF" xr:uid="{8FBE1B70-DE4B-44CF-8199-5A7989571528}"/>
    <hyperlink ref="B9" location="SUNBDS!A1" display="SUNBDS" xr:uid="{614629AF-0F8A-4CA8-BBC9-5B3D68235B21}"/>
    <hyperlink ref="B10" location="SUNMIA!A1" display="SUNMIA" xr:uid="{5E1746C6-721C-466C-BAED-DFA1FB5626E9}"/>
    <hyperlink ref="B11" location="SUNONF!A1" display="SUNONF" xr:uid="{C70D7C12-27EE-4AF5-A870-A01A9061A84D}"/>
    <hyperlink ref="B2" location="SFRLTP!A1" display="SFRLTP" xr:uid="{BD7447A0-CFA4-4F22-97DF-827D8026E584}"/>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A99FA0-1494-4FFC-827D-5987644D6ACE}">
  <sheetPr>
    <outlinePr summaryBelow="0" summaryRight="0"/>
  </sheetPr>
  <dimension ref="A1:Q155"/>
  <sheetViews>
    <sheetView showGridLines="0" workbookViewId="0">
      <selection activeCell="C8" sqref="C8"/>
    </sheetView>
  </sheetViews>
  <sheetFormatPr defaultRowHeight="12.75" x14ac:dyDescent="0.2"/>
  <cols>
    <col min="1" max="1" width="5.85546875" bestFit="1" customWidth="1"/>
    <col min="2" max="2" width="20.28515625" bestFit="1" customWidth="1"/>
    <col min="3" max="3" width="37.28515625" customWidth="1"/>
    <col min="4" max="4" width="11" bestFit="1" customWidth="1"/>
    <col min="5" max="5" width="9.42578125" bestFit="1" customWidth="1"/>
    <col min="6" max="6" width="10.140625" bestFit="1" customWidth="1"/>
    <col min="7" max="7" width="14" bestFit="1" customWidth="1"/>
  </cols>
  <sheetData>
    <row r="1" spans="1:8" ht="15" x14ac:dyDescent="0.2">
      <c r="A1" s="170" t="s">
        <v>0</v>
      </c>
      <c r="B1" s="170"/>
      <c r="C1" s="170"/>
      <c r="D1" s="170"/>
      <c r="E1" s="170"/>
      <c r="F1" s="170"/>
      <c r="G1" s="170"/>
      <c r="H1" s="170"/>
    </row>
    <row r="2" spans="1:8" ht="15" x14ac:dyDescent="0.2">
      <c r="A2" s="170" t="s">
        <v>1</v>
      </c>
      <c r="B2" s="170"/>
      <c r="C2" s="170"/>
      <c r="D2" s="170"/>
      <c r="E2" s="170"/>
      <c r="F2" s="170"/>
      <c r="G2" s="170"/>
      <c r="H2" s="170"/>
    </row>
    <row r="3" spans="1:8" ht="15" x14ac:dyDescent="0.2">
      <c r="A3" s="170" t="s">
        <v>686</v>
      </c>
      <c r="B3" s="170"/>
      <c r="C3" s="170"/>
      <c r="D3" s="170"/>
      <c r="E3" s="170"/>
      <c r="F3" s="170"/>
      <c r="G3" s="170"/>
      <c r="H3" s="170"/>
    </row>
    <row r="4" spans="1:8" s="14" customFormat="1" ht="30" x14ac:dyDescent="0.2">
      <c r="A4" s="12" t="s">
        <v>2</v>
      </c>
      <c r="B4" s="12" t="s">
        <v>3</v>
      </c>
      <c r="C4" s="12" t="s">
        <v>4</v>
      </c>
      <c r="D4" s="12" t="s">
        <v>5</v>
      </c>
      <c r="E4" s="12" t="s">
        <v>6</v>
      </c>
      <c r="F4" s="12" t="s">
        <v>7</v>
      </c>
      <c r="G4" s="12" t="s">
        <v>8</v>
      </c>
      <c r="H4" s="13" t="s">
        <v>535</v>
      </c>
    </row>
    <row r="5" spans="1:8" x14ac:dyDescent="0.2">
      <c r="A5" s="15"/>
      <c r="B5" s="15"/>
      <c r="C5" s="16" t="s">
        <v>9</v>
      </c>
      <c r="D5" s="15"/>
      <c r="E5" s="15"/>
      <c r="F5" s="15"/>
      <c r="G5" s="17"/>
      <c r="H5" s="18" t="s">
        <v>12</v>
      </c>
    </row>
    <row r="6" spans="1:8" x14ac:dyDescent="0.2">
      <c r="A6" s="19"/>
      <c r="B6" s="19"/>
      <c r="C6" s="20" t="s">
        <v>10</v>
      </c>
      <c r="D6" s="19"/>
      <c r="E6" s="19"/>
      <c r="F6" s="19"/>
      <c r="G6" s="21"/>
      <c r="H6" s="18" t="s">
        <v>12</v>
      </c>
    </row>
    <row r="7" spans="1:8" x14ac:dyDescent="0.2">
      <c r="A7" s="19"/>
      <c r="B7" s="19"/>
      <c r="C7" s="20" t="s">
        <v>11</v>
      </c>
      <c r="D7" s="19"/>
      <c r="E7" s="19" t="s">
        <v>12</v>
      </c>
      <c r="F7" s="22" t="s">
        <v>13</v>
      </c>
      <c r="G7" s="23">
        <v>0</v>
      </c>
      <c r="H7" s="18" t="s">
        <v>12</v>
      </c>
    </row>
    <row r="8" spans="1:8" x14ac:dyDescent="0.2">
      <c r="A8" s="19"/>
      <c r="B8" s="19"/>
      <c r="C8" s="24"/>
      <c r="D8" s="19"/>
      <c r="E8" s="19"/>
      <c r="F8" s="25"/>
      <c r="G8" s="26"/>
      <c r="H8" s="18" t="s">
        <v>12</v>
      </c>
    </row>
    <row r="9" spans="1:8" x14ac:dyDescent="0.2">
      <c r="A9" s="19"/>
      <c r="B9" s="19"/>
      <c r="C9" s="20" t="s">
        <v>14</v>
      </c>
      <c r="D9" s="19"/>
      <c r="E9" s="19"/>
      <c r="F9" s="19"/>
      <c r="G9" s="21"/>
      <c r="H9" s="18" t="s">
        <v>12</v>
      </c>
    </row>
    <row r="10" spans="1:8" x14ac:dyDescent="0.2">
      <c r="A10" s="19"/>
      <c r="B10" s="19"/>
      <c r="C10" s="20" t="s">
        <v>11</v>
      </c>
      <c r="D10" s="19"/>
      <c r="E10" s="19" t="s">
        <v>12</v>
      </c>
      <c r="F10" s="22" t="s">
        <v>13</v>
      </c>
      <c r="G10" s="23">
        <v>0</v>
      </c>
      <c r="H10" s="18" t="s">
        <v>12</v>
      </c>
    </row>
    <row r="11" spans="1:8" x14ac:dyDescent="0.2">
      <c r="A11" s="19"/>
      <c r="B11" s="19"/>
      <c r="C11" s="24"/>
      <c r="D11" s="19"/>
      <c r="E11" s="19"/>
      <c r="F11" s="25"/>
      <c r="G11" s="26"/>
      <c r="H11" s="18" t="s">
        <v>12</v>
      </c>
    </row>
    <row r="12" spans="1:8" x14ac:dyDescent="0.2">
      <c r="A12" s="19"/>
      <c r="B12" s="19"/>
      <c r="C12" s="20" t="s">
        <v>15</v>
      </c>
      <c r="D12" s="19"/>
      <c r="E12" s="19"/>
      <c r="F12" s="19"/>
      <c r="G12" s="21"/>
      <c r="H12" s="18" t="s">
        <v>12</v>
      </c>
    </row>
    <row r="13" spans="1:8" x14ac:dyDescent="0.2">
      <c r="A13" s="19"/>
      <c r="B13" s="19"/>
      <c r="C13" s="20" t="s">
        <v>11</v>
      </c>
      <c r="D13" s="19"/>
      <c r="E13" s="19" t="s">
        <v>12</v>
      </c>
      <c r="F13" s="22" t="s">
        <v>13</v>
      </c>
      <c r="G13" s="23">
        <v>0</v>
      </c>
      <c r="H13" s="18" t="s">
        <v>12</v>
      </c>
    </row>
    <row r="14" spans="1:8" x14ac:dyDescent="0.2">
      <c r="A14" s="19"/>
      <c r="B14" s="19"/>
      <c r="C14" s="24"/>
      <c r="D14" s="19"/>
      <c r="E14" s="19"/>
      <c r="F14" s="25"/>
      <c r="G14" s="26"/>
      <c r="H14" s="18" t="s">
        <v>12</v>
      </c>
    </row>
    <row r="15" spans="1:8" x14ac:dyDescent="0.2">
      <c r="A15" s="19"/>
      <c r="B15" s="19"/>
      <c r="C15" s="20" t="s">
        <v>16</v>
      </c>
      <c r="D15" s="19"/>
      <c r="E15" s="19"/>
      <c r="F15" s="19"/>
      <c r="G15" s="21"/>
      <c r="H15" s="18" t="s">
        <v>12</v>
      </c>
    </row>
    <row r="16" spans="1:8" x14ac:dyDescent="0.2">
      <c r="A16" s="19"/>
      <c r="B16" s="19"/>
      <c r="C16" s="20" t="s">
        <v>11</v>
      </c>
      <c r="D16" s="19"/>
      <c r="E16" s="19" t="s">
        <v>12</v>
      </c>
      <c r="F16" s="22" t="s">
        <v>13</v>
      </c>
      <c r="G16" s="23">
        <v>0</v>
      </c>
      <c r="H16" s="18" t="s">
        <v>12</v>
      </c>
    </row>
    <row r="17" spans="1:8" x14ac:dyDescent="0.2">
      <c r="A17" s="19"/>
      <c r="B17" s="19"/>
      <c r="C17" s="24"/>
      <c r="D17" s="19"/>
      <c r="E17" s="19"/>
      <c r="F17" s="25"/>
      <c r="G17" s="26"/>
      <c r="H17" s="18" t="s">
        <v>12</v>
      </c>
    </row>
    <row r="18" spans="1:8" x14ac:dyDescent="0.2">
      <c r="A18" s="19"/>
      <c r="B18" s="19"/>
      <c r="C18" s="20" t="s">
        <v>17</v>
      </c>
      <c r="D18" s="19"/>
      <c r="E18" s="19"/>
      <c r="F18" s="25"/>
      <c r="G18" s="26"/>
      <c r="H18" s="18" t="s">
        <v>12</v>
      </c>
    </row>
    <row r="19" spans="1:8" x14ac:dyDescent="0.2">
      <c r="A19" s="19"/>
      <c r="B19" s="19"/>
      <c r="C19" s="20" t="s">
        <v>11</v>
      </c>
      <c r="D19" s="19"/>
      <c r="E19" s="19" t="s">
        <v>12</v>
      </c>
      <c r="F19" s="22" t="s">
        <v>13</v>
      </c>
      <c r="G19" s="23">
        <v>0</v>
      </c>
      <c r="H19" s="18" t="s">
        <v>12</v>
      </c>
    </row>
    <row r="20" spans="1:8" x14ac:dyDescent="0.2">
      <c r="A20" s="19"/>
      <c r="B20" s="19"/>
      <c r="C20" s="24"/>
      <c r="D20" s="19"/>
      <c r="E20" s="19"/>
      <c r="F20" s="25"/>
      <c r="G20" s="26"/>
      <c r="H20" s="18" t="s">
        <v>12</v>
      </c>
    </row>
    <row r="21" spans="1:8" x14ac:dyDescent="0.2">
      <c r="A21" s="19"/>
      <c r="B21" s="19"/>
      <c r="C21" s="20" t="s">
        <v>18</v>
      </c>
      <c r="D21" s="19"/>
      <c r="E21" s="19"/>
      <c r="F21" s="25"/>
      <c r="G21" s="26"/>
      <c r="H21" s="18" t="s">
        <v>12</v>
      </c>
    </row>
    <row r="22" spans="1:8" x14ac:dyDescent="0.2">
      <c r="A22" s="19"/>
      <c r="B22" s="19"/>
      <c r="C22" s="20" t="s">
        <v>11</v>
      </c>
      <c r="D22" s="19"/>
      <c r="E22" s="19" t="s">
        <v>12</v>
      </c>
      <c r="F22" s="22" t="s">
        <v>13</v>
      </c>
      <c r="G22" s="23">
        <v>0</v>
      </c>
      <c r="H22" s="18" t="s">
        <v>12</v>
      </c>
    </row>
    <row r="23" spans="1:8" x14ac:dyDescent="0.2">
      <c r="A23" s="19"/>
      <c r="B23" s="19"/>
      <c r="C23" s="24"/>
      <c r="D23" s="19"/>
      <c r="E23" s="19"/>
      <c r="F23" s="25"/>
      <c r="G23" s="26"/>
      <c r="H23" s="18" t="s">
        <v>12</v>
      </c>
    </row>
    <row r="24" spans="1:8" x14ac:dyDescent="0.2">
      <c r="A24" s="19"/>
      <c r="B24" s="19"/>
      <c r="C24" s="20" t="s">
        <v>19</v>
      </c>
      <c r="D24" s="19"/>
      <c r="E24" s="19"/>
      <c r="F24" s="27">
        <v>0</v>
      </c>
      <c r="G24" s="23">
        <v>0</v>
      </c>
      <c r="H24" s="18" t="s">
        <v>12</v>
      </c>
    </row>
    <row r="25" spans="1:8" x14ac:dyDescent="0.2">
      <c r="A25" s="19"/>
      <c r="B25" s="19"/>
      <c r="C25" s="24"/>
      <c r="D25" s="19"/>
      <c r="E25" s="19"/>
      <c r="F25" s="25"/>
      <c r="G25" s="26"/>
      <c r="H25" s="18" t="s">
        <v>12</v>
      </c>
    </row>
    <row r="26" spans="1:8" x14ac:dyDescent="0.2">
      <c r="A26" s="19"/>
      <c r="B26" s="19"/>
      <c r="C26" s="20" t="s">
        <v>20</v>
      </c>
      <c r="D26" s="19"/>
      <c r="E26" s="19"/>
      <c r="F26" s="25"/>
      <c r="G26" s="26"/>
      <c r="H26" s="18" t="s">
        <v>12</v>
      </c>
    </row>
    <row r="27" spans="1:8" x14ac:dyDescent="0.2">
      <c r="A27" s="19"/>
      <c r="B27" s="19"/>
      <c r="C27" s="20" t="s">
        <v>10</v>
      </c>
      <c r="D27" s="19"/>
      <c r="E27" s="19"/>
      <c r="F27" s="25"/>
      <c r="G27" s="26"/>
      <c r="H27" s="18" t="s">
        <v>12</v>
      </c>
    </row>
    <row r="28" spans="1:8" ht="25.5" x14ac:dyDescent="0.2">
      <c r="A28" s="28">
        <v>1</v>
      </c>
      <c r="B28" s="29" t="s">
        <v>21</v>
      </c>
      <c r="C28" s="29" t="s">
        <v>22</v>
      </c>
      <c r="D28" s="29" t="s">
        <v>23</v>
      </c>
      <c r="E28" s="30">
        <v>5000</v>
      </c>
      <c r="F28" s="31">
        <v>5049.585</v>
      </c>
      <c r="G28" s="32">
        <v>7.1659849999999997E-2</v>
      </c>
      <c r="H28" s="18">
        <v>7.4984000000000002</v>
      </c>
    </row>
    <row r="29" spans="1:8" ht="25.5" x14ac:dyDescent="0.2">
      <c r="A29" s="28">
        <v>2</v>
      </c>
      <c r="B29" s="29" t="s">
        <v>24</v>
      </c>
      <c r="C29" s="29" t="s">
        <v>25</v>
      </c>
      <c r="D29" s="29" t="s">
        <v>23</v>
      </c>
      <c r="E29" s="30">
        <v>4000</v>
      </c>
      <c r="F29" s="31">
        <v>4001.6320000000001</v>
      </c>
      <c r="G29" s="32">
        <v>5.6788100000000001E-2</v>
      </c>
      <c r="H29" s="18">
        <v>7.367</v>
      </c>
    </row>
    <row r="30" spans="1:8" x14ac:dyDescent="0.2">
      <c r="A30" s="28">
        <v>3</v>
      </c>
      <c r="B30" s="29" t="s">
        <v>26</v>
      </c>
      <c r="C30" s="29" t="s">
        <v>27</v>
      </c>
      <c r="D30" s="29" t="s">
        <v>23</v>
      </c>
      <c r="E30" s="30">
        <v>4000</v>
      </c>
      <c r="F30" s="31">
        <v>3983.5</v>
      </c>
      <c r="G30" s="32">
        <v>5.6530780000000003E-2</v>
      </c>
      <c r="H30" s="18">
        <v>7.53</v>
      </c>
    </row>
    <row r="31" spans="1:8" ht="25.5" x14ac:dyDescent="0.2">
      <c r="A31" s="28">
        <v>4</v>
      </c>
      <c r="B31" s="29" t="s">
        <v>28</v>
      </c>
      <c r="C31" s="29" t="s">
        <v>29</v>
      </c>
      <c r="D31" s="29" t="s">
        <v>23</v>
      </c>
      <c r="E31" s="30">
        <v>300</v>
      </c>
      <c r="F31" s="31">
        <v>3001.0590000000002</v>
      </c>
      <c r="G31" s="32">
        <v>4.2588729999999998E-2</v>
      </c>
      <c r="H31" s="18">
        <v>7.67</v>
      </c>
    </row>
    <row r="32" spans="1:8" ht="25.5" x14ac:dyDescent="0.2">
      <c r="A32" s="28">
        <v>5</v>
      </c>
      <c r="B32" s="29" t="s">
        <v>30</v>
      </c>
      <c r="C32" s="29" t="s">
        <v>31</v>
      </c>
      <c r="D32" s="29" t="s">
        <v>23</v>
      </c>
      <c r="E32" s="30">
        <v>2500</v>
      </c>
      <c r="F32" s="31">
        <v>2521.19</v>
      </c>
      <c r="G32" s="32">
        <v>3.5778799999999999E-2</v>
      </c>
      <c r="H32" s="18">
        <v>7.5</v>
      </c>
    </row>
    <row r="33" spans="1:8" ht="25.5" x14ac:dyDescent="0.2">
      <c r="A33" s="28">
        <v>6</v>
      </c>
      <c r="B33" s="29" t="s">
        <v>32</v>
      </c>
      <c r="C33" s="29" t="s">
        <v>33</v>
      </c>
      <c r="D33" s="29" t="s">
        <v>34</v>
      </c>
      <c r="E33" s="30">
        <v>2500</v>
      </c>
      <c r="F33" s="31">
        <v>2513.85</v>
      </c>
      <c r="G33" s="32">
        <v>3.5674640000000001E-2</v>
      </c>
      <c r="H33" s="18">
        <v>7.4850000000000003</v>
      </c>
    </row>
    <row r="34" spans="1:8" ht="25.5" x14ac:dyDescent="0.2">
      <c r="A34" s="28">
        <v>7</v>
      </c>
      <c r="B34" s="29" t="s">
        <v>35</v>
      </c>
      <c r="C34" s="29" t="s">
        <v>36</v>
      </c>
      <c r="D34" s="29" t="s">
        <v>23</v>
      </c>
      <c r="E34" s="30">
        <v>2500</v>
      </c>
      <c r="F34" s="31">
        <v>2508.5100000000002</v>
      </c>
      <c r="G34" s="32">
        <v>3.5598850000000001E-2</v>
      </c>
      <c r="H34" s="18">
        <v>7.51</v>
      </c>
    </row>
    <row r="35" spans="1:8" x14ac:dyDescent="0.2">
      <c r="A35" s="28">
        <v>8</v>
      </c>
      <c r="B35" s="29" t="s">
        <v>37</v>
      </c>
      <c r="C35" s="29" t="s">
        <v>38</v>
      </c>
      <c r="D35" s="29" t="s">
        <v>23</v>
      </c>
      <c r="E35" s="30">
        <v>2500</v>
      </c>
      <c r="F35" s="31">
        <v>2498.8649999999998</v>
      </c>
      <c r="G35" s="32">
        <v>3.5461979999999997E-2</v>
      </c>
      <c r="H35" s="18">
        <v>7.4550000000000001</v>
      </c>
    </row>
    <row r="36" spans="1:8" ht="25.5" x14ac:dyDescent="0.2">
      <c r="A36" s="28">
        <v>9</v>
      </c>
      <c r="B36" s="29" t="s">
        <v>39</v>
      </c>
      <c r="C36" s="29" t="s">
        <v>40</v>
      </c>
      <c r="D36" s="29" t="s">
        <v>23</v>
      </c>
      <c r="E36" s="30">
        <v>2500</v>
      </c>
      <c r="F36" s="31">
        <v>2496.4324999999999</v>
      </c>
      <c r="G36" s="32">
        <v>3.5427460000000001E-2</v>
      </c>
      <c r="H36" s="18">
        <v>7.33</v>
      </c>
    </row>
    <row r="37" spans="1:8" x14ac:dyDescent="0.2">
      <c r="A37" s="28">
        <v>10</v>
      </c>
      <c r="B37" s="29" t="s">
        <v>41</v>
      </c>
      <c r="C37" s="29" t="s">
        <v>42</v>
      </c>
      <c r="D37" s="29" t="s">
        <v>23</v>
      </c>
      <c r="E37" s="30">
        <v>2500</v>
      </c>
      <c r="F37" s="31">
        <v>2495.06</v>
      </c>
      <c r="G37" s="32">
        <v>3.5407979999999999E-2</v>
      </c>
      <c r="H37" s="18">
        <v>7.6</v>
      </c>
    </row>
    <row r="38" spans="1:8" ht="25.5" x14ac:dyDescent="0.2">
      <c r="A38" s="28">
        <v>11</v>
      </c>
      <c r="B38" s="29" t="s">
        <v>43</v>
      </c>
      <c r="C38" s="29" t="s">
        <v>44</v>
      </c>
      <c r="D38" s="29" t="s">
        <v>23</v>
      </c>
      <c r="E38" s="30">
        <v>2500</v>
      </c>
      <c r="F38" s="31">
        <v>2488.7424999999998</v>
      </c>
      <c r="G38" s="32">
        <v>3.5318330000000002E-2</v>
      </c>
      <c r="H38" s="18">
        <v>7.5549999999999997</v>
      </c>
    </row>
    <row r="39" spans="1:8" x14ac:dyDescent="0.2">
      <c r="A39" s="28">
        <v>12</v>
      </c>
      <c r="B39" s="29" t="s">
        <v>45</v>
      </c>
      <c r="C39" s="29" t="s">
        <v>46</v>
      </c>
      <c r="D39" s="29" t="s">
        <v>23</v>
      </c>
      <c r="E39" s="30">
        <v>2000</v>
      </c>
      <c r="F39" s="31">
        <v>2012.15</v>
      </c>
      <c r="G39" s="32">
        <v>2.8554889999999999E-2</v>
      </c>
      <c r="H39" s="18">
        <v>7.53</v>
      </c>
    </row>
    <row r="40" spans="1:8" ht="25.5" x14ac:dyDescent="0.2">
      <c r="A40" s="28">
        <v>13</v>
      </c>
      <c r="B40" s="29" t="s">
        <v>47</v>
      </c>
      <c r="C40" s="29" t="s">
        <v>48</v>
      </c>
      <c r="D40" s="29" t="s">
        <v>23</v>
      </c>
      <c r="E40" s="30">
        <v>2000</v>
      </c>
      <c r="F40" s="31">
        <v>2008.45</v>
      </c>
      <c r="G40" s="32">
        <v>2.8502389999999999E-2</v>
      </c>
      <c r="H40" s="18">
        <v>7.4824999999999999</v>
      </c>
    </row>
    <row r="41" spans="1:8" ht="25.5" x14ac:dyDescent="0.2">
      <c r="A41" s="28">
        <v>14</v>
      </c>
      <c r="B41" s="29" t="s">
        <v>49</v>
      </c>
      <c r="C41" s="29" t="s">
        <v>50</v>
      </c>
      <c r="D41" s="29" t="s">
        <v>34</v>
      </c>
      <c r="E41" s="30">
        <v>200</v>
      </c>
      <c r="F41" s="31">
        <v>1998.972</v>
      </c>
      <c r="G41" s="32">
        <v>2.8367880000000002E-2</v>
      </c>
      <c r="H41" s="18">
        <v>7.44</v>
      </c>
    </row>
    <row r="42" spans="1:8" x14ac:dyDescent="0.2">
      <c r="A42" s="28">
        <v>15</v>
      </c>
      <c r="B42" s="29" t="s">
        <v>51</v>
      </c>
      <c r="C42" s="29" t="s">
        <v>52</v>
      </c>
      <c r="D42" s="29" t="s">
        <v>23</v>
      </c>
      <c r="E42" s="30">
        <v>2000</v>
      </c>
      <c r="F42" s="31">
        <v>1996.3</v>
      </c>
      <c r="G42" s="32">
        <v>2.8329960000000001E-2</v>
      </c>
      <c r="H42" s="18">
        <v>7.51</v>
      </c>
    </row>
    <row r="43" spans="1:8" ht="25.5" x14ac:dyDescent="0.2">
      <c r="A43" s="28">
        <v>16</v>
      </c>
      <c r="B43" s="29" t="s">
        <v>53</v>
      </c>
      <c r="C43" s="29" t="s">
        <v>54</v>
      </c>
      <c r="D43" s="29" t="s">
        <v>23</v>
      </c>
      <c r="E43" s="30">
        <v>1500</v>
      </c>
      <c r="F43" s="31">
        <v>1527.5235</v>
      </c>
      <c r="G43" s="32">
        <v>2.1677439999999999E-2</v>
      </c>
      <c r="H43" s="18">
        <v>7.4850000000000003</v>
      </c>
    </row>
    <row r="44" spans="1:8" x14ac:dyDescent="0.2">
      <c r="A44" s="28">
        <v>17</v>
      </c>
      <c r="B44" s="29" t="s">
        <v>55</v>
      </c>
      <c r="C44" s="29" t="s">
        <v>56</v>
      </c>
      <c r="D44" s="29" t="s">
        <v>23</v>
      </c>
      <c r="E44" s="30">
        <v>1500</v>
      </c>
      <c r="F44" s="31">
        <v>1503.0764999999999</v>
      </c>
      <c r="G44" s="32">
        <v>2.133051E-2</v>
      </c>
      <c r="H44" s="18">
        <v>7.58</v>
      </c>
    </row>
    <row r="45" spans="1:8" ht="25.5" x14ac:dyDescent="0.2">
      <c r="A45" s="28">
        <v>18</v>
      </c>
      <c r="B45" s="29" t="s">
        <v>57</v>
      </c>
      <c r="C45" s="29" t="s">
        <v>58</v>
      </c>
      <c r="D45" s="29" t="s">
        <v>23</v>
      </c>
      <c r="E45" s="30">
        <v>1500</v>
      </c>
      <c r="F45" s="31">
        <v>1498.011</v>
      </c>
      <c r="G45" s="32">
        <v>2.1258630000000001E-2</v>
      </c>
      <c r="H45" s="18">
        <v>7.63</v>
      </c>
    </row>
    <row r="46" spans="1:8" ht="25.5" x14ac:dyDescent="0.2">
      <c r="A46" s="28">
        <v>19</v>
      </c>
      <c r="B46" s="29" t="s">
        <v>59</v>
      </c>
      <c r="C46" s="29" t="s">
        <v>60</v>
      </c>
      <c r="D46" s="29" t="s">
        <v>23</v>
      </c>
      <c r="E46" s="30">
        <v>100</v>
      </c>
      <c r="F46" s="31">
        <v>1006.849</v>
      </c>
      <c r="G46" s="32">
        <v>1.428843E-2</v>
      </c>
      <c r="H46" s="18">
        <v>7.67</v>
      </c>
    </row>
    <row r="47" spans="1:8" ht="25.5" x14ac:dyDescent="0.2">
      <c r="A47" s="28">
        <v>20</v>
      </c>
      <c r="B47" s="29" t="s">
        <v>61</v>
      </c>
      <c r="C47" s="29" t="s">
        <v>62</v>
      </c>
      <c r="D47" s="29" t="s">
        <v>23</v>
      </c>
      <c r="E47" s="30">
        <v>1000</v>
      </c>
      <c r="F47" s="31">
        <v>999.69200000000001</v>
      </c>
      <c r="G47" s="32">
        <v>1.4186860000000001E-2</v>
      </c>
      <c r="H47" s="18">
        <v>8.125</v>
      </c>
    </row>
    <row r="48" spans="1:8" ht="25.5" x14ac:dyDescent="0.2">
      <c r="A48" s="28">
        <v>21</v>
      </c>
      <c r="B48" s="29" t="s">
        <v>63</v>
      </c>
      <c r="C48" s="29" t="s">
        <v>64</v>
      </c>
      <c r="D48" s="29" t="s">
        <v>23</v>
      </c>
      <c r="E48" s="30">
        <v>1000</v>
      </c>
      <c r="F48" s="31">
        <v>996.57799999999997</v>
      </c>
      <c r="G48" s="32">
        <v>1.414267E-2</v>
      </c>
      <c r="H48" s="18">
        <v>7.63</v>
      </c>
    </row>
    <row r="49" spans="1:8" x14ac:dyDescent="0.2">
      <c r="A49" s="28">
        <v>22</v>
      </c>
      <c r="B49" s="29" t="s">
        <v>65</v>
      </c>
      <c r="C49" s="29" t="s">
        <v>66</v>
      </c>
      <c r="D49" s="29" t="s">
        <v>23</v>
      </c>
      <c r="E49" s="30">
        <v>500</v>
      </c>
      <c r="F49" s="31">
        <v>503.85050000000001</v>
      </c>
      <c r="G49" s="32">
        <v>7.1502600000000003E-3</v>
      </c>
      <c r="H49" s="18">
        <v>7.7450000000000001</v>
      </c>
    </row>
    <row r="50" spans="1:8" ht="25.5" x14ac:dyDescent="0.2">
      <c r="A50" s="28">
        <v>23</v>
      </c>
      <c r="B50" s="29" t="s">
        <v>67</v>
      </c>
      <c r="C50" s="29" t="s">
        <v>68</v>
      </c>
      <c r="D50" s="29" t="s">
        <v>23</v>
      </c>
      <c r="E50" s="30">
        <v>500</v>
      </c>
      <c r="F50" s="31">
        <v>501.4785</v>
      </c>
      <c r="G50" s="32">
        <v>7.1165999999999998E-3</v>
      </c>
      <c r="H50" s="18">
        <v>7.56</v>
      </c>
    </row>
    <row r="51" spans="1:8" ht="25.5" x14ac:dyDescent="0.2">
      <c r="A51" s="28">
        <v>24</v>
      </c>
      <c r="B51" s="29" t="s">
        <v>69</v>
      </c>
      <c r="C51" s="29" t="s">
        <v>70</v>
      </c>
      <c r="D51" s="29" t="s">
        <v>34</v>
      </c>
      <c r="E51" s="30">
        <v>50</v>
      </c>
      <c r="F51" s="31">
        <v>497.41699999999997</v>
      </c>
      <c r="G51" s="32">
        <v>7.0589600000000004E-3</v>
      </c>
      <c r="H51" s="18">
        <v>7.5297999999999998</v>
      </c>
    </row>
    <row r="52" spans="1:8" x14ac:dyDescent="0.2">
      <c r="A52" s="19"/>
      <c r="B52" s="19"/>
      <c r="C52" s="20" t="s">
        <v>11</v>
      </c>
      <c r="D52" s="19"/>
      <c r="E52" s="19" t="s">
        <v>12</v>
      </c>
      <c r="F52" s="27">
        <v>50608.773999999998</v>
      </c>
      <c r="G52" s="23">
        <v>0.71820097999999999</v>
      </c>
      <c r="H52" s="18" t="s">
        <v>12</v>
      </c>
    </row>
    <row r="53" spans="1:8" x14ac:dyDescent="0.2">
      <c r="A53" s="19"/>
      <c r="B53" s="19"/>
      <c r="C53" s="24"/>
      <c r="D53" s="19"/>
      <c r="E53" s="19"/>
      <c r="F53" s="25"/>
      <c r="G53" s="26"/>
      <c r="H53" s="18" t="s">
        <v>12</v>
      </c>
    </row>
    <row r="54" spans="1:8" x14ac:dyDescent="0.2">
      <c r="A54" s="19"/>
      <c r="B54" s="19"/>
      <c r="C54" s="20" t="s">
        <v>71</v>
      </c>
      <c r="D54" s="19"/>
      <c r="E54" s="19"/>
      <c r="F54" s="19"/>
      <c r="G54" s="21"/>
      <c r="H54" s="18" t="s">
        <v>12</v>
      </c>
    </row>
    <row r="55" spans="1:8" x14ac:dyDescent="0.2">
      <c r="A55" s="19"/>
      <c r="B55" s="19"/>
      <c r="C55" s="20" t="s">
        <v>11</v>
      </c>
      <c r="D55" s="19"/>
      <c r="E55" s="19" t="s">
        <v>12</v>
      </c>
      <c r="F55" s="22" t="s">
        <v>13</v>
      </c>
      <c r="G55" s="23">
        <v>0</v>
      </c>
      <c r="H55" s="18" t="s">
        <v>12</v>
      </c>
    </row>
    <row r="56" spans="1:8" x14ac:dyDescent="0.2">
      <c r="A56" s="19"/>
      <c r="B56" s="19"/>
      <c r="C56" s="24"/>
      <c r="D56" s="19"/>
      <c r="E56" s="19"/>
      <c r="F56" s="25"/>
      <c r="G56" s="26"/>
      <c r="H56" s="18" t="s">
        <v>12</v>
      </c>
    </row>
    <row r="57" spans="1:8" x14ac:dyDescent="0.2">
      <c r="A57" s="19"/>
      <c r="B57" s="19"/>
      <c r="C57" s="20" t="s">
        <v>72</v>
      </c>
      <c r="D57" s="19"/>
      <c r="E57" s="19"/>
      <c r="F57" s="19"/>
      <c r="G57" s="21"/>
      <c r="H57" s="18" t="s">
        <v>12</v>
      </c>
    </row>
    <row r="58" spans="1:8" ht="25.5" x14ac:dyDescent="0.2">
      <c r="A58" s="28">
        <v>1</v>
      </c>
      <c r="B58" s="29" t="s">
        <v>73</v>
      </c>
      <c r="C58" s="29" t="s">
        <v>74</v>
      </c>
      <c r="D58" s="29" t="s">
        <v>75</v>
      </c>
      <c r="E58" s="30">
        <v>7900000</v>
      </c>
      <c r="F58" s="31">
        <v>8068.665</v>
      </c>
      <c r="G58" s="32">
        <v>0.11450432000000001</v>
      </c>
      <c r="H58" s="18">
        <v>6.8952999999999998</v>
      </c>
    </row>
    <row r="59" spans="1:8" x14ac:dyDescent="0.2">
      <c r="A59" s="28">
        <v>2</v>
      </c>
      <c r="B59" s="29" t="s">
        <v>76</v>
      </c>
      <c r="C59" s="29" t="s">
        <v>77</v>
      </c>
      <c r="D59" s="29" t="s">
        <v>75</v>
      </c>
      <c r="E59" s="30">
        <v>2000000</v>
      </c>
      <c r="F59" s="31">
        <v>2058.8380000000002</v>
      </c>
      <c r="G59" s="32">
        <v>2.9217449999999999E-2</v>
      </c>
      <c r="H59" s="18">
        <v>6.7995000000000001</v>
      </c>
    </row>
    <row r="60" spans="1:8" ht="25.5" x14ac:dyDescent="0.2">
      <c r="A60" s="28">
        <v>3</v>
      </c>
      <c r="B60" s="29" t="s">
        <v>78</v>
      </c>
      <c r="C60" s="29" t="s">
        <v>79</v>
      </c>
      <c r="D60" s="29" t="s">
        <v>75</v>
      </c>
      <c r="E60" s="30">
        <v>1750000</v>
      </c>
      <c r="F60" s="31">
        <v>1792.8330000000001</v>
      </c>
      <c r="G60" s="32">
        <v>2.5442510000000002E-2</v>
      </c>
      <c r="H60" s="18">
        <v>7.2798999999999996</v>
      </c>
    </row>
    <row r="61" spans="1:8" x14ac:dyDescent="0.2">
      <c r="A61" s="28">
        <v>4</v>
      </c>
      <c r="B61" s="29" t="s">
        <v>80</v>
      </c>
      <c r="C61" s="29" t="s">
        <v>81</v>
      </c>
      <c r="D61" s="29" t="s">
        <v>75</v>
      </c>
      <c r="E61" s="30">
        <v>1500000</v>
      </c>
      <c r="F61" s="31">
        <v>1532.0864999999999</v>
      </c>
      <c r="G61" s="32">
        <v>2.17422E-2</v>
      </c>
      <c r="H61" s="18">
        <v>7.2488000000000001</v>
      </c>
    </row>
    <row r="62" spans="1:8" ht="25.5" x14ac:dyDescent="0.2">
      <c r="A62" s="28">
        <v>5</v>
      </c>
      <c r="B62" s="29" t="s">
        <v>82</v>
      </c>
      <c r="C62" s="29" t="s">
        <v>83</v>
      </c>
      <c r="D62" s="29" t="s">
        <v>75</v>
      </c>
      <c r="E62" s="30">
        <v>1500000</v>
      </c>
      <c r="F62" s="31">
        <v>1505.1285</v>
      </c>
      <c r="G62" s="32">
        <v>2.1359630000000001E-2</v>
      </c>
      <c r="H62" s="18">
        <v>6.9680999999999997</v>
      </c>
    </row>
    <row r="63" spans="1:8" x14ac:dyDescent="0.2">
      <c r="A63" s="28">
        <v>6</v>
      </c>
      <c r="B63" s="29" t="s">
        <v>84</v>
      </c>
      <c r="C63" s="29" t="s">
        <v>85</v>
      </c>
      <c r="D63" s="29" t="s">
        <v>75</v>
      </c>
      <c r="E63" s="30">
        <v>1000000</v>
      </c>
      <c r="F63" s="31">
        <v>1024.605</v>
      </c>
      <c r="G63" s="32">
        <v>1.454041E-2</v>
      </c>
      <c r="H63" s="18">
        <v>6.7043999999999997</v>
      </c>
    </row>
    <row r="64" spans="1:8" x14ac:dyDescent="0.2">
      <c r="A64" s="28">
        <v>7</v>
      </c>
      <c r="B64" s="29" t="s">
        <v>86</v>
      </c>
      <c r="C64" s="29" t="s">
        <v>87</v>
      </c>
      <c r="D64" s="29" t="s">
        <v>75</v>
      </c>
      <c r="E64" s="30">
        <v>500000</v>
      </c>
      <c r="F64" s="31">
        <v>510.93349999999998</v>
      </c>
      <c r="G64" s="32">
        <v>7.2507800000000001E-3</v>
      </c>
      <c r="H64" s="18">
        <v>7.0327999999999999</v>
      </c>
    </row>
    <row r="65" spans="1:8" x14ac:dyDescent="0.2">
      <c r="A65" s="19"/>
      <c r="B65" s="19"/>
      <c r="C65" s="20" t="s">
        <v>11</v>
      </c>
      <c r="D65" s="19"/>
      <c r="E65" s="19" t="s">
        <v>12</v>
      </c>
      <c r="F65" s="27">
        <v>16493.089499999998</v>
      </c>
      <c r="G65" s="23">
        <v>0.2340573</v>
      </c>
      <c r="H65" s="18" t="s">
        <v>12</v>
      </c>
    </row>
    <row r="66" spans="1:8" x14ac:dyDescent="0.2">
      <c r="A66" s="19"/>
      <c r="B66" s="19"/>
      <c r="C66" s="24"/>
      <c r="D66" s="19"/>
      <c r="E66" s="19"/>
      <c r="F66" s="25"/>
      <c r="G66" s="26"/>
      <c r="H66" s="18" t="s">
        <v>12</v>
      </c>
    </row>
    <row r="67" spans="1:8" x14ac:dyDescent="0.2">
      <c r="A67" s="19"/>
      <c r="B67" s="19"/>
      <c r="C67" s="20" t="s">
        <v>88</v>
      </c>
      <c r="D67" s="19"/>
      <c r="E67" s="19"/>
      <c r="F67" s="25"/>
      <c r="G67" s="26"/>
      <c r="H67" s="18" t="s">
        <v>12</v>
      </c>
    </row>
    <row r="68" spans="1:8" x14ac:dyDescent="0.2">
      <c r="A68" s="19"/>
      <c r="B68" s="19"/>
      <c r="C68" s="20" t="s">
        <v>11</v>
      </c>
      <c r="D68" s="19"/>
      <c r="E68" s="19" t="s">
        <v>12</v>
      </c>
      <c r="F68" s="22" t="s">
        <v>13</v>
      </c>
      <c r="G68" s="23">
        <v>0</v>
      </c>
      <c r="H68" s="18" t="s">
        <v>12</v>
      </c>
    </row>
    <row r="69" spans="1:8" x14ac:dyDescent="0.2">
      <c r="A69" s="19"/>
      <c r="B69" s="19"/>
      <c r="C69" s="24"/>
      <c r="D69" s="19"/>
      <c r="E69" s="19"/>
      <c r="F69" s="25"/>
      <c r="G69" s="26"/>
      <c r="H69" s="18" t="s">
        <v>12</v>
      </c>
    </row>
    <row r="70" spans="1:8" x14ac:dyDescent="0.2">
      <c r="A70" s="19"/>
      <c r="B70" s="19"/>
      <c r="C70" s="20" t="s">
        <v>89</v>
      </c>
      <c r="D70" s="19"/>
      <c r="E70" s="19"/>
      <c r="F70" s="27">
        <v>67101.863500000007</v>
      </c>
      <c r="G70" s="23">
        <v>0.95225828000000001</v>
      </c>
      <c r="H70" s="18" t="s">
        <v>12</v>
      </c>
    </row>
    <row r="71" spans="1:8" x14ac:dyDescent="0.2">
      <c r="A71" s="19"/>
      <c r="B71" s="19"/>
      <c r="C71" s="24"/>
      <c r="D71" s="19"/>
      <c r="E71" s="19"/>
      <c r="F71" s="25"/>
      <c r="G71" s="26"/>
      <c r="H71" s="18" t="s">
        <v>12</v>
      </c>
    </row>
    <row r="72" spans="1:8" x14ac:dyDescent="0.2">
      <c r="A72" s="19"/>
      <c r="B72" s="19"/>
      <c r="C72" s="20" t="s">
        <v>90</v>
      </c>
      <c r="D72" s="19"/>
      <c r="E72" s="19"/>
      <c r="F72" s="25"/>
      <c r="G72" s="26"/>
      <c r="H72" s="18" t="s">
        <v>12</v>
      </c>
    </row>
    <row r="73" spans="1:8" x14ac:dyDescent="0.2">
      <c r="A73" s="19"/>
      <c r="B73" s="19"/>
      <c r="C73" s="20" t="s">
        <v>91</v>
      </c>
      <c r="D73" s="19"/>
      <c r="E73" s="19"/>
      <c r="F73" s="25"/>
      <c r="G73" s="26"/>
      <c r="H73" s="18" t="s">
        <v>12</v>
      </c>
    </row>
    <row r="74" spans="1:8" x14ac:dyDescent="0.2">
      <c r="A74" s="19"/>
      <c r="B74" s="19"/>
      <c r="C74" s="20" t="s">
        <v>11</v>
      </c>
      <c r="D74" s="19"/>
      <c r="E74" s="19" t="s">
        <v>12</v>
      </c>
      <c r="F74" s="22" t="s">
        <v>13</v>
      </c>
      <c r="G74" s="23">
        <v>0</v>
      </c>
      <c r="H74" s="18" t="s">
        <v>12</v>
      </c>
    </row>
    <row r="75" spans="1:8" x14ac:dyDescent="0.2">
      <c r="A75" s="19"/>
      <c r="B75" s="19"/>
      <c r="C75" s="24"/>
      <c r="D75" s="19"/>
      <c r="E75" s="19"/>
      <c r="F75" s="25"/>
      <c r="G75" s="26"/>
      <c r="H75" s="18" t="s">
        <v>12</v>
      </c>
    </row>
    <row r="76" spans="1:8" x14ac:dyDescent="0.2">
      <c r="A76" s="19"/>
      <c r="B76" s="19"/>
      <c r="C76" s="20" t="s">
        <v>92</v>
      </c>
      <c r="D76" s="19"/>
      <c r="E76" s="19"/>
      <c r="F76" s="25"/>
      <c r="G76" s="26"/>
      <c r="H76" s="18" t="s">
        <v>12</v>
      </c>
    </row>
    <row r="77" spans="1:8" x14ac:dyDescent="0.2">
      <c r="A77" s="19"/>
      <c r="B77" s="19"/>
      <c r="C77" s="20" t="s">
        <v>11</v>
      </c>
      <c r="D77" s="19"/>
      <c r="E77" s="19" t="s">
        <v>12</v>
      </c>
      <c r="F77" s="22" t="s">
        <v>13</v>
      </c>
      <c r="G77" s="23">
        <v>0</v>
      </c>
      <c r="H77" s="18" t="s">
        <v>12</v>
      </c>
    </row>
    <row r="78" spans="1:8" x14ac:dyDescent="0.2">
      <c r="A78" s="19"/>
      <c r="B78" s="19"/>
      <c r="C78" s="24"/>
      <c r="D78" s="19"/>
      <c r="E78" s="19"/>
      <c r="F78" s="25"/>
      <c r="G78" s="26"/>
      <c r="H78" s="18" t="s">
        <v>12</v>
      </c>
    </row>
    <row r="79" spans="1:8" x14ac:dyDescent="0.2">
      <c r="A79" s="19"/>
      <c r="B79" s="19"/>
      <c r="C79" s="20" t="s">
        <v>93</v>
      </c>
      <c r="D79" s="19"/>
      <c r="E79" s="19"/>
      <c r="F79" s="25"/>
      <c r="G79" s="26"/>
      <c r="H79" s="18" t="s">
        <v>12</v>
      </c>
    </row>
    <row r="80" spans="1:8" x14ac:dyDescent="0.2">
      <c r="A80" s="19"/>
      <c r="B80" s="19"/>
      <c r="C80" s="20" t="s">
        <v>11</v>
      </c>
      <c r="D80" s="19"/>
      <c r="E80" s="19" t="s">
        <v>12</v>
      </c>
      <c r="F80" s="22" t="s">
        <v>13</v>
      </c>
      <c r="G80" s="23">
        <v>0</v>
      </c>
      <c r="H80" s="18" t="s">
        <v>12</v>
      </c>
    </row>
    <row r="81" spans="1:17" x14ac:dyDescent="0.2">
      <c r="A81" s="19"/>
      <c r="B81" s="19"/>
      <c r="C81" s="24"/>
      <c r="D81" s="19"/>
      <c r="E81" s="19"/>
      <c r="F81" s="25"/>
      <c r="G81" s="26"/>
      <c r="H81" s="18" t="s">
        <v>12</v>
      </c>
    </row>
    <row r="82" spans="1:17" x14ac:dyDescent="0.2">
      <c r="A82" s="19"/>
      <c r="B82" s="19"/>
      <c r="C82" s="20" t="s">
        <v>94</v>
      </c>
      <c r="D82" s="19"/>
      <c r="E82" s="19"/>
      <c r="F82" s="25"/>
      <c r="G82" s="26"/>
      <c r="H82" s="18" t="s">
        <v>12</v>
      </c>
    </row>
    <row r="83" spans="1:17" x14ac:dyDescent="0.2">
      <c r="A83" s="28">
        <v>1</v>
      </c>
      <c r="B83" s="29"/>
      <c r="C83" s="29" t="s">
        <v>95</v>
      </c>
      <c r="D83" s="29"/>
      <c r="E83" s="33"/>
      <c r="F83" s="31">
        <v>984.72138619600003</v>
      </c>
      <c r="G83" s="32">
        <v>1.397441E-2</v>
      </c>
      <c r="H83" s="18">
        <v>6.23</v>
      </c>
    </row>
    <row r="84" spans="1:17" x14ac:dyDescent="0.2">
      <c r="A84" s="19"/>
      <c r="B84" s="19"/>
      <c r="C84" s="20" t="s">
        <v>11</v>
      </c>
      <c r="D84" s="19"/>
      <c r="E84" s="19" t="s">
        <v>12</v>
      </c>
      <c r="F84" s="27">
        <v>984.72138619600003</v>
      </c>
      <c r="G84" s="23">
        <v>1.397441E-2</v>
      </c>
      <c r="H84" s="18" t="s">
        <v>12</v>
      </c>
    </row>
    <row r="85" spans="1:17" x14ac:dyDescent="0.2">
      <c r="A85" s="19"/>
      <c r="B85" s="19"/>
      <c r="C85" s="24"/>
      <c r="D85" s="19"/>
      <c r="E85" s="19"/>
      <c r="F85" s="25"/>
      <c r="G85" s="26"/>
      <c r="H85" s="18" t="s">
        <v>12</v>
      </c>
    </row>
    <row r="86" spans="1:17" x14ac:dyDescent="0.2">
      <c r="A86" s="19"/>
      <c r="B86" s="19"/>
      <c r="C86" s="20" t="s">
        <v>96</v>
      </c>
      <c r="D86" s="19"/>
      <c r="E86" s="19"/>
      <c r="F86" s="27">
        <v>984.72138619600003</v>
      </c>
      <c r="G86" s="23">
        <v>1.397441E-2</v>
      </c>
      <c r="H86" s="18" t="s">
        <v>12</v>
      </c>
    </row>
    <row r="87" spans="1:17" x14ac:dyDescent="0.2">
      <c r="A87" s="19"/>
      <c r="B87" s="19"/>
      <c r="C87" s="25"/>
      <c r="D87" s="19"/>
      <c r="E87" s="19"/>
      <c r="F87" s="19"/>
      <c r="G87" s="21"/>
      <c r="H87" s="18" t="s">
        <v>12</v>
      </c>
    </row>
    <row r="88" spans="1:17" x14ac:dyDescent="0.2">
      <c r="A88" s="19"/>
      <c r="B88" s="19"/>
      <c r="C88" s="20" t="s">
        <v>97</v>
      </c>
      <c r="D88" s="19"/>
      <c r="E88" s="19"/>
      <c r="F88" s="19"/>
      <c r="G88" s="21"/>
      <c r="H88" s="18" t="s">
        <v>12</v>
      </c>
    </row>
    <row r="89" spans="1:17" x14ac:dyDescent="0.2">
      <c r="A89" s="19"/>
      <c r="B89" s="19"/>
      <c r="C89" s="20" t="s">
        <v>98</v>
      </c>
      <c r="D89" s="19"/>
      <c r="E89" s="19"/>
      <c r="F89" s="19"/>
      <c r="G89" s="21"/>
      <c r="H89" s="18" t="s">
        <v>12</v>
      </c>
    </row>
    <row r="90" spans="1:17" x14ac:dyDescent="0.2">
      <c r="A90" s="19"/>
      <c r="B90" s="19"/>
      <c r="C90" s="20" t="s">
        <v>11</v>
      </c>
      <c r="D90" s="19"/>
      <c r="E90" s="19" t="s">
        <v>12</v>
      </c>
      <c r="F90" s="22" t="s">
        <v>13</v>
      </c>
      <c r="G90" s="23">
        <v>0</v>
      </c>
      <c r="H90" s="18" t="s">
        <v>12</v>
      </c>
    </row>
    <row r="91" spans="1:17" x14ac:dyDescent="0.2">
      <c r="A91" s="34"/>
      <c r="B91" s="34"/>
      <c r="C91" s="35"/>
      <c r="D91" s="34"/>
      <c r="E91" s="34"/>
      <c r="F91" s="36"/>
      <c r="G91" s="36"/>
      <c r="H91" s="37" t="s">
        <v>12</v>
      </c>
    </row>
    <row r="92" spans="1:17" ht="25.5" x14ac:dyDescent="0.2">
      <c r="A92" s="34"/>
      <c r="B92" s="34"/>
      <c r="C92" s="38" t="s">
        <v>552</v>
      </c>
      <c r="D92" s="34"/>
      <c r="E92" s="34"/>
      <c r="F92" s="36"/>
      <c r="G92" s="36"/>
      <c r="H92" s="39"/>
      <c r="K92" s="40"/>
      <c r="L92" s="40"/>
      <c r="M92" s="40"/>
      <c r="N92" s="40"/>
      <c r="O92" s="41"/>
      <c r="P92" s="41"/>
      <c r="Q92" s="41"/>
    </row>
    <row r="93" spans="1:17" ht="25.5" x14ac:dyDescent="0.2">
      <c r="A93" s="42">
        <v>1</v>
      </c>
      <c r="B93" s="43" t="s">
        <v>99</v>
      </c>
      <c r="C93" s="43" t="s">
        <v>100</v>
      </c>
      <c r="D93" s="43"/>
      <c r="E93" s="44">
        <v>2586.3710000000001</v>
      </c>
      <c r="F93" s="39">
        <v>283.71363246800001</v>
      </c>
      <c r="G93" s="45">
        <v>4.0262500000000003E-3</v>
      </c>
      <c r="H93" s="37"/>
    </row>
    <row r="94" spans="1:17" x14ac:dyDescent="0.2">
      <c r="A94" s="34"/>
      <c r="B94" s="34"/>
      <c r="C94" s="38" t="s">
        <v>11</v>
      </c>
      <c r="D94" s="34"/>
      <c r="E94" s="34" t="s">
        <v>12</v>
      </c>
      <c r="F94" s="46">
        <v>283.71363246800001</v>
      </c>
      <c r="G94" s="47">
        <v>4.0262500000000003E-3</v>
      </c>
      <c r="H94" s="37" t="s">
        <v>12</v>
      </c>
    </row>
    <row r="95" spans="1:17" x14ac:dyDescent="0.2">
      <c r="A95" s="19"/>
      <c r="B95" s="19"/>
      <c r="C95" s="24"/>
      <c r="D95" s="19"/>
      <c r="E95" s="19"/>
      <c r="F95" s="25"/>
      <c r="G95" s="26"/>
      <c r="H95" s="18" t="s">
        <v>12</v>
      </c>
    </row>
    <row r="96" spans="1:17" x14ac:dyDescent="0.2">
      <c r="A96" s="19"/>
      <c r="B96" s="19"/>
      <c r="C96" s="20" t="s">
        <v>101</v>
      </c>
      <c r="D96" s="19"/>
      <c r="E96" s="19"/>
      <c r="F96" s="19"/>
      <c r="G96" s="21"/>
      <c r="H96" s="18" t="s">
        <v>12</v>
      </c>
    </row>
    <row r="97" spans="1:8" x14ac:dyDescent="0.2">
      <c r="A97" s="19"/>
      <c r="B97" s="19"/>
      <c r="C97" s="20" t="s">
        <v>102</v>
      </c>
      <c r="D97" s="19"/>
      <c r="E97" s="19"/>
      <c r="F97" s="19"/>
      <c r="G97" s="21"/>
      <c r="H97" s="18" t="s">
        <v>12</v>
      </c>
    </row>
    <row r="98" spans="1:8" x14ac:dyDescent="0.2">
      <c r="A98" s="19"/>
      <c r="B98" s="19"/>
      <c r="C98" s="20" t="s">
        <v>11</v>
      </c>
      <c r="D98" s="19"/>
      <c r="E98" s="19" t="s">
        <v>12</v>
      </c>
      <c r="F98" s="22" t="s">
        <v>13</v>
      </c>
      <c r="G98" s="23">
        <v>0</v>
      </c>
      <c r="H98" s="18" t="s">
        <v>12</v>
      </c>
    </row>
    <row r="99" spans="1:8" x14ac:dyDescent="0.2">
      <c r="A99" s="19"/>
      <c r="B99" s="19"/>
      <c r="C99" s="24"/>
      <c r="D99" s="19"/>
      <c r="E99" s="19"/>
      <c r="F99" s="25"/>
      <c r="G99" s="26"/>
      <c r="H99" s="18" t="s">
        <v>12</v>
      </c>
    </row>
    <row r="100" spans="1:8" ht="25.5" x14ac:dyDescent="0.2">
      <c r="A100" s="19"/>
      <c r="B100" s="19"/>
      <c r="C100" s="20" t="s">
        <v>103</v>
      </c>
      <c r="D100" s="19"/>
      <c r="E100" s="19"/>
      <c r="F100" s="25"/>
      <c r="G100" s="26"/>
      <c r="H100" s="18" t="s">
        <v>12</v>
      </c>
    </row>
    <row r="101" spans="1:8" x14ac:dyDescent="0.2">
      <c r="A101" s="19"/>
      <c r="B101" s="19"/>
      <c r="C101" s="20" t="s">
        <v>11</v>
      </c>
      <c r="D101" s="19"/>
      <c r="E101" s="19" t="s">
        <v>12</v>
      </c>
      <c r="F101" s="22" t="s">
        <v>13</v>
      </c>
      <c r="G101" s="23">
        <v>0</v>
      </c>
      <c r="H101" s="18" t="s">
        <v>12</v>
      </c>
    </row>
    <row r="102" spans="1:8" x14ac:dyDescent="0.2">
      <c r="A102" s="19"/>
      <c r="B102" s="19"/>
      <c r="C102" s="24"/>
      <c r="D102" s="19"/>
      <c r="E102" s="19"/>
      <c r="F102" s="25"/>
      <c r="G102" s="26"/>
      <c r="H102" s="18" t="s">
        <v>12</v>
      </c>
    </row>
    <row r="103" spans="1:8" x14ac:dyDescent="0.2">
      <c r="A103" s="33"/>
      <c r="B103" s="29"/>
      <c r="C103" s="29" t="s">
        <v>104</v>
      </c>
      <c r="D103" s="29"/>
      <c r="E103" s="33"/>
      <c r="F103" s="31">
        <v>2095.7346431400001</v>
      </c>
      <c r="G103" s="32">
        <v>2.974106E-2</v>
      </c>
      <c r="H103" s="18" t="s">
        <v>12</v>
      </c>
    </row>
    <row r="104" spans="1:8" x14ac:dyDescent="0.2">
      <c r="A104" s="24"/>
      <c r="B104" s="24"/>
      <c r="C104" s="20" t="s">
        <v>105</v>
      </c>
      <c r="D104" s="25"/>
      <c r="E104" s="25"/>
      <c r="F104" s="27">
        <v>70466.033161804007</v>
      </c>
      <c r="G104" s="48">
        <v>1</v>
      </c>
      <c r="H104" s="18" t="s">
        <v>12</v>
      </c>
    </row>
    <row r="105" spans="1:8" x14ac:dyDescent="0.2">
      <c r="A105" s="49"/>
      <c r="B105" s="49"/>
      <c r="C105" s="49"/>
      <c r="D105" s="50"/>
      <c r="E105" s="50"/>
      <c r="F105" s="50"/>
      <c r="G105" s="50"/>
    </row>
    <row r="106" spans="1:8" x14ac:dyDescent="0.2">
      <c r="A106" s="51"/>
      <c r="B106" s="171" t="s">
        <v>549</v>
      </c>
      <c r="C106" s="171"/>
      <c r="D106" s="171"/>
      <c r="E106" s="171"/>
      <c r="F106" s="171"/>
      <c r="G106" s="171"/>
      <c r="H106" s="171"/>
    </row>
    <row r="107" spans="1:8" x14ac:dyDescent="0.2">
      <c r="A107" s="51"/>
      <c r="B107" s="171" t="s">
        <v>550</v>
      </c>
      <c r="C107" s="171"/>
      <c r="D107" s="171"/>
      <c r="E107" s="171"/>
      <c r="F107" s="171"/>
      <c r="G107" s="171"/>
      <c r="H107" s="171"/>
    </row>
    <row r="108" spans="1:8" x14ac:dyDescent="0.2">
      <c r="A108" s="51"/>
      <c r="B108" s="171" t="s">
        <v>551</v>
      </c>
      <c r="C108" s="171"/>
      <c r="D108" s="171"/>
      <c r="E108" s="171"/>
      <c r="F108" s="171"/>
      <c r="G108" s="171"/>
      <c r="H108" s="171"/>
    </row>
    <row r="109" spans="1:8" x14ac:dyDescent="0.2">
      <c r="A109" s="53"/>
      <c r="B109" s="53"/>
      <c r="C109" s="53"/>
      <c r="D109" s="54"/>
      <c r="E109" s="54"/>
      <c r="F109" s="54"/>
      <c r="G109" s="54"/>
    </row>
    <row r="110" spans="1:8" x14ac:dyDescent="0.2">
      <c r="A110" s="53"/>
      <c r="B110" s="174" t="s">
        <v>106</v>
      </c>
      <c r="C110" s="175"/>
      <c r="D110" s="176"/>
      <c r="E110" s="55"/>
      <c r="F110" s="54"/>
      <c r="G110" s="54"/>
    </row>
    <row r="111" spans="1:8" x14ac:dyDescent="0.2">
      <c r="A111" s="53"/>
      <c r="B111" s="177" t="s">
        <v>107</v>
      </c>
      <c r="C111" s="178"/>
      <c r="D111" s="20" t="s">
        <v>108</v>
      </c>
      <c r="E111" s="55"/>
      <c r="F111" s="54"/>
      <c r="G111" s="54"/>
    </row>
    <row r="112" spans="1:8" x14ac:dyDescent="0.2">
      <c r="A112" s="53"/>
      <c r="B112" s="177" t="s">
        <v>109</v>
      </c>
      <c r="C112" s="178"/>
      <c r="D112" s="20" t="s">
        <v>108</v>
      </c>
      <c r="E112" s="55"/>
      <c r="F112" s="54"/>
      <c r="G112" s="54"/>
    </row>
    <row r="113" spans="1:7" x14ac:dyDescent="0.2">
      <c r="A113" s="53"/>
      <c r="B113" s="177" t="s">
        <v>110</v>
      </c>
      <c r="C113" s="178"/>
      <c r="D113" s="25" t="s">
        <v>12</v>
      </c>
      <c r="E113" s="55"/>
      <c r="F113" s="54"/>
      <c r="G113" s="54"/>
    </row>
    <row r="114" spans="1:7" x14ac:dyDescent="0.2">
      <c r="A114" s="56"/>
      <c r="B114" s="57" t="s">
        <v>12</v>
      </c>
      <c r="C114" s="57" t="s">
        <v>553</v>
      </c>
      <c r="D114" s="57" t="s">
        <v>111</v>
      </c>
      <c r="E114" s="56"/>
      <c r="F114" s="56"/>
      <c r="G114" s="56"/>
    </row>
    <row r="115" spans="1:7" x14ac:dyDescent="0.2">
      <c r="A115" s="56"/>
      <c r="B115" s="58" t="s">
        <v>112</v>
      </c>
      <c r="C115" s="59">
        <v>45688</v>
      </c>
      <c r="D115" s="59">
        <v>45716</v>
      </c>
      <c r="E115" s="56"/>
      <c r="F115" s="56"/>
      <c r="G115" s="56"/>
    </row>
    <row r="116" spans="1:7" x14ac:dyDescent="0.2">
      <c r="A116" s="60"/>
      <c r="B116" s="29" t="s">
        <v>113</v>
      </c>
      <c r="C116" s="61">
        <v>39.924399999999999</v>
      </c>
      <c r="D116" s="61">
        <v>40.045699999999997</v>
      </c>
      <c r="E116" s="60"/>
      <c r="F116" s="62"/>
      <c r="G116" s="63"/>
    </row>
    <row r="117" spans="1:7" ht="25.5" x14ac:dyDescent="0.2">
      <c r="A117" s="60"/>
      <c r="B117" s="29" t="s">
        <v>674</v>
      </c>
      <c r="C117" s="61">
        <v>17.644300000000001</v>
      </c>
      <c r="D117" s="61">
        <v>17.677900000000001</v>
      </c>
      <c r="E117" s="60"/>
      <c r="F117" s="62"/>
      <c r="G117" s="63"/>
    </row>
    <row r="118" spans="1:7" ht="25.5" x14ac:dyDescent="0.2">
      <c r="A118" s="60"/>
      <c r="B118" s="29" t="s">
        <v>675</v>
      </c>
      <c r="C118" s="61">
        <v>19.520299999999999</v>
      </c>
      <c r="D118" s="61">
        <v>19.579599999999999</v>
      </c>
      <c r="E118" s="60"/>
      <c r="F118" s="62"/>
      <c r="G118" s="63"/>
    </row>
    <row r="119" spans="1:7" ht="25.5" x14ac:dyDescent="0.2">
      <c r="A119" s="60"/>
      <c r="B119" s="29" t="s">
        <v>676</v>
      </c>
      <c r="C119" s="61">
        <v>17.6478</v>
      </c>
      <c r="D119" s="61">
        <v>17.7013</v>
      </c>
      <c r="E119" s="60"/>
      <c r="F119" s="62"/>
      <c r="G119" s="63"/>
    </row>
    <row r="120" spans="1:7" ht="25.5" x14ac:dyDescent="0.2">
      <c r="A120" s="60"/>
      <c r="B120" s="29" t="s">
        <v>677</v>
      </c>
      <c r="C120" s="61">
        <v>17.763500000000001</v>
      </c>
      <c r="D120" s="61">
        <v>17.817499999999999</v>
      </c>
      <c r="E120" s="60"/>
      <c r="F120" s="62"/>
      <c r="G120" s="63"/>
    </row>
    <row r="121" spans="1:7" x14ac:dyDescent="0.2">
      <c r="A121" s="60"/>
      <c r="B121" s="29" t="s">
        <v>114</v>
      </c>
      <c r="C121" s="61">
        <v>38.645299999999999</v>
      </c>
      <c r="D121" s="61">
        <v>38.757399999999997</v>
      </c>
      <c r="E121" s="60"/>
      <c r="F121" s="62"/>
      <c r="G121" s="63"/>
    </row>
    <row r="122" spans="1:7" ht="25.5" x14ac:dyDescent="0.2">
      <c r="A122" s="60"/>
      <c r="B122" s="29" t="s">
        <v>678</v>
      </c>
      <c r="C122" s="61">
        <v>16.666599999999999</v>
      </c>
      <c r="D122" s="61">
        <v>16.695</v>
      </c>
      <c r="E122" s="60"/>
      <c r="F122" s="62"/>
      <c r="G122" s="63"/>
    </row>
    <row r="123" spans="1:7" ht="25.5" x14ac:dyDescent="0.2">
      <c r="A123" s="60"/>
      <c r="B123" s="29" t="s">
        <v>673</v>
      </c>
      <c r="C123" s="61">
        <v>18.932300000000001</v>
      </c>
      <c r="D123" s="61">
        <v>18.987300000000001</v>
      </c>
      <c r="E123" s="60"/>
      <c r="F123" s="62"/>
      <c r="G123" s="63"/>
    </row>
    <row r="124" spans="1:7" ht="25.5" x14ac:dyDescent="0.2">
      <c r="A124" s="60"/>
      <c r="B124" s="29" t="s">
        <v>679</v>
      </c>
      <c r="C124" s="61">
        <v>17.525400000000001</v>
      </c>
      <c r="D124" s="61">
        <v>17.5762</v>
      </c>
      <c r="E124" s="60"/>
      <c r="F124" s="62"/>
      <c r="G124" s="63"/>
    </row>
    <row r="125" spans="1:7" ht="25.5" x14ac:dyDescent="0.2">
      <c r="A125" s="60"/>
      <c r="B125" s="29" t="s">
        <v>680</v>
      </c>
      <c r="C125" s="61">
        <v>17.23</v>
      </c>
      <c r="D125" s="61">
        <v>17.28</v>
      </c>
      <c r="E125" s="60"/>
      <c r="F125" s="62"/>
      <c r="G125" s="63"/>
    </row>
    <row r="126" spans="1:7" x14ac:dyDescent="0.2">
      <c r="A126" s="60"/>
      <c r="B126" s="60"/>
      <c r="C126" s="60"/>
      <c r="D126" s="60"/>
      <c r="E126" s="60"/>
      <c r="F126" s="60"/>
      <c r="G126" s="60"/>
    </row>
    <row r="127" spans="1:7" x14ac:dyDescent="0.2">
      <c r="A127" s="60"/>
      <c r="B127" s="177" t="s">
        <v>554</v>
      </c>
      <c r="C127" s="178"/>
      <c r="D127" s="20" t="s">
        <v>12</v>
      </c>
      <c r="E127" s="60"/>
      <c r="F127" s="60"/>
      <c r="G127" s="60"/>
    </row>
    <row r="128" spans="1:7" x14ac:dyDescent="0.2">
      <c r="A128" s="60"/>
      <c r="B128" s="64" t="s">
        <v>112</v>
      </c>
      <c r="C128" s="65" t="s">
        <v>115</v>
      </c>
      <c r="D128" s="65" t="s">
        <v>116</v>
      </c>
      <c r="E128" s="60"/>
      <c r="F128" s="60"/>
      <c r="G128" s="60"/>
    </row>
    <row r="129" spans="1:14" ht="25.5" x14ac:dyDescent="0.2">
      <c r="A129" s="60"/>
      <c r="B129" s="29" t="s">
        <v>674</v>
      </c>
      <c r="C129" s="66">
        <v>0.02</v>
      </c>
      <c r="D129" s="33" t="s">
        <v>117</v>
      </c>
      <c r="E129" s="60"/>
      <c r="F129" s="62"/>
      <c r="G129" s="63"/>
    </row>
    <row r="130" spans="1:14" ht="25.5" x14ac:dyDescent="0.2">
      <c r="A130" s="60"/>
      <c r="B130" s="29" t="s">
        <v>678</v>
      </c>
      <c r="C130" s="66">
        <v>0.02</v>
      </c>
      <c r="D130" s="33" t="s">
        <v>117</v>
      </c>
      <c r="E130" s="60"/>
      <c r="F130" s="62"/>
      <c r="G130" s="63"/>
    </row>
    <row r="131" spans="1:14" x14ac:dyDescent="0.2">
      <c r="A131" s="60"/>
      <c r="B131" s="67"/>
      <c r="C131" s="67"/>
      <c r="D131" s="68"/>
      <c r="E131" s="60"/>
      <c r="F131" s="62"/>
      <c r="G131" s="63"/>
    </row>
    <row r="132" spans="1:14" ht="25.5" customHeight="1" x14ac:dyDescent="0.2">
      <c r="A132" s="56"/>
      <c r="B132" s="172" t="s">
        <v>118</v>
      </c>
      <c r="C132" s="173"/>
      <c r="D132" s="38" t="s">
        <v>108</v>
      </c>
      <c r="E132" s="69"/>
      <c r="F132" s="56"/>
      <c r="G132" s="56"/>
    </row>
    <row r="133" spans="1:14" ht="26.25" customHeight="1" x14ac:dyDescent="0.2">
      <c r="A133" s="56"/>
      <c r="B133" s="172" t="s">
        <v>119</v>
      </c>
      <c r="C133" s="173"/>
      <c r="D133" s="38" t="s">
        <v>108</v>
      </c>
      <c r="E133" s="69"/>
      <c r="F133" s="56"/>
      <c r="G133" s="56"/>
    </row>
    <row r="134" spans="1:14" x14ac:dyDescent="0.2">
      <c r="A134" s="56"/>
      <c r="B134" s="172" t="s">
        <v>555</v>
      </c>
      <c r="C134" s="173"/>
      <c r="D134" s="38" t="s">
        <v>108</v>
      </c>
      <c r="E134" s="69"/>
      <c r="F134" s="56"/>
      <c r="G134" s="56"/>
    </row>
    <row r="135" spans="1:14" x14ac:dyDescent="0.2">
      <c r="A135" s="70"/>
      <c r="B135" s="70"/>
      <c r="C135" s="70"/>
      <c r="D135" s="70"/>
      <c r="E135" s="70"/>
      <c r="F135" s="70"/>
      <c r="G135" s="70"/>
    </row>
    <row r="136" spans="1:14" s="71" customFormat="1" x14ac:dyDescent="0.2">
      <c r="B136" s="166" t="s">
        <v>556</v>
      </c>
      <c r="C136" s="167"/>
      <c r="D136" s="168"/>
      <c r="H136"/>
      <c r="I136"/>
      <c r="J136" s="40"/>
      <c r="K136" s="40"/>
      <c r="L136" s="40"/>
      <c r="M136" s="40"/>
      <c r="N136" s="40"/>
    </row>
    <row r="137" spans="1:14" s="71" customFormat="1" ht="38.25" x14ac:dyDescent="0.2">
      <c r="B137" s="169" t="s">
        <v>557</v>
      </c>
      <c r="C137" s="169"/>
      <c r="D137" s="72" t="s">
        <v>1</v>
      </c>
      <c r="H137"/>
      <c r="I137"/>
      <c r="J137" s="40"/>
      <c r="K137" s="40"/>
      <c r="L137" s="40"/>
      <c r="M137" s="40"/>
      <c r="N137" s="40"/>
    </row>
    <row r="138" spans="1:14" s="71" customFormat="1" x14ac:dyDescent="0.2">
      <c r="B138" s="165" t="s">
        <v>558</v>
      </c>
      <c r="C138" s="165"/>
      <c r="D138" s="73"/>
      <c r="H138"/>
      <c r="I138"/>
      <c r="J138" s="40"/>
      <c r="K138" s="40"/>
      <c r="L138" s="40"/>
      <c r="M138" s="40"/>
      <c r="N138" s="40"/>
    </row>
    <row r="139" spans="1:14" s="71" customFormat="1" x14ac:dyDescent="0.2">
      <c r="B139" s="162"/>
      <c r="C139" s="164"/>
      <c r="D139" s="74"/>
      <c r="H139"/>
      <c r="I139"/>
      <c r="J139" s="40"/>
      <c r="K139" s="40"/>
      <c r="L139" s="40"/>
      <c r="M139" s="40"/>
      <c r="N139" s="40"/>
    </row>
    <row r="140" spans="1:14" s="71" customFormat="1" x14ac:dyDescent="0.2">
      <c r="B140" s="165" t="s">
        <v>559</v>
      </c>
      <c r="C140" s="165"/>
      <c r="D140" s="75">
        <v>7.3688228237478306</v>
      </c>
      <c r="H140"/>
      <c r="I140"/>
      <c r="J140" s="40"/>
      <c r="K140" s="40"/>
      <c r="L140" s="40"/>
      <c r="M140" s="40"/>
      <c r="N140" s="40"/>
    </row>
    <row r="141" spans="1:14" s="71" customFormat="1" x14ac:dyDescent="0.2">
      <c r="B141" s="162"/>
      <c r="C141" s="164"/>
      <c r="D141" s="74"/>
      <c r="H141"/>
      <c r="I141"/>
      <c r="J141" s="40"/>
      <c r="K141" s="40"/>
      <c r="L141" s="40"/>
      <c r="M141" s="40"/>
      <c r="N141" s="40"/>
    </row>
    <row r="142" spans="1:14" s="71" customFormat="1" x14ac:dyDescent="0.2">
      <c r="B142" s="165" t="s">
        <v>560</v>
      </c>
      <c r="C142" s="165"/>
      <c r="D142" s="75">
        <v>4.0462664706499485</v>
      </c>
      <c r="H142"/>
      <c r="I142"/>
      <c r="J142" s="40"/>
      <c r="K142" s="40"/>
      <c r="L142" s="40"/>
      <c r="M142" s="40"/>
      <c r="N142" s="40"/>
    </row>
    <row r="143" spans="1:14" s="71" customFormat="1" x14ac:dyDescent="0.2">
      <c r="B143" s="165" t="s">
        <v>561</v>
      </c>
      <c r="C143" s="165"/>
      <c r="D143" s="75">
        <v>5.8478755950714074</v>
      </c>
      <c r="H143"/>
      <c r="I143"/>
      <c r="J143" s="40"/>
      <c r="K143" s="40"/>
      <c r="L143" s="40"/>
      <c r="M143" s="40"/>
      <c r="N143" s="40"/>
    </row>
    <row r="144" spans="1:14" s="71" customFormat="1" x14ac:dyDescent="0.2">
      <c r="B144" s="162"/>
      <c r="C144" s="164"/>
      <c r="D144" s="74"/>
      <c r="I144"/>
      <c r="J144" s="40"/>
      <c r="K144" s="40"/>
      <c r="L144" s="40"/>
      <c r="M144" s="40"/>
      <c r="N144" s="40"/>
    </row>
    <row r="145" spans="2:14" s="71" customFormat="1" x14ac:dyDescent="0.2">
      <c r="B145" s="165" t="s">
        <v>562</v>
      </c>
      <c r="C145" s="165"/>
      <c r="D145" s="76" t="s">
        <v>668</v>
      </c>
      <c r="I145"/>
      <c r="J145" s="40"/>
      <c r="K145" s="40"/>
      <c r="L145" s="40"/>
      <c r="M145" s="40"/>
      <c r="N145" s="77"/>
    </row>
    <row r="146" spans="2:14" s="71" customFormat="1" x14ac:dyDescent="0.2">
      <c r="B146" s="162" t="s">
        <v>563</v>
      </c>
      <c r="C146" s="163"/>
      <c r="D146" s="164"/>
      <c r="I146"/>
      <c r="J146" s="40"/>
      <c r="K146" s="40"/>
      <c r="L146" s="40"/>
      <c r="M146" s="40"/>
      <c r="N146" s="40"/>
    </row>
    <row r="148" spans="2:14" ht="25.5" x14ac:dyDescent="0.2">
      <c r="B148" s="78" t="s">
        <v>564</v>
      </c>
    </row>
    <row r="150" spans="2:14" ht="153.75" customHeight="1" x14ac:dyDescent="0.2"/>
    <row r="153" spans="2:14" x14ac:dyDescent="0.2">
      <c r="B153" s="79" t="s">
        <v>565</v>
      </c>
      <c r="C153" s="80"/>
      <c r="D153" s="79" t="s">
        <v>566</v>
      </c>
    </row>
    <row r="154" spans="2:14" x14ac:dyDescent="0.2">
      <c r="B154" s="79" t="s">
        <v>567</v>
      </c>
      <c r="D154" s="79" t="s">
        <v>568</v>
      </c>
    </row>
    <row r="155" spans="2:14" ht="165" customHeight="1" x14ac:dyDescent="0.2"/>
  </sheetData>
  <mergeCells count="25">
    <mergeCell ref="B108:H108"/>
    <mergeCell ref="B132:C132"/>
    <mergeCell ref="B133:C133"/>
    <mergeCell ref="B134:C134"/>
    <mergeCell ref="B110:D110"/>
    <mergeCell ref="B111:C111"/>
    <mergeCell ref="B112:C112"/>
    <mergeCell ref="B113:C113"/>
    <mergeCell ref="B127:C127"/>
    <mergeCell ref="A3:H3"/>
    <mergeCell ref="A2:H2"/>
    <mergeCell ref="A1:H1"/>
    <mergeCell ref="B106:H106"/>
    <mergeCell ref="B107:H107"/>
    <mergeCell ref="B136:D136"/>
    <mergeCell ref="B137:C137"/>
    <mergeCell ref="B138:C138"/>
    <mergeCell ref="B139:C139"/>
    <mergeCell ref="B140:C140"/>
    <mergeCell ref="B146:D146"/>
    <mergeCell ref="B141:C141"/>
    <mergeCell ref="B142:C142"/>
    <mergeCell ref="B143:C143"/>
    <mergeCell ref="B144:C144"/>
    <mergeCell ref="B145:C145"/>
  </mergeCell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263216-EF49-4A0C-882A-49B211C8FA4C}">
  <sheetPr>
    <outlinePr summaryBelow="0" summaryRight="0"/>
  </sheetPr>
  <dimension ref="A1:R147"/>
  <sheetViews>
    <sheetView showGridLines="0" workbookViewId="0">
      <selection sqref="A1:H1"/>
    </sheetView>
  </sheetViews>
  <sheetFormatPr defaultRowHeight="12.75" x14ac:dyDescent="0.2"/>
  <cols>
    <col min="1" max="1" width="5.85546875" bestFit="1" customWidth="1"/>
    <col min="2" max="2" width="28.7109375" customWidth="1"/>
    <col min="3" max="3" width="37.28515625" customWidth="1"/>
    <col min="4" max="4" width="10.7109375" bestFit="1" customWidth="1"/>
    <col min="5" max="5" width="9.42578125" bestFit="1" customWidth="1"/>
    <col min="6" max="6" width="10.140625" bestFit="1" customWidth="1"/>
    <col min="7" max="7" width="14" bestFit="1" customWidth="1"/>
  </cols>
  <sheetData>
    <row r="1" spans="1:8" ht="15" x14ac:dyDescent="0.2">
      <c r="A1" s="170" t="s">
        <v>0</v>
      </c>
      <c r="B1" s="170"/>
      <c r="C1" s="170"/>
      <c r="D1" s="170"/>
      <c r="E1" s="170"/>
      <c r="F1" s="170"/>
      <c r="G1" s="170"/>
      <c r="H1" s="170"/>
    </row>
    <row r="2" spans="1:8" ht="15" x14ac:dyDescent="0.2">
      <c r="A2" s="170" t="s">
        <v>120</v>
      </c>
      <c r="B2" s="170"/>
      <c r="C2" s="170"/>
      <c r="D2" s="170"/>
      <c r="E2" s="170"/>
      <c r="F2" s="170"/>
      <c r="G2" s="170"/>
      <c r="H2" s="170"/>
    </row>
    <row r="3" spans="1:8" ht="15" x14ac:dyDescent="0.2">
      <c r="A3" s="170" t="s">
        <v>686</v>
      </c>
      <c r="B3" s="170"/>
      <c r="C3" s="170"/>
      <c r="D3" s="170"/>
      <c r="E3" s="170"/>
      <c r="F3" s="170"/>
      <c r="G3" s="170"/>
      <c r="H3" s="170"/>
    </row>
    <row r="4" spans="1:8" s="14" customFormat="1" ht="30" x14ac:dyDescent="0.2">
      <c r="A4" s="12" t="s">
        <v>2</v>
      </c>
      <c r="B4" s="12" t="s">
        <v>3</v>
      </c>
      <c r="C4" s="12" t="s">
        <v>4</v>
      </c>
      <c r="D4" s="12" t="s">
        <v>5</v>
      </c>
      <c r="E4" s="12" t="s">
        <v>6</v>
      </c>
      <c r="F4" s="12" t="s">
        <v>7</v>
      </c>
      <c r="G4" s="12" t="s">
        <v>8</v>
      </c>
      <c r="H4" s="13" t="s">
        <v>535</v>
      </c>
    </row>
    <row r="5" spans="1:8" x14ac:dyDescent="0.2">
      <c r="A5" s="15"/>
      <c r="B5" s="15"/>
      <c r="C5" s="16" t="s">
        <v>9</v>
      </c>
      <c r="D5" s="15"/>
      <c r="E5" s="15"/>
      <c r="F5" s="15"/>
      <c r="G5" s="17"/>
      <c r="H5" s="18" t="s">
        <v>12</v>
      </c>
    </row>
    <row r="6" spans="1:8" x14ac:dyDescent="0.2">
      <c r="A6" s="19"/>
      <c r="B6" s="19"/>
      <c r="C6" s="20" t="s">
        <v>10</v>
      </c>
      <c r="D6" s="19"/>
      <c r="E6" s="19"/>
      <c r="F6" s="19"/>
      <c r="G6" s="21"/>
      <c r="H6" s="18" t="s">
        <v>12</v>
      </c>
    </row>
    <row r="7" spans="1:8" x14ac:dyDescent="0.2">
      <c r="A7" s="19"/>
      <c r="B7" s="19"/>
      <c r="C7" s="20" t="s">
        <v>11</v>
      </c>
      <c r="D7" s="19"/>
      <c r="E7" s="19" t="s">
        <v>12</v>
      </c>
      <c r="F7" s="22" t="s">
        <v>13</v>
      </c>
      <c r="G7" s="23">
        <v>0</v>
      </c>
      <c r="H7" s="18" t="s">
        <v>12</v>
      </c>
    </row>
    <row r="8" spans="1:8" x14ac:dyDescent="0.2">
      <c r="A8" s="19"/>
      <c r="B8" s="19"/>
      <c r="C8" s="24"/>
      <c r="D8" s="19"/>
      <c r="E8" s="19"/>
      <c r="F8" s="25"/>
      <c r="G8" s="26"/>
      <c r="H8" s="18" t="s">
        <v>12</v>
      </c>
    </row>
    <row r="9" spans="1:8" x14ac:dyDescent="0.2">
      <c r="A9" s="19"/>
      <c r="B9" s="19"/>
      <c r="C9" s="20" t="s">
        <v>14</v>
      </c>
      <c r="D9" s="19"/>
      <c r="E9" s="19"/>
      <c r="F9" s="19"/>
      <c r="G9" s="21"/>
      <c r="H9" s="18" t="s">
        <v>12</v>
      </c>
    </row>
    <row r="10" spans="1:8" x14ac:dyDescent="0.2">
      <c r="A10" s="19"/>
      <c r="B10" s="19"/>
      <c r="C10" s="20" t="s">
        <v>11</v>
      </c>
      <c r="D10" s="19"/>
      <c r="E10" s="19" t="s">
        <v>12</v>
      </c>
      <c r="F10" s="22" t="s">
        <v>13</v>
      </c>
      <c r="G10" s="23">
        <v>0</v>
      </c>
      <c r="H10" s="18" t="s">
        <v>12</v>
      </c>
    </row>
    <row r="11" spans="1:8" x14ac:dyDescent="0.2">
      <c r="A11" s="19"/>
      <c r="B11" s="19"/>
      <c r="C11" s="24"/>
      <c r="D11" s="19"/>
      <c r="E11" s="19"/>
      <c r="F11" s="25"/>
      <c r="G11" s="26"/>
      <c r="H11" s="18" t="s">
        <v>12</v>
      </c>
    </row>
    <row r="12" spans="1:8" x14ac:dyDescent="0.2">
      <c r="A12" s="19"/>
      <c r="B12" s="19"/>
      <c r="C12" s="20" t="s">
        <v>15</v>
      </c>
      <c r="D12" s="19"/>
      <c r="E12" s="19"/>
      <c r="F12" s="19"/>
      <c r="G12" s="21"/>
      <c r="H12" s="18" t="s">
        <v>12</v>
      </c>
    </row>
    <row r="13" spans="1:8" x14ac:dyDescent="0.2">
      <c r="A13" s="19"/>
      <c r="B13" s="19"/>
      <c r="C13" s="20" t="s">
        <v>11</v>
      </c>
      <c r="D13" s="19"/>
      <c r="E13" s="19" t="s">
        <v>12</v>
      </c>
      <c r="F13" s="22" t="s">
        <v>13</v>
      </c>
      <c r="G13" s="23">
        <v>0</v>
      </c>
      <c r="H13" s="18" t="s">
        <v>12</v>
      </c>
    </row>
    <row r="14" spans="1:8" x14ac:dyDescent="0.2">
      <c r="A14" s="19"/>
      <c r="B14" s="19"/>
      <c r="C14" s="24"/>
      <c r="D14" s="19"/>
      <c r="E14" s="19"/>
      <c r="F14" s="25"/>
      <c r="G14" s="26"/>
      <c r="H14" s="18" t="s">
        <v>12</v>
      </c>
    </row>
    <row r="15" spans="1:8" x14ac:dyDescent="0.2">
      <c r="A15" s="19"/>
      <c r="B15" s="19"/>
      <c r="C15" s="20" t="s">
        <v>16</v>
      </c>
      <c r="D15" s="19"/>
      <c r="E15" s="19"/>
      <c r="F15" s="19"/>
      <c r="G15" s="21"/>
      <c r="H15" s="18" t="s">
        <v>12</v>
      </c>
    </row>
    <row r="16" spans="1:8" x14ac:dyDescent="0.2">
      <c r="A16" s="19"/>
      <c r="B16" s="19"/>
      <c r="C16" s="20" t="s">
        <v>11</v>
      </c>
      <c r="D16" s="19"/>
      <c r="E16" s="19" t="s">
        <v>12</v>
      </c>
      <c r="F16" s="22" t="s">
        <v>13</v>
      </c>
      <c r="G16" s="23">
        <v>0</v>
      </c>
      <c r="H16" s="18" t="s">
        <v>12</v>
      </c>
    </row>
    <row r="17" spans="1:8" x14ac:dyDescent="0.2">
      <c r="A17" s="19"/>
      <c r="B17" s="19"/>
      <c r="C17" s="24"/>
      <c r="D17" s="19"/>
      <c r="E17" s="19"/>
      <c r="F17" s="25"/>
      <c r="G17" s="26"/>
      <c r="H17" s="18" t="s">
        <v>12</v>
      </c>
    </row>
    <row r="18" spans="1:8" x14ac:dyDescent="0.2">
      <c r="A18" s="19"/>
      <c r="B18" s="19"/>
      <c r="C18" s="20" t="s">
        <v>17</v>
      </c>
      <c r="D18" s="19"/>
      <c r="E18" s="19"/>
      <c r="F18" s="25"/>
      <c r="G18" s="26"/>
      <c r="H18" s="18" t="s">
        <v>12</v>
      </c>
    </row>
    <row r="19" spans="1:8" x14ac:dyDescent="0.2">
      <c r="A19" s="19"/>
      <c r="B19" s="19"/>
      <c r="C19" s="20" t="s">
        <v>11</v>
      </c>
      <c r="D19" s="19"/>
      <c r="E19" s="19" t="s">
        <v>12</v>
      </c>
      <c r="F19" s="22" t="s">
        <v>13</v>
      </c>
      <c r="G19" s="23">
        <v>0</v>
      </c>
      <c r="H19" s="18" t="s">
        <v>12</v>
      </c>
    </row>
    <row r="20" spans="1:8" x14ac:dyDescent="0.2">
      <c r="A20" s="19"/>
      <c r="B20" s="19"/>
      <c r="C20" s="24"/>
      <c r="D20" s="19"/>
      <c r="E20" s="19"/>
      <c r="F20" s="25"/>
      <c r="G20" s="26"/>
      <c r="H20" s="18" t="s">
        <v>12</v>
      </c>
    </row>
    <row r="21" spans="1:8" x14ac:dyDescent="0.2">
      <c r="A21" s="19"/>
      <c r="B21" s="19"/>
      <c r="C21" s="20" t="s">
        <v>18</v>
      </c>
      <c r="D21" s="19"/>
      <c r="E21" s="19"/>
      <c r="F21" s="25"/>
      <c r="G21" s="26"/>
      <c r="H21" s="18" t="s">
        <v>12</v>
      </c>
    </row>
    <row r="22" spans="1:8" x14ac:dyDescent="0.2">
      <c r="A22" s="19"/>
      <c r="B22" s="19"/>
      <c r="C22" s="20" t="s">
        <v>11</v>
      </c>
      <c r="D22" s="19"/>
      <c r="E22" s="19" t="s">
        <v>12</v>
      </c>
      <c r="F22" s="22" t="s">
        <v>13</v>
      </c>
      <c r="G22" s="23">
        <v>0</v>
      </c>
      <c r="H22" s="18" t="s">
        <v>12</v>
      </c>
    </row>
    <row r="23" spans="1:8" x14ac:dyDescent="0.2">
      <c r="A23" s="19"/>
      <c r="B23" s="19"/>
      <c r="C23" s="24"/>
      <c r="D23" s="19"/>
      <c r="E23" s="19"/>
      <c r="F23" s="25"/>
      <c r="G23" s="26"/>
      <c r="H23" s="18" t="s">
        <v>12</v>
      </c>
    </row>
    <row r="24" spans="1:8" x14ac:dyDescent="0.2">
      <c r="A24" s="19"/>
      <c r="B24" s="19"/>
      <c r="C24" s="20" t="s">
        <v>19</v>
      </c>
      <c r="D24" s="19"/>
      <c r="E24" s="19"/>
      <c r="F24" s="27">
        <v>0</v>
      </c>
      <c r="G24" s="23">
        <v>0</v>
      </c>
      <c r="H24" s="18" t="s">
        <v>12</v>
      </c>
    </row>
    <row r="25" spans="1:8" x14ac:dyDescent="0.2">
      <c r="A25" s="19"/>
      <c r="B25" s="19"/>
      <c r="C25" s="24"/>
      <c r="D25" s="19"/>
      <c r="E25" s="19"/>
      <c r="F25" s="25"/>
      <c r="G25" s="26"/>
      <c r="H25" s="18" t="s">
        <v>12</v>
      </c>
    </row>
    <row r="26" spans="1:8" x14ac:dyDescent="0.2">
      <c r="A26" s="19"/>
      <c r="B26" s="19"/>
      <c r="C26" s="20" t="s">
        <v>20</v>
      </c>
      <c r="D26" s="19"/>
      <c r="E26" s="19"/>
      <c r="F26" s="25"/>
      <c r="G26" s="26"/>
      <c r="H26" s="18" t="s">
        <v>12</v>
      </c>
    </row>
    <row r="27" spans="1:8" x14ac:dyDescent="0.2">
      <c r="A27" s="19"/>
      <c r="B27" s="19"/>
      <c r="C27" s="20" t="s">
        <v>10</v>
      </c>
      <c r="D27" s="19"/>
      <c r="E27" s="19"/>
      <c r="F27" s="25"/>
      <c r="G27" s="26"/>
      <c r="H27" s="18" t="s">
        <v>12</v>
      </c>
    </row>
    <row r="28" spans="1:8" ht="25.5" x14ac:dyDescent="0.2">
      <c r="A28" s="28">
        <v>1</v>
      </c>
      <c r="B28" s="29" t="s">
        <v>49</v>
      </c>
      <c r="C28" s="29" t="s">
        <v>50</v>
      </c>
      <c r="D28" s="29" t="s">
        <v>34</v>
      </c>
      <c r="E28" s="30">
        <v>300</v>
      </c>
      <c r="F28" s="31">
        <v>2998.4580000000001</v>
      </c>
      <c r="G28" s="32">
        <v>8.8889460000000003E-2</v>
      </c>
      <c r="H28" s="18">
        <v>7.44</v>
      </c>
    </row>
    <row r="29" spans="1:8" x14ac:dyDescent="0.2">
      <c r="A29" s="28">
        <v>2</v>
      </c>
      <c r="B29" s="29" t="s">
        <v>121</v>
      </c>
      <c r="C29" s="29" t="s">
        <v>122</v>
      </c>
      <c r="D29" s="29" t="s">
        <v>34</v>
      </c>
      <c r="E29" s="30">
        <v>250</v>
      </c>
      <c r="F29" s="31">
        <v>2506.4850000000001</v>
      </c>
      <c r="G29" s="32">
        <v>7.4304889999999998E-2</v>
      </c>
      <c r="H29" s="18">
        <v>7.4450000000000003</v>
      </c>
    </row>
    <row r="30" spans="1:8" x14ac:dyDescent="0.2">
      <c r="A30" s="28">
        <v>3</v>
      </c>
      <c r="B30" s="29" t="s">
        <v>123</v>
      </c>
      <c r="C30" s="29" t="s">
        <v>124</v>
      </c>
      <c r="D30" s="29" t="s">
        <v>23</v>
      </c>
      <c r="E30" s="30">
        <v>2500</v>
      </c>
      <c r="F30" s="31">
        <v>2504.5100000000002</v>
      </c>
      <c r="G30" s="32">
        <v>7.4246350000000003E-2</v>
      </c>
      <c r="H30" s="18">
        <v>7.6174999999999997</v>
      </c>
    </row>
    <row r="31" spans="1:8" ht="25.5" x14ac:dyDescent="0.2">
      <c r="A31" s="28">
        <v>4</v>
      </c>
      <c r="B31" s="29" t="s">
        <v>125</v>
      </c>
      <c r="C31" s="29" t="s">
        <v>126</v>
      </c>
      <c r="D31" s="29" t="s">
        <v>23</v>
      </c>
      <c r="E31" s="30">
        <v>2000</v>
      </c>
      <c r="F31" s="31">
        <v>2005.6759999999999</v>
      </c>
      <c r="G31" s="32">
        <v>5.9458379999999998E-2</v>
      </c>
      <c r="H31" s="18">
        <v>7.4424999999999999</v>
      </c>
    </row>
    <row r="32" spans="1:8" ht="25.5" x14ac:dyDescent="0.2">
      <c r="A32" s="28">
        <v>5</v>
      </c>
      <c r="B32" s="29" t="s">
        <v>127</v>
      </c>
      <c r="C32" s="29" t="s">
        <v>128</v>
      </c>
      <c r="D32" s="29" t="s">
        <v>34</v>
      </c>
      <c r="E32" s="30">
        <v>200</v>
      </c>
      <c r="F32" s="31">
        <v>1995.682</v>
      </c>
      <c r="G32" s="32">
        <v>5.9162109999999997E-2</v>
      </c>
      <c r="H32" s="18">
        <v>7.7750000000000004</v>
      </c>
    </row>
    <row r="33" spans="1:8" ht="25.5" x14ac:dyDescent="0.2">
      <c r="A33" s="28">
        <v>6</v>
      </c>
      <c r="B33" s="29" t="s">
        <v>129</v>
      </c>
      <c r="C33" s="29" t="s">
        <v>130</v>
      </c>
      <c r="D33" s="29" t="s">
        <v>34</v>
      </c>
      <c r="E33" s="30">
        <v>200</v>
      </c>
      <c r="F33" s="31">
        <v>1957.788</v>
      </c>
      <c r="G33" s="32">
        <v>5.8038739999999998E-2</v>
      </c>
      <c r="H33" s="18">
        <v>7.6</v>
      </c>
    </row>
    <row r="34" spans="1:8" ht="25.5" x14ac:dyDescent="0.2">
      <c r="A34" s="28">
        <v>7</v>
      </c>
      <c r="B34" s="29" t="s">
        <v>35</v>
      </c>
      <c r="C34" s="29" t="s">
        <v>36</v>
      </c>
      <c r="D34" s="29" t="s">
        <v>23</v>
      </c>
      <c r="E34" s="30">
        <v>1500</v>
      </c>
      <c r="F34" s="31">
        <v>1505.106</v>
      </c>
      <c r="G34" s="32">
        <v>4.4618959999999999E-2</v>
      </c>
      <c r="H34" s="18">
        <v>7.51</v>
      </c>
    </row>
    <row r="35" spans="1:8" ht="25.5" x14ac:dyDescent="0.2">
      <c r="A35" s="28">
        <v>8</v>
      </c>
      <c r="B35" s="29" t="s">
        <v>131</v>
      </c>
      <c r="C35" s="29" t="s">
        <v>132</v>
      </c>
      <c r="D35" s="29" t="s">
        <v>23</v>
      </c>
      <c r="E35" s="30">
        <v>1500</v>
      </c>
      <c r="F35" s="31">
        <v>1503.7004999999999</v>
      </c>
      <c r="G35" s="32">
        <v>4.4577289999999999E-2</v>
      </c>
      <c r="H35" s="18">
        <v>7.2759</v>
      </c>
    </row>
    <row r="36" spans="1:8" ht="25.5" x14ac:dyDescent="0.2">
      <c r="A36" s="28">
        <v>9</v>
      </c>
      <c r="B36" s="29" t="s">
        <v>43</v>
      </c>
      <c r="C36" s="29" t="s">
        <v>44</v>
      </c>
      <c r="D36" s="29" t="s">
        <v>23</v>
      </c>
      <c r="E36" s="30">
        <v>1500</v>
      </c>
      <c r="F36" s="31">
        <v>1493.2455</v>
      </c>
      <c r="G36" s="32">
        <v>4.4267349999999997E-2</v>
      </c>
      <c r="H36" s="18">
        <v>7.5549999999999997</v>
      </c>
    </row>
    <row r="37" spans="1:8" ht="25.5" x14ac:dyDescent="0.2">
      <c r="A37" s="28">
        <v>10</v>
      </c>
      <c r="B37" s="29" t="s">
        <v>133</v>
      </c>
      <c r="C37" s="29" t="s">
        <v>134</v>
      </c>
      <c r="D37" s="29" t="s">
        <v>23</v>
      </c>
      <c r="E37" s="30">
        <v>1000</v>
      </c>
      <c r="F37" s="31">
        <v>1004.338</v>
      </c>
      <c r="G37" s="32">
        <v>2.977366E-2</v>
      </c>
      <c r="H37" s="18">
        <v>7.2850000000000001</v>
      </c>
    </row>
    <row r="38" spans="1:8" ht="25.5" x14ac:dyDescent="0.2">
      <c r="A38" s="28">
        <v>11</v>
      </c>
      <c r="B38" s="29" t="s">
        <v>24</v>
      </c>
      <c r="C38" s="29" t="s">
        <v>25</v>
      </c>
      <c r="D38" s="29" t="s">
        <v>23</v>
      </c>
      <c r="E38" s="30">
        <v>1000</v>
      </c>
      <c r="F38" s="31">
        <v>1000.408</v>
      </c>
      <c r="G38" s="32">
        <v>2.965715E-2</v>
      </c>
      <c r="H38" s="18">
        <v>7.367</v>
      </c>
    </row>
    <row r="39" spans="1:8" ht="25.5" x14ac:dyDescent="0.2">
      <c r="A39" s="28">
        <v>12</v>
      </c>
      <c r="B39" s="29" t="s">
        <v>47</v>
      </c>
      <c r="C39" s="29" t="s">
        <v>48</v>
      </c>
      <c r="D39" s="29" t="s">
        <v>23</v>
      </c>
      <c r="E39" s="30">
        <v>500</v>
      </c>
      <c r="F39" s="31">
        <v>502.11250000000001</v>
      </c>
      <c r="G39" s="32">
        <v>1.488515E-2</v>
      </c>
      <c r="H39" s="18">
        <v>7.4824999999999999</v>
      </c>
    </row>
    <row r="40" spans="1:8" ht="25.5" x14ac:dyDescent="0.2">
      <c r="A40" s="28">
        <v>13</v>
      </c>
      <c r="B40" s="29" t="s">
        <v>135</v>
      </c>
      <c r="C40" s="29" t="s">
        <v>136</v>
      </c>
      <c r="D40" s="29" t="s">
        <v>23</v>
      </c>
      <c r="E40" s="30">
        <v>500</v>
      </c>
      <c r="F40" s="31">
        <v>501.34899999999999</v>
      </c>
      <c r="G40" s="32">
        <v>1.4862520000000001E-2</v>
      </c>
      <c r="H40" s="18">
        <v>7.38</v>
      </c>
    </row>
    <row r="41" spans="1:8" x14ac:dyDescent="0.2">
      <c r="A41" s="28">
        <v>14</v>
      </c>
      <c r="B41" s="29" t="s">
        <v>55</v>
      </c>
      <c r="C41" s="29" t="s">
        <v>56</v>
      </c>
      <c r="D41" s="29" t="s">
        <v>23</v>
      </c>
      <c r="E41" s="30">
        <v>500</v>
      </c>
      <c r="F41" s="31">
        <v>501.02550000000002</v>
      </c>
      <c r="G41" s="32">
        <v>1.485293E-2</v>
      </c>
      <c r="H41" s="18">
        <v>7.58</v>
      </c>
    </row>
    <row r="42" spans="1:8" ht="25.5" x14ac:dyDescent="0.2">
      <c r="A42" s="28">
        <v>15</v>
      </c>
      <c r="B42" s="29" t="s">
        <v>137</v>
      </c>
      <c r="C42" s="29" t="s">
        <v>138</v>
      </c>
      <c r="D42" s="29" t="s">
        <v>23</v>
      </c>
      <c r="E42" s="30">
        <v>500</v>
      </c>
      <c r="F42" s="31">
        <v>500.75450000000001</v>
      </c>
      <c r="G42" s="32">
        <v>1.4844899999999999E-2</v>
      </c>
      <c r="H42" s="18">
        <v>7.5575000000000001</v>
      </c>
    </row>
    <row r="43" spans="1:8" ht="25.5" x14ac:dyDescent="0.2">
      <c r="A43" s="28">
        <v>16</v>
      </c>
      <c r="B43" s="29" t="s">
        <v>39</v>
      </c>
      <c r="C43" s="29" t="s">
        <v>40</v>
      </c>
      <c r="D43" s="29" t="s">
        <v>23</v>
      </c>
      <c r="E43" s="30">
        <v>500</v>
      </c>
      <c r="F43" s="31">
        <v>499.28649999999999</v>
      </c>
      <c r="G43" s="32">
        <v>1.4801379999999999E-2</v>
      </c>
      <c r="H43" s="18">
        <v>7.33</v>
      </c>
    </row>
    <row r="44" spans="1:8" x14ac:dyDescent="0.2">
      <c r="A44" s="28">
        <v>17</v>
      </c>
      <c r="B44" s="29" t="s">
        <v>51</v>
      </c>
      <c r="C44" s="29" t="s">
        <v>52</v>
      </c>
      <c r="D44" s="29" t="s">
        <v>23</v>
      </c>
      <c r="E44" s="30">
        <v>500</v>
      </c>
      <c r="F44" s="31">
        <v>499.07499999999999</v>
      </c>
      <c r="G44" s="32">
        <v>1.479511E-2</v>
      </c>
      <c r="H44" s="18">
        <v>7.51</v>
      </c>
    </row>
    <row r="45" spans="1:8" x14ac:dyDescent="0.2">
      <c r="A45" s="19"/>
      <c r="B45" s="19"/>
      <c r="C45" s="20" t="s">
        <v>11</v>
      </c>
      <c r="D45" s="19"/>
      <c r="E45" s="19" t="s">
        <v>12</v>
      </c>
      <c r="F45" s="27">
        <v>23479</v>
      </c>
      <c r="G45" s="23">
        <v>0.69603632999999998</v>
      </c>
      <c r="H45" s="18" t="s">
        <v>12</v>
      </c>
    </row>
    <row r="46" spans="1:8" x14ac:dyDescent="0.2">
      <c r="A46" s="19"/>
      <c r="B46" s="19"/>
      <c r="C46" s="24"/>
      <c r="D46" s="19"/>
      <c r="E46" s="19"/>
      <c r="F46" s="25"/>
      <c r="G46" s="26"/>
      <c r="H46" s="18" t="s">
        <v>12</v>
      </c>
    </row>
    <row r="47" spans="1:8" x14ac:dyDescent="0.2">
      <c r="A47" s="19"/>
      <c r="B47" s="19"/>
      <c r="C47" s="20" t="s">
        <v>71</v>
      </c>
      <c r="D47" s="19"/>
      <c r="E47" s="19"/>
      <c r="F47" s="19"/>
      <c r="G47" s="21"/>
      <c r="H47" s="18" t="s">
        <v>12</v>
      </c>
    </row>
    <row r="48" spans="1:8" x14ac:dyDescent="0.2">
      <c r="A48" s="19"/>
      <c r="B48" s="19"/>
      <c r="C48" s="20" t="s">
        <v>11</v>
      </c>
      <c r="D48" s="19"/>
      <c r="E48" s="19" t="s">
        <v>12</v>
      </c>
      <c r="F48" s="22" t="s">
        <v>13</v>
      </c>
      <c r="G48" s="23">
        <v>0</v>
      </c>
      <c r="H48" s="18" t="s">
        <v>12</v>
      </c>
    </row>
    <row r="49" spans="1:8" x14ac:dyDescent="0.2">
      <c r="A49" s="19"/>
      <c r="B49" s="19"/>
      <c r="C49" s="24"/>
      <c r="D49" s="19"/>
      <c r="E49" s="19"/>
      <c r="F49" s="25"/>
      <c r="G49" s="26"/>
      <c r="H49" s="18" t="s">
        <v>12</v>
      </c>
    </row>
    <row r="50" spans="1:8" x14ac:dyDescent="0.2">
      <c r="A50" s="19"/>
      <c r="B50" s="19"/>
      <c r="C50" s="20" t="s">
        <v>72</v>
      </c>
      <c r="D50" s="19"/>
      <c r="E50" s="19"/>
      <c r="F50" s="19"/>
      <c r="G50" s="21"/>
      <c r="H50" s="18" t="s">
        <v>12</v>
      </c>
    </row>
    <row r="51" spans="1:8" ht="25.5" x14ac:dyDescent="0.2">
      <c r="A51" s="28">
        <v>1</v>
      </c>
      <c r="B51" s="29" t="s">
        <v>73</v>
      </c>
      <c r="C51" s="29" t="s">
        <v>74</v>
      </c>
      <c r="D51" s="29" t="s">
        <v>75</v>
      </c>
      <c r="E51" s="30">
        <v>4500000</v>
      </c>
      <c r="F51" s="31">
        <v>4596.0749999999998</v>
      </c>
      <c r="G51" s="32">
        <v>0.13625091</v>
      </c>
      <c r="H51" s="18">
        <v>6.8952999999999998</v>
      </c>
    </row>
    <row r="52" spans="1:8" x14ac:dyDescent="0.2">
      <c r="A52" s="28">
        <v>2</v>
      </c>
      <c r="B52" s="29" t="s">
        <v>76</v>
      </c>
      <c r="C52" s="29" t="s">
        <v>77</v>
      </c>
      <c r="D52" s="29" t="s">
        <v>75</v>
      </c>
      <c r="E52" s="30">
        <v>1000000</v>
      </c>
      <c r="F52" s="31">
        <v>1029.4190000000001</v>
      </c>
      <c r="G52" s="32">
        <v>3.051719E-2</v>
      </c>
      <c r="H52" s="18">
        <v>6.7995000000000001</v>
      </c>
    </row>
    <row r="53" spans="1:8" ht="25.5" x14ac:dyDescent="0.2">
      <c r="A53" s="28">
        <v>3</v>
      </c>
      <c r="B53" s="29" t="s">
        <v>82</v>
      </c>
      <c r="C53" s="29" t="s">
        <v>83</v>
      </c>
      <c r="D53" s="29" t="s">
        <v>75</v>
      </c>
      <c r="E53" s="30">
        <v>1000000</v>
      </c>
      <c r="F53" s="31">
        <v>1003.419</v>
      </c>
      <c r="G53" s="32">
        <v>2.9746419999999999E-2</v>
      </c>
      <c r="H53" s="18">
        <v>6.9680999999999997</v>
      </c>
    </row>
    <row r="54" spans="1:8" ht="25.5" x14ac:dyDescent="0.2">
      <c r="A54" s="28">
        <v>4</v>
      </c>
      <c r="B54" s="29" t="s">
        <v>78</v>
      </c>
      <c r="C54" s="29" t="s">
        <v>79</v>
      </c>
      <c r="D54" s="29" t="s">
        <v>75</v>
      </c>
      <c r="E54" s="30">
        <v>750000</v>
      </c>
      <c r="F54" s="31">
        <v>768.35699999999997</v>
      </c>
      <c r="G54" s="32">
        <v>2.2777990000000001E-2</v>
      </c>
      <c r="H54" s="18">
        <v>7.2798999999999996</v>
      </c>
    </row>
    <row r="55" spans="1:8" ht="25.5" x14ac:dyDescent="0.2">
      <c r="A55" s="28">
        <v>5</v>
      </c>
      <c r="B55" s="29" t="s">
        <v>139</v>
      </c>
      <c r="C55" s="29" t="s">
        <v>140</v>
      </c>
      <c r="D55" s="29" t="s">
        <v>75</v>
      </c>
      <c r="E55" s="30">
        <v>500000</v>
      </c>
      <c r="F55" s="31">
        <v>514.07650000000001</v>
      </c>
      <c r="G55" s="32">
        <v>1.5239829999999999E-2</v>
      </c>
      <c r="H55" s="18">
        <v>7.0327999999999999</v>
      </c>
    </row>
    <row r="56" spans="1:8" x14ac:dyDescent="0.2">
      <c r="A56" s="28">
        <v>6</v>
      </c>
      <c r="B56" s="29" t="s">
        <v>80</v>
      </c>
      <c r="C56" s="29" t="s">
        <v>81</v>
      </c>
      <c r="D56" s="29" t="s">
        <v>75</v>
      </c>
      <c r="E56" s="30">
        <v>500000</v>
      </c>
      <c r="F56" s="31">
        <v>510.69549999999998</v>
      </c>
      <c r="G56" s="32">
        <v>1.51396E-2</v>
      </c>
      <c r="H56" s="18">
        <v>7.2488000000000001</v>
      </c>
    </row>
    <row r="57" spans="1:8" x14ac:dyDescent="0.2">
      <c r="A57" s="19"/>
      <c r="B57" s="19"/>
      <c r="C57" s="20" t="s">
        <v>11</v>
      </c>
      <c r="D57" s="19"/>
      <c r="E57" s="19" t="s">
        <v>12</v>
      </c>
      <c r="F57" s="27">
        <v>8422.0419999999995</v>
      </c>
      <c r="G57" s="23">
        <v>0.24967194000000001</v>
      </c>
      <c r="H57" s="18" t="s">
        <v>12</v>
      </c>
    </row>
    <row r="58" spans="1:8" x14ac:dyDescent="0.2">
      <c r="A58" s="19"/>
      <c r="B58" s="19"/>
      <c r="C58" s="24"/>
      <c r="D58" s="19"/>
      <c r="E58" s="19"/>
      <c r="F58" s="25"/>
      <c r="G58" s="26"/>
      <c r="H58" s="18" t="s">
        <v>12</v>
      </c>
    </row>
    <row r="59" spans="1:8" x14ac:dyDescent="0.2">
      <c r="A59" s="19"/>
      <c r="B59" s="19"/>
      <c r="C59" s="20" t="s">
        <v>88</v>
      </c>
      <c r="D59" s="19"/>
      <c r="E59" s="19"/>
      <c r="F59" s="25"/>
      <c r="G59" s="26"/>
      <c r="H59" s="18" t="s">
        <v>12</v>
      </c>
    </row>
    <row r="60" spans="1:8" x14ac:dyDescent="0.2">
      <c r="A60" s="19"/>
      <c r="B60" s="19"/>
      <c r="C60" s="20" t="s">
        <v>11</v>
      </c>
      <c r="D60" s="19"/>
      <c r="E60" s="19" t="s">
        <v>12</v>
      </c>
      <c r="F60" s="22" t="s">
        <v>13</v>
      </c>
      <c r="G60" s="23">
        <v>0</v>
      </c>
      <c r="H60" s="18" t="s">
        <v>12</v>
      </c>
    </row>
    <row r="61" spans="1:8" x14ac:dyDescent="0.2">
      <c r="A61" s="19"/>
      <c r="B61" s="19"/>
      <c r="C61" s="24"/>
      <c r="D61" s="19"/>
      <c r="E61" s="19"/>
      <c r="F61" s="25"/>
      <c r="G61" s="26"/>
      <c r="H61" s="18" t="s">
        <v>12</v>
      </c>
    </row>
    <row r="62" spans="1:8" x14ac:dyDescent="0.2">
      <c r="A62" s="19"/>
      <c r="B62" s="19"/>
      <c r="C62" s="20" t="s">
        <v>89</v>
      </c>
      <c r="D62" s="19"/>
      <c r="E62" s="19"/>
      <c r="F62" s="27">
        <v>31901.042000000001</v>
      </c>
      <c r="G62" s="23">
        <v>0.94570827000000002</v>
      </c>
      <c r="H62" s="18" t="s">
        <v>12</v>
      </c>
    </row>
    <row r="63" spans="1:8" x14ac:dyDescent="0.2">
      <c r="A63" s="19"/>
      <c r="B63" s="19"/>
      <c r="C63" s="24"/>
      <c r="D63" s="19"/>
      <c r="E63" s="19"/>
      <c r="F63" s="25"/>
      <c r="G63" s="26"/>
      <c r="H63" s="18" t="s">
        <v>12</v>
      </c>
    </row>
    <row r="64" spans="1:8" x14ac:dyDescent="0.2">
      <c r="A64" s="19"/>
      <c r="B64" s="19"/>
      <c r="C64" s="20" t="s">
        <v>90</v>
      </c>
      <c r="D64" s="19"/>
      <c r="E64" s="19"/>
      <c r="F64" s="25"/>
      <c r="G64" s="26"/>
      <c r="H64" s="18" t="s">
        <v>12</v>
      </c>
    </row>
    <row r="65" spans="1:8" x14ac:dyDescent="0.2">
      <c r="A65" s="19"/>
      <c r="B65" s="19"/>
      <c r="C65" s="20" t="s">
        <v>91</v>
      </c>
      <c r="D65" s="19"/>
      <c r="E65" s="19"/>
      <c r="F65" s="25"/>
      <c r="G65" s="26"/>
      <c r="H65" s="18" t="s">
        <v>12</v>
      </c>
    </row>
    <row r="66" spans="1:8" x14ac:dyDescent="0.2">
      <c r="A66" s="19"/>
      <c r="B66" s="19"/>
      <c r="C66" s="20" t="s">
        <v>11</v>
      </c>
      <c r="D66" s="19"/>
      <c r="E66" s="19" t="s">
        <v>12</v>
      </c>
      <c r="F66" s="22" t="s">
        <v>13</v>
      </c>
      <c r="G66" s="23">
        <v>0</v>
      </c>
      <c r="H66" s="18" t="s">
        <v>12</v>
      </c>
    </row>
    <row r="67" spans="1:8" x14ac:dyDescent="0.2">
      <c r="A67" s="19"/>
      <c r="B67" s="19"/>
      <c r="C67" s="24"/>
      <c r="D67" s="19"/>
      <c r="E67" s="19"/>
      <c r="F67" s="25"/>
      <c r="G67" s="26"/>
      <c r="H67" s="18" t="s">
        <v>12</v>
      </c>
    </row>
    <row r="68" spans="1:8" x14ac:dyDescent="0.2">
      <c r="A68" s="19"/>
      <c r="B68" s="19"/>
      <c r="C68" s="20" t="s">
        <v>92</v>
      </c>
      <c r="D68" s="19"/>
      <c r="E68" s="19"/>
      <c r="F68" s="25"/>
      <c r="G68" s="26"/>
      <c r="H68" s="18" t="s">
        <v>12</v>
      </c>
    </row>
    <row r="69" spans="1:8" x14ac:dyDescent="0.2">
      <c r="A69" s="19"/>
      <c r="B69" s="19"/>
      <c r="C69" s="20" t="s">
        <v>11</v>
      </c>
      <c r="D69" s="19"/>
      <c r="E69" s="19" t="s">
        <v>12</v>
      </c>
      <c r="F69" s="22" t="s">
        <v>13</v>
      </c>
      <c r="G69" s="23">
        <v>0</v>
      </c>
      <c r="H69" s="18" t="s">
        <v>12</v>
      </c>
    </row>
    <row r="70" spans="1:8" x14ac:dyDescent="0.2">
      <c r="A70" s="19"/>
      <c r="B70" s="19"/>
      <c r="C70" s="24"/>
      <c r="D70" s="19"/>
      <c r="E70" s="19"/>
      <c r="F70" s="25"/>
      <c r="G70" s="26"/>
      <c r="H70" s="18" t="s">
        <v>12</v>
      </c>
    </row>
    <row r="71" spans="1:8" x14ac:dyDescent="0.2">
      <c r="A71" s="19"/>
      <c r="B71" s="19"/>
      <c r="C71" s="20" t="s">
        <v>93</v>
      </c>
      <c r="D71" s="19"/>
      <c r="E71" s="19"/>
      <c r="F71" s="25"/>
      <c r="G71" s="26"/>
      <c r="H71" s="18" t="s">
        <v>12</v>
      </c>
    </row>
    <row r="72" spans="1:8" x14ac:dyDescent="0.2">
      <c r="A72" s="19"/>
      <c r="B72" s="19"/>
      <c r="C72" s="20" t="s">
        <v>11</v>
      </c>
      <c r="D72" s="19"/>
      <c r="E72" s="19" t="s">
        <v>12</v>
      </c>
      <c r="F72" s="22" t="s">
        <v>13</v>
      </c>
      <c r="G72" s="23">
        <v>0</v>
      </c>
      <c r="H72" s="18" t="s">
        <v>12</v>
      </c>
    </row>
    <row r="73" spans="1:8" x14ac:dyDescent="0.2">
      <c r="A73" s="19"/>
      <c r="B73" s="19"/>
      <c r="C73" s="24"/>
      <c r="D73" s="19"/>
      <c r="E73" s="19"/>
      <c r="F73" s="25"/>
      <c r="G73" s="26"/>
      <c r="H73" s="18" t="s">
        <v>12</v>
      </c>
    </row>
    <row r="74" spans="1:8" x14ac:dyDescent="0.2">
      <c r="A74" s="19"/>
      <c r="B74" s="19"/>
      <c r="C74" s="20" t="s">
        <v>94</v>
      </c>
      <c r="D74" s="19"/>
      <c r="E74" s="19"/>
      <c r="F74" s="25"/>
      <c r="G74" s="26"/>
      <c r="H74" s="18" t="s">
        <v>12</v>
      </c>
    </row>
    <row r="75" spans="1:8" x14ac:dyDescent="0.2">
      <c r="A75" s="28">
        <v>1</v>
      </c>
      <c r="B75" s="29"/>
      <c r="C75" s="29" t="s">
        <v>95</v>
      </c>
      <c r="D75" s="29"/>
      <c r="E75" s="33"/>
      <c r="F75" s="31">
        <v>2413.587337507</v>
      </c>
      <c r="G75" s="32">
        <v>7.1550939999999993E-2</v>
      </c>
      <c r="H75" s="18">
        <v>6.23</v>
      </c>
    </row>
    <row r="76" spans="1:8" x14ac:dyDescent="0.2">
      <c r="A76" s="19"/>
      <c r="B76" s="19"/>
      <c r="C76" s="20" t="s">
        <v>11</v>
      </c>
      <c r="D76" s="19"/>
      <c r="E76" s="19" t="s">
        <v>12</v>
      </c>
      <c r="F76" s="27">
        <v>2413.587337507</v>
      </c>
      <c r="G76" s="23">
        <v>7.1550939999999993E-2</v>
      </c>
      <c r="H76" s="18" t="s">
        <v>12</v>
      </c>
    </row>
    <row r="77" spans="1:8" x14ac:dyDescent="0.2">
      <c r="A77" s="19"/>
      <c r="B77" s="19"/>
      <c r="C77" s="24"/>
      <c r="D77" s="19"/>
      <c r="E77" s="19"/>
      <c r="F77" s="25"/>
      <c r="G77" s="26"/>
      <c r="H77" s="18" t="s">
        <v>12</v>
      </c>
    </row>
    <row r="78" spans="1:8" x14ac:dyDescent="0.2">
      <c r="A78" s="19"/>
      <c r="B78" s="19"/>
      <c r="C78" s="20" t="s">
        <v>96</v>
      </c>
      <c r="D78" s="19"/>
      <c r="E78" s="19"/>
      <c r="F78" s="27">
        <v>2413.587337507</v>
      </c>
      <c r="G78" s="23">
        <v>7.1550939999999993E-2</v>
      </c>
      <c r="H78" s="18" t="s">
        <v>12</v>
      </c>
    </row>
    <row r="79" spans="1:8" x14ac:dyDescent="0.2">
      <c r="A79" s="19"/>
      <c r="B79" s="19"/>
      <c r="C79" s="25"/>
      <c r="D79" s="19"/>
      <c r="E79" s="19"/>
      <c r="F79" s="19"/>
      <c r="G79" s="21"/>
      <c r="H79" s="18" t="s">
        <v>12</v>
      </c>
    </row>
    <row r="80" spans="1:8" x14ac:dyDescent="0.2">
      <c r="A80" s="19"/>
      <c r="B80" s="19"/>
      <c r="C80" s="20" t="s">
        <v>97</v>
      </c>
      <c r="D80" s="19"/>
      <c r="E80" s="19"/>
      <c r="F80" s="19"/>
      <c r="G80" s="21"/>
      <c r="H80" s="18" t="s">
        <v>12</v>
      </c>
    </row>
    <row r="81" spans="1:17" x14ac:dyDescent="0.2">
      <c r="A81" s="19"/>
      <c r="B81" s="19"/>
      <c r="C81" s="20" t="s">
        <v>98</v>
      </c>
      <c r="D81" s="19"/>
      <c r="E81" s="19"/>
      <c r="F81" s="19"/>
      <c r="G81" s="21"/>
      <c r="H81" s="18" t="s">
        <v>12</v>
      </c>
    </row>
    <row r="82" spans="1:17" x14ac:dyDescent="0.2">
      <c r="A82" s="19"/>
      <c r="B82" s="19"/>
      <c r="C82" s="20" t="s">
        <v>11</v>
      </c>
      <c r="D82" s="19"/>
      <c r="E82" s="19" t="s">
        <v>12</v>
      </c>
      <c r="F82" s="22" t="s">
        <v>13</v>
      </c>
      <c r="G82" s="23">
        <v>0</v>
      </c>
      <c r="H82" s="18" t="s">
        <v>12</v>
      </c>
    </row>
    <row r="83" spans="1:17" x14ac:dyDescent="0.2">
      <c r="A83" s="34"/>
      <c r="B83" s="34"/>
      <c r="C83" s="35"/>
      <c r="D83" s="34"/>
      <c r="E83" s="34"/>
      <c r="F83" s="36"/>
      <c r="G83" s="36"/>
      <c r="H83" s="37" t="s">
        <v>12</v>
      </c>
    </row>
    <row r="84" spans="1:17" ht="25.5" x14ac:dyDescent="0.2">
      <c r="A84" s="34"/>
      <c r="B84" s="34"/>
      <c r="C84" s="38" t="s">
        <v>552</v>
      </c>
      <c r="D84" s="34"/>
      <c r="E84" s="34"/>
      <c r="F84" s="36"/>
      <c r="G84" s="36"/>
      <c r="H84" s="39"/>
      <c r="K84" s="40"/>
      <c r="L84" s="40"/>
      <c r="M84" s="40"/>
      <c r="N84" s="40"/>
      <c r="O84" s="41"/>
      <c r="P84" s="41"/>
      <c r="Q84" s="41"/>
    </row>
    <row r="85" spans="1:17" ht="25.5" x14ac:dyDescent="0.2">
      <c r="A85" s="42">
        <v>1</v>
      </c>
      <c r="B85" s="43" t="s">
        <v>99</v>
      </c>
      <c r="C85" s="43" t="s">
        <v>100</v>
      </c>
      <c r="D85" s="43"/>
      <c r="E85" s="44">
        <v>1138.2429999999999</v>
      </c>
      <c r="F85" s="39">
        <v>124.86029891299999</v>
      </c>
      <c r="G85" s="45">
        <v>3.70149E-3</v>
      </c>
      <c r="H85" s="37"/>
    </row>
    <row r="86" spans="1:17" x14ac:dyDescent="0.2">
      <c r="A86" s="34"/>
      <c r="B86" s="34"/>
      <c r="C86" s="38" t="s">
        <v>11</v>
      </c>
      <c r="D86" s="34"/>
      <c r="E86" s="34" t="s">
        <v>12</v>
      </c>
      <c r="F86" s="46">
        <v>124.86029891299999</v>
      </c>
      <c r="G86" s="47">
        <v>3.70149E-3</v>
      </c>
      <c r="H86" s="37" t="s">
        <v>12</v>
      </c>
    </row>
    <row r="87" spans="1:17" x14ac:dyDescent="0.2">
      <c r="A87" s="19"/>
      <c r="B87" s="19"/>
      <c r="C87" s="24"/>
      <c r="D87" s="19"/>
      <c r="E87" s="19"/>
      <c r="F87" s="25"/>
      <c r="G87" s="26"/>
      <c r="H87" s="18" t="s">
        <v>12</v>
      </c>
    </row>
    <row r="88" spans="1:17" x14ac:dyDescent="0.2">
      <c r="A88" s="19"/>
      <c r="B88" s="19"/>
      <c r="C88" s="20" t="s">
        <v>101</v>
      </c>
      <c r="D88" s="19"/>
      <c r="E88" s="19"/>
      <c r="F88" s="19"/>
      <c r="G88" s="21"/>
      <c r="H88" s="18" t="s">
        <v>12</v>
      </c>
    </row>
    <row r="89" spans="1:17" x14ac:dyDescent="0.2">
      <c r="A89" s="19"/>
      <c r="B89" s="19"/>
      <c r="C89" s="20" t="s">
        <v>102</v>
      </c>
      <c r="D89" s="19"/>
      <c r="E89" s="19"/>
      <c r="F89" s="19"/>
      <c r="G89" s="21"/>
      <c r="H89" s="18" t="s">
        <v>12</v>
      </c>
    </row>
    <row r="90" spans="1:17" x14ac:dyDescent="0.2">
      <c r="A90" s="19"/>
      <c r="B90" s="19"/>
      <c r="C90" s="20" t="s">
        <v>11</v>
      </c>
      <c r="D90" s="19"/>
      <c r="E90" s="19" t="s">
        <v>12</v>
      </c>
      <c r="F90" s="22" t="s">
        <v>13</v>
      </c>
      <c r="G90" s="23">
        <v>0</v>
      </c>
      <c r="H90" s="18" t="s">
        <v>12</v>
      </c>
    </row>
    <row r="91" spans="1:17" x14ac:dyDescent="0.2">
      <c r="A91" s="19"/>
      <c r="B91" s="19"/>
      <c r="C91" s="24"/>
      <c r="D91" s="19"/>
      <c r="E91" s="19"/>
      <c r="F91" s="25"/>
      <c r="G91" s="26"/>
      <c r="H91" s="18" t="s">
        <v>12</v>
      </c>
    </row>
    <row r="92" spans="1:17" ht="25.5" x14ac:dyDescent="0.2">
      <c r="A92" s="19"/>
      <c r="B92" s="19"/>
      <c r="C92" s="20" t="s">
        <v>103</v>
      </c>
      <c r="D92" s="19"/>
      <c r="E92" s="19"/>
      <c r="F92" s="25"/>
      <c r="G92" s="26"/>
      <c r="H92" s="18" t="s">
        <v>12</v>
      </c>
    </row>
    <row r="93" spans="1:17" x14ac:dyDescent="0.2">
      <c r="A93" s="19"/>
      <c r="B93" s="19"/>
      <c r="C93" s="20" t="s">
        <v>11</v>
      </c>
      <c r="D93" s="19"/>
      <c r="E93" s="19" t="s">
        <v>12</v>
      </c>
      <c r="F93" s="22" t="s">
        <v>13</v>
      </c>
      <c r="G93" s="23">
        <v>0</v>
      </c>
      <c r="H93" s="18" t="s">
        <v>12</v>
      </c>
    </row>
    <row r="94" spans="1:17" x14ac:dyDescent="0.2">
      <c r="A94" s="19"/>
      <c r="B94" s="19"/>
      <c r="C94" s="24"/>
      <c r="D94" s="19"/>
      <c r="E94" s="19"/>
      <c r="F94" s="25"/>
      <c r="G94" s="26"/>
      <c r="H94" s="18" t="s">
        <v>12</v>
      </c>
    </row>
    <row r="95" spans="1:17" x14ac:dyDescent="0.2">
      <c r="A95" s="33"/>
      <c r="B95" s="29"/>
      <c r="C95" s="29" t="s">
        <v>104</v>
      </c>
      <c r="D95" s="29"/>
      <c r="E95" s="33"/>
      <c r="F95" s="31">
        <f>-707.0546928-0.000276250004768372</f>
        <v>-707.05496905000473</v>
      </c>
      <c r="G95" s="32">
        <f>F95/F96</f>
        <v>-2.0960685939872343E-2</v>
      </c>
      <c r="H95" s="18" t="s">
        <v>12</v>
      </c>
    </row>
    <row r="96" spans="1:17" x14ac:dyDescent="0.2">
      <c r="A96" s="24"/>
      <c r="B96" s="24"/>
      <c r="C96" s="20" t="s">
        <v>105</v>
      </c>
      <c r="D96" s="25"/>
      <c r="E96" s="25"/>
      <c r="F96" s="27">
        <f>F95+F86+F78+F62+F24</f>
        <v>33732.434667369998</v>
      </c>
      <c r="G96" s="48">
        <f>G95+G86+G78+G62+G24</f>
        <v>1.0000000140601277</v>
      </c>
      <c r="H96" s="18" t="s">
        <v>12</v>
      </c>
    </row>
    <row r="97" spans="1:8" x14ac:dyDescent="0.2">
      <c r="A97" s="49"/>
      <c r="B97" s="49"/>
      <c r="C97" s="49"/>
      <c r="D97" s="50"/>
      <c r="E97" s="50"/>
      <c r="F97" s="50"/>
      <c r="G97" s="50"/>
    </row>
    <row r="98" spans="1:8" x14ac:dyDescent="0.2">
      <c r="A98" s="51"/>
      <c r="B98" s="171" t="s">
        <v>549</v>
      </c>
      <c r="C98" s="171"/>
      <c r="D98" s="171"/>
      <c r="E98" s="171"/>
      <c r="F98" s="171"/>
      <c r="G98" s="171"/>
      <c r="H98" s="171"/>
    </row>
    <row r="99" spans="1:8" x14ac:dyDescent="0.2">
      <c r="A99" s="51"/>
      <c r="B99" s="171" t="s">
        <v>550</v>
      </c>
      <c r="C99" s="171"/>
      <c r="D99" s="171"/>
      <c r="E99" s="171"/>
      <c r="F99" s="171"/>
      <c r="G99" s="171"/>
      <c r="H99" s="171"/>
    </row>
    <row r="100" spans="1:8" x14ac:dyDescent="0.2">
      <c r="A100" s="51"/>
      <c r="B100" s="171" t="s">
        <v>551</v>
      </c>
      <c r="C100" s="171"/>
      <c r="D100" s="171"/>
      <c r="E100" s="171"/>
      <c r="F100" s="171"/>
      <c r="G100" s="171"/>
      <c r="H100" s="171"/>
    </row>
    <row r="101" spans="1:8" x14ac:dyDescent="0.2">
      <c r="A101" s="53"/>
      <c r="B101" s="53"/>
      <c r="C101" s="53"/>
      <c r="D101" s="54"/>
      <c r="E101" s="54"/>
      <c r="F101" s="54"/>
      <c r="G101" s="54"/>
    </row>
    <row r="102" spans="1:8" x14ac:dyDescent="0.2">
      <c r="A102" s="53"/>
      <c r="B102" s="174" t="s">
        <v>106</v>
      </c>
      <c r="C102" s="175"/>
      <c r="D102" s="176"/>
      <c r="E102" s="55"/>
      <c r="F102" s="54"/>
      <c r="G102" s="54"/>
    </row>
    <row r="103" spans="1:8" x14ac:dyDescent="0.2">
      <c r="A103" s="53"/>
      <c r="B103" s="177" t="s">
        <v>107</v>
      </c>
      <c r="C103" s="178"/>
      <c r="D103" s="20" t="s">
        <v>108</v>
      </c>
      <c r="E103" s="55"/>
      <c r="F103" s="54"/>
      <c r="G103" s="54"/>
    </row>
    <row r="104" spans="1:8" x14ac:dyDescent="0.2">
      <c r="A104" s="53"/>
      <c r="B104" s="177" t="s">
        <v>109</v>
      </c>
      <c r="C104" s="178"/>
      <c r="D104" s="20" t="s">
        <v>108</v>
      </c>
      <c r="E104" s="55"/>
      <c r="F104" s="54"/>
      <c r="G104" s="54"/>
    </row>
    <row r="105" spans="1:8" x14ac:dyDescent="0.2">
      <c r="A105" s="53"/>
      <c r="B105" s="177" t="s">
        <v>110</v>
      </c>
      <c r="C105" s="178"/>
      <c r="D105" s="25" t="s">
        <v>12</v>
      </c>
      <c r="E105" s="55"/>
      <c r="F105" s="54"/>
      <c r="G105" s="54"/>
    </row>
    <row r="106" spans="1:8" x14ac:dyDescent="0.2">
      <c r="A106" s="56"/>
      <c r="B106" s="57" t="s">
        <v>12</v>
      </c>
      <c r="C106" s="57" t="s">
        <v>553</v>
      </c>
      <c r="D106" s="57" t="s">
        <v>111</v>
      </c>
      <c r="E106" s="56"/>
      <c r="F106" s="56"/>
      <c r="G106" s="56"/>
    </row>
    <row r="107" spans="1:8" x14ac:dyDescent="0.2">
      <c r="A107" s="56"/>
      <c r="B107" s="58" t="s">
        <v>112</v>
      </c>
      <c r="C107" s="59">
        <v>45688</v>
      </c>
      <c r="D107" s="59">
        <v>45716</v>
      </c>
      <c r="E107" s="56"/>
      <c r="F107" s="56"/>
      <c r="G107" s="56"/>
    </row>
    <row r="108" spans="1:8" x14ac:dyDescent="0.2">
      <c r="A108" s="60"/>
      <c r="B108" s="29" t="s">
        <v>113</v>
      </c>
      <c r="C108" s="61">
        <v>41.9985</v>
      </c>
      <c r="D108" s="61">
        <v>42.1419</v>
      </c>
      <c r="E108" s="60"/>
      <c r="F108" s="62"/>
      <c r="G108" s="63"/>
    </row>
    <row r="109" spans="1:8" x14ac:dyDescent="0.2">
      <c r="A109" s="60"/>
      <c r="B109" s="29" t="s">
        <v>141</v>
      </c>
      <c r="C109" s="61">
        <v>21.0105</v>
      </c>
      <c r="D109" s="61">
        <v>21.0823</v>
      </c>
      <c r="E109" s="60"/>
      <c r="F109" s="62"/>
      <c r="G109" s="63"/>
    </row>
    <row r="110" spans="1:8" x14ac:dyDescent="0.2">
      <c r="A110" s="60"/>
      <c r="B110" s="29" t="s">
        <v>674</v>
      </c>
      <c r="C110" s="61">
        <v>11.5528</v>
      </c>
      <c r="D110" s="61">
        <v>11.5169</v>
      </c>
      <c r="E110" s="60"/>
      <c r="F110" s="62"/>
      <c r="G110" s="63"/>
    </row>
    <row r="111" spans="1:8" x14ac:dyDescent="0.2">
      <c r="A111" s="60"/>
      <c r="B111" s="29" t="s">
        <v>114</v>
      </c>
      <c r="C111" s="61">
        <v>41.435400000000001</v>
      </c>
      <c r="D111" s="61">
        <v>41.572000000000003</v>
      </c>
      <c r="E111" s="60"/>
      <c r="F111" s="62"/>
      <c r="G111" s="63"/>
    </row>
    <row r="112" spans="1:8" x14ac:dyDescent="0.2">
      <c r="A112" s="60"/>
      <c r="B112" s="29" t="s">
        <v>142</v>
      </c>
      <c r="C112" s="61">
        <v>20.8947</v>
      </c>
      <c r="D112" s="61">
        <v>20.9636</v>
      </c>
      <c r="E112" s="60"/>
      <c r="F112" s="62"/>
      <c r="G112" s="63"/>
    </row>
    <row r="113" spans="1:15" x14ac:dyDescent="0.2">
      <c r="A113" s="60"/>
      <c r="B113" s="29" t="s">
        <v>678</v>
      </c>
      <c r="C113" s="61">
        <v>11.6053</v>
      </c>
      <c r="D113" s="61">
        <v>11.5693</v>
      </c>
      <c r="E113" s="60"/>
      <c r="F113" s="62"/>
      <c r="G113" s="63"/>
    </row>
    <row r="114" spans="1:15" x14ac:dyDescent="0.2">
      <c r="A114" s="60"/>
      <c r="B114" s="60"/>
      <c r="C114" s="60"/>
      <c r="D114" s="60"/>
      <c r="E114" s="60"/>
      <c r="F114" s="60"/>
      <c r="G114" s="60"/>
    </row>
    <row r="115" spans="1:15" x14ac:dyDescent="0.2">
      <c r="A115" s="60"/>
      <c r="B115" s="177" t="s">
        <v>554</v>
      </c>
      <c r="C115" s="178"/>
      <c r="D115" s="20" t="s">
        <v>12</v>
      </c>
      <c r="E115" s="60"/>
      <c r="F115" s="60"/>
      <c r="G115" s="60"/>
    </row>
    <row r="116" spans="1:15" x14ac:dyDescent="0.2">
      <c r="A116" s="60"/>
      <c r="B116" s="64" t="s">
        <v>112</v>
      </c>
      <c r="C116" s="65" t="s">
        <v>115</v>
      </c>
      <c r="D116" s="65" t="s">
        <v>116</v>
      </c>
      <c r="E116" s="60"/>
      <c r="F116" s="60"/>
      <c r="G116" s="60"/>
    </row>
    <row r="117" spans="1:15" x14ac:dyDescent="0.2">
      <c r="A117" s="60"/>
      <c r="B117" s="29" t="s">
        <v>674</v>
      </c>
      <c r="C117" s="66">
        <v>7.5300000000000006E-2</v>
      </c>
      <c r="D117" s="33" t="s">
        <v>117</v>
      </c>
      <c r="E117" s="60"/>
      <c r="F117" s="62"/>
      <c r="G117" s="63"/>
    </row>
    <row r="118" spans="1:15" x14ac:dyDescent="0.2">
      <c r="A118" s="60"/>
      <c r="B118" s="29" t="s">
        <v>678</v>
      </c>
      <c r="C118" s="66">
        <v>7.4200000000000002E-2</v>
      </c>
      <c r="D118" s="66">
        <v>7.4200000000000002E-2</v>
      </c>
      <c r="E118" s="60"/>
      <c r="F118" s="62"/>
      <c r="G118" s="63"/>
    </row>
    <row r="119" spans="1:15" x14ac:dyDescent="0.2">
      <c r="A119" s="60"/>
      <c r="B119" s="70"/>
      <c r="C119" s="70"/>
      <c r="D119" s="70"/>
      <c r="E119" s="60"/>
      <c r="F119" s="60"/>
      <c r="G119" s="60"/>
    </row>
    <row r="120" spans="1:15" s="71" customFormat="1" x14ac:dyDescent="0.2">
      <c r="A120" s="81"/>
      <c r="B120" s="172" t="s">
        <v>569</v>
      </c>
      <c r="C120" s="173"/>
      <c r="D120" s="38" t="s">
        <v>108</v>
      </c>
      <c r="E120" s="81"/>
      <c r="F120" s="52"/>
      <c r="G120" s="81"/>
      <c r="I120"/>
      <c r="J120"/>
      <c r="K120" s="40"/>
      <c r="L120" s="40"/>
      <c r="M120" s="40"/>
      <c r="N120" s="40"/>
      <c r="O120" s="77"/>
    </row>
    <row r="121" spans="1:15" x14ac:dyDescent="0.2">
      <c r="A121" s="56"/>
      <c r="B121" s="172" t="s">
        <v>570</v>
      </c>
      <c r="C121" s="173"/>
      <c r="D121" s="38" t="s">
        <v>108</v>
      </c>
      <c r="E121" s="69"/>
      <c r="F121" s="56"/>
      <c r="G121" s="56"/>
    </row>
    <row r="122" spans="1:15" x14ac:dyDescent="0.2">
      <c r="A122" s="56"/>
      <c r="B122" s="172" t="s">
        <v>571</v>
      </c>
      <c r="C122" s="173"/>
      <c r="D122" s="38" t="s">
        <v>108</v>
      </c>
      <c r="E122" s="69"/>
      <c r="F122" s="56"/>
      <c r="G122" s="56"/>
    </row>
    <row r="123" spans="1:15" x14ac:dyDescent="0.2">
      <c r="A123" s="56"/>
      <c r="B123" s="172" t="s">
        <v>572</v>
      </c>
      <c r="C123" s="173"/>
      <c r="D123" s="38" t="s">
        <v>108</v>
      </c>
      <c r="E123" s="69"/>
      <c r="F123" s="56"/>
      <c r="G123" s="56"/>
    </row>
    <row r="124" spans="1:15" x14ac:dyDescent="0.2">
      <c r="A124" s="70"/>
      <c r="B124" s="70"/>
      <c r="C124" s="70"/>
      <c r="D124" s="70"/>
      <c r="E124" s="70"/>
      <c r="F124" s="70"/>
      <c r="G124" s="70"/>
    </row>
    <row r="125" spans="1:15" s="71" customFormat="1" x14ac:dyDescent="0.2">
      <c r="B125" s="166" t="s">
        <v>556</v>
      </c>
      <c r="C125" s="167"/>
      <c r="D125" s="168"/>
      <c r="I125"/>
      <c r="J125" s="82"/>
      <c r="K125" s="40"/>
      <c r="L125" s="40"/>
      <c r="M125" s="40"/>
      <c r="N125" s="40"/>
      <c r="O125" s="77"/>
    </row>
    <row r="126" spans="1:15" s="71" customFormat="1" ht="38.25" x14ac:dyDescent="0.2">
      <c r="B126" s="169" t="s">
        <v>557</v>
      </c>
      <c r="C126" s="169"/>
      <c r="D126" s="72" t="s">
        <v>120</v>
      </c>
      <c r="I126"/>
      <c r="J126" s="82"/>
      <c r="K126" s="40"/>
      <c r="L126" s="40"/>
      <c r="M126" s="40"/>
      <c r="N126" s="40"/>
      <c r="O126" s="77"/>
    </row>
    <row r="127" spans="1:15" s="71" customFormat="1" x14ac:dyDescent="0.2">
      <c r="B127" s="165" t="s">
        <v>558</v>
      </c>
      <c r="C127" s="165"/>
      <c r="D127" s="73"/>
      <c r="I127"/>
      <c r="J127" s="82"/>
      <c r="K127" s="40"/>
      <c r="L127" s="40"/>
      <c r="M127" s="40"/>
      <c r="N127" s="40"/>
      <c r="O127" s="77"/>
    </row>
    <row r="128" spans="1:15" s="71" customFormat="1" x14ac:dyDescent="0.2">
      <c r="B128" s="165"/>
      <c r="C128" s="165"/>
      <c r="D128" s="74"/>
      <c r="I128"/>
      <c r="J128"/>
      <c r="K128" s="40"/>
      <c r="L128" s="40"/>
      <c r="M128" s="40"/>
      <c r="N128" s="40"/>
      <c r="O128" s="77"/>
    </row>
    <row r="129" spans="2:18" s="71" customFormat="1" x14ac:dyDescent="0.2">
      <c r="B129" s="165" t="s">
        <v>559</v>
      </c>
      <c r="C129" s="165"/>
      <c r="D129" s="75">
        <v>7.3177088620136708</v>
      </c>
      <c r="I129"/>
      <c r="J129"/>
      <c r="K129" s="40"/>
      <c r="L129" s="40"/>
      <c r="M129" s="40"/>
      <c r="N129" s="40"/>
      <c r="O129" s="77"/>
    </row>
    <row r="130" spans="2:18" s="71" customFormat="1" x14ac:dyDescent="0.2">
      <c r="B130" s="165"/>
      <c r="C130" s="165"/>
      <c r="D130" s="74"/>
      <c r="I130"/>
      <c r="J130" s="82"/>
      <c r="K130" s="40"/>
      <c r="L130" s="40"/>
      <c r="M130" s="40"/>
      <c r="N130" s="40"/>
      <c r="O130" s="77"/>
    </row>
    <row r="131" spans="2:18" s="71" customFormat="1" x14ac:dyDescent="0.2">
      <c r="B131" s="165" t="s">
        <v>560</v>
      </c>
      <c r="C131" s="165"/>
      <c r="D131" s="75">
        <v>3.5277189598290155</v>
      </c>
      <c r="I131"/>
      <c r="J131" s="82"/>
      <c r="K131" s="40"/>
      <c r="L131" s="40"/>
      <c r="M131" s="40"/>
      <c r="N131" s="40"/>
      <c r="O131" s="77"/>
    </row>
    <row r="132" spans="2:18" s="71" customFormat="1" x14ac:dyDescent="0.2">
      <c r="B132" s="165" t="s">
        <v>561</v>
      </c>
      <c r="C132" s="165"/>
      <c r="D132" s="75">
        <v>4.6320272590739817</v>
      </c>
      <c r="I132"/>
      <c r="J132" s="82"/>
      <c r="K132" s="40"/>
      <c r="L132" s="40"/>
      <c r="M132" s="40"/>
      <c r="N132" s="40"/>
      <c r="O132" s="77"/>
    </row>
    <row r="133" spans="2:18" s="71" customFormat="1" x14ac:dyDescent="0.2">
      <c r="B133" s="165"/>
      <c r="C133" s="165"/>
      <c r="D133" s="74"/>
      <c r="I133"/>
      <c r="J133" s="82"/>
      <c r="K133" s="40"/>
      <c r="L133" s="40"/>
      <c r="M133" s="40"/>
      <c r="N133" s="40"/>
      <c r="O133" s="77"/>
      <c r="R133"/>
    </row>
    <row r="134" spans="2:18" s="71" customFormat="1" ht="25.5" x14ac:dyDescent="0.2">
      <c r="B134" s="165" t="s">
        <v>562</v>
      </c>
      <c r="C134" s="165"/>
      <c r="D134" s="76" t="s">
        <v>668</v>
      </c>
      <c r="I134"/>
      <c r="J134" s="82"/>
      <c r="K134" s="40"/>
      <c r="L134" s="40"/>
      <c r="M134" s="40"/>
      <c r="N134" s="40"/>
      <c r="O134" s="77"/>
    </row>
    <row r="135" spans="2:18" s="71" customFormat="1" x14ac:dyDescent="0.2">
      <c r="B135" s="162" t="s">
        <v>563</v>
      </c>
      <c r="C135" s="163"/>
      <c r="D135" s="164"/>
      <c r="I135"/>
      <c r="J135" s="82"/>
      <c r="K135" s="40"/>
      <c r="L135" s="40"/>
      <c r="M135" s="40"/>
      <c r="N135" s="40"/>
      <c r="O135" s="77"/>
      <c r="R135"/>
    </row>
    <row r="136" spans="2:18" x14ac:dyDescent="0.2">
      <c r="J136" s="82"/>
    </row>
    <row r="137" spans="2:18" x14ac:dyDescent="0.2">
      <c r="B137" s="78" t="s">
        <v>564</v>
      </c>
    </row>
    <row r="139" spans="2:18" ht="153.75" customHeight="1" x14ac:dyDescent="0.2"/>
    <row r="142" spans="2:18" x14ac:dyDescent="0.2">
      <c r="B142" s="79" t="s">
        <v>565</v>
      </c>
      <c r="C142" s="80"/>
      <c r="D142" s="79" t="s">
        <v>566</v>
      </c>
    </row>
    <row r="143" spans="2:18" x14ac:dyDescent="0.2">
      <c r="B143" s="79" t="s">
        <v>573</v>
      </c>
      <c r="D143" s="79" t="s">
        <v>574</v>
      </c>
    </row>
    <row r="144" spans="2:18" ht="165" customHeight="1" x14ac:dyDescent="0.2"/>
    <row r="145" spans="10:10" x14ac:dyDescent="0.2">
      <c r="J145" s="82"/>
    </row>
    <row r="146" spans="10:10" x14ac:dyDescent="0.2">
      <c r="J146" s="82"/>
    </row>
    <row r="147" spans="10:10" x14ac:dyDescent="0.2">
      <c r="J147" s="82"/>
    </row>
  </sheetData>
  <mergeCells count="26">
    <mergeCell ref="B115:C115"/>
    <mergeCell ref="B120:C120"/>
    <mergeCell ref="B121:C121"/>
    <mergeCell ref="B122:C122"/>
    <mergeCell ref="B123:C123"/>
    <mergeCell ref="B100:H100"/>
    <mergeCell ref="B102:D102"/>
    <mergeCell ref="B103:C103"/>
    <mergeCell ref="B104:C104"/>
    <mergeCell ref="B105:C105"/>
    <mergeCell ref="A3:H3"/>
    <mergeCell ref="A2:H2"/>
    <mergeCell ref="A1:H1"/>
    <mergeCell ref="B98:H98"/>
    <mergeCell ref="B99:H99"/>
    <mergeCell ref="B125:D125"/>
    <mergeCell ref="B126:C126"/>
    <mergeCell ref="B127:C127"/>
    <mergeCell ref="B128:C128"/>
    <mergeCell ref="B129:C129"/>
    <mergeCell ref="B135:D135"/>
    <mergeCell ref="B130:C130"/>
    <mergeCell ref="B131:C131"/>
    <mergeCell ref="B132:C132"/>
    <mergeCell ref="B133:C133"/>
    <mergeCell ref="B134:C134"/>
  </mergeCell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28F332-858B-4F49-A53E-E7B6B016F72B}">
  <sheetPr>
    <outlinePr summaryBelow="0" summaryRight="0"/>
  </sheetPr>
  <dimension ref="A1:L161"/>
  <sheetViews>
    <sheetView showGridLines="0" workbookViewId="0">
      <selection sqref="A1:H1"/>
    </sheetView>
  </sheetViews>
  <sheetFormatPr defaultRowHeight="12.75" x14ac:dyDescent="0.2"/>
  <cols>
    <col min="1" max="1" width="5.85546875" bestFit="1" customWidth="1"/>
    <col min="2" max="2" width="20.28515625" bestFit="1" customWidth="1"/>
    <col min="3" max="3" width="41.140625" customWidth="1"/>
    <col min="4" max="4" width="10.7109375" bestFit="1" customWidth="1"/>
    <col min="5" max="5" width="9.42578125" bestFit="1" customWidth="1"/>
    <col min="6" max="6" width="10.140625" bestFit="1" customWidth="1"/>
    <col min="7" max="7" width="14" bestFit="1" customWidth="1"/>
  </cols>
  <sheetData>
    <row r="1" spans="1:8" ht="15" x14ac:dyDescent="0.2">
      <c r="A1" s="170" t="s">
        <v>0</v>
      </c>
      <c r="B1" s="170"/>
      <c r="C1" s="170"/>
      <c r="D1" s="170"/>
      <c r="E1" s="170"/>
      <c r="F1" s="170"/>
      <c r="G1" s="170"/>
      <c r="H1" s="170"/>
    </row>
    <row r="2" spans="1:8" ht="15" x14ac:dyDescent="0.2">
      <c r="A2" s="170" t="s">
        <v>143</v>
      </c>
      <c r="B2" s="170"/>
      <c r="C2" s="170"/>
      <c r="D2" s="170"/>
      <c r="E2" s="170"/>
      <c r="F2" s="170"/>
      <c r="G2" s="170"/>
      <c r="H2" s="170"/>
    </row>
    <row r="3" spans="1:8" ht="15" x14ac:dyDescent="0.2">
      <c r="A3" s="170" t="s">
        <v>686</v>
      </c>
      <c r="B3" s="170"/>
      <c r="C3" s="170"/>
      <c r="D3" s="170"/>
      <c r="E3" s="170"/>
      <c r="F3" s="170"/>
      <c r="G3" s="170"/>
      <c r="H3" s="170"/>
    </row>
    <row r="4" spans="1:8" s="14" customFormat="1" ht="30" x14ac:dyDescent="0.2">
      <c r="A4" s="12" t="s">
        <v>2</v>
      </c>
      <c r="B4" s="12" t="s">
        <v>3</v>
      </c>
      <c r="C4" s="12" t="s">
        <v>4</v>
      </c>
      <c r="D4" s="12" t="s">
        <v>5</v>
      </c>
      <c r="E4" s="12" t="s">
        <v>6</v>
      </c>
      <c r="F4" s="12" t="s">
        <v>7</v>
      </c>
      <c r="G4" s="12" t="s">
        <v>8</v>
      </c>
      <c r="H4" s="13" t="s">
        <v>681</v>
      </c>
    </row>
    <row r="5" spans="1:8" x14ac:dyDescent="0.2">
      <c r="A5" s="15"/>
      <c r="B5" s="15"/>
      <c r="C5" s="16" t="s">
        <v>9</v>
      </c>
      <c r="D5" s="15"/>
      <c r="E5" s="15"/>
      <c r="F5" s="15"/>
      <c r="G5" s="17"/>
      <c r="H5" s="18" t="s">
        <v>12</v>
      </c>
    </row>
    <row r="6" spans="1:8" x14ac:dyDescent="0.2">
      <c r="A6" s="19"/>
      <c r="B6" s="19"/>
      <c r="C6" s="20" t="s">
        <v>10</v>
      </c>
      <c r="D6" s="19"/>
      <c r="E6" s="19"/>
      <c r="F6" s="19"/>
      <c r="G6" s="21"/>
      <c r="H6" s="18" t="s">
        <v>12</v>
      </c>
    </row>
    <row r="7" spans="1:8" x14ac:dyDescent="0.2">
      <c r="A7" s="19"/>
      <c r="B7" s="19"/>
      <c r="C7" s="20" t="s">
        <v>11</v>
      </c>
      <c r="D7" s="19"/>
      <c r="E7" s="19" t="s">
        <v>12</v>
      </c>
      <c r="F7" s="22" t="s">
        <v>13</v>
      </c>
      <c r="G7" s="23">
        <v>0</v>
      </c>
      <c r="H7" s="18" t="s">
        <v>12</v>
      </c>
    </row>
    <row r="8" spans="1:8" x14ac:dyDescent="0.2">
      <c r="A8" s="19"/>
      <c r="B8" s="19"/>
      <c r="C8" s="24"/>
      <c r="D8" s="19"/>
      <c r="E8" s="19"/>
      <c r="F8" s="25"/>
      <c r="G8" s="26"/>
      <c r="H8" s="18" t="s">
        <v>12</v>
      </c>
    </row>
    <row r="9" spans="1:8" x14ac:dyDescent="0.2">
      <c r="A9" s="19"/>
      <c r="B9" s="19"/>
      <c r="C9" s="20" t="s">
        <v>14</v>
      </c>
      <c r="D9" s="19"/>
      <c r="E9" s="19"/>
      <c r="F9" s="19"/>
      <c r="G9" s="21"/>
      <c r="H9" s="18" t="s">
        <v>12</v>
      </c>
    </row>
    <row r="10" spans="1:8" x14ac:dyDescent="0.2">
      <c r="A10" s="19"/>
      <c r="B10" s="19"/>
      <c r="C10" s="20" t="s">
        <v>11</v>
      </c>
      <c r="D10" s="19"/>
      <c r="E10" s="19" t="s">
        <v>12</v>
      </c>
      <c r="F10" s="22" t="s">
        <v>13</v>
      </c>
      <c r="G10" s="23">
        <v>0</v>
      </c>
      <c r="H10" s="18" t="s">
        <v>12</v>
      </c>
    </row>
    <row r="11" spans="1:8" x14ac:dyDescent="0.2">
      <c r="A11" s="19"/>
      <c r="B11" s="19"/>
      <c r="C11" s="24"/>
      <c r="D11" s="19"/>
      <c r="E11" s="19"/>
      <c r="F11" s="25"/>
      <c r="G11" s="26"/>
      <c r="H11" s="18" t="s">
        <v>12</v>
      </c>
    </row>
    <row r="12" spans="1:8" x14ac:dyDescent="0.2">
      <c r="A12" s="19"/>
      <c r="B12" s="19"/>
      <c r="C12" s="20" t="s">
        <v>15</v>
      </c>
      <c r="D12" s="19"/>
      <c r="E12" s="19"/>
      <c r="F12" s="19"/>
      <c r="G12" s="21"/>
      <c r="H12" s="18" t="s">
        <v>12</v>
      </c>
    </row>
    <row r="13" spans="1:8" x14ac:dyDescent="0.2">
      <c r="A13" s="19"/>
      <c r="B13" s="19"/>
      <c r="C13" s="20" t="s">
        <v>11</v>
      </c>
      <c r="D13" s="19"/>
      <c r="E13" s="19" t="s">
        <v>12</v>
      </c>
      <c r="F13" s="22" t="s">
        <v>13</v>
      </c>
      <c r="G13" s="23">
        <v>0</v>
      </c>
      <c r="H13" s="18" t="s">
        <v>12</v>
      </c>
    </row>
    <row r="14" spans="1:8" x14ac:dyDescent="0.2">
      <c r="A14" s="19"/>
      <c r="B14" s="19"/>
      <c r="C14" s="24"/>
      <c r="D14" s="19"/>
      <c r="E14" s="19"/>
      <c r="F14" s="25"/>
      <c r="G14" s="26"/>
      <c r="H14" s="18" t="s">
        <v>12</v>
      </c>
    </row>
    <row r="15" spans="1:8" x14ac:dyDescent="0.2">
      <c r="A15" s="19"/>
      <c r="B15" s="19"/>
      <c r="C15" s="20" t="s">
        <v>16</v>
      </c>
      <c r="D15" s="19"/>
      <c r="E15" s="19"/>
      <c r="F15" s="19"/>
      <c r="G15" s="21"/>
      <c r="H15" s="18" t="s">
        <v>12</v>
      </c>
    </row>
    <row r="16" spans="1:8" x14ac:dyDescent="0.2">
      <c r="A16" s="19"/>
      <c r="B16" s="19"/>
      <c r="C16" s="20" t="s">
        <v>11</v>
      </c>
      <c r="D16" s="19"/>
      <c r="E16" s="19" t="s">
        <v>12</v>
      </c>
      <c r="F16" s="22" t="s">
        <v>13</v>
      </c>
      <c r="G16" s="23">
        <v>0</v>
      </c>
      <c r="H16" s="18" t="s">
        <v>12</v>
      </c>
    </row>
    <row r="17" spans="1:8" x14ac:dyDescent="0.2">
      <c r="A17" s="19"/>
      <c r="B17" s="19"/>
      <c r="C17" s="24"/>
      <c r="D17" s="19"/>
      <c r="E17" s="19"/>
      <c r="F17" s="25"/>
      <c r="G17" s="26"/>
      <c r="H17" s="18" t="s">
        <v>12</v>
      </c>
    </row>
    <row r="18" spans="1:8" x14ac:dyDescent="0.2">
      <c r="A18" s="19"/>
      <c r="B18" s="19"/>
      <c r="C18" s="20" t="s">
        <v>17</v>
      </c>
      <c r="D18" s="19"/>
      <c r="E18" s="19"/>
      <c r="F18" s="25"/>
      <c r="G18" s="26"/>
      <c r="H18" s="18" t="s">
        <v>12</v>
      </c>
    </row>
    <row r="19" spans="1:8" x14ac:dyDescent="0.2">
      <c r="A19" s="19"/>
      <c r="B19" s="19"/>
      <c r="C19" s="20" t="s">
        <v>11</v>
      </c>
      <c r="D19" s="19"/>
      <c r="E19" s="19" t="s">
        <v>12</v>
      </c>
      <c r="F19" s="22" t="s">
        <v>13</v>
      </c>
      <c r="G19" s="23">
        <v>0</v>
      </c>
      <c r="H19" s="18" t="s">
        <v>12</v>
      </c>
    </row>
    <row r="20" spans="1:8" x14ac:dyDescent="0.2">
      <c r="A20" s="19"/>
      <c r="B20" s="19"/>
      <c r="C20" s="24"/>
      <c r="D20" s="19"/>
      <c r="E20" s="19"/>
      <c r="F20" s="25"/>
      <c r="G20" s="26"/>
      <c r="H20" s="18" t="s">
        <v>12</v>
      </c>
    </row>
    <row r="21" spans="1:8" x14ac:dyDescent="0.2">
      <c r="A21" s="19"/>
      <c r="B21" s="19"/>
      <c r="C21" s="20" t="s">
        <v>18</v>
      </c>
      <c r="D21" s="19"/>
      <c r="E21" s="19"/>
      <c r="F21" s="25"/>
      <c r="G21" s="26"/>
      <c r="H21" s="18" t="s">
        <v>12</v>
      </c>
    </row>
    <row r="22" spans="1:8" x14ac:dyDescent="0.2">
      <c r="A22" s="19"/>
      <c r="B22" s="19"/>
      <c r="C22" s="20" t="s">
        <v>11</v>
      </c>
      <c r="D22" s="19"/>
      <c r="E22" s="19" t="s">
        <v>12</v>
      </c>
      <c r="F22" s="22" t="s">
        <v>13</v>
      </c>
      <c r="G22" s="23">
        <v>0</v>
      </c>
      <c r="H22" s="18" t="s">
        <v>12</v>
      </c>
    </row>
    <row r="23" spans="1:8" x14ac:dyDescent="0.2">
      <c r="A23" s="19"/>
      <c r="B23" s="19"/>
      <c r="C23" s="24"/>
      <c r="D23" s="19"/>
      <c r="E23" s="19"/>
      <c r="F23" s="25"/>
      <c r="G23" s="26"/>
      <c r="H23" s="18" t="s">
        <v>12</v>
      </c>
    </row>
    <row r="24" spans="1:8" x14ac:dyDescent="0.2">
      <c r="A24" s="19"/>
      <c r="B24" s="19"/>
      <c r="C24" s="20" t="s">
        <v>19</v>
      </c>
      <c r="D24" s="19"/>
      <c r="E24" s="19"/>
      <c r="F24" s="27">
        <v>0</v>
      </c>
      <c r="G24" s="23">
        <v>0</v>
      </c>
      <c r="H24" s="18" t="s">
        <v>12</v>
      </c>
    </row>
    <row r="25" spans="1:8" x14ac:dyDescent="0.2">
      <c r="A25" s="19"/>
      <c r="B25" s="19"/>
      <c r="C25" s="24"/>
      <c r="D25" s="19"/>
      <c r="E25" s="19"/>
      <c r="F25" s="25"/>
      <c r="G25" s="26"/>
      <c r="H25" s="18" t="s">
        <v>12</v>
      </c>
    </row>
    <row r="26" spans="1:8" x14ac:dyDescent="0.2">
      <c r="A26" s="19"/>
      <c r="B26" s="19"/>
      <c r="C26" s="20" t="s">
        <v>20</v>
      </c>
      <c r="D26" s="19"/>
      <c r="E26" s="19"/>
      <c r="F26" s="25"/>
      <c r="G26" s="26"/>
      <c r="H26" s="18" t="s">
        <v>12</v>
      </c>
    </row>
    <row r="27" spans="1:8" x14ac:dyDescent="0.2">
      <c r="A27" s="19"/>
      <c r="B27" s="19"/>
      <c r="C27" s="20" t="s">
        <v>10</v>
      </c>
      <c r="D27" s="19"/>
      <c r="E27" s="19"/>
      <c r="F27" s="25"/>
      <c r="G27" s="26"/>
      <c r="H27" s="18" t="s">
        <v>12</v>
      </c>
    </row>
    <row r="28" spans="1:8" x14ac:dyDescent="0.2">
      <c r="A28" s="19"/>
      <c r="B28" s="19"/>
      <c r="C28" s="20" t="s">
        <v>11</v>
      </c>
      <c r="D28" s="19"/>
      <c r="E28" s="19" t="s">
        <v>12</v>
      </c>
      <c r="F28" s="22" t="s">
        <v>13</v>
      </c>
      <c r="G28" s="23">
        <v>0</v>
      </c>
      <c r="H28" s="18" t="s">
        <v>12</v>
      </c>
    </row>
    <row r="29" spans="1:8" x14ac:dyDescent="0.2">
      <c r="A29" s="19"/>
      <c r="B29" s="19"/>
      <c r="C29" s="24"/>
      <c r="D29" s="19"/>
      <c r="E29" s="19"/>
      <c r="F29" s="25"/>
      <c r="G29" s="26"/>
      <c r="H29" s="18" t="s">
        <v>12</v>
      </c>
    </row>
    <row r="30" spans="1:8" x14ac:dyDescent="0.2">
      <c r="A30" s="19"/>
      <c r="B30" s="19"/>
      <c r="C30" s="20" t="s">
        <v>71</v>
      </c>
      <c r="D30" s="19"/>
      <c r="E30" s="19"/>
      <c r="F30" s="19"/>
      <c r="G30" s="21"/>
      <c r="H30" s="18" t="s">
        <v>12</v>
      </c>
    </row>
    <row r="31" spans="1:8" x14ac:dyDescent="0.2">
      <c r="A31" s="19"/>
      <c r="B31" s="19"/>
      <c r="C31" s="20" t="s">
        <v>11</v>
      </c>
      <c r="D31" s="19"/>
      <c r="E31" s="19" t="s">
        <v>12</v>
      </c>
      <c r="F31" s="22" t="s">
        <v>13</v>
      </c>
      <c r="G31" s="23">
        <v>0</v>
      </c>
      <c r="H31" s="18" t="s">
        <v>12</v>
      </c>
    </row>
    <row r="32" spans="1:8" x14ac:dyDescent="0.2">
      <c r="A32" s="19"/>
      <c r="B32" s="19"/>
      <c r="C32" s="24"/>
      <c r="D32" s="19"/>
      <c r="E32" s="19"/>
      <c r="F32" s="25"/>
      <c r="G32" s="26"/>
      <c r="H32" s="18" t="s">
        <v>12</v>
      </c>
    </row>
    <row r="33" spans="1:8" x14ac:dyDescent="0.2">
      <c r="A33" s="19"/>
      <c r="B33" s="19"/>
      <c r="C33" s="20" t="s">
        <v>72</v>
      </c>
      <c r="D33" s="19"/>
      <c r="E33" s="19"/>
      <c r="F33" s="19"/>
      <c r="G33" s="21"/>
      <c r="H33" s="18" t="s">
        <v>12</v>
      </c>
    </row>
    <row r="34" spans="1:8" x14ac:dyDescent="0.2">
      <c r="A34" s="19"/>
      <c r="B34" s="19"/>
      <c r="C34" s="20" t="s">
        <v>11</v>
      </c>
      <c r="D34" s="19"/>
      <c r="E34" s="19" t="s">
        <v>12</v>
      </c>
      <c r="F34" s="22" t="s">
        <v>13</v>
      </c>
      <c r="G34" s="23">
        <v>0</v>
      </c>
      <c r="H34" s="18" t="s">
        <v>12</v>
      </c>
    </row>
    <row r="35" spans="1:8" x14ac:dyDescent="0.2">
      <c r="A35" s="19"/>
      <c r="B35" s="19"/>
      <c r="C35" s="24"/>
      <c r="D35" s="19"/>
      <c r="E35" s="19"/>
      <c r="F35" s="25"/>
      <c r="G35" s="26"/>
      <c r="H35" s="18" t="s">
        <v>12</v>
      </c>
    </row>
    <row r="36" spans="1:8" x14ac:dyDescent="0.2">
      <c r="A36" s="19"/>
      <c r="B36" s="19"/>
      <c r="C36" s="20" t="s">
        <v>88</v>
      </c>
      <c r="D36" s="19"/>
      <c r="E36" s="19"/>
      <c r="F36" s="25"/>
      <c r="G36" s="26"/>
      <c r="H36" s="18" t="s">
        <v>12</v>
      </c>
    </row>
    <row r="37" spans="1:8" x14ac:dyDescent="0.2">
      <c r="A37" s="19"/>
      <c r="B37" s="19"/>
      <c r="C37" s="20" t="s">
        <v>11</v>
      </c>
      <c r="D37" s="19"/>
      <c r="E37" s="19" t="s">
        <v>12</v>
      </c>
      <c r="F37" s="22" t="s">
        <v>13</v>
      </c>
      <c r="G37" s="23">
        <v>0</v>
      </c>
      <c r="H37" s="18" t="s">
        <v>12</v>
      </c>
    </row>
    <row r="38" spans="1:8" x14ac:dyDescent="0.2">
      <c r="A38" s="19"/>
      <c r="B38" s="19"/>
      <c r="C38" s="24"/>
      <c r="D38" s="19"/>
      <c r="E38" s="19"/>
      <c r="F38" s="25"/>
      <c r="G38" s="26"/>
      <c r="H38" s="18" t="s">
        <v>12</v>
      </c>
    </row>
    <row r="39" spans="1:8" x14ac:dyDescent="0.2">
      <c r="A39" s="19"/>
      <c r="B39" s="19"/>
      <c r="C39" s="20" t="s">
        <v>89</v>
      </c>
      <c r="D39" s="19"/>
      <c r="E39" s="19"/>
      <c r="F39" s="27">
        <v>0</v>
      </c>
      <c r="G39" s="23">
        <v>0</v>
      </c>
      <c r="H39" s="18" t="s">
        <v>12</v>
      </c>
    </row>
    <row r="40" spans="1:8" x14ac:dyDescent="0.2">
      <c r="A40" s="19"/>
      <c r="B40" s="19"/>
      <c r="C40" s="24"/>
      <c r="D40" s="19"/>
      <c r="E40" s="19"/>
      <c r="F40" s="25"/>
      <c r="G40" s="26"/>
      <c r="H40" s="18" t="s">
        <v>12</v>
      </c>
    </row>
    <row r="41" spans="1:8" x14ac:dyDescent="0.2">
      <c r="A41" s="19"/>
      <c r="B41" s="19"/>
      <c r="C41" s="20" t="s">
        <v>90</v>
      </c>
      <c r="D41" s="19"/>
      <c r="E41" s="19"/>
      <c r="F41" s="25"/>
      <c r="G41" s="26"/>
      <c r="H41" s="18" t="s">
        <v>12</v>
      </c>
    </row>
    <row r="42" spans="1:8" x14ac:dyDescent="0.2">
      <c r="A42" s="19"/>
      <c r="B42" s="19"/>
      <c r="C42" s="20" t="s">
        <v>91</v>
      </c>
      <c r="D42" s="19"/>
      <c r="E42" s="19"/>
      <c r="F42" s="25"/>
      <c r="G42" s="26"/>
      <c r="H42" s="18" t="s">
        <v>12</v>
      </c>
    </row>
    <row r="43" spans="1:8" x14ac:dyDescent="0.2">
      <c r="A43" s="28">
        <v>1</v>
      </c>
      <c r="B43" s="29" t="s">
        <v>144</v>
      </c>
      <c r="C43" s="29" t="s">
        <v>145</v>
      </c>
      <c r="D43" s="29" t="s">
        <v>146</v>
      </c>
      <c r="E43" s="30">
        <v>1000</v>
      </c>
      <c r="F43" s="31">
        <v>4998.1899999999996</v>
      </c>
      <c r="G43" s="32">
        <v>4.6983080000000003E-2</v>
      </c>
      <c r="H43" s="18">
        <v>6.6150000000000002</v>
      </c>
    </row>
    <row r="44" spans="1:8" x14ac:dyDescent="0.2">
      <c r="A44" s="28">
        <v>2</v>
      </c>
      <c r="B44" s="29" t="s">
        <v>147</v>
      </c>
      <c r="C44" s="29" t="s">
        <v>148</v>
      </c>
      <c r="D44" s="29" t="s">
        <v>149</v>
      </c>
      <c r="E44" s="30">
        <v>1000</v>
      </c>
      <c r="F44" s="31">
        <v>4998.1850000000004</v>
      </c>
      <c r="G44" s="32">
        <v>4.6983030000000002E-2</v>
      </c>
      <c r="H44" s="18">
        <v>6.6349999999999998</v>
      </c>
    </row>
    <row r="45" spans="1:8" x14ac:dyDescent="0.2">
      <c r="A45" s="28">
        <v>3</v>
      </c>
      <c r="B45" s="29" t="s">
        <v>150</v>
      </c>
      <c r="C45" s="29" t="s">
        <v>151</v>
      </c>
      <c r="D45" s="29" t="s">
        <v>146</v>
      </c>
      <c r="E45" s="30">
        <v>1000</v>
      </c>
      <c r="F45" s="31">
        <v>4996.2250000000004</v>
      </c>
      <c r="G45" s="32">
        <v>4.6964609999999997E-2</v>
      </c>
      <c r="H45" s="18">
        <v>6.8989000000000003</v>
      </c>
    </row>
    <row r="46" spans="1:8" x14ac:dyDescent="0.2">
      <c r="A46" s="28">
        <v>4</v>
      </c>
      <c r="B46" s="29" t="s">
        <v>152</v>
      </c>
      <c r="C46" s="29" t="s">
        <v>153</v>
      </c>
      <c r="D46" s="29" t="s">
        <v>146</v>
      </c>
      <c r="E46" s="30">
        <v>1000</v>
      </c>
      <c r="F46" s="31">
        <v>4991.47</v>
      </c>
      <c r="G46" s="32">
        <v>4.6919910000000002E-2</v>
      </c>
      <c r="H46" s="18">
        <v>6.93</v>
      </c>
    </row>
    <row r="47" spans="1:8" x14ac:dyDescent="0.2">
      <c r="A47" s="28">
        <v>5</v>
      </c>
      <c r="B47" s="29" t="s">
        <v>154</v>
      </c>
      <c r="C47" s="29" t="s">
        <v>682</v>
      </c>
      <c r="D47" s="29" t="s">
        <v>146</v>
      </c>
      <c r="E47" s="30">
        <v>1000</v>
      </c>
      <c r="F47" s="31">
        <v>4908.9449999999997</v>
      </c>
      <c r="G47" s="32">
        <v>4.614418E-2</v>
      </c>
      <c r="H47" s="18">
        <v>0</v>
      </c>
    </row>
    <row r="48" spans="1:8" ht="25.5" x14ac:dyDescent="0.2">
      <c r="A48" s="28">
        <v>6</v>
      </c>
      <c r="B48" s="29" t="s">
        <v>155</v>
      </c>
      <c r="C48" s="29" t="s">
        <v>156</v>
      </c>
      <c r="D48" s="29" t="s">
        <v>146</v>
      </c>
      <c r="E48" s="30">
        <v>800</v>
      </c>
      <c r="F48" s="31">
        <v>3718.3960000000002</v>
      </c>
      <c r="G48" s="32">
        <v>3.4952990000000003E-2</v>
      </c>
      <c r="H48" s="18">
        <v>7.6150000000000002</v>
      </c>
    </row>
    <row r="49" spans="1:8" ht="25.5" x14ac:dyDescent="0.2">
      <c r="A49" s="28">
        <v>7</v>
      </c>
      <c r="B49" s="29" t="s">
        <v>157</v>
      </c>
      <c r="C49" s="29" t="s">
        <v>158</v>
      </c>
      <c r="D49" s="29" t="s">
        <v>146</v>
      </c>
      <c r="E49" s="30">
        <v>800</v>
      </c>
      <c r="F49" s="31">
        <v>3718.2240000000002</v>
      </c>
      <c r="G49" s="32">
        <v>3.4951379999999997E-2</v>
      </c>
      <c r="H49" s="18">
        <v>7.62</v>
      </c>
    </row>
    <row r="50" spans="1:8" x14ac:dyDescent="0.2">
      <c r="A50" s="28">
        <v>8</v>
      </c>
      <c r="B50" s="29" t="s">
        <v>159</v>
      </c>
      <c r="C50" s="29" t="s">
        <v>160</v>
      </c>
      <c r="D50" s="29" t="s">
        <v>146</v>
      </c>
      <c r="E50" s="30">
        <v>500</v>
      </c>
      <c r="F50" s="31">
        <v>2375.9124999999999</v>
      </c>
      <c r="G50" s="32">
        <v>2.2333619999999998E-2</v>
      </c>
      <c r="H50" s="18">
        <v>7.91</v>
      </c>
    </row>
    <row r="51" spans="1:8" x14ac:dyDescent="0.2">
      <c r="A51" s="28">
        <v>9</v>
      </c>
      <c r="B51" s="29" t="s">
        <v>161</v>
      </c>
      <c r="C51" s="29" t="s">
        <v>162</v>
      </c>
      <c r="D51" s="29" t="s">
        <v>146</v>
      </c>
      <c r="E51" s="30">
        <v>500</v>
      </c>
      <c r="F51" s="31">
        <v>2365.42</v>
      </c>
      <c r="G51" s="32">
        <v>2.223499E-2</v>
      </c>
      <c r="H51" s="18">
        <v>7.72</v>
      </c>
    </row>
    <row r="52" spans="1:8" x14ac:dyDescent="0.2">
      <c r="A52" s="28">
        <v>10</v>
      </c>
      <c r="B52" s="29" t="s">
        <v>163</v>
      </c>
      <c r="C52" s="29" t="s">
        <v>164</v>
      </c>
      <c r="D52" s="29" t="s">
        <v>146</v>
      </c>
      <c r="E52" s="30">
        <v>500</v>
      </c>
      <c r="F52" s="31">
        <v>2365.1675</v>
      </c>
      <c r="G52" s="32">
        <v>2.2232620000000002E-2</v>
      </c>
      <c r="H52" s="18">
        <v>7.65</v>
      </c>
    </row>
    <row r="53" spans="1:8" x14ac:dyDescent="0.2">
      <c r="A53" s="28">
        <v>11</v>
      </c>
      <c r="B53" s="29" t="s">
        <v>165</v>
      </c>
      <c r="C53" s="29" t="s">
        <v>166</v>
      </c>
      <c r="D53" s="29" t="s">
        <v>146</v>
      </c>
      <c r="E53" s="30">
        <v>500</v>
      </c>
      <c r="F53" s="31">
        <v>2362.7824999999998</v>
      </c>
      <c r="G53" s="32">
        <v>2.2210199999999999E-2</v>
      </c>
      <c r="H53" s="18">
        <v>7.6224999999999996</v>
      </c>
    </row>
    <row r="54" spans="1:8" ht="25.5" x14ac:dyDescent="0.2">
      <c r="A54" s="28">
        <v>12</v>
      </c>
      <c r="B54" s="29" t="s">
        <v>167</v>
      </c>
      <c r="C54" s="29" t="s">
        <v>168</v>
      </c>
      <c r="D54" s="29" t="s">
        <v>146</v>
      </c>
      <c r="E54" s="30">
        <v>500</v>
      </c>
      <c r="F54" s="31">
        <v>2362.3150000000001</v>
      </c>
      <c r="G54" s="32">
        <v>2.2205809999999999E-2</v>
      </c>
      <c r="H54" s="18">
        <v>7.625</v>
      </c>
    </row>
    <row r="55" spans="1:8" x14ac:dyDescent="0.2">
      <c r="A55" s="28">
        <v>13</v>
      </c>
      <c r="B55" s="29" t="s">
        <v>169</v>
      </c>
      <c r="C55" s="29" t="s">
        <v>170</v>
      </c>
      <c r="D55" s="29" t="s">
        <v>146</v>
      </c>
      <c r="E55" s="30">
        <v>500</v>
      </c>
      <c r="F55" s="31">
        <v>2360.7800000000002</v>
      </c>
      <c r="G55" s="32">
        <v>2.219138E-2</v>
      </c>
      <c r="H55" s="18">
        <v>7.7149999999999999</v>
      </c>
    </row>
    <row r="56" spans="1:8" x14ac:dyDescent="0.2">
      <c r="A56" s="28">
        <v>14</v>
      </c>
      <c r="B56" s="29" t="s">
        <v>171</v>
      </c>
      <c r="C56" s="29" t="s">
        <v>172</v>
      </c>
      <c r="D56" s="29" t="s">
        <v>146</v>
      </c>
      <c r="E56" s="30">
        <v>500</v>
      </c>
      <c r="F56" s="31">
        <v>2335.3724999999999</v>
      </c>
      <c r="G56" s="32">
        <v>2.1952550000000001E-2</v>
      </c>
      <c r="H56" s="18">
        <v>7.59</v>
      </c>
    </row>
    <row r="57" spans="1:8" x14ac:dyDescent="0.2">
      <c r="A57" s="28">
        <v>15</v>
      </c>
      <c r="B57" s="29" t="s">
        <v>173</v>
      </c>
      <c r="C57" s="29" t="s">
        <v>174</v>
      </c>
      <c r="D57" s="29" t="s">
        <v>146</v>
      </c>
      <c r="E57" s="30">
        <v>500</v>
      </c>
      <c r="F57" s="31">
        <v>2334.8150000000001</v>
      </c>
      <c r="G57" s="32">
        <v>2.1947310000000001E-2</v>
      </c>
      <c r="H57" s="18">
        <v>7.5949999999999998</v>
      </c>
    </row>
    <row r="58" spans="1:8" ht="25.5" x14ac:dyDescent="0.2">
      <c r="A58" s="28">
        <v>16</v>
      </c>
      <c r="B58" s="29" t="s">
        <v>175</v>
      </c>
      <c r="C58" s="29" t="s">
        <v>176</v>
      </c>
      <c r="D58" s="29" t="s">
        <v>146</v>
      </c>
      <c r="E58" s="30">
        <v>500</v>
      </c>
      <c r="F58" s="31">
        <v>2333.9575</v>
      </c>
      <c r="G58" s="32">
        <v>2.193925E-2</v>
      </c>
      <c r="H58" s="18">
        <v>7.6150000000000002</v>
      </c>
    </row>
    <row r="59" spans="1:8" x14ac:dyDescent="0.2">
      <c r="A59" s="28">
        <v>17</v>
      </c>
      <c r="B59" s="29" t="s">
        <v>177</v>
      </c>
      <c r="C59" s="29" t="s">
        <v>178</v>
      </c>
      <c r="D59" s="29" t="s">
        <v>146</v>
      </c>
      <c r="E59" s="30">
        <v>500</v>
      </c>
      <c r="F59" s="31">
        <v>2329.4274999999998</v>
      </c>
      <c r="G59" s="32">
        <v>2.1896659999999998E-2</v>
      </c>
      <c r="H59" s="18">
        <v>7.55</v>
      </c>
    </row>
    <row r="60" spans="1:8" ht="25.5" x14ac:dyDescent="0.2">
      <c r="A60" s="28">
        <v>18</v>
      </c>
      <c r="B60" s="29" t="s">
        <v>179</v>
      </c>
      <c r="C60" s="29" t="s">
        <v>180</v>
      </c>
      <c r="D60" s="29" t="s">
        <v>146</v>
      </c>
      <c r="E60" s="30">
        <v>500</v>
      </c>
      <c r="F60" s="31">
        <v>2328.5124999999998</v>
      </c>
      <c r="G60" s="32">
        <v>2.1888060000000001E-2</v>
      </c>
      <c r="H60" s="18">
        <v>7.6150000000000002</v>
      </c>
    </row>
    <row r="61" spans="1:8" x14ac:dyDescent="0.2">
      <c r="A61" s="28">
        <v>19</v>
      </c>
      <c r="B61" s="29" t="s">
        <v>181</v>
      </c>
      <c r="C61" s="29" t="s">
        <v>182</v>
      </c>
      <c r="D61" s="29" t="s">
        <v>146</v>
      </c>
      <c r="E61" s="30">
        <v>500</v>
      </c>
      <c r="F61" s="31">
        <v>2325.395</v>
      </c>
      <c r="G61" s="32">
        <v>2.1858760000000001E-2</v>
      </c>
      <c r="H61" s="18">
        <v>7.55</v>
      </c>
    </row>
    <row r="62" spans="1:8" x14ac:dyDescent="0.2">
      <c r="A62" s="28">
        <v>20</v>
      </c>
      <c r="B62" s="29" t="s">
        <v>183</v>
      </c>
      <c r="C62" s="29" t="s">
        <v>184</v>
      </c>
      <c r="D62" s="29" t="s">
        <v>146</v>
      </c>
      <c r="E62" s="30">
        <v>500</v>
      </c>
      <c r="F62" s="31">
        <v>2323.5700000000002</v>
      </c>
      <c r="G62" s="32">
        <v>2.1841599999999999E-2</v>
      </c>
      <c r="H62" s="18">
        <v>7.72</v>
      </c>
    </row>
    <row r="63" spans="1:8" x14ac:dyDescent="0.2">
      <c r="A63" s="28">
        <v>21</v>
      </c>
      <c r="B63" s="29" t="s">
        <v>185</v>
      </c>
      <c r="C63" s="29" t="s">
        <v>186</v>
      </c>
      <c r="D63" s="29" t="s">
        <v>146</v>
      </c>
      <c r="E63" s="30">
        <v>300</v>
      </c>
      <c r="F63" s="31">
        <v>1403.046</v>
      </c>
      <c r="G63" s="32">
        <v>1.318866E-2</v>
      </c>
      <c r="H63" s="18">
        <v>7.69</v>
      </c>
    </row>
    <row r="64" spans="1:8" x14ac:dyDescent="0.2">
      <c r="A64" s="28">
        <v>22</v>
      </c>
      <c r="B64" s="29" t="s">
        <v>187</v>
      </c>
      <c r="C64" s="29" t="s">
        <v>188</v>
      </c>
      <c r="D64" s="29" t="s">
        <v>146</v>
      </c>
      <c r="E64" s="30">
        <v>300</v>
      </c>
      <c r="F64" s="31">
        <v>1395.5309999999999</v>
      </c>
      <c r="G64" s="32">
        <v>1.3118019999999999E-2</v>
      </c>
      <c r="H64" s="18">
        <v>7.59</v>
      </c>
    </row>
    <row r="65" spans="1:8" x14ac:dyDescent="0.2">
      <c r="A65" s="28">
        <v>23</v>
      </c>
      <c r="B65" s="29" t="s">
        <v>189</v>
      </c>
      <c r="C65" s="29" t="s">
        <v>190</v>
      </c>
      <c r="D65" s="29" t="s">
        <v>146</v>
      </c>
      <c r="E65" s="30">
        <v>200</v>
      </c>
      <c r="F65" s="31">
        <v>998.86400000000003</v>
      </c>
      <c r="G65" s="32">
        <v>9.3893399999999995E-3</v>
      </c>
      <c r="H65" s="18">
        <v>6.92</v>
      </c>
    </row>
    <row r="66" spans="1:8" x14ac:dyDescent="0.2">
      <c r="A66" s="28">
        <v>24</v>
      </c>
      <c r="B66" s="29" t="s">
        <v>191</v>
      </c>
      <c r="C66" s="29" t="s">
        <v>192</v>
      </c>
      <c r="D66" s="29" t="s">
        <v>146</v>
      </c>
      <c r="E66" s="30">
        <v>200</v>
      </c>
      <c r="F66" s="31">
        <v>946.95799999999997</v>
      </c>
      <c r="G66" s="32">
        <v>8.9014200000000002E-3</v>
      </c>
      <c r="H66" s="18">
        <v>7.7149999999999999</v>
      </c>
    </row>
    <row r="67" spans="1:8" x14ac:dyDescent="0.2">
      <c r="A67" s="28">
        <v>25</v>
      </c>
      <c r="B67" s="29" t="s">
        <v>193</v>
      </c>
      <c r="C67" s="29" t="s">
        <v>194</v>
      </c>
      <c r="D67" s="29" t="s">
        <v>195</v>
      </c>
      <c r="E67" s="30">
        <v>160</v>
      </c>
      <c r="F67" s="31">
        <v>776.45839999999998</v>
      </c>
      <c r="G67" s="32">
        <v>7.2987199999999999E-3</v>
      </c>
      <c r="H67" s="18">
        <v>7.58</v>
      </c>
    </row>
    <row r="68" spans="1:8" x14ac:dyDescent="0.2">
      <c r="A68" s="28">
        <v>26</v>
      </c>
      <c r="B68" s="29" t="s">
        <v>196</v>
      </c>
      <c r="C68" s="29" t="s">
        <v>197</v>
      </c>
      <c r="D68" s="29" t="s">
        <v>149</v>
      </c>
      <c r="E68" s="30">
        <v>100</v>
      </c>
      <c r="F68" s="31">
        <v>493.42750000000001</v>
      </c>
      <c r="G68" s="32">
        <v>4.6382300000000001E-3</v>
      </c>
      <c r="H68" s="18">
        <v>7.48</v>
      </c>
    </row>
    <row r="69" spans="1:8" x14ac:dyDescent="0.2">
      <c r="A69" s="28">
        <v>27</v>
      </c>
      <c r="B69" s="29" t="s">
        <v>198</v>
      </c>
      <c r="C69" s="29" t="s">
        <v>199</v>
      </c>
      <c r="D69" s="29" t="s">
        <v>146</v>
      </c>
      <c r="E69" s="30">
        <v>100</v>
      </c>
      <c r="F69" s="31">
        <v>490.17149999999998</v>
      </c>
      <c r="G69" s="32">
        <v>4.6076199999999998E-3</v>
      </c>
      <c r="H69" s="18">
        <v>7.5449999999999999</v>
      </c>
    </row>
    <row r="70" spans="1:8" x14ac:dyDescent="0.2">
      <c r="A70" s="28">
        <v>28</v>
      </c>
      <c r="B70" s="29" t="s">
        <v>200</v>
      </c>
      <c r="C70" s="29" t="s">
        <v>201</v>
      </c>
      <c r="D70" s="29" t="s">
        <v>146</v>
      </c>
      <c r="E70" s="30">
        <v>100</v>
      </c>
      <c r="F70" s="31">
        <v>488.40499999999997</v>
      </c>
      <c r="G70" s="32">
        <v>4.5910200000000003E-3</v>
      </c>
      <c r="H70" s="18">
        <v>7.5350000000000001</v>
      </c>
    </row>
    <row r="71" spans="1:8" x14ac:dyDescent="0.2">
      <c r="A71" s="19"/>
      <c r="B71" s="19"/>
      <c r="C71" s="20" t="s">
        <v>11</v>
      </c>
      <c r="D71" s="19"/>
      <c r="E71" s="19" t="s">
        <v>12</v>
      </c>
      <c r="F71" s="27">
        <v>69825.923899999994</v>
      </c>
      <c r="G71" s="23">
        <v>0.65636501999999997</v>
      </c>
      <c r="H71" s="18" t="s">
        <v>12</v>
      </c>
    </row>
    <row r="72" spans="1:8" x14ac:dyDescent="0.2">
      <c r="A72" s="19"/>
      <c r="B72" s="19"/>
      <c r="C72" s="24"/>
      <c r="D72" s="19"/>
      <c r="E72" s="19"/>
      <c r="F72" s="25"/>
      <c r="G72" s="26"/>
      <c r="H72" s="18" t="s">
        <v>12</v>
      </c>
    </row>
    <row r="73" spans="1:8" x14ac:dyDescent="0.2">
      <c r="A73" s="19"/>
      <c r="B73" s="19"/>
      <c r="C73" s="20" t="s">
        <v>92</v>
      </c>
      <c r="D73" s="19"/>
      <c r="E73" s="19"/>
      <c r="F73" s="25"/>
      <c r="G73" s="26"/>
      <c r="H73" s="18" t="s">
        <v>12</v>
      </c>
    </row>
    <row r="74" spans="1:8" x14ac:dyDescent="0.2">
      <c r="A74" s="28">
        <v>1</v>
      </c>
      <c r="B74" s="29" t="s">
        <v>202</v>
      </c>
      <c r="C74" s="29" t="s">
        <v>203</v>
      </c>
      <c r="D74" s="29" t="s">
        <v>146</v>
      </c>
      <c r="E74" s="30">
        <v>1500</v>
      </c>
      <c r="F74" s="31">
        <v>7495.7550000000001</v>
      </c>
      <c r="G74" s="32">
        <v>7.0460239999999993E-2</v>
      </c>
      <c r="H74" s="18">
        <v>6.8949999999999996</v>
      </c>
    </row>
    <row r="75" spans="1:8" x14ac:dyDescent="0.2">
      <c r="A75" s="28">
        <v>2</v>
      </c>
      <c r="B75" s="29" t="s">
        <v>204</v>
      </c>
      <c r="C75" s="29" t="s">
        <v>683</v>
      </c>
      <c r="D75" s="29" t="s">
        <v>146</v>
      </c>
      <c r="E75" s="30">
        <v>800</v>
      </c>
      <c r="F75" s="31">
        <v>3708.1680000000001</v>
      </c>
      <c r="G75" s="32">
        <v>3.4856850000000002E-2</v>
      </c>
      <c r="H75" s="18">
        <v>0</v>
      </c>
    </row>
    <row r="76" spans="1:8" x14ac:dyDescent="0.2">
      <c r="A76" s="28">
        <v>3</v>
      </c>
      <c r="B76" s="29" t="s">
        <v>205</v>
      </c>
      <c r="C76" s="29" t="s">
        <v>206</v>
      </c>
      <c r="D76" s="29" t="s">
        <v>146</v>
      </c>
      <c r="E76" s="30">
        <v>500</v>
      </c>
      <c r="F76" s="31">
        <v>2375.96</v>
      </c>
      <c r="G76" s="32">
        <v>2.2334070000000001E-2</v>
      </c>
      <c r="H76" s="18">
        <v>8.2850000000000001</v>
      </c>
    </row>
    <row r="77" spans="1:8" x14ac:dyDescent="0.2">
      <c r="A77" s="28">
        <v>4</v>
      </c>
      <c r="B77" s="29" t="s">
        <v>207</v>
      </c>
      <c r="C77" s="29" t="s">
        <v>208</v>
      </c>
      <c r="D77" s="29" t="s">
        <v>146</v>
      </c>
      <c r="E77" s="30">
        <v>500</v>
      </c>
      <c r="F77" s="31">
        <v>2327.5349999999999</v>
      </c>
      <c r="G77" s="32">
        <v>2.1878870000000002E-2</v>
      </c>
      <c r="H77" s="18">
        <v>7.64</v>
      </c>
    </row>
    <row r="78" spans="1:8" ht="25.5" x14ac:dyDescent="0.2">
      <c r="A78" s="28">
        <v>5</v>
      </c>
      <c r="B78" s="29" t="s">
        <v>209</v>
      </c>
      <c r="C78" s="29" t="s">
        <v>210</v>
      </c>
      <c r="D78" s="29" t="s">
        <v>146</v>
      </c>
      <c r="E78" s="30">
        <v>500</v>
      </c>
      <c r="F78" s="31">
        <v>2311.1875</v>
      </c>
      <c r="G78" s="32">
        <v>2.1725209999999998E-2</v>
      </c>
      <c r="H78" s="18">
        <v>8.26</v>
      </c>
    </row>
    <row r="79" spans="1:8" ht="25.5" x14ac:dyDescent="0.2">
      <c r="A79" s="28">
        <v>6</v>
      </c>
      <c r="B79" s="29" t="s">
        <v>211</v>
      </c>
      <c r="C79" s="29" t="s">
        <v>212</v>
      </c>
      <c r="D79" s="29" t="s">
        <v>146</v>
      </c>
      <c r="E79" s="30">
        <v>300</v>
      </c>
      <c r="F79" s="31">
        <v>1465.0395000000001</v>
      </c>
      <c r="G79" s="32">
        <v>1.37714E-2</v>
      </c>
      <c r="H79" s="18">
        <v>8.0649999999999995</v>
      </c>
    </row>
    <row r="80" spans="1:8" x14ac:dyDescent="0.2">
      <c r="A80" s="28">
        <v>7</v>
      </c>
      <c r="B80" s="29" t="s">
        <v>213</v>
      </c>
      <c r="C80" s="29" t="s">
        <v>214</v>
      </c>
      <c r="D80" s="29" t="s">
        <v>146</v>
      </c>
      <c r="E80" s="30">
        <v>300</v>
      </c>
      <c r="F80" s="31">
        <v>1436.5155</v>
      </c>
      <c r="G80" s="32">
        <v>1.350327E-2</v>
      </c>
      <c r="H80" s="18">
        <v>7.7549999999999999</v>
      </c>
    </row>
    <row r="81" spans="1:8" x14ac:dyDescent="0.2">
      <c r="A81" s="28">
        <v>8</v>
      </c>
      <c r="B81" s="29" t="s">
        <v>215</v>
      </c>
      <c r="C81" s="29" t="s">
        <v>216</v>
      </c>
      <c r="D81" s="29" t="s">
        <v>146</v>
      </c>
      <c r="E81" s="30">
        <v>200</v>
      </c>
      <c r="F81" s="31">
        <v>996.16600000000005</v>
      </c>
      <c r="G81" s="32">
        <v>9.3639799999999992E-3</v>
      </c>
      <c r="H81" s="18">
        <v>7.0250000000000004</v>
      </c>
    </row>
    <row r="82" spans="1:8" x14ac:dyDescent="0.2">
      <c r="A82" s="19"/>
      <c r="B82" s="19"/>
      <c r="C82" s="20" t="s">
        <v>11</v>
      </c>
      <c r="D82" s="19"/>
      <c r="E82" s="19" t="s">
        <v>12</v>
      </c>
      <c r="F82" s="27">
        <v>22116.326499999999</v>
      </c>
      <c r="G82" s="23">
        <v>0.20789389</v>
      </c>
      <c r="H82" s="18" t="s">
        <v>12</v>
      </c>
    </row>
    <row r="83" spans="1:8" x14ac:dyDescent="0.2">
      <c r="A83" s="19"/>
      <c r="B83" s="19"/>
      <c r="C83" s="24"/>
      <c r="D83" s="19"/>
      <c r="E83" s="19"/>
      <c r="F83" s="25"/>
      <c r="G83" s="26"/>
      <c r="H83" s="18" t="s">
        <v>12</v>
      </c>
    </row>
    <row r="84" spans="1:8" x14ac:dyDescent="0.2">
      <c r="A84" s="19"/>
      <c r="B84" s="19"/>
      <c r="C84" s="20" t="s">
        <v>93</v>
      </c>
      <c r="D84" s="19"/>
      <c r="E84" s="19"/>
      <c r="F84" s="25"/>
      <c r="G84" s="26"/>
      <c r="H84" s="18" t="s">
        <v>12</v>
      </c>
    </row>
    <row r="85" spans="1:8" x14ac:dyDescent="0.2">
      <c r="A85" s="28">
        <v>1</v>
      </c>
      <c r="B85" s="29" t="s">
        <v>217</v>
      </c>
      <c r="C85" s="29" t="s">
        <v>218</v>
      </c>
      <c r="D85" s="29" t="s">
        <v>75</v>
      </c>
      <c r="E85" s="30">
        <v>5000000</v>
      </c>
      <c r="F85" s="31">
        <v>4694.9449999999997</v>
      </c>
      <c r="G85" s="32">
        <v>4.4132570000000003E-2</v>
      </c>
      <c r="H85" s="18">
        <v>6.5332999999999997</v>
      </c>
    </row>
    <row r="86" spans="1:8" x14ac:dyDescent="0.2">
      <c r="A86" s="28">
        <v>2</v>
      </c>
      <c r="B86" s="29" t="s">
        <v>219</v>
      </c>
      <c r="C86" s="29" t="s">
        <v>220</v>
      </c>
      <c r="D86" s="29" t="s">
        <v>75</v>
      </c>
      <c r="E86" s="30">
        <v>2500000</v>
      </c>
      <c r="F86" s="31">
        <v>2473.2199999999998</v>
      </c>
      <c r="G86" s="32">
        <v>2.3248319999999999E-2</v>
      </c>
      <c r="H86" s="18">
        <v>6.4794</v>
      </c>
    </row>
    <row r="87" spans="1:8" x14ac:dyDescent="0.2">
      <c r="A87" s="28">
        <v>3</v>
      </c>
      <c r="B87" s="29" t="s">
        <v>221</v>
      </c>
      <c r="C87" s="29" t="s">
        <v>222</v>
      </c>
      <c r="D87" s="29" t="s">
        <v>75</v>
      </c>
      <c r="E87" s="30">
        <v>2500000</v>
      </c>
      <c r="F87" s="31">
        <v>2350.52</v>
      </c>
      <c r="G87" s="32">
        <v>2.2094929999999999E-2</v>
      </c>
      <c r="H87" s="18">
        <v>6.5202</v>
      </c>
    </row>
    <row r="88" spans="1:8" x14ac:dyDescent="0.2">
      <c r="A88" s="28">
        <v>4</v>
      </c>
      <c r="B88" s="29" t="s">
        <v>223</v>
      </c>
      <c r="C88" s="29" t="s">
        <v>224</v>
      </c>
      <c r="D88" s="29" t="s">
        <v>75</v>
      </c>
      <c r="E88" s="30">
        <v>1500000</v>
      </c>
      <c r="F88" s="31">
        <v>1476.8340000000001</v>
      </c>
      <c r="G88" s="32">
        <v>1.388227E-2</v>
      </c>
      <c r="H88" s="18">
        <v>6.4332000000000003</v>
      </c>
    </row>
    <row r="89" spans="1:8" x14ac:dyDescent="0.2">
      <c r="A89" s="19"/>
      <c r="B89" s="19"/>
      <c r="C89" s="20" t="s">
        <v>11</v>
      </c>
      <c r="D89" s="19"/>
      <c r="E89" s="19" t="s">
        <v>12</v>
      </c>
      <c r="F89" s="27">
        <v>10995.519</v>
      </c>
      <c r="G89" s="23">
        <v>0.10335809</v>
      </c>
      <c r="H89" s="18" t="s">
        <v>12</v>
      </c>
    </row>
    <row r="90" spans="1:8" x14ac:dyDescent="0.2">
      <c r="A90" s="19"/>
      <c r="B90" s="19"/>
      <c r="C90" s="24"/>
      <c r="D90" s="19"/>
      <c r="E90" s="19"/>
      <c r="F90" s="25"/>
      <c r="G90" s="26"/>
      <c r="H90" s="18" t="s">
        <v>12</v>
      </c>
    </row>
    <row r="91" spans="1:8" x14ac:dyDescent="0.2">
      <c r="A91" s="19"/>
      <c r="B91" s="19"/>
      <c r="C91" s="20" t="s">
        <v>94</v>
      </c>
      <c r="D91" s="19"/>
      <c r="E91" s="19"/>
      <c r="F91" s="25"/>
      <c r="G91" s="26"/>
      <c r="H91" s="18" t="s">
        <v>12</v>
      </c>
    </row>
    <row r="92" spans="1:8" x14ac:dyDescent="0.2">
      <c r="A92" s="28">
        <v>1</v>
      </c>
      <c r="B92" s="29"/>
      <c r="C92" s="29" t="s">
        <v>95</v>
      </c>
      <c r="D92" s="29"/>
      <c r="E92" s="33"/>
      <c r="F92" s="31">
        <v>12264.468864562999</v>
      </c>
      <c r="G92" s="32">
        <v>0.11528624</v>
      </c>
      <c r="H92" s="18">
        <v>6.23</v>
      </c>
    </row>
    <row r="93" spans="1:8" x14ac:dyDescent="0.2">
      <c r="A93" s="19"/>
      <c r="B93" s="19"/>
      <c r="C93" s="20" t="s">
        <v>11</v>
      </c>
      <c r="D93" s="19"/>
      <c r="E93" s="19" t="s">
        <v>12</v>
      </c>
      <c r="F93" s="27">
        <v>12264.468864562999</v>
      </c>
      <c r="G93" s="23">
        <v>0.11528624</v>
      </c>
      <c r="H93" s="18" t="s">
        <v>12</v>
      </c>
    </row>
    <row r="94" spans="1:8" x14ac:dyDescent="0.2">
      <c r="A94" s="19"/>
      <c r="B94" s="19"/>
      <c r="C94" s="24"/>
      <c r="D94" s="19"/>
      <c r="E94" s="19"/>
      <c r="F94" s="25"/>
      <c r="G94" s="26"/>
      <c r="H94" s="18" t="s">
        <v>12</v>
      </c>
    </row>
    <row r="95" spans="1:8" x14ac:dyDescent="0.2">
      <c r="A95" s="19"/>
      <c r="B95" s="19"/>
      <c r="C95" s="20" t="s">
        <v>96</v>
      </c>
      <c r="D95" s="19"/>
      <c r="E95" s="19"/>
      <c r="F95" s="27">
        <v>115202.238264563</v>
      </c>
      <c r="G95" s="23">
        <v>1.08290324</v>
      </c>
      <c r="H95" s="18" t="s">
        <v>12</v>
      </c>
    </row>
    <row r="96" spans="1:8" x14ac:dyDescent="0.2">
      <c r="A96" s="19"/>
      <c r="B96" s="19"/>
      <c r="C96" s="25"/>
      <c r="D96" s="19"/>
      <c r="E96" s="19"/>
      <c r="F96" s="19"/>
      <c r="G96" s="21"/>
      <c r="H96" s="18" t="s">
        <v>12</v>
      </c>
    </row>
    <row r="97" spans="1:12" x14ac:dyDescent="0.2">
      <c r="A97" s="19"/>
      <c r="B97" s="19"/>
      <c r="C97" s="20" t="s">
        <v>97</v>
      </c>
      <c r="D97" s="19"/>
      <c r="E97" s="19"/>
      <c r="F97" s="19"/>
      <c r="G97" s="21"/>
      <c r="H97" s="18" t="s">
        <v>12</v>
      </c>
    </row>
    <row r="98" spans="1:12" x14ac:dyDescent="0.2">
      <c r="A98" s="19"/>
      <c r="B98" s="19"/>
      <c r="C98" s="20" t="s">
        <v>98</v>
      </c>
      <c r="D98" s="19"/>
      <c r="E98" s="19"/>
      <c r="F98" s="19"/>
      <c r="G98" s="21"/>
      <c r="H98" s="18" t="s">
        <v>12</v>
      </c>
    </row>
    <row r="99" spans="1:12" x14ac:dyDescent="0.2">
      <c r="A99" s="19"/>
      <c r="B99" s="19"/>
      <c r="C99" s="20" t="s">
        <v>11</v>
      </c>
      <c r="D99" s="19"/>
      <c r="E99" s="19" t="s">
        <v>12</v>
      </c>
      <c r="F99" s="22" t="s">
        <v>13</v>
      </c>
      <c r="G99" s="85">
        <v>0</v>
      </c>
      <c r="H99" s="18" t="s">
        <v>12</v>
      </c>
    </row>
    <row r="100" spans="1:12" x14ac:dyDescent="0.2">
      <c r="A100" s="34"/>
      <c r="B100" s="34"/>
      <c r="C100" s="35"/>
      <c r="D100" s="34"/>
      <c r="E100" s="34"/>
      <c r="F100" s="36"/>
      <c r="G100" s="36"/>
      <c r="H100" s="37" t="s">
        <v>12</v>
      </c>
    </row>
    <row r="101" spans="1:12" x14ac:dyDescent="0.2">
      <c r="A101" s="34"/>
      <c r="B101" s="34"/>
      <c r="C101" s="38" t="s">
        <v>552</v>
      </c>
      <c r="D101" s="34"/>
      <c r="E101" s="34"/>
      <c r="F101" s="36"/>
      <c r="G101" s="36"/>
      <c r="H101" s="39"/>
      <c r="I101" s="40"/>
      <c r="J101" s="41"/>
      <c r="K101" s="41"/>
      <c r="L101" s="41"/>
    </row>
    <row r="102" spans="1:12" ht="25.5" x14ac:dyDescent="0.2">
      <c r="A102" s="42">
        <v>1</v>
      </c>
      <c r="B102" s="43" t="s">
        <v>99</v>
      </c>
      <c r="C102" s="43" t="s">
        <v>100</v>
      </c>
      <c r="D102" s="43"/>
      <c r="E102" s="44">
        <v>1363.741</v>
      </c>
      <c r="F102" s="39">
        <v>149.59644724399999</v>
      </c>
      <c r="G102" s="45">
        <v>1.40621E-3</v>
      </c>
      <c r="H102" s="37"/>
    </row>
    <row r="103" spans="1:12" x14ac:dyDescent="0.2">
      <c r="A103" s="34"/>
      <c r="B103" s="34"/>
      <c r="C103" s="38" t="s">
        <v>11</v>
      </c>
      <c r="D103" s="34"/>
      <c r="E103" s="34" t="s">
        <v>12</v>
      </c>
      <c r="F103" s="46">
        <v>149.59644724399999</v>
      </c>
      <c r="G103" s="47">
        <v>1.40621E-3</v>
      </c>
      <c r="H103" s="37" t="s">
        <v>12</v>
      </c>
    </row>
    <row r="104" spans="1:12" x14ac:dyDescent="0.2">
      <c r="A104" s="19"/>
      <c r="B104" s="19"/>
      <c r="C104" s="24"/>
      <c r="D104" s="19"/>
      <c r="E104" s="19"/>
      <c r="F104" s="25"/>
      <c r="G104" s="26"/>
      <c r="H104" s="18" t="s">
        <v>12</v>
      </c>
    </row>
    <row r="105" spans="1:12" x14ac:dyDescent="0.2">
      <c r="A105" s="19"/>
      <c r="B105" s="19"/>
      <c r="C105" s="20" t="s">
        <v>101</v>
      </c>
      <c r="D105" s="19"/>
      <c r="E105" s="19"/>
      <c r="F105" s="19"/>
      <c r="G105" s="21"/>
      <c r="H105" s="18" t="s">
        <v>12</v>
      </c>
    </row>
    <row r="106" spans="1:12" x14ac:dyDescent="0.2">
      <c r="A106" s="19"/>
      <c r="B106" s="19"/>
      <c r="C106" s="20" t="s">
        <v>102</v>
      </c>
      <c r="D106" s="19"/>
      <c r="E106" s="19"/>
      <c r="F106" s="19"/>
      <c r="G106" s="19"/>
      <c r="H106" s="18" t="s">
        <v>12</v>
      </c>
    </row>
    <row r="107" spans="1:12" x14ac:dyDescent="0.2">
      <c r="A107" s="19"/>
      <c r="B107" s="19"/>
      <c r="C107" s="20" t="s">
        <v>11</v>
      </c>
      <c r="D107" s="19"/>
      <c r="E107" s="19" t="s">
        <v>12</v>
      </c>
      <c r="F107" s="22" t="s">
        <v>13</v>
      </c>
      <c r="G107" s="85">
        <v>0</v>
      </c>
      <c r="H107" s="18" t="s">
        <v>12</v>
      </c>
    </row>
    <row r="108" spans="1:12" x14ac:dyDescent="0.2">
      <c r="A108" s="19"/>
      <c r="B108" s="19"/>
      <c r="C108" s="24"/>
      <c r="D108" s="19"/>
      <c r="E108" s="19"/>
      <c r="F108" s="25"/>
      <c r="G108" s="25"/>
      <c r="H108" s="18" t="s">
        <v>12</v>
      </c>
    </row>
    <row r="109" spans="1:12" x14ac:dyDescent="0.2">
      <c r="A109" s="19"/>
      <c r="B109" s="19"/>
      <c r="C109" s="20" t="s">
        <v>103</v>
      </c>
      <c r="D109" s="19"/>
      <c r="E109" s="19"/>
      <c r="F109" s="25"/>
      <c r="G109" s="25"/>
      <c r="H109" s="18" t="s">
        <v>12</v>
      </c>
    </row>
    <row r="110" spans="1:12" x14ac:dyDescent="0.2">
      <c r="A110" s="19"/>
      <c r="B110" s="19"/>
      <c r="C110" s="20" t="s">
        <v>11</v>
      </c>
      <c r="D110" s="19"/>
      <c r="E110" s="19" t="s">
        <v>12</v>
      </c>
      <c r="F110" s="22" t="s">
        <v>13</v>
      </c>
      <c r="G110" s="85">
        <v>0</v>
      </c>
      <c r="H110" s="18" t="s">
        <v>12</v>
      </c>
    </row>
    <row r="111" spans="1:12" x14ac:dyDescent="0.2">
      <c r="A111" s="19"/>
      <c r="B111" s="29"/>
      <c r="C111" s="29"/>
      <c r="D111" s="20"/>
      <c r="E111" s="19"/>
      <c r="F111" s="29"/>
      <c r="G111" s="33"/>
      <c r="H111" s="18" t="s">
        <v>12</v>
      </c>
    </row>
    <row r="112" spans="1:12" x14ac:dyDescent="0.2">
      <c r="A112" s="33"/>
      <c r="B112" s="29"/>
      <c r="C112" s="29" t="s">
        <v>104</v>
      </c>
      <c r="D112" s="29"/>
      <c r="E112" s="33"/>
      <c r="F112" s="31">
        <v>-8969.0712396899999</v>
      </c>
      <c r="G112" s="86">
        <v>-8.4309439999999999E-2</v>
      </c>
      <c r="H112" s="18" t="s">
        <v>12</v>
      </c>
    </row>
    <row r="113" spans="1:8" x14ac:dyDescent="0.2">
      <c r="A113" s="24"/>
      <c r="B113" s="24"/>
      <c r="C113" s="20" t="s">
        <v>105</v>
      </c>
      <c r="D113" s="25"/>
      <c r="E113" s="25"/>
      <c r="F113" s="27">
        <v>106382.763472117</v>
      </c>
      <c r="G113" s="87">
        <v>1.0000000099999999</v>
      </c>
      <c r="H113" s="18" t="s">
        <v>12</v>
      </c>
    </row>
    <row r="114" spans="1:8" x14ac:dyDescent="0.2">
      <c r="A114" s="49"/>
      <c r="B114" s="49"/>
      <c r="C114" s="49"/>
      <c r="D114" s="50"/>
      <c r="E114" s="50"/>
      <c r="F114" s="50"/>
      <c r="G114" s="50"/>
    </row>
    <row r="115" spans="1:8" x14ac:dyDescent="0.2">
      <c r="A115" s="51"/>
      <c r="B115" s="171" t="s">
        <v>549</v>
      </c>
      <c r="C115" s="171"/>
      <c r="D115" s="171"/>
      <c r="E115" s="171"/>
      <c r="F115" s="171"/>
      <c r="G115" s="171"/>
      <c r="H115" s="171"/>
    </row>
    <row r="116" spans="1:8" x14ac:dyDescent="0.2">
      <c r="A116" s="51"/>
      <c r="B116" s="171" t="s">
        <v>550</v>
      </c>
      <c r="C116" s="171"/>
      <c r="D116" s="171"/>
      <c r="E116" s="171"/>
      <c r="F116" s="171"/>
      <c r="G116" s="171"/>
      <c r="H116" s="171"/>
    </row>
    <row r="117" spans="1:8" x14ac:dyDescent="0.2">
      <c r="A117" s="51"/>
      <c r="B117" s="171" t="s">
        <v>551</v>
      </c>
      <c r="C117" s="171"/>
      <c r="D117" s="171"/>
      <c r="E117" s="171"/>
      <c r="F117" s="171"/>
      <c r="G117" s="171"/>
      <c r="H117" s="171"/>
    </row>
    <row r="118" spans="1:8" x14ac:dyDescent="0.2">
      <c r="A118" s="51"/>
      <c r="B118" s="182" t="s">
        <v>575</v>
      </c>
      <c r="C118" s="171"/>
      <c r="D118" s="171"/>
      <c r="E118" s="171"/>
      <c r="F118" s="171"/>
      <c r="G118" s="171"/>
      <c r="H118" s="171"/>
    </row>
    <row r="119" spans="1:8" x14ac:dyDescent="0.2">
      <c r="A119" s="53"/>
      <c r="B119" s="53"/>
      <c r="C119" s="53"/>
      <c r="D119" s="54"/>
      <c r="E119" s="54"/>
      <c r="F119" s="54"/>
      <c r="G119" s="54"/>
    </row>
    <row r="120" spans="1:8" x14ac:dyDescent="0.2">
      <c r="A120" s="53"/>
      <c r="B120" s="174" t="s">
        <v>106</v>
      </c>
      <c r="C120" s="175"/>
      <c r="D120" s="176"/>
      <c r="E120" s="55"/>
      <c r="F120" s="54"/>
      <c r="G120" s="54"/>
    </row>
    <row r="121" spans="1:8" x14ac:dyDescent="0.2">
      <c r="A121" s="53"/>
      <c r="B121" s="177" t="s">
        <v>107</v>
      </c>
      <c r="C121" s="178"/>
      <c r="D121" s="20" t="s">
        <v>108</v>
      </c>
      <c r="E121" s="55"/>
      <c r="F121" s="54"/>
      <c r="G121" s="54"/>
    </row>
    <row r="122" spans="1:8" x14ac:dyDescent="0.2">
      <c r="A122" s="53"/>
      <c r="B122" s="177" t="s">
        <v>109</v>
      </c>
      <c r="C122" s="178"/>
      <c r="D122" s="20" t="s">
        <v>108</v>
      </c>
      <c r="E122" s="55"/>
      <c r="F122" s="54"/>
      <c r="G122" s="54"/>
    </row>
    <row r="123" spans="1:8" x14ac:dyDescent="0.2">
      <c r="A123" s="53"/>
      <c r="B123" s="177" t="s">
        <v>110</v>
      </c>
      <c r="C123" s="178"/>
      <c r="D123" s="25" t="s">
        <v>12</v>
      </c>
      <c r="E123" s="55"/>
      <c r="F123" s="54"/>
      <c r="G123" s="54"/>
    </row>
    <row r="124" spans="1:8" x14ac:dyDescent="0.2">
      <c r="A124" s="56"/>
      <c r="B124" s="57" t="s">
        <v>12</v>
      </c>
      <c r="C124" s="57" t="s">
        <v>553</v>
      </c>
      <c r="D124" s="57" t="s">
        <v>111</v>
      </c>
      <c r="E124" s="56"/>
      <c r="F124" s="56"/>
      <c r="G124" s="56"/>
    </row>
    <row r="125" spans="1:8" x14ac:dyDescent="0.2">
      <c r="A125" s="56"/>
      <c r="B125" s="58" t="s">
        <v>112</v>
      </c>
      <c r="C125" s="59">
        <v>45688</v>
      </c>
      <c r="D125" s="59">
        <v>45716</v>
      </c>
      <c r="E125" s="56"/>
      <c r="F125" s="56"/>
      <c r="G125" s="56"/>
    </row>
    <row r="126" spans="1:8" x14ac:dyDescent="0.2">
      <c r="A126" s="60"/>
      <c r="B126" s="29" t="s">
        <v>113</v>
      </c>
      <c r="C126" s="61">
        <v>14.589499999999999</v>
      </c>
      <c r="D126" s="61">
        <v>14.673400000000001</v>
      </c>
      <c r="E126" s="60"/>
      <c r="F126" s="62"/>
      <c r="G126" s="63"/>
    </row>
    <row r="127" spans="1:8" ht="25.5" x14ac:dyDescent="0.2">
      <c r="A127" s="60"/>
      <c r="B127" s="29" t="s">
        <v>674</v>
      </c>
      <c r="C127" s="61">
        <v>11.1828</v>
      </c>
      <c r="D127" s="61">
        <v>11.1776</v>
      </c>
      <c r="E127" s="60"/>
      <c r="F127" s="62"/>
      <c r="G127" s="63"/>
    </row>
    <row r="128" spans="1:8" ht="25.5" x14ac:dyDescent="0.2">
      <c r="A128" s="60"/>
      <c r="B128" s="29" t="s">
        <v>675</v>
      </c>
      <c r="C128" s="61">
        <v>12.554500000000001</v>
      </c>
      <c r="D128" s="61">
        <v>12.6266</v>
      </c>
      <c r="E128" s="60"/>
      <c r="F128" s="62"/>
      <c r="G128" s="63"/>
    </row>
    <row r="129" spans="1:9" x14ac:dyDescent="0.2">
      <c r="A129" s="60"/>
      <c r="B129" s="29" t="s">
        <v>114</v>
      </c>
      <c r="C129" s="61">
        <v>14.5044</v>
      </c>
      <c r="D129" s="61">
        <v>14.5839</v>
      </c>
      <c r="E129" s="60"/>
      <c r="F129" s="62"/>
      <c r="G129" s="63"/>
    </row>
    <row r="130" spans="1:9" ht="25.5" x14ac:dyDescent="0.2">
      <c r="A130" s="60"/>
      <c r="B130" s="29" t="s">
        <v>678</v>
      </c>
      <c r="C130" s="61">
        <v>11.1617</v>
      </c>
      <c r="D130" s="61">
        <v>11.155900000000001</v>
      </c>
      <c r="E130" s="60"/>
      <c r="F130" s="62"/>
      <c r="G130" s="63"/>
    </row>
    <row r="131" spans="1:9" ht="25.5" x14ac:dyDescent="0.2">
      <c r="A131" s="60"/>
      <c r="B131" s="29" t="s">
        <v>673</v>
      </c>
      <c r="C131" s="61">
        <v>12.4796</v>
      </c>
      <c r="D131" s="61">
        <v>12.5479</v>
      </c>
      <c r="E131" s="60"/>
      <c r="F131" s="62"/>
      <c r="G131" s="63"/>
    </row>
    <row r="132" spans="1:9" x14ac:dyDescent="0.2">
      <c r="A132" s="60"/>
      <c r="B132" s="60"/>
      <c r="C132" s="60"/>
      <c r="D132" s="60"/>
      <c r="E132" s="60"/>
      <c r="F132" s="60"/>
      <c r="G132" s="60"/>
    </row>
    <row r="133" spans="1:9" x14ac:dyDescent="0.2">
      <c r="A133" s="60"/>
      <c r="B133" s="177" t="s">
        <v>554</v>
      </c>
      <c r="C133" s="178"/>
      <c r="D133" s="20" t="s">
        <v>12</v>
      </c>
      <c r="E133" s="60"/>
      <c r="F133" s="60"/>
      <c r="G133" s="60"/>
    </row>
    <row r="134" spans="1:9" x14ac:dyDescent="0.2">
      <c r="A134" s="60"/>
      <c r="B134" s="64" t="s">
        <v>112</v>
      </c>
      <c r="C134" s="65" t="s">
        <v>115</v>
      </c>
      <c r="D134" s="65" t="s">
        <v>116</v>
      </c>
      <c r="E134" s="60"/>
      <c r="F134" s="60"/>
      <c r="G134" s="60"/>
    </row>
    <row r="135" spans="1:9" ht="25.5" x14ac:dyDescent="0.2">
      <c r="A135" s="60"/>
      <c r="B135" s="29" t="s">
        <v>674</v>
      </c>
      <c r="C135" s="66">
        <v>6.9400000000000003E-2</v>
      </c>
      <c r="D135" s="33" t="s">
        <v>117</v>
      </c>
      <c r="E135" s="60"/>
      <c r="F135" s="62"/>
      <c r="G135" s="63"/>
    </row>
    <row r="136" spans="1:9" ht="25.5" x14ac:dyDescent="0.2">
      <c r="A136" s="60"/>
      <c r="B136" s="29" t="s">
        <v>678</v>
      </c>
      <c r="C136" s="66">
        <v>6.6900000000000001E-2</v>
      </c>
      <c r="D136" s="33" t="s">
        <v>117</v>
      </c>
      <c r="E136" s="60"/>
      <c r="F136" s="62"/>
      <c r="G136" s="63"/>
    </row>
    <row r="137" spans="1:9" x14ac:dyDescent="0.2">
      <c r="A137" s="60"/>
      <c r="B137" s="67"/>
      <c r="C137" s="67"/>
      <c r="D137" s="68"/>
      <c r="E137" s="60"/>
      <c r="F137" s="62"/>
      <c r="G137" s="63"/>
    </row>
    <row r="138" spans="1:9" ht="29.25" customHeight="1" x14ac:dyDescent="0.2">
      <c r="A138" s="56"/>
      <c r="B138" s="172" t="s">
        <v>118</v>
      </c>
      <c r="C138" s="173"/>
      <c r="D138" s="38" t="s">
        <v>108</v>
      </c>
      <c r="E138" s="69"/>
      <c r="F138" s="56"/>
      <c r="G138" s="56"/>
    </row>
    <row r="139" spans="1:9" ht="25.5" customHeight="1" x14ac:dyDescent="0.2">
      <c r="A139" s="56"/>
      <c r="B139" s="172" t="s">
        <v>119</v>
      </c>
      <c r="C139" s="173"/>
      <c r="D139" s="38" t="s">
        <v>108</v>
      </c>
      <c r="E139" s="69"/>
      <c r="F139" s="56"/>
      <c r="G139" s="56"/>
    </row>
    <row r="140" spans="1:9" ht="26.25" customHeight="1" x14ac:dyDescent="0.2">
      <c r="A140" s="56"/>
      <c r="B140" s="172" t="s">
        <v>555</v>
      </c>
      <c r="C140" s="173"/>
      <c r="D140" s="38" t="s">
        <v>108</v>
      </c>
      <c r="E140" s="69"/>
      <c r="F140" s="56"/>
      <c r="G140" s="56"/>
    </row>
    <row r="141" spans="1:9" x14ac:dyDescent="0.2">
      <c r="A141" s="70"/>
      <c r="B141" s="70"/>
      <c r="C141" s="70"/>
      <c r="D141" s="70"/>
      <c r="E141" s="70"/>
      <c r="F141" s="70"/>
      <c r="G141" s="70"/>
    </row>
    <row r="142" spans="1:9" s="71" customFormat="1" x14ac:dyDescent="0.2">
      <c r="B142" s="166" t="s">
        <v>556</v>
      </c>
      <c r="C142" s="167"/>
      <c r="D142" s="168"/>
      <c r="I142" s="77"/>
    </row>
    <row r="143" spans="1:9" s="71" customFormat="1" ht="51" x14ac:dyDescent="0.2">
      <c r="B143" s="180" t="s">
        <v>557</v>
      </c>
      <c r="C143" s="181"/>
      <c r="D143" s="72" t="s">
        <v>143</v>
      </c>
      <c r="I143" s="77"/>
    </row>
    <row r="144" spans="1:9" s="71" customFormat="1" x14ac:dyDescent="0.2">
      <c r="B144" s="162" t="s">
        <v>558</v>
      </c>
      <c r="C144" s="164"/>
      <c r="D144" s="73"/>
      <c r="I144" s="77"/>
    </row>
    <row r="145" spans="2:11" s="71" customFormat="1" x14ac:dyDescent="0.2">
      <c r="B145" s="162"/>
      <c r="C145" s="164"/>
      <c r="D145" s="74"/>
      <c r="I145" s="77"/>
    </row>
    <row r="146" spans="2:11" s="71" customFormat="1" x14ac:dyDescent="0.2">
      <c r="B146" s="162" t="s">
        <v>559</v>
      </c>
      <c r="C146" s="179"/>
      <c r="D146" s="75">
        <v>7.1495815979165549</v>
      </c>
      <c r="I146" s="77"/>
    </row>
    <row r="147" spans="2:11" s="71" customFormat="1" x14ac:dyDescent="0.2">
      <c r="B147" s="162"/>
      <c r="C147" s="164"/>
      <c r="D147" s="74"/>
      <c r="I147" s="77"/>
    </row>
    <row r="148" spans="2:11" s="71" customFormat="1" x14ac:dyDescent="0.2">
      <c r="B148" s="162" t="s">
        <v>560</v>
      </c>
      <c r="C148" s="179"/>
      <c r="D148" s="75">
        <v>0.5004063644505663</v>
      </c>
      <c r="I148" s="77"/>
    </row>
    <row r="149" spans="2:11" s="71" customFormat="1" x14ac:dyDescent="0.2">
      <c r="B149" s="162" t="s">
        <v>561</v>
      </c>
      <c r="C149" s="179"/>
      <c r="D149" s="75">
        <v>0.5004063644505663</v>
      </c>
      <c r="I149" s="77"/>
    </row>
    <row r="150" spans="2:11" s="71" customFormat="1" x14ac:dyDescent="0.2">
      <c r="B150" s="162"/>
      <c r="C150" s="164"/>
      <c r="D150" s="74"/>
      <c r="I150" s="77"/>
    </row>
    <row r="151" spans="2:11" s="71" customFormat="1" ht="25.5" x14ac:dyDescent="0.2">
      <c r="B151" s="165" t="s">
        <v>562</v>
      </c>
      <c r="C151" s="165"/>
      <c r="D151" s="76" t="s">
        <v>668</v>
      </c>
      <c r="I151" s="77"/>
    </row>
    <row r="152" spans="2:11" s="71" customFormat="1" x14ac:dyDescent="0.2">
      <c r="B152" s="162" t="s">
        <v>563</v>
      </c>
      <c r="C152" s="163"/>
      <c r="D152" s="164"/>
      <c r="I152" s="77"/>
      <c r="J152"/>
      <c r="K152"/>
    </row>
    <row r="154" spans="2:11" ht="25.5" x14ac:dyDescent="0.2">
      <c r="B154" s="78" t="s">
        <v>564</v>
      </c>
    </row>
    <row r="156" spans="2:11" ht="153.75" customHeight="1" x14ac:dyDescent="0.2"/>
    <row r="159" spans="2:11" x14ac:dyDescent="0.2">
      <c r="B159" s="79" t="s">
        <v>565</v>
      </c>
      <c r="C159" s="80"/>
      <c r="D159" s="79" t="s">
        <v>566</v>
      </c>
    </row>
    <row r="160" spans="2:11" x14ac:dyDescent="0.2">
      <c r="B160" s="79" t="s">
        <v>576</v>
      </c>
      <c r="D160" s="79" t="s">
        <v>577</v>
      </c>
    </row>
    <row r="161" ht="165" customHeight="1" x14ac:dyDescent="0.2"/>
  </sheetData>
  <mergeCells count="26">
    <mergeCell ref="B117:H117"/>
    <mergeCell ref="B118:H118"/>
    <mergeCell ref="B138:C138"/>
    <mergeCell ref="B139:C139"/>
    <mergeCell ref="B140:C140"/>
    <mergeCell ref="B120:D120"/>
    <mergeCell ref="B121:C121"/>
    <mergeCell ref="B122:C122"/>
    <mergeCell ref="B123:C123"/>
    <mergeCell ref="B133:C133"/>
    <mergeCell ref="A3:H3"/>
    <mergeCell ref="A2:H2"/>
    <mergeCell ref="A1:H1"/>
    <mergeCell ref="B115:H115"/>
    <mergeCell ref="B116:H116"/>
    <mergeCell ref="B142:D142"/>
    <mergeCell ref="B143:C143"/>
    <mergeCell ref="B144:C144"/>
    <mergeCell ref="B145:C145"/>
    <mergeCell ref="B146:C146"/>
    <mergeCell ref="B152:D152"/>
    <mergeCell ref="B147:C147"/>
    <mergeCell ref="B148:C148"/>
    <mergeCell ref="B149:C149"/>
    <mergeCell ref="B150:C150"/>
    <mergeCell ref="B151:C151"/>
  </mergeCell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0A466C-0D55-48FC-859D-94BE467C9085}">
  <sheetPr>
    <outlinePr summaryBelow="0" summaryRight="0"/>
  </sheetPr>
  <dimension ref="A1:T178"/>
  <sheetViews>
    <sheetView showGridLines="0" workbookViewId="0">
      <selection sqref="A1:H1"/>
    </sheetView>
  </sheetViews>
  <sheetFormatPr defaultRowHeight="12.75" x14ac:dyDescent="0.2"/>
  <cols>
    <col min="1" max="1" width="5.85546875" bestFit="1" customWidth="1"/>
    <col min="2" max="2" width="20.28515625" bestFit="1" customWidth="1"/>
    <col min="3" max="3" width="37.28515625" customWidth="1"/>
    <col min="4" max="4" width="10.7109375" bestFit="1" customWidth="1"/>
    <col min="5" max="5" width="9.42578125" bestFit="1" customWidth="1"/>
    <col min="6" max="6" width="10.140625" bestFit="1" customWidth="1"/>
    <col min="7" max="7" width="14" bestFit="1" customWidth="1"/>
  </cols>
  <sheetData>
    <row r="1" spans="1:8" ht="15" x14ac:dyDescent="0.2">
      <c r="A1" s="170" t="s">
        <v>0</v>
      </c>
      <c r="B1" s="170"/>
      <c r="C1" s="170"/>
      <c r="D1" s="170"/>
      <c r="E1" s="170"/>
      <c r="F1" s="170"/>
      <c r="G1" s="170"/>
      <c r="H1" s="170"/>
    </row>
    <row r="2" spans="1:8" ht="15" x14ac:dyDescent="0.2">
      <c r="A2" s="170" t="s">
        <v>225</v>
      </c>
      <c r="B2" s="170"/>
      <c r="C2" s="170"/>
      <c r="D2" s="170"/>
      <c r="E2" s="170"/>
      <c r="F2" s="170"/>
      <c r="G2" s="170"/>
      <c r="H2" s="170"/>
    </row>
    <row r="3" spans="1:8" ht="15" x14ac:dyDescent="0.2">
      <c r="A3" s="170" t="s">
        <v>686</v>
      </c>
      <c r="B3" s="170"/>
      <c r="C3" s="170"/>
      <c r="D3" s="170"/>
      <c r="E3" s="170"/>
      <c r="F3" s="170"/>
      <c r="G3" s="170"/>
      <c r="H3" s="170"/>
    </row>
    <row r="4" spans="1:8" s="14" customFormat="1" ht="30" x14ac:dyDescent="0.2">
      <c r="A4" s="12" t="s">
        <v>2</v>
      </c>
      <c r="B4" s="12" t="s">
        <v>3</v>
      </c>
      <c r="C4" s="12" t="s">
        <v>4</v>
      </c>
      <c r="D4" s="12" t="s">
        <v>5</v>
      </c>
      <c r="E4" s="12" t="s">
        <v>6</v>
      </c>
      <c r="F4" s="12" t="s">
        <v>7</v>
      </c>
      <c r="G4" s="12" t="s">
        <v>8</v>
      </c>
      <c r="H4" s="13" t="s">
        <v>535</v>
      </c>
    </row>
    <row r="5" spans="1:8" x14ac:dyDescent="0.2">
      <c r="A5" s="15"/>
      <c r="B5" s="15"/>
      <c r="C5" s="16" t="s">
        <v>9</v>
      </c>
      <c r="D5" s="15"/>
      <c r="E5" s="15"/>
      <c r="F5" s="15"/>
      <c r="G5" s="17"/>
      <c r="H5" s="18" t="s">
        <v>12</v>
      </c>
    </row>
    <row r="6" spans="1:8" x14ac:dyDescent="0.2">
      <c r="A6" s="19"/>
      <c r="B6" s="19"/>
      <c r="C6" s="20" t="s">
        <v>10</v>
      </c>
      <c r="D6" s="19"/>
      <c r="E6" s="19"/>
      <c r="F6" s="19"/>
      <c r="G6" s="21"/>
      <c r="H6" s="18" t="s">
        <v>12</v>
      </c>
    </row>
    <row r="7" spans="1:8" x14ac:dyDescent="0.2">
      <c r="A7" s="19"/>
      <c r="B7" s="19"/>
      <c r="C7" s="20" t="s">
        <v>11</v>
      </c>
      <c r="D7" s="19"/>
      <c r="E7" s="19" t="s">
        <v>12</v>
      </c>
      <c r="F7" s="22" t="s">
        <v>13</v>
      </c>
      <c r="G7" s="23">
        <v>0</v>
      </c>
      <c r="H7" s="18" t="s">
        <v>12</v>
      </c>
    </row>
    <row r="8" spans="1:8" x14ac:dyDescent="0.2">
      <c r="A8" s="19"/>
      <c r="B8" s="19"/>
      <c r="C8" s="24"/>
      <c r="D8" s="19"/>
      <c r="E8" s="19"/>
      <c r="F8" s="25"/>
      <c r="G8" s="26"/>
      <c r="H8" s="18" t="s">
        <v>12</v>
      </c>
    </row>
    <row r="9" spans="1:8" x14ac:dyDescent="0.2">
      <c r="A9" s="19"/>
      <c r="B9" s="19"/>
      <c r="C9" s="20" t="s">
        <v>14</v>
      </c>
      <c r="D9" s="19"/>
      <c r="E9" s="19"/>
      <c r="F9" s="19"/>
      <c r="G9" s="21"/>
      <c r="H9" s="18" t="s">
        <v>12</v>
      </c>
    </row>
    <row r="10" spans="1:8" x14ac:dyDescent="0.2">
      <c r="A10" s="19"/>
      <c r="B10" s="19"/>
      <c r="C10" s="20" t="s">
        <v>11</v>
      </c>
      <c r="D10" s="19"/>
      <c r="E10" s="19" t="s">
        <v>12</v>
      </c>
      <c r="F10" s="22" t="s">
        <v>13</v>
      </c>
      <c r="G10" s="23">
        <v>0</v>
      </c>
      <c r="H10" s="18" t="s">
        <v>12</v>
      </c>
    </row>
    <row r="11" spans="1:8" x14ac:dyDescent="0.2">
      <c r="A11" s="19"/>
      <c r="B11" s="19"/>
      <c r="C11" s="24"/>
      <c r="D11" s="19"/>
      <c r="E11" s="19"/>
      <c r="F11" s="25"/>
      <c r="G11" s="26"/>
      <c r="H11" s="18" t="s">
        <v>12</v>
      </c>
    </row>
    <row r="12" spans="1:8" x14ac:dyDescent="0.2">
      <c r="A12" s="19"/>
      <c r="B12" s="19"/>
      <c r="C12" s="20" t="s">
        <v>15</v>
      </c>
      <c r="D12" s="19"/>
      <c r="E12" s="19"/>
      <c r="F12" s="19"/>
      <c r="G12" s="21"/>
      <c r="H12" s="18" t="s">
        <v>12</v>
      </c>
    </row>
    <row r="13" spans="1:8" x14ac:dyDescent="0.2">
      <c r="A13" s="19"/>
      <c r="B13" s="19"/>
      <c r="C13" s="20" t="s">
        <v>11</v>
      </c>
      <c r="D13" s="19"/>
      <c r="E13" s="19" t="s">
        <v>12</v>
      </c>
      <c r="F13" s="22" t="s">
        <v>13</v>
      </c>
      <c r="G13" s="23">
        <v>0</v>
      </c>
      <c r="H13" s="18" t="s">
        <v>12</v>
      </c>
    </row>
    <row r="14" spans="1:8" x14ac:dyDescent="0.2">
      <c r="A14" s="19"/>
      <c r="B14" s="19"/>
      <c r="C14" s="24"/>
      <c r="D14" s="19"/>
      <c r="E14" s="19"/>
      <c r="F14" s="25"/>
      <c r="G14" s="26"/>
      <c r="H14" s="18" t="s">
        <v>12</v>
      </c>
    </row>
    <row r="15" spans="1:8" x14ac:dyDescent="0.2">
      <c r="A15" s="19"/>
      <c r="B15" s="19"/>
      <c r="C15" s="20" t="s">
        <v>16</v>
      </c>
      <c r="D15" s="19"/>
      <c r="E15" s="19"/>
      <c r="F15" s="19"/>
      <c r="G15" s="21"/>
      <c r="H15" s="18" t="s">
        <v>12</v>
      </c>
    </row>
    <row r="16" spans="1:8" x14ac:dyDescent="0.2">
      <c r="A16" s="19"/>
      <c r="B16" s="19"/>
      <c r="C16" s="20" t="s">
        <v>11</v>
      </c>
      <c r="D16" s="19"/>
      <c r="E16" s="19" t="s">
        <v>12</v>
      </c>
      <c r="F16" s="22" t="s">
        <v>13</v>
      </c>
      <c r="G16" s="23">
        <v>0</v>
      </c>
      <c r="H16" s="18" t="s">
        <v>12</v>
      </c>
    </row>
    <row r="17" spans="1:8" x14ac:dyDescent="0.2">
      <c r="A17" s="19"/>
      <c r="B17" s="19"/>
      <c r="C17" s="24"/>
      <c r="D17" s="19"/>
      <c r="E17" s="19"/>
      <c r="F17" s="25"/>
      <c r="G17" s="26"/>
      <c r="H17" s="18" t="s">
        <v>12</v>
      </c>
    </row>
    <row r="18" spans="1:8" x14ac:dyDescent="0.2">
      <c r="A18" s="19"/>
      <c r="B18" s="19"/>
      <c r="C18" s="20" t="s">
        <v>17</v>
      </c>
      <c r="D18" s="19"/>
      <c r="E18" s="19"/>
      <c r="F18" s="25"/>
      <c r="G18" s="26"/>
      <c r="H18" s="18" t="s">
        <v>12</v>
      </c>
    </row>
    <row r="19" spans="1:8" x14ac:dyDescent="0.2">
      <c r="A19" s="19"/>
      <c r="B19" s="19"/>
      <c r="C19" s="20" t="s">
        <v>11</v>
      </c>
      <c r="D19" s="19"/>
      <c r="E19" s="19" t="s">
        <v>12</v>
      </c>
      <c r="F19" s="22" t="s">
        <v>13</v>
      </c>
      <c r="G19" s="23">
        <v>0</v>
      </c>
      <c r="H19" s="18" t="s">
        <v>12</v>
      </c>
    </row>
    <row r="20" spans="1:8" x14ac:dyDescent="0.2">
      <c r="A20" s="19"/>
      <c r="B20" s="19"/>
      <c r="C20" s="24"/>
      <c r="D20" s="19"/>
      <c r="E20" s="19"/>
      <c r="F20" s="25"/>
      <c r="G20" s="26"/>
      <c r="H20" s="18" t="s">
        <v>12</v>
      </c>
    </row>
    <row r="21" spans="1:8" x14ac:dyDescent="0.2">
      <c r="A21" s="19"/>
      <c r="B21" s="19"/>
      <c r="C21" s="20" t="s">
        <v>18</v>
      </c>
      <c r="D21" s="19"/>
      <c r="E21" s="19"/>
      <c r="F21" s="25"/>
      <c r="G21" s="26"/>
      <c r="H21" s="18" t="s">
        <v>12</v>
      </c>
    </row>
    <row r="22" spans="1:8" x14ac:dyDescent="0.2">
      <c r="A22" s="19"/>
      <c r="B22" s="19"/>
      <c r="C22" s="20" t="s">
        <v>11</v>
      </c>
      <c r="D22" s="19"/>
      <c r="E22" s="19" t="s">
        <v>12</v>
      </c>
      <c r="F22" s="22" t="s">
        <v>13</v>
      </c>
      <c r="G22" s="23">
        <v>0</v>
      </c>
      <c r="H22" s="18" t="s">
        <v>12</v>
      </c>
    </row>
    <row r="23" spans="1:8" x14ac:dyDescent="0.2">
      <c r="A23" s="19"/>
      <c r="B23" s="19"/>
      <c r="C23" s="24"/>
      <c r="D23" s="19"/>
      <c r="E23" s="19"/>
      <c r="F23" s="25"/>
      <c r="G23" s="26"/>
      <c r="H23" s="18" t="s">
        <v>12</v>
      </c>
    </row>
    <row r="24" spans="1:8" x14ac:dyDescent="0.2">
      <c r="A24" s="19"/>
      <c r="B24" s="19"/>
      <c r="C24" s="20" t="s">
        <v>19</v>
      </c>
      <c r="D24" s="19"/>
      <c r="E24" s="19"/>
      <c r="F24" s="27">
        <v>0</v>
      </c>
      <c r="G24" s="23">
        <v>0</v>
      </c>
      <c r="H24" s="18" t="s">
        <v>12</v>
      </c>
    </row>
    <row r="25" spans="1:8" x14ac:dyDescent="0.2">
      <c r="A25" s="19"/>
      <c r="B25" s="19"/>
      <c r="C25" s="24"/>
      <c r="D25" s="19"/>
      <c r="E25" s="19"/>
      <c r="F25" s="25"/>
      <c r="G25" s="26"/>
      <c r="H25" s="18" t="s">
        <v>12</v>
      </c>
    </row>
    <row r="26" spans="1:8" x14ac:dyDescent="0.2">
      <c r="A26" s="19"/>
      <c r="B26" s="19"/>
      <c r="C26" s="20" t="s">
        <v>20</v>
      </c>
      <c r="D26" s="19"/>
      <c r="E26" s="19"/>
      <c r="F26" s="25"/>
      <c r="G26" s="26"/>
      <c r="H26" s="18" t="s">
        <v>12</v>
      </c>
    </row>
    <row r="27" spans="1:8" x14ac:dyDescent="0.2">
      <c r="A27" s="19"/>
      <c r="B27" s="19"/>
      <c r="C27" s="20" t="s">
        <v>10</v>
      </c>
      <c r="D27" s="19"/>
      <c r="E27" s="19"/>
      <c r="F27" s="25"/>
      <c r="G27" s="26"/>
      <c r="H27" s="18" t="s">
        <v>12</v>
      </c>
    </row>
    <row r="28" spans="1:8" x14ac:dyDescent="0.2">
      <c r="A28" s="28">
        <v>1</v>
      </c>
      <c r="B28" s="29" t="s">
        <v>226</v>
      </c>
      <c r="C28" s="29" t="s">
        <v>227</v>
      </c>
      <c r="D28" s="29" t="s">
        <v>228</v>
      </c>
      <c r="E28" s="30">
        <v>1500</v>
      </c>
      <c r="F28" s="31">
        <v>1507.35</v>
      </c>
      <c r="G28" s="32">
        <v>4.0445879999999997E-2</v>
      </c>
      <c r="H28" s="18">
        <v>8.0649999999999995</v>
      </c>
    </row>
    <row r="29" spans="1:8" x14ac:dyDescent="0.2">
      <c r="A29" s="28">
        <v>2</v>
      </c>
      <c r="B29" s="29" t="s">
        <v>229</v>
      </c>
      <c r="C29" s="29" t="s">
        <v>230</v>
      </c>
      <c r="D29" s="29" t="s">
        <v>231</v>
      </c>
      <c r="E29" s="30">
        <v>1500</v>
      </c>
      <c r="F29" s="31">
        <v>1506.0074999999999</v>
      </c>
      <c r="G29" s="32">
        <v>4.0409859999999999E-2</v>
      </c>
      <c r="H29" s="18">
        <v>8.7799999999999994</v>
      </c>
    </row>
    <row r="30" spans="1:8" x14ac:dyDescent="0.2">
      <c r="A30" s="28">
        <v>3</v>
      </c>
      <c r="B30" s="29" t="s">
        <v>232</v>
      </c>
      <c r="C30" s="29" t="s">
        <v>233</v>
      </c>
      <c r="D30" s="29" t="s">
        <v>23</v>
      </c>
      <c r="E30" s="30">
        <v>1500</v>
      </c>
      <c r="F30" s="31">
        <v>1498.3425</v>
      </c>
      <c r="G30" s="32">
        <v>4.0204190000000001E-2</v>
      </c>
      <c r="H30" s="18">
        <v>7.6</v>
      </c>
    </row>
    <row r="31" spans="1:8" x14ac:dyDescent="0.2">
      <c r="A31" s="28">
        <v>4</v>
      </c>
      <c r="B31" s="29" t="s">
        <v>234</v>
      </c>
      <c r="C31" s="29" t="s">
        <v>235</v>
      </c>
      <c r="D31" s="29" t="s">
        <v>231</v>
      </c>
      <c r="E31" s="30">
        <v>1200</v>
      </c>
      <c r="F31" s="31">
        <v>1203.2916</v>
      </c>
      <c r="G31" s="32">
        <v>3.2287250000000003E-2</v>
      </c>
      <c r="H31" s="18">
        <v>8.34</v>
      </c>
    </row>
    <row r="32" spans="1:8" ht="25.5" x14ac:dyDescent="0.2">
      <c r="A32" s="28">
        <v>5</v>
      </c>
      <c r="B32" s="29" t="s">
        <v>67</v>
      </c>
      <c r="C32" s="29" t="s">
        <v>68</v>
      </c>
      <c r="D32" s="29" t="s">
        <v>23</v>
      </c>
      <c r="E32" s="30">
        <v>1000</v>
      </c>
      <c r="F32" s="31">
        <v>1002.957</v>
      </c>
      <c r="G32" s="32">
        <v>2.6911790000000001E-2</v>
      </c>
      <c r="H32" s="18">
        <v>7.56</v>
      </c>
    </row>
    <row r="33" spans="1:8" ht="25.5" x14ac:dyDescent="0.2">
      <c r="A33" s="28">
        <v>6</v>
      </c>
      <c r="B33" s="29" t="s">
        <v>236</v>
      </c>
      <c r="C33" s="29" t="s">
        <v>237</v>
      </c>
      <c r="D33" s="29" t="s">
        <v>228</v>
      </c>
      <c r="E33" s="30">
        <v>1000</v>
      </c>
      <c r="F33" s="31">
        <v>1000.934</v>
      </c>
      <c r="G33" s="32">
        <v>2.6857510000000001E-2</v>
      </c>
      <c r="H33" s="18">
        <v>8.0950000000000006</v>
      </c>
    </row>
    <row r="34" spans="1:8" x14ac:dyDescent="0.2">
      <c r="A34" s="28">
        <v>7</v>
      </c>
      <c r="B34" s="29" t="s">
        <v>238</v>
      </c>
      <c r="C34" s="29" t="s">
        <v>239</v>
      </c>
      <c r="D34" s="29" t="s">
        <v>23</v>
      </c>
      <c r="E34" s="30">
        <v>1000</v>
      </c>
      <c r="F34" s="31">
        <v>999.86699999999996</v>
      </c>
      <c r="G34" s="32">
        <v>2.6828879999999999E-2</v>
      </c>
      <c r="H34" s="18">
        <v>7.6</v>
      </c>
    </row>
    <row r="35" spans="1:8" x14ac:dyDescent="0.2">
      <c r="A35" s="28">
        <v>8</v>
      </c>
      <c r="B35" s="29" t="s">
        <v>240</v>
      </c>
      <c r="C35" s="29" t="s">
        <v>241</v>
      </c>
      <c r="D35" s="29" t="s">
        <v>231</v>
      </c>
      <c r="E35" s="30">
        <v>100</v>
      </c>
      <c r="F35" s="31">
        <v>998.78700000000003</v>
      </c>
      <c r="G35" s="32">
        <v>2.6799900000000001E-2</v>
      </c>
      <c r="H35" s="18">
        <v>8.35</v>
      </c>
    </row>
    <row r="36" spans="1:8" ht="25.5" x14ac:dyDescent="0.2">
      <c r="A36" s="28">
        <v>9</v>
      </c>
      <c r="B36" s="29" t="s">
        <v>242</v>
      </c>
      <c r="C36" s="29" t="s">
        <v>243</v>
      </c>
      <c r="D36" s="29" t="s">
        <v>244</v>
      </c>
      <c r="E36" s="30">
        <v>1000</v>
      </c>
      <c r="F36" s="31">
        <v>998.77599999999995</v>
      </c>
      <c r="G36" s="32">
        <v>2.67996E-2</v>
      </c>
      <c r="H36" s="18">
        <v>9.3175000000000008</v>
      </c>
    </row>
    <row r="37" spans="1:8" ht="25.5" x14ac:dyDescent="0.2">
      <c r="A37" s="28">
        <v>10</v>
      </c>
      <c r="B37" s="29" t="s">
        <v>245</v>
      </c>
      <c r="C37" s="29" t="s">
        <v>246</v>
      </c>
      <c r="D37" s="29" t="s">
        <v>23</v>
      </c>
      <c r="E37" s="30">
        <v>100</v>
      </c>
      <c r="F37" s="31">
        <v>997.36300000000006</v>
      </c>
      <c r="G37" s="32">
        <v>2.6761690000000001E-2</v>
      </c>
      <c r="H37" s="18">
        <v>7.7350000000000003</v>
      </c>
    </row>
    <row r="38" spans="1:8" ht="25.5" x14ac:dyDescent="0.2">
      <c r="A38" s="28">
        <v>11</v>
      </c>
      <c r="B38" s="29" t="s">
        <v>63</v>
      </c>
      <c r="C38" s="29" t="s">
        <v>64</v>
      </c>
      <c r="D38" s="29" t="s">
        <v>23</v>
      </c>
      <c r="E38" s="30">
        <v>1000</v>
      </c>
      <c r="F38" s="31">
        <v>996.57799999999997</v>
      </c>
      <c r="G38" s="32">
        <v>2.674062E-2</v>
      </c>
      <c r="H38" s="18">
        <v>7.63</v>
      </c>
    </row>
    <row r="39" spans="1:8" ht="25.5" x14ac:dyDescent="0.2">
      <c r="A39" s="28">
        <v>12</v>
      </c>
      <c r="B39" s="29" t="s">
        <v>43</v>
      </c>
      <c r="C39" s="29" t="s">
        <v>44</v>
      </c>
      <c r="D39" s="29" t="s">
        <v>23</v>
      </c>
      <c r="E39" s="30">
        <v>1000</v>
      </c>
      <c r="F39" s="31">
        <v>995.49699999999996</v>
      </c>
      <c r="G39" s="32">
        <v>2.6711619999999998E-2</v>
      </c>
      <c r="H39" s="18">
        <v>7.5549999999999997</v>
      </c>
    </row>
    <row r="40" spans="1:8" x14ac:dyDescent="0.2">
      <c r="A40" s="28">
        <v>13</v>
      </c>
      <c r="B40" s="29" t="s">
        <v>247</v>
      </c>
      <c r="C40" s="29" t="s">
        <v>248</v>
      </c>
      <c r="D40" s="29" t="s">
        <v>231</v>
      </c>
      <c r="E40" s="30">
        <v>900</v>
      </c>
      <c r="F40" s="31">
        <v>902.01599999999996</v>
      </c>
      <c r="G40" s="32">
        <v>2.4203289999999999E-2</v>
      </c>
      <c r="H40" s="18">
        <v>8.1349999999999998</v>
      </c>
    </row>
    <row r="41" spans="1:8" x14ac:dyDescent="0.2">
      <c r="A41" s="28">
        <v>14</v>
      </c>
      <c r="B41" s="29" t="s">
        <v>249</v>
      </c>
      <c r="C41" s="29" t="s">
        <v>250</v>
      </c>
      <c r="D41" s="29" t="s">
        <v>231</v>
      </c>
      <c r="E41" s="30">
        <v>500</v>
      </c>
      <c r="F41" s="31">
        <v>501.85149999999999</v>
      </c>
      <c r="G41" s="32">
        <v>1.3465899999999999E-2</v>
      </c>
      <c r="H41" s="18">
        <v>8.6</v>
      </c>
    </row>
    <row r="42" spans="1:8" x14ac:dyDescent="0.2">
      <c r="A42" s="28">
        <v>15</v>
      </c>
      <c r="B42" s="29" t="s">
        <v>55</v>
      </c>
      <c r="C42" s="29" t="s">
        <v>56</v>
      </c>
      <c r="D42" s="29" t="s">
        <v>23</v>
      </c>
      <c r="E42" s="30">
        <v>500</v>
      </c>
      <c r="F42" s="31">
        <v>501.02550000000002</v>
      </c>
      <c r="G42" s="32">
        <v>1.3443739999999999E-2</v>
      </c>
      <c r="H42" s="18">
        <v>7.58</v>
      </c>
    </row>
    <row r="43" spans="1:8" ht="25.5" x14ac:dyDescent="0.2">
      <c r="A43" s="28">
        <v>16</v>
      </c>
      <c r="B43" s="29" t="s">
        <v>251</v>
      </c>
      <c r="C43" s="29" t="s">
        <v>252</v>
      </c>
      <c r="D43" s="29" t="s">
        <v>253</v>
      </c>
      <c r="E43" s="30">
        <v>50</v>
      </c>
      <c r="F43" s="31">
        <v>500.399</v>
      </c>
      <c r="G43" s="32">
        <v>1.342693E-2</v>
      </c>
      <c r="H43" s="18">
        <v>8.1449999999999996</v>
      </c>
    </row>
    <row r="44" spans="1:8" x14ac:dyDescent="0.2">
      <c r="A44" s="28">
        <v>17</v>
      </c>
      <c r="B44" s="29" t="s">
        <v>254</v>
      </c>
      <c r="C44" s="29" t="s">
        <v>255</v>
      </c>
      <c r="D44" s="29" t="s">
        <v>34</v>
      </c>
      <c r="E44" s="30">
        <v>500</v>
      </c>
      <c r="F44" s="31">
        <v>500.37599999999998</v>
      </c>
      <c r="G44" s="32">
        <v>1.342631E-2</v>
      </c>
      <c r="H44" s="18">
        <v>7.4950000000000001</v>
      </c>
    </row>
    <row r="45" spans="1:8" ht="25.5" x14ac:dyDescent="0.2">
      <c r="A45" s="28">
        <v>18</v>
      </c>
      <c r="B45" s="29" t="s">
        <v>61</v>
      </c>
      <c r="C45" s="29" t="s">
        <v>62</v>
      </c>
      <c r="D45" s="29" t="s">
        <v>23</v>
      </c>
      <c r="E45" s="30">
        <v>500</v>
      </c>
      <c r="F45" s="31">
        <v>499.846</v>
      </c>
      <c r="G45" s="32">
        <v>1.341209E-2</v>
      </c>
      <c r="H45" s="18">
        <v>8.125</v>
      </c>
    </row>
    <row r="46" spans="1:8" x14ac:dyDescent="0.2">
      <c r="A46" s="28">
        <v>19</v>
      </c>
      <c r="B46" s="29" t="s">
        <v>256</v>
      </c>
      <c r="C46" s="29" t="s">
        <v>257</v>
      </c>
      <c r="D46" s="29" t="s">
        <v>231</v>
      </c>
      <c r="E46" s="30">
        <v>350</v>
      </c>
      <c r="F46" s="31">
        <v>350.44380000000001</v>
      </c>
      <c r="G46" s="32">
        <v>9.4032600000000001E-3</v>
      </c>
      <c r="H46" s="18">
        <v>8.5888000000000009</v>
      </c>
    </row>
    <row r="47" spans="1:8" x14ac:dyDescent="0.2">
      <c r="A47" s="19"/>
      <c r="B47" s="19"/>
      <c r="C47" s="20" t="s">
        <v>11</v>
      </c>
      <c r="D47" s="19"/>
      <c r="E47" s="19" t="s">
        <v>12</v>
      </c>
      <c r="F47" s="27">
        <v>17461.7084</v>
      </c>
      <c r="G47" s="23">
        <v>0.46854031000000002</v>
      </c>
      <c r="H47" s="18" t="s">
        <v>12</v>
      </c>
    </row>
    <row r="48" spans="1:8" x14ac:dyDescent="0.2">
      <c r="A48" s="19"/>
      <c r="B48" s="19"/>
      <c r="C48" s="24"/>
      <c r="D48" s="19"/>
      <c r="E48" s="19"/>
      <c r="F48" s="25"/>
      <c r="G48" s="26"/>
      <c r="H48" s="18" t="s">
        <v>12</v>
      </c>
    </row>
    <row r="49" spans="1:8" x14ac:dyDescent="0.2">
      <c r="A49" s="19"/>
      <c r="B49" s="19"/>
      <c r="C49" s="20" t="s">
        <v>71</v>
      </c>
      <c r="D49" s="19"/>
      <c r="E49" s="19"/>
      <c r="F49" s="19"/>
      <c r="G49" s="21"/>
      <c r="H49" s="18" t="s">
        <v>12</v>
      </c>
    </row>
    <row r="50" spans="1:8" x14ac:dyDescent="0.2">
      <c r="A50" s="19"/>
      <c r="B50" s="19"/>
      <c r="C50" s="20" t="s">
        <v>11</v>
      </c>
      <c r="D50" s="19"/>
      <c r="E50" s="19" t="s">
        <v>12</v>
      </c>
      <c r="F50" s="22" t="s">
        <v>13</v>
      </c>
      <c r="G50" s="23">
        <v>0</v>
      </c>
      <c r="H50" s="18" t="s">
        <v>12</v>
      </c>
    </row>
    <row r="51" spans="1:8" x14ac:dyDescent="0.2">
      <c r="A51" s="19"/>
      <c r="B51" s="19"/>
      <c r="C51" s="24"/>
      <c r="D51" s="19"/>
      <c r="E51" s="19"/>
      <c r="F51" s="25"/>
      <c r="G51" s="26"/>
      <c r="H51" s="18" t="s">
        <v>12</v>
      </c>
    </row>
    <row r="52" spans="1:8" x14ac:dyDescent="0.2">
      <c r="A52" s="19"/>
      <c r="B52" s="19"/>
      <c r="C52" s="20" t="s">
        <v>72</v>
      </c>
      <c r="D52" s="19"/>
      <c r="E52" s="19"/>
      <c r="F52" s="19"/>
      <c r="G52" s="21"/>
      <c r="H52" s="18" t="s">
        <v>12</v>
      </c>
    </row>
    <row r="53" spans="1:8" ht="25.5" x14ac:dyDescent="0.2">
      <c r="A53" s="28">
        <v>1</v>
      </c>
      <c r="B53" s="29" t="s">
        <v>258</v>
      </c>
      <c r="C53" s="29" t="s">
        <v>259</v>
      </c>
      <c r="D53" s="29" t="s">
        <v>75</v>
      </c>
      <c r="E53" s="30">
        <v>1000000</v>
      </c>
      <c r="F53" s="31">
        <v>1016.95</v>
      </c>
      <c r="G53" s="32">
        <v>2.7287249999999999E-2</v>
      </c>
      <c r="H53" s="18">
        <v>6.6759000000000004</v>
      </c>
    </row>
    <row r="54" spans="1:8" x14ac:dyDescent="0.2">
      <c r="A54" s="28">
        <v>2</v>
      </c>
      <c r="B54" s="29" t="s">
        <v>76</v>
      </c>
      <c r="C54" s="29" t="s">
        <v>77</v>
      </c>
      <c r="D54" s="29" t="s">
        <v>75</v>
      </c>
      <c r="E54" s="30">
        <v>500000</v>
      </c>
      <c r="F54" s="31">
        <v>514.70950000000005</v>
      </c>
      <c r="G54" s="32">
        <v>1.3810909999999999E-2</v>
      </c>
      <c r="H54" s="18">
        <v>6.7995000000000001</v>
      </c>
    </row>
    <row r="55" spans="1:8" ht="25.5" x14ac:dyDescent="0.2">
      <c r="A55" s="28">
        <v>3</v>
      </c>
      <c r="B55" s="29" t="s">
        <v>260</v>
      </c>
      <c r="C55" s="29" t="s">
        <v>261</v>
      </c>
      <c r="D55" s="29" t="s">
        <v>75</v>
      </c>
      <c r="E55" s="30">
        <v>400000</v>
      </c>
      <c r="F55" s="31">
        <v>405.9264</v>
      </c>
      <c r="G55" s="32">
        <v>1.0892000000000001E-2</v>
      </c>
      <c r="H55" s="18">
        <v>6.7407000000000004</v>
      </c>
    </row>
    <row r="56" spans="1:8" x14ac:dyDescent="0.2">
      <c r="A56" s="19"/>
      <c r="B56" s="19"/>
      <c r="C56" s="20" t="s">
        <v>11</v>
      </c>
      <c r="D56" s="19"/>
      <c r="E56" s="19" t="s">
        <v>12</v>
      </c>
      <c r="F56" s="27">
        <v>1937.5859</v>
      </c>
      <c r="G56" s="23">
        <v>5.1990160000000001E-2</v>
      </c>
      <c r="H56" s="18" t="s">
        <v>12</v>
      </c>
    </row>
    <row r="57" spans="1:8" x14ac:dyDescent="0.2">
      <c r="A57" s="19"/>
      <c r="B57" s="19"/>
      <c r="C57" s="24"/>
      <c r="D57" s="19"/>
      <c r="E57" s="19"/>
      <c r="F57" s="25"/>
      <c r="G57" s="26"/>
      <c r="H57" s="18" t="s">
        <v>12</v>
      </c>
    </row>
    <row r="58" spans="1:8" x14ac:dyDescent="0.2">
      <c r="A58" s="19"/>
      <c r="B58" s="19"/>
      <c r="C58" s="20" t="s">
        <v>88</v>
      </c>
      <c r="D58" s="19"/>
      <c r="E58" s="19"/>
      <c r="F58" s="25"/>
      <c r="G58" s="26"/>
      <c r="H58" s="18" t="s">
        <v>12</v>
      </c>
    </row>
    <row r="59" spans="1:8" x14ac:dyDescent="0.2">
      <c r="A59" s="19"/>
      <c r="B59" s="19"/>
      <c r="C59" s="20" t="s">
        <v>11</v>
      </c>
      <c r="D59" s="19"/>
      <c r="E59" s="19" t="s">
        <v>12</v>
      </c>
      <c r="F59" s="22" t="s">
        <v>13</v>
      </c>
      <c r="G59" s="23">
        <v>0</v>
      </c>
      <c r="H59" s="18" t="s">
        <v>12</v>
      </c>
    </row>
    <row r="60" spans="1:8" x14ac:dyDescent="0.2">
      <c r="A60" s="19"/>
      <c r="B60" s="19"/>
      <c r="C60" s="24"/>
      <c r="D60" s="19"/>
      <c r="E60" s="19"/>
      <c r="F60" s="25"/>
      <c r="G60" s="26"/>
      <c r="H60" s="18" t="s">
        <v>12</v>
      </c>
    </row>
    <row r="61" spans="1:8" x14ac:dyDescent="0.2">
      <c r="A61" s="19"/>
      <c r="B61" s="19"/>
      <c r="C61" s="20" t="s">
        <v>89</v>
      </c>
      <c r="D61" s="19"/>
      <c r="E61" s="19"/>
      <c r="F61" s="27">
        <v>19399.294300000001</v>
      </c>
      <c r="G61" s="23">
        <v>0.52053046999999997</v>
      </c>
      <c r="H61" s="18" t="s">
        <v>12</v>
      </c>
    </row>
    <row r="62" spans="1:8" x14ac:dyDescent="0.2">
      <c r="A62" s="19"/>
      <c r="B62" s="19"/>
      <c r="C62" s="24"/>
      <c r="D62" s="19"/>
      <c r="E62" s="19"/>
      <c r="F62" s="25"/>
      <c r="G62" s="26"/>
      <c r="H62" s="18" t="s">
        <v>12</v>
      </c>
    </row>
    <row r="63" spans="1:8" x14ac:dyDescent="0.2">
      <c r="A63" s="19"/>
      <c r="B63" s="19"/>
      <c r="C63" s="20" t="s">
        <v>90</v>
      </c>
      <c r="D63" s="19"/>
      <c r="E63" s="19"/>
      <c r="F63" s="25"/>
      <c r="G63" s="26"/>
      <c r="H63" s="18" t="s">
        <v>12</v>
      </c>
    </row>
    <row r="64" spans="1:8" x14ac:dyDescent="0.2">
      <c r="A64" s="19"/>
      <c r="B64" s="19"/>
      <c r="C64" s="20" t="s">
        <v>91</v>
      </c>
      <c r="D64" s="19"/>
      <c r="E64" s="19"/>
      <c r="F64" s="25"/>
      <c r="G64" s="26"/>
      <c r="H64" s="18" t="s">
        <v>12</v>
      </c>
    </row>
    <row r="65" spans="1:8" x14ac:dyDescent="0.2">
      <c r="A65" s="28">
        <v>1</v>
      </c>
      <c r="B65" s="29" t="s">
        <v>262</v>
      </c>
      <c r="C65" s="29" t="s">
        <v>263</v>
      </c>
      <c r="D65" s="29" t="s">
        <v>146</v>
      </c>
      <c r="E65" s="30">
        <v>500</v>
      </c>
      <c r="F65" s="31">
        <v>2456.0925000000002</v>
      </c>
      <c r="G65" s="32">
        <v>6.5902959999999997E-2</v>
      </c>
      <c r="H65" s="18">
        <v>7.5</v>
      </c>
    </row>
    <row r="66" spans="1:8" x14ac:dyDescent="0.2">
      <c r="A66" s="28">
        <v>2</v>
      </c>
      <c r="B66" s="29" t="s">
        <v>264</v>
      </c>
      <c r="C66" s="29" t="s">
        <v>265</v>
      </c>
      <c r="D66" s="29" t="s">
        <v>146</v>
      </c>
      <c r="E66" s="30">
        <v>500</v>
      </c>
      <c r="F66" s="31">
        <v>2455.6325000000002</v>
      </c>
      <c r="G66" s="32">
        <v>6.5890619999999997E-2</v>
      </c>
      <c r="H66" s="18">
        <v>7.58</v>
      </c>
    </row>
    <row r="67" spans="1:8" x14ac:dyDescent="0.2">
      <c r="A67" s="28">
        <v>3</v>
      </c>
      <c r="B67" s="29" t="s">
        <v>266</v>
      </c>
      <c r="C67" s="29" t="s">
        <v>267</v>
      </c>
      <c r="D67" s="29" t="s">
        <v>146</v>
      </c>
      <c r="E67" s="30">
        <v>500</v>
      </c>
      <c r="F67" s="31">
        <v>2389.1975000000002</v>
      </c>
      <c r="G67" s="32">
        <v>6.4108010000000007E-2</v>
      </c>
      <c r="H67" s="18">
        <v>7.91</v>
      </c>
    </row>
    <row r="68" spans="1:8" x14ac:dyDescent="0.2">
      <c r="A68" s="28">
        <v>4</v>
      </c>
      <c r="B68" s="29" t="s">
        <v>191</v>
      </c>
      <c r="C68" s="29" t="s">
        <v>192</v>
      </c>
      <c r="D68" s="29" t="s">
        <v>146</v>
      </c>
      <c r="E68" s="30">
        <v>300</v>
      </c>
      <c r="F68" s="31">
        <v>1420.4369999999999</v>
      </c>
      <c r="G68" s="32">
        <v>3.8113800000000003E-2</v>
      </c>
      <c r="H68" s="18">
        <v>7.7149999999999999</v>
      </c>
    </row>
    <row r="69" spans="1:8" ht="25.5" x14ac:dyDescent="0.2">
      <c r="A69" s="28">
        <v>5</v>
      </c>
      <c r="B69" s="29" t="s">
        <v>155</v>
      </c>
      <c r="C69" s="29" t="s">
        <v>156</v>
      </c>
      <c r="D69" s="29" t="s">
        <v>146</v>
      </c>
      <c r="E69" s="30">
        <v>200</v>
      </c>
      <c r="F69" s="31">
        <v>929.59900000000005</v>
      </c>
      <c r="G69" s="32">
        <v>2.4943409999999999E-2</v>
      </c>
      <c r="H69" s="18">
        <v>7.6150000000000002</v>
      </c>
    </row>
    <row r="70" spans="1:8" ht="25.5" x14ac:dyDescent="0.2">
      <c r="A70" s="28">
        <v>6</v>
      </c>
      <c r="B70" s="29" t="s">
        <v>157</v>
      </c>
      <c r="C70" s="29" t="s">
        <v>158</v>
      </c>
      <c r="D70" s="29" t="s">
        <v>146</v>
      </c>
      <c r="E70" s="30">
        <v>200</v>
      </c>
      <c r="F70" s="31">
        <v>929.55600000000004</v>
      </c>
      <c r="G70" s="32">
        <v>2.4942260000000001E-2</v>
      </c>
      <c r="H70" s="18">
        <v>7.62</v>
      </c>
    </row>
    <row r="71" spans="1:8" x14ac:dyDescent="0.2">
      <c r="A71" s="19"/>
      <c r="B71" s="19"/>
      <c r="C71" s="20" t="s">
        <v>11</v>
      </c>
      <c r="D71" s="19"/>
      <c r="E71" s="19" t="s">
        <v>12</v>
      </c>
      <c r="F71" s="27">
        <v>10580.514499999999</v>
      </c>
      <c r="G71" s="23">
        <v>0.28390105999999998</v>
      </c>
      <c r="H71" s="18" t="s">
        <v>12</v>
      </c>
    </row>
    <row r="72" spans="1:8" x14ac:dyDescent="0.2">
      <c r="A72" s="19"/>
      <c r="B72" s="19"/>
      <c r="C72" s="24"/>
      <c r="D72" s="19"/>
      <c r="E72" s="19"/>
      <c r="F72" s="25"/>
      <c r="G72" s="26"/>
      <c r="H72" s="18" t="s">
        <v>12</v>
      </c>
    </row>
    <row r="73" spans="1:8" x14ac:dyDescent="0.2">
      <c r="A73" s="19"/>
      <c r="B73" s="19"/>
      <c r="C73" s="20" t="s">
        <v>92</v>
      </c>
      <c r="D73" s="19"/>
      <c r="E73" s="19"/>
      <c r="F73" s="25"/>
      <c r="G73" s="26"/>
      <c r="H73" s="18" t="s">
        <v>12</v>
      </c>
    </row>
    <row r="74" spans="1:8" ht="25.5" x14ac:dyDescent="0.2">
      <c r="A74" s="28">
        <v>1</v>
      </c>
      <c r="B74" s="29" t="s">
        <v>211</v>
      </c>
      <c r="C74" s="29" t="s">
        <v>212</v>
      </c>
      <c r="D74" s="29" t="s">
        <v>146</v>
      </c>
      <c r="E74" s="30">
        <v>200</v>
      </c>
      <c r="F74" s="31">
        <v>976.69299999999998</v>
      </c>
      <c r="G74" s="32">
        <v>2.6207060000000001E-2</v>
      </c>
      <c r="H74" s="18">
        <v>8.0649999999999995</v>
      </c>
    </row>
    <row r="75" spans="1:8" x14ac:dyDescent="0.2">
      <c r="A75" s="19"/>
      <c r="B75" s="19"/>
      <c r="C75" s="20" t="s">
        <v>11</v>
      </c>
      <c r="D75" s="19"/>
      <c r="E75" s="19" t="s">
        <v>12</v>
      </c>
      <c r="F75" s="27">
        <v>976.69299999999998</v>
      </c>
      <c r="G75" s="23">
        <v>2.6207060000000001E-2</v>
      </c>
      <c r="H75" s="18" t="s">
        <v>12</v>
      </c>
    </row>
    <row r="76" spans="1:8" x14ac:dyDescent="0.2">
      <c r="A76" s="19"/>
      <c r="B76" s="19"/>
      <c r="C76" s="24"/>
      <c r="D76" s="19"/>
      <c r="E76" s="19"/>
      <c r="F76" s="25"/>
      <c r="G76" s="26"/>
      <c r="H76" s="18" t="s">
        <v>12</v>
      </c>
    </row>
    <row r="77" spans="1:8" x14ac:dyDescent="0.2">
      <c r="A77" s="19"/>
      <c r="B77" s="19"/>
      <c r="C77" s="20" t="s">
        <v>93</v>
      </c>
      <c r="D77" s="19"/>
      <c r="E77" s="19"/>
      <c r="F77" s="25"/>
      <c r="G77" s="26"/>
      <c r="H77" s="18" t="s">
        <v>12</v>
      </c>
    </row>
    <row r="78" spans="1:8" x14ac:dyDescent="0.2">
      <c r="A78" s="28">
        <v>1</v>
      </c>
      <c r="B78" s="29" t="s">
        <v>223</v>
      </c>
      <c r="C78" s="29" t="s">
        <v>224</v>
      </c>
      <c r="D78" s="29" t="s">
        <v>75</v>
      </c>
      <c r="E78" s="30">
        <v>500000</v>
      </c>
      <c r="F78" s="31">
        <v>492.27800000000002</v>
      </c>
      <c r="G78" s="32">
        <v>1.320902E-2</v>
      </c>
      <c r="H78" s="18">
        <v>6.4332000000000003</v>
      </c>
    </row>
    <row r="79" spans="1:8" x14ac:dyDescent="0.2">
      <c r="A79" s="19"/>
      <c r="B79" s="19"/>
      <c r="C79" s="20" t="s">
        <v>11</v>
      </c>
      <c r="D79" s="19"/>
      <c r="E79" s="19" t="s">
        <v>12</v>
      </c>
      <c r="F79" s="27">
        <v>492.27800000000002</v>
      </c>
      <c r="G79" s="23">
        <v>1.320902E-2</v>
      </c>
      <c r="H79" s="18" t="s">
        <v>12</v>
      </c>
    </row>
    <row r="80" spans="1:8" x14ac:dyDescent="0.2">
      <c r="A80" s="19"/>
      <c r="B80" s="19"/>
      <c r="C80" s="24"/>
      <c r="D80" s="19"/>
      <c r="E80" s="19"/>
      <c r="F80" s="25"/>
      <c r="G80" s="26"/>
      <c r="H80" s="18" t="s">
        <v>12</v>
      </c>
    </row>
    <row r="81" spans="1:17" x14ac:dyDescent="0.2">
      <c r="A81" s="19"/>
      <c r="B81" s="19"/>
      <c r="C81" s="20" t="s">
        <v>94</v>
      </c>
      <c r="D81" s="19"/>
      <c r="E81" s="19"/>
      <c r="F81" s="25"/>
      <c r="G81" s="26"/>
      <c r="H81" s="18" t="s">
        <v>12</v>
      </c>
    </row>
    <row r="82" spans="1:17" x14ac:dyDescent="0.2">
      <c r="A82" s="28">
        <v>1</v>
      </c>
      <c r="B82" s="29"/>
      <c r="C82" s="29" t="s">
        <v>95</v>
      </c>
      <c r="D82" s="29"/>
      <c r="E82" s="33"/>
      <c r="F82" s="31">
        <v>5060.3379369129998</v>
      </c>
      <c r="G82" s="32">
        <v>0.13578123</v>
      </c>
      <c r="H82" s="18">
        <v>6.23</v>
      </c>
    </row>
    <row r="83" spans="1:17" x14ac:dyDescent="0.2">
      <c r="A83" s="19"/>
      <c r="B83" s="19"/>
      <c r="C83" s="20" t="s">
        <v>11</v>
      </c>
      <c r="D83" s="19"/>
      <c r="E83" s="19" t="s">
        <v>12</v>
      </c>
      <c r="F83" s="27">
        <v>5060.3379369129998</v>
      </c>
      <c r="G83" s="23">
        <v>0.13578123</v>
      </c>
      <c r="H83" s="18" t="s">
        <v>12</v>
      </c>
    </row>
    <row r="84" spans="1:17" x14ac:dyDescent="0.2">
      <c r="A84" s="19"/>
      <c r="B84" s="19"/>
      <c r="C84" s="24"/>
      <c r="D84" s="19"/>
      <c r="E84" s="19"/>
      <c r="F84" s="25"/>
      <c r="G84" s="26"/>
      <c r="H84" s="18" t="s">
        <v>12</v>
      </c>
    </row>
    <row r="85" spans="1:17" x14ac:dyDescent="0.2">
      <c r="A85" s="19"/>
      <c r="B85" s="19"/>
      <c r="C85" s="20" t="s">
        <v>96</v>
      </c>
      <c r="D85" s="19"/>
      <c r="E85" s="19"/>
      <c r="F85" s="27">
        <v>17109.823436913</v>
      </c>
      <c r="G85" s="23">
        <v>0.45909836999999998</v>
      </c>
      <c r="H85" s="18" t="s">
        <v>12</v>
      </c>
    </row>
    <row r="86" spans="1:17" x14ac:dyDescent="0.2">
      <c r="A86" s="19"/>
      <c r="B86" s="19"/>
      <c r="C86" s="25"/>
      <c r="D86" s="19"/>
      <c r="E86" s="19"/>
      <c r="F86" s="19"/>
      <c r="G86" s="21"/>
      <c r="H86" s="18" t="s">
        <v>12</v>
      </c>
    </row>
    <row r="87" spans="1:17" x14ac:dyDescent="0.2">
      <c r="A87" s="19"/>
      <c r="B87" s="19"/>
      <c r="C87" s="20" t="s">
        <v>97</v>
      </c>
      <c r="D87" s="19"/>
      <c r="E87" s="19"/>
      <c r="F87" s="19"/>
      <c r="G87" s="21"/>
      <c r="H87" s="18" t="s">
        <v>12</v>
      </c>
    </row>
    <row r="88" spans="1:17" x14ac:dyDescent="0.2">
      <c r="A88" s="19"/>
      <c r="B88" s="19"/>
      <c r="C88" s="20" t="s">
        <v>98</v>
      </c>
      <c r="D88" s="19"/>
      <c r="E88" s="19"/>
      <c r="F88" s="19"/>
      <c r="G88" s="21"/>
      <c r="H88" s="18" t="s">
        <v>12</v>
      </c>
    </row>
    <row r="89" spans="1:17" x14ac:dyDescent="0.2">
      <c r="A89" s="19"/>
      <c r="B89" s="19"/>
      <c r="C89" s="20" t="s">
        <v>11</v>
      </c>
      <c r="D89" s="19"/>
      <c r="E89" s="19" t="s">
        <v>12</v>
      </c>
      <c r="F89" s="22" t="s">
        <v>13</v>
      </c>
      <c r="G89" s="23">
        <v>0</v>
      </c>
      <c r="H89" s="18" t="s">
        <v>12</v>
      </c>
    </row>
    <row r="90" spans="1:17" x14ac:dyDescent="0.2">
      <c r="A90" s="34"/>
      <c r="B90" s="34"/>
      <c r="C90" s="35"/>
      <c r="D90" s="34"/>
      <c r="E90" s="34"/>
      <c r="F90" s="36"/>
      <c r="G90" s="36"/>
      <c r="H90" s="37" t="s">
        <v>12</v>
      </c>
    </row>
    <row r="91" spans="1:17" ht="25.5" x14ac:dyDescent="0.2">
      <c r="A91" s="34"/>
      <c r="B91" s="34"/>
      <c r="C91" s="38" t="s">
        <v>552</v>
      </c>
      <c r="D91" s="34"/>
      <c r="E91" s="34"/>
      <c r="F91" s="36"/>
      <c r="G91" s="36"/>
      <c r="H91" s="39"/>
      <c r="K91" s="40"/>
      <c r="L91" s="40"/>
      <c r="M91" s="40"/>
      <c r="N91" s="40"/>
      <c r="O91" s="41"/>
      <c r="P91" s="41"/>
      <c r="Q91" s="41"/>
    </row>
    <row r="92" spans="1:17" ht="25.5" x14ac:dyDescent="0.2">
      <c r="A92" s="42">
        <v>1</v>
      </c>
      <c r="B92" s="43" t="s">
        <v>99</v>
      </c>
      <c r="C92" s="43" t="s">
        <v>100</v>
      </c>
      <c r="D92" s="43"/>
      <c r="E92" s="44">
        <v>1043.4449999999999</v>
      </c>
      <c r="F92" s="39">
        <v>114.461371254</v>
      </c>
      <c r="G92" s="45">
        <v>3.07128E-3</v>
      </c>
      <c r="H92" s="37"/>
    </row>
    <row r="93" spans="1:17" x14ac:dyDescent="0.2">
      <c r="A93" s="34"/>
      <c r="B93" s="34"/>
      <c r="C93" s="38" t="s">
        <v>11</v>
      </c>
      <c r="D93" s="34"/>
      <c r="E93" s="34" t="s">
        <v>12</v>
      </c>
      <c r="F93" s="46">
        <v>114.461371254</v>
      </c>
      <c r="G93" s="47">
        <v>3.07128E-3</v>
      </c>
      <c r="H93" s="37" t="s">
        <v>12</v>
      </c>
    </row>
    <row r="94" spans="1:17" x14ac:dyDescent="0.2">
      <c r="A94" s="19"/>
      <c r="B94" s="19"/>
      <c r="C94" s="24"/>
      <c r="D94" s="19"/>
      <c r="E94" s="19"/>
      <c r="F94" s="25"/>
      <c r="G94" s="26"/>
      <c r="H94" s="18" t="s">
        <v>12</v>
      </c>
    </row>
    <row r="95" spans="1:17" x14ac:dyDescent="0.2">
      <c r="A95" s="19"/>
      <c r="B95" s="19"/>
      <c r="C95" s="20" t="s">
        <v>101</v>
      </c>
      <c r="D95" s="19"/>
      <c r="E95" s="19"/>
      <c r="F95" s="19"/>
      <c r="G95" s="21"/>
      <c r="H95" s="18" t="s">
        <v>12</v>
      </c>
    </row>
    <row r="96" spans="1:17" x14ac:dyDescent="0.2">
      <c r="A96" s="19"/>
      <c r="B96" s="19"/>
      <c r="C96" s="20" t="s">
        <v>102</v>
      </c>
      <c r="D96" s="19"/>
      <c r="E96" s="19"/>
      <c r="F96" s="19"/>
      <c r="G96" s="21"/>
      <c r="H96" s="18" t="s">
        <v>12</v>
      </c>
    </row>
    <row r="97" spans="1:8" x14ac:dyDescent="0.2">
      <c r="A97" s="19"/>
      <c r="B97" s="19"/>
      <c r="C97" s="20" t="s">
        <v>11</v>
      </c>
      <c r="D97" s="19"/>
      <c r="E97" s="19" t="s">
        <v>12</v>
      </c>
      <c r="F97" s="22" t="s">
        <v>13</v>
      </c>
      <c r="G97" s="23">
        <v>0</v>
      </c>
      <c r="H97" s="18" t="s">
        <v>12</v>
      </c>
    </row>
    <row r="98" spans="1:8" x14ac:dyDescent="0.2">
      <c r="A98" s="19"/>
      <c r="B98" s="19"/>
      <c r="C98" s="24"/>
      <c r="D98" s="19"/>
      <c r="E98" s="19"/>
      <c r="F98" s="25"/>
      <c r="G98" s="26"/>
      <c r="H98" s="18" t="s">
        <v>12</v>
      </c>
    </row>
    <row r="99" spans="1:8" ht="25.5" x14ac:dyDescent="0.2">
      <c r="A99" s="19"/>
      <c r="B99" s="19"/>
      <c r="C99" s="20" t="s">
        <v>103</v>
      </c>
      <c r="D99" s="19"/>
      <c r="E99" s="19"/>
      <c r="F99" s="25"/>
      <c r="G99" s="26"/>
      <c r="H99" s="18" t="s">
        <v>12</v>
      </c>
    </row>
    <row r="100" spans="1:8" x14ac:dyDescent="0.2">
      <c r="A100" s="19"/>
      <c r="B100" s="19"/>
      <c r="C100" s="20" t="s">
        <v>11</v>
      </c>
      <c r="D100" s="19"/>
      <c r="E100" s="19" t="s">
        <v>12</v>
      </c>
      <c r="F100" s="22" t="s">
        <v>13</v>
      </c>
      <c r="G100" s="23">
        <v>0</v>
      </c>
      <c r="H100" s="18" t="s">
        <v>12</v>
      </c>
    </row>
    <row r="101" spans="1:8" x14ac:dyDescent="0.2">
      <c r="A101" s="19"/>
      <c r="B101" s="19"/>
      <c r="C101" s="24"/>
      <c r="D101" s="19"/>
      <c r="E101" s="19"/>
      <c r="F101" s="25"/>
      <c r="G101" s="26"/>
      <c r="H101" s="18" t="s">
        <v>12</v>
      </c>
    </row>
    <row r="102" spans="1:8" x14ac:dyDescent="0.2">
      <c r="A102" s="33"/>
      <c r="B102" s="29"/>
      <c r="C102" s="29" t="s">
        <v>104</v>
      </c>
      <c r="D102" s="29"/>
      <c r="E102" s="33"/>
      <c r="F102" s="31">
        <f>644.73781926+0.0000246830034255981</f>
        <v>644.73784394300344</v>
      </c>
      <c r="G102" s="32">
        <f>F102/F103</f>
        <v>1.7299891614947226E-2</v>
      </c>
      <c r="H102" s="18" t="s">
        <v>12</v>
      </c>
    </row>
    <row r="103" spans="1:8" x14ac:dyDescent="0.2">
      <c r="A103" s="24"/>
      <c r="B103" s="24"/>
      <c r="C103" s="20" t="s">
        <v>105</v>
      </c>
      <c r="D103" s="25"/>
      <c r="E103" s="25"/>
      <c r="F103" s="27">
        <f>F102+F93+F85+F61+F24</f>
        <v>37268.316952110006</v>
      </c>
      <c r="G103" s="48">
        <f>G102+G93+G85+G61+G24</f>
        <v>1.0000000116149472</v>
      </c>
      <c r="H103" s="18" t="s">
        <v>12</v>
      </c>
    </row>
    <row r="104" spans="1:8" x14ac:dyDescent="0.2">
      <c r="A104" s="49"/>
      <c r="B104" s="49"/>
      <c r="C104" s="49"/>
      <c r="D104" s="50"/>
      <c r="E104" s="50"/>
      <c r="F104" s="50"/>
      <c r="G104" s="50"/>
    </row>
    <row r="105" spans="1:8" x14ac:dyDescent="0.2">
      <c r="A105" s="51"/>
      <c r="B105" s="171" t="s">
        <v>549</v>
      </c>
      <c r="C105" s="171"/>
      <c r="D105" s="171"/>
      <c r="E105" s="171"/>
      <c r="F105" s="171"/>
      <c r="G105" s="171"/>
      <c r="H105" s="171"/>
    </row>
    <row r="106" spans="1:8" x14ac:dyDescent="0.2">
      <c r="A106" s="51"/>
      <c r="B106" s="171" t="s">
        <v>550</v>
      </c>
      <c r="C106" s="171"/>
      <c r="D106" s="171"/>
      <c r="E106" s="171"/>
      <c r="F106" s="171"/>
      <c r="G106" s="171"/>
      <c r="H106" s="171"/>
    </row>
    <row r="107" spans="1:8" x14ac:dyDescent="0.2">
      <c r="A107" s="51"/>
      <c r="B107" s="171" t="s">
        <v>551</v>
      </c>
      <c r="C107" s="171"/>
      <c r="D107" s="171"/>
      <c r="E107" s="171"/>
      <c r="F107" s="171"/>
      <c r="G107" s="171"/>
      <c r="H107" s="171"/>
    </row>
    <row r="108" spans="1:8" x14ac:dyDescent="0.2">
      <c r="A108" s="53"/>
      <c r="B108" s="53"/>
      <c r="C108" s="53"/>
      <c r="D108" s="54"/>
      <c r="E108" s="54"/>
      <c r="F108" s="54"/>
      <c r="G108" s="54"/>
    </row>
    <row r="109" spans="1:8" x14ac:dyDescent="0.2">
      <c r="A109" s="53"/>
      <c r="B109" s="174" t="s">
        <v>106</v>
      </c>
      <c r="C109" s="175"/>
      <c r="D109" s="176"/>
      <c r="E109" s="55"/>
      <c r="F109" s="54"/>
      <c r="G109" s="54"/>
    </row>
    <row r="110" spans="1:8" ht="25.5" x14ac:dyDescent="0.2">
      <c r="A110" s="53"/>
      <c r="B110" s="177" t="s">
        <v>107</v>
      </c>
      <c r="C110" s="178"/>
      <c r="D110" s="38" t="s">
        <v>578</v>
      </c>
      <c r="E110" s="55"/>
      <c r="F110" s="54"/>
      <c r="G110" s="54"/>
    </row>
    <row r="111" spans="1:8" x14ac:dyDescent="0.2">
      <c r="A111" s="53"/>
      <c r="B111" s="177" t="s">
        <v>109</v>
      </c>
      <c r="C111" s="178"/>
      <c r="D111" s="20" t="s">
        <v>108</v>
      </c>
      <c r="E111" s="55"/>
      <c r="F111" s="54"/>
      <c r="G111" s="54"/>
    </row>
    <row r="112" spans="1:8" x14ac:dyDescent="0.2">
      <c r="A112" s="53"/>
      <c r="B112" s="177" t="s">
        <v>110</v>
      </c>
      <c r="C112" s="178"/>
      <c r="D112" s="25" t="s">
        <v>12</v>
      </c>
      <c r="E112" s="55"/>
      <c r="F112" s="54"/>
      <c r="G112" s="54"/>
    </row>
    <row r="113" spans="1:15" x14ac:dyDescent="0.2">
      <c r="A113" s="56"/>
      <c r="B113" s="57" t="s">
        <v>12</v>
      </c>
      <c r="C113" s="57" t="s">
        <v>553</v>
      </c>
      <c r="D113" s="57" t="s">
        <v>111</v>
      </c>
      <c r="E113" s="56"/>
      <c r="F113" s="56"/>
      <c r="G113" s="56"/>
    </row>
    <row r="114" spans="1:15" x14ac:dyDescent="0.2">
      <c r="A114" s="56"/>
      <c r="B114" s="58" t="s">
        <v>112</v>
      </c>
      <c r="C114" s="59">
        <v>45688</v>
      </c>
      <c r="D114" s="59">
        <v>45716</v>
      </c>
      <c r="E114" s="56"/>
      <c r="F114" s="56"/>
      <c r="G114" s="56"/>
    </row>
    <row r="115" spans="1:15" x14ac:dyDescent="0.2">
      <c r="A115" s="60"/>
      <c r="B115" s="29" t="s">
        <v>113</v>
      </c>
      <c r="C115" s="61">
        <v>3582.2114000000001</v>
      </c>
      <c r="D115" s="61">
        <v>3602.3492000000001</v>
      </c>
      <c r="E115" s="60"/>
      <c r="F115" s="62"/>
      <c r="G115" s="63"/>
    </row>
    <row r="116" spans="1:15" ht="25.5" x14ac:dyDescent="0.2">
      <c r="A116" s="60"/>
      <c r="B116" s="29" t="s">
        <v>674</v>
      </c>
      <c r="C116" s="61">
        <v>1098.1922999999999</v>
      </c>
      <c r="D116" s="61">
        <v>1097.2773999999999</v>
      </c>
      <c r="E116" s="60"/>
      <c r="F116" s="62"/>
      <c r="G116" s="63"/>
    </row>
    <row r="117" spans="1:15" ht="25.5" x14ac:dyDescent="0.2">
      <c r="A117" s="60"/>
      <c r="B117" s="29" t="s">
        <v>675</v>
      </c>
      <c r="C117" s="61">
        <v>1238.9719</v>
      </c>
      <c r="D117" s="61">
        <v>1245.9368999999999</v>
      </c>
      <c r="E117" s="60"/>
      <c r="F117" s="62"/>
      <c r="G117" s="63"/>
    </row>
    <row r="118" spans="1:15" x14ac:dyDescent="0.2">
      <c r="A118" s="60"/>
      <c r="B118" s="29" t="s">
        <v>114</v>
      </c>
      <c r="C118" s="61">
        <v>3351.7914999999998</v>
      </c>
      <c r="D118" s="61">
        <v>3368.4367999999999</v>
      </c>
      <c r="E118" s="60"/>
      <c r="F118" s="62"/>
      <c r="G118" s="63"/>
    </row>
    <row r="119" spans="1:15" x14ac:dyDescent="0.2">
      <c r="A119" s="60"/>
      <c r="B119" s="29" t="s">
        <v>142</v>
      </c>
      <c r="C119" s="61">
        <v>1298.0558000000001</v>
      </c>
      <c r="D119" s="61">
        <v>1304.5020999999999</v>
      </c>
      <c r="E119" s="60"/>
      <c r="F119" s="62"/>
      <c r="G119" s="63"/>
    </row>
    <row r="120" spans="1:15" ht="25.5" x14ac:dyDescent="0.2">
      <c r="A120" s="60"/>
      <c r="B120" s="29" t="s">
        <v>678</v>
      </c>
      <c r="C120" s="61">
        <v>1088.1518000000001</v>
      </c>
      <c r="D120" s="61">
        <v>1087.2787000000001</v>
      </c>
      <c r="E120" s="60"/>
      <c r="F120" s="62"/>
      <c r="G120" s="63"/>
    </row>
    <row r="121" spans="1:15" ht="25.5" x14ac:dyDescent="0.2">
      <c r="A121" s="60"/>
      <c r="B121" s="29" t="s">
        <v>673</v>
      </c>
      <c r="C121" s="61">
        <v>1198.6558</v>
      </c>
      <c r="D121" s="61">
        <v>1204.6085</v>
      </c>
      <c r="E121" s="60"/>
      <c r="F121" s="62"/>
      <c r="G121" s="63"/>
    </row>
    <row r="122" spans="1:15" x14ac:dyDescent="0.2">
      <c r="A122" s="60"/>
      <c r="B122" s="60"/>
      <c r="C122" s="60"/>
      <c r="D122" s="60"/>
      <c r="E122" s="60"/>
      <c r="F122" s="60"/>
      <c r="G122" s="60"/>
    </row>
    <row r="123" spans="1:15" x14ac:dyDescent="0.2">
      <c r="A123" s="60"/>
      <c r="B123" s="177" t="s">
        <v>554</v>
      </c>
      <c r="C123" s="178"/>
      <c r="D123" s="20" t="s">
        <v>12</v>
      </c>
      <c r="E123" s="60"/>
      <c r="F123" s="60"/>
      <c r="G123" s="60"/>
    </row>
    <row r="124" spans="1:15" x14ac:dyDescent="0.2">
      <c r="A124" s="60"/>
      <c r="B124" s="64" t="s">
        <v>112</v>
      </c>
      <c r="C124" s="65" t="s">
        <v>115</v>
      </c>
      <c r="D124" s="65" t="s">
        <v>116</v>
      </c>
      <c r="E124" s="60"/>
      <c r="F124" s="60"/>
      <c r="G124" s="60"/>
    </row>
    <row r="125" spans="1:15" ht="25.5" x14ac:dyDescent="0.2">
      <c r="A125" s="60"/>
      <c r="B125" s="29" t="s">
        <v>674</v>
      </c>
      <c r="C125" s="66">
        <v>7.0746000000000002</v>
      </c>
      <c r="D125" s="66">
        <v>7.0746000000000002</v>
      </c>
      <c r="E125" s="60"/>
      <c r="F125" s="62"/>
      <c r="G125" s="63"/>
    </row>
    <row r="126" spans="1:15" ht="25.5" x14ac:dyDescent="0.2">
      <c r="A126" s="60"/>
      <c r="B126" s="29" t="s">
        <v>678</v>
      </c>
      <c r="C126" s="66">
        <v>6.2663000000000002</v>
      </c>
      <c r="D126" s="66">
        <v>6.2663000000000002</v>
      </c>
      <c r="E126" s="60"/>
      <c r="F126" s="62"/>
      <c r="G126" s="63"/>
    </row>
    <row r="127" spans="1:15" x14ac:dyDescent="0.2">
      <c r="A127" s="60"/>
      <c r="B127" s="67"/>
      <c r="C127" s="67"/>
      <c r="D127" s="68"/>
      <c r="E127" s="60"/>
      <c r="F127" s="62"/>
      <c r="G127" s="63"/>
    </row>
    <row r="128" spans="1:15" s="71" customFormat="1" x14ac:dyDescent="0.2">
      <c r="A128" s="81"/>
      <c r="B128" s="172" t="s">
        <v>569</v>
      </c>
      <c r="C128" s="173"/>
      <c r="D128" s="38" t="s">
        <v>108</v>
      </c>
      <c r="G128" s="81"/>
      <c r="I128"/>
      <c r="J128" s="82"/>
      <c r="K128" s="40"/>
      <c r="L128" s="40"/>
      <c r="M128" s="40"/>
      <c r="N128" s="40"/>
      <c r="O128" s="77"/>
    </row>
    <row r="129" spans="1:20" ht="25.5" customHeight="1" x14ac:dyDescent="0.2">
      <c r="A129" s="56"/>
      <c r="B129" s="172" t="s">
        <v>570</v>
      </c>
      <c r="C129" s="173"/>
      <c r="D129" s="38" t="s">
        <v>108</v>
      </c>
      <c r="E129" s="69"/>
      <c r="F129" s="56"/>
      <c r="G129" s="56"/>
      <c r="J129" s="82"/>
    </row>
    <row r="130" spans="1:20" ht="26.25" customHeight="1" x14ac:dyDescent="0.2">
      <c r="A130" s="56"/>
      <c r="B130" s="172" t="s">
        <v>571</v>
      </c>
      <c r="C130" s="173"/>
      <c r="D130" s="38" t="s">
        <v>108</v>
      </c>
      <c r="E130" s="69"/>
      <c r="F130" s="56"/>
      <c r="G130" s="56"/>
      <c r="J130" s="82"/>
    </row>
    <row r="131" spans="1:20" x14ac:dyDescent="0.2">
      <c r="A131" s="56"/>
      <c r="B131" s="172" t="s">
        <v>572</v>
      </c>
      <c r="C131" s="173"/>
      <c r="D131" s="38" t="s">
        <v>108</v>
      </c>
      <c r="E131" s="69"/>
      <c r="F131" s="56"/>
      <c r="G131" s="56"/>
      <c r="J131" s="82"/>
    </row>
    <row r="132" spans="1:20" x14ac:dyDescent="0.2">
      <c r="A132" s="56"/>
      <c r="B132" s="52"/>
      <c r="C132" s="52"/>
      <c r="D132" s="88"/>
      <c r="E132" s="56"/>
      <c r="F132" s="56"/>
      <c r="G132" s="56"/>
      <c r="J132" s="82"/>
    </row>
    <row r="133" spans="1:20" s="71" customFormat="1" x14ac:dyDescent="0.2">
      <c r="B133" s="166" t="s">
        <v>556</v>
      </c>
      <c r="C133" s="167"/>
      <c r="D133" s="168"/>
      <c r="I133"/>
      <c r="J133" s="82"/>
      <c r="K133" s="40"/>
      <c r="L133" s="40"/>
      <c r="M133" s="40"/>
      <c r="N133" s="40"/>
      <c r="O133" s="77"/>
    </row>
    <row r="134" spans="1:20" s="71" customFormat="1" ht="51" x14ac:dyDescent="0.2">
      <c r="B134" s="169" t="s">
        <v>557</v>
      </c>
      <c r="C134" s="169"/>
      <c r="D134" s="72" t="s">
        <v>225</v>
      </c>
      <c r="I134"/>
      <c r="J134" s="82"/>
      <c r="K134" s="40"/>
      <c r="L134" s="40"/>
      <c r="M134" s="40"/>
      <c r="N134" s="40"/>
      <c r="O134" s="77"/>
    </row>
    <row r="135" spans="1:20" s="71" customFormat="1" x14ac:dyDescent="0.2">
      <c r="B135" s="165" t="s">
        <v>558</v>
      </c>
      <c r="C135" s="165"/>
      <c r="D135" s="73"/>
      <c r="I135"/>
      <c r="J135" s="82"/>
      <c r="K135" s="40"/>
      <c r="L135" s="40"/>
      <c r="M135" s="40"/>
      <c r="N135" s="40"/>
      <c r="O135" s="77"/>
    </row>
    <row r="136" spans="1:20" s="71" customFormat="1" x14ac:dyDescent="0.2">
      <c r="B136" s="165"/>
      <c r="C136" s="165"/>
      <c r="D136" s="74"/>
      <c r="I136"/>
      <c r="J136" s="82"/>
      <c r="K136" s="40"/>
      <c r="L136" s="40"/>
      <c r="M136" s="40"/>
      <c r="N136" s="40"/>
      <c r="O136" s="77"/>
    </row>
    <row r="137" spans="1:20" s="71" customFormat="1" x14ac:dyDescent="0.2">
      <c r="B137" s="165" t="s">
        <v>559</v>
      </c>
      <c r="C137" s="165"/>
      <c r="D137" s="75">
        <v>7.616580872721868</v>
      </c>
      <c r="I137"/>
      <c r="J137" s="82"/>
      <c r="K137" s="40"/>
      <c r="L137" s="40"/>
      <c r="M137" s="40"/>
      <c r="N137" s="40"/>
      <c r="O137" s="77"/>
    </row>
    <row r="138" spans="1:20" s="71" customFormat="1" x14ac:dyDescent="0.2">
      <c r="B138" s="165"/>
      <c r="C138" s="165"/>
      <c r="D138" s="74"/>
      <c r="I138"/>
      <c r="J138" s="82"/>
      <c r="K138" s="40"/>
      <c r="L138" s="40"/>
      <c r="M138" s="40"/>
      <c r="N138" s="40"/>
      <c r="O138" s="77"/>
      <c r="P138"/>
      <c r="Q138"/>
    </row>
    <row r="139" spans="1:20" s="71" customFormat="1" x14ac:dyDescent="0.2">
      <c r="B139" s="165" t="s">
        <v>560</v>
      </c>
      <c r="C139" s="165"/>
      <c r="D139" s="75">
        <v>0.95454204173403856</v>
      </c>
      <c r="I139"/>
      <c r="J139" s="82"/>
      <c r="K139" s="40"/>
      <c r="L139" s="40"/>
      <c r="M139" s="40"/>
      <c r="N139" s="40"/>
      <c r="O139" s="77"/>
      <c r="P139"/>
      <c r="Q139"/>
    </row>
    <row r="140" spans="1:20" s="71" customFormat="1" x14ac:dyDescent="0.2">
      <c r="B140" s="165" t="s">
        <v>579</v>
      </c>
      <c r="C140" s="165"/>
      <c r="D140" s="75">
        <v>1.0271558797014171</v>
      </c>
      <c r="I140"/>
      <c r="J140" s="82"/>
      <c r="K140" s="40"/>
      <c r="L140" s="40"/>
      <c r="M140" s="40"/>
      <c r="N140" s="40"/>
      <c r="O140"/>
      <c r="P140"/>
      <c r="Q140"/>
    </row>
    <row r="141" spans="1:20" s="71" customFormat="1" x14ac:dyDescent="0.2">
      <c r="B141" s="165"/>
      <c r="C141" s="165"/>
      <c r="D141" s="74"/>
      <c r="I141"/>
      <c r="J141" s="82"/>
      <c r="K141" s="40"/>
      <c r="L141" s="40"/>
      <c r="M141" s="40"/>
      <c r="N141" s="40"/>
      <c r="O141"/>
      <c r="P141"/>
      <c r="Q141"/>
    </row>
    <row r="142" spans="1:20" s="71" customFormat="1" ht="25.5" x14ac:dyDescent="0.2">
      <c r="B142" s="165" t="s">
        <v>562</v>
      </c>
      <c r="C142" s="165"/>
      <c r="D142" s="76" t="s">
        <v>668</v>
      </c>
      <c r="I142"/>
      <c r="J142" s="82"/>
      <c r="K142" s="40"/>
      <c r="L142" s="40"/>
      <c r="M142" s="40"/>
      <c r="N142" s="40"/>
      <c r="O142" s="77"/>
    </row>
    <row r="143" spans="1:20" s="71" customFormat="1" x14ac:dyDescent="0.2">
      <c r="B143" s="162" t="s">
        <v>563</v>
      </c>
      <c r="C143" s="163"/>
      <c r="D143" s="164"/>
      <c r="I143"/>
      <c r="J143" s="82"/>
      <c r="K143" s="40"/>
      <c r="L143" s="40"/>
      <c r="M143" s="40"/>
      <c r="N143" s="40"/>
      <c r="O143"/>
      <c r="P143"/>
      <c r="Q143"/>
      <c r="R143"/>
      <c r="S143"/>
      <c r="T143"/>
    </row>
    <row r="144" spans="1:20" x14ac:dyDescent="0.2">
      <c r="A144" s="70"/>
      <c r="B144" s="70"/>
      <c r="C144" s="70"/>
      <c r="D144" s="70"/>
      <c r="E144" s="70"/>
      <c r="F144" s="70"/>
      <c r="G144" s="70"/>
      <c r="J144" s="82"/>
    </row>
    <row r="145" spans="1:16" s="71" customFormat="1" x14ac:dyDescent="0.2">
      <c r="B145" s="89" t="s">
        <v>669</v>
      </c>
      <c r="C145" s="89"/>
      <c r="D145" s="89"/>
      <c r="E145" s="89"/>
      <c r="F145" s="89"/>
      <c r="G145" s="89"/>
      <c r="H145" s="89"/>
      <c r="I145"/>
      <c r="J145" s="82"/>
      <c r="K145" s="40"/>
      <c r="L145" s="40"/>
      <c r="M145" s="40"/>
      <c r="N145" s="40"/>
      <c r="O145" s="77"/>
    </row>
    <row r="146" spans="1:16" s="71" customFormat="1" x14ac:dyDescent="0.2">
      <c r="B146" s="90"/>
      <c r="C146" s="90"/>
      <c r="D146" s="90"/>
      <c r="E146" s="90"/>
      <c r="F146" s="90"/>
      <c r="G146" s="90"/>
      <c r="H146" s="90"/>
      <c r="I146"/>
      <c r="J146" s="82"/>
      <c r="K146" s="40"/>
      <c r="L146" s="40"/>
      <c r="M146" s="40"/>
      <c r="N146" s="40"/>
      <c r="O146" s="77"/>
    </row>
    <row r="147" spans="1:16" s="71" customFormat="1" ht="102" x14ac:dyDescent="0.2">
      <c r="A147" s="91"/>
      <c r="B147" s="92" t="s">
        <v>580</v>
      </c>
      <c r="C147" s="92" t="s">
        <v>581</v>
      </c>
      <c r="D147" s="92" t="s">
        <v>582</v>
      </c>
      <c r="E147" s="92" t="s">
        <v>583</v>
      </c>
      <c r="F147" s="92" t="s">
        <v>584</v>
      </c>
      <c r="G147" s="90"/>
      <c r="H147" s="90"/>
      <c r="I147"/>
      <c r="J147" s="82"/>
      <c r="K147" s="40"/>
      <c r="L147" s="40"/>
      <c r="M147" s="40"/>
      <c r="N147" s="40"/>
      <c r="O147" s="77"/>
    </row>
    <row r="148" spans="1:16" s="71" customFormat="1" x14ac:dyDescent="0.2">
      <c r="A148" s="93"/>
      <c r="B148" s="94" t="s">
        <v>585</v>
      </c>
      <c r="C148" s="94" t="s">
        <v>586</v>
      </c>
      <c r="D148" s="7">
        <v>0</v>
      </c>
      <c r="E148" s="8">
        <v>0</v>
      </c>
      <c r="F148" s="95">
        <v>300</v>
      </c>
      <c r="G148" s="90"/>
      <c r="H148" s="90"/>
      <c r="I148"/>
      <c r="J148" s="82"/>
      <c r="K148" s="40"/>
      <c r="L148" s="40"/>
      <c r="M148" s="40"/>
      <c r="N148" s="40"/>
      <c r="O148" s="77"/>
    </row>
    <row r="149" spans="1:16" s="71" customFormat="1" x14ac:dyDescent="0.2">
      <c r="A149" s="96"/>
      <c r="B149" s="96"/>
      <c r="C149" s="96"/>
      <c r="D149" s="96"/>
      <c r="E149" s="96"/>
      <c r="F149" s="96"/>
      <c r="G149" s="96"/>
      <c r="I149"/>
      <c r="J149" s="82"/>
      <c r="K149" s="40"/>
      <c r="L149" s="40"/>
      <c r="M149" s="40"/>
      <c r="N149" s="40"/>
      <c r="O149" s="77"/>
    </row>
    <row r="150" spans="1:16" ht="13.5" x14ac:dyDescent="0.25">
      <c r="B150" s="97" t="s">
        <v>587</v>
      </c>
      <c r="C150" s="97" t="s">
        <v>588</v>
      </c>
      <c r="D150" s="190" t="s">
        <v>582</v>
      </c>
      <c r="E150" s="190"/>
      <c r="F150" s="190"/>
      <c r="G150" s="189" t="s">
        <v>583</v>
      </c>
      <c r="H150" s="189"/>
      <c r="J150" s="82"/>
      <c r="K150" s="40"/>
      <c r="L150" s="40"/>
      <c r="M150" s="40"/>
      <c r="N150" s="40"/>
      <c r="P150" s="40"/>
    </row>
    <row r="151" spans="1:16" ht="27" x14ac:dyDescent="0.25">
      <c r="B151" s="98" t="s">
        <v>589</v>
      </c>
      <c r="C151" s="99" t="s">
        <v>590</v>
      </c>
      <c r="D151" s="187">
        <v>0</v>
      </c>
      <c r="E151" s="187"/>
      <c r="F151" s="187"/>
      <c r="G151" s="187">
        <v>0</v>
      </c>
      <c r="H151" s="187"/>
      <c r="J151" s="82"/>
      <c r="K151" s="40"/>
      <c r="L151" s="40"/>
      <c r="M151" s="40"/>
      <c r="N151" s="40"/>
      <c r="P151" s="40"/>
    </row>
    <row r="152" spans="1:16" ht="27" x14ac:dyDescent="0.25">
      <c r="B152" s="98" t="s">
        <v>591</v>
      </c>
      <c r="C152" s="99" t="s">
        <v>592</v>
      </c>
      <c r="D152" s="187">
        <v>0</v>
      </c>
      <c r="E152" s="187"/>
      <c r="F152" s="187"/>
      <c r="G152" s="187">
        <v>0</v>
      </c>
      <c r="H152" s="187"/>
      <c r="J152" s="82"/>
      <c r="K152" s="40"/>
      <c r="L152" s="40"/>
      <c r="M152" s="40"/>
      <c r="N152" s="40"/>
      <c r="P152" s="40"/>
    </row>
    <row r="153" spans="1:16" ht="27" x14ac:dyDescent="0.25">
      <c r="B153" s="98" t="s">
        <v>593</v>
      </c>
      <c r="C153" s="99" t="s">
        <v>594</v>
      </c>
      <c r="D153" s="187">
        <v>0</v>
      </c>
      <c r="E153" s="187"/>
      <c r="F153" s="187"/>
      <c r="G153" s="187">
        <v>0</v>
      </c>
      <c r="H153" s="187"/>
      <c r="J153" s="82"/>
      <c r="K153" s="40"/>
      <c r="L153" s="40"/>
      <c r="M153" s="40"/>
      <c r="N153" s="40"/>
      <c r="P153" s="40"/>
    </row>
    <row r="154" spans="1:16" ht="13.5" x14ac:dyDescent="0.25">
      <c r="B154" s="98"/>
      <c r="C154" s="98"/>
      <c r="D154" s="188"/>
      <c r="E154" s="188"/>
      <c r="F154" s="188"/>
      <c r="G154" s="188"/>
      <c r="H154" s="188"/>
      <c r="J154" s="82"/>
      <c r="K154" s="40"/>
      <c r="L154" s="40"/>
      <c r="M154" s="40"/>
      <c r="N154" s="40"/>
      <c r="P154" s="40"/>
    </row>
    <row r="155" spans="1:16" ht="13.5" x14ac:dyDescent="0.25">
      <c r="B155" s="189" t="s">
        <v>595</v>
      </c>
      <c r="C155" s="189"/>
      <c r="D155" s="189"/>
      <c r="E155" s="189"/>
      <c r="F155" s="189"/>
      <c r="G155" s="189"/>
      <c r="H155" s="189"/>
      <c r="J155" s="82"/>
      <c r="K155" s="40"/>
      <c r="L155" s="40"/>
      <c r="M155" s="40"/>
      <c r="N155" s="40"/>
      <c r="P155" s="40"/>
    </row>
    <row r="156" spans="1:16" ht="13.5" customHeight="1" x14ac:dyDescent="0.2">
      <c r="B156" s="185" t="s">
        <v>587</v>
      </c>
      <c r="C156" s="185" t="s">
        <v>588</v>
      </c>
      <c r="D156" s="185" t="s">
        <v>596</v>
      </c>
      <c r="E156" s="185"/>
      <c r="F156" s="185"/>
      <c r="G156" s="185"/>
      <c r="H156" s="186" t="s">
        <v>597</v>
      </c>
      <c r="I156" s="186" t="s">
        <v>598</v>
      </c>
      <c r="J156" s="183" t="s">
        <v>599</v>
      </c>
      <c r="K156" s="40"/>
      <c r="L156" s="40"/>
      <c r="M156" s="40"/>
      <c r="N156" s="40"/>
      <c r="O156" s="40"/>
      <c r="P156" s="40"/>
    </row>
    <row r="157" spans="1:16" ht="94.5" customHeight="1" x14ac:dyDescent="0.2">
      <c r="B157" s="185"/>
      <c r="C157" s="185"/>
      <c r="D157" s="101" t="s">
        <v>600</v>
      </c>
      <c r="E157" s="101" t="s">
        <v>601</v>
      </c>
      <c r="F157" s="101" t="s">
        <v>602</v>
      </c>
      <c r="G157" s="101" t="s">
        <v>603</v>
      </c>
      <c r="H157" s="186"/>
      <c r="I157" s="186"/>
      <c r="J157" s="184"/>
      <c r="K157" s="40"/>
      <c r="L157" s="40"/>
      <c r="M157" s="40"/>
      <c r="N157" s="40"/>
      <c r="O157" s="40"/>
      <c r="P157" s="40"/>
    </row>
    <row r="158" spans="1:16" ht="27" x14ac:dyDescent="0.25">
      <c r="B158" s="98" t="s">
        <v>589</v>
      </c>
      <c r="C158" s="99" t="s">
        <v>590</v>
      </c>
      <c r="D158" s="102">
        <v>1500</v>
      </c>
      <c r="E158" s="102">
        <v>99.850684900000005</v>
      </c>
      <c r="F158" s="103">
        <v>36.275342200000004</v>
      </c>
      <c r="G158" s="104">
        <v>1636.1260271000001</v>
      </c>
      <c r="H158" s="9">
        <v>726.67232000000001</v>
      </c>
      <c r="I158" s="9">
        <f>1250521/10^5</f>
        <v>12.50521</v>
      </c>
      <c r="J158" s="9">
        <f>H158+I158</f>
        <v>739.17753000000005</v>
      </c>
      <c r="K158" s="40"/>
      <c r="L158" s="40"/>
      <c r="M158" s="40"/>
      <c r="N158" s="40"/>
      <c r="O158" s="40"/>
      <c r="P158" s="40"/>
    </row>
    <row r="159" spans="1:16" ht="27" x14ac:dyDescent="0.25">
      <c r="B159" s="98" t="s">
        <v>591</v>
      </c>
      <c r="C159" s="99" t="s">
        <v>592</v>
      </c>
      <c r="D159" s="102">
        <v>2517.2199999999998</v>
      </c>
      <c r="E159" s="102">
        <v>183.25361600000002</v>
      </c>
      <c r="F159" s="103">
        <v>45.813405699999997</v>
      </c>
      <c r="G159" s="104">
        <v>2746.2870217</v>
      </c>
      <c r="H159" s="9">
        <v>1225.53333</v>
      </c>
      <c r="I159" s="9">
        <f>2109013/10^5</f>
        <v>21.090129999999998</v>
      </c>
      <c r="J159" s="9">
        <f>H159+I159</f>
        <v>1246.62346</v>
      </c>
      <c r="K159" s="40"/>
      <c r="L159" s="40"/>
      <c r="M159" s="40"/>
      <c r="N159" s="40"/>
      <c r="O159" s="40"/>
      <c r="P159" s="40"/>
    </row>
    <row r="160" spans="1:16" ht="27" x14ac:dyDescent="0.25">
      <c r="B160" s="98" t="s">
        <v>593</v>
      </c>
      <c r="C160" s="99" t="s">
        <v>594</v>
      </c>
      <c r="D160" s="102">
        <v>4882.25</v>
      </c>
      <c r="E160" s="102">
        <v>323.21163799999999</v>
      </c>
      <c r="F160" s="103">
        <v>117.42144879999999</v>
      </c>
      <c r="G160" s="104">
        <v>5322.8830868000005</v>
      </c>
      <c r="H160" s="9">
        <v>2364.0489899999998</v>
      </c>
      <c r="I160" s="9">
        <f>4068280/10^5</f>
        <v>40.6828</v>
      </c>
      <c r="J160" s="9">
        <f>H160+I160</f>
        <v>2404.7317899999998</v>
      </c>
      <c r="K160" s="40"/>
      <c r="L160" s="40"/>
      <c r="M160" s="40"/>
      <c r="N160" s="40"/>
      <c r="O160" s="40"/>
      <c r="P160" s="40"/>
    </row>
    <row r="161" spans="2:16" x14ac:dyDescent="0.2">
      <c r="I161" s="40"/>
      <c r="J161" s="82"/>
      <c r="K161" s="40"/>
      <c r="L161" s="40"/>
      <c r="M161" s="40"/>
      <c r="N161" s="40"/>
      <c r="O161" s="40"/>
      <c r="P161" s="40"/>
    </row>
    <row r="162" spans="2:16" x14ac:dyDescent="0.2">
      <c r="I162" s="40"/>
      <c r="J162" s="82"/>
      <c r="K162" s="40"/>
      <c r="L162" s="40"/>
      <c r="M162" s="40"/>
      <c r="N162" s="40"/>
      <c r="O162" s="40"/>
      <c r="P162" s="40"/>
    </row>
    <row r="163" spans="2:16" ht="13.5" x14ac:dyDescent="0.25">
      <c r="B163" s="105" t="s">
        <v>604</v>
      </c>
      <c r="I163" s="40"/>
      <c r="J163" s="82"/>
      <c r="K163" s="40"/>
      <c r="L163" s="40"/>
      <c r="M163" s="40"/>
      <c r="N163" s="40"/>
      <c r="O163" s="40"/>
      <c r="P163" s="40"/>
    </row>
    <row r="164" spans="2:16" x14ac:dyDescent="0.2">
      <c r="B164" s="40"/>
      <c r="C164" s="40"/>
      <c r="D164" s="40"/>
      <c r="E164" s="40"/>
      <c r="F164" s="40"/>
      <c r="G164" s="40"/>
      <c r="H164" s="40"/>
      <c r="I164" s="40"/>
      <c r="J164" s="82"/>
      <c r="K164" s="40"/>
      <c r="L164" s="40"/>
      <c r="M164" s="40"/>
      <c r="N164" s="40"/>
      <c r="O164" s="40"/>
      <c r="P164" s="40"/>
    </row>
    <row r="165" spans="2:16" x14ac:dyDescent="0.2">
      <c r="B165" s="106" t="s">
        <v>605</v>
      </c>
      <c r="C165" s="40"/>
      <c r="D165" s="40"/>
      <c r="E165" s="40"/>
      <c r="F165" s="40"/>
      <c r="G165" s="40"/>
      <c r="H165" s="40"/>
      <c r="I165" s="40"/>
      <c r="J165" s="82"/>
      <c r="K165" s="40"/>
      <c r="L165" s="40"/>
      <c r="M165" s="40"/>
      <c r="N165" s="40"/>
      <c r="O165" s="40"/>
      <c r="P165" s="40"/>
    </row>
    <row r="166" spans="2:16" x14ac:dyDescent="0.2">
      <c r="B166" s="40"/>
      <c r="C166" s="40"/>
      <c r="D166" s="40"/>
      <c r="E166" s="40"/>
      <c r="F166" s="40"/>
      <c r="G166" s="40"/>
      <c r="H166" s="40"/>
      <c r="I166" s="40"/>
      <c r="J166" s="82"/>
      <c r="K166" s="40"/>
      <c r="L166" s="40"/>
      <c r="M166" s="40"/>
      <c r="N166" s="40"/>
      <c r="O166" s="40"/>
      <c r="P166" s="40"/>
    </row>
    <row r="167" spans="2:16" x14ac:dyDescent="0.2">
      <c r="B167" s="106" t="s">
        <v>606</v>
      </c>
      <c r="C167" s="40"/>
      <c r="D167" s="40"/>
      <c r="E167" s="40"/>
      <c r="F167" s="40"/>
      <c r="G167" s="40"/>
      <c r="H167" s="40"/>
      <c r="I167" s="40"/>
      <c r="J167" s="82"/>
      <c r="K167" s="40"/>
      <c r="L167" s="40"/>
      <c r="M167" s="40"/>
      <c r="N167" s="40"/>
      <c r="O167" s="40"/>
      <c r="P167" s="40"/>
    </row>
    <row r="168" spans="2:16" x14ac:dyDescent="0.2">
      <c r="J168" s="82"/>
    </row>
    <row r="169" spans="2:16" x14ac:dyDescent="0.2">
      <c r="B169" s="106" t="s">
        <v>607</v>
      </c>
      <c r="J169" s="82"/>
      <c r="K169" s="40"/>
      <c r="L169" s="40"/>
      <c r="M169" s="40"/>
      <c r="N169" s="40"/>
      <c r="O169" s="40"/>
    </row>
    <row r="170" spans="2:16" x14ac:dyDescent="0.2">
      <c r="J170" s="82"/>
    </row>
    <row r="171" spans="2:16" ht="25.5" x14ac:dyDescent="0.2">
      <c r="B171" s="78" t="s">
        <v>564</v>
      </c>
    </row>
    <row r="173" spans="2:16" ht="153.75" customHeight="1" x14ac:dyDescent="0.2"/>
    <row r="176" spans="2:16" x14ac:dyDescent="0.2">
      <c r="B176" s="79" t="s">
        <v>565</v>
      </c>
      <c r="C176" s="80"/>
      <c r="D176" s="79" t="s">
        <v>566</v>
      </c>
    </row>
    <row r="177" spans="2:4" x14ac:dyDescent="0.2">
      <c r="B177" s="79" t="s">
        <v>608</v>
      </c>
      <c r="D177" s="79" t="s">
        <v>609</v>
      </c>
    </row>
    <row r="178" spans="2:4" ht="165" customHeight="1" x14ac:dyDescent="0.2"/>
  </sheetData>
  <mergeCells count="43">
    <mergeCell ref="B133:D133"/>
    <mergeCell ref="B107:H107"/>
    <mergeCell ref="B130:C130"/>
    <mergeCell ref="B131:C131"/>
    <mergeCell ref="B109:D109"/>
    <mergeCell ref="B110:C110"/>
    <mergeCell ref="B111:C111"/>
    <mergeCell ref="B112:C112"/>
    <mergeCell ref="B123:C123"/>
    <mergeCell ref="B129:C129"/>
    <mergeCell ref="B128:C128"/>
    <mergeCell ref="A3:H3"/>
    <mergeCell ref="A2:H2"/>
    <mergeCell ref="A1:H1"/>
    <mergeCell ref="B105:H105"/>
    <mergeCell ref="B106:H106"/>
    <mergeCell ref="B134:C134"/>
    <mergeCell ref="B135:C135"/>
    <mergeCell ref="B136:C136"/>
    <mergeCell ref="B137:C137"/>
    <mergeCell ref="B138:C138"/>
    <mergeCell ref="B139:C139"/>
    <mergeCell ref="B140:C140"/>
    <mergeCell ref="B141:C141"/>
    <mergeCell ref="B142:C142"/>
    <mergeCell ref="B143:D143"/>
    <mergeCell ref="D150:F150"/>
    <mergeCell ref="G150:H150"/>
    <mergeCell ref="D151:F151"/>
    <mergeCell ref="G151:H151"/>
    <mergeCell ref="D152:F152"/>
    <mergeCell ref="G152:H152"/>
    <mergeCell ref="D153:F153"/>
    <mergeCell ref="G153:H153"/>
    <mergeCell ref="D154:F154"/>
    <mergeCell ref="G154:H154"/>
    <mergeCell ref="B155:H155"/>
    <mergeCell ref="J156:J157"/>
    <mergeCell ref="B156:B157"/>
    <mergeCell ref="C156:C157"/>
    <mergeCell ref="D156:G156"/>
    <mergeCell ref="H156:H157"/>
    <mergeCell ref="I156:I157"/>
  </mergeCells>
  <hyperlinks>
    <hyperlink ref="B165" r:id="rId1" xr:uid="{4C41DC23-E8FC-49EE-954C-BCEE95A8464F}"/>
    <hyperlink ref="B167" r:id="rId2" xr:uid="{9867C338-1724-40DB-A938-BB3594C9E766}"/>
    <hyperlink ref="B169" r:id="rId3" xr:uid="{C3DEEA49-60B9-49C1-B3C4-2E315011761E}"/>
  </hyperlinks>
  <pageMargins left="5.000000074505806E-2" right="5.000000074505806E-2" top="0.30000001192092896" bottom="0.20000000298023224" header="0" footer="0"/>
  <pageSetup paperSize="9" orientation="landscape" horizontalDpi="0" verticalDpi="0"/>
  <headerFooter alignWithMargins="0"/>
  <drawing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78BD61-5FCD-4465-9964-A15C469E01B2}">
  <sheetPr>
    <outlinePr summaryBelow="0" summaryRight="0"/>
  </sheetPr>
  <dimension ref="A1:R203"/>
  <sheetViews>
    <sheetView showGridLines="0" workbookViewId="0">
      <selection sqref="A1:H1"/>
    </sheetView>
  </sheetViews>
  <sheetFormatPr defaultRowHeight="12.75" x14ac:dyDescent="0.2"/>
  <cols>
    <col min="1" max="1" width="5.85546875" bestFit="1" customWidth="1"/>
    <col min="2" max="2" width="20.28515625" bestFit="1" customWidth="1"/>
    <col min="3" max="3" width="37.28515625" customWidth="1"/>
    <col min="4" max="4" width="10.7109375" bestFit="1" customWidth="1"/>
    <col min="5" max="5" width="10.42578125" bestFit="1" customWidth="1"/>
    <col min="6" max="6" width="10.140625" bestFit="1" customWidth="1"/>
    <col min="7" max="7" width="14" bestFit="1" customWidth="1"/>
    <col min="9" max="9" width="9.140625" style="83"/>
  </cols>
  <sheetData>
    <row r="1" spans="1:9" ht="15" x14ac:dyDescent="0.2">
      <c r="A1" s="170" t="s">
        <v>0</v>
      </c>
      <c r="B1" s="170"/>
      <c r="C1" s="170"/>
      <c r="D1" s="170"/>
      <c r="E1" s="170"/>
      <c r="F1" s="170"/>
      <c r="G1" s="170"/>
      <c r="H1" s="170"/>
    </row>
    <row r="2" spans="1:9" ht="15" x14ac:dyDescent="0.2">
      <c r="A2" s="170" t="s">
        <v>268</v>
      </c>
      <c r="B2" s="170"/>
      <c r="C2" s="170"/>
      <c r="D2" s="170"/>
      <c r="E2" s="170"/>
      <c r="F2" s="170"/>
      <c r="G2" s="170"/>
      <c r="H2" s="170"/>
    </row>
    <row r="3" spans="1:9" ht="15" x14ac:dyDescent="0.2">
      <c r="A3" s="170" t="s">
        <v>686</v>
      </c>
      <c r="B3" s="170"/>
      <c r="C3" s="170"/>
      <c r="D3" s="170"/>
      <c r="E3" s="170"/>
      <c r="F3" s="170"/>
      <c r="G3" s="170"/>
      <c r="H3" s="170"/>
    </row>
    <row r="4" spans="1:9" s="14" customFormat="1" ht="30" x14ac:dyDescent="0.2">
      <c r="A4" s="12" t="s">
        <v>2</v>
      </c>
      <c r="B4" s="12" t="s">
        <v>3</v>
      </c>
      <c r="C4" s="12" t="s">
        <v>4</v>
      </c>
      <c r="D4" s="12" t="s">
        <v>5</v>
      </c>
      <c r="E4" s="12" t="s">
        <v>6</v>
      </c>
      <c r="F4" s="12" t="s">
        <v>7</v>
      </c>
      <c r="G4" s="12" t="s">
        <v>8</v>
      </c>
      <c r="H4" s="13" t="s">
        <v>681</v>
      </c>
      <c r="I4" s="84"/>
    </row>
    <row r="5" spans="1:9" x14ac:dyDescent="0.2">
      <c r="A5" s="15"/>
      <c r="B5" s="15"/>
      <c r="C5" s="16" t="s">
        <v>9</v>
      </c>
      <c r="D5" s="15"/>
      <c r="E5" s="15"/>
      <c r="F5" s="15"/>
      <c r="G5" s="17"/>
      <c r="H5" s="18" t="s">
        <v>12</v>
      </c>
    </row>
    <row r="6" spans="1:9" x14ac:dyDescent="0.2">
      <c r="A6" s="19"/>
      <c r="B6" s="19"/>
      <c r="C6" s="20" t="s">
        <v>10</v>
      </c>
      <c r="D6" s="19"/>
      <c r="E6" s="19"/>
      <c r="F6" s="19"/>
      <c r="G6" s="21"/>
      <c r="H6" s="18" t="s">
        <v>12</v>
      </c>
    </row>
    <row r="7" spans="1:9" x14ac:dyDescent="0.2">
      <c r="A7" s="19"/>
      <c r="B7" s="19"/>
      <c r="C7" s="20" t="s">
        <v>11</v>
      </c>
      <c r="D7" s="19"/>
      <c r="E7" s="19" t="s">
        <v>12</v>
      </c>
      <c r="F7" s="22" t="s">
        <v>13</v>
      </c>
      <c r="G7" s="23">
        <v>0</v>
      </c>
      <c r="H7" s="18" t="s">
        <v>12</v>
      </c>
    </row>
    <row r="8" spans="1:9" x14ac:dyDescent="0.2">
      <c r="A8" s="19"/>
      <c r="B8" s="19"/>
      <c r="C8" s="24"/>
      <c r="D8" s="19"/>
      <c r="E8" s="19"/>
      <c r="F8" s="25"/>
      <c r="G8" s="26"/>
      <c r="H8" s="18" t="s">
        <v>12</v>
      </c>
    </row>
    <row r="9" spans="1:9" x14ac:dyDescent="0.2">
      <c r="A9" s="19"/>
      <c r="B9" s="19"/>
      <c r="C9" s="20" t="s">
        <v>14</v>
      </c>
      <c r="D9" s="19"/>
      <c r="E9" s="19"/>
      <c r="F9" s="19"/>
      <c r="G9" s="21"/>
      <c r="H9" s="18" t="s">
        <v>12</v>
      </c>
    </row>
    <row r="10" spans="1:9" x14ac:dyDescent="0.2">
      <c r="A10" s="19"/>
      <c r="B10" s="19"/>
      <c r="C10" s="20" t="s">
        <v>11</v>
      </c>
      <c r="D10" s="19"/>
      <c r="E10" s="19" t="s">
        <v>12</v>
      </c>
      <c r="F10" s="22" t="s">
        <v>13</v>
      </c>
      <c r="G10" s="23">
        <v>0</v>
      </c>
      <c r="H10" s="18" t="s">
        <v>12</v>
      </c>
    </row>
    <row r="11" spans="1:9" x14ac:dyDescent="0.2">
      <c r="A11" s="19"/>
      <c r="B11" s="19"/>
      <c r="C11" s="24"/>
      <c r="D11" s="19"/>
      <c r="E11" s="19"/>
      <c r="F11" s="25"/>
      <c r="G11" s="26"/>
      <c r="H11" s="18" t="s">
        <v>12</v>
      </c>
    </row>
    <row r="12" spans="1:9" x14ac:dyDescent="0.2">
      <c r="A12" s="19"/>
      <c r="B12" s="19"/>
      <c r="C12" s="20" t="s">
        <v>15</v>
      </c>
      <c r="D12" s="19"/>
      <c r="E12" s="19"/>
      <c r="F12" s="19"/>
      <c r="G12" s="21"/>
      <c r="H12" s="18" t="s">
        <v>12</v>
      </c>
    </row>
    <row r="13" spans="1:9" x14ac:dyDescent="0.2">
      <c r="A13" s="19"/>
      <c r="B13" s="19"/>
      <c r="C13" s="20" t="s">
        <v>11</v>
      </c>
      <c r="D13" s="19"/>
      <c r="E13" s="19" t="s">
        <v>12</v>
      </c>
      <c r="F13" s="22" t="s">
        <v>13</v>
      </c>
      <c r="G13" s="23">
        <v>0</v>
      </c>
      <c r="H13" s="18" t="s">
        <v>12</v>
      </c>
    </row>
    <row r="14" spans="1:9" x14ac:dyDescent="0.2">
      <c r="A14" s="19"/>
      <c r="B14" s="19"/>
      <c r="C14" s="24"/>
      <c r="D14" s="19"/>
      <c r="E14" s="19"/>
      <c r="F14" s="25"/>
      <c r="G14" s="26"/>
      <c r="H14" s="18" t="s">
        <v>12</v>
      </c>
    </row>
    <row r="15" spans="1:9" x14ac:dyDescent="0.2">
      <c r="A15" s="19"/>
      <c r="B15" s="19"/>
      <c r="C15" s="20" t="s">
        <v>16</v>
      </c>
      <c r="D15" s="19"/>
      <c r="E15" s="19"/>
      <c r="F15" s="19"/>
      <c r="G15" s="21"/>
      <c r="H15" s="18" t="s">
        <v>12</v>
      </c>
    </row>
    <row r="16" spans="1:9" x14ac:dyDescent="0.2">
      <c r="A16" s="19"/>
      <c r="B16" s="19"/>
      <c r="C16" s="20" t="s">
        <v>11</v>
      </c>
      <c r="D16" s="19"/>
      <c r="E16" s="19" t="s">
        <v>12</v>
      </c>
      <c r="F16" s="22" t="s">
        <v>13</v>
      </c>
      <c r="G16" s="23">
        <v>0</v>
      </c>
      <c r="H16" s="18" t="s">
        <v>12</v>
      </c>
    </row>
    <row r="17" spans="1:8" x14ac:dyDescent="0.2">
      <c r="A17" s="19"/>
      <c r="B17" s="19"/>
      <c r="C17" s="24"/>
      <c r="D17" s="19"/>
      <c r="E17" s="19"/>
      <c r="F17" s="25"/>
      <c r="G17" s="26"/>
      <c r="H17" s="18" t="s">
        <v>12</v>
      </c>
    </row>
    <row r="18" spans="1:8" x14ac:dyDescent="0.2">
      <c r="A18" s="19"/>
      <c r="B18" s="19"/>
      <c r="C18" s="20" t="s">
        <v>17</v>
      </c>
      <c r="D18" s="19"/>
      <c r="E18" s="19"/>
      <c r="F18" s="25"/>
      <c r="G18" s="26"/>
      <c r="H18" s="18" t="s">
        <v>12</v>
      </c>
    </row>
    <row r="19" spans="1:8" x14ac:dyDescent="0.2">
      <c r="A19" s="19"/>
      <c r="B19" s="19"/>
      <c r="C19" s="20" t="s">
        <v>11</v>
      </c>
      <c r="D19" s="19"/>
      <c r="E19" s="19" t="s">
        <v>12</v>
      </c>
      <c r="F19" s="22" t="s">
        <v>13</v>
      </c>
      <c r="G19" s="23">
        <v>0</v>
      </c>
      <c r="H19" s="18" t="s">
        <v>12</v>
      </c>
    </row>
    <row r="20" spans="1:8" x14ac:dyDescent="0.2">
      <c r="A20" s="19"/>
      <c r="B20" s="19"/>
      <c r="C20" s="24"/>
      <c r="D20" s="19"/>
      <c r="E20" s="19"/>
      <c r="F20" s="25"/>
      <c r="G20" s="26"/>
      <c r="H20" s="18" t="s">
        <v>12</v>
      </c>
    </row>
    <row r="21" spans="1:8" x14ac:dyDescent="0.2">
      <c r="A21" s="19"/>
      <c r="B21" s="19"/>
      <c r="C21" s="20" t="s">
        <v>18</v>
      </c>
      <c r="D21" s="19"/>
      <c r="E21" s="19"/>
      <c r="F21" s="25"/>
      <c r="G21" s="26"/>
      <c r="H21" s="18" t="s">
        <v>12</v>
      </c>
    </row>
    <row r="22" spans="1:8" x14ac:dyDescent="0.2">
      <c r="A22" s="19"/>
      <c r="B22" s="19"/>
      <c r="C22" s="20" t="s">
        <v>11</v>
      </c>
      <c r="D22" s="19"/>
      <c r="E22" s="19" t="s">
        <v>12</v>
      </c>
      <c r="F22" s="22" t="s">
        <v>13</v>
      </c>
      <c r="G22" s="23">
        <v>0</v>
      </c>
      <c r="H22" s="18" t="s">
        <v>12</v>
      </c>
    </row>
    <row r="23" spans="1:8" x14ac:dyDescent="0.2">
      <c r="A23" s="19"/>
      <c r="B23" s="19"/>
      <c r="C23" s="24"/>
      <c r="D23" s="19"/>
      <c r="E23" s="19"/>
      <c r="F23" s="25"/>
      <c r="G23" s="26"/>
      <c r="H23" s="18" t="s">
        <v>12</v>
      </c>
    </row>
    <row r="24" spans="1:8" x14ac:dyDescent="0.2">
      <c r="A24" s="19"/>
      <c r="B24" s="19"/>
      <c r="C24" s="20" t="s">
        <v>19</v>
      </c>
      <c r="D24" s="19"/>
      <c r="E24" s="19"/>
      <c r="F24" s="27">
        <v>0</v>
      </c>
      <c r="G24" s="23">
        <v>0</v>
      </c>
      <c r="H24" s="18" t="s">
        <v>12</v>
      </c>
    </row>
    <row r="25" spans="1:8" x14ac:dyDescent="0.2">
      <c r="A25" s="19"/>
      <c r="B25" s="19"/>
      <c r="C25" s="24"/>
      <c r="D25" s="19"/>
      <c r="E25" s="19"/>
      <c r="F25" s="25"/>
      <c r="G25" s="26"/>
      <c r="H25" s="18" t="s">
        <v>12</v>
      </c>
    </row>
    <row r="26" spans="1:8" x14ac:dyDescent="0.2">
      <c r="A26" s="19"/>
      <c r="B26" s="19"/>
      <c r="C26" s="20" t="s">
        <v>20</v>
      </c>
      <c r="D26" s="19"/>
      <c r="E26" s="19"/>
      <c r="F26" s="25"/>
      <c r="G26" s="26"/>
      <c r="H26" s="18" t="s">
        <v>12</v>
      </c>
    </row>
    <row r="27" spans="1:8" x14ac:dyDescent="0.2">
      <c r="A27" s="19"/>
      <c r="B27" s="19"/>
      <c r="C27" s="20" t="s">
        <v>10</v>
      </c>
      <c r="D27" s="19"/>
      <c r="E27" s="19"/>
      <c r="F27" s="25"/>
      <c r="G27" s="26"/>
      <c r="H27" s="18" t="s">
        <v>12</v>
      </c>
    </row>
    <row r="28" spans="1:8" ht="25.5" x14ac:dyDescent="0.2">
      <c r="A28" s="28">
        <v>1</v>
      </c>
      <c r="B28" s="29" t="s">
        <v>269</v>
      </c>
      <c r="C28" s="29" t="s">
        <v>270</v>
      </c>
      <c r="D28" s="29" t="s">
        <v>23</v>
      </c>
      <c r="E28" s="30">
        <v>1100</v>
      </c>
      <c r="F28" s="31">
        <v>10994.753000000001</v>
      </c>
      <c r="G28" s="32">
        <v>1.661021E-2</v>
      </c>
      <c r="H28" s="18">
        <v>7.165</v>
      </c>
    </row>
    <row r="29" spans="1:8" x14ac:dyDescent="0.2">
      <c r="A29" s="19"/>
      <c r="B29" s="19"/>
      <c r="C29" s="20" t="s">
        <v>11</v>
      </c>
      <c r="D29" s="19"/>
      <c r="E29" s="19" t="s">
        <v>12</v>
      </c>
      <c r="F29" s="27">
        <v>10994.753000000001</v>
      </c>
      <c r="G29" s="23">
        <v>1.661021E-2</v>
      </c>
      <c r="H29" s="18" t="s">
        <v>12</v>
      </c>
    </row>
    <row r="30" spans="1:8" x14ac:dyDescent="0.2">
      <c r="A30" s="19"/>
      <c r="B30" s="19"/>
      <c r="C30" s="24"/>
      <c r="D30" s="19"/>
      <c r="E30" s="19"/>
      <c r="F30" s="25"/>
      <c r="G30" s="26"/>
      <c r="H30" s="18" t="s">
        <v>12</v>
      </c>
    </row>
    <row r="31" spans="1:8" x14ac:dyDescent="0.2">
      <c r="A31" s="19"/>
      <c r="B31" s="19"/>
      <c r="C31" s="20" t="s">
        <v>71</v>
      </c>
      <c r="D31" s="19"/>
      <c r="E31" s="19"/>
      <c r="F31" s="19"/>
      <c r="G31" s="21"/>
      <c r="H31" s="18" t="s">
        <v>12</v>
      </c>
    </row>
    <row r="32" spans="1:8" x14ac:dyDescent="0.2">
      <c r="A32" s="19"/>
      <c r="B32" s="19"/>
      <c r="C32" s="20" t="s">
        <v>11</v>
      </c>
      <c r="D32" s="19"/>
      <c r="E32" s="19" t="s">
        <v>12</v>
      </c>
      <c r="F32" s="22" t="s">
        <v>13</v>
      </c>
      <c r="G32" s="23">
        <v>0</v>
      </c>
      <c r="H32" s="18" t="s">
        <v>12</v>
      </c>
    </row>
    <row r="33" spans="1:8" x14ac:dyDescent="0.2">
      <c r="A33" s="19"/>
      <c r="B33" s="19"/>
      <c r="C33" s="24"/>
      <c r="D33" s="19"/>
      <c r="E33" s="19"/>
      <c r="F33" s="25"/>
      <c r="G33" s="26"/>
      <c r="H33" s="18" t="s">
        <v>12</v>
      </c>
    </row>
    <row r="34" spans="1:8" x14ac:dyDescent="0.2">
      <c r="A34" s="19"/>
      <c r="B34" s="19"/>
      <c r="C34" s="20" t="s">
        <v>72</v>
      </c>
      <c r="D34" s="19"/>
      <c r="E34" s="19"/>
      <c r="F34" s="19"/>
      <c r="G34" s="21"/>
      <c r="H34" s="18" t="s">
        <v>12</v>
      </c>
    </row>
    <row r="35" spans="1:8" x14ac:dyDescent="0.2">
      <c r="A35" s="19"/>
      <c r="B35" s="19"/>
      <c r="C35" s="20" t="s">
        <v>11</v>
      </c>
      <c r="D35" s="19"/>
      <c r="E35" s="19" t="s">
        <v>12</v>
      </c>
      <c r="F35" s="22" t="s">
        <v>13</v>
      </c>
      <c r="G35" s="23">
        <v>0</v>
      </c>
      <c r="H35" s="18" t="s">
        <v>12</v>
      </c>
    </row>
    <row r="36" spans="1:8" x14ac:dyDescent="0.2">
      <c r="A36" s="19"/>
      <c r="B36" s="19"/>
      <c r="C36" s="24"/>
      <c r="D36" s="19"/>
      <c r="E36" s="19"/>
      <c r="F36" s="25"/>
      <c r="G36" s="26"/>
      <c r="H36" s="18" t="s">
        <v>12</v>
      </c>
    </row>
    <row r="37" spans="1:8" x14ac:dyDescent="0.2">
      <c r="A37" s="19"/>
      <c r="B37" s="19"/>
      <c r="C37" s="20" t="s">
        <v>88</v>
      </c>
      <c r="D37" s="19"/>
      <c r="E37" s="19"/>
      <c r="F37" s="25"/>
      <c r="G37" s="26"/>
      <c r="H37" s="18" t="s">
        <v>12</v>
      </c>
    </row>
    <row r="38" spans="1:8" x14ac:dyDescent="0.2">
      <c r="A38" s="19"/>
      <c r="B38" s="19"/>
      <c r="C38" s="20" t="s">
        <v>11</v>
      </c>
      <c r="D38" s="19"/>
      <c r="E38" s="19" t="s">
        <v>12</v>
      </c>
      <c r="F38" s="22" t="s">
        <v>13</v>
      </c>
      <c r="G38" s="23">
        <v>0</v>
      </c>
      <c r="H38" s="18" t="s">
        <v>12</v>
      </c>
    </row>
    <row r="39" spans="1:8" x14ac:dyDescent="0.2">
      <c r="A39" s="19"/>
      <c r="B39" s="19"/>
      <c r="C39" s="24"/>
      <c r="D39" s="19"/>
      <c r="E39" s="19"/>
      <c r="F39" s="25"/>
      <c r="G39" s="26"/>
      <c r="H39" s="18" t="s">
        <v>12</v>
      </c>
    </row>
    <row r="40" spans="1:8" x14ac:dyDescent="0.2">
      <c r="A40" s="19"/>
      <c r="B40" s="19"/>
      <c r="C40" s="20" t="s">
        <v>89</v>
      </c>
      <c r="D40" s="19"/>
      <c r="E40" s="19"/>
      <c r="F40" s="27">
        <v>10994.753000000001</v>
      </c>
      <c r="G40" s="23">
        <v>1.661021E-2</v>
      </c>
      <c r="H40" s="18" t="s">
        <v>12</v>
      </c>
    </row>
    <row r="41" spans="1:8" x14ac:dyDescent="0.2">
      <c r="A41" s="19"/>
      <c r="B41" s="19"/>
      <c r="C41" s="24"/>
      <c r="D41" s="19"/>
      <c r="E41" s="19"/>
      <c r="F41" s="25"/>
      <c r="G41" s="26"/>
      <c r="H41" s="18" t="s">
        <v>12</v>
      </c>
    </row>
    <row r="42" spans="1:8" x14ac:dyDescent="0.2">
      <c r="A42" s="19"/>
      <c r="B42" s="19"/>
      <c r="C42" s="20" t="s">
        <v>90</v>
      </c>
      <c r="D42" s="19"/>
      <c r="E42" s="19"/>
      <c r="F42" s="25"/>
      <c r="G42" s="26"/>
      <c r="H42" s="18" t="s">
        <v>12</v>
      </c>
    </row>
    <row r="43" spans="1:8" x14ac:dyDescent="0.2">
      <c r="A43" s="19"/>
      <c r="B43" s="19"/>
      <c r="C43" s="20" t="s">
        <v>91</v>
      </c>
      <c r="D43" s="19"/>
      <c r="E43" s="19"/>
      <c r="F43" s="25"/>
      <c r="G43" s="26"/>
      <c r="H43" s="18" t="s">
        <v>12</v>
      </c>
    </row>
    <row r="44" spans="1:8" x14ac:dyDescent="0.2">
      <c r="A44" s="28">
        <v>1</v>
      </c>
      <c r="B44" s="29" t="s">
        <v>196</v>
      </c>
      <c r="C44" s="29" t="s">
        <v>197</v>
      </c>
      <c r="D44" s="29" t="s">
        <v>149</v>
      </c>
      <c r="E44" s="30">
        <v>5000</v>
      </c>
      <c r="F44" s="31">
        <v>24671.375</v>
      </c>
      <c r="G44" s="32">
        <v>3.7272029999999998E-2</v>
      </c>
      <c r="H44" s="18">
        <v>7.48</v>
      </c>
    </row>
    <row r="45" spans="1:8" x14ac:dyDescent="0.2">
      <c r="A45" s="28">
        <v>2</v>
      </c>
      <c r="B45" s="29" t="s">
        <v>271</v>
      </c>
      <c r="C45" s="29" t="s">
        <v>272</v>
      </c>
      <c r="D45" s="29" t="s">
        <v>195</v>
      </c>
      <c r="E45" s="30">
        <v>4500</v>
      </c>
      <c r="F45" s="31">
        <v>22427.392500000002</v>
      </c>
      <c r="G45" s="32">
        <v>3.3881950000000001E-2</v>
      </c>
      <c r="H45" s="18">
        <v>6.9503000000000004</v>
      </c>
    </row>
    <row r="46" spans="1:8" x14ac:dyDescent="0.2">
      <c r="A46" s="28">
        <v>3</v>
      </c>
      <c r="B46" s="29" t="s">
        <v>273</v>
      </c>
      <c r="C46" s="29" t="s">
        <v>274</v>
      </c>
      <c r="D46" s="29" t="s">
        <v>146</v>
      </c>
      <c r="E46" s="30">
        <v>4000</v>
      </c>
      <c r="F46" s="31">
        <v>19901.62</v>
      </c>
      <c r="G46" s="32">
        <v>3.006617E-2</v>
      </c>
      <c r="H46" s="18">
        <v>6.94</v>
      </c>
    </row>
    <row r="47" spans="1:8" x14ac:dyDescent="0.2">
      <c r="A47" s="28">
        <v>4</v>
      </c>
      <c r="B47" s="29" t="s">
        <v>275</v>
      </c>
      <c r="C47" s="29" t="s">
        <v>276</v>
      </c>
      <c r="D47" s="29" t="s">
        <v>146</v>
      </c>
      <c r="E47" s="30">
        <v>3000</v>
      </c>
      <c r="F47" s="31">
        <v>14799.3</v>
      </c>
      <c r="G47" s="32">
        <v>2.2357889999999998E-2</v>
      </c>
      <c r="H47" s="18">
        <v>7.5</v>
      </c>
    </row>
    <row r="48" spans="1:8" x14ac:dyDescent="0.2">
      <c r="A48" s="28">
        <v>5</v>
      </c>
      <c r="B48" s="29" t="s">
        <v>277</v>
      </c>
      <c r="C48" s="29" t="s">
        <v>278</v>
      </c>
      <c r="D48" s="29" t="s">
        <v>146</v>
      </c>
      <c r="E48" s="30">
        <v>3000</v>
      </c>
      <c r="F48" s="31">
        <v>14769.06</v>
      </c>
      <c r="G48" s="32">
        <v>2.2312209999999999E-2</v>
      </c>
      <c r="H48" s="18">
        <v>7.51</v>
      </c>
    </row>
    <row r="49" spans="1:8" x14ac:dyDescent="0.2">
      <c r="A49" s="28">
        <v>6</v>
      </c>
      <c r="B49" s="29" t="s">
        <v>279</v>
      </c>
      <c r="C49" s="29" t="s">
        <v>280</v>
      </c>
      <c r="D49" s="29" t="s">
        <v>146</v>
      </c>
      <c r="E49" s="30">
        <v>2000</v>
      </c>
      <c r="F49" s="31">
        <v>9977.26</v>
      </c>
      <c r="G49" s="32">
        <v>1.5073039999999999E-2</v>
      </c>
      <c r="H49" s="18">
        <v>6.9349999999999996</v>
      </c>
    </row>
    <row r="50" spans="1:8" x14ac:dyDescent="0.2">
      <c r="A50" s="28">
        <v>7</v>
      </c>
      <c r="B50" s="29" t="s">
        <v>281</v>
      </c>
      <c r="C50" s="29" t="s">
        <v>282</v>
      </c>
      <c r="D50" s="29" t="s">
        <v>195</v>
      </c>
      <c r="E50" s="30">
        <v>2000</v>
      </c>
      <c r="F50" s="31">
        <v>9952.83</v>
      </c>
      <c r="G50" s="32">
        <v>1.503614E-2</v>
      </c>
      <c r="H50" s="18">
        <v>6.9199000000000002</v>
      </c>
    </row>
    <row r="51" spans="1:8" x14ac:dyDescent="0.2">
      <c r="A51" s="28">
        <v>8</v>
      </c>
      <c r="B51" s="29" t="s">
        <v>283</v>
      </c>
      <c r="C51" s="29" t="s">
        <v>284</v>
      </c>
      <c r="D51" s="29" t="s">
        <v>195</v>
      </c>
      <c r="E51" s="30">
        <v>2000</v>
      </c>
      <c r="F51" s="31">
        <v>9866.2900000000009</v>
      </c>
      <c r="G51" s="32">
        <v>1.4905399999999999E-2</v>
      </c>
      <c r="H51" s="18">
        <v>7.4950000000000001</v>
      </c>
    </row>
    <row r="52" spans="1:8" x14ac:dyDescent="0.2">
      <c r="A52" s="28">
        <v>9</v>
      </c>
      <c r="B52" s="29" t="s">
        <v>285</v>
      </c>
      <c r="C52" s="29" t="s">
        <v>286</v>
      </c>
      <c r="D52" s="29" t="s">
        <v>146</v>
      </c>
      <c r="E52" s="30">
        <v>2000</v>
      </c>
      <c r="F52" s="31">
        <v>9862.4699999999993</v>
      </c>
      <c r="G52" s="32">
        <v>1.4899630000000001E-2</v>
      </c>
      <c r="H52" s="18">
        <v>7.4850000000000003</v>
      </c>
    </row>
    <row r="53" spans="1:8" x14ac:dyDescent="0.2">
      <c r="A53" s="28">
        <v>10</v>
      </c>
      <c r="B53" s="29" t="s">
        <v>287</v>
      </c>
      <c r="C53" s="29" t="s">
        <v>288</v>
      </c>
      <c r="D53" s="29" t="s">
        <v>146</v>
      </c>
      <c r="E53" s="30">
        <v>2000</v>
      </c>
      <c r="F53" s="31">
        <v>9861.84</v>
      </c>
      <c r="G53" s="32">
        <v>1.4898669999999999E-2</v>
      </c>
      <c r="H53" s="18">
        <v>7.52</v>
      </c>
    </row>
    <row r="54" spans="1:8" x14ac:dyDescent="0.2">
      <c r="A54" s="28">
        <v>11</v>
      </c>
      <c r="B54" s="29" t="s">
        <v>289</v>
      </c>
      <c r="C54" s="29" t="s">
        <v>290</v>
      </c>
      <c r="D54" s="29" t="s">
        <v>146</v>
      </c>
      <c r="E54" s="30">
        <v>2000</v>
      </c>
      <c r="F54" s="31">
        <v>9860.75</v>
      </c>
      <c r="G54" s="32">
        <v>1.489703E-2</v>
      </c>
      <c r="H54" s="18">
        <v>7.58</v>
      </c>
    </row>
    <row r="55" spans="1:8" x14ac:dyDescent="0.2">
      <c r="A55" s="28">
        <v>12</v>
      </c>
      <c r="B55" s="29" t="s">
        <v>291</v>
      </c>
      <c r="C55" s="29" t="s">
        <v>292</v>
      </c>
      <c r="D55" s="29" t="s">
        <v>146</v>
      </c>
      <c r="E55" s="30">
        <v>2000</v>
      </c>
      <c r="F55" s="31">
        <v>9840.27</v>
      </c>
      <c r="G55" s="32">
        <v>1.486609E-2</v>
      </c>
      <c r="H55" s="18">
        <v>7.5</v>
      </c>
    </row>
    <row r="56" spans="1:8" x14ac:dyDescent="0.2">
      <c r="A56" s="28">
        <v>13</v>
      </c>
      <c r="B56" s="29" t="s">
        <v>293</v>
      </c>
      <c r="C56" s="29" t="s">
        <v>294</v>
      </c>
      <c r="D56" s="29" t="s">
        <v>146</v>
      </c>
      <c r="E56" s="30">
        <v>2000</v>
      </c>
      <c r="F56" s="31">
        <v>9830.67</v>
      </c>
      <c r="G56" s="32">
        <v>1.485158E-2</v>
      </c>
      <c r="H56" s="18">
        <v>7.5750000000000002</v>
      </c>
    </row>
    <row r="57" spans="1:8" x14ac:dyDescent="0.2">
      <c r="A57" s="28">
        <v>14</v>
      </c>
      <c r="B57" s="29" t="s">
        <v>262</v>
      </c>
      <c r="C57" s="29" t="s">
        <v>263</v>
      </c>
      <c r="D57" s="29" t="s">
        <v>146</v>
      </c>
      <c r="E57" s="30">
        <v>2000</v>
      </c>
      <c r="F57" s="31">
        <v>9824.3700000000008</v>
      </c>
      <c r="G57" s="32">
        <v>1.4842070000000001E-2</v>
      </c>
      <c r="H57" s="18">
        <v>7.5</v>
      </c>
    </row>
    <row r="58" spans="1:8" x14ac:dyDescent="0.2">
      <c r="A58" s="28">
        <v>15</v>
      </c>
      <c r="B58" s="29" t="s">
        <v>154</v>
      </c>
      <c r="C58" s="29" t="s">
        <v>682</v>
      </c>
      <c r="D58" s="29" t="s">
        <v>146</v>
      </c>
      <c r="E58" s="30">
        <v>2000</v>
      </c>
      <c r="F58" s="31">
        <v>9817.65</v>
      </c>
      <c r="G58" s="32">
        <v>1.483191E-2</v>
      </c>
      <c r="H58" s="18">
        <v>0</v>
      </c>
    </row>
    <row r="59" spans="1:8" x14ac:dyDescent="0.2">
      <c r="A59" s="28">
        <v>16</v>
      </c>
      <c r="B59" s="29" t="s">
        <v>295</v>
      </c>
      <c r="C59" s="29" t="s">
        <v>296</v>
      </c>
      <c r="D59" s="29" t="s">
        <v>146</v>
      </c>
      <c r="E59" s="30">
        <v>1500</v>
      </c>
      <c r="F59" s="31">
        <v>7474.35</v>
      </c>
      <c r="G59" s="32">
        <v>1.1291799999999999E-2</v>
      </c>
      <c r="H59" s="18">
        <v>6.96</v>
      </c>
    </row>
    <row r="60" spans="1:8" x14ac:dyDescent="0.2">
      <c r="A60" s="28">
        <v>17</v>
      </c>
      <c r="B60" s="29" t="s">
        <v>297</v>
      </c>
      <c r="C60" s="29" t="s">
        <v>298</v>
      </c>
      <c r="D60" s="29" t="s">
        <v>146</v>
      </c>
      <c r="E60" s="30">
        <v>1500</v>
      </c>
      <c r="F60" s="31">
        <v>7473.0074999999997</v>
      </c>
      <c r="G60" s="32">
        <v>1.1289769999999999E-2</v>
      </c>
      <c r="H60" s="18">
        <v>6.94</v>
      </c>
    </row>
    <row r="61" spans="1:8" x14ac:dyDescent="0.2">
      <c r="A61" s="28">
        <v>18</v>
      </c>
      <c r="B61" s="29" t="s">
        <v>299</v>
      </c>
      <c r="C61" s="29" t="s">
        <v>300</v>
      </c>
      <c r="D61" s="29" t="s">
        <v>146</v>
      </c>
      <c r="E61" s="30">
        <v>1500</v>
      </c>
      <c r="F61" s="31">
        <v>7467.4875000000002</v>
      </c>
      <c r="G61" s="32">
        <v>1.128143E-2</v>
      </c>
      <c r="H61" s="18">
        <v>6.91</v>
      </c>
    </row>
    <row r="62" spans="1:8" ht="25.5" x14ac:dyDescent="0.2">
      <c r="A62" s="28">
        <v>19</v>
      </c>
      <c r="B62" s="29" t="s">
        <v>301</v>
      </c>
      <c r="C62" s="29" t="s">
        <v>302</v>
      </c>
      <c r="D62" s="29" t="s">
        <v>146</v>
      </c>
      <c r="E62" s="30">
        <v>1500</v>
      </c>
      <c r="F62" s="31">
        <v>7464.6450000000004</v>
      </c>
      <c r="G62" s="32">
        <v>1.127714E-2</v>
      </c>
      <c r="H62" s="18">
        <v>6.915</v>
      </c>
    </row>
    <row r="63" spans="1:8" x14ac:dyDescent="0.2">
      <c r="A63" s="28">
        <v>20</v>
      </c>
      <c r="B63" s="29" t="s">
        <v>303</v>
      </c>
      <c r="C63" s="29" t="s">
        <v>304</v>
      </c>
      <c r="D63" s="29" t="s">
        <v>149</v>
      </c>
      <c r="E63" s="30">
        <v>1500</v>
      </c>
      <c r="F63" s="31">
        <v>7428.3525</v>
      </c>
      <c r="G63" s="32">
        <v>1.1222309999999999E-2</v>
      </c>
      <c r="H63" s="18">
        <v>7.49</v>
      </c>
    </row>
    <row r="64" spans="1:8" x14ac:dyDescent="0.2">
      <c r="A64" s="28">
        <v>21</v>
      </c>
      <c r="B64" s="29" t="s">
        <v>144</v>
      </c>
      <c r="C64" s="29" t="s">
        <v>145</v>
      </c>
      <c r="D64" s="29" t="s">
        <v>146</v>
      </c>
      <c r="E64" s="30">
        <v>1000</v>
      </c>
      <c r="F64" s="31">
        <v>4998.1899999999996</v>
      </c>
      <c r="G64" s="32">
        <v>7.5509599999999998E-3</v>
      </c>
      <c r="H64" s="18">
        <v>6.6150000000000002</v>
      </c>
    </row>
    <row r="65" spans="1:8" x14ac:dyDescent="0.2">
      <c r="A65" s="28">
        <v>22</v>
      </c>
      <c r="B65" s="29" t="s">
        <v>152</v>
      </c>
      <c r="C65" s="29" t="s">
        <v>153</v>
      </c>
      <c r="D65" s="29" t="s">
        <v>146</v>
      </c>
      <c r="E65" s="30">
        <v>1000</v>
      </c>
      <c r="F65" s="31">
        <v>4991.47</v>
      </c>
      <c r="G65" s="32">
        <v>7.5408100000000002E-3</v>
      </c>
      <c r="H65" s="18">
        <v>6.93</v>
      </c>
    </row>
    <row r="66" spans="1:8" x14ac:dyDescent="0.2">
      <c r="A66" s="28">
        <v>23</v>
      </c>
      <c r="B66" s="29" t="s">
        <v>305</v>
      </c>
      <c r="C66" s="29" t="s">
        <v>306</v>
      </c>
      <c r="D66" s="29" t="s">
        <v>146</v>
      </c>
      <c r="E66" s="30">
        <v>1000</v>
      </c>
      <c r="F66" s="31">
        <v>4990.53</v>
      </c>
      <c r="G66" s="32">
        <v>7.53939E-3</v>
      </c>
      <c r="H66" s="18">
        <v>6.9249999999999998</v>
      </c>
    </row>
    <row r="67" spans="1:8" x14ac:dyDescent="0.2">
      <c r="A67" s="28">
        <v>24</v>
      </c>
      <c r="B67" s="29" t="s">
        <v>307</v>
      </c>
      <c r="C67" s="29" t="s">
        <v>308</v>
      </c>
      <c r="D67" s="29" t="s">
        <v>195</v>
      </c>
      <c r="E67" s="30">
        <v>1000</v>
      </c>
      <c r="F67" s="31">
        <v>4916.21</v>
      </c>
      <c r="G67" s="32">
        <v>7.4271099999999998E-3</v>
      </c>
      <c r="H67" s="18">
        <v>7.4950000000000001</v>
      </c>
    </row>
    <row r="68" spans="1:8" ht="25.5" x14ac:dyDescent="0.2">
      <c r="A68" s="28">
        <v>25</v>
      </c>
      <c r="B68" s="29" t="s">
        <v>309</v>
      </c>
      <c r="C68" s="29" t="s">
        <v>310</v>
      </c>
      <c r="D68" s="29" t="s">
        <v>146</v>
      </c>
      <c r="E68" s="30">
        <v>500</v>
      </c>
      <c r="F68" s="31">
        <v>2491.9875000000002</v>
      </c>
      <c r="G68" s="32">
        <v>3.7647499999999999E-3</v>
      </c>
      <c r="H68" s="18">
        <v>6.9050000000000002</v>
      </c>
    </row>
    <row r="69" spans="1:8" x14ac:dyDescent="0.2">
      <c r="A69" s="28">
        <v>26</v>
      </c>
      <c r="B69" s="29" t="s">
        <v>311</v>
      </c>
      <c r="C69" s="29" t="s">
        <v>312</v>
      </c>
      <c r="D69" s="29" t="s">
        <v>146</v>
      </c>
      <c r="E69" s="30">
        <v>500</v>
      </c>
      <c r="F69" s="31">
        <v>2465.0500000000002</v>
      </c>
      <c r="G69" s="32">
        <v>3.72405E-3</v>
      </c>
      <c r="H69" s="18">
        <v>7.5000999999999998</v>
      </c>
    </row>
    <row r="70" spans="1:8" x14ac:dyDescent="0.2">
      <c r="A70" s="19"/>
      <c r="B70" s="19"/>
      <c r="C70" s="20" t="s">
        <v>11</v>
      </c>
      <c r="D70" s="19"/>
      <c r="E70" s="19" t="s">
        <v>12</v>
      </c>
      <c r="F70" s="27">
        <v>257424.42749999999</v>
      </c>
      <c r="G70" s="23">
        <v>0.38890132999999999</v>
      </c>
      <c r="H70" s="18" t="s">
        <v>12</v>
      </c>
    </row>
    <row r="71" spans="1:8" x14ac:dyDescent="0.2">
      <c r="A71" s="19"/>
      <c r="B71" s="19"/>
      <c r="C71" s="24"/>
      <c r="D71" s="19"/>
      <c r="E71" s="19"/>
      <c r="F71" s="25"/>
      <c r="G71" s="26"/>
      <c r="H71" s="18" t="s">
        <v>12</v>
      </c>
    </row>
    <row r="72" spans="1:8" x14ac:dyDescent="0.2">
      <c r="A72" s="19"/>
      <c r="B72" s="19"/>
      <c r="C72" s="20" t="s">
        <v>92</v>
      </c>
      <c r="D72" s="19"/>
      <c r="E72" s="19"/>
      <c r="F72" s="25"/>
      <c r="G72" s="26"/>
      <c r="H72" s="18" t="s">
        <v>12</v>
      </c>
    </row>
    <row r="73" spans="1:8" x14ac:dyDescent="0.2">
      <c r="A73" s="28">
        <v>1</v>
      </c>
      <c r="B73" s="29" t="s">
        <v>313</v>
      </c>
      <c r="C73" s="29" t="s">
        <v>314</v>
      </c>
      <c r="D73" s="29" t="s">
        <v>146</v>
      </c>
      <c r="E73" s="30">
        <v>4000</v>
      </c>
      <c r="F73" s="31">
        <v>19716.8</v>
      </c>
      <c r="G73" s="32">
        <v>2.978695E-2</v>
      </c>
      <c r="H73" s="18">
        <v>7.71</v>
      </c>
    </row>
    <row r="74" spans="1:8" ht="25.5" x14ac:dyDescent="0.2">
      <c r="A74" s="28">
        <v>2</v>
      </c>
      <c r="B74" s="29" t="s">
        <v>315</v>
      </c>
      <c r="C74" s="29" t="s">
        <v>316</v>
      </c>
      <c r="D74" s="29" t="s">
        <v>146</v>
      </c>
      <c r="E74" s="30">
        <v>3000</v>
      </c>
      <c r="F74" s="31">
        <v>14795.49</v>
      </c>
      <c r="G74" s="32">
        <v>2.235214E-2</v>
      </c>
      <c r="H74" s="18">
        <v>7.53</v>
      </c>
    </row>
    <row r="75" spans="1:8" x14ac:dyDescent="0.2">
      <c r="A75" s="28">
        <v>3</v>
      </c>
      <c r="B75" s="29" t="s">
        <v>317</v>
      </c>
      <c r="C75" s="29" t="s">
        <v>318</v>
      </c>
      <c r="D75" s="29" t="s">
        <v>146</v>
      </c>
      <c r="E75" s="30">
        <v>3000</v>
      </c>
      <c r="F75" s="31">
        <v>14737.26</v>
      </c>
      <c r="G75" s="32">
        <v>2.226417E-2</v>
      </c>
      <c r="H75" s="18">
        <v>7.48</v>
      </c>
    </row>
    <row r="76" spans="1:8" ht="25.5" x14ac:dyDescent="0.2">
      <c r="A76" s="28">
        <v>4</v>
      </c>
      <c r="B76" s="29" t="s">
        <v>319</v>
      </c>
      <c r="C76" s="29" t="s">
        <v>320</v>
      </c>
      <c r="D76" s="29" t="s">
        <v>146</v>
      </c>
      <c r="E76" s="30">
        <v>2000</v>
      </c>
      <c r="F76" s="31">
        <v>9977.0499999999993</v>
      </c>
      <c r="G76" s="32">
        <v>1.5072729999999999E-2</v>
      </c>
      <c r="H76" s="18">
        <v>7</v>
      </c>
    </row>
    <row r="77" spans="1:8" x14ac:dyDescent="0.2">
      <c r="A77" s="28">
        <v>5</v>
      </c>
      <c r="B77" s="29" t="s">
        <v>321</v>
      </c>
      <c r="C77" s="29" t="s">
        <v>322</v>
      </c>
      <c r="D77" s="29" t="s">
        <v>146</v>
      </c>
      <c r="E77" s="30">
        <v>2000</v>
      </c>
      <c r="F77" s="31">
        <v>9961.5499999999993</v>
      </c>
      <c r="G77" s="32">
        <v>1.504931E-2</v>
      </c>
      <c r="H77" s="18">
        <v>7.415</v>
      </c>
    </row>
    <row r="78" spans="1:8" ht="25.5" x14ac:dyDescent="0.2">
      <c r="A78" s="28">
        <v>6</v>
      </c>
      <c r="B78" s="29" t="s">
        <v>323</v>
      </c>
      <c r="C78" s="29" t="s">
        <v>324</v>
      </c>
      <c r="D78" s="29" t="s">
        <v>146</v>
      </c>
      <c r="E78" s="30">
        <v>2000</v>
      </c>
      <c r="F78" s="31">
        <v>9881.61</v>
      </c>
      <c r="G78" s="32">
        <v>1.4928540000000001E-2</v>
      </c>
      <c r="H78" s="18">
        <v>7.54</v>
      </c>
    </row>
    <row r="79" spans="1:8" x14ac:dyDescent="0.2">
      <c r="A79" s="28">
        <v>7</v>
      </c>
      <c r="B79" s="29" t="s">
        <v>325</v>
      </c>
      <c r="C79" s="29" t="s">
        <v>326</v>
      </c>
      <c r="D79" s="29" t="s">
        <v>146</v>
      </c>
      <c r="E79" s="30">
        <v>2000</v>
      </c>
      <c r="F79" s="31">
        <v>9864.56</v>
      </c>
      <c r="G79" s="32">
        <v>1.4902779999999999E-2</v>
      </c>
      <c r="H79" s="18">
        <v>7.48</v>
      </c>
    </row>
    <row r="80" spans="1:8" x14ac:dyDescent="0.2">
      <c r="A80" s="28">
        <v>8</v>
      </c>
      <c r="B80" s="29" t="s">
        <v>327</v>
      </c>
      <c r="C80" s="29" t="s">
        <v>328</v>
      </c>
      <c r="D80" s="29" t="s">
        <v>146</v>
      </c>
      <c r="E80" s="30">
        <v>2000</v>
      </c>
      <c r="F80" s="31">
        <v>9858.84</v>
      </c>
      <c r="G80" s="32">
        <v>1.489414E-2</v>
      </c>
      <c r="H80" s="18">
        <v>7.8</v>
      </c>
    </row>
    <row r="81" spans="1:8" x14ac:dyDescent="0.2">
      <c r="A81" s="28">
        <v>9</v>
      </c>
      <c r="B81" s="29" t="s">
        <v>329</v>
      </c>
      <c r="C81" s="29" t="s">
        <v>330</v>
      </c>
      <c r="D81" s="29" t="s">
        <v>146</v>
      </c>
      <c r="E81" s="30">
        <v>2000</v>
      </c>
      <c r="F81" s="31">
        <v>9857.1299999999992</v>
      </c>
      <c r="G81" s="32">
        <v>1.489156E-2</v>
      </c>
      <c r="H81" s="18">
        <v>7.78</v>
      </c>
    </row>
    <row r="82" spans="1:8" x14ac:dyDescent="0.2">
      <c r="A82" s="28">
        <v>10</v>
      </c>
      <c r="B82" s="29" t="s">
        <v>331</v>
      </c>
      <c r="C82" s="29" t="s">
        <v>332</v>
      </c>
      <c r="D82" s="29" t="s">
        <v>146</v>
      </c>
      <c r="E82" s="30">
        <v>2000</v>
      </c>
      <c r="F82" s="31">
        <v>9842.5</v>
      </c>
      <c r="G82" s="32">
        <v>1.4869459999999999E-2</v>
      </c>
      <c r="H82" s="18">
        <v>7.6849999999999996</v>
      </c>
    </row>
    <row r="83" spans="1:8" x14ac:dyDescent="0.2">
      <c r="A83" s="28">
        <v>11</v>
      </c>
      <c r="B83" s="29" t="s">
        <v>333</v>
      </c>
      <c r="C83" s="29" t="s">
        <v>334</v>
      </c>
      <c r="D83" s="29" t="s">
        <v>146</v>
      </c>
      <c r="E83" s="30">
        <v>2000</v>
      </c>
      <c r="F83" s="31">
        <v>9823.5300000000007</v>
      </c>
      <c r="G83" s="32">
        <v>1.4840799999999999E-2</v>
      </c>
      <c r="H83" s="18">
        <v>7.9</v>
      </c>
    </row>
    <row r="84" spans="1:8" x14ac:dyDescent="0.2">
      <c r="A84" s="28">
        <v>12</v>
      </c>
      <c r="B84" s="29" t="s">
        <v>335</v>
      </c>
      <c r="C84" s="29" t="s">
        <v>336</v>
      </c>
      <c r="D84" s="29" t="s">
        <v>195</v>
      </c>
      <c r="E84" s="30">
        <v>2000</v>
      </c>
      <c r="F84" s="31">
        <v>9817.4699999999993</v>
      </c>
      <c r="G84" s="32">
        <v>1.483164E-2</v>
      </c>
      <c r="H84" s="18">
        <v>7.6275000000000004</v>
      </c>
    </row>
    <row r="85" spans="1:8" ht="25.5" x14ac:dyDescent="0.2">
      <c r="A85" s="28">
        <v>13</v>
      </c>
      <c r="B85" s="29" t="s">
        <v>337</v>
      </c>
      <c r="C85" s="29" t="s">
        <v>338</v>
      </c>
      <c r="D85" s="29" t="s">
        <v>195</v>
      </c>
      <c r="E85" s="30">
        <v>1500</v>
      </c>
      <c r="F85" s="31">
        <v>7482.5625</v>
      </c>
      <c r="G85" s="32">
        <v>1.130421E-2</v>
      </c>
      <c r="H85" s="18">
        <v>7.09</v>
      </c>
    </row>
    <row r="86" spans="1:8" x14ac:dyDescent="0.2">
      <c r="A86" s="28">
        <v>14</v>
      </c>
      <c r="B86" s="29" t="s">
        <v>339</v>
      </c>
      <c r="C86" s="29" t="s">
        <v>340</v>
      </c>
      <c r="D86" s="29" t="s">
        <v>146</v>
      </c>
      <c r="E86" s="30">
        <v>1500</v>
      </c>
      <c r="F86" s="31">
        <v>7472.5424999999996</v>
      </c>
      <c r="G86" s="32">
        <v>1.128907E-2</v>
      </c>
      <c r="H86" s="18">
        <v>7.06</v>
      </c>
    </row>
    <row r="87" spans="1:8" x14ac:dyDescent="0.2">
      <c r="A87" s="28">
        <v>15</v>
      </c>
      <c r="B87" s="29" t="s">
        <v>341</v>
      </c>
      <c r="C87" s="29" t="s">
        <v>342</v>
      </c>
      <c r="D87" s="29" t="s">
        <v>146</v>
      </c>
      <c r="E87" s="30">
        <v>1500</v>
      </c>
      <c r="F87" s="31">
        <v>7471.1850000000004</v>
      </c>
      <c r="G87" s="32">
        <v>1.128702E-2</v>
      </c>
      <c r="H87" s="18">
        <v>7.41</v>
      </c>
    </row>
    <row r="88" spans="1:8" ht="25.5" x14ac:dyDescent="0.2">
      <c r="A88" s="28">
        <v>16</v>
      </c>
      <c r="B88" s="29" t="s">
        <v>343</v>
      </c>
      <c r="C88" s="29" t="s">
        <v>344</v>
      </c>
      <c r="D88" s="29" t="s">
        <v>146</v>
      </c>
      <c r="E88" s="30">
        <v>1500</v>
      </c>
      <c r="F88" s="31">
        <v>7470.6975000000002</v>
      </c>
      <c r="G88" s="32">
        <v>1.1286279999999999E-2</v>
      </c>
      <c r="H88" s="18">
        <v>7.5350000000000001</v>
      </c>
    </row>
    <row r="89" spans="1:8" x14ac:dyDescent="0.2">
      <c r="A89" s="28">
        <v>17</v>
      </c>
      <c r="B89" s="29" t="s">
        <v>345</v>
      </c>
      <c r="C89" s="29" t="s">
        <v>346</v>
      </c>
      <c r="D89" s="29" t="s">
        <v>146</v>
      </c>
      <c r="E89" s="30">
        <v>1500</v>
      </c>
      <c r="F89" s="31">
        <v>7469.7150000000001</v>
      </c>
      <c r="G89" s="32">
        <v>1.1284799999999999E-2</v>
      </c>
      <c r="H89" s="18">
        <v>7.4</v>
      </c>
    </row>
    <row r="90" spans="1:8" ht="25.5" x14ac:dyDescent="0.2">
      <c r="A90" s="28">
        <v>18</v>
      </c>
      <c r="B90" s="29" t="s">
        <v>347</v>
      </c>
      <c r="C90" s="29" t="s">
        <v>348</v>
      </c>
      <c r="D90" s="29" t="s">
        <v>146</v>
      </c>
      <c r="E90" s="30">
        <v>1500</v>
      </c>
      <c r="F90" s="31">
        <v>7414.335</v>
      </c>
      <c r="G90" s="32">
        <v>1.120113E-2</v>
      </c>
      <c r="H90" s="18">
        <v>8.11</v>
      </c>
    </row>
    <row r="91" spans="1:8" ht="25.5" x14ac:dyDescent="0.2">
      <c r="A91" s="28">
        <v>19</v>
      </c>
      <c r="B91" s="29" t="s">
        <v>349</v>
      </c>
      <c r="C91" s="29" t="s">
        <v>350</v>
      </c>
      <c r="D91" s="29" t="s">
        <v>146</v>
      </c>
      <c r="E91" s="30">
        <v>1500</v>
      </c>
      <c r="F91" s="31">
        <v>7399.2524999999996</v>
      </c>
      <c r="G91" s="32">
        <v>1.117835E-2</v>
      </c>
      <c r="H91" s="18">
        <v>7.53</v>
      </c>
    </row>
    <row r="92" spans="1:8" x14ac:dyDescent="0.2">
      <c r="A92" s="28">
        <v>20</v>
      </c>
      <c r="B92" s="29" t="s">
        <v>351</v>
      </c>
      <c r="C92" s="29" t="s">
        <v>352</v>
      </c>
      <c r="D92" s="29" t="s">
        <v>146</v>
      </c>
      <c r="E92" s="30">
        <v>1500</v>
      </c>
      <c r="F92" s="31">
        <v>7393.2974999999997</v>
      </c>
      <c r="G92" s="32">
        <v>1.116935E-2</v>
      </c>
      <c r="H92" s="18">
        <v>7.6349999999999998</v>
      </c>
    </row>
    <row r="93" spans="1:8" ht="25.5" x14ac:dyDescent="0.2">
      <c r="A93" s="28">
        <v>21</v>
      </c>
      <c r="B93" s="29" t="s">
        <v>353</v>
      </c>
      <c r="C93" s="29" t="s">
        <v>354</v>
      </c>
      <c r="D93" s="29" t="s">
        <v>195</v>
      </c>
      <c r="E93" s="30">
        <v>1000</v>
      </c>
      <c r="F93" s="31">
        <v>4994.2</v>
      </c>
      <c r="G93" s="32">
        <v>7.54494E-3</v>
      </c>
      <c r="H93" s="18">
        <v>7.0650000000000004</v>
      </c>
    </row>
    <row r="94" spans="1:8" ht="25.5" x14ac:dyDescent="0.2">
      <c r="A94" s="28">
        <v>22</v>
      </c>
      <c r="B94" s="29" t="s">
        <v>355</v>
      </c>
      <c r="C94" s="29" t="s">
        <v>356</v>
      </c>
      <c r="D94" s="29" t="s">
        <v>146</v>
      </c>
      <c r="E94" s="30">
        <v>1000</v>
      </c>
      <c r="F94" s="31">
        <v>4987.7849999999999</v>
      </c>
      <c r="G94" s="32">
        <v>7.5352500000000003E-3</v>
      </c>
      <c r="H94" s="18">
        <v>7.45</v>
      </c>
    </row>
    <row r="95" spans="1:8" ht="25.5" x14ac:dyDescent="0.2">
      <c r="A95" s="28">
        <v>23</v>
      </c>
      <c r="B95" s="29" t="s">
        <v>357</v>
      </c>
      <c r="C95" s="29" t="s">
        <v>358</v>
      </c>
      <c r="D95" s="29" t="s">
        <v>146</v>
      </c>
      <c r="E95" s="30">
        <v>1000</v>
      </c>
      <c r="F95" s="31">
        <v>4987.4799999999996</v>
      </c>
      <c r="G95" s="32">
        <v>7.5347799999999996E-3</v>
      </c>
      <c r="H95" s="18">
        <v>7.6349999999999998</v>
      </c>
    </row>
    <row r="96" spans="1:8" x14ac:dyDescent="0.2">
      <c r="A96" s="28">
        <v>24</v>
      </c>
      <c r="B96" s="29" t="s">
        <v>359</v>
      </c>
      <c r="C96" s="29" t="s">
        <v>360</v>
      </c>
      <c r="D96" s="29" t="s">
        <v>146</v>
      </c>
      <c r="E96" s="30">
        <v>1000</v>
      </c>
      <c r="F96" s="31">
        <v>4983.6949999999997</v>
      </c>
      <c r="G96" s="32">
        <v>7.5290699999999997E-3</v>
      </c>
      <c r="H96" s="18">
        <v>7.0250000000000004</v>
      </c>
    </row>
    <row r="97" spans="1:8" x14ac:dyDescent="0.2">
      <c r="A97" s="28">
        <v>25</v>
      </c>
      <c r="B97" s="29" t="s">
        <v>361</v>
      </c>
      <c r="C97" s="29" t="s">
        <v>362</v>
      </c>
      <c r="D97" s="29" t="s">
        <v>146</v>
      </c>
      <c r="E97" s="30">
        <v>1000</v>
      </c>
      <c r="F97" s="31">
        <v>4983.22</v>
      </c>
      <c r="G97" s="32">
        <v>7.5283499999999996E-3</v>
      </c>
      <c r="H97" s="18">
        <v>7.23</v>
      </c>
    </row>
    <row r="98" spans="1:8" x14ac:dyDescent="0.2">
      <c r="A98" s="28">
        <v>26</v>
      </c>
      <c r="B98" s="29" t="s">
        <v>363</v>
      </c>
      <c r="C98" s="29" t="s">
        <v>364</v>
      </c>
      <c r="D98" s="29" t="s">
        <v>146</v>
      </c>
      <c r="E98" s="30">
        <v>1000</v>
      </c>
      <c r="F98" s="31">
        <v>4980.5050000000001</v>
      </c>
      <c r="G98" s="32">
        <v>7.5242499999999997E-3</v>
      </c>
      <c r="H98" s="18">
        <v>7.52</v>
      </c>
    </row>
    <row r="99" spans="1:8" x14ac:dyDescent="0.2">
      <c r="A99" s="28">
        <v>27</v>
      </c>
      <c r="B99" s="29" t="s">
        <v>365</v>
      </c>
      <c r="C99" s="29" t="s">
        <v>366</v>
      </c>
      <c r="D99" s="29" t="s">
        <v>146</v>
      </c>
      <c r="E99" s="30">
        <v>1000</v>
      </c>
      <c r="F99" s="31">
        <v>4944.8599999999997</v>
      </c>
      <c r="G99" s="32">
        <v>7.4704000000000003E-3</v>
      </c>
      <c r="H99" s="18">
        <v>7.83</v>
      </c>
    </row>
    <row r="100" spans="1:8" x14ac:dyDescent="0.2">
      <c r="A100" s="28">
        <v>28</v>
      </c>
      <c r="B100" s="29" t="s">
        <v>367</v>
      </c>
      <c r="C100" s="29" t="s">
        <v>368</v>
      </c>
      <c r="D100" s="29" t="s">
        <v>146</v>
      </c>
      <c r="E100" s="30">
        <v>1000</v>
      </c>
      <c r="F100" s="31">
        <v>4929.6000000000004</v>
      </c>
      <c r="G100" s="32">
        <v>7.4473400000000002E-3</v>
      </c>
      <c r="H100" s="18">
        <v>7.78</v>
      </c>
    </row>
    <row r="101" spans="1:8" x14ac:dyDescent="0.2">
      <c r="A101" s="28">
        <v>29</v>
      </c>
      <c r="B101" s="29" t="s">
        <v>369</v>
      </c>
      <c r="C101" s="29" t="s">
        <v>370</v>
      </c>
      <c r="D101" s="29" t="s">
        <v>146</v>
      </c>
      <c r="E101" s="30">
        <v>1000</v>
      </c>
      <c r="F101" s="31">
        <v>4929.1850000000004</v>
      </c>
      <c r="G101" s="32">
        <v>7.4467200000000004E-3</v>
      </c>
      <c r="H101" s="18">
        <v>7.6</v>
      </c>
    </row>
    <row r="102" spans="1:8" ht="25.5" x14ac:dyDescent="0.2">
      <c r="A102" s="28">
        <v>30</v>
      </c>
      <c r="B102" s="29" t="s">
        <v>371</v>
      </c>
      <c r="C102" s="29" t="s">
        <v>372</v>
      </c>
      <c r="D102" s="29" t="s">
        <v>146</v>
      </c>
      <c r="E102" s="30">
        <v>1000</v>
      </c>
      <c r="F102" s="31">
        <v>4927.0150000000003</v>
      </c>
      <c r="G102" s="32">
        <v>7.44344E-3</v>
      </c>
      <c r="H102" s="18">
        <v>8.07</v>
      </c>
    </row>
    <row r="103" spans="1:8" x14ac:dyDescent="0.2">
      <c r="A103" s="28">
        <v>31</v>
      </c>
      <c r="B103" s="29" t="s">
        <v>373</v>
      </c>
      <c r="C103" s="29" t="s">
        <v>374</v>
      </c>
      <c r="D103" s="29" t="s">
        <v>146</v>
      </c>
      <c r="E103" s="30">
        <v>1000</v>
      </c>
      <c r="F103" s="31">
        <v>4925.2349999999997</v>
      </c>
      <c r="G103" s="86">
        <v>7.4407500000000003E-3</v>
      </c>
      <c r="H103" s="18">
        <v>8.0299999999999994</v>
      </c>
    </row>
    <row r="104" spans="1:8" ht="25.5" x14ac:dyDescent="0.2">
      <c r="A104" s="28">
        <v>32</v>
      </c>
      <c r="B104" s="29" t="s">
        <v>375</v>
      </c>
      <c r="C104" s="29" t="s">
        <v>376</v>
      </c>
      <c r="D104" s="29" t="s">
        <v>146</v>
      </c>
      <c r="E104" s="30">
        <v>1000</v>
      </c>
      <c r="F104" s="31">
        <v>4916.8249999999998</v>
      </c>
      <c r="G104" s="86">
        <v>7.4280400000000003E-3</v>
      </c>
      <c r="H104" s="18">
        <v>7.53</v>
      </c>
    </row>
    <row r="105" spans="1:8" x14ac:dyDescent="0.2">
      <c r="A105" s="28">
        <v>33</v>
      </c>
      <c r="B105" s="29" t="s">
        <v>377</v>
      </c>
      <c r="C105" s="29" t="s">
        <v>378</v>
      </c>
      <c r="D105" s="29" t="s">
        <v>146</v>
      </c>
      <c r="E105" s="30">
        <v>1000</v>
      </c>
      <c r="F105" s="31">
        <v>4913.6850000000004</v>
      </c>
      <c r="G105" s="86">
        <v>7.4232999999999999E-3</v>
      </c>
      <c r="H105" s="18">
        <v>7.7249999999999996</v>
      </c>
    </row>
    <row r="106" spans="1:8" x14ac:dyDescent="0.2">
      <c r="A106" s="28">
        <v>34</v>
      </c>
      <c r="B106" s="29" t="s">
        <v>379</v>
      </c>
      <c r="C106" s="29" t="s">
        <v>380</v>
      </c>
      <c r="D106" s="29" t="s">
        <v>146</v>
      </c>
      <c r="E106" s="30">
        <v>1000</v>
      </c>
      <c r="F106" s="31">
        <v>4910.62</v>
      </c>
      <c r="G106" s="86">
        <v>7.4186699999999996E-3</v>
      </c>
      <c r="H106" s="18">
        <v>7.7249999999999996</v>
      </c>
    </row>
    <row r="107" spans="1:8" ht="25.5" x14ac:dyDescent="0.2">
      <c r="A107" s="28">
        <v>35</v>
      </c>
      <c r="B107" s="29" t="s">
        <v>381</v>
      </c>
      <c r="C107" s="29" t="s">
        <v>382</v>
      </c>
      <c r="D107" s="29" t="s">
        <v>146</v>
      </c>
      <c r="E107" s="30">
        <v>1000</v>
      </c>
      <c r="F107" s="31">
        <v>4907.3599999999997</v>
      </c>
      <c r="G107" s="86">
        <v>7.4137400000000003E-3</v>
      </c>
      <c r="H107" s="18">
        <v>7.92</v>
      </c>
    </row>
    <row r="108" spans="1:8" x14ac:dyDescent="0.2">
      <c r="A108" s="28">
        <v>36</v>
      </c>
      <c r="B108" s="29" t="s">
        <v>383</v>
      </c>
      <c r="C108" s="29" t="s">
        <v>684</v>
      </c>
      <c r="D108" s="29" t="s">
        <v>146</v>
      </c>
      <c r="E108" s="30">
        <v>1000</v>
      </c>
      <c r="F108" s="31">
        <v>4907.0200000000004</v>
      </c>
      <c r="G108" s="86">
        <v>7.4132299999999998E-3</v>
      </c>
      <c r="H108" s="18">
        <v>0</v>
      </c>
    </row>
    <row r="109" spans="1:8" x14ac:dyDescent="0.2">
      <c r="A109" s="28">
        <v>37</v>
      </c>
      <c r="B109" s="29" t="s">
        <v>384</v>
      </c>
      <c r="C109" s="29" t="s">
        <v>385</v>
      </c>
      <c r="D109" s="29" t="s">
        <v>146</v>
      </c>
      <c r="E109" s="30">
        <v>1000</v>
      </c>
      <c r="F109" s="31">
        <v>4906.4399999999996</v>
      </c>
      <c r="G109" s="86">
        <v>7.4123499999999998E-3</v>
      </c>
      <c r="H109" s="18">
        <v>8</v>
      </c>
    </row>
    <row r="110" spans="1:8" x14ac:dyDescent="0.2">
      <c r="A110" s="19"/>
      <c r="B110" s="19"/>
      <c r="C110" s="20" t="s">
        <v>11</v>
      </c>
      <c r="D110" s="19"/>
      <c r="E110" s="19" t="s">
        <v>12</v>
      </c>
      <c r="F110" s="27">
        <v>281742.10749999998</v>
      </c>
      <c r="G110" s="85">
        <v>0.42563905000000002</v>
      </c>
      <c r="H110" s="18" t="s">
        <v>12</v>
      </c>
    </row>
    <row r="111" spans="1:8" x14ac:dyDescent="0.2">
      <c r="A111" s="19"/>
      <c r="B111" s="19"/>
      <c r="C111" s="24"/>
      <c r="D111" s="19"/>
      <c r="E111" s="19"/>
      <c r="F111" s="25"/>
      <c r="G111" s="25"/>
      <c r="H111" s="18" t="s">
        <v>12</v>
      </c>
    </row>
    <row r="112" spans="1:8" x14ac:dyDescent="0.2">
      <c r="A112" s="19"/>
      <c r="B112" s="19"/>
      <c r="C112" s="20" t="s">
        <v>93</v>
      </c>
      <c r="D112" s="19"/>
      <c r="E112" s="19"/>
      <c r="F112" s="25"/>
      <c r="G112" s="25"/>
      <c r="H112" s="18" t="s">
        <v>12</v>
      </c>
    </row>
    <row r="113" spans="1:8" x14ac:dyDescent="0.2">
      <c r="A113" s="28">
        <v>1</v>
      </c>
      <c r="B113" s="29" t="s">
        <v>386</v>
      </c>
      <c r="C113" s="29" t="s">
        <v>387</v>
      </c>
      <c r="D113" s="29" t="s">
        <v>75</v>
      </c>
      <c r="E113" s="30">
        <v>20000000</v>
      </c>
      <c r="F113" s="31">
        <v>19762</v>
      </c>
      <c r="G113" s="86">
        <v>2.9855240000000002E-2</v>
      </c>
      <c r="H113" s="18">
        <v>6.4648000000000003</v>
      </c>
    </row>
    <row r="114" spans="1:8" x14ac:dyDescent="0.2">
      <c r="A114" s="28">
        <v>2</v>
      </c>
      <c r="B114" s="29" t="s">
        <v>388</v>
      </c>
      <c r="C114" s="29" t="s">
        <v>389</v>
      </c>
      <c r="D114" s="29" t="s">
        <v>75</v>
      </c>
      <c r="E114" s="30">
        <v>10000000</v>
      </c>
      <c r="F114" s="31">
        <v>9967.08</v>
      </c>
      <c r="G114" s="86">
        <v>1.505766E-2</v>
      </c>
      <c r="H114" s="18">
        <v>6.3445</v>
      </c>
    </row>
    <row r="115" spans="1:8" x14ac:dyDescent="0.2">
      <c r="A115" s="28">
        <v>3</v>
      </c>
      <c r="B115" s="29" t="s">
        <v>390</v>
      </c>
      <c r="C115" s="29" t="s">
        <v>391</v>
      </c>
      <c r="D115" s="29" t="s">
        <v>75</v>
      </c>
      <c r="E115" s="30">
        <v>10000000</v>
      </c>
      <c r="F115" s="31">
        <v>9905.11</v>
      </c>
      <c r="G115" s="86">
        <v>1.496404E-2</v>
      </c>
      <c r="H115" s="18">
        <v>6.4749999999999996</v>
      </c>
    </row>
    <row r="116" spans="1:8" x14ac:dyDescent="0.2">
      <c r="A116" s="28">
        <v>4</v>
      </c>
      <c r="B116" s="29" t="s">
        <v>219</v>
      </c>
      <c r="C116" s="29" t="s">
        <v>220</v>
      </c>
      <c r="D116" s="29" t="s">
        <v>75</v>
      </c>
      <c r="E116" s="30">
        <v>10000000</v>
      </c>
      <c r="F116" s="31">
        <v>9892.8799999999992</v>
      </c>
      <c r="G116" s="86">
        <v>1.494557E-2</v>
      </c>
      <c r="H116" s="18">
        <v>6.4794</v>
      </c>
    </row>
    <row r="117" spans="1:8" x14ac:dyDescent="0.2">
      <c r="A117" s="28">
        <v>5</v>
      </c>
      <c r="B117" s="29" t="s">
        <v>392</v>
      </c>
      <c r="C117" s="29" t="s">
        <v>393</v>
      </c>
      <c r="D117" s="29" t="s">
        <v>75</v>
      </c>
      <c r="E117" s="30">
        <v>10000000</v>
      </c>
      <c r="F117" s="31">
        <v>9868.6</v>
      </c>
      <c r="G117" s="86">
        <v>1.4908889999999999E-2</v>
      </c>
      <c r="H117" s="18">
        <v>6.48</v>
      </c>
    </row>
    <row r="118" spans="1:8" x14ac:dyDescent="0.2">
      <c r="A118" s="28">
        <v>6</v>
      </c>
      <c r="B118" s="29" t="s">
        <v>394</v>
      </c>
      <c r="C118" s="29" t="s">
        <v>395</v>
      </c>
      <c r="D118" s="29" t="s">
        <v>75</v>
      </c>
      <c r="E118" s="30">
        <v>3803600</v>
      </c>
      <c r="F118" s="31">
        <v>3743.9785700000002</v>
      </c>
      <c r="G118" s="86">
        <v>5.6561800000000002E-3</v>
      </c>
      <c r="H118" s="18">
        <v>6.4584999999999999</v>
      </c>
    </row>
    <row r="119" spans="1:8" x14ac:dyDescent="0.2">
      <c r="A119" s="28">
        <v>7</v>
      </c>
      <c r="B119" s="29" t="s">
        <v>396</v>
      </c>
      <c r="C119" s="29" t="s">
        <v>397</v>
      </c>
      <c r="D119" s="29" t="s">
        <v>75</v>
      </c>
      <c r="E119" s="30">
        <v>2500000</v>
      </c>
      <c r="F119" s="31">
        <v>2482.085</v>
      </c>
      <c r="G119" s="86">
        <v>3.7497899999999998E-3</v>
      </c>
      <c r="H119" s="18">
        <v>6.4255000000000004</v>
      </c>
    </row>
    <row r="120" spans="1:8" x14ac:dyDescent="0.2">
      <c r="A120" s="19"/>
      <c r="B120" s="19"/>
      <c r="C120" s="20" t="s">
        <v>11</v>
      </c>
      <c r="D120" s="19"/>
      <c r="E120" s="19" t="s">
        <v>12</v>
      </c>
      <c r="F120" s="27">
        <v>65621.733569999997</v>
      </c>
      <c r="G120" s="85">
        <v>9.9137370000000002E-2</v>
      </c>
      <c r="H120" s="18" t="s">
        <v>12</v>
      </c>
    </row>
    <row r="121" spans="1:8" x14ac:dyDescent="0.2">
      <c r="A121" s="19"/>
      <c r="B121" s="19"/>
      <c r="C121" s="24"/>
      <c r="D121" s="19"/>
      <c r="E121" s="19"/>
      <c r="F121" s="25"/>
      <c r="G121" s="25"/>
      <c r="H121" s="18" t="s">
        <v>12</v>
      </c>
    </row>
    <row r="122" spans="1:8" x14ac:dyDescent="0.2">
      <c r="A122" s="19"/>
      <c r="B122" s="19"/>
      <c r="C122" s="20" t="s">
        <v>94</v>
      </c>
      <c r="D122" s="19"/>
      <c r="E122" s="19"/>
      <c r="F122" s="25"/>
      <c r="G122" s="25"/>
      <c r="H122" s="18" t="s">
        <v>12</v>
      </c>
    </row>
    <row r="123" spans="1:8" x14ac:dyDescent="0.2">
      <c r="A123" s="28">
        <v>1</v>
      </c>
      <c r="B123" s="29"/>
      <c r="C123" s="29" t="s">
        <v>398</v>
      </c>
      <c r="D123" s="29"/>
      <c r="E123" s="33"/>
      <c r="F123" s="31">
        <v>37479.528248399998</v>
      </c>
      <c r="G123" s="86">
        <v>5.6621820000000003E-2</v>
      </c>
      <c r="H123" s="18">
        <v>6.48</v>
      </c>
    </row>
    <row r="124" spans="1:8" x14ac:dyDescent="0.2">
      <c r="A124" s="28">
        <v>2</v>
      </c>
      <c r="B124" s="29"/>
      <c r="C124" s="29" t="s">
        <v>95</v>
      </c>
      <c r="D124" s="29"/>
      <c r="E124" s="33"/>
      <c r="F124" s="31">
        <v>21432.565829924999</v>
      </c>
      <c r="G124" s="86">
        <v>3.2379030000000003E-2</v>
      </c>
      <c r="H124" s="18">
        <v>6.23</v>
      </c>
    </row>
    <row r="125" spans="1:8" x14ac:dyDescent="0.2">
      <c r="A125" s="19"/>
      <c r="B125" s="19"/>
      <c r="C125" s="20" t="s">
        <v>11</v>
      </c>
      <c r="D125" s="19"/>
      <c r="E125" s="19" t="s">
        <v>12</v>
      </c>
      <c r="F125" s="27">
        <v>58912.094078324997</v>
      </c>
      <c r="G125" s="85">
        <v>8.9000850000000006E-2</v>
      </c>
      <c r="H125" s="18" t="s">
        <v>12</v>
      </c>
    </row>
    <row r="126" spans="1:8" x14ac:dyDescent="0.2">
      <c r="A126" s="19"/>
      <c r="B126" s="19"/>
      <c r="C126" s="24"/>
      <c r="D126" s="19"/>
      <c r="E126" s="19"/>
      <c r="F126" s="25"/>
      <c r="G126" s="25"/>
      <c r="H126" s="18" t="s">
        <v>12</v>
      </c>
    </row>
    <row r="127" spans="1:8" x14ac:dyDescent="0.2">
      <c r="A127" s="19"/>
      <c r="B127" s="19"/>
      <c r="C127" s="20" t="s">
        <v>96</v>
      </c>
      <c r="D127" s="19"/>
      <c r="E127" s="19"/>
      <c r="F127" s="27">
        <v>663700.36264832504</v>
      </c>
      <c r="G127" s="85">
        <v>1.0026786000000001</v>
      </c>
      <c r="H127" s="18" t="s">
        <v>12</v>
      </c>
    </row>
    <row r="128" spans="1:8" x14ac:dyDescent="0.2">
      <c r="A128" s="19"/>
      <c r="B128" s="19"/>
      <c r="C128" s="25"/>
      <c r="D128" s="19"/>
      <c r="E128" s="19"/>
      <c r="F128" s="19"/>
      <c r="G128" s="19"/>
      <c r="H128" s="18" t="s">
        <v>12</v>
      </c>
    </row>
    <row r="129" spans="1:17" x14ac:dyDescent="0.2">
      <c r="A129" s="19"/>
      <c r="B129" s="19"/>
      <c r="C129" s="20" t="s">
        <v>97</v>
      </c>
      <c r="D129" s="19"/>
      <c r="E129" s="19"/>
      <c r="F129" s="19"/>
      <c r="G129" s="19"/>
      <c r="H129" s="18" t="s">
        <v>12</v>
      </c>
    </row>
    <row r="130" spans="1:17" x14ac:dyDescent="0.2">
      <c r="A130" s="19"/>
      <c r="B130" s="19"/>
      <c r="C130" s="20" t="s">
        <v>98</v>
      </c>
      <c r="D130" s="19"/>
      <c r="E130" s="19"/>
      <c r="F130" s="19"/>
      <c r="G130" s="19"/>
      <c r="H130" s="18" t="s">
        <v>12</v>
      </c>
    </row>
    <row r="131" spans="1:17" x14ac:dyDescent="0.2">
      <c r="A131" s="19"/>
      <c r="B131" s="19"/>
      <c r="C131" s="20" t="s">
        <v>11</v>
      </c>
      <c r="D131" s="19"/>
      <c r="E131" s="19" t="s">
        <v>12</v>
      </c>
      <c r="F131" s="22" t="s">
        <v>13</v>
      </c>
      <c r="G131" s="85">
        <v>0</v>
      </c>
      <c r="H131" s="18" t="s">
        <v>12</v>
      </c>
    </row>
    <row r="132" spans="1:17" x14ac:dyDescent="0.2">
      <c r="A132" s="34"/>
      <c r="B132" s="34"/>
      <c r="C132" s="35"/>
      <c r="D132" s="34"/>
      <c r="E132" s="34"/>
      <c r="F132" s="36"/>
      <c r="G132" s="36"/>
      <c r="H132" s="37" t="s">
        <v>12</v>
      </c>
    </row>
    <row r="133" spans="1:17" ht="25.5" x14ac:dyDescent="0.2">
      <c r="A133" s="34"/>
      <c r="B133" s="34"/>
      <c r="C133" s="38" t="s">
        <v>552</v>
      </c>
      <c r="D133" s="34"/>
      <c r="E133" s="34"/>
      <c r="F133" s="36"/>
      <c r="G133" s="36"/>
      <c r="H133" s="39"/>
      <c r="K133" s="40"/>
      <c r="L133" s="40"/>
      <c r="M133" s="40"/>
      <c r="N133" s="40"/>
      <c r="O133" s="41"/>
      <c r="P133" s="41"/>
      <c r="Q133" s="41"/>
    </row>
    <row r="134" spans="1:17" ht="25.5" x14ac:dyDescent="0.2">
      <c r="A134" s="42">
        <v>1</v>
      </c>
      <c r="B134" s="43" t="s">
        <v>99</v>
      </c>
      <c r="C134" s="43" t="s">
        <v>100</v>
      </c>
      <c r="D134" s="43"/>
      <c r="E134" s="44">
        <v>13489.8614</v>
      </c>
      <c r="F134" s="39">
        <v>1479.7790337439999</v>
      </c>
      <c r="G134" s="45">
        <v>2.2355600000000002E-3</v>
      </c>
      <c r="H134" s="37"/>
    </row>
    <row r="135" spans="1:17" x14ac:dyDescent="0.2">
      <c r="A135" s="34"/>
      <c r="B135" s="34"/>
      <c r="C135" s="38" t="s">
        <v>11</v>
      </c>
      <c r="D135" s="34"/>
      <c r="E135" s="34" t="s">
        <v>12</v>
      </c>
      <c r="F135" s="46">
        <v>1479.7790337439999</v>
      </c>
      <c r="G135" s="47">
        <v>2.2355600000000002E-3</v>
      </c>
      <c r="H135" s="37" t="s">
        <v>12</v>
      </c>
    </row>
    <row r="136" spans="1:17" x14ac:dyDescent="0.2">
      <c r="A136" s="19"/>
      <c r="B136" s="19"/>
      <c r="C136" s="24"/>
      <c r="D136" s="19"/>
      <c r="E136" s="19"/>
      <c r="F136" s="25"/>
      <c r="G136" s="25"/>
      <c r="H136" s="18" t="s">
        <v>12</v>
      </c>
    </row>
    <row r="137" spans="1:17" x14ac:dyDescent="0.2">
      <c r="A137" s="19"/>
      <c r="B137" s="19"/>
      <c r="C137" s="20" t="s">
        <v>101</v>
      </c>
      <c r="D137" s="19"/>
      <c r="E137" s="19"/>
      <c r="F137" s="19"/>
      <c r="G137" s="19"/>
      <c r="H137" s="18" t="s">
        <v>12</v>
      </c>
    </row>
    <row r="138" spans="1:17" x14ac:dyDescent="0.2">
      <c r="A138" s="19"/>
      <c r="B138" s="19"/>
      <c r="C138" s="20" t="s">
        <v>102</v>
      </c>
      <c r="D138" s="19"/>
      <c r="E138" s="19"/>
      <c r="F138" s="19"/>
      <c r="G138" s="19"/>
      <c r="H138" s="18" t="s">
        <v>12</v>
      </c>
    </row>
    <row r="139" spans="1:17" x14ac:dyDescent="0.2">
      <c r="A139" s="19"/>
      <c r="B139" s="19"/>
      <c r="C139" s="20" t="s">
        <v>11</v>
      </c>
      <c r="D139" s="19"/>
      <c r="E139" s="19" t="s">
        <v>12</v>
      </c>
      <c r="F139" s="22" t="s">
        <v>13</v>
      </c>
      <c r="G139" s="85">
        <v>0</v>
      </c>
      <c r="H139" s="18" t="s">
        <v>12</v>
      </c>
    </row>
    <row r="140" spans="1:17" x14ac:dyDescent="0.2">
      <c r="A140" s="19"/>
      <c r="B140" s="19"/>
      <c r="C140" s="24"/>
      <c r="D140" s="19"/>
      <c r="E140" s="19"/>
      <c r="F140" s="25"/>
      <c r="G140" s="25"/>
      <c r="H140" s="18" t="s">
        <v>12</v>
      </c>
    </row>
    <row r="141" spans="1:17" ht="25.5" x14ac:dyDescent="0.2">
      <c r="A141" s="19"/>
      <c r="B141" s="19"/>
      <c r="C141" s="20" t="s">
        <v>103</v>
      </c>
      <c r="D141" s="19"/>
      <c r="E141" s="19"/>
      <c r="F141" s="25"/>
      <c r="G141" s="25"/>
      <c r="H141" s="18" t="s">
        <v>12</v>
      </c>
    </row>
    <row r="142" spans="1:17" x14ac:dyDescent="0.2">
      <c r="A142" s="19"/>
      <c r="B142" s="19"/>
      <c r="C142" s="20" t="s">
        <v>11</v>
      </c>
      <c r="D142" s="19"/>
      <c r="E142" s="19" t="s">
        <v>12</v>
      </c>
      <c r="F142" s="22" t="s">
        <v>13</v>
      </c>
      <c r="G142" s="85">
        <v>0</v>
      </c>
      <c r="H142" s="18" t="s">
        <v>12</v>
      </c>
    </row>
    <row r="143" spans="1:17" x14ac:dyDescent="0.2">
      <c r="A143" s="19"/>
      <c r="B143" s="19"/>
      <c r="C143" s="24"/>
      <c r="D143" s="19"/>
      <c r="E143" s="19"/>
      <c r="F143" s="25"/>
      <c r="G143" s="25"/>
      <c r="H143" s="18" t="s">
        <v>12</v>
      </c>
    </row>
    <row r="144" spans="1:17" x14ac:dyDescent="0.2">
      <c r="A144" s="33"/>
      <c r="B144" s="29"/>
      <c r="C144" s="29" t="s">
        <v>104</v>
      </c>
      <c r="D144" s="29"/>
      <c r="E144" s="33"/>
      <c r="F144" s="31">
        <f>-14247.53383958-0.000818249130249023</f>
        <v>-14247.534657829132</v>
      </c>
      <c r="G144" s="86">
        <f>F144/F145</f>
        <v>-2.152431749808224E-2</v>
      </c>
      <c r="H144" s="18" t="s">
        <v>12</v>
      </c>
    </row>
    <row r="145" spans="1:9" x14ac:dyDescent="0.2">
      <c r="A145" s="24"/>
      <c r="B145" s="24"/>
      <c r="C145" s="20" t="s">
        <v>105</v>
      </c>
      <c r="D145" s="25"/>
      <c r="E145" s="25"/>
      <c r="F145" s="27">
        <f>F144+F135+F127+F40+F24</f>
        <v>661927.36002423998</v>
      </c>
      <c r="G145" s="87">
        <f>G144+G135+G127+G40+G24</f>
        <v>1.0000000525019179</v>
      </c>
      <c r="H145" s="18" t="s">
        <v>12</v>
      </c>
    </row>
    <row r="146" spans="1:9" x14ac:dyDescent="0.2">
      <c r="A146" s="49"/>
      <c r="B146" s="49"/>
      <c r="C146" s="49"/>
      <c r="D146" s="50"/>
      <c r="E146" s="50"/>
      <c r="F146" s="50"/>
      <c r="G146" s="50"/>
    </row>
    <row r="147" spans="1:9" x14ac:dyDescent="0.2">
      <c r="A147" s="51"/>
      <c r="B147" s="171" t="s">
        <v>549</v>
      </c>
      <c r="C147" s="171"/>
      <c r="D147" s="171"/>
      <c r="E147" s="171"/>
      <c r="F147" s="171"/>
      <c r="G147" s="171"/>
      <c r="H147" s="171"/>
    </row>
    <row r="148" spans="1:9" x14ac:dyDescent="0.2">
      <c r="A148" s="51"/>
      <c r="B148" s="171" t="s">
        <v>550</v>
      </c>
      <c r="C148" s="171"/>
      <c r="D148" s="171"/>
      <c r="E148" s="171"/>
      <c r="F148" s="171"/>
      <c r="G148" s="171"/>
      <c r="H148" s="171"/>
    </row>
    <row r="149" spans="1:9" x14ac:dyDescent="0.2">
      <c r="A149" s="51"/>
      <c r="B149" s="171" t="s">
        <v>551</v>
      </c>
      <c r="C149" s="171"/>
      <c r="D149" s="171"/>
      <c r="E149" s="171"/>
      <c r="F149" s="171"/>
      <c r="G149" s="171"/>
      <c r="H149" s="171"/>
    </row>
    <row r="150" spans="1:9" x14ac:dyDescent="0.2">
      <c r="A150" s="51"/>
      <c r="B150" s="182" t="s">
        <v>610</v>
      </c>
      <c r="C150" s="171"/>
      <c r="D150" s="171"/>
      <c r="E150" s="171"/>
      <c r="F150" s="171"/>
      <c r="G150" s="171"/>
      <c r="H150" s="171"/>
    </row>
    <row r="151" spans="1:9" x14ac:dyDescent="0.2">
      <c r="A151" s="53"/>
      <c r="B151" s="53"/>
      <c r="C151" s="53"/>
      <c r="D151" s="54"/>
      <c r="E151" s="54"/>
      <c r="F151" s="54"/>
      <c r="G151" s="54"/>
    </row>
    <row r="152" spans="1:9" x14ac:dyDescent="0.2">
      <c r="A152" s="53"/>
      <c r="B152" s="174" t="s">
        <v>106</v>
      </c>
      <c r="C152" s="175"/>
      <c r="D152" s="176"/>
      <c r="E152" s="55"/>
      <c r="F152" s="54"/>
      <c r="G152" s="54"/>
    </row>
    <row r="153" spans="1:9" ht="25.5" x14ac:dyDescent="0.2">
      <c r="A153" s="53"/>
      <c r="B153" s="177" t="s">
        <v>107</v>
      </c>
      <c r="C153" s="178"/>
      <c r="D153" s="38" t="s">
        <v>578</v>
      </c>
      <c r="E153" s="55"/>
      <c r="F153" s="54"/>
      <c r="G153" s="54"/>
    </row>
    <row r="154" spans="1:9" x14ac:dyDescent="0.2">
      <c r="A154" s="53"/>
      <c r="B154" s="177" t="s">
        <v>109</v>
      </c>
      <c r="C154" s="178"/>
      <c r="D154" s="20" t="s">
        <v>108</v>
      </c>
      <c r="E154" s="55"/>
      <c r="F154" s="54"/>
      <c r="G154" s="54"/>
    </row>
    <row r="155" spans="1:9" x14ac:dyDescent="0.2">
      <c r="A155" s="53"/>
      <c r="B155" s="177" t="s">
        <v>110</v>
      </c>
      <c r="C155" s="178"/>
      <c r="D155" s="25" t="s">
        <v>12</v>
      </c>
      <c r="E155" s="55"/>
      <c r="F155" s="54"/>
      <c r="G155" s="54"/>
    </row>
    <row r="156" spans="1:9" x14ac:dyDescent="0.2">
      <c r="A156" s="56"/>
      <c r="B156" s="57" t="s">
        <v>12</v>
      </c>
      <c r="C156" s="57" t="s">
        <v>553</v>
      </c>
      <c r="D156" s="57" t="s">
        <v>111</v>
      </c>
      <c r="E156" s="56"/>
      <c r="F156" s="56"/>
      <c r="G156" s="56"/>
    </row>
    <row r="157" spans="1:9" x14ac:dyDescent="0.2">
      <c r="A157" s="56"/>
      <c r="B157" s="58" t="s">
        <v>112</v>
      </c>
      <c r="C157" s="59">
        <v>45688</v>
      </c>
      <c r="D157" s="59">
        <v>45716</v>
      </c>
      <c r="E157" s="56"/>
      <c r="F157" s="56"/>
      <c r="G157" s="56"/>
      <c r="I157"/>
    </row>
    <row r="158" spans="1:9" x14ac:dyDescent="0.2">
      <c r="A158" s="60"/>
      <c r="B158" s="29" t="s">
        <v>113</v>
      </c>
      <c r="C158" s="61">
        <v>2263.2276999999999</v>
      </c>
      <c r="D158" s="61">
        <v>2275.6008999999999</v>
      </c>
      <c r="E158" s="60"/>
      <c r="F158" s="62"/>
      <c r="G158" s="63"/>
    </row>
    <row r="159" spans="1:9" x14ac:dyDescent="0.2">
      <c r="A159" s="60"/>
      <c r="B159" s="29" t="s">
        <v>141</v>
      </c>
      <c r="C159" s="61">
        <v>1244.5623000000001</v>
      </c>
      <c r="D159" s="61">
        <v>1251.3658</v>
      </c>
      <c r="E159" s="60"/>
      <c r="F159" s="62"/>
      <c r="G159" s="63"/>
    </row>
    <row r="160" spans="1:9" ht="25.5" x14ac:dyDescent="0.2">
      <c r="A160" s="60"/>
      <c r="B160" s="29" t="s">
        <v>674</v>
      </c>
      <c r="C160" s="61">
        <v>1026.9078</v>
      </c>
      <c r="D160" s="61">
        <v>1026.27</v>
      </c>
      <c r="E160" s="60"/>
      <c r="F160" s="62"/>
      <c r="G160" s="63"/>
    </row>
    <row r="161" spans="1:17" ht="25.5" x14ac:dyDescent="0.2">
      <c r="A161" s="60"/>
      <c r="B161" s="29" t="s">
        <v>675</v>
      </c>
      <c r="C161" s="61">
        <v>1144.547</v>
      </c>
      <c r="D161" s="61">
        <v>1150.8009999999999</v>
      </c>
      <c r="E161" s="60"/>
      <c r="F161" s="62"/>
      <c r="G161" s="63"/>
    </row>
    <row r="162" spans="1:17" x14ac:dyDescent="0.2">
      <c r="A162" s="60"/>
      <c r="B162" s="29" t="s">
        <v>114</v>
      </c>
      <c r="C162" s="61">
        <v>2239.1480999999999</v>
      </c>
      <c r="D162" s="61">
        <v>2250.9232000000002</v>
      </c>
      <c r="E162" s="60"/>
      <c r="F162" s="62"/>
      <c r="G162" s="63"/>
    </row>
    <row r="163" spans="1:17" x14ac:dyDescent="0.2">
      <c r="A163" s="60"/>
      <c r="B163" s="29" t="s">
        <v>142</v>
      </c>
      <c r="C163" s="61">
        <v>1239.4364</v>
      </c>
      <c r="D163" s="61">
        <v>1245.9544000000001</v>
      </c>
      <c r="E163" s="60"/>
      <c r="F163" s="62"/>
      <c r="G163" s="63"/>
    </row>
    <row r="164" spans="1:17" ht="25.5" x14ac:dyDescent="0.2">
      <c r="A164" s="60"/>
      <c r="B164" s="29" t="s">
        <v>678</v>
      </c>
      <c r="C164" s="61">
        <v>1026.7755</v>
      </c>
      <c r="D164" s="61">
        <v>1026.1311000000001</v>
      </c>
      <c r="E164" s="60"/>
      <c r="F164" s="62"/>
      <c r="G164" s="63"/>
    </row>
    <row r="165" spans="1:17" ht="25.5" x14ac:dyDescent="0.2">
      <c r="A165" s="60"/>
      <c r="B165" s="29" t="s">
        <v>673</v>
      </c>
      <c r="C165" s="61">
        <v>1140.0446999999999</v>
      </c>
      <c r="D165" s="61">
        <v>1146.04</v>
      </c>
      <c r="E165" s="60"/>
      <c r="F165" s="62"/>
      <c r="G165" s="63"/>
    </row>
    <row r="166" spans="1:17" x14ac:dyDescent="0.2">
      <c r="A166" s="60"/>
      <c r="B166" s="60"/>
      <c r="C166" s="60"/>
      <c r="D166" s="60"/>
      <c r="E166" s="60"/>
      <c r="F166" s="60"/>
      <c r="G166" s="60"/>
    </row>
    <row r="167" spans="1:17" x14ac:dyDescent="0.2">
      <c r="A167" s="60"/>
      <c r="B167" s="177" t="s">
        <v>554</v>
      </c>
      <c r="C167" s="178"/>
      <c r="D167" s="20" t="s">
        <v>12</v>
      </c>
      <c r="E167" s="60"/>
      <c r="F167" s="60"/>
      <c r="G167" s="60"/>
    </row>
    <row r="168" spans="1:17" x14ac:dyDescent="0.2">
      <c r="A168" s="60"/>
      <c r="B168" s="64" t="s">
        <v>112</v>
      </c>
      <c r="C168" s="65" t="s">
        <v>115</v>
      </c>
      <c r="D168" s="65" t="s">
        <v>116</v>
      </c>
      <c r="E168" s="60"/>
      <c r="F168" s="60"/>
      <c r="G168" s="60"/>
    </row>
    <row r="169" spans="1:17" ht="25.5" x14ac:dyDescent="0.2">
      <c r="A169" s="60"/>
      <c r="B169" s="29" t="s">
        <v>674</v>
      </c>
      <c r="C169" s="66">
        <v>6.2401999999999997</v>
      </c>
      <c r="D169" s="66">
        <v>6.2401999999999997</v>
      </c>
      <c r="E169" s="60"/>
      <c r="F169" s="62"/>
      <c r="G169" s="63"/>
    </row>
    <row r="170" spans="1:17" ht="25.5" x14ac:dyDescent="0.2">
      <c r="A170" s="60"/>
      <c r="B170" s="29" t="s">
        <v>678</v>
      </c>
      <c r="C170" s="66">
        <v>6.0332999999999997</v>
      </c>
      <c r="D170" s="66">
        <v>6.0332999999999997</v>
      </c>
      <c r="E170" s="60"/>
      <c r="F170" s="62"/>
      <c r="G170" s="63"/>
    </row>
    <row r="171" spans="1:17" x14ac:dyDescent="0.2">
      <c r="A171" s="60"/>
      <c r="B171" s="70"/>
      <c r="C171" s="70"/>
      <c r="D171" s="70"/>
      <c r="E171" s="60"/>
      <c r="F171" s="60"/>
      <c r="G171" s="60"/>
    </row>
    <row r="172" spans="1:17" s="71" customFormat="1" x14ac:dyDescent="0.2">
      <c r="A172" s="81"/>
      <c r="B172" s="172" t="s">
        <v>569</v>
      </c>
      <c r="C172" s="173"/>
      <c r="D172" s="38" t="s">
        <v>108</v>
      </c>
      <c r="E172" s="81"/>
      <c r="F172" s="81"/>
      <c r="G172" s="81"/>
      <c r="I172" s="83"/>
      <c r="J172" s="82"/>
      <c r="K172" s="40"/>
      <c r="L172" s="40"/>
      <c r="M172" s="40"/>
      <c r="N172" s="40"/>
      <c r="O172" s="77"/>
      <c r="P172"/>
      <c r="Q172"/>
    </row>
    <row r="173" spans="1:17" ht="27.75" customHeight="1" x14ac:dyDescent="0.2">
      <c r="A173" s="56"/>
      <c r="B173" s="172" t="s">
        <v>570</v>
      </c>
      <c r="C173" s="173"/>
      <c r="D173" s="38" t="s">
        <v>108</v>
      </c>
      <c r="E173" s="69"/>
      <c r="F173" s="56"/>
      <c r="G173" s="56"/>
      <c r="J173" s="82"/>
    </row>
    <row r="174" spans="1:17" ht="26.25" customHeight="1" x14ac:dyDescent="0.2">
      <c r="A174" s="56"/>
      <c r="B174" s="172" t="s">
        <v>571</v>
      </c>
      <c r="C174" s="173"/>
      <c r="D174" s="38" t="s">
        <v>108</v>
      </c>
      <c r="E174" s="69"/>
      <c r="F174" s="56"/>
      <c r="G174" s="56"/>
      <c r="J174" s="82"/>
    </row>
    <row r="175" spans="1:17" x14ac:dyDescent="0.2">
      <c r="A175" s="56"/>
      <c r="B175" s="172" t="s">
        <v>572</v>
      </c>
      <c r="C175" s="173"/>
      <c r="D175" s="38" t="s">
        <v>108</v>
      </c>
      <c r="E175" s="69"/>
      <c r="F175" s="56"/>
      <c r="G175" s="56"/>
      <c r="J175" s="82"/>
    </row>
    <row r="176" spans="1:17" x14ac:dyDescent="0.2">
      <c r="A176" s="70"/>
      <c r="B176" s="70"/>
      <c r="C176" s="70"/>
      <c r="D176" s="70"/>
      <c r="E176" s="70"/>
      <c r="F176" s="70"/>
      <c r="G176" s="70"/>
      <c r="J176" s="82"/>
    </row>
    <row r="177" spans="2:18" s="71" customFormat="1" x14ac:dyDescent="0.2">
      <c r="B177" s="89" t="s">
        <v>669</v>
      </c>
      <c r="C177" s="89"/>
      <c r="D177" s="89"/>
      <c r="E177" s="89"/>
      <c r="F177" s="89"/>
      <c r="G177" s="89"/>
      <c r="I177" s="83"/>
      <c r="J177" s="82"/>
      <c r="K177" s="40"/>
      <c r="L177" s="40"/>
      <c r="M177" s="40"/>
      <c r="N177" s="40"/>
      <c r="O177"/>
    </row>
    <row r="178" spans="2:18" s="71" customFormat="1" x14ac:dyDescent="0.2">
      <c r="B178" s="89"/>
      <c r="C178" s="89"/>
      <c r="D178" s="89"/>
      <c r="E178" s="89"/>
      <c r="F178" s="89"/>
      <c r="G178" s="89"/>
      <c r="I178" s="83"/>
      <c r="J178" s="82"/>
      <c r="K178" s="40"/>
      <c r="L178" s="40"/>
      <c r="M178" s="40"/>
      <c r="N178" s="40"/>
      <c r="O178"/>
    </row>
    <row r="179" spans="2:18" s="71" customFormat="1" ht="63.75" x14ac:dyDescent="0.2">
      <c r="B179" s="92" t="s">
        <v>581</v>
      </c>
      <c r="C179" s="92" t="s">
        <v>580</v>
      </c>
      <c r="D179" s="92" t="s">
        <v>611</v>
      </c>
      <c r="E179" s="92" t="s">
        <v>612</v>
      </c>
      <c r="F179" s="92" t="s">
        <v>584</v>
      </c>
      <c r="I179" s="83"/>
      <c r="J179" s="82"/>
      <c r="K179" s="40"/>
      <c r="L179" s="40"/>
      <c r="M179" s="40"/>
      <c r="N179" s="40"/>
      <c r="O179"/>
    </row>
    <row r="180" spans="2:18" s="71" customFormat="1" ht="25.5" x14ac:dyDescent="0.2">
      <c r="B180" s="73" t="s">
        <v>586</v>
      </c>
      <c r="C180" s="94" t="s">
        <v>585</v>
      </c>
      <c r="D180" s="107">
        <v>0</v>
      </c>
      <c r="E180" s="10">
        <v>0</v>
      </c>
      <c r="F180" s="95">
        <v>5650</v>
      </c>
      <c r="I180" s="83"/>
      <c r="J180" s="82"/>
      <c r="K180" s="40"/>
      <c r="L180" s="40"/>
      <c r="M180" s="40"/>
      <c r="N180" s="40"/>
      <c r="O180"/>
      <c r="R180"/>
    </row>
    <row r="181" spans="2:18" s="71" customFormat="1" x14ac:dyDescent="0.2">
      <c r="I181" s="83"/>
      <c r="J181" s="82"/>
      <c r="K181" s="40"/>
      <c r="L181" s="40"/>
      <c r="M181" s="40"/>
      <c r="N181" s="40"/>
      <c r="O181"/>
      <c r="R181"/>
    </row>
    <row r="182" spans="2:18" s="71" customFormat="1" x14ac:dyDescent="0.2">
      <c r="B182" s="166" t="s">
        <v>556</v>
      </c>
      <c r="C182" s="167"/>
      <c r="D182" s="168"/>
      <c r="I182" s="83"/>
      <c r="J182" s="82"/>
      <c r="K182" s="40"/>
      <c r="L182" s="40"/>
      <c r="M182" s="40"/>
      <c r="N182" s="40"/>
      <c r="O182"/>
      <c r="R182"/>
    </row>
    <row r="183" spans="2:18" s="71" customFormat="1" ht="25.5" x14ac:dyDescent="0.2">
      <c r="B183" s="169" t="s">
        <v>557</v>
      </c>
      <c r="C183" s="169"/>
      <c r="D183" s="72" t="s">
        <v>268</v>
      </c>
      <c r="I183" s="83"/>
      <c r="J183" s="82"/>
      <c r="K183" s="40"/>
      <c r="L183" s="40"/>
      <c r="M183" s="40"/>
      <c r="N183" s="40"/>
      <c r="O183"/>
      <c r="R183"/>
    </row>
    <row r="184" spans="2:18" s="71" customFormat="1" x14ac:dyDescent="0.2">
      <c r="B184" s="165" t="s">
        <v>558</v>
      </c>
      <c r="C184" s="165"/>
      <c r="D184" s="73"/>
      <c r="I184" s="83"/>
      <c r="J184" s="82"/>
      <c r="K184" s="40"/>
      <c r="L184" s="40"/>
      <c r="M184" s="40"/>
      <c r="N184" s="40"/>
      <c r="O184"/>
      <c r="R184"/>
    </row>
    <row r="185" spans="2:18" s="71" customFormat="1" x14ac:dyDescent="0.2">
      <c r="B185" s="165"/>
      <c r="C185" s="165"/>
      <c r="D185" s="74"/>
      <c r="I185" s="83"/>
      <c r="J185" s="82"/>
      <c r="K185" s="40"/>
      <c r="L185" s="40"/>
      <c r="M185" s="40"/>
      <c r="N185" s="40"/>
      <c r="O185"/>
      <c r="R185"/>
    </row>
    <row r="186" spans="2:18" s="71" customFormat="1" x14ac:dyDescent="0.2">
      <c r="B186" s="165" t="s">
        <v>559</v>
      </c>
      <c r="C186" s="165"/>
      <c r="D186" s="75">
        <v>7.2180470525404399</v>
      </c>
      <c r="I186" s="83"/>
      <c r="J186" s="82"/>
      <c r="K186" s="40"/>
      <c r="L186" s="40"/>
      <c r="M186" s="40"/>
      <c r="N186" s="40"/>
      <c r="O186"/>
      <c r="R186"/>
    </row>
    <row r="187" spans="2:18" s="71" customFormat="1" x14ac:dyDescent="0.2">
      <c r="B187" s="165"/>
      <c r="C187" s="165"/>
      <c r="D187" s="74"/>
      <c r="I187" s="83"/>
      <c r="J187" s="82"/>
      <c r="K187" s="40"/>
      <c r="L187" s="40"/>
      <c r="M187" s="40"/>
      <c r="N187" s="40"/>
      <c r="O187"/>
      <c r="R187"/>
    </row>
    <row r="188" spans="2:18" s="71" customFormat="1" x14ac:dyDescent="0.2">
      <c r="B188" s="165" t="s">
        <v>560</v>
      </c>
      <c r="C188" s="165"/>
      <c r="D188" s="75">
        <v>0.13040121948993633</v>
      </c>
      <c r="I188" s="83"/>
      <c r="J188" s="82"/>
      <c r="K188" s="40"/>
      <c r="L188" s="40"/>
      <c r="M188" s="40"/>
      <c r="N188" s="40"/>
      <c r="O188"/>
      <c r="R188"/>
    </row>
    <row r="189" spans="2:18" s="71" customFormat="1" x14ac:dyDescent="0.2">
      <c r="B189" s="165" t="s">
        <v>561</v>
      </c>
      <c r="C189" s="165"/>
      <c r="D189" s="75">
        <v>0.13040121948993633</v>
      </c>
      <c r="I189" s="83"/>
      <c r="J189" s="82"/>
      <c r="K189" s="40"/>
      <c r="L189" s="40"/>
      <c r="M189" s="40"/>
      <c r="N189" s="40"/>
      <c r="O189"/>
      <c r="R189"/>
    </row>
    <row r="190" spans="2:18" s="71" customFormat="1" x14ac:dyDescent="0.2">
      <c r="B190" s="165"/>
      <c r="C190" s="165"/>
      <c r="D190" s="74"/>
      <c r="I190" s="83"/>
      <c r="J190" s="82"/>
      <c r="K190" s="40"/>
      <c r="L190" s="40"/>
      <c r="M190" s="40"/>
      <c r="N190" s="40"/>
      <c r="O190"/>
      <c r="P190"/>
      <c r="Q190"/>
      <c r="R190"/>
    </row>
    <row r="191" spans="2:18" s="71" customFormat="1" ht="25.5" x14ac:dyDescent="0.2">
      <c r="B191" s="165" t="s">
        <v>562</v>
      </c>
      <c r="C191" s="165"/>
      <c r="D191" s="76" t="s">
        <v>668</v>
      </c>
      <c r="I191" s="83"/>
      <c r="J191" s="82"/>
      <c r="K191" s="40"/>
      <c r="L191" s="40"/>
      <c r="M191" s="40"/>
      <c r="N191" s="40"/>
      <c r="O191" s="77"/>
    </row>
    <row r="192" spans="2:18" s="71" customFormat="1" x14ac:dyDescent="0.2">
      <c r="B192" s="162" t="s">
        <v>563</v>
      </c>
      <c r="C192" s="163"/>
      <c r="D192" s="164"/>
      <c r="I192" s="83"/>
      <c r="J192" s="82"/>
      <c r="K192" s="40"/>
      <c r="L192" s="40"/>
      <c r="M192" s="40"/>
      <c r="N192" s="40"/>
      <c r="O192"/>
      <c r="P192"/>
      <c r="Q192"/>
      <c r="R192"/>
    </row>
    <row r="193" spans="2:10" x14ac:dyDescent="0.2">
      <c r="J193" s="82"/>
    </row>
    <row r="194" spans="2:10" ht="25.5" x14ac:dyDescent="0.2">
      <c r="B194" s="78" t="s">
        <v>564</v>
      </c>
    </row>
    <row r="196" spans="2:10" ht="153.75" customHeight="1" x14ac:dyDescent="0.2"/>
    <row r="199" spans="2:10" x14ac:dyDescent="0.2">
      <c r="B199" s="79" t="s">
        <v>565</v>
      </c>
      <c r="C199" s="80"/>
      <c r="D199" s="79" t="s">
        <v>566</v>
      </c>
    </row>
    <row r="200" spans="2:10" x14ac:dyDescent="0.2">
      <c r="B200" s="79" t="s">
        <v>613</v>
      </c>
      <c r="D200" s="79" t="s">
        <v>614</v>
      </c>
    </row>
    <row r="201" spans="2:10" ht="165" customHeight="1" x14ac:dyDescent="0.2"/>
    <row r="203" spans="2:10" x14ac:dyDescent="0.2">
      <c r="J203" s="82"/>
    </row>
  </sheetData>
  <mergeCells count="27">
    <mergeCell ref="B175:C175"/>
    <mergeCell ref="B152:D152"/>
    <mergeCell ref="B153:C153"/>
    <mergeCell ref="B154:C154"/>
    <mergeCell ref="B155:C155"/>
    <mergeCell ref="B167:C167"/>
    <mergeCell ref="B149:H149"/>
    <mergeCell ref="B150:H150"/>
    <mergeCell ref="B172:C172"/>
    <mergeCell ref="B173:C173"/>
    <mergeCell ref="B174:C174"/>
    <mergeCell ref="A3:H3"/>
    <mergeCell ref="A2:H2"/>
    <mergeCell ref="A1:H1"/>
    <mergeCell ref="B147:H147"/>
    <mergeCell ref="B148:H148"/>
    <mergeCell ref="B182:D182"/>
    <mergeCell ref="B183:C183"/>
    <mergeCell ref="B184:C184"/>
    <mergeCell ref="B185:C185"/>
    <mergeCell ref="B186:C186"/>
    <mergeCell ref="B192:D192"/>
    <mergeCell ref="B187:C187"/>
    <mergeCell ref="B188:C188"/>
    <mergeCell ref="B189:C189"/>
    <mergeCell ref="B190:C190"/>
    <mergeCell ref="B191:C191"/>
  </mergeCell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836170-8243-43BA-AC02-8B15A44C5156}">
  <sheetPr>
    <outlinePr summaryBelow="0" summaryRight="0"/>
  </sheetPr>
  <dimension ref="A1:S179"/>
  <sheetViews>
    <sheetView showGridLines="0" workbookViewId="0">
      <selection sqref="A1:H1"/>
    </sheetView>
  </sheetViews>
  <sheetFormatPr defaultRowHeight="12.75" x14ac:dyDescent="0.2"/>
  <cols>
    <col min="1" max="1" width="5.85546875" bestFit="1" customWidth="1"/>
    <col min="2" max="2" width="20.28515625" bestFit="1" customWidth="1"/>
    <col min="3" max="3" width="37.28515625" customWidth="1"/>
    <col min="4" max="4" width="10.7109375" bestFit="1" customWidth="1"/>
    <col min="5" max="5" width="8.7109375" bestFit="1" customWidth="1"/>
    <col min="6" max="6" width="10.140625" bestFit="1" customWidth="1"/>
    <col min="7" max="7" width="14" bestFit="1" customWidth="1"/>
  </cols>
  <sheetData>
    <row r="1" spans="1:8" ht="15" x14ac:dyDescent="0.2">
      <c r="A1" s="170" t="s">
        <v>0</v>
      </c>
      <c r="B1" s="170"/>
      <c r="C1" s="170"/>
      <c r="D1" s="170"/>
      <c r="E1" s="170"/>
      <c r="F1" s="170"/>
      <c r="G1" s="170"/>
      <c r="H1" s="170"/>
    </row>
    <row r="2" spans="1:8" ht="15" x14ac:dyDescent="0.2">
      <c r="A2" s="170" t="s">
        <v>399</v>
      </c>
      <c r="B2" s="170"/>
      <c r="C2" s="170"/>
      <c r="D2" s="170"/>
      <c r="E2" s="170"/>
      <c r="F2" s="170"/>
      <c r="G2" s="170"/>
      <c r="H2" s="170"/>
    </row>
    <row r="3" spans="1:8" ht="15" x14ac:dyDescent="0.2">
      <c r="A3" s="170" t="s">
        <v>686</v>
      </c>
      <c r="B3" s="170"/>
      <c r="C3" s="170"/>
      <c r="D3" s="170"/>
      <c r="E3" s="170"/>
      <c r="F3" s="170"/>
      <c r="G3" s="170"/>
      <c r="H3" s="170"/>
    </row>
    <row r="4" spans="1:8" s="14" customFormat="1" ht="30" x14ac:dyDescent="0.2">
      <c r="A4" s="12" t="s">
        <v>2</v>
      </c>
      <c r="B4" s="12" t="s">
        <v>3</v>
      </c>
      <c r="C4" s="12" t="s">
        <v>4</v>
      </c>
      <c r="D4" s="12" t="s">
        <v>5</v>
      </c>
      <c r="E4" s="12" t="s">
        <v>6</v>
      </c>
      <c r="F4" s="12" t="s">
        <v>7</v>
      </c>
      <c r="G4" s="12" t="s">
        <v>8</v>
      </c>
      <c r="H4" s="13" t="s">
        <v>535</v>
      </c>
    </row>
    <row r="5" spans="1:8" x14ac:dyDescent="0.2">
      <c r="A5" s="15"/>
      <c r="B5" s="15"/>
      <c r="C5" s="16" t="s">
        <v>9</v>
      </c>
      <c r="D5" s="15"/>
      <c r="E5" s="15"/>
      <c r="F5" s="15"/>
      <c r="G5" s="17"/>
      <c r="H5" s="18" t="s">
        <v>12</v>
      </c>
    </row>
    <row r="6" spans="1:8" x14ac:dyDescent="0.2">
      <c r="A6" s="19"/>
      <c r="B6" s="19"/>
      <c r="C6" s="20" t="s">
        <v>10</v>
      </c>
      <c r="D6" s="19"/>
      <c r="E6" s="19"/>
      <c r="F6" s="19"/>
      <c r="G6" s="21"/>
      <c r="H6" s="18" t="s">
        <v>12</v>
      </c>
    </row>
    <row r="7" spans="1:8" x14ac:dyDescent="0.2">
      <c r="A7" s="19"/>
      <c r="B7" s="19"/>
      <c r="C7" s="20" t="s">
        <v>11</v>
      </c>
      <c r="D7" s="19"/>
      <c r="E7" s="19" t="s">
        <v>12</v>
      </c>
      <c r="F7" s="22" t="s">
        <v>13</v>
      </c>
      <c r="G7" s="23">
        <v>0</v>
      </c>
      <c r="H7" s="18" t="s">
        <v>12</v>
      </c>
    </row>
    <row r="8" spans="1:8" x14ac:dyDescent="0.2">
      <c r="A8" s="19"/>
      <c r="B8" s="19"/>
      <c r="C8" s="24"/>
      <c r="D8" s="19"/>
      <c r="E8" s="19"/>
      <c r="F8" s="25"/>
      <c r="G8" s="26"/>
      <c r="H8" s="18" t="s">
        <v>12</v>
      </c>
    </row>
    <row r="9" spans="1:8" x14ac:dyDescent="0.2">
      <c r="A9" s="19"/>
      <c r="B9" s="19"/>
      <c r="C9" s="20" t="s">
        <v>14</v>
      </c>
      <c r="D9" s="19"/>
      <c r="E9" s="19"/>
      <c r="F9" s="19"/>
      <c r="G9" s="21"/>
      <c r="H9" s="18" t="s">
        <v>12</v>
      </c>
    </row>
    <row r="10" spans="1:8" x14ac:dyDescent="0.2">
      <c r="A10" s="19"/>
      <c r="B10" s="19"/>
      <c r="C10" s="20" t="s">
        <v>11</v>
      </c>
      <c r="D10" s="19"/>
      <c r="E10" s="19" t="s">
        <v>12</v>
      </c>
      <c r="F10" s="22" t="s">
        <v>13</v>
      </c>
      <c r="G10" s="23">
        <v>0</v>
      </c>
      <c r="H10" s="18" t="s">
        <v>12</v>
      </c>
    </row>
    <row r="11" spans="1:8" x14ac:dyDescent="0.2">
      <c r="A11" s="19"/>
      <c r="B11" s="19"/>
      <c r="C11" s="24"/>
      <c r="D11" s="19"/>
      <c r="E11" s="19"/>
      <c r="F11" s="25"/>
      <c r="G11" s="26"/>
      <c r="H11" s="18" t="s">
        <v>12</v>
      </c>
    </row>
    <row r="12" spans="1:8" x14ac:dyDescent="0.2">
      <c r="A12" s="19"/>
      <c r="B12" s="19"/>
      <c r="C12" s="20" t="s">
        <v>15</v>
      </c>
      <c r="D12" s="19"/>
      <c r="E12" s="19"/>
      <c r="F12" s="19"/>
      <c r="G12" s="21"/>
      <c r="H12" s="18" t="s">
        <v>12</v>
      </c>
    </row>
    <row r="13" spans="1:8" x14ac:dyDescent="0.2">
      <c r="A13" s="19"/>
      <c r="B13" s="19"/>
      <c r="C13" s="20" t="s">
        <v>11</v>
      </c>
      <c r="D13" s="19"/>
      <c r="E13" s="19" t="s">
        <v>12</v>
      </c>
      <c r="F13" s="22" t="s">
        <v>13</v>
      </c>
      <c r="G13" s="23">
        <v>0</v>
      </c>
      <c r="H13" s="18" t="s">
        <v>12</v>
      </c>
    </row>
    <row r="14" spans="1:8" x14ac:dyDescent="0.2">
      <c r="A14" s="19"/>
      <c r="B14" s="19"/>
      <c r="C14" s="24"/>
      <c r="D14" s="19"/>
      <c r="E14" s="19"/>
      <c r="F14" s="25"/>
      <c r="G14" s="26"/>
      <c r="H14" s="18" t="s">
        <v>12</v>
      </c>
    </row>
    <row r="15" spans="1:8" x14ac:dyDescent="0.2">
      <c r="A15" s="19"/>
      <c r="B15" s="19"/>
      <c r="C15" s="20" t="s">
        <v>16</v>
      </c>
      <c r="D15" s="19"/>
      <c r="E15" s="19"/>
      <c r="F15" s="19"/>
      <c r="G15" s="21"/>
      <c r="H15" s="18" t="s">
        <v>12</v>
      </c>
    </row>
    <row r="16" spans="1:8" x14ac:dyDescent="0.2">
      <c r="A16" s="19"/>
      <c r="B16" s="19"/>
      <c r="C16" s="20" t="s">
        <v>11</v>
      </c>
      <c r="D16" s="19"/>
      <c r="E16" s="19" t="s">
        <v>12</v>
      </c>
      <c r="F16" s="22" t="s">
        <v>13</v>
      </c>
      <c r="G16" s="23">
        <v>0</v>
      </c>
      <c r="H16" s="18" t="s">
        <v>12</v>
      </c>
    </row>
    <row r="17" spans="1:8" x14ac:dyDescent="0.2">
      <c r="A17" s="19"/>
      <c r="B17" s="19"/>
      <c r="C17" s="24"/>
      <c r="D17" s="19"/>
      <c r="E17" s="19"/>
      <c r="F17" s="25"/>
      <c r="G17" s="26"/>
      <c r="H17" s="18" t="s">
        <v>12</v>
      </c>
    </row>
    <row r="18" spans="1:8" x14ac:dyDescent="0.2">
      <c r="A18" s="19"/>
      <c r="B18" s="19"/>
      <c r="C18" s="20" t="s">
        <v>17</v>
      </c>
      <c r="D18" s="19"/>
      <c r="E18" s="19"/>
      <c r="F18" s="25"/>
      <c r="G18" s="26"/>
      <c r="H18" s="18" t="s">
        <v>12</v>
      </c>
    </row>
    <row r="19" spans="1:8" x14ac:dyDescent="0.2">
      <c r="A19" s="19"/>
      <c r="B19" s="19"/>
      <c r="C19" s="20" t="s">
        <v>11</v>
      </c>
      <c r="D19" s="19"/>
      <c r="E19" s="19" t="s">
        <v>12</v>
      </c>
      <c r="F19" s="22" t="s">
        <v>13</v>
      </c>
      <c r="G19" s="23">
        <v>0</v>
      </c>
      <c r="H19" s="18" t="s">
        <v>12</v>
      </c>
    </row>
    <row r="20" spans="1:8" x14ac:dyDescent="0.2">
      <c r="A20" s="19"/>
      <c r="B20" s="19"/>
      <c r="C20" s="24"/>
      <c r="D20" s="19"/>
      <c r="E20" s="19"/>
      <c r="F20" s="25"/>
      <c r="G20" s="26"/>
      <c r="H20" s="18" t="s">
        <v>12</v>
      </c>
    </row>
    <row r="21" spans="1:8" x14ac:dyDescent="0.2">
      <c r="A21" s="19"/>
      <c r="B21" s="19"/>
      <c r="C21" s="20" t="s">
        <v>18</v>
      </c>
      <c r="D21" s="19"/>
      <c r="E21" s="19"/>
      <c r="F21" s="25"/>
      <c r="G21" s="26"/>
      <c r="H21" s="18" t="s">
        <v>12</v>
      </c>
    </row>
    <row r="22" spans="1:8" x14ac:dyDescent="0.2">
      <c r="A22" s="19"/>
      <c r="B22" s="19"/>
      <c r="C22" s="20" t="s">
        <v>11</v>
      </c>
      <c r="D22" s="19"/>
      <c r="E22" s="19" t="s">
        <v>12</v>
      </c>
      <c r="F22" s="22" t="s">
        <v>13</v>
      </c>
      <c r="G22" s="23">
        <v>0</v>
      </c>
      <c r="H22" s="18" t="s">
        <v>12</v>
      </c>
    </row>
    <row r="23" spans="1:8" x14ac:dyDescent="0.2">
      <c r="A23" s="19"/>
      <c r="B23" s="19"/>
      <c r="C23" s="24"/>
      <c r="D23" s="19"/>
      <c r="E23" s="19"/>
      <c r="F23" s="25"/>
      <c r="G23" s="26"/>
      <c r="H23" s="18" t="s">
        <v>12</v>
      </c>
    </row>
    <row r="24" spans="1:8" x14ac:dyDescent="0.2">
      <c r="A24" s="19"/>
      <c r="B24" s="19"/>
      <c r="C24" s="20" t="s">
        <v>19</v>
      </c>
      <c r="D24" s="19"/>
      <c r="E24" s="19"/>
      <c r="F24" s="27">
        <v>0</v>
      </c>
      <c r="G24" s="23">
        <v>0</v>
      </c>
      <c r="H24" s="18" t="s">
        <v>12</v>
      </c>
    </row>
    <row r="25" spans="1:8" x14ac:dyDescent="0.2">
      <c r="A25" s="19"/>
      <c r="B25" s="19"/>
      <c r="C25" s="24"/>
      <c r="D25" s="19"/>
      <c r="E25" s="19"/>
      <c r="F25" s="25"/>
      <c r="G25" s="26"/>
      <c r="H25" s="18" t="s">
        <v>12</v>
      </c>
    </row>
    <row r="26" spans="1:8" x14ac:dyDescent="0.2">
      <c r="A26" s="19"/>
      <c r="B26" s="19"/>
      <c r="C26" s="20" t="s">
        <v>20</v>
      </c>
      <c r="D26" s="19"/>
      <c r="E26" s="19"/>
      <c r="F26" s="25"/>
      <c r="G26" s="26"/>
      <c r="H26" s="18" t="s">
        <v>12</v>
      </c>
    </row>
    <row r="27" spans="1:8" x14ac:dyDescent="0.2">
      <c r="A27" s="19"/>
      <c r="B27" s="19"/>
      <c r="C27" s="20" t="s">
        <v>10</v>
      </c>
      <c r="D27" s="19"/>
      <c r="E27" s="19"/>
      <c r="F27" s="25"/>
      <c r="G27" s="26"/>
      <c r="H27" s="18" t="s">
        <v>12</v>
      </c>
    </row>
    <row r="28" spans="1:8" x14ac:dyDescent="0.2">
      <c r="A28" s="28">
        <v>1</v>
      </c>
      <c r="B28" s="29" t="s">
        <v>234</v>
      </c>
      <c r="C28" s="29" t="s">
        <v>235</v>
      </c>
      <c r="D28" s="29" t="s">
        <v>231</v>
      </c>
      <c r="E28" s="30">
        <v>1100</v>
      </c>
      <c r="F28" s="31">
        <v>1103.0173</v>
      </c>
      <c r="G28" s="32">
        <v>5.1750820000000003E-2</v>
      </c>
      <c r="H28" s="18">
        <v>8.34</v>
      </c>
    </row>
    <row r="29" spans="1:8" ht="25.5" x14ac:dyDescent="0.2">
      <c r="A29" s="28">
        <v>2</v>
      </c>
      <c r="B29" s="29" t="s">
        <v>400</v>
      </c>
      <c r="C29" s="29" t="s">
        <v>401</v>
      </c>
      <c r="D29" s="29" t="s">
        <v>23</v>
      </c>
      <c r="E29" s="30">
        <v>1000</v>
      </c>
      <c r="F29" s="31">
        <v>1008.49</v>
      </c>
      <c r="G29" s="32">
        <v>4.7315830000000003E-2</v>
      </c>
      <c r="H29" s="18">
        <v>7.4507000000000003</v>
      </c>
    </row>
    <row r="30" spans="1:8" ht="25.5" x14ac:dyDescent="0.2">
      <c r="A30" s="28">
        <v>3</v>
      </c>
      <c r="B30" s="29" t="s">
        <v>35</v>
      </c>
      <c r="C30" s="29" t="s">
        <v>36</v>
      </c>
      <c r="D30" s="29" t="s">
        <v>23</v>
      </c>
      <c r="E30" s="30">
        <v>1000</v>
      </c>
      <c r="F30" s="31">
        <v>1003.404</v>
      </c>
      <c r="G30" s="32">
        <v>4.7077210000000001E-2</v>
      </c>
      <c r="H30" s="18">
        <v>7.51</v>
      </c>
    </row>
    <row r="31" spans="1:8" ht="25.5" x14ac:dyDescent="0.2">
      <c r="A31" s="28">
        <v>4</v>
      </c>
      <c r="B31" s="29" t="s">
        <v>131</v>
      </c>
      <c r="C31" s="29" t="s">
        <v>132</v>
      </c>
      <c r="D31" s="29" t="s">
        <v>23</v>
      </c>
      <c r="E31" s="30">
        <v>1000</v>
      </c>
      <c r="F31" s="31">
        <v>1002.467</v>
      </c>
      <c r="G31" s="32">
        <v>4.7033249999999999E-2</v>
      </c>
      <c r="H31" s="18">
        <v>7.2759</v>
      </c>
    </row>
    <row r="32" spans="1:8" ht="25.5" x14ac:dyDescent="0.2">
      <c r="A32" s="28">
        <v>5</v>
      </c>
      <c r="B32" s="29" t="s">
        <v>236</v>
      </c>
      <c r="C32" s="29" t="s">
        <v>237</v>
      </c>
      <c r="D32" s="29" t="s">
        <v>228</v>
      </c>
      <c r="E32" s="30">
        <v>1000</v>
      </c>
      <c r="F32" s="31">
        <v>1000.934</v>
      </c>
      <c r="G32" s="32">
        <v>4.6961320000000001E-2</v>
      </c>
      <c r="H32" s="18">
        <v>8.0950000000000006</v>
      </c>
    </row>
    <row r="33" spans="1:8" ht="25.5" x14ac:dyDescent="0.2">
      <c r="A33" s="28">
        <v>6</v>
      </c>
      <c r="B33" s="29" t="s">
        <v>402</v>
      </c>
      <c r="C33" s="29" t="s">
        <v>403</v>
      </c>
      <c r="D33" s="29" t="s">
        <v>253</v>
      </c>
      <c r="E33" s="30">
        <v>500</v>
      </c>
      <c r="F33" s="31">
        <v>504.10300000000001</v>
      </c>
      <c r="G33" s="32">
        <v>2.3651249999999999E-2</v>
      </c>
      <c r="H33" s="18">
        <v>8.2863000000000007</v>
      </c>
    </row>
    <row r="34" spans="1:8" ht="25.5" x14ac:dyDescent="0.2">
      <c r="A34" s="28">
        <v>7</v>
      </c>
      <c r="B34" s="29" t="s">
        <v>59</v>
      </c>
      <c r="C34" s="29" t="s">
        <v>60</v>
      </c>
      <c r="D34" s="29" t="s">
        <v>23</v>
      </c>
      <c r="E34" s="30">
        <v>50</v>
      </c>
      <c r="F34" s="31">
        <v>503.42450000000002</v>
      </c>
      <c r="G34" s="32">
        <v>2.3619419999999999E-2</v>
      </c>
      <c r="H34" s="18">
        <v>7.67</v>
      </c>
    </row>
    <row r="35" spans="1:8" x14ac:dyDescent="0.2">
      <c r="A35" s="28">
        <v>8</v>
      </c>
      <c r="B35" s="29" t="s">
        <v>229</v>
      </c>
      <c r="C35" s="29" t="s">
        <v>230</v>
      </c>
      <c r="D35" s="29" t="s">
        <v>231</v>
      </c>
      <c r="E35" s="30">
        <v>500</v>
      </c>
      <c r="F35" s="31">
        <v>502.0025</v>
      </c>
      <c r="G35" s="32">
        <v>2.3552699999999999E-2</v>
      </c>
      <c r="H35" s="18">
        <v>8.7799999999999994</v>
      </c>
    </row>
    <row r="36" spans="1:8" ht="25.5" x14ac:dyDescent="0.2">
      <c r="A36" s="28">
        <v>9</v>
      </c>
      <c r="B36" s="29" t="s">
        <v>404</v>
      </c>
      <c r="C36" s="29" t="s">
        <v>405</v>
      </c>
      <c r="D36" s="29" t="s">
        <v>34</v>
      </c>
      <c r="E36" s="30">
        <v>500</v>
      </c>
      <c r="F36" s="31">
        <v>501.95499999999998</v>
      </c>
      <c r="G36" s="32">
        <v>2.355047E-2</v>
      </c>
      <c r="H36" s="18">
        <v>7.58</v>
      </c>
    </row>
    <row r="37" spans="1:8" ht="25.5" x14ac:dyDescent="0.2">
      <c r="A37" s="28">
        <v>10</v>
      </c>
      <c r="B37" s="29" t="s">
        <v>125</v>
      </c>
      <c r="C37" s="29" t="s">
        <v>126</v>
      </c>
      <c r="D37" s="29" t="s">
        <v>23</v>
      </c>
      <c r="E37" s="30">
        <v>500</v>
      </c>
      <c r="F37" s="31">
        <v>501.41899999999998</v>
      </c>
      <c r="G37" s="32">
        <v>2.3525330000000001E-2</v>
      </c>
      <c r="H37" s="18">
        <v>7.4424999999999999</v>
      </c>
    </row>
    <row r="38" spans="1:8" x14ac:dyDescent="0.2">
      <c r="A38" s="28">
        <v>11</v>
      </c>
      <c r="B38" s="29" t="s">
        <v>256</v>
      </c>
      <c r="C38" s="29" t="s">
        <v>257</v>
      </c>
      <c r="D38" s="29" t="s">
        <v>231</v>
      </c>
      <c r="E38" s="30">
        <v>500</v>
      </c>
      <c r="F38" s="31">
        <v>500.63400000000001</v>
      </c>
      <c r="G38" s="32">
        <v>2.3488499999999999E-2</v>
      </c>
      <c r="H38" s="18">
        <v>8.5888000000000009</v>
      </c>
    </row>
    <row r="39" spans="1:8" x14ac:dyDescent="0.2">
      <c r="A39" s="28">
        <v>12</v>
      </c>
      <c r="B39" s="29" t="s">
        <v>238</v>
      </c>
      <c r="C39" s="29" t="s">
        <v>239</v>
      </c>
      <c r="D39" s="29" t="s">
        <v>23</v>
      </c>
      <c r="E39" s="30">
        <v>500</v>
      </c>
      <c r="F39" s="31">
        <v>499.93349999999998</v>
      </c>
      <c r="G39" s="32">
        <v>2.3455630000000002E-2</v>
      </c>
      <c r="H39" s="18">
        <v>7.6</v>
      </c>
    </row>
    <row r="40" spans="1:8" ht="25.5" x14ac:dyDescent="0.2">
      <c r="A40" s="28">
        <v>13</v>
      </c>
      <c r="B40" s="29" t="s">
        <v>61</v>
      </c>
      <c r="C40" s="29" t="s">
        <v>62</v>
      </c>
      <c r="D40" s="29" t="s">
        <v>23</v>
      </c>
      <c r="E40" s="30">
        <v>500</v>
      </c>
      <c r="F40" s="31">
        <v>499.846</v>
      </c>
      <c r="G40" s="32">
        <v>2.3451530000000002E-2</v>
      </c>
      <c r="H40" s="18">
        <v>8.125</v>
      </c>
    </row>
    <row r="41" spans="1:8" x14ac:dyDescent="0.2">
      <c r="A41" s="28">
        <v>14</v>
      </c>
      <c r="B41" s="29" t="s">
        <v>232</v>
      </c>
      <c r="C41" s="29" t="s">
        <v>233</v>
      </c>
      <c r="D41" s="29" t="s">
        <v>23</v>
      </c>
      <c r="E41" s="30">
        <v>500</v>
      </c>
      <c r="F41" s="31">
        <v>499.44749999999999</v>
      </c>
      <c r="G41" s="32">
        <v>2.3432830000000002E-2</v>
      </c>
      <c r="H41" s="18">
        <v>7.6</v>
      </c>
    </row>
    <row r="42" spans="1:8" x14ac:dyDescent="0.2">
      <c r="A42" s="28">
        <v>15</v>
      </c>
      <c r="B42" s="29" t="s">
        <v>406</v>
      </c>
      <c r="C42" s="29" t="s">
        <v>407</v>
      </c>
      <c r="D42" s="29" t="s">
        <v>23</v>
      </c>
      <c r="E42" s="30">
        <v>500</v>
      </c>
      <c r="F42" s="31">
        <v>499.21199999999999</v>
      </c>
      <c r="G42" s="32">
        <v>2.342178E-2</v>
      </c>
      <c r="H42" s="18">
        <v>7.58</v>
      </c>
    </row>
    <row r="43" spans="1:8" ht="25.5" x14ac:dyDescent="0.2">
      <c r="A43" s="28">
        <v>16</v>
      </c>
      <c r="B43" s="29" t="s">
        <v>63</v>
      </c>
      <c r="C43" s="29" t="s">
        <v>64</v>
      </c>
      <c r="D43" s="29" t="s">
        <v>23</v>
      </c>
      <c r="E43" s="30">
        <v>500</v>
      </c>
      <c r="F43" s="31">
        <v>498.28899999999999</v>
      </c>
      <c r="G43" s="32">
        <v>2.337848E-2</v>
      </c>
      <c r="H43" s="18">
        <v>7.63</v>
      </c>
    </row>
    <row r="44" spans="1:8" ht="25.5" x14ac:dyDescent="0.2">
      <c r="A44" s="28">
        <v>17</v>
      </c>
      <c r="B44" s="29" t="s">
        <v>408</v>
      </c>
      <c r="C44" s="29" t="s">
        <v>409</v>
      </c>
      <c r="D44" s="29" t="s">
        <v>23</v>
      </c>
      <c r="E44" s="30">
        <v>50</v>
      </c>
      <c r="F44" s="31">
        <v>496.83249999999998</v>
      </c>
      <c r="G44" s="32">
        <v>2.331014E-2</v>
      </c>
      <c r="H44" s="18">
        <v>7.6</v>
      </c>
    </row>
    <row r="45" spans="1:8" ht="25.5" x14ac:dyDescent="0.2">
      <c r="A45" s="28">
        <v>18</v>
      </c>
      <c r="B45" s="29" t="s">
        <v>410</v>
      </c>
      <c r="C45" s="29" t="s">
        <v>411</v>
      </c>
      <c r="D45" s="29" t="s">
        <v>23</v>
      </c>
      <c r="E45" s="30">
        <v>50</v>
      </c>
      <c r="F45" s="31">
        <v>488.95150000000001</v>
      </c>
      <c r="G45" s="32">
        <v>2.294038E-2</v>
      </c>
      <c r="H45" s="18">
        <v>7.7350000000000003</v>
      </c>
    </row>
    <row r="46" spans="1:8" x14ac:dyDescent="0.2">
      <c r="A46" s="28">
        <v>19</v>
      </c>
      <c r="B46" s="29" t="s">
        <v>226</v>
      </c>
      <c r="C46" s="29" t="s">
        <v>227</v>
      </c>
      <c r="D46" s="29" t="s">
        <v>228</v>
      </c>
      <c r="E46" s="30">
        <v>300</v>
      </c>
      <c r="F46" s="31">
        <v>301.47000000000003</v>
      </c>
      <c r="G46" s="32">
        <v>1.4144220000000001E-2</v>
      </c>
      <c r="H46" s="18">
        <v>8.0649999999999995</v>
      </c>
    </row>
    <row r="47" spans="1:8" x14ac:dyDescent="0.2">
      <c r="A47" s="19"/>
      <c r="B47" s="19"/>
      <c r="C47" s="20" t="s">
        <v>11</v>
      </c>
      <c r="D47" s="19"/>
      <c r="E47" s="19" t="s">
        <v>12</v>
      </c>
      <c r="F47" s="27">
        <v>11915.8323</v>
      </c>
      <c r="G47" s="23">
        <v>0.55906109000000004</v>
      </c>
      <c r="H47" s="18" t="s">
        <v>12</v>
      </c>
    </row>
    <row r="48" spans="1:8" x14ac:dyDescent="0.2">
      <c r="A48" s="19"/>
      <c r="B48" s="19"/>
      <c r="C48" s="24"/>
      <c r="D48" s="19"/>
      <c r="E48" s="19"/>
      <c r="F48" s="25"/>
      <c r="G48" s="26"/>
      <c r="H48" s="18" t="s">
        <v>12</v>
      </c>
    </row>
    <row r="49" spans="1:8" x14ac:dyDescent="0.2">
      <c r="A49" s="19"/>
      <c r="B49" s="19"/>
      <c r="C49" s="20" t="s">
        <v>71</v>
      </c>
      <c r="D49" s="19"/>
      <c r="E49" s="19"/>
      <c r="F49" s="19"/>
      <c r="G49" s="21"/>
      <c r="H49" s="18" t="s">
        <v>12</v>
      </c>
    </row>
    <row r="50" spans="1:8" x14ac:dyDescent="0.2">
      <c r="A50" s="19"/>
      <c r="B50" s="19"/>
      <c r="C50" s="20" t="s">
        <v>11</v>
      </c>
      <c r="D50" s="19"/>
      <c r="E50" s="19" t="s">
        <v>12</v>
      </c>
      <c r="F50" s="22" t="s">
        <v>13</v>
      </c>
      <c r="G50" s="23">
        <v>0</v>
      </c>
      <c r="H50" s="18" t="s">
        <v>12</v>
      </c>
    </row>
    <row r="51" spans="1:8" x14ac:dyDescent="0.2">
      <c r="A51" s="19"/>
      <c r="B51" s="19"/>
      <c r="C51" s="24"/>
      <c r="D51" s="19"/>
      <c r="E51" s="19"/>
      <c r="F51" s="25"/>
      <c r="G51" s="26"/>
      <c r="H51" s="18" t="s">
        <v>12</v>
      </c>
    </row>
    <row r="52" spans="1:8" x14ac:dyDescent="0.2">
      <c r="A52" s="19"/>
      <c r="B52" s="19"/>
      <c r="C52" s="20" t="s">
        <v>72</v>
      </c>
      <c r="D52" s="19"/>
      <c r="E52" s="19"/>
      <c r="F52" s="19"/>
      <c r="G52" s="21"/>
      <c r="H52" s="18" t="s">
        <v>12</v>
      </c>
    </row>
    <row r="53" spans="1:8" ht="25.5" x14ac:dyDescent="0.2">
      <c r="A53" s="28">
        <v>1</v>
      </c>
      <c r="B53" s="29" t="s">
        <v>73</v>
      </c>
      <c r="C53" s="29" t="s">
        <v>74</v>
      </c>
      <c r="D53" s="29" t="s">
        <v>75</v>
      </c>
      <c r="E53" s="30">
        <v>2500000</v>
      </c>
      <c r="F53" s="31">
        <v>2553.375</v>
      </c>
      <c r="G53" s="32">
        <v>0.11979797</v>
      </c>
      <c r="H53" s="18">
        <v>6.8952999999999998</v>
      </c>
    </row>
    <row r="54" spans="1:8" x14ac:dyDescent="0.2">
      <c r="A54" s="28">
        <v>2</v>
      </c>
      <c r="B54" s="29" t="s">
        <v>84</v>
      </c>
      <c r="C54" s="29" t="s">
        <v>85</v>
      </c>
      <c r="D54" s="29" t="s">
        <v>75</v>
      </c>
      <c r="E54" s="30">
        <v>1500000</v>
      </c>
      <c r="F54" s="31">
        <v>1536.9075</v>
      </c>
      <c r="G54" s="32">
        <v>7.2107859999999996E-2</v>
      </c>
      <c r="H54" s="18">
        <v>6.7043999999999997</v>
      </c>
    </row>
    <row r="55" spans="1:8" ht="25.5" x14ac:dyDescent="0.2">
      <c r="A55" s="28">
        <v>3</v>
      </c>
      <c r="B55" s="29" t="s">
        <v>258</v>
      </c>
      <c r="C55" s="29" t="s">
        <v>259</v>
      </c>
      <c r="D55" s="29" t="s">
        <v>75</v>
      </c>
      <c r="E55" s="30">
        <v>1000000</v>
      </c>
      <c r="F55" s="31">
        <v>1016.95</v>
      </c>
      <c r="G55" s="32">
        <v>4.7712749999999998E-2</v>
      </c>
      <c r="H55" s="18">
        <v>6.6759000000000004</v>
      </c>
    </row>
    <row r="56" spans="1:8" x14ac:dyDescent="0.2">
      <c r="A56" s="28">
        <v>4</v>
      </c>
      <c r="B56" s="29" t="s">
        <v>76</v>
      </c>
      <c r="C56" s="29" t="s">
        <v>77</v>
      </c>
      <c r="D56" s="29" t="s">
        <v>75</v>
      </c>
      <c r="E56" s="30">
        <v>500000</v>
      </c>
      <c r="F56" s="31">
        <v>514.70950000000005</v>
      </c>
      <c r="G56" s="32">
        <v>2.4148880000000001E-2</v>
      </c>
      <c r="H56" s="18">
        <v>6.7995000000000001</v>
      </c>
    </row>
    <row r="57" spans="1:8" x14ac:dyDescent="0.2">
      <c r="A57" s="28">
        <v>5</v>
      </c>
      <c r="B57" s="29" t="s">
        <v>86</v>
      </c>
      <c r="C57" s="29" t="s">
        <v>87</v>
      </c>
      <c r="D57" s="29" t="s">
        <v>75</v>
      </c>
      <c r="E57" s="30">
        <v>500000</v>
      </c>
      <c r="F57" s="31">
        <v>510.93349999999998</v>
      </c>
      <c r="G57" s="32">
        <v>2.3971719999999998E-2</v>
      </c>
      <c r="H57" s="18">
        <v>7.0327999999999999</v>
      </c>
    </row>
    <row r="58" spans="1:8" ht="25.5" x14ac:dyDescent="0.2">
      <c r="A58" s="28">
        <v>6</v>
      </c>
      <c r="B58" s="29" t="s">
        <v>412</v>
      </c>
      <c r="C58" s="29" t="s">
        <v>413</v>
      </c>
      <c r="D58" s="29" t="s">
        <v>75</v>
      </c>
      <c r="E58" s="30">
        <v>500000</v>
      </c>
      <c r="F58" s="31">
        <v>509.03449999999998</v>
      </c>
      <c r="G58" s="32">
        <v>2.3882629999999998E-2</v>
      </c>
      <c r="H58" s="18">
        <v>7.2927</v>
      </c>
    </row>
    <row r="59" spans="1:8" x14ac:dyDescent="0.2">
      <c r="A59" s="19"/>
      <c r="B59" s="19"/>
      <c r="C59" s="20" t="s">
        <v>11</v>
      </c>
      <c r="D59" s="19"/>
      <c r="E59" s="19" t="s">
        <v>12</v>
      </c>
      <c r="F59" s="27">
        <v>6641.91</v>
      </c>
      <c r="G59" s="23">
        <v>0.31162181</v>
      </c>
      <c r="H59" s="18" t="s">
        <v>12</v>
      </c>
    </row>
    <row r="60" spans="1:8" x14ac:dyDescent="0.2">
      <c r="A60" s="19"/>
      <c r="B60" s="19"/>
      <c r="C60" s="24"/>
      <c r="D60" s="19"/>
      <c r="E60" s="19"/>
      <c r="F60" s="25"/>
      <c r="G60" s="26"/>
      <c r="H60" s="18" t="s">
        <v>12</v>
      </c>
    </row>
    <row r="61" spans="1:8" x14ac:dyDescent="0.2">
      <c r="A61" s="19"/>
      <c r="B61" s="19"/>
      <c r="C61" s="20" t="s">
        <v>88</v>
      </c>
      <c r="D61" s="19"/>
      <c r="E61" s="19"/>
      <c r="F61" s="25"/>
      <c r="G61" s="26"/>
      <c r="H61" s="18" t="s">
        <v>12</v>
      </c>
    </row>
    <row r="62" spans="1:8" x14ac:dyDescent="0.2">
      <c r="A62" s="19"/>
      <c r="B62" s="19"/>
      <c r="C62" s="20" t="s">
        <v>11</v>
      </c>
      <c r="D62" s="19"/>
      <c r="E62" s="19" t="s">
        <v>12</v>
      </c>
      <c r="F62" s="22" t="s">
        <v>13</v>
      </c>
      <c r="G62" s="23">
        <v>0</v>
      </c>
      <c r="H62" s="18" t="s">
        <v>12</v>
      </c>
    </row>
    <row r="63" spans="1:8" x14ac:dyDescent="0.2">
      <c r="A63" s="19"/>
      <c r="B63" s="19"/>
      <c r="C63" s="24"/>
      <c r="D63" s="19"/>
      <c r="E63" s="19"/>
      <c r="F63" s="25"/>
      <c r="G63" s="26"/>
      <c r="H63" s="18" t="s">
        <v>12</v>
      </c>
    </row>
    <row r="64" spans="1:8" x14ac:dyDescent="0.2">
      <c r="A64" s="19"/>
      <c r="B64" s="19"/>
      <c r="C64" s="20" t="s">
        <v>89</v>
      </c>
      <c r="D64" s="19"/>
      <c r="E64" s="19"/>
      <c r="F64" s="27">
        <v>18557.742300000002</v>
      </c>
      <c r="G64" s="23">
        <v>0.87068290000000004</v>
      </c>
      <c r="H64" s="18" t="s">
        <v>12</v>
      </c>
    </row>
    <row r="65" spans="1:8" x14ac:dyDescent="0.2">
      <c r="A65" s="19"/>
      <c r="B65" s="19"/>
      <c r="C65" s="24"/>
      <c r="D65" s="19"/>
      <c r="E65" s="19"/>
      <c r="F65" s="25"/>
      <c r="G65" s="26"/>
      <c r="H65" s="18" t="s">
        <v>12</v>
      </c>
    </row>
    <row r="66" spans="1:8" x14ac:dyDescent="0.2">
      <c r="A66" s="19"/>
      <c r="B66" s="19"/>
      <c r="C66" s="20" t="s">
        <v>90</v>
      </c>
      <c r="D66" s="19"/>
      <c r="E66" s="19"/>
      <c r="F66" s="25"/>
      <c r="G66" s="26"/>
      <c r="H66" s="18" t="s">
        <v>12</v>
      </c>
    </row>
    <row r="67" spans="1:8" x14ac:dyDescent="0.2">
      <c r="A67" s="19"/>
      <c r="B67" s="19"/>
      <c r="C67" s="20" t="s">
        <v>91</v>
      </c>
      <c r="D67" s="19"/>
      <c r="E67" s="19"/>
      <c r="F67" s="25"/>
      <c r="G67" s="26"/>
      <c r="H67" s="18" t="s">
        <v>12</v>
      </c>
    </row>
    <row r="68" spans="1:8" x14ac:dyDescent="0.2">
      <c r="A68" s="19"/>
      <c r="B68" s="19"/>
      <c r="C68" s="20" t="s">
        <v>11</v>
      </c>
      <c r="D68" s="19"/>
      <c r="E68" s="19" t="s">
        <v>12</v>
      </c>
      <c r="F68" s="22" t="s">
        <v>13</v>
      </c>
      <c r="G68" s="23">
        <v>0</v>
      </c>
      <c r="H68" s="18" t="s">
        <v>12</v>
      </c>
    </row>
    <row r="69" spans="1:8" x14ac:dyDescent="0.2">
      <c r="A69" s="19"/>
      <c r="B69" s="19"/>
      <c r="C69" s="24"/>
      <c r="D69" s="19"/>
      <c r="E69" s="19"/>
      <c r="F69" s="25"/>
      <c r="G69" s="26"/>
      <c r="H69" s="18" t="s">
        <v>12</v>
      </c>
    </row>
    <row r="70" spans="1:8" x14ac:dyDescent="0.2">
      <c r="A70" s="19"/>
      <c r="B70" s="19"/>
      <c r="C70" s="20" t="s">
        <v>92</v>
      </c>
      <c r="D70" s="19"/>
      <c r="E70" s="19"/>
      <c r="F70" s="25"/>
      <c r="G70" s="26"/>
      <c r="H70" s="18" t="s">
        <v>12</v>
      </c>
    </row>
    <row r="71" spans="1:8" x14ac:dyDescent="0.2">
      <c r="A71" s="19"/>
      <c r="B71" s="19"/>
      <c r="C71" s="20" t="s">
        <v>11</v>
      </c>
      <c r="D71" s="19"/>
      <c r="E71" s="19" t="s">
        <v>12</v>
      </c>
      <c r="F71" s="22" t="s">
        <v>13</v>
      </c>
      <c r="G71" s="23">
        <v>0</v>
      </c>
      <c r="H71" s="18" t="s">
        <v>12</v>
      </c>
    </row>
    <row r="72" spans="1:8" x14ac:dyDescent="0.2">
      <c r="A72" s="19"/>
      <c r="B72" s="19"/>
      <c r="C72" s="24"/>
      <c r="D72" s="19"/>
      <c r="E72" s="19"/>
      <c r="F72" s="25"/>
      <c r="G72" s="26"/>
      <c r="H72" s="18" t="s">
        <v>12</v>
      </c>
    </row>
    <row r="73" spans="1:8" x14ac:dyDescent="0.2">
      <c r="A73" s="19"/>
      <c r="B73" s="19"/>
      <c r="C73" s="20" t="s">
        <v>93</v>
      </c>
      <c r="D73" s="19"/>
      <c r="E73" s="19"/>
      <c r="F73" s="25"/>
      <c r="G73" s="26"/>
      <c r="H73" s="18" t="s">
        <v>12</v>
      </c>
    </row>
    <row r="74" spans="1:8" x14ac:dyDescent="0.2">
      <c r="A74" s="19"/>
      <c r="B74" s="19"/>
      <c r="C74" s="20" t="s">
        <v>11</v>
      </c>
      <c r="D74" s="19"/>
      <c r="E74" s="19" t="s">
        <v>12</v>
      </c>
      <c r="F74" s="22" t="s">
        <v>13</v>
      </c>
      <c r="G74" s="23">
        <v>0</v>
      </c>
      <c r="H74" s="18" t="s">
        <v>12</v>
      </c>
    </row>
    <row r="75" spans="1:8" x14ac:dyDescent="0.2">
      <c r="A75" s="19"/>
      <c r="B75" s="19"/>
      <c r="C75" s="24"/>
      <c r="D75" s="19"/>
      <c r="E75" s="19"/>
      <c r="F75" s="25"/>
      <c r="G75" s="26"/>
      <c r="H75" s="18" t="s">
        <v>12</v>
      </c>
    </row>
    <row r="76" spans="1:8" x14ac:dyDescent="0.2">
      <c r="A76" s="19"/>
      <c r="B76" s="19"/>
      <c r="C76" s="20" t="s">
        <v>94</v>
      </c>
      <c r="D76" s="19"/>
      <c r="E76" s="19"/>
      <c r="F76" s="25"/>
      <c r="G76" s="26"/>
      <c r="H76" s="18" t="s">
        <v>12</v>
      </c>
    </row>
    <row r="77" spans="1:8" x14ac:dyDescent="0.2">
      <c r="A77" s="28">
        <v>1</v>
      </c>
      <c r="B77" s="29"/>
      <c r="C77" s="29" t="s">
        <v>95</v>
      </c>
      <c r="D77" s="29"/>
      <c r="E77" s="33"/>
      <c r="F77" s="31">
        <v>2102.112319498</v>
      </c>
      <c r="G77" s="32">
        <v>9.8625859999999996E-2</v>
      </c>
      <c r="H77" s="18">
        <v>6.23</v>
      </c>
    </row>
    <row r="78" spans="1:8" x14ac:dyDescent="0.2">
      <c r="A78" s="19"/>
      <c r="B78" s="19"/>
      <c r="C78" s="20" t="s">
        <v>11</v>
      </c>
      <c r="D78" s="19"/>
      <c r="E78" s="19" t="s">
        <v>12</v>
      </c>
      <c r="F78" s="27">
        <v>2102.112319498</v>
      </c>
      <c r="G78" s="23">
        <v>9.8625859999999996E-2</v>
      </c>
      <c r="H78" s="18" t="s">
        <v>12</v>
      </c>
    </row>
    <row r="79" spans="1:8" x14ac:dyDescent="0.2">
      <c r="A79" s="19"/>
      <c r="B79" s="19"/>
      <c r="C79" s="24"/>
      <c r="D79" s="19"/>
      <c r="E79" s="19"/>
      <c r="F79" s="25"/>
      <c r="G79" s="26"/>
      <c r="H79" s="18" t="s">
        <v>12</v>
      </c>
    </row>
    <row r="80" spans="1:8" x14ac:dyDescent="0.2">
      <c r="A80" s="19"/>
      <c r="B80" s="19"/>
      <c r="C80" s="20" t="s">
        <v>96</v>
      </c>
      <c r="D80" s="19"/>
      <c r="E80" s="19"/>
      <c r="F80" s="27">
        <v>2102.112319498</v>
      </c>
      <c r="G80" s="23">
        <v>9.8625859999999996E-2</v>
      </c>
      <c r="H80" s="18" t="s">
        <v>12</v>
      </c>
    </row>
    <row r="81" spans="1:17" x14ac:dyDescent="0.2">
      <c r="A81" s="19"/>
      <c r="B81" s="19"/>
      <c r="C81" s="25"/>
      <c r="D81" s="19"/>
      <c r="E81" s="19"/>
      <c r="F81" s="19"/>
      <c r="G81" s="21"/>
      <c r="H81" s="18" t="s">
        <v>12</v>
      </c>
    </row>
    <row r="82" spans="1:17" x14ac:dyDescent="0.2">
      <c r="A82" s="19"/>
      <c r="B82" s="19"/>
      <c r="C82" s="20" t="s">
        <v>97</v>
      </c>
      <c r="D82" s="19"/>
      <c r="E82" s="19"/>
      <c r="F82" s="19"/>
      <c r="G82" s="21"/>
      <c r="H82" s="18" t="s">
        <v>12</v>
      </c>
    </row>
    <row r="83" spans="1:17" x14ac:dyDescent="0.2">
      <c r="A83" s="19"/>
      <c r="B83" s="19"/>
      <c r="C83" s="20" t="s">
        <v>98</v>
      </c>
      <c r="D83" s="19"/>
      <c r="E83" s="19"/>
      <c r="F83" s="19"/>
      <c r="G83" s="21"/>
      <c r="H83" s="18" t="s">
        <v>12</v>
      </c>
    </row>
    <row r="84" spans="1:17" x14ac:dyDescent="0.2">
      <c r="A84" s="19"/>
      <c r="B84" s="19"/>
      <c r="C84" s="20" t="s">
        <v>11</v>
      </c>
      <c r="D84" s="19"/>
      <c r="E84" s="19" t="s">
        <v>12</v>
      </c>
      <c r="F84" s="22" t="s">
        <v>13</v>
      </c>
      <c r="G84" s="23">
        <v>0</v>
      </c>
      <c r="H84" s="18" t="s">
        <v>12</v>
      </c>
    </row>
    <row r="85" spans="1:17" x14ac:dyDescent="0.2">
      <c r="A85" s="34"/>
      <c r="B85" s="34"/>
      <c r="C85" s="35"/>
      <c r="D85" s="34"/>
      <c r="E85" s="34"/>
      <c r="F85" s="36"/>
      <c r="G85" s="36"/>
      <c r="H85" s="37" t="s">
        <v>12</v>
      </c>
    </row>
    <row r="86" spans="1:17" ht="25.5" x14ac:dyDescent="0.2">
      <c r="A86" s="34"/>
      <c r="B86" s="34"/>
      <c r="C86" s="38" t="s">
        <v>552</v>
      </c>
      <c r="D86" s="34"/>
      <c r="E86" s="34"/>
      <c r="F86" s="36"/>
      <c r="G86" s="36"/>
      <c r="H86" s="39"/>
      <c r="K86" s="40"/>
      <c r="L86" s="40"/>
      <c r="M86" s="40"/>
      <c r="N86" s="40"/>
      <c r="O86" s="41"/>
      <c r="P86" s="41"/>
      <c r="Q86" s="41"/>
    </row>
    <row r="87" spans="1:17" ht="25.5" x14ac:dyDescent="0.2">
      <c r="A87" s="42">
        <v>1</v>
      </c>
      <c r="B87" s="43" t="s">
        <v>99</v>
      </c>
      <c r="C87" s="43" t="s">
        <v>100</v>
      </c>
      <c r="D87" s="43"/>
      <c r="E87" s="44">
        <v>543.85400000000004</v>
      </c>
      <c r="F87" s="39">
        <v>59.658414772</v>
      </c>
      <c r="G87" s="45">
        <v>2.7990200000000002E-3</v>
      </c>
      <c r="H87" s="37"/>
    </row>
    <row r="88" spans="1:17" x14ac:dyDescent="0.2">
      <c r="A88" s="34"/>
      <c r="B88" s="34"/>
      <c r="C88" s="38" t="s">
        <v>11</v>
      </c>
      <c r="D88" s="34"/>
      <c r="E88" s="34" t="s">
        <v>12</v>
      </c>
      <c r="F88" s="46">
        <v>59.658414772</v>
      </c>
      <c r="G88" s="47">
        <v>2.7990200000000002E-3</v>
      </c>
      <c r="H88" s="37" t="s">
        <v>12</v>
      </c>
    </row>
    <row r="89" spans="1:17" x14ac:dyDescent="0.2">
      <c r="A89" s="19"/>
      <c r="B89" s="19"/>
      <c r="C89" s="24"/>
      <c r="D89" s="19"/>
      <c r="E89" s="19"/>
      <c r="F89" s="25"/>
      <c r="G89" s="26"/>
      <c r="H89" s="18" t="s">
        <v>12</v>
      </c>
    </row>
    <row r="90" spans="1:17" x14ac:dyDescent="0.2">
      <c r="A90" s="19"/>
      <c r="B90" s="19"/>
      <c r="C90" s="20" t="s">
        <v>101</v>
      </c>
      <c r="D90" s="19"/>
      <c r="E90" s="19"/>
      <c r="F90" s="19"/>
      <c r="G90" s="21"/>
      <c r="H90" s="18" t="s">
        <v>12</v>
      </c>
    </row>
    <row r="91" spans="1:17" x14ac:dyDescent="0.2">
      <c r="A91" s="19"/>
      <c r="B91" s="19"/>
      <c r="C91" s="20" t="s">
        <v>102</v>
      </c>
      <c r="D91" s="19"/>
      <c r="E91" s="19"/>
      <c r="F91" s="19"/>
      <c r="G91" s="21"/>
      <c r="H91" s="18" t="s">
        <v>12</v>
      </c>
    </row>
    <row r="92" spans="1:17" x14ac:dyDescent="0.2">
      <c r="A92" s="19"/>
      <c r="B92" s="19"/>
      <c r="C92" s="20" t="s">
        <v>11</v>
      </c>
      <c r="D92" s="19"/>
      <c r="E92" s="19" t="s">
        <v>12</v>
      </c>
      <c r="F92" s="22" t="s">
        <v>13</v>
      </c>
      <c r="G92" s="23">
        <v>0</v>
      </c>
      <c r="H92" s="18" t="s">
        <v>12</v>
      </c>
    </row>
    <row r="93" spans="1:17" x14ac:dyDescent="0.2">
      <c r="A93" s="19"/>
      <c r="B93" s="19"/>
      <c r="C93" s="24"/>
      <c r="D93" s="19"/>
      <c r="E93" s="19"/>
      <c r="F93" s="25"/>
      <c r="G93" s="26"/>
      <c r="H93" s="18" t="s">
        <v>12</v>
      </c>
    </row>
    <row r="94" spans="1:17" ht="25.5" x14ac:dyDescent="0.2">
      <c r="A94" s="19"/>
      <c r="B94" s="19"/>
      <c r="C94" s="20" t="s">
        <v>103</v>
      </c>
      <c r="D94" s="19"/>
      <c r="E94" s="19"/>
      <c r="F94" s="25"/>
      <c r="G94" s="26"/>
      <c r="H94" s="18" t="s">
        <v>12</v>
      </c>
    </row>
    <row r="95" spans="1:17" x14ac:dyDescent="0.2">
      <c r="A95" s="19"/>
      <c r="B95" s="19"/>
      <c r="C95" s="20" t="s">
        <v>11</v>
      </c>
      <c r="D95" s="19"/>
      <c r="E95" s="19" t="s">
        <v>12</v>
      </c>
      <c r="F95" s="22" t="s">
        <v>13</v>
      </c>
      <c r="G95" s="23">
        <v>0</v>
      </c>
      <c r="H95" s="18" t="s">
        <v>12</v>
      </c>
    </row>
    <row r="96" spans="1:17" x14ac:dyDescent="0.2">
      <c r="A96" s="19"/>
      <c r="B96" s="19"/>
      <c r="C96" s="24"/>
      <c r="D96" s="19"/>
      <c r="E96" s="19"/>
      <c r="F96" s="25"/>
      <c r="G96" s="26"/>
      <c r="H96" s="18" t="s">
        <v>12</v>
      </c>
    </row>
    <row r="97" spans="1:8" x14ac:dyDescent="0.2">
      <c r="A97" s="33"/>
      <c r="B97" s="29"/>
      <c r="C97" s="29" t="s">
        <v>104</v>
      </c>
      <c r="D97" s="29"/>
      <c r="E97" s="33"/>
      <c r="F97" s="31">
        <f>594.49511151+0.0000499300003051758</f>
        <v>594.49516144000029</v>
      </c>
      <c r="G97" s="32">
        <f>F97/F98</f>
        <v>2.7892227308031998E-2</v>
      </c>
      <c r="H97" s="18" t="s">
        <v>12</v>
      </c>
    </row>
    <row r="98" spans="1:8" x14ac:dyDescent="0.2">
      <c r="A98" s="24"/>
      <c r="B98" s="24"/>
      <c r="C98" s="20" t="s">
        <v>105</v>
      </c>
      <c r="D98" s="25"/>
      <c r="E98" s="25"/>
      <c r="F98" s="27">
        <f>F97+F88+F80+F64+F24</f>
        <v>21314.008195710001</v>
      </c>
      <c r="G98" s="48">
        <f>G97+G88+G80+G64+G24</f>
        <v>1.000000007308032</v>
      </c>
      <c r="H98" s="18" t="s">
        <v>12</v>
      </c>
    </row>
    <row r="99" spans="1:8" x14ac:dyDescent="0.2">
      <c r="A99" s="49"/>
      <c r="B99" s="49"/>
      <c r="C99" s="49"/>
      <c r="D99" s="50"/>
      <c r="E99" s="50"/>
      <c r="F99" s="50"/>
      <c r="G99" s="50"/>
    </row>
    <row r="100" spans="1:8" x14ac:dyDescent="0.2">
      <c r="A100" s="51"/>
      <c r="B100" s="171" t="s">
        <v>549</v>
      </c>
      <c r="C100" s="171"/>
      <c r="D100" s="171"/>
      <c r="E100" s="171"/>
      <c r="F100" s="171"/>
      <c r="G100" s="171"/>
      <c r="H100" s="171"/>
    </row>
    <row r="101" spans="1:8" x14ac:dyDescent="0.2">
      <c r="A101" s="51"/>
      <c r="B101" s="171" t="s">
        <v>550</v>
      </c>
      <c r="C101" s="171"/>
      <c r="D101" s="171"/>
      <c r="E101" s="171"/>
      <c r="F101" s="171"/>
      <c r="G101" s="171"/>
      <c r="H101" s="171"/>
    </row>
    <row r="102" spans="1:8" x14ac:dyDescent="0.2">
      <c r="A102" s="51"/>
      <c r="B102" s="171" t="s">
        <v>551</v>
      </c>
      <c r="C102" s="171"/>
      <c r="D102" s="171"/>
      <c r="E102" s="171"/>
      <c r="F102" s="171"/>
      <c r="G102" s="171"/>
      <c r="H102" s="171"/>
    </row>
    <row r="103" spans="1:8" x14ac:dyDescent="0.2">
      <c r="A103" s="53"/>
      <c r="B103" s="53"/>
      <c r="C103" s="53"/>
      <c r="D103" s="54"/>
      <c r="E103" s="54"/>
      <c r="F103" s="54"/>
      <c r="G103" s="54"/>
    </row>
    <row r="104" spans="1:8" x14ac:dyDescent="0.2">
      <c r="A104" s="53"/>
      <c r="B104" s="174" t="s">
        <v>106</v>
      </c>
      <c r="C104" s="175"/>
      <c r="D104" s="176"/>
      <c r="E104" s="55"/>
      <c r="F104" s="54"/>
      <c r="G104" s="54"/>
    </row>
    <row r="105" spans="1:8" ht="25.5" x14ac:dyDescent="0.2">
      <c r="A105" s="53"/>
      <c r="B105" s="177" t="s">
        <v>107</v>
      </c>
      <c r="C105" s="178"/>
      <c r="D105" s="38" t="s">
        <v>578</v>
      </c>
      <c r="E105" s="55"/>
      <c r="F105" s="54"/>
      <c r="G105" s="54"/>
    </row>
    <row r="106" spans="1:8" x14ac:dyDescent="0.2">
      <c r="A106" s="53"/>
      <c r="B106" s="177" t="s">
        <v>109</v>
      </c>
      <c r="C106" s="178"/>
      <c r="D106" s="20" t="s">
        <v>108</v>
      </c>
      <c r="E106" s="55"/>
      <c r="F106" s="54"/>
      <c r="G106" s="54"/>
    </row>
    <row r="107" spans="1:8" x14ac:dyDescent="0.2">
      <c r="A107" s="53"/>
      <c r="B107" s="177" t="s">
        <v>110</v>
      </c>
      <c r="C107" s="178"/>
      <c r="D107" s="25" t="s">
        <v>12</v>
      </c>
      <c r="E107" s="55"/>
      <c r="F107" s="54"/>
      <c r="G107" s="54"/>
    </row>
    <row r="108" spans="1:8" x14ac:dyDescent="0.2">
      <c r="A108" s="56"/>
      <c r="B108" s="57" t="s">
        <v>12</v>
      </c>
      <c r="C108" s="57" t="s">
        <v>553</v>
      </c>
      <c r="D108" s="57" t="s">
        <v>111</v>
      </c>
      <c r="E108" s="56"/>
      <c r="F108" s="56"/>
      <c r="G108" s="56"/>
    </row>
    <row r="109" spans="1:8" x14ac:dyDescent="0.2">
      <c r="A109" s="56"/>
      <c r="B109" s="58" t="s">
        <v>112</v>
      </c>
      <c r="C109" s="59">
        <v>45688</v>
      </c>
      <c r="D109" s="59">
        <v>45716</v>
      </c>
      <c r="E109" s="56"/>
      <c r="F109" s="56"/>
      <c r="G109" s="56"/>
    </row>
    <row r="110" spans="1:8" x14ac:dyDescent="0.2">
      <c r="A110" s="60"/>
      <c r="B110" s="29" t="s">
        <v>113</v>
      </c>
      <c r="C110" s="61">
        <v>46.077199999999998</v>
      </c>
      <c r="D110" s="61">
        <v>46.302100000000003</v>
      </c>
      <c r="E110" s="60"/>
      <c r="F110" s="62"/>
      <c r="G110" s="63"/>
    </row>
    <row r="111" spans="1:8" ht="25.5" x14ac:dyDescent="0.2">
      <c r="A111" s="60"/>
      <c r="B111" s="29" t="s">
        <v>674</v>
      </c>
      <c r="C111" s="61">
        <v>12.932700000000001</v>
      </c>
      <c r="D111" s="61">
        <v>12.9057</v>
      </c>
      <c r="E111" s="60"/>
      <c r="F111" s="62"/>
      <c r="G111" s="63"/>
    </row>
    <row r="112" spans="1:8" ht="25.5" x14ac:dyDescent="0.2">
      <c r="A112" s="60"/>
      <c r="B112" s="29" t="s">
        <v>675</v>
      </c>
      <c r="C112" s="61">
        <v>14.8185</v>
      </c>
      <c r="D112" s="61">
        <v>14.8909</v>
      </c>
      <c r="E112" s="60"/>
      <c r="F112" s="62"/>
      <c r="G112" s="63"/>
    </row>
    <row r="113" spans="1:17" ht="25.5" x14ac:dyDescent="0.2">
      <c r="A113" s="60"/>
      <c r="B113" s="29" t="s">
        <v>676</v>
      </c>
      <c r="C113" s="61">
        <v>14.721399999999999</v>
      </c>
      <c r="D113" s="61">
        <v>14.793200000000001</v>
      </c>
      <c r="E113" s="60"/>
      <c r="F113" s="62"/>
      <c r="G113" s="63"/>
    </row>
    <row r="114" spans="1:17" ht="25.5" x14ac:dyDescent="0.2">
      <c r="A114" s="60"/>
      <c r="B114" s="29" t="s">
        <v>677</v>
      </c>
      <c r="C114" s="61">
        <v>14.7233</v>
      </c>
      <c r="D114" s="61">
        <v>14.7951</v>
      </c>
      <c r="E114" s="60"/>
      <c r="F114" s="62"/>
      <c r="G114" s="63"/>
    </row>
    <row r="115" spans="1:17" x14ac:dyDescent="0.2">
      <c r="A115" s="60"/>
      <c r="B115" s="29" t="s">
        <v>114</v>
      </c>
      <c r="C115" s="61">
        <v>42.695599999999999</v>
      </c>
      <c r="D115" s="61">
        <v>42.876800000000003</v>
      </c>
      <c r="E115" s="60"/>
      <c r="F115" s="62"/>
      <c r="G115" s="63"/>
    </row>
    <row r="116" spans="1:17" x14ac:dyDescent="0.2">
      <c r="A116" s="60"/>
      <c r="B116" s="29" t="s">
        <v>142</v>
      </c>
      <c r="C116" s="61">
        <v>15.422700000000001</v>
      </c>
      <c r="D116" s="61">
        <v>15.488200000000001</v>
      </c>
      <c r="E116" s="60"/>
      <c r="F116" s="62"/>
      <c r="G116" s="63"/>
    </row>
    <row r="117" spans="1:17" ht="25.5" x14ac:dyDescent="0.2">
      <c r="A117" s="60"/>
      <c r="B117" s="29" t="s">
        <v>678</v>
      </c>
      <c r="C117" s="61">
        <v>12.895099999999999</v>
      </c>
      <c r="D117" s="61">
        <v>12.867699999999999</v>
      </c>
      <c r="E117" s="60"/>
      <c r="F117" s="62"/>
      <c r="G117" s="63"/>
    </row>
    <row r="118" spans="1:17" ht="25.5" x14ac:dyDescent="0.2">
      <c r="A118" s="60"/>
      <c r="B118" s="29" t="s">
        <v>673</v>
      </c>
      <c r="C118" s="61">
        <v>14.5122</v>
      </c>
      <c r="D118" s="61">
        <v>14.5738</v>
      </c>
      <c r="E118" s="60"/>
      <c r="F118" s="62"/>
      <c r="G118" s="63"/>
    </row>
    <row r="119" spans="1:17" ht="25.5" x14ac:dyDescent="0.2">
      <c r="A119" s="60"/>
      <c r="B119" s="29" t="s">
        <v>679</v>
      </c>
      <c r="C119" s="61">
        <v>14.4155</v>
      </c>
      <c r="D119" s="61">
        <v>14.476599999999999</v>
      </c>
      <c r="E119" s="60"/>
      <c r="F119" s="62"/>
      <c r="G119" s="63"/>
    </row>
    <row r="120" spans="1:17" ht="25.5" x14ac:dyDescent="0.2">
      <c r="A120" s="60"/>
      <c r="B120" s="29" t="s">
        <v>680</v>
      </c>
      <c r="C120" s="61">
        <v>14.4155</v>
      </c>
      <c r="D120" s="61">
        <v>14.476699999999999</v>
      </c>
      <c r="E120" s="60"/>
      <c r="F120" s="62"/>
      <c r="G120" s="63"/>
    </row>
    <row r="121" spans="1:17" x14ac:dyDescent="0.2">
      <c r="A121" s="60"/>
      <c r="B121" s="60"/>
      <c r="C121" s="60"/>
      <c r="D121" s="60"/>
      <c r="E121" s="60"/>
      <c r="F121" s="60"/>
      <c r="G121" s="60"/>
    </row>
    <row r="122" spans="1:17" x14ac:dyDescent="0.2">
      <c r="A122" s="60"/>
      <c r="B122" s="177" t="s">
        <v>554</v>
      </c>
      <c r="C122" s="178"/>
      <c r="D122" s="20" t="s">
        <v>12</v>
      </c>
      <c r="E122" s="60"/>
      <c r="F122" s="60"/>
      <c r="G122" s="60"/>
    </row>
    <row r="123" spans="1:17" x14ac:dyDescent="0.2">
      <c r="A123" s="60"/>
      <c r="B123" s="64" t="s">
        <v>112</v>
      </c>
      <c r="C123" s="65" t="s">
        <v>115</v>
      </c>
      <c r="D123" s="65" t="s">
        <v>116</v>
      </c>
      <c r="E123" s="60"/>
      <c r="F123" s="60"/>
      <c r="G123" s="60"/>
    </row>
    <row r="124" spans="1:17" ht="25.5" x14ac:dyDescent="0.2">
      <c r="A124" s="60"/>
      <c r="B124" s="29" t="s">
        <v>674</v>
      </c>
      <c r="C124" s="66">
        <v>0.09</v>
      </c>
      <c r="D124" s="33" t="s">
        <v>117</v>
      </c>
      <c r="E124" s="60"/>
      <c r="F124" s="62"/>
      <c r="G124" s="63"/>
    </row>
    <row r="125" spans="1:17" ht="25.5" x14ac:dyDescent="0.2">
      <c r="A125" s="60"/>
      <c r="B125" s="29" t="s">
        <v>678</v>
      </c>
      <c r="C125" s="66">
        <v>8.2000000000000003E-2</v>
      </c>
      <c r="D125" s="66">
        <v>8.2000000000000003E-2</v>
      </c>
      <c r="E125" s="60"/>
      <c r="F125" s="62"/>
      <c r="G125" s="63"/>
    </row>
    <row r="126" spans="1:17" x14ac:dyDescent="0.2">
      <c r="A126" s="60"/>
      <c r="B126" s="70"/>
      <c r="C126" s="70"/>
      <c r="D126" s="70"/>
      <c r="E126" s="60"/>
      <c r="F126" s="60"/>
      <c r="G126" s="60"/>
    </row>
    <row r="127" spans="1:17" s="71" customFormat="1" x14ac:dyDescent="0.2">
      <c r="A127" s="81"/>
      <c r="B127" s="172" t="s">
        <v>569</v>
      </c>
      <c r="C127" s="173"/>
      <c r="D127" s="38" t="s">
        <v>108</v>
      </c>
      <c r="E127" s="81"/>
      <c r="F127" s="81"/>
      <c r="G127" s="81"/>
      <c r="I127"/>
      <c r="J127" s="82"/>
      <c r="K127"/>
      <c r="L127" s="40"/>
      <c r="M127" s="40"/>
      <c r="N127" s="40"/>
      <c r="O127" s="77"/>
      <c r="P127"/>
      <c r="Q127"/>
    </row>
    <row r="128" spans="1:17" x14ac:dyDescent="0.2">
      <c r="A128" s="56"/>
      <c r="B128" s="172" t="s">
        <v>570</v>
      </c>
      <c r="C128" s="173"/>
      <c r="D128" s="38" t="s">
        <v>108</v>
      </c>
      <c r="E128" s="69"/>
      <c r="F128" s="56"/>
      <c r="G128" s="56"/>
      <c r="J128" s="82"/>
    </row>
    <row r="129" spans="1:19" x14ac:dyDescent="0.2">
      <c r="A129" s="56"/>
      <c r="B129" s="172" t="s">
        <v>571</v>
      </c>
      <c r="C129" s="173"/>
      <c r="D129" s="38" t="s">
        <v>108</v>
      </c>
      <c r="E129" s="69"/>
      <c r="F129" s="56"/>
      <c r="G129" s="56"/>
      <c r="J129" s="82"/>
    </row>
    <row r="130" spans="1:19" x14ac:dyDescent="0.2">
      <c r="A130" s="56"/>
      <c r="B130" s="172" t="s">
        <v>572</v>
      </c>
      <c r="C130" s="173"/>
      <c r="D130" s="38" t="s">
        <v>108</v>
      </c>
      <c r="E130" s="69"/>
      <c r="F130" s="56"/>
      <c r="G130" s="56"/>
      <c r="J130" s="82"/>
    </row>
    <row r="131" spans="1:19" x14ac:dyDescent="0.2">
      <c r="A131" s="70"/>
      <c r="B131" s="70"/>
      <c r="C131" s="70"/>
      <c r="D131" s="70"/>
      <c r="E131" s="70"/>
      <c r="F131" s="70"/>
      <c r="G131" s="70"/>
      <c r="J131" s="82"/>
    </row>
    <row r="132" spans="1:19" s="71" customFormat="1" x14ac:dyDescent="0.2">
      <c r="B132" s="166" t="s">
        <v>556</v>
      </c>
      <c r="C132" s="167"/>
      <c r="D132" s="168"/>
      <c r="I132"/>
      <c r="J132" s="82"/>
      <c r="K132"/>
      <c r="L132" s="40"/>
      <c r="M132" s="40"/>
      <c r="N132" s="40"/>
      <c r="O132" s="77"/>
      <c r="R132"/>
      <c r="S132"/>
    </row>
    <row r="133" spans="1:19" s="71" customFormat="1" ht="51" x14ac:dyDescent="0.2">
      <c r="B133" s="169" t="s">
        <v>557</v>
      </c>
      <c r="C133" s="169"/>
      <c r="D133" s="72" t="s">
        <v>399</v>
      </c>
      <c r="I133"/>
      <c r="J133" s="82"/>
      <c r="K133"/>
      <c r="L133" s="40"/>
      <c r="M133" s="40"/>
      <c r="N133" s="40"/>
      <c r="O133" s="77"/>
      <c r="R133"/>
      <c r="S133"/>
    </row>
    <row r="134" spans="1:19" s="71" customFormat="1" x14ac:dyDescent="0.2">
      <c r="B134" s="165" t="s">
        <v>558</v>
      </c>
      <c r="C134" s="165"/>
      <c r="D134" s="73"/>
      <c r="I134"/>
      <c r="J134" s="82"/>
      <c r="K134"/>
      <c r="L134" s="40"/>
      <c r="M134" s="40"/>
      <c r="N134" s="40"/>
      <c r="O134" s="77"/>
      <c r="R134"/>
      <c r="S134"/>
    </row>
    <row r="135" spans="1:19" s="71" customFormat="1" x14ac:dyDescent="0.2">
      <c r="B135" s="165"/>
      <c r="C135" s="165"/>
      <c r="D135" s="74"/>
      <c r="I135"/>
      <c r="J135" s="82"/>
      <c r="K135"/>
      <c r="L135" s="40"/>
      <c r="M135" s="40"/>
      <c r="N135" s="40"/>
      <c r="O135" s="77"/>
      <c r="R135"/>
      <c r="S135"/>
    </row>
    <row r="136" spans="1:19" s="71" customFormat="1" x14ac:dyDescent="0.2">
      <c r="B136" s="165" t="s">
        <v>559</v>
      </c>
      <c r="C136" s="165"/>
      <c r="D136" s="75">
        <v>7.3593693199488115</v>
      </c>
      <c r="I136"/>
      <c r="J136" s="82"/>
      <c r="K136"/>
      <c r="L136" s="40"/>
      <c r="M136" s="40"/>
      <c r="N136" s="40"/>
      <c r="O136" s="77"/>
    </row>
    <row r="137" spans="1:19" s="71" customFormat="1" x14ac:dyDescent="0.2">
      <c r="B137" s="165"/>
      <c r="C137" s="165"/>
      <c r="D137" s="74"/>
      <c r="I137"/>
      <c r="J137" s="82"/>
      <c r="K137"/>
      <c r="L137" s="40"/>
      <c r="M137" s="40"/>
      <c r="N137" s="40"/>
      <c r="O137" s="77"/>
    </row>
    <row r="138" spans="1:19" s="71" customFormat="1" x14ac:dyDescent="0.2">
      <c r="B138" s="165" t="s">
        <v>560</v>
      </c>
      <c r="C138" s="165"/>
      <c r="D138" s="75">
        <v>2.8217675960716595</v>
      </c>
      <c r="I138"/>
      <c r="J138" s="82"/>
      <c r="K138"/>
      <c r="L138" s="40"/>
      <c r="M138" s="40"/>
      <c r="N138" s="40"/>
      <c r="O138" s="77"/>
    </row>
    <row r="139" spans="1:19" s="71" customFormat="1" x14ac:dyDescent="0.2">
      <c r="B139" s="165" t="s">
        <v>579</v>
      </c>
      <c r="C139" s="165"/>
      <c r="D139" s="75">
        <v>3.4780241857023384</v>
      </c>
      <c r="I139"/>
      <c r="J139" s="82"/>
      <c r="K139"/>
      <c r="L139" s="40"/>
      <c r="M139" s="40"/>
      <c r="N139" s="40"/>
      <c r="O139" s="77"/>
    </row>
    <row r="140" spans="1:19" s="71" customFormat="1" x14ac:dyDescent="0.2">
      <c r="B140" s="165"/>
      <c r="C140" s="165"/>
      <c r="D140" s="74"/>
      <c r="I140"/>
      <c r="J140" s="82"/>
      <c r="K140"/>
      <c r="L140" s="40"/>
      <c r="M140" s="40"/>
      <c r="N140" s="40"/>
      <c r="O140" s="77"/>
    </row>
    <row r="141" spans="1:19" s="71" customFormat="1" ht="25.5" x14ac:dyDescent="0.2">
      <c r="B141" s="165" t="s">
        <v>562</v>
      </c>
      <c r="C141" s="165"/>
      <c r="D141" s="76" t="s">
        <v>668</v>
      </c>
      <c r="I141"/>
      <c r="J141" s="82"/>
      <c r="K141" s="40"/>
      <c r="L141" s="40"/>
      <c r="M141" s="40"/>
      <c r="N141" s="40"/>
      <c r="O141" s="77"/>
    </row>
    <row r="142" spans="1:19" s="71" customFormat="1" x14ac:dyDescent="0.2">
      <c r="B142" s="162" t="s">
        <v>563</v>
      </c>
      <c r="C142" s="163"/>
      <c r="D142" s="164"/>
      <c r="I142"/>
      <c r="J142" s="82"/>
      <c r="K142"/>
      <c r="L142" s="40"/>
      <c r="M142" s="40"/>
      <c r="N142" s="40"/>
      <c r="O142" s="77"/>
    </row>
    <row r="143" spans="1:19" x14ac:dyDescent="0.2">
      <c r="J143" s="82"/>
    </row>
    <row r="144" spans="1:19" ht="13.5" x14ac:dyDescent="0.2">
      <c r="B144" s="197" t="s">
        <v>669</v>
      </c>
      <c r="C144" s="197"/>
      <c r="D144" s="197"/>
      <c r="E144" s="197"/>
      <c r="F144" s="197"/>
      <c r="G144" s="197"/>
      <c r="H144" s="197"/>
    </row>
    <row r="145" spans="2:15" ht="13.5" x14ac:dyDescent="0.2">
      <c r="B145" s="108"/>
      <c r="C145" s="108"/>
      <c r="D145" s="108"/>
      <c r="E145" s="108"/>
      <c r="F145" s="108"/>
      <c r="G145" s="108"/>
      <c r="H145" s="108"/>
      <c r="J145" s="40"/>
      <c r="K145" s="40"/>
      <c r="L145" s="40"/>
      <c r="M145" s="40"/>
      <c r="N145" s="40"/>
      <c r="O145" s="40"/>
    </row>
    <row r="146" spans="2:15" ht="13.5" x14ac:dyDescent="0.25">
      <c r="B146" s="97" t="s">
        <v>587</v>
      </c>
      <c r="C146" s="97" t="s">
        <v>588</v>
      </c>
      <c r="D146" s="198" t="s">
        <v>582</v>
      </c>
      <c r="E146" s="199"/>
      <c r="F146" s="200"/>
      <c r="G146" s="201" t="s">
        <v>583</v>
      </c>
      <c r="H146" s="202"/>
      <c r="J146" s="40"/>
      <c r="K146" s="40"/>
      <c r="L146" s="40"/>
      <c r="M146" s="40"/>
      <c r="N146" s="40"/>
      <c r="O146" s="40"/>
    </row>
    <row r="147" spans="2:15" ht="27" x14ac:dyDescent="0.25">
      <c r="B147" s="98" t="s">
        <v>593</v>
      </c>
      <c r="C147" s="99" t="s">
        <v>615</v>
      </c>
      <c r="D147" s="194">
        <v>0</v>
      </c>
      <c r="E147" s="195"/>
      <c r="F147" s="196"/>
      <c r="G147" s="194">
        <v>0</v>
      </c>
      <c r="H147" s="196"/>
      <c r="J147" s="40"/>
      <c r="K147" s="40"/>
      <c r="L147" s="40"/>
      <c r="M147" s="40"/>
      <c r="N147" s="40"/>
      <c r="O147" s="40"/>
    </row>
    <row r="148" spans="2:15" ht="27" x14ac:dyDescent="0.25">
      <c r="B148" s="98" t="s">
        <v>589</v>
      </c>
      <c r="C148" s="99" t="s">
        <v>616</v>
      </c>
      <c r="D148" s="194">
        <v>0</v>
      </c>
      <c r="E148" s="195"/>
      <c r="F148" s="196"/>
      <c r="G148" s="194">
        <v>0</v>
      </c>
      <c r="H148" s="196"/>
      <c r="J148" s="40"/>
      <c r="K148" s="40"/>
      <c r="L148" s="40"/>
      <c r="M148" s="40"/>
      <c r="N148" s="40"/>
      <c r="O148" s="40"/>
    </row>
    <row r="149" spans="2:15" ht="27" x14ac:dyDescent="0.25">
      <c r="B149" s="98" t="s">
        <v>617</v>
      </c>
      <c r="C149" s="99" t="s">
        <v>618</v>
      </c>
      <c r="D149" s="194">
        <v>0</v>
      </c>
      <c r="E149" s="195"/>
      <c r="F149" s="196"/>
      <c r="G149" s="194">
        <v>0</v>
      </c>
      <c r="H149" s="196"/>
      <c r="J149" s="40"/>
      <c r="K149" s="40"/>
      <c r="L149" s="40"/>
      <c r="M149" s="40"/>
      <c r="N149" s="40"/>
      <c r="O149" s="40"/>
    </row>
    <row r="150" spans="2:15" ht="27" x14ac:dyDescent="0.25">
      <c r="B150" s="98" t="s">
        <v>591</v>
      </c>
      <c r="C150" s="99" t="s">
        <v>619</v>
      </c>
      <c r="D150" s="187">
        <v>0</v>
      </c>
      <c r="E150" s="187"/>
      <c r="F150" s="187"/>
      <c r="G150" s="187">
        <v>0</v>
      </c>
      <c r="H150" s="187"/>
      <c r="J150" s="40"/>
      <c r="K150" s="40"/>
      <c r="L150" s="40"/>
      <c r="M150" s="40"/>
      <c r="N150" s="40"/>
      <c r="O150" s="40"/>
    </row>
    <row r="151" spans="2:15" ht="13.5" x14ac:dyDescent="0.25">
      <c r="B151" s="109"/>
      <c r="C151" s="109"/>
      <c r="D151" s="192"/>
      <c r="E151" s="192"/>
      <c r="F151" s="192"/>
      <c r="G151" s="192"/>
      <c r="H151" s="192"/>
      <c r="J151" s="40"/>
      <c r="K151" s="40"/>
      <c r="L151" s="40"/>
      <c r="M151" s="40"/>
      <c r="N151" s="40"/>
      <c r="O151" s="40"/>
    </row>
    <row r="152" spans="2:15" ht="13.5" x14ac:dyDescent="0.25">
      <c r="B152" s="193" t="s">
        <v>595</v>
      </c>
      <c r="C152" s="193"/>
      <c r="D152" s="193"/>
      <c r="E152" s="193"/>
      <c r="F152" s="193"/>
      <c r="G152" s="193"/>
      <c r="H152" s="193"/>
      <c r="J152" s="40"/>
      <c r="K152" s="40"/>
      <c r="L152" s="40"/>
      <c r="M152" s="40"/>
      <c r="N152" s="40"/>
      <c r="O152" s="40"/>
    </row>
    <row r="153" spans="2:15" ht="13.5" x14ac:dyDescent="0.2">
      <c r="B153" s="185" t="s">
        <v>587</v>
      </c>
      <c r="C153" s="185" t="s">
        <v>588</v>
      </c>
      <c r="D153" s="185" t="s">
        <v>596</v>
      </c>
      <c r="E153" s="185"/>
      <c r="F153" s="185"/>
      <c r="G153" s="185"/>
      <c r="H153" s="186" t="s">
        <v>597</v>
      </c>
      <c r="I153" s="186" t="s">
        <v>620</v>
      </c>
      <c r="J153" s="186" t="s">
        <v>599</v>
      </c>
      <c r="K153" s="40"/>
      <c r="L153" s="40"/>
      <c r="M153" s="40"/>
      <c r="N153" s="40"/>
      <c r="O153" s="40"/>
    </row>
    <row r="154" spans="2:15" ht="121.5" x14ac:dyDescent="0.2">
      <c r="B154" s="185"/>
      <c r="C154" s="185"/>
      <c r="D154" s="101" t="s">
        <v>600</v>
      </c>
      <c r="E154" s="101" t="s">
        <v>601</v>
      </c>
      <c r="F154" s="101" t="s">
        <v>602</v>
      </c>
      <c r="G154" s="101" t="s">
        <v>621</v>
      </c>
      <c r="H154" s="186"/>
      <c r="I154" s="186"/>
      <c r="J154" s="186"/>
      <c r="K154" s="40"/>
      <c r="L154" s="40"/>
      <c r="M154" s="40"/>
      <c r="N154" s="40"/>
      <c r="O154" s="40"/>
    </row>
    <row r="155" spans="2:15" ht="27" x14ac:dyDescent="0.25">
      <c r="B155" s="98" t="s">
        <v>593</v>
      </c>
      <c r="C155" s="99" t="s">
        <v>615</v>
      </c>
      <c r="D155" s="102">
        <v>3000</v>
      </c>
      <c r="E155" s="102">
        <v>198.60410960000002</v>
      </c>
      <c r="F155" s="103">
        <v>72.152053199999997</v>
      </c>
      <c r="G155" s="104">
        <v>3270.7561627999999</v>
      </c>
      <c r="H155" s="9">
        <v>1452.6372699999999</v>
      </c>
      <c r="I155" s="9">
        <f>2499839/10^5</f>
        <v>24.998390000000001</v>
      </c>
      <c r="J155" s="9">
        <f>H155+I155</f>
        <v>1477.6356599999999</v>
      </c>
      <c r="K155" s="40"/>
      <c r="L155" s="40"/>
      <c r="M155" s="40"/>
      <c r="N155" s="40"/>
      <c r="O155" s="40"/>
    </row>
    <row r="156" spans="2:15" ht="27" x14ac:dyDescent="0.25">
      <c r="B156" s="98" t="s">
        <v>589</v>
      </c>
      <c r="C156" s="99" t="s">
        <v>616</v>
      </c>
      <c r="D156" s="102">
        <v>500</v>
      </c>
      <c r="E156" s="102">
        <v>33.283561599999999</v>
      </c>
      <c r="F156" s="103">
        <v>12.091777499999999</v>
      </c>
      <c r="G156" s="104">
        <f>D156+E156+F156</f>
        <v>545.37533910000002</v>
      </c>
      <c r="H156" s="9">
        <v>242.22076999999999</v>
      </c>
      <c r="I156" s="9">
        <f>416840/10^5</f>
        <v>4.1684000000000001</v>
      </c>
      <c r="J156" s="9">
        <f>H156+I156</f>
        <v>246.38916999999998</v>
      </c>
      <c r="K156" s="40"/>
      <c r="L156" s="40"/>
      <c r="M156" s="40"/>
      <c r="N156" s="40"/>
      <c r="O156" s="40"/>
    </row>
    <row r="157" spans="2:15" ht="27" x14ac:dyDescent="0.25">
      <c r="B157" s="98" t="s">
        <v>617</v>
      </c>
      <c r="C157" s="99" t="s">
        <v>622</v>
      </c>
      <c r="D157" s="102">
        <v>2000</v>
      </c>
      <c r="E157" s="102">
        <v>39.762295099999996</v>
      </c>
      <c r="F157" s="103">
        <v>64.029485721917808</v>
      </c>
      <c r="G157" s="104">
        <v>2103.7917808219199</v>
      </c>
      <c r="H157" s="9">
        <v>933.64715000000001</v>
      </c>
      <c r="I157" s="9">
        <f>1606686/10^5</f>
        <v>16.066859999999998</v>
      </c>
      <c r="J157" s="9">
        <f>H157+I157</f>
        <v>949.71401000000003</v>
      </c>
      <c r="K157" s="40"/>
      <c r="L157" s="40"/>
      <c r="M157" s="40"/>
      <c r="N157" s="40"/>
      <c r="O157" s="40"/>
    </row>
    <row r="158" spans="2:15" ht="27" x14ac:dyDescent="0.25">
      <c r="B158" s="98" t="s">
        <v>591</v>
      </c>
      <c r="C158" s="99" t="s">
        <v>619</v>
      </c>
      <c r="D158" s="102">
        <v>1882.78</v>
      </c>
      <c r="E158" s="102">
        <v>137.066384</v>
      </c>
      <c r="F158" s="103">
        <v>34.266601500000007</v>
      </c>
      <c r="G158" s="104">
        <v>2054.1129854999999</v>
      </c>
      <c r="H158" s="9">
        <v>916.65184999999997</v>
      </c>
      <c r="I158" s="9">
        <f>1577458/10^5</f>
        <v>15.77458</v>
      </c>
      <c r="J158" s="9">
        <f>H158+I158</f>
        <v>932.42642999999998</v>
      </c>
      <c r="K158" s="40"/>
      <c r="L158" s="40"/>
      <c r="M158" s="40"/>
      <c r="N158" s="40"/>
      <c r="O158" s="40"/>
    </row>
    <row r="159" spans="2:15" ht="13.5" x14ac:dyDescent="0.25">
      <c r="B159" s="109"/>
      <c r="C159" s="110"/>
      <c r="D159" s="111"/>
      <c r="E159" s="111"/>
      <c r="F159" s="112"/>
      <c r="G159" s="113"/>
      <c r="H159" s="11"/>
      <c r="J159" s="82"/>
      <c r="K159" s="40"/>
      <c r="L159" s="40"/>
      <c r="M159" s="40"/>
      <c r="N159" s="40"/>
      <c r="O159" s="40"/>
    </row>
    <row r="160" spans="2:15" ht="51" customHeight="1" x14ac:dyDescent="0.2">
      <c r="B160" s="191" t="s">
        <v>623</v>
      </c>
      <c r="C160" s="191"/>
      <c r="D160" s="191"/>
      <c r="E160" s="191"/>
      <c r="F160" s="191"/>
      <c r="G160" s="191"/>
      <c r="H160" s="191"/>
      <c r="I160" s="191"/>
      <c r="J160" s="82"/>
      <c r="K160" s="40"/>
      <c r="L160" s="40"/>
      <c r="M160" s="40"/>
      <c r="N160" s="40"/>
      <c r="O160" s="40"/>
    </row>
    <row r="161" spans="2:15" x14ac:dyDescent="0.2">
      <c r="B161" s="40"/>
      <c r="C161" s="40"/>
      <c r="D161" s="40"/>
      <c r="E161" s="40"/>
      <c r="F161" s="40"/>
      <c r="G161" s="40"/>
      <c r="H161" s="40"/>
      <c r="J161" s="82"/>
      <c r="K161" s="40"/>
      <c r="L161" s="40"/>
      <c r="M161" s="40"/>
      <c r="N161" s="40"/>
      <c r="O161" s="40"/>
    </row>
    <row r="162" spans="2:15" ht="13.5" x14ac:dyDescent="0.25">
      <c r="B162" s="105" t="s">
        <v>604</v>
      </c>
      <c r="C162" s="40"/>
      <c r="D162" s="40"/>
      <c r="E162" s="40"/>
      <c r="F162" s="40"/>
      <c r="G162" s="40"/>
      <c r="H162" s="40"/>
      <c r="J162" s="82"/>
      <c r="K162" s="40"/>
      <c r="L162" s="40"/>
      <c r="M162" s="40"/>
      <c r="N162" s="40"/>
      <c r="O162" s="40"/>
    </row>
    <row r="163" spans="2:15" x14ac:dyDescent="0.2">
      <c r="B163" s="40"/>
      <c r="C163" s="40"/>
      <c r="D163" s="40"/>
      <c r="E163" s="40"/>
      <c r="F163" s="40"/>
      <c r="G163" s="40"/>
      <c r="H163" s="40"/>
      <c r="I163" s="40"/>
      <c r="J163" s="82"/>
      <c r="K163" s="40"/>
      <c r="L163" s="40"/>
      <c r="M163" s="40"/>
      <c r="N163" s="40"/>
      <c r="O163" s="40"/>
    </row>
    <row r="164" spans="2:15" x14ac:dyDescent="0.2">
      <c r="B164" s="106" t="s">
        <v>605</v>
      </c>
      <c r="C164" s="40"/>
      <c r="D164" s="40"/>
      <c r="E164" s="40"/>
      <c r="F164" s="40"/>
      <c r="G164" s="40"/>
      <c r="H164" s="40"/>
      <c r="I164" s="40"/>
      <c r="J164" s="82"/>
      <c r="K164" s="40"/>
      <c r="L164" s="40"/>
      <c r="M164" s="40"/>
      <c r="N164" s="40"/>
      <c r="O164" s="40"/>
    </row>
    <row r="165" spans="2:15" x14ac:dyDescent="0.2">
      <c r="B165" s="40"/>
      <c r="C165" s="40"/>
      <c r="D165" s="40"/>
      <c r="E165" s="40"/>
      <c r="F165" s="40"/>
      <c r="G165" s="40"/>
      <c r="H165" s="40"/>
      <c r="I165" s="40"/>
      <c r="J165" s="82"/>
      <c r="K165" s="40"/>
      <c r="L165" s="40"/>
      <c r="M165" s="40"/>
      <c r="N165" s="40"/>
      <c r="O165" s="40"/>
    </row>
    <row r="166" spans="2:15" x14ac:dyDescent="0.2">
      <c r="B166" s="106" t="s">
        <v>606</v>
      </c>
      <c r="C166" s="40"/>
      <c r="D166" s="40"/>
      <c r="E166" s="40"/>
      <c r="F166" s="40"/>
      <c r="G166" s="40"/>
      <c r="H166" s="40"/>
      <c r="I166" s="40"/>
      <c r="J166" s="82"/>
      <c r="K166" s="40"/>
      <c r="L166" s="40"/>
      <c r="M166" s="40"/>
      <c r="N166" s="40"/>
      <c r="O166" s="40"/>
    </row>
    <row r="167" spans="2:15" x14ac:dyDescent="0.2">
      <c r="I167" s="40"/>
      <c r="J167" s="82"/>
      <c r="K167" s="40"/>
      <c r="L167" s="40"/>
      <c r="M167" s="40"/>
      <c r="N167" s="40"/>
      <c r="O167" s="40"/>
    </row>
    <row r="168" spans="2:15" x14ac:dyDescent="0.2">
      <c r="B168" s="106" t="s">
        <v>607</v>
      </c>
      <c r="J168" s="82"/>
      <c r="K168" s="40"/>
      <c r="L168" s="40"/>
      <c r="M168" s="40"/>
      <c r="N168" s="40"/>
      <c r="O168" s="40"/>
    </row>
    <row r="169" spans="2:15" x14ac:dyDescent="0.2">
      <c r="I169" s="40"/>
      <c r="J169" s="82"/>
      <c r="K169" s="40"/>
      <c r="L169" s="40"/>
      <c r="M169" s="40"/>
      <c r="N169" s="40"/>
      <c r="O169" s="40"/>
    </row>
    <row r="170" spans="2:15" ht="25.5" x14ac:dyDescent="0.2">
      <c r="B170" s="78" t="s">
        <v>564</v>
      </c>
    </row>
    <row r="172" spans="2:15" ht="153.75" customHeight="1" x14ac:dyDescent="0.2"/>
    <row r="175" spans="2:15" x14ac:dyDescent="0.2">
      <c r="B175" s="79" t="s">
        <v>565</v>
      </c>
      <c r="C175" s="80"/>
      <c r="D175" s="79" t="s">
        <v>566</v>
      </c>
    </row>
    <row r="176" spans="2:15" x14ac:dyDescent="0.2">
      <c r="B176" s="79" t="s">
        <v>624</v>
      </c>
      <c r="D176" s="79" t="s">
        <v>625</v>
      </c>
    </row>
    <row r="177" spans="10:10" ht="165" customHeight="1" x14ac:dyDescent="0.2"/>
    <row r="179" spans="10:10" x14ac:dyDescent="0.2">
      <c r="J179" s="82"/>
    </row>
  </sheetData>
  <mergeCells count="47">
    <mergeCell ref="B102:H102"/>
    <mergeCell ref="B127:C127"/>
    <mergeCell ref="B128:C128"/>
    <mergeCell ref="B129:C129"/>
    <mergeCell ref="B130:C130"/>
    <mergeCell ref="B104:D104"/>
    <mergeCell ref="B105:C105"/>
    <mergeCell ref="B106:C106"/>
    <mergeCell ref="B107:C107"/>
    <mergeCell ref="B122:C122"/>
    <mergeCell ref="A3:H3"/>
    <mergeCell ref="A2:H2"/>
    <mergeCell ref="A1:H1"/>
    <mergeCell ref="B100:H100"/>
    <mergeCell ref="B101:H101"/>
    <mergeCell ref="B132:D132"/>
    <mergeCell ref="B133:C133"/>
    <mergeCell ref="B134:C134"/>
    <mergeCell ref="B135:C135"/>
    <mergeCell ref="B136:C136"/>
    <mergeCell ref="B137:C137"/>
    <mergeCell ref="B138:C138"/>
    <mergeCell ref="B139:C139"/>
    <mergeCell ref="B140:C140"/>
    <mergeCell ref="B141:C141"/>
    <mergeCell ref="B142:D142"/>
    <mergeCell ref="B144:H144"/>
    <mergeCell ref="D146:F146"/>
    <mergeCell ref="G146:H146"/>
    <mergeCell ref="D147:F147"/>
    <mergeCell ref="G147:H147"/>
    <mergeCell ref="D148:F148"/>
    <mergeCell ref="G148:H148"/>
    <mergeCell ref="D149:F149"/>
    <mergeCell ref="G149:H149"/>
    <mergeCell ref="D150:F150"/>
    <mergeCell ref="G150:H150"/>
    <mergeCell ref="I153:I154"/>
    <mergeCell ref="J153:J154"/>
    <mergeCell ref="B160:I160"/>
    <mergeCell ref="D151:F151"/>
    <mergeCell ref="G151:H151"/>
    <mergeCell ref="B152:H152"/>
    <mergeCell ref="B153:B154"/>
    <mergeCell ref="C153:C154"/>
    <mergeCell ref="D153:G153"/>
    <mergeCell ref="H153:H154"/>
  </mergeCells>
  <hyperlinks>
    <hyperlink ref="B164" r:id="rId1" xr:uid="{88F805C7-2CB4-4781-B256-9075D526E9CA}"/>
    <hyperlink ref="B166" r:id="rId2" xr:uid="{98853D92-FCF7-4D46-BFFF-E9B07C8AF452}"/>
    <hyperlink ref="B168" r:id="rId3" xr:uid="{DB9274D6-C87B-4E31-9639-540E91995A6A}"/>
  </hyperlinks>
  <pageMargins left="5.000000074505806E-2" right="5.000000074505806E-2" top="0.30000001192092896" bottom="0.20000000298023224" header="0" footer="0"/>
  <pageSetup paperSize="9" orientation="landscape" horizontalDpi="0" verticalDpi="0"/>
  <headerFooter alignWithMargins="0"/>
  <drawing r:id="rId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87F2F9-9881-4035-955D-FA1726A75AD4}">
  <sheetPr>
    <outlinePr summaryBelow="0" summaryRight="0"/>
  </sheetPr>
  <dimension ref="A1:Q196"/>
  <sheetViews>
    <sheetView showGridLines="0" workbookViewId="0">
      <selection sqref="A1:H1"/>
    </sheetView>
  </sheetViews>
  <sheetFormatPr defaultRowHeight="12.75" x14ac:dyDescent="0.2"/>
  <cols>
    <col min="1" max="1" width="5.85546875" bestFit="1" customWidth="1"/>
    <col min="2" max="2" width="20.28515625" bestFit="1" customWidth="1"/>
    <col min="3" max="3" width="37.28515625" customWidth="1"/>
    <col min="4" max="4" width="10.7109375" bestFit="1" customWidth="1"/>
    <col min="5" max="5" width="9.42578125" bestFit="1" customWidth="1"/>
    <col min="6" max="6" width="10.140625" bestFit="1" customWidth="1"/>
    <col min="7" max="7" width="14" bestFit="1" customWidth="1"/>
    <col min="9" max="9" width="9.140625" style="83"/>
  </cols>
  <sheetData>
    <row r="1" spans="1:9" ht="15" x14ac:dyDescent="0.2">
      <c r="A1" s="170" t="s">
        <v>0</v>
      </c>
      <c r="B1" s="170"/>
      <c r="C1" s="170"/>
      <c r="D1" s="170"/>
      <c r="E1" s="170"/>
      <c r="F1" s="170"/>
      <c r="G1" s="170"/>
      <c r="H1" s="170"/>
    </row>
    <row r="2" spans="1:9" ht="15" x14ac:dyDescent="0.2">
      <c r="A2" s="170" t="s">
        <v>414</v>
      </c>
      <c r="B2" s="170"/>
      <c r="C2" s="170"/>
      <c r="D2" s="170"/>
      <c r="E2" s="170"/>
      <c r="F2" s="170"/>
      <c r="G2" s="170"/>
      <c r="H2" s="170"/>
    </row>
    <row r="3" spans="1:9" ht="15" x14ac:dyDescent="0.2">
      <c r="A3" s="170" t="s">
        <v>686</v>
      </c>
      <c r="B3" s="170"/>
      <c r="C3" s="170"/>
      <c r="D3" s="170"/>
      <c r="E3" s="170"/>
      <c r="F3" s="170"/>
      <c r="G3" s="170"/>
      <c r="H3" s="170"/>
    </row>
    <row r="4" spans="1:9" s="14" customFormat="1" ht="30" x14ac:dyDescent="0.2">
      <c r="A4" s="12" t="s">
        <v>2</v>
      </c>
      <c r="B4" s="12" t="s">
        <v>3</v>
      </c>
      <c r="C4" s="12" t="s">
        <v>4</v>
      </c>
      <c r="D4" s="12" t="s">
        <v>5</v>
      </c>
      <c r="E4" s="12" t="s">
        <v>6</v>
      </c>
      <c r="F4" s="12" t="s">
        <v>7</v>
      </c>
      <c r="G4" s="12" t="s">
        <v>8</v>
      </c>
      <c r="H4" s="13" t="s">
        <v>681</v>
      </c>
      <c r="I4" s="84"/>
    </row>
    <row r="5" spans="1:9" x14ac:dyDescent="0.2">
      <c r="A5" s="15"/>
      <c r="B5" s="15"/>
      <c r="C5" s="16" t="s">
        <v>9</v>
      </c>
      <c r="D5" s="15"/>
      <c r="E5" s="15"/>
      <c r="F5" s="15"/>
      <c r="G5" s="17"/>
      <c r="H5" s="18" t="s">
        <v>12</v>
      </c>
    </row>
    <row r="6" spans="1:9" x14ac:dyDescent="0.2">
      <c r="A6" s="19"/>
      <c r="B6" s="19"/>
      <c r="C6" s="20" t="s">
        <v>10</v>
      </c>
      <c r="D6" s="19"/>
      <c r="E6" s="19"/>
      <c r="F6" s="19"/>
      <c r="G6" s="21"/>
      <c r="H6" s="18" t="s">
        <v>12</v>
      </c>
    </row>
    <row r="7" spans="1:9" x14ac:dyDescent="0.2">
      <c r="A7" s="19"/>
      <c r="B7" s="19"/>
      <c r="C7" s="20" t="s">
        <v>11</v>
      </c>
      <c r="D7" s="19"/>
      <c r="E7" s="19" t="s">
        <v>12</v>
      </c>
      <c r="F7" s="22" t="s">
        <v>13</v>
      </c>
      <c r="G7" s="23">
        <v>0</v>
      </c>
      <c r="H7" s="18" t="s">
        <v>12</v>
      </c>
    </row>
    <row r="8" spans="1:9" x14ac:dyDescent="0.2">
      <c r="A8" s="19"/>
      <c r="B8" s="19"/>
      <c r="C8" s="24"/>
      <c r="D8" s="19"/>
      <c r="E8" s="19"/>
      <c r="F8" s="25"/>
      <c r="G8" s="26"/>
      <c r="H8" s="18" t="s">
        <v>12</v>
      </c>
    </row>
    <row r="9" spans="1:9" x14ac:dyDescent="0.2">
      <c r="A9" s="19"/>
      <c r="B9" s="19"/>
      <c r="C9" s="20" t="s">
        <v>14</v>
      </c>
      <c r="D9" s="19"/>
      <c r="E9" s="19"/>
      <c r="F9" s="19"/>
      <c r="G9" s="21"/>
      <c r="H9" s="18" t="s">
        <v>12</v>
      </c>
    </row>
    <row r="10" spans="1:9" x14ac:dyDescent="0.2">
      <c r="A10" s="19"/>
      <c r="B10" s="19"/>
      <c r="C10" s="20" t="s">
        <v>11</v>
      </c>
      <c r="D10" s="19"/>
      <c r="E10" s="19" t="s">
        <v>12</v>
      </c>
      <c r="F10" s="22" t="s">
        <v>13</v>
      </c>
      <c r="G10" s="23">
        <v>0</v>
      </c>
      <c r="H10" s="18" t="s">
        <v>12</v>
      </c>
    </row>
    <row r="11" spans="1:9" x14ac:dyDescent="0.2">
      <c r="A11" s="19"/>
      <c r="B11" s="19"/>
      <c r="C11" s="24"/>
      <c r="D11" s="19"/>
      <c r="E11" s="19"/>
      <c r="F11" s="25"/>
      <c r="G11" s="26"/>
      <c r="H11" s="18" t="s">
        <v>12</v>
      </c>
    </row>
    <row r="12" spans="1:9" x14ac:dyDescent="0.2">
      <c r="A12" s="19"/>
      <c r="B12" s="19"/>
      <c r="C12" s="20" t="s">
        <v>15</v>
      </c>
      <c r="D12" s="19"/>
      <c r="E12" s="19"/>
      <c r="F12" s="19"/>
      <c r="G12" s="21"/>
      <c r="H12" s="18" t="s">
        <v>12</v>
      </c>
    </row>
    <row r="13" spans="1:9" x14ac:dyDescent="0.2">
      <c r="A13" s="19"/>
      <c r="B13" s="19"/>
      <c r="C13" s="20" t="s">
        <v>11</v>
      </c>
      <c r="D13" s="19"/>
      <c r="E13" s="19" t="s">
        <v>12</v>
      </c>
      <c r="F13" s="22" t="s">
        <v>13</v>
      </c>
      <c r="G13" s="23">
        <v>0</v>
      </c>
      <c r="H13" s="18" t="s">
        <v>12</v>
      </c>
    </row>
    <row r="14" spans="1:9" x14ac:dyDescent="0.2">
      <c r="A14" s="19"/>
      <c r="B14" s="19"/>
      <c r="C14" s="24"/>
      <c r="D14" s="19"/>
      <c r="E14" s="19"/>
      <c r="F14" s="25"/>
      <c r="G14" s="26"/>
      <c r="H14" s="18" t="s">
        <v>12</v>
      </c>
    </row>
    <row r="15" spans="1:9" x14ac:dyDescent="0.2">
      <c r="A15" s="19"/>
      <c r="B15" s="19"/>
      <c r="C15" s="20" t="s">
        <v>16</v>
      </c>
      <c r="D15" s="19"/>
      <c r="E15" s="19"/>
      <c r="F15" s="19"/>
      <c r="G15" s="21"/>
      <c r="H15" s="18" t="s">
        <v>12</v>
      </c>
    </row>
    <row r="16" spans="1:9" x14ac:dyDescent="0.2">
      <c r="A16" s="19"/>
      <c r="B16" s="19"/>
      <c r="C16" s="20" t="s">
        <v>11</v>
      </c>
      <c r="D16" s="19"/>
      <c r="E16" s="19" t="s">
        <v>12</v>
      </c>
      <c r="F16" s="22" t="s">
        <v>13</v>
      </c>
      <c r="G16" s="23">
        <v>0</v>
      </c>
      <c r="H16" s="18" t="s">
        <v>12</v>
      </c>
    </row>
    <row r="17" spans="1:8" x14ac:dyDescent="0.2">
      <c r="A17" s="19"/>
      <c r="B17" s="19"/>
      <c r="C17" s="24"/>
      <c r="D17" s="19"/>
      <c r="E17" s="19"/>
      <c r="F17" s="25"/>
      <c r="G17" s="26"/>
      <c r="H17" s="18" t="s">
        <v>12</v>
      </c>
    </row>
    <row r="18" spans="1:8" x14ac:dyDescent="0.2">
      <c r="A18" s="19"/>
      <c r="B18" s="19"/>
      <c r="C18" s="20" t="s">
        <v>17</v>
      </c>
      <c r="D18" s="19"/>
      <c r="E18" s="19"/>
      <c r="F18" s="25"/>
      <c r="G18" s="26"/>
      <c r="H18" s="18" t="s">
        <v>12</v>
      </c>
    </row>
    <row r="19" spans="1:8" x14ac:dyDescent="0.2">
      <c r="A19" s="19"/>
      <c r="B19" s="19"/>
      <c r="C19" s="20" t="s">
        <v>11</v>
      </c>
      <c r="D19" s="19"/>
      <c r="E19" s="19" t="s">
        <v>12</v>
      </c>
      <c r="F19" s="22" t="s">
        <v>13</v>
      </c>
      <c r="G19" s="23">
        <v>0</v>
      </c>
      <c r="H19" s="18" t="s">
        <v>12</v>
      </c>
    </row>
    <row r="20" spans="1:8" x14ac:dyDescent="0.2">
      <c r="A20" s="19"/>
      <c r="B20" s="19"/>
      <c r="C20" s="24"/>
      <c r="D20" s="19"/>
      <c r="E20" s="19"/>
      <c r="F20" s="25"/>
      <c r="G20" s="26"/>
      <c r="H20" s="18" t="s">
        <v>12</v>
      </c>
    </row>
    <row r="21" spans="1:8" x14ac:dyDescent="0.2">
      <c r="A21" s="19"/>
      <c r="B21" s="19"/>
      <c r="C21" s="20" t="s">
        <v>18</v>
      </c>
      <c r="D21" s="19"/>
      <c r="E21" s="19"/>
      <c r="F21" s="25"/>
      <c r="G21" s="26"/>
      <c r="H21" s="18" t="s">
        <v>12</v>
      </c>
    </row>
    <row r="22" spans="1:8" x14ac:dyDescent="0.2">
      <c r="A22" s="19"/>
      <c r="B22" s="19"/>
      <c r="C22" s="20" t="s">
        <v>11</v>
      </c>
      <c r="D22" s="19"/>
      <c r="E22" s="19" t="s">
        <v>12</v>
      </c>
      <c r="F22" s="22" t="s">
        <v>13</v>
      </c>
      <c r="G22" s="23">
        <v>0</v>
      </c>
      <c r="H22" s="18" t="s">
        <v>12</v>
      </c>
    </row>
    <row r="23" spans="1:8" x14ac:dyDescent="0.2">
      <c r="A23" s="19"/>
      <c r="B23" s="19"/>
      <c r="C23" s="24"/>
      <c r="D23" s="19"/>
      <c r="E23" s="19"/>
      <c r="F23" s="25"/>
      <c r="G23" s="26"/>
      <c r="H23" s="18" t="s">
        <v>12</v>
      </c>
    </row>
    <row r="24" spans="1:8" x14ac:dyDescent="0.2">
      <c r="A24" s="19"/>
      <c r="B24" s="19"/>
      <c r="C24" s="20" t="s">
        <v>19</v>
      </c>
      <c r="D24" s="19"/>
      <c r="E24" s="19"/>
      <c r="F24" s="27">
        <v>0</v>
      </c>
      <c r="G24" s="23">
        <v>0</v>
      </c>
      <c r="H24" s="18" t="s">
        <v>12</v>
      </c>
    </row>
    <row r="25" spans="1:8" x14ac:dyDescent="0.2">
      <c r="A25" s="19"/>
      <c r="B25" s="19"/>
      <c r="C25" s="24"/>
      <c r="D25" s="19"/>
      <c r="E25" s="19"/>
      <c r="F25" s="25"/>
      <c r="G25" s="26"/>
      <c r="H25" s="18" t="s">
        <v>12</v>
      </c>
    </row>
    <row r="26" spans="1:8" x14ac:dyDescent="0.2">
      <c r="A26" s="19"/>
      <c r="B26" s="19"/>
      <c r="C26" s="20" t="s">
        <v>20</v>
      </c>
      <c r="D26" s="19"/>
      <c r="E26" s="19"/>
      <c r="F26" s="25"/>
      <c r="G26" s="26"/>
      <c r="H26" s="18" t="s">
        <v>12</v>
      </c>
    </row>
    <row r="27" spans="1:8" x14ac:dyDescent="0.2">
      <c r="A27" s="19"/>
      <c r="B27" s="19"/>
      <c r="C27" s="20" t="s">
        <v>10</v>
      </c>
      <c r="D27" s="19"/>
      <c r="E27" s="19"/>
      <c r="F27" s="25"/>
      <c r="G27" s="26"/>
      <c r="H27" s="18" t="s">
        <v>12</v>
      </c>
    </row>
    <row r="28" spans="1:8" x14ac:dyDescent="0.2">
      <c r="A28" s="28">
        <v>1</v>
      </c>
      <c r="B28" s="29" t="s">
        <v>415</v>
      </c>
      <c r="C28" s="29" t="s">
        <v>416</v>
      </c>
      <c r="D28" s="29" t="s">
        <v>417</v>
      </c>
      <c r="E28" s="30">
        <v>750</v>
      </c>
      <c r="F28" s="31">
        <v>7499.52</v>
      </c>
      <c r="G28" s="32">
        <v>3.7412059999999997E-2</v>
      </c>
      <c r="H28" s="18">
        <v>7.35</v>
      </c>
    </row>
    <row r="29" spans="1:8" x14ac:dyDescent="0.2">
      <c r="A29" s="28">
        <v>2</v>
      </c>
      <c r="B29" s="29" t="s">
        <v>234</v>
      </c>
      <c r="C29" s="29" t="s">
        <v>235</v>
      </c>
      <c r="D29" s="29" t="s">
        <v>231</v>
      </c>
      <c r="E29" s="30">
        <v>7000</v>
      </c>
      <c r="F29" s="31">
        <v>7019.201</v>
      </c>
      <c r="G29" s="32">
        <v>3.5015940000000002E-2</v>
      </c>
      <c r="H29" s="18">
        <v>8.34</v>
      </c>
    </row>
    <row r="30" spans="1:8" x14ac:dyDescent="0.2">
      <c r="A30" s="28">
        <v>3</v>
      </c>
      <c r="B30" s="29" t="s">
        <v>232</v>
      </c>
      <c r="C30" s="29" t="s">
        <v>233</v>
      </c>
      <c r="D30" s="29" t="s">
        <v>23</v>
      </c>
      <c r="E30" s="30">
        <v>5500</v>
      </c>
      <c r="F30" s="31">
        <v>5493.9224999999997</v>
      </c>
      <c r="G30" s="32">
        <v>2.7406949999999999E-2</v>
      </c>
      <c r="H30" s="18">
        <v>7.6</v>
      </c>
    </row>
    <row r="31" spans="1:8" x14ac:dyDescent="0.2">
      <c r="A31" s="28">
        <v>4</v>
      </c>
      <c r="B31" s="29" t="s">
        <v>229</v>
      </c>
      <c r="C31" s="29" t="s">
        <v>230</v>
      </c>
      <c r="D31" s="29" t="s">
        <v>231</v>
      </c>
      <c r="E31" s="30">
        <v>3000</v>
      </c>
      <c r="F31" s="31">
        <v>3012.0149999999999</v>
      </c>
      <c r="G31" s="32">
        <v>1.5025719999999999E-2</v>
      </c>
      <c r="H31" s="18">
        <v>8.7799999999999994</v>
      </c>
    </row>
    <row r="32" spans="1:8" ht="25.5" x14ac:dyDescent="0.2">
      <c r="A32" s="28">
        <v>5</v>
      </c>
      <c r="B32" s="29" t="s">
        <v>418</v>
      </c>
      <c r="C32" s="29" t="s">
        <v>419</v>
      </c>
      <c r="D32" s="29" t="s">
        <v>253</v>
      </c>
      <c r="E32" s="30">
        <v>2500</v>
      </c>
      <c r="F32" s="31">
        <v>2500.1275000000001</v>
      </c>
      <c r="G32" s="32">
        <v>1.247212E-2</v>
      </c>
      <c r="H32" s="18">
        <v>7.665</v>
      </c>
    </row>
    <row r="33" spans="1:8" ht="25.5" x14ac:dyDescent="0.2">
      <c r="A33" s="28">
        <v>6</v>
      </c>
      <c r="B33" s="29" t="s">
        <v>420</v>
      </c>
      <c r="C33" s="29" t="s">
        <v>421</v>
      </c>
      <c r="D33" s="29" t="s">
        <v>253</v>
      </c>
      <c r="E33" s="30">
        <v>250000</v>
      </c>
      <c r="F33" s="31">
        <v>2500.0425</v>
      </c>
      <c r="G33" s="32">
        <v>1.24717E-2</v>
      </c>
      <c r="H33" s="18">
        <v>7.5350000000000001</v>
      </c>
    </row>
    <row r="34" spans="1:8" ht="25.5" x14ac:dyDescent="0.2">
      <c r="A34" s="28">
        <v>7</v>
      </c>
      <c r="B34" s="29" t="s">
        <v>57</v>
      </c>
      <c r="C34" s="29" t="s">
        <v>58</v>
      </c>
      <c r="D34" s="29" t="s">
        <v>23</v>
      </c>
      <c r="E34" s="30">
        <v>2500</v>
      </c>
      <c r="F34" s="31">
        <v>2496.6849999999999</v>
      </c>
      <c r="G34" s="32">
        <v>1.2454949999999999E-2</v>
      </c>
      <c r="H34" s="18">
        <v>7.63</v>
      </c>
    </row>
    <row r="35" spans="1:8" ht="25.5" x14ac:dyDescent="0.2">
      <c r="A35" s="28">
        <v>8</v>
      </c>
      <c r="B35" s="29" t="s">
        <v>422</v>
      </c>
      <c r="C35" s="29" t="s">
        <v>423</v>
      </c>
      <c r="D35" s="29" t="s">
        <v>23</v>
      </c>
      <c r="E35" s="30">
        <v>250</v>
      </c>
      <c r="F35" s="31">
        <v>2491.0425</v>
      </c>
      <c r="G35" s="32">
        <v>1.24268E-2</v>
      </c>
      <c r="H35" s="18">
        <v>7.9050000000000002</v>
      </c>
    </row>
    <row r="36" spans="1:8" ht="25.5" x14ac:dyDescent="0.2">
      <c r="A36" s="28">
        <v>9</v>
      </c>
      <c r="B36" s="29" t="s">
        <v>424</v>
      </c>
      <c r="C36" s="29" t="s">
        <v>425</v>
      </c>
      <c r="D36" s="29" t="s">
        <v>23</v>
      </c>
      <c r="E36" s="30">
        <v>250</v>
      </c>
      <c r="F36" s="31">
        <v>2476.88</v>
      </c>
      <c r="G36" s="32">
        <v>1.235615E-2</v>
      </c>
      <c r="H36" s="18">
        <v>7.7350000000000003</v>
      </c>
    </row>
    <row r="37" spans="1:8" ht="25.5" x14ac:dyDescent="0.2">
      <c r="A37" s="28">
        <v>10</v>
      </c>
      <c r="B37" s="29" t="s">
        <v>251</v>
      </c>
      <c r="C37" s="29" t="s">
        <v>252</v>
      </c>
      <c r="D37" s="29" t="s">
        <v>253</v>
      </c>
      <c r="E37" s="30">
        <v>200</v>
      </c>
      <c r="F37" s="31">
        <v>2001.596</v>
      </c>
      <c r="G37" s="32">
        <v>9.9851499999999999E-3</v>
      </c>
      <c r="H37" s="18">
        <v>8.1449999999999996</v>
      </c>
    </row>
    <row r="38" spans="1:8" x14ac:dyDescent="0.2">
      <c r="A38" s="28">
        <v>11</v>
      </c>
      <c r="B38" s="29" t="s">
        <v>226</v>
      </c>
      <c r="C38" s="29" t="s">
        <v>227</v>
      </c>
      <c r="D38" s="29" t="s">
        <v>228</v>
      </c>
      <c r="E38" s="30">
        <v>1600</v>
      </c>
      <c r="F38" s="31">
        <v>1607.84</v>
      </c>
      <c r="G38" s="32">
        <v>8.0208599999999994E-3</v>
      </c>
      <c r="H38" s="18">
        <v>8.0649999999999995</v>
      </c>
    </row>
    <row r="39" spans="1:8" x14ac:dyDescent="0.2">
      <c r="A39" s="28">
        <v>12</v>
      </c>
      <c r="B39" s="29" t="s">
        <v>256</v>
      </c>
      <c r="C39" s="29" t="s">
        <v>257</v>
      </c>
      <c r="D39" s="29" t="s">
        <v>231</v>
      </c>
      <c r="E39" s="30">
        <v>1500</v>
      </c>
      <c r="F39" s="31">
        <v>1501.902</v>
      </c>
      <c r="G39" s="32">
        <v>7.4923799999999999E-3</v>
      </c>
      <c r="H39" s="18">
        <v>8.5888000000000009</v>
      </c>
    </row>
    <row r="40" spans="1:8" ht="25.5" x14ac:dyDescent="0.2">
      <c r="A40" s="28">
        <v>13</v>
      </c>
      <c r="B40" s="29" t="s">
        <v>61</v>
      </c>
      <c r="C40" s="29" t="s">
        <v>62</v>
      </c>
      <c r="D40" s="29" t="s">
        <v>23</v>
      </c>
      <c r="E40" s="30">
        <v>1500</v>
      </c>
      <c r="F40" s="31">
        <v>1499.538</v>
      </c>
      <c r="G40" s="32">
        <v>7.4805899999999996E-3</v>
      </c>
      <c r="H40" s="18">
        <v>8.125</v>
      </c>
    </row>
    <row r="41" spans="1:8" ht="25.5" x14ac:dyDescent="0.2">
      <c r="A41" s="28">
        <v>14</v>
      </c>
      <c r="B41" s="29" t="s">
        <v>63</v>
      </c>
      <c r="C41" s="29" t="s">
        <v>64</v>
      </c>
      <c r="D41" s="29" t="s">
        <v>23</v>
      </c>
      <c r="E41" s="30">
        <v>1000</v>
      </c>
      <c r="F41" s="31">
        <v>996.57799999999997</v>
      </c>
      <c r="G41" s="32">
        <v>4.9715200000000001E-3</v>
      </c>
      <c r="H41" s="18">
        <v>7.63</v>
      </c>
    </row>
    <row r="42" spans="1:8" x14ac:dyDescent="0.2">
      <c r="A42" s="28">
        <v>15</v>
      </c>
      <c r="B42" s="29" t="s">
        <v>249</v>
      </c>
      <c r="C42" s="29" t="s">
        <v>250</v>
      </c>
      <c r="D42" s="29" t="s">
        <v>231</v>
      </c>
      <c r="E42" s="30">
        <v>500</v>
      </c>
      <c r="F42" s="31">
        <v>501.85149999999999</v>
      </c>
      <c r="G42" s="32">
        <v>2.5035299999999999E-3</v>
      </c>
      <c r="H42" s="18">
        <v>8.6</v>
      </c>
    </row>
    <row r="43" spans="1:8" x14ac:dyDescent="0.2">
      <c r="A43" s="19"/>
      <c r="B43" s="19"/>
      <c r="C43" s="20" t="s">
        <v>11</v>
      </c>
      <c r="D43" s="19"/>
      <c r="E43" s="19" t="s">
        <v>12</v>
      </c>
      <c r="F43" s="27">
        <v>43598.741499999996</v>
      </c>
      <c r="G43" s="23">
        <v>0.21749642</v>
      </c>
      <c r="H43" s="18" t="s">
        <v>12</v>
      </c>
    </row>
    <row r="44" spans="1:8" x14ac:dyDescent="0.2">
      <c r="A44" s="19"/>
      <c r="B44" s="19"/>
      <c r="C44" s="24"/>
      <c r="D44" s="19"/>
      <c r="E44" s="19"/>
      <c r="F44" s="25"/>
      <c r="G44" s="26"/>
      <c r="H44" s="18" t="s">
        <v>12</v>
      </c>
    </row>
    <row r="45" spans="1:8" x14ac:dyDescent="0.2">
      <c r="A45" s="19"/>
      <c r="B45" s="19"/>
      <c r="C45" s="20" t="s">
        <v>71</v>
      </c>
      <c r="D45" s="19"/>
      <c r="E45" s="19"/>
      <c r="F45" s="19"/>
      <c r="G45" s="21"/>
      <c r="H45" s="18" t="s">
        <v>12</v>
      </c>
    </row>
    <row r="46" spans="1:8" x14ac:dyDescent="0.2">
      <c r="A46" s="19"/>
      <c r="B46" s="19"/>
      <c r="C46" s="20" t="s">
        <v>11</v>
      </c>
      <c r="D46" s="19"/>
      <c r="E46" s="19" t="s">
        <v>12</v>
      </c>
      <c r="F46" s="22" t="s">
        <v>13</v>
      </c>
      <c r="G46" s="23">
        <v>0</v>
      </c>
      <c r="H46" s="18" t="s">
        <v>12</v>
      </c>
    </row>
    <row r="47" spans="1:8" x14ac:dyDescent="0.2">
      <c r="A47" s="19"/>
      <c r="B47" s="19"/>
      <c r="C47" s="24"/>
      <c r="D47" s="19"/>
      <c r="E47" s="19"/>
      <c r="F47" s="25"/>
      <c r="G47" s="26"/>
      <c r="H47" s="18" t="s">
        <v>12</v>
      </c>
    </row>
    <row r="48" spans="1:8" x14ac:dyDescent="0.2">
      <c r="A48" s="19"/>
      <c r="B48" s="19"/>
      <c r="C48" s="20" t="s">
        <v>72</v>
      </c>
      <c r="D48" s="19"/>
      <c r="E48" s="19"/>
      <c r="F48" s="19"/>
      <c r="G48" s="21"/>
      <c r="H48" s="18" t="s">
        <v>12</v>
      </c>
    </row>
    <row r="49" spans="1:8" x14ac:dyDescent="0.2">
      <c r="A49" s="19"/>
      <c r="B49" s="19"/>
      <c r="C49" s="20" t="s">
        <v>11</v>
      </c>
      <c r="D49" s="19"/>
      <c r="E49" s="19" t="s">
        <v>12</v>
      </c>
      <c r="F49" s="22" t="s">
        <v>13</v>
      </c>
      <c r="G49" s="23">
        <v>0</v>
      </c>
      <c r="H49" s="18" t="s">
        <v>12</v>
      </c>
    </row>
    <row r="50" spans="1:8" x14ac:dyDescent="0.2">
      <c r="A50" s="19"/>
      <c r="B50" s="19"/>
      <c r="C50" s="24"/>
      <c r="D50" s="19"/>
      <c r="E50" s="19"/>
      <c r="F50" s="25"/>
      <c r="G50" s="26"/>
      <c r="H50" s="18" t="s">
        <v>12</v>
      </c>
    </row>
    <row r="51" spans="1:8" x14ac:dyDescent="0.2">
      <c r="A51" s="19"/>
      <c r="B51" s="19"/>
      <c r="C51" s="20" t="s">
        <v>88</v>
      </c>
      <c r="D51" s="19"/>
      <c r="E51" s="19"/>
      <c r="F51" s="25"/>
      <c r="G51" s="26"/>
      <c r="H51" s="18" t="s">
        <v>12</v>
      </c>
    </row>
    <row r="52" spans="1:8" x14ac:dyDescent="0.2">
      <c r="A52" s="19"/>
      <c r="B52" s="19"/>
      <c r="C52" s="20" t="s">
        <v>11</v>
      </c>
      <c r="D52" s="19"/>
      <c r="E52" s="19" t="s">
        <v>12</v>
      </c>
      <c r="F52" s="22" t="s">
        <v>13</v>
      </c>
      <c r="G52" s="23">
        <v>0</v>
      </c>
      <c r="H52" s="18" t="s">
        <v>12</v>
      </c>
    </row>
    <row r="53" spans="1:8" x14ac:dyDescent="0.2">
      <c r="A53" s="19"/>
      <c r="B53" s="19"/>
      <c r="C53" s="24"/>
      <c r="D53" s="19"/>
      <c r="E53" s="19"/>
      <c r="F53" s="25"/>
      <c r="G53" s="26"/>
      <c r="H53" s="18" t="s">
        <v>12</v>
      </c>
    </row>
    <row r="54" spans="1:8" x14ac:dyDescent="0.2">
      <c r="A54" s="19"/>
      <c r="B54" s="19"/>
      <c r="C54" s="20" t="s">
        <v>89</v>
      </c>
      <c r="D54" s="19"/>
      <c r="E54" s="19"/>
      <c r="F54" s="27">
        <v>43598.741499999996</v>
      </c>
      <c r="G54" s="23">
        <v>0.21749642</v>
      </c>
      <c r="H54" s="18" t="s">
        <v>12</v>
      </c>
    </row>
    <row r="55" spans="1:8" x14ac:dyDescent="0.2">
      <c r="A55" s="19"/>
      <c r="B55" s="19"/>
      <c r="C55" s="24"/>
      <c r="D55" s="19"/>
      <c r="E55" s="19"/>
      <c r="F55" s="25"/>
      <c r="G55" s="26"/>
      <c r="H55" s="18" t="s">
        <v>12</v>
      </c>
    </row>
    <row r="56" spans="1:8" x14ac:dyDescent="0.2">
      <c r="A56" s="19"/>
      <c r="B56" s="19"/>
      <c r="C56" s="20" t="s">
        <v>90</v>
      </c>
      <c r="D56" s="19"/>
      <c r="E56" s="19"/>
      <c r="F56" s="25"/>
      <c r="G56" s="26"/>
      <c r="H56" s="18" t="s">
        <v>12</v>
      </c>
    </row>
    <row r="57" spans="1:8" x14ac:dyDescent="0.2">
      <c r="A57" s="19"/>
      <c r="B57" s="19"/>
      <c r="C57" s="20" t="s">
        <v>91</v>
      </c>
      <c r="D57" s="19"/>
      <c r="E57" s="19"/>
      <c r="F57" s="25"/>
      <c r="G57" s="26"/>
      <c r="H57" s="18" t="s">
        <v>12</v>
      </c>
    </row>
    <row r="58" spans="1:8" x14ac:dyDescent="0.2">
      <c r="A58" s="28">
        <v>1</v>
      </c>
      <c r="B58" s="29" t="s">
        <v>426</v>
      </c>
      <c r="C58" s="29" t="s">
        <v>427</v>
      </c>
      <c r="D58" s="29" t="s">
        <v>149</v>
      </c>
      <c r="E58" s="30">
        <v>1000</v>
      </c>
      <c r="F58" s="31">
        <v>4916.375</v>
      </c>
      <c r="G58" s="32">
        <v>2.45258E-2</v>
      </c>
      <c r="H58" s="18">
        <v>7.48</v>
      </c>
    </row>
    <row r="59" spans="1:8" x14ac:dyDescent="0.2">
      <c r="A59" s="28">
        <v>2</v>
      </c>
      <c r="B59" s="29" t="s">
        <v>262</v>
      </c>
      <c r="C59" s="29" t="s">
        <v>263</v>
      </c>
      <c r="D59" s="29" t="s">
        <v>146</v>
      </c>
      <c r="E59" s="30">
        <v>1000</v>
      </c>
      <c r="F59" s="31">
        <v>4912.1850000000004</v>
      </c>
      <c r="G59" s="32">
        <v>2.45049E-2</v>
      </c>
      <c r="H59" s="18">
        <v>7.5</v>
      </c>
    </row>
    <row r="60" spans="1:8" x14ac:dyDescent="0.2">
      <c r="A60" s="28">
        <v>3</v>
      </c>
      <c r="B60" s="29" t="s">
        <v>428</v>
      </c>
      <c r="C60" s="29" t="s">
        <v>429</v>
      </c>
      <c r="D60" s="29" t="s">
        <v>146</v>
      </c>
      <c r="E60" s="30">
        <v>1000</v>
      </c>
      <c r="F60" s="31">
        <v>4902.71</v>
      </c>
      <c r="G60" s="32">
        <v>2.4457630000000001E-2</v>
      </c>
      <c r="H60" s="18">
        <v>7.5449999999999999</v>
      </c>
    </row>
    <row r="61" spans="1:8" x14ac:dyDescent="0.2">
      <c r="A61" s="28">
        <v>4</v>
      </c>
      <c r="B61" s="29" t="s">
        <v>430</v>
      </c>
      <c r="C61" s="29" t="s">
        <v>431</v>
      </c>
      <c r="D61" s="29" t="s">
        <v>195</v>
      </c>
      <c r="E61" s="30">
        <v>1000</v>
      </c>
      <c r="F61" s="31">
        <v>4726.24</v>
      </c>
      <c r="G61" s="32">
        <v>2.3577290000000001E-2</v>
      </c>
      <c r="H61" s="18">
        <v>7.6050000000000004</v>
      </c>
    </row>
    <row r="62" spans="1:8" x14ac:dyDescent="0.2">
      <c r="A62" s="28">
        <v>5</v>
      </c>
      <c r="B62" s="29" t="s">
        <v>165</v>
      </c>
      <c r="C62" s="29" t="s">
        <v>166</v>
      </c>
      <c r="D62" s="29" t="s">
        <v>146</v>
      </c>
      <c r="E62" s="30">
        <v>1000</v>
      </c>
      <c r="F62" s="31">
        <v>4725.5649999999996</v>
      </c>
      <c r="G62" s="32">
        <v>2.357393E-2</v>
      </c>
      <c r="H62" s="18">
        <v>7.6224999999999996</v>
      </c>
    </row>
    <row r="63" spans="1:8" x14ac:dyDescent="0.2">
      <c r="A63" s="28">
        <v>6</v>
      </c>
      <c r="B63" s="29" t="s">
        <v>169</v>
      </c>
      <c r="C63" s="29" t="s">
        <v>170</v>
      </c>
      <c r="D63" s="29" t="s">
        <v>146</v>
      </c>
      <c r="E63" s="30">
        <v>1000</v>
      </c>
      <c r="F63" s="31">
        <v>4721.5600000000004</v>
      </c>
      <c r="G63" s="32">
        <v>2.3553950000000001E-2</v>
      </c>
      <c r="H63" s="18">
        <v>7.7149999999999999</v>
      </c>
    </row>
    <row r="64" spans="1:8" x14ac:dyDescent="0.2">
      <c r="A64" s="28">
        <v>7</v>
      </c>
      <c r="B64" s="29" t="s">
        <v>171</v>
      </c>
      <c r="C64" s="29" t="s">
        <v>172</v>
      </c>
      <c r="D64" s="29" t="s">
        <v>146</v>
      </c>
      <c r="E64" s="30">
        <v>1000</v>
      </c>
      <c r="F64" s="31">
        <v>4670.7449999999999</v>
      </c>
      <c r="G64" s="32">
        <v>2.330045E-2</v>
      </c>
      <c r="H64" s="18">
        <v>7.59</v>
      </c>
    </row>
    <row r="65" spans="1:8" x14ac:dyDescent="0.2">
      <c r="A65" s="28">
        <v>8</v>
      </c>
      <c r="B65" s="29" t="s">
        <v>173</v>
      </c>
      <c r="C65" s="29" t="s">
        <v>174</v>
      </c>
      <c r="D65" s="29" t="s">
        <v>146</v>
      </c>
      <c r="E65" s="30">
        <v>1000</v>
      </c>
      <c r="F65" s="31">
        <v>4669.63</v>
      </c>
      <c r="G65" s="32">
        <v>2.3294889999999999E-2</v>
      </c>
      <c r="H65" s="18">
        <v>7.5949999999999998</v>
      </c>
    </row>
    <row r="66" spans="1:8" x14ac:dyDescent="0.2">
      <c r="A66" s="28">
        <v>9</v>
      </c>
      <c r="B66" s="29" t="s">
        <v>432</v>
      </c>
      <c r="C66" s="29" t="s">
        <v>433</v>
      </c>
      <c r="D66" s="29" t="s">
        <v>146</v>
      </c>
      <c r="E66" s="30">
        <v>1000</v>
      </c>
      <c r="F66" s="31">
        <v>4664.9650000000001</v>
      </c>
      <c r="G66" s="32">
        <v>2.327162E-2</v>
      </c>
      <c r="H66" s="18">
        <v>7.71</v>
      </c>
    </row>
    <row r="67" spans="1:8" x14ac:dyDescent="0.2">
      <c r="A67" s="28">
        <v>10</v>
      </c>
      <c r="B67" s="29" t="s">
        <v>177</v>
      </c>
      <c r="C67" s="29" t="s">
        <v>178</v>
      </c>
      <c r="D67" s="29" t="s">
        <v>146</v>
      </c>
      <c r="E67" s="30">
        <v>1000</v>
      </c>
      <c r="F67" s="31">
        <v>4658.8549999999996</v>
      </c>
      <c r="G67" s="32">
        <v>2.324114E-2</v>
      </c>
      <c r="H67" s="18">
        <v>7.55</v>
      </c>
    </row>
    <row r="68" spans="1:8" x14ac:dyDescent="0.2">
      <c r="A68" s="28">
        <v>11</v>
      </c>
      <c r="B68" s="29" t="s">
        <v>196</v>
      </c>
      <c r="C68" s="29" t="s">
        <v>197</v>
      </c>
      <c r="D68" s="29" t="s">
        <v>149</v>
      </c>
      <c r="E68" s="30">
        <v>900</v>
      </c>
      <c r="F68" s="31">
        <v>4440.8474999999999</v>
      </c>
      <c r="G68" s="32">
        <v>2.2153590000000001E-2</v>
      </c>
      <c r="H68" s="18">
        <v>7.48</v>
      </c>
    </row>
    <row r="69" spans="1:8" x14ac:dyDescent="0.2">
      <c r="A69" s="28">
        <v>12</v>
      </c>
      <c r="B69" s="29" t="s">
        <v>198</v>
      </c>
      <c r="C69" s="29" t="s">
        <v>199</v>
      </c>
      <c r="D69" s="29" t="s">
        <v>146</v>
      </c>
      <c r="E69" s="30">
        <v>900</v>
      </c>
      <c r="F69" s="31">
        <v>4411.5434999999998</v>
      </c>
      <c r="G69" s="32">
        <v>2.20074E-2</v>
      </c>
      <c r="H69" s="18">
        <v>7.5449999999999999</v>
      </c>
    </row>
    <row r="70" spans="1:8" x14ac:dyDescent="0.2">
      <c r="A70" s="28">
        <v>13</v>
      </c>
      <c r="B70" s="29" t="s">
        <v>193</v>
      </c>
      <c r="C70" s="29" t="s">
        <v>194</v>
      </c>
      <c r="D70" s="29" t="s">
        <v>195</v>
      </c>
      <c r="E70" s="30">
        <v>840</v>
      </c>
      <c r="F70" s="31">
        <v>4076.4065999999998</v>
      </c>
      <c r="G70" s="32">
        <v>2.0335539999999999E-2</v>
      </c>
      <c r="H70" s="18">
        <v>7.58</v>
      </c>
    </row>
    <row r="71" spans="1:8" x14ac:dyDescent="0.2">
      <c r="A71" s="28">
        <v>14</v>
      </c>
      <c r="B71" s="29" t="s">
        <v>185</v>
      </c>
      <c r="C71" s="29" t="s">
        <v>186</v>
      </c>
      <c r="D71" s="29" t="s">
        <v>146</v>
      </c>
      <c r="E71" s="30">
        <v>700</v>
      </c>
      <c r="F71" s="31">
        <v>3273.7739999999999</v>
      </c>
      <c r="G71" s="32">
        <v>1.633153E-2</v>
      </c>
      <c r="H71" s="18">
        <v>7.69</v>
      </c>
    </row>
    <row r="72" spans="1:8" x14ac:dyDescent="0.2">
      <c r="A72" s="28">
        <v>15</v>
      </c>
      <c r="B72" s="29" t="s">
        <v>187</v>
      </c>
      <c r="C72" s="29" t="s">
        <v>188</v>
      </c>
      <c r="D72" s="29" t="s">
        <v>146</v>
      </c>
      <c r="E72" s="30">
        <v>700</v>
      </c>
      <c r="F72" s="31">
        <v>3256.239</v>
      </c>
      <c r="G72" s="32">
        <v>1.6244049999999999E-2</v>
      </c>
      <c r="H72" s="18">
        <v>7.59</v>
      </c>
    </row>
    <row r="73" spans="1:8" x14ac:dyDescent="0.2">
      <c r="A73" s="28">
        <v>16</v>
      </c>
      <c r="B73" s="29" t="s">
        <v>434</v>
      </c>
      <c r="C73" s="29" t="s">
        <v>435</v>
      </c>
      <c r="D73" s="29" t="s">
        <v>146</v>
      </c>
      <c r="E73" s="30">
        <v>500</v>
      </c>
      <c r="F73" s="31">
        <v>2460.0124999999998</v>
      </c>
      <c r="G73" s="32">
        <v>1.2272E-2</v>
      </c>
      <c r="H73" s="18">
        <v>7.51</v>
      </c>
    </row>
    <row r="74" spans="1:8" x14ac:dyDescent="0.2">
      <c r="A74" s="28">
        <v>17</v>
      </c>
      <c r="B74" s="29" t="s">
        <v>264</v>
      </c>
      <c r="C74" s="29" t="s">
        <v>265</v>
      </c>
      <c r="D74" s="29" t="s">
        <v>146</v>
      </c>
      <c r="E74" s="30">
        <v>500</v>
      </c>
      <c r="F74" s="31">
        <v>2455.6325000000002</v>
      </c>
      <c r="G74" s="32">
        <v>1.225015E-2</v>
      </c>
      <c r="H74" s="18">
        <v>7.58</v>
      </c>
    </row>
    <row r="75" spans="1:8" x14ac:dyDescent="0.2">
      <c r="A75" s="28">
        <v>18</v>
      </c>
      <c r="B75" s="29" t="s">
        <v>436</v>
      </c>
      <c r="C75" s="29" t="s">
        <v>437</v>
      </c>
      <c r="D75" s="29" t="s">
        <v>146</v>
      </c>
      <c r="E75" s="30">
        <v>500</v>
      </c>
      <c r="F75" s="31">
        <v>2455.3649999999998</v>
      </c>
      <c r="G75" s="32">
        <v>1.2248820000000001E-2</v>
      </c>
      <c r="H75" s="18">
        <v>7.54</v>
      </c>
    </row>
    <row r="76" spans="1:8" ht="25.5" x14ac:dyDescent="0.2">
      <c r="A76" s="28">
        <v>19</v>
      </c>
      <c r="B76" s="29" t="s">
        <v>438</v>
      </c>
      <c r="C76" s="29" t="s">
        <v>439</v>
      </c>
      <c r="D76" s="29" t="s">
        <v>146</v>
      </c>
      <c r="E76" s="30">
        <v>500</v>
      </c>
      <c r="F76" s="31">
        <v>2448.8375000000001</v>
      </c>
      <c r="G76" s="32">
        <v>1.221626E-2</v>
      </c>
      <c r="H76" s="18">
        <v>7.5500999999999996</v>
      </c>
    </row>
    <row r="77" spans="1:8" x14ac:dyDescent="0.2">
      <c r="A77" s="28">
        <v>20</v>
      </c>
      <c r="B77" s="29" t="s">
        <v>440</v>
      </c>
      <c r="C77" s="29" t="s">
        <v>441</v>
      </c>
      <c r="D77" s="29" t="s">
        <v>146</v>
      </c>
      <c r="E77" s="30">
        <v>500</v>
      </c>
      <c r="F77" s="31">
        <v>2412.6824999999999</v>
      </c>
      <c r="G77" s="32">
        <v>1.203589E-2</v>
      </c>
      <c r="H77" s="18">
        <v>7.7249999999999996</v>
      </c>
    </row>
    <row r="78" spans="1:8" x14ac:dyDescent="0.2">
      <c r="A78" s="28">
        <v>21</v>
      </c>
      <c r="B78" s="29" t="s">
        <v>442</v>
      </c>
      <c r="C78" s="29" t="s">
        <v>443</v>
      </c>
      <c r="D78" s="29" t="s">
        <v>146</v>
      </c>
      <c r="E78" s="30">
        <v>500</v>
      </c>
      <c r="F78" s="31">
        <v>2412.0925000000002</v>
      </c>
      <c r="G78" s="32">
        <v>1.2032950000000001E-2</v>
      </c>
      <c r="H78" s="18">
        <v>7.6449999999999996</v>
      </c>
    </row>
    <row r="79" spans="1:8" x14ac:dyDescent="0.2">
      <c r="A79" s="28">
        <v>22</v>
      </c>
      <c r="B79" s="29" t="s">
        <v>191</v>
      </c>
      <c r="C79" s="29" t="s">
        <v>192</v>
      </c>
      <c r="D79" s="29" t="s">
        <v>146</v>
      </c>
      <c r="E79" s="30">
        <v>500</v>
      </c>
      <c r="F79" s="31">
        <v>2367.395</v>
      </c>
      <c r="G79" s="32">
        <v>1.1809969999999999E-2</v>
      </c>
      <c r="H79" s="18">
        <v>7.7149999999999999</v>
      </c>
    </row>
    <row r="80" spans="1:8" x14ac:dyDescent="0.2">
      <c r="A80" s="28">
        <v>23</v>
      </c>
      <c r="B80" s="29" t="s">
        <v>161</v>
      </c>
      <c r="C80" s="29" t="s">
        <v>162</v>
      </c>
      <c r="D80" s="29" t="s">
        <v>146</v>
      </c>
      <c r="E80" s="30">
        <v>500</v>
      </c>
      <c r="F80" s="31">
        <v>2365.42</v>
      </c>
      <c r="G80" s="32">
        <v>1.1800120000000001E-2</v>
      </c>
      <c r="H80" s="18">
        <v>7.72</v>
      </c>
    </row>
    <row r="81" spans="1:8" x14ac:dyDescent="0.2">
      <c r="A81" s="28">
        <v>24</v>
      </c>
      <c r="B81" s="29" t="s">
        <v>163</v>
      </c>
      <c r="C81" s="29" t="s">
        <v>164</v>
      </c>
      <c r="D81" s="29" t="s">
        <v>146</v>
      </c>
      <c r="E81" s="30">
        <v>500</v>
      </c>
      <c r="F81" s="31">
        <v>2365.1675</v>
      </c>
      <c r="G81" s="32">
        <v>1.179886E-2</v>
      </c>
      <c r="H81" s="18">
        <v>7.65</v>
      </c>
    </row>
    <row r="82" spans="1:8" ht="25.5" x14ac:dyDescent="0.2">
      <c r="A82" s="28">
        <v>25</v>
      </c>
      <c r="B82" s="29" t="s">
        <v>167</v>
      </c>
      <c r="C82" s="29" t="s">
        <v>168</v>
      </c>
      <c r="D82" s="29" t="s">
        <v>146</v>
      </c>
      <c r="E82" s="30">
        <v>500</v>
      </c>
      <c r="F82" s="31">
        <v>2362.3150000000001</v>
      </c>
      <c r="G82" s="32">
        <v>1.1784630000000001E-2</v>
      </c>
      <c r="H82" s="18">
        <v>7.625</v>
      </c>
    </row>
    <row r="83" spans="1:8" ht="25.5" x14ac:dyDescent="0.2">
      <c r="A83" s="28">
        <v>26</v>
      </c>
      <c r="B83" s="29" t="s">
        <v>444</v>
      </c>
      <c r="C83" s="29" t="s">
        <v>445</v>
      </c>
      <c r="D83" s="29" t="s">
        <v>146</v>
      </c>
      <c r="E83" s="30">
        <v>500</v>
      </c>
      <c r="F83" s="31">
        <v>2344.3625000000002</v>
      </c>
      <c r="G83" s="32">
        <v>1.169507E-2</v>
      </c>
      <c r="H83" s="18">
        <v>7.62</v>
      </c>
    </row>
    <row r="84" spans="1:8" x14ac:dyDescent="0.2">
      <c r="A84" s="28">
        <v>27</v>
      </c>
      <c r="B84" s="29" t="s">
        <v>446</v>
      </c>
      <c r="C84" s="29" t="s">
        <v>447</v>
      </c>
      <c r="D84" s="29" t="s">
        <v>146</v>
      </c>
      <c r="E84" s="30">
        <v>500</v>
      </c>
      <c r="F84" s="31">
        <v>2336.585</v>
      </c>
      <c r="G84" s="32">
        <v>1.165627E-2</v>
      </c>
      <c r="H84" s="18">
        <v>7.62</v>
      </c>
    </row>
    <row r="85" spans="1:8" x14ac:dyDescent="0.2">
      <c r="A85" s="28">
        <v>28</v>
      </c>
      <c r="B85" s="29" t="s">
        <v>183</v>
      </c>
      <c r="C85" s="29" t="s">
        <v>184</v>
      </c>
      <c r="D85" s="29" t="s">
        <v>146</v>
      </c>
      <c r="E85" s="30">
        <v>500</v>
      </c>
      <c r="F85" s="31">
        <v>2323.5700000000002</v>
      </c>
      <c r="G85" s="32">
        <v>1.159135E-2</v>
      </c>
      <c r="H85" s="18">
        <v>7.72</v>
      </c>
    </row>
    <row r="86" spans="1:8" x14ac:dyDescent="0.2">
      <c r="A86" s="28">
        <v>29</v>
      </c>
      <c r="B86" s="29" t="s">
        <v>189</v>
      </c>
      <c r="C86" s="29" t="s">
        <v>190</v>
      </c>
      <c r="D86" s="29" t="s">
        <v>146</v>
      </c>
      <c r="E86" s="30">
        <v>300</v>
      </c>
      <c r="F86" s="31">
        <v>1498.296</v>
      </c>
      <c r="G86" s="32">
        <v>7.47439E-3</v>
      </c>
      <c r="H86" s="18">
        <v>6.92</v>
      </c>
    </row>
    <row r="87" spans="1:8" x14ac:dyDescent="0.2">
      <c r="A87" s="19"/>
      <c r="B87" s="19"/>
      <c r="C87" s="20" t="s">
        <v>11</v>
      </c>
      <c r="D87" s="19"/>
      <c r="E87" s="19" t="s">
        <v>12</v>
      </c>
      <c r="F87" s="27">
        <v>99635.374100000001</v>
      </c>
      <c r="G87" s="23">
        <v>0.49704043999999997</v>
      </c>
      <c r="H87" s="18" t="s">
        <v>12</v>
      </c>
    </row>
    <row r="88" spans="1:8" x14ac:dyDescent="0.2">
      <c r="A88" s="19"/>
      <c r="B88" s="19"/>
      <c r="C88" s="24"/>
      <c r="D88" s="19"/>
      <c r="E88" s="19"/>
      <c r="F88" s="25"/>
      <c r="G88" s="26"/>
      <c r="H88" s="18" t="s">
        <v>12</v>
      </c>
    </row>
    <row r="89" spans="1:8" x14ac:dyDescent="0.2">
      <c r="A89" s="19"/>
      <c r="B89" s="19"/>
      <c r="C89" s="20" t="s">
        <v>92</v>
      </c>
      <c r="D89" s="19"/>
      <c r="E89" s="19"/>
      <c r="F89" s="25"/>
      <c r="G89" s="26"/>
      <c r="H89" s="18" t="s">
        <v>12</v>
      </c>
    </row>
    <row r="90" spans="1:8" x14ac:dyDescent="0.2">
      <c r="A90" s="28">
        <v>1</v>
      </c>
      <c r="B90" s="29" t="s">
        <v>448</v>
      </c>
      <c r="C90" s="29" t="s">
        <v>449</v>
      </c>
      <c r="D90" s="29" t="s">
        <v>146</v>
      </c>
      <c r="E90" s="30">
        <v>1000</v>
      </c>
      <c r="F90" s="31">
        <v>4989.9049999999997</v>
      </c>
      <c r="G90" s="32">
        <v>2.4892609999999999E-2</v>
      </c>
      <c r="H90" s="18">
        <v>7.3849999999999998</v>
      </c>
    </row>
    <row r="91" spans="1:8" x14ac:dyDescent="0.2">
      <c r="A91" s="28">
        <v>2</v>
      </c>
      <c r="B91" s="29" t="s">
        <v>450</v>
      </c>
      <c r="C91" s="29" t="s">
        <v>451</v>
      </c>
      <c r="D91" s="29" t="s">
        <v>146</v>
      </c>
      <c r="E91" s="30">
        <v>1000</v>
      </c>
      <c r="F91" s="31">
        <v>4905.1350000000002</v>
      </c>
      <c r="G91" s="32">
        <v>2.4469729999999999E-2</v>
      </c>
      <c r="H91" s="18">
        <v>7.51</v>
      </c>
    </row>
    <row r="92" spans="1:8" ht="25.5" x14ac:dyDescent="0.2">
      <c r="A92" s="28">
        <v>3</v>
      </c>
      <c r="B92" s="29" t="s">
        <v>452</v>
      </c>
      <c r="C92" s="29" t="s">
        <v>685</v>
      </c>
      <c r="D92" s="29" t="s">
        <v>146</v>
      </c>
      <c r="E92" s="30">
        <v>1000</v>
      </c>
      <c r="F92" s="31">
        <v>4903.3050000000003</v>
      </c>
      <c r="G92" s="32">
        <v>2.4460599999999999E-2</v>
      </c>
      <c r="H92" s="18">
        <v>0</v>
      </c>
    </row>
    <row r="93" spans="1:8" x14ac:dyDescent="0.2">
      <c r="A93" s="28">
        <v>4</v>
      </c>
      <c r="B93" s="29" t="s">
        <v>453</v>
      </c>
      <c r="C93" s="29" t="s">
        <v>454</v>
      </c>
      <c r="D93" s="29" t="s">
        <v>146</v>
      </c>
      <c r="E93" s="30">
        <v>1000</v>
      </c>
      <c r="F93" s="31">
        <v>4804.6450000000004</v>
      </c>
      <c r="G93" s="32">
        <v>2.3968420000000001E-2</v>
      </c>
      <c r="H93" s="18">
        <v>7.65</v>
      </c>
    </row>
    <row r="94" spans="1:8" x14ac:dyDescent="0.2">
      <c r="A94" s="28">
        <v>5</v>
      </c>
      <c r="B94" s="29" t="s">
        <v>213</v>
      </c>
      <c r="C94" s="29" t="s">
        <v>214</v>
      </c>
      <c r="D94" s="29" t="s">
        <v>146</v>
      </c>
      <c r="E94" s="30">
        <v>700</v>
      </c>
      <c r="F94" s="31">
        <v>3351.8694999999998</v>
      </c>
      <c r="G94" s="32">
        <v>1.6721119999999999E-2</v>
      </c>
      <c r="H94" s="18">
        <v>7.7549999999999999</v>
      </c>
    </row>
    <row r="95" spans="1:8" x14ac:dyDescent="0.2">
      <c r="A95" s="28">
        <v>6</v>
      </c>
      <c r="B95" s="29" t="s">
        <v>455</v>
      </c>
      <c r="C95" s="29" t="s">
        <v>456</v>
      </c>
      <c r="D95" s="29" t="s">
        <v>146</v>
      </c>
      <c r="E95" s="30">
        <v>500</v>
      </c>
      <c r="F95" s="31">
        <v>2498.5625</v>
      </c>
      <c r="G95" s="32">
        <v>1.2464309999999999E-2</v>
      </c>
      <c r="H95" s="18">
        <v>7</v>
      </c>
    </row>
    <row r="96" spans="1:8" ht="25.5" x14ac:dyDescent="0.2">
      <c r="A96" s="28">
        <v>7</v>
      </c>
      <c r="B96" s="29" t="s">
        <v>457</v>
      </c>
      <c r="C96" s="29" t="s">
        <v>458</v>
      </c>
      <c r="D96" s="29" t="s">
        <v>146</v>
      </c>
      <c r="E96" s="30">
        <v>500</v>
      </c>
      <c r="F96" s="31">
        <v>2489.585</v>
      </c>
      <c r="G96" s="32">
        <v>1.241953E-2</v>
      </c>
      <c r="H96" s="18">
        <v>7.6349999999999998</v>
      </c>
    </row>
    <row r="97" spans="1:8" x14ac:dyDescent="0.2">
      <c r="A97" s="28">
        <v>8</v>
      </c>
      <c r="B97" s="29" t="s">
        <v>384</v>
      </c>
      <c r="C97" s="29" t="s">
        <v>385</v>
      </c>
      <c r="D97" s="29" t="s">
        <v>146</v>
      </c>
      <c r="E97" s="30">
        <v>500</v>
      </c>
      <c r="F97" s="31">
        <v>2453.2199999999998</v>
      </c>
      <c r="G97" s="32">
        <v>1.223812E-2</v>
      </c>
      <c r="H97" s="18">
        <v>8</v>
      </c>
    </row>
    <row r="98" spans="1:8" ht="25.5" x14ac:dyDescent="0.2">
      <c r="A98" s="28">
        <v>9</v>
      </c>
      <c r="B98" s="29" t="s">
        <v>211</v>
      </c>
      <c r="C98" s="29" t="s">
        <v>212</v>
      </c>
      <c r="D98" s="29" t="s">
        <v>146</v>
      </c>
      <c r="E98" s="30">
        <v>500</v>
      </c>
      <c r="F98" s="31">
        <v>2441.7325000000001</v>
      </c>
      <c r="G98" s="32">
        <v>1.218081E-2</v>
      </c>
      <c r="H98" s="18">
        <v>8.0649999999999995</v>
      </c>
    </row>
    <row r="99" spans="1:8" x14ac:dyDescent="0.2">
      <c r="A99" s="28">
        <v>10</v>
      </c>
      <c r="B99" s="29" t="s">
        <v>207</v>
      </c>
      <c r="C99" s="29" t="s">
        <v>208</v>
      </c>
      <c r="D99" s="29" t="s">
        <v>146</v>
      </c>
      <c r="E99" s="30">
        <v>500</v>
      </c>
      <c r="F99" s="31">
        <v>2327.5349999999999</v>
      </c>
      <c r="G99" s="32">
        <v>1.1611130000000001E-2</v>
      </c>
      <c r="H99" s="18">
        <v>7.64</v>
      </c>
    </row>
    <row r="100" spans="1:8" ht="25.5" x14ac:dyDescent="0.2">
      <c r="A100" s="28">
        <v>11</v>
      </c>
      <c r="B100" s="29" t="s">
        <v>209</v>
      </c>
      <c r="C100" s="29" t="s">
        <v>210</v>
      </c>
      <c r="D100" s="29" t="s">
        <v>146</v>
      </c>
      <c r="E100" s="30">
        <v>500</v>
      </c>
      <c r="F100" s="31">
        <v>2311.1875</v>
      </c>
      <c r="G100" s="32">
        <v>1.1529579999999999E-2</v>
      </c>
      <c r="H100" s="18">
        <v>8.26</v>
      </c>
    </row>
    <row r="101" spans="1:8" x14ac:dyDescent="0.2">
      <c r="A101" s="28">
        <v>12</v>
      </c>
      <c r="B101" s="29" t="s">
        <v>459</v>
      </c>
      <c r="C101" s="29" t="s">
        <v>460</v>
      </c>
      <c r="D101" s="29" t="s">
        <v>146</v>
      </c>
      <c r="E101" s="30">
        <v>200</v>
      </c>
      <c r="F101" s="31">
        <v>998.17899999999997</v>
      </c>
      <c r="G101" s="32">
        <v>4.9795100000000004E-3</v>
      </c>
      <c r="H101" s="18">
        <v>7.4</v>
      </c>
    </row>
    <row r="102" spans="1:8" x14ac:dyDescent="0.2">
      <c r="A102" s="28">
        <v>13</v>
      </c>
      <c r="B102" s="29" t="s">
        <v>204</v>
      </c>
      <c r="C102" s="29" t="s">
        <v>683</v>
      </c>
      <c r="D102" s="29" t="s">
        <v>146</v>
      </c>
      <c r="E102" s="30">
        <v>200</v>
      </c>
      <c r="F102" s="31">
        <v>927.04200000000003</v>
      </c>
      <c r="G102" s="32">
        <v>4.6246400000000002E-3</v>
      </c>
      <c r="H102" s="18">
        <v>0</v>
      </c>
    </row>
    <row r="103" spans="1:8" x14ac:dyDescent="0.2">
      <c r="A103" s="19"/>
      <c r="B103" s="19"/>
      <c r="C103" s="20" t="s">
        <v>11</v>
      </c>
      <c r="D103" s="19"/>
      <c r="E103" s="19" t="s">
        <v>12</v>
      </c>
      <c r="F103" s="27">
        <v>39401.902999999998</v>
      </c>
      <c r="G103" s="85">
        <v>0.19656011000000001</v>
      </c>
      <c r="H103" s="18" t="s">
        <v>12</v>
      </c>
    </row>
    <row r="104" spans="1:8" x14ac:dyDescent="0.2">
      <c r="A104" s="19"/>
      <c r="B104" s="19"/>
      <c r="C104" s="24"/>
      <c r="D104" s="19"/>
      <c r="E104" s="19"/>
      <c r="F104" s="25"/>
      <c r="G104" s="25"/>
      <c r="H104" s="18" t="s">
        <v>12</v>
      </c>
    </row>
    <row r="105" spans="1:8" x14ac:dyDescent="0.2">
      <c r="A105" s="19"/>
      <c r="B105" s="19"/>
      <c r="C105" s="20" t="s">
        <v>93</v>
      </c>
      <c r="D105" s="19"/>
      <c r="E105" s="19"/>
      <c r="F105" s="25"/>
      <c r="G105" s="25"/>
      <c r="H105" s="18" t="s">
        <v>12</v>
      </c>
    </row>
    <row r="106" spans="1:8" x14ac:dyDescent="0.2">
      <c r="A106" s="28">
        <v>1</v>
      </c>
      <c r="B106" s="29" t="s">
        <v>461</v>
      </c>
      <c r="C106" s="29" t="s">
        <v>462</v>
      </c>
      <c r="D106" s="29" t="s">
        <v>75</v>
      </c>
      <c r="E106" s="30">
        <v>4000000</v>
      </c>
      <c r="F106" s="31">
        <v>3942.3719999999998</v>
      </c>
      <c r="G106" s="86">
        <v>1.9666889999999999E-2</v>
      </c>
      <c r="H106" s="18">
        <v>6.4286000000000003</v>
      </c>
    </row>
    <row r="107" spans="1:8" x14ac:dyDescent="0.2">
      <c r="A107" s="28">
        <v>2</v>
      </c>
      <c r="B107" s="29" t="s">
        <v>219</v>
      </c>
      <c r="C107" s="29" t="s">
        <v>220</v>
      </c>
      <c r="D107" s="29" t="s">
        <v>75</v>
      </c>
      <c r="E107" s="30">
        <v>2500000</v>
      </c>
      <c r="F107" s="31">
        <v>2473.2199999999998</v>
      </c>
      <c r="G107" s="86">
        <v>1.2337890000000001E-2</v>
      </c>
      <c r="H107" s="18">
        <v>6.4794</v>
      </c>
    </row>
    <row r="108" spans="1:8" x14ac:dyDescent="0.2">
      <c r="A108" s="28">
        <v>3</v>
      </c>
      <c r="B108" s="29" t="s">
        <v>223</v>
      </c>
      <c r="C108" s="29" t="s">
        <v>224</v>
      </c>
      <c r="D108" s="29" t="s">
        <v>75</v>
      </c>
      <c r="E108" s="30">
        <v>2500000</v>
      </c>
      <c r="F108" s="31">
        <v>2461.39</v>
      </c>
      <c r="G108" s="86">
        <v>1.2278880000000001E-2</v>
      </c>
      <c r="H108" s="18">
        <v>6.4332000000000003</v>
      </c>
    </row>
    <row r="109" spans="1:8" x14ac:dyDescent="0.2">
      <c r="A109" s="19"/>
      <c r="B109" s="19"/>
      <c r="C109" s="20" t="s">
        <v>11</v>
      </c>
      <c r="D109" s="19"/>
      <c r="E109" s="19" t="s">
        <v>12</v>
      </c>
      <c r="F109" s="27">
        <v>8876.982</v>
      </c>
      <c r="G109" s="85">
        <v>4.4283660000000002E-2</v>
      </c>
      <c r="H109" s="18" t="s">
        <v>12</v>
      </c>
    </row>
    <row r="110" spans="1:8" x14ac:dyDescent="0.2">
      <c r="A110" s="19"/>
      <c r="B110" s="19"/>
      <c r="C110" s="24"/>
      <c r="D110" s="19"/>
      <c r="E110" s="19"/>
      <c r="F110" s="25"/>
      <c r="G110" s="25"/>
      <c r="H110" s="18" t="s">
        <v>12</v>
      </c>
    </row>
    <row r="111" spans="1:8" x14ac:dyDescent="0.2">
      <c r="A111" s="19"/>
      <c r="B111" s="19"/>
      <c r="C111" s="20" t="s">
        <v>94</v>
      </c>
      <c r="D111" s="19"/>
      <c r="E111" s="19"/>
      <c r="F111" s="25"/>
      <c r="G111" s="25"/>
      <c r="H111" s="18" t="s">
        <v>12</v>
      </c>
    </row>
    <row r="112" spans="1:8" x14ac:dyDescent="0.2">
      <c r="A112" s="28">
        <v>1</v>
      </c>
      <c r="B112" s="29"/>
      <c r="C112" s="29" t="s">
        <v>95</v>
      </c>
      <c r="D112" s="29"/>
      <c r="E112" s="33"/>
      <c r="F112" s="31">
        <v>12955.339556663001</v>
      </c>
      <c r="G112" s="86">
        <v>6.4628930000000001E-2</v>
      </c>
      <c r="H112" s="18">
        <v>6.23</v>
      </c>
    </row>
    <row r="113" spans="1:17" x14ac:dyDescent="0.2">
      <c r="A113" s="19"/>
      <c r="B113" s="19"/>
      <c r="C113" s="20" t="s">
        <v>11</v>
      </c>
      <c r="D113" s="19"/>
      <c r="E113" s="19" t="s">
        <v>12</v>
      </c>
      <c r="F113" s="27">
        <v>12955.339556663001</v>
      </c>
      <c r="G113" s="85">
        <v>6.4628930000000001E-2</v>
      </c>
      <c r="H113" s="18" t="s">
        <v>12</v>
      </c>
    </row>
    <row r="114" spans="1:17" x14ac:dyDescent="0.2">
      <c r="A114" s="19"/>
      <c r="B114" s="19"/>
      <c r="C114" s="24"/>
      <c r="D114" s="19"/>
      <c r="E114" s="19"/>
      <c r="F114" s="25"/>
      <c r="G114" s="25"/>
      <c r="H114" s="18" t="s">
        <v>12</v>
      </c>
    </row>
    <row r="115" spans="1:17" x14ac:dyDescent="0.2">
      <c r="A115" s="19"/>
      <c r="B115" s="19"/>
      <c r="C115" s="20" t="s">
        <v>96</v>
      </c>
      <c r="D115" s="19"/>
      <c r="E115" s="19"/>
      <c r="F115" s="27">
        <v>160869.598656663</v>
      </c>
      <c r="G115" s="85">
        <v>0.80251313999999996</v>
      </c>
      <c r="H115" s="18" t="s">
        <v>12</v>
      </c>
    </row>
    <row r="116" spans="1:17" x14ac:dyDescent="0.2">
      <c r="A116" s="19"/>
      <c r="B116" s="19"/>
      <c r="C116" s="25"/>
      <c r="D116" s="19"/>
      <c r="E116" s="19"/>
      <c r="F116" s="19"/>
      <c r="G116" s="19"/>
      <c r="H116" s="18" t="s">
        <v>12</v>
      </c>
    </row>
    <row r="117" spans="1:17" x14ac:dyDescent="0.2">
      <c r="A117" s="19"/>
      <c r="B117" s="19"/>
      <c r="C117" s="20" t="s">
        <v>97</v>
      </c>
      <c r="D117" s="19"/>
      <c r="E117" s="19"/>
      <c r="F117" s="19"/>
      <c r="G117" s="19"/>
      <c r="H117" s="18" t="s">
        <v>12</v>
      </c>
    </row>
    <row r="118" spans="1:17" x14ac:dyDescent="0.2">
      <c r="A118" s="19"/>
      <c r="B118" s="19"/>
      <c r="C118" s="20" t="s">
        <v>98</v>
      </c>
      <c r="D118" s="19"/>
      <c r="E118" s="19"/>
      <c r="F118" s="19"/>
      <c r="G118" s="19"/>
      <c r="H118" s="18" t="s">
        <v>12</v>
      </c>
    </row>
    <row r="119" spans="1:17" x14ac:dyDescent="0.2">
      <c r="A119" s="19"/>
      <c r="B119" s="19"/>
      <c r="C119" s="20" t="s">
        <v>11</v>
      </c>
      <c r="D119" s="19"/>
      <c r="E119" s="19" t="s">
        <v>12</v>
      </c>
      <c r="F119" s="22" t="s">
        <v>13</v>
      </c>
      <c r="G119" s="85">
        <v>0</v>
      </c>
      <c r="H119" s="18" t="s">
        <v>12</v>
      </c>
    </row>
    <row r="120" spans="1:17" x14ac:dyDescent="0.2">
      <c r="A120" s="34"/>
      <c r="B120" s="34"/>
      <c r="C120" s="35"/>
      <c r="D120" s="34"/>
      <c r="E120" s="34"/>
      <c r="F120" s="36"/>
      <c r="G120" s="36"/>
      <c r="H120" s="37" t="s">
        <v>12</v>
      </c>
    </row>
    <row r="121" spans="1:17" ht="25.5" x14ac:dyDescent="0.2">
      <c r="A121" s="34"/>
      <c r="B121" s="34"/>
      <c r="C121" s="38" t="s">
        <v>552</v>
      </c>
      <c r="D121" s="34"/>
      <c r="E121" s="34"/>
      <c r="F121" s="36"/>
      <c r="G121" s="36"/>
      <c r="H121" s="39"/>
      <c r="K121" s="40"/>
      <c r="L121" s="40"/>
      <c r="M121" s="40"/>
      <c r="N121" s="40"/>
      <c r="O121" s="41"/>
      <c r="P121" s="41"/>
      <c r="Q121" s="41"/>
    </row>
    <row r="122" spans="1:17" ht="25.5" x14ac:dyDescent="0.2">
      <c r="A122" s="42">
        <v>1</v>
      </c>
      <c r="B122" s="43" t="s">
        <v>99</v>
      </c>
      <c r="C122" s="43" t="s">
        <v>100</v>
      </c>
      <c r="D122" s="43"/>
      <c r="E122" s="44">
        <v>5151.0829999999996</v>
      </c>
      <c r="F122" s="39">
        <v>565.05136698199999</v>
      </c>
      <c r="G122" s="45">
        <v>2.8188100000000002E-3</v>
      </c>
      <c r="H122" s="37"/>
    </row>
    <row r="123" spans="1:17" x14ac:dyDescent="0.2">
      <c r="A123" s="34"/>
      <c r="B123" s="34"/>
      <c r="C123" s="38" t="s">
        <v>11</v>
      </c>
      <c r="D123" s="34"/>
      <c r="E123" s="34" t="s">
        <v>12</v>
      </c>
      <c r="F123" s="46">
        <f>SUM(F122)</f>
        <v>565.05136698199999</v>
      </c>
      <c r="G123" s="47">
        <f>SUM(G122)</f>
        <v>2.8188100000000002E-3</v>
      </c>
      <c r="H123" s="37" t="s">
        <v>12</v>
      </c>
    </row>
    <row r="124" spans="1:17" x14ac:dyDescent="0.2">
      <c r="A124" s="19"/>
      <c r="B124" s="19"/>
      <c r="C124" s="24"/>
      <c r="D124" s="19"/>
      <c r="E124" s="19"/>
      <c r="F124" s="25"/>
      <c r="G124" s="25"/>
      <c r="H124" s="18" t="s">
        <v>12</v>
      </c>
    </row>
    <row r="125" spans="1:17" x14ac:dyDescent="0.2">
      <c r="A125" s="19"/>
      <c r="B125" s="19"/>
      <c r="C125" s="20" t="s">
        <v>101</v>
      </c>
      <c r="D125" s="19"/>
      <c r="E125" s="19"/>
      <c r="F125" s="19"/>
      <c r="G125" s="19"/>
      <c r="H125" s="18" t="s">
        <v>12</v>
      </c>
    </row>
    <row r="126" spans="1:17" x14ac:dyDescent="0.2">
      <c r="A126" s="19"/>
      <c r="B126" s="19"/>
      <c r="C126" s="20" t="s">
        <v>102</v>
      </c>
      <c r="D126" s="19"/>
      <c r="E126" s="19"/>
      <c r="F126" s="19"/>
      <c r="G126" s="19"/>
      <c r="H126" s="18" t="s">
        <v>12</v>
      </c>
    </row>
    <row r="127" spans="1:17" x14ac:dyDescent="0.2">
      <c r="A127" s="19"/>
      <c r="B127" s="19"/>
      <c r="C127" s="20" t="s">
        <v>11</v>
      </c>
      <c r="D127" s="19"/>
      <c r="E127" s="19" t="s">
        <v>12</v>
      </c>
      <c r="F127" s="22" t="s">
        <v>13</v>
      </c>
      <c r="G127" s="85">
        <v>0</v>
      </c>
      <c r="H127" s="18" t="s">
        <v>12</v>
      </c>
    </row>
    <row r="128" spans="1:17" x14ac:dyDescent="0.2">
      <c r="A128" s="19"/>
      <c r="B128" s="19"/>
      <c r="C128" s="24"/>
      <c r="D128" s="19"/>
      <c r="E128" s="19"/>
      <c r="F128" s="25"/>
      <c r="G128" s="25"/>
      <c r="H128" s="18" t="s">
        <v>12</v>
      </c>
    </row>
    <row r="129" spans="1:8" ht="25.5" x14ac:dyDescent="0.2">
      <c r="A129" s="19"/>
      <c r="B129" s="19"/>
      <c r="C129" s="20" t="s">
        <v>103</v>
      </c>
      <c r="D129" s="19"/>
      <c r="E129" s="19"/>
      <c r="F129" s="25"/>
      <c r="G129" s="25"/>
      <c r="H129" s="18" t="s">
        <v>12</v>
      </c>
    </row>
    <row r="130" spans="1:8" x14ac:dyDescent="0.2">
      <c r="A130" s="19"/>
      <c r="B130" s="19"/>
      <c r="C130" s="20" t="s">
        <v>11</v>
      </c>
      <c r="D130" s="19"/>
      <c r="E130" s="19" t="s">
        <v>12</v>
      </c>
      <c r="F130" s="22" t="s">
        <v>13</v>
      </c>
      <c r="G130" s="85">
        <v>0</v>
      </c>
      <c r="H130" s="18" t="s">
        <v>12</v>
      </c>
    </row>
    <row r="131" spans="1:8" x14ac:dyDescent="0.2">
      <c r="A131" s="19"/>
      <c r="B131" s="19"/>
      <c r="C131" s="24"/>
      <c r="D131" s="19"/>
      <c r="E131" s="19"/>
      <c r="F131" s="25"/>
      <c r="G131" s="25"/>
      <c r="H131" s="37" t="s">
        <v>12</v>
      </c>
    </row>
    <row r="132" spans="1:8" x14ac:dyDescent="0.2">
      <c r="A132" s="114"/>
      <c r="B132" s="114"/>
      <c r="C132" s="115" t="s">
        <v>626</v>
      </c>
      <c r="D132" s="116"/>
      <c r="E132" s="117"/>
      <c r="F132" s="117"/>
      <c r="G132" s="116"/>
      <c r="H132" s="117"/>
    </row>
    <row r="133" spans="1:8" ht="21.75" x14ac:dyDescent="0.2">
      <c r="A133" s="114"/>
      <c r="B133" s="114"/>
      <c r="C133" s="118" t="s">
        <v>627</v>
      </c>
      <c r="D133" s="116"/>
      <c r="E133" s="119">
        <v>2500000</v>
      </c>
      <c r="F133" s="37">
        <f>-37500/10^5</f>
        <v>-0.375</v>
      </c>
      <c r="G133" s="120" t="s">
        <v>628</v>
      </c>
      <c r="H133" s="117"/>
    </row>
    <row r="134" spans="1:8" x14ac:dyDescent="0.2">
      <c r="A134" s="19"/>
      <c r="B134" s="19"/>
      <c r="C134" s="24"/>
      <c r="D134" s="19"/>
      <c r="E134" s="19"/>
      <c r="F134" s="25"/>
      <c r="G134" s="25"/>
      <c r="H134" s="18" t="s">
        <v>12</v>
      </c>
    </row>
    <row r="135" spans="1:8" x14ac:dyDescent="0.2">
      <c r="A135" s="33"/>
      <c r="B135" s="29"/>
      <c r="C135" s="29" t="s">
        <v>104</v>
      </c>
      <c r="D135" s="29"/>
      <c r="E135" s="33"/>
      <c r="F135" s="31">
        <f>-7075.72821065+2500+0.000015984992980957</f>
        <v>-4575.7281946650064</v>
      </c>
      <c r="G135" s="86">
        <f>F135/F136</f>
        <v>-2.2826449628289697E-2</v>
      </c>
      <c r="H135" s="18" t="s">
        <v>12</v>
      </c>
    </row>
    <row r="136" spans="1:8" x14ac:dyDescent="0.2">
      <c r="A136" s="24"/>
      <c r="B136" s="24"/>
      <c r="C136" s="20" t="s">
        <v>105</v>
      </c>
      <c r="D136" s="25"/>
      <c r="E136" s="25"/>
      <c r="F136" s="27">
        <f>F135+F133+F123+F115+F54+F24</f>
        <v>200457.28832898001</v>
      </c>
      <c r="G136" s="85">
        <f>G135+G123+G115+G54+G24</f>
        <v>1.0000019203717103</v>
      </c>
      <c r="H136" s="18" t="s">
        <v>12</v>
      </c>
    </row>
    <row r="137" spans="1:8" x14ac:dyDescent="0.2">
      <c r="A137" s="49"/>
      <c r="B137" s="49"/>
      <c r="C137" s="49"/>
      <c r="D137" s="50"/>
      <c r="E137" s="50"/>
      <c r="F137" s="50"/>
      <c r="G137" s="50"/>
    </row>
    <row r="138" spans="1:8" x14ac:dyDescent="0.2">
      <c r="A138" s="51"/>
      <c r="B138" s="171" t="s">
        <v>549</v>
      </c>
      <c r="C138" s="171"/>
      <c r="D138" s="171"/>
      <c r="E138" s="171"/>
      <c r="F138" s="171"/>
      <c r="G138" s="171"/>
      <c r="H138" s="171"/>
    </row>
    <row r="139" spans="1:8" x14ac:dyDescent="0.2">
      <c r="A139" s="51"/>
      <c r="B139" s="171" t="s">
        <v>550</v>
      </c>
      <c r="C139" s="171"/>
      <c r="D139" s="171"/>
      <c r="E139" s="171"/>
      <c r="F139" s="171"/>
      <c r="G139" s="171"/>
      <c r="H139" s="171"/>
    </row>
    <row r="140" spans="1:8" x14ac:dyDescent="0.2">
      <c r="A140" s="51"/>
      <c r="B140" s="171" t="s">
        <v>551</v>
      </c>
      <c r="C140" s="171"/>
      <c r="D140" s="171"/>
      <c r="E140" s="171"/>
      <c r="F140" s="171"/>
      <c r="G140" s="171"/>
      <c r="H140" s="171"/>
    </row>
    <row r="141" spans="1:8" ht="67.5" customHeight="1" x14ac:dyDescent="0.2">
      <c r="A141" s="51"/>
      <c r="B141" s="203" t="s">
        <v>629</v>
      </c>
      <c r="C141" s="203"/>
      <c r="D141" s="203"/>
      <c r="E141" s="203"/>
      <c r="F141" s="203"/>
      <c r="G141" s="203"/>
      <c r="H141" s="203"/>
    </row>
    <row r="142" spans="1:8" x14ac:dyDescent="0.2">
      <c r="A142" s="53"/>
      <c r="B142" s="53"/>
      <c r="C142" s="53"/>
      <c r="D142" s="54"/>
      <c r="E142" s="54"/>
      <c r="F142" s="54"/>
      <c r="G142" s="54"/>
    </row>
    <row r="143" spans="1:8" x14ac:dyDescent="0.2">
      <c r="A143" s="53"/>
      <c r="B143" s="174" t="s">
        <v>106</v>
      </c>
      <c r="C143" s="175"/>
      <c r="D143" s="176"/>
      <c r="E143" s="55"/>
      <c r="F143" s="54"/>
      <c r="G143" s="54"/>
    </row>
    <row r="144" spans="1:8" ht="25.5" x14ac:dyDescent="0.2">
      <c r="A144" s="53"/>
      <c r="B144" s="177" t="s">
        <v>107</v>
      </c>
      <c r="C144" s="178"/>
      <c r="D144" s="38" t="s">
        <v>578</v>
      </c>
      <c r="E144" s="55"/>
      <c r="F144" s="54"/>
      <c r="G144" s="54"/>
    </row>
    <row r="145" spans="1:9" x14ac:dyDescent="0.2">
      <c r="A145" s="53"/>
      <c r="B145" s="177" t="s">
        <v>109</v>
      </c>
      <c r="C145" s="178"/>
      <c r="D145" s="20" t="s">
        <v>108</v>
      </c>
      <c r="E145" s="55"/>
      <c r="F145" s="54"/>
      <c r="G145" s="54"/>
    </row>
    <row r="146" spans="1:9" x14ac:dyDescent="0.2">
      <c r="A146" s="53"/>
      <c r="B146" s="177" t="s">
        <v>110</v>
      </c>
      <c r="C146" s="178"/>
      <c r="D146" s="25" t="s">
        <v>12</v>
      </c>
      <c r="E146" s="55"/>
      <c r="F146" s="54"/>
      <c r="G146" s="54"/>
    </row>
    <row r="147" spans="1:9" x14ac:dyDescent="0.2">
      <c r="A147" s="56"/>
      <c r="B147" s="57" t="s">
        <v>12</v>
      </c>
      <c r="C147" s="57" t="s">
        <v>553</v>
      </c>
      <c r="D147" s="57" t="s">
        <v>111</v>
      </c>
      <c r="E147" s="56"/>
      <c r="F147" s="56"/>
      <c r="G147" s="56"/>
    </row>
    <row r="148" spans="1:9" x14ac:dyDescent="0.2">
      <c r="A148" s="56"/>
      <c r="B148" s="58" t="s">
        <v>112</v>
      </c>
      <c r="C148" s="59">
        <v>45688</v>
      </c>
      <c r="D148" s="59">
        <v>45716</v>
      </c>
      <c r="E148" s="56"/>
      <c r="F148" s="56"/>
      <c r="G148" s="56"/>
      <c r="I148"/>
    </row>
    <row r="149" spans="1:9" x14ac:dyDescent="0.2">
      <c r="A149" s="60"/>
      <c r="B149" s="29" t="s">
        <v>113</v>
      </c>
      <c r="C149" s="61">
        <v>2834.4324999999999</v>
      </c>
      <c r="D149" s="61">
        <v>2850.4103</v>
      </c>
      <c r="E149" s="60"/>
      <c r="F149" s="62"/>
      <c r="G149" s="63"/>
    </row>
    <row r="150" spans="1:9" ht="25.5" x14ac:dyDescent="0.2">
      <c r="A150" s="60"/>
      <c r="B150" s="29" t="s">
        <v>674</v>
      </c>
      <c r="C150" s="61">
        <v>1063.2080000000001</v>
      </c>
      <c r="D150" s="61">
        <v>1062.6242</v>
      </c>
      <c r="E150" s="60"/>
      <c r="F150" s="62"/>
      <c r="G150" s="63"/>
    </row>
    <row r="151" spans="1:9" ht="25.5" x14ac:dyDescent="0.2">
      <c r="A151" s="60"/>
      <c r="B151" s="29" t="s">
        <v>675</v>
      </c>
      <c r="C151" s="61">
        <v>1194.6222</v>
      </c>
      <c r="D151" s="61">
        <v>1201.3456000000001</v>
      </c>
      <c r="E151" s="60"/>
      <c r="F151" s="62"/>
      <c r="G151" s="63"/>
    </row>
    <row r="152" spans="1:9" x14ac:dyDescent="0.2">
      <c r="A152" s="60"/>
      <c r="B152" s="29" t="s">
        <v>114</v>
      </c>
      <c r="C152" s="61">
        <v>2612.2190000000001</v>
      </c>
      <c r="D152" s="61">
        <v>2624.4081999999999</v>
      </c>
      <c r="E152" s="60"/>
      <c r="F152" s="62"/>
      <c r="G152" s="63"/>
    </row>
    <row r="153" spans="1:9" ht="25.5" x14ac:dyDescent="0.2">
      <c r="A153" s="60"/>
      <c r="B153" s="29" t="s">
        <v>678</v>
      </c>
      <c r="C153" s="61">
        <v>1062.3047999999999</v>
      </c>
      <c r="D153" s="61">
        <v>1061.8235999999999</v>
      </c>
      <c r="E153" s="60"/>
      <c r="F153" s="62"/>
      <c r="G153" s="63"/>
    </row>
    <row r="154" spans="1:9" ht="25.5" x14ac:dyDescent="0.2">
      <c r="A154" s="60"/>
      <c r="B154" s="29" t="s">
        <v>673</v>
      </c>
      <c r="C154" s="61">
        <v>1148.2489</v>
      </c>
      <c r="D154" s="61">
        <v>1153.6084000000001</v>
      </c>
      <c r="E154" s="60"/>
      <c r="F154" s="62"/>
      <c r="G154" s="63"/>
    </row>
    <row r="155" spans="1:9" x14ac:dyDescent="0.2">
      <c r="A155" s="60"/>
      <c r="B155" s="60"/>
      <c r="C155" s="60"/>
      <c r="D155" s="60"/>
      <c r="E155" s="60"/>
      <c r="F155" s="60"/>
      <c r="G155" s="60"/>
    </row>
    <row r="156" spans="1:9" x14ac:dyDescent="0.2">
      <c r="A156" s="60"/>
      <c r="B156" s="177" t="s">
        <v>554</v>
      </c>
      <c r="C156" s="178"/>
      <c r="D156" s="20" t="s">
        <v>12</v>
      </c>
      <c r="E156" s="60"/>
      <c r="F156" s="60"/>
      <c r="G156" s="60"/>
    </row>
    <row r="157" spans="1:9" x14ac:dyDescent="0.2">
      <c r="A157" s="60"/>
      <c r="B157" s="64" t="s">
        <v>112</v>
      </c>
      <c r="C157" s="65" t="s">
        <v>115</v>
      </c>
      <c r="D157" s="65" t="s">
        <v>116</v>
      </c>
      <c r="E157" s="60"/>
      <c r="F157" s="60"/>
      <c r="G157" s="60"/>
    </row>
    <row r="158" spans="1:9" ht="25.5" x14ac:dyDescent="0.2">
      <c r="A158" s="60"/>
      <c r="B158" s="29" t="s">
        <v>674</v>
      </c>
      <c r="C158" s="66">
        <v>6.5617000000000001</v>
      </c>
      <c r="D158" s="33" t="s">
        <v>117</v>
      </c>
      <c r="E158" s="60"/>
      <c r="F158" s="62"/>
      <c r="G158" s="63"/>
    </row>
    <row r="159" spans="1:9" ht="25.5" x14ac:dyDescent="0.2">
      <c r="A159" s="60"/>
      <c r="B159" s="29" t="s">
        <v>678</v>
      </c>
      <c r="C159" s="66">
        <v>5.4295999999999998</v>
      </c>
      <c r="D159" s="66">
        <v>5.4295999999999998</v>
      </c>
      <c r="E159" s="60"/>
      <c r="F159" s="62"/>
      <c r="G159" s="63"/>
    </row>
    <row r="160" spans="1:9" x14ac:dyDescent="0.2">
      <c r="A160" s="60"/>
      <c r="B160" s="70"/>
      <c r="C160" s="70"/>
      <c r="D160" s="70"/>
      <c r="E160" s="60"/>
      <c r="F160" s="60"/>
      <c r="G160" s="60"/>
    </row>
    <row r="161" spans="1:15" ht="25.5" x14ac:dyDescent="0.2">
      <c r="A161" s="56"/>
      <c r="B161" s="172" t="s">
        <v>118</v>
      </c>
      <c r="C161" s="173"/>
      <c r="D161" s="38" t="s">
        <v>630</v>
      </c>
      <c r="E161" s="69"/>
      <c r="F161" s="56"/>
      <c r="G161" s="56"/>
    </row>
    <row r="162" spans="1:15" ht="27" customHeight="1" x14ac:dyDescent="0.2">
      <c r="A162" s="56"/>
      <c r="B162" s="172" t="s">
        <v>119</v>
      </c>
      <c r="C162" s="173"/>
      <c r="D162" s="38" t="s">
        <v>108</v>
      </c>
      <c r="E162" s="69"/>
      <c r="F162" s="56"/>
      <c r="G162" s="56"/>
    </row>
    <row r="163" spans="1:15" ht="27.75" customHeight="1" x14ac:dyDescent="0.2">
      <c r="A163" s="56"/>
      <c r="B163" s="172" t="s">
        <v>555</v>
      </c>
      <c r="C163" s="173"/>
      <c r="D163" s="38" t="s">
        <v>108</v>
      </c>
      <c r="E163" s="69"/>
      <c r="F163" s="56"/>
      <c r="G163" s="56"/>
      <c r="J163" s="82"/>
    </row>
    <row r="164" spans="1:15" ht="12.75" customHeight="1" x14ac:dyDescent="0.2">
      <c r="A164" s="70"/>
      <c r="B164" s="70"/>
      <c r="C164" s="70"/>
      <c r="D164" s="70"/>
      <c r="E164" s="70"/>
      <c r="F164" s="70"/>
      <c r="G164" s="70"/>
      <c r="J164" s="82"/>
    </row>
    <row r="165" spans="1:15" ht="13.5" x14ac:dyDescent="0.25">
      <c r="A165" s="70"/>
      <c r="B165" s="121" t="s">
        <v>670</v>
      </c>
      <c r="C165" s="70"/>
      <c r="D165" s="70"/>
      <c r="E165" s="70"/>
      <c r="F165" s="70"/>
      <c r="G165" s="70"/>
      <c r="H165" s="70"/>
      <c r="J165" s="82"/>
    </row>
    <row r="166" spans="1:15" s="82" customFormat="1" ht="51" x14ac:dyDescent="0.2">
      <c r="A166" s="122"/>
      <c r="B166" s="123" t="s">
        <v>631</v>
      </c>
      <c r="C166" s="123" t="s">
        <v>632</v>
      </c>
      <c r="D166" s="124" t="s">
        <v>633</v>
      </c>
      <c r="E166" s="124" t="s">
        <v>634</v>
      </c>
      <c r="F166" s="123" t="s">
        <v>635</v>
      </c>
      <c r="G166" s="123" t="s">
        <v>636</v>
      </c>
      <c r="H166" s="123" t="s">
        <v>8</v>
      </c>
      <c r="I166" s="125"/>
    </row>
    <row r="167" spans="1:15" s="77" customFormat="1" ht="25.5" x14ac:dyDescent="0.2">
      <c r="A167" s="126"/>
      <c r="B167" s="127" t="s">
        <v>637</v>
      </c>
      <c r="C167" s="127" t="s">
        <v>638</v>
      </c>
      <c r="D167" s="128" t="s">
        <v>639</v>
      </c>
      <c r="E167" s="129" t="s">
        <v>640</v>
      </c>
      <c r="F167" s="130">
        <v>2500</v>
      </c>
      <c r="G167" s="131">
        <v>46002</v>
      </c>
      <c r="H167" s="45">
        <f>F167/F136</f>
        <v>1.2471484678058354E-2</v>
      </c>
      <c r="I167" s="132"/>
      <c r="J167" s="82"/>
    </row>
    <row r="168" spans="1:15" s="80" customFormat="1" x14ac:dyDescent="0.2">
      <c r="A168" s="70"/>
      <c r="B168" s="70"/>
      <c r="C168" s="70"/>
      <c r="D168" s="70"/>
      <c r="E168" s="70"/>
      <c r="F168" s="70"/>
      <c r="G168" s="70"/>
      <c r="H168"/>
      <c r="I168" s="133"/>
      <c r="J168" s="134"/>
      <c r="K168" s="134"/>
      <c r="L168" s="134"/>
      <c r="M168" s="134"/>
      <c r="N168" s="134"/>
      <c r="O168" s="134"/>
    </row>
    <row r="169" spans="1:15" x14ac:dyDescent="0.2">
      <c r="A169" s="71"/>
      <c r="B169" s="89" t="s">
        <v>669</v>
      </c>
      <c r="C169" s="89"/>
      <c r="D169" s="89"/>
      <c r="E169" s="89"/>
      <c r="F169" s="89"/>
      <c r="G169" s="89"/>
      <c r="H169" s="71"/>
      <c r="J169" s="82"/>
    </row>
    <row r="170" spans="1:15" ht="6" customHeight="1" x14ac:dyDescent="0.2">
      <c r="A170" s="71"/>
      <c r="B170" s="90"/>
      <c r="C170" s="90"/>
      <c r="D170" s="90"/>
      <c r="E170" s="90"/>
      <c r="F170" s="90"/>
      <c r="G170" s="90"/>
      <c r="H170" s="71"/>
      <c r="J170" s="82"/>
    </row>
    <row r="171" spans="1:15" s="71" customFormat="1" ht="102" x14ac:dyDescent="0.2">
      <c r="B171" s="135" t="s">
        <v>580</v>
      </c>
      <c r="C171" s="135" t="s">
        <v>581</v>
      </c>
      <c r="D171" s="92" t="s">
        <v>582</v>
      </c>
      <c r="E171" s="135" t="s">
        <v>583</v>
      </c>
      <c r="F171" s="92" t="s">
        <v>641</v>
      </c>
      <c r="G171" s="90"/>
      <c r="I171" s="83"/>
      <c r="J171" s="82"/>
      <c r="K171" s="40"/>
      <c r="L171" s="40"/>
      <c r="M171" s="40"/>
      <c r="N171" s="40"/>
      <c r="O171" s="77"/>
    </row>
    <row r="172" spans="1:15" s="71" customFormat="1" x14ac:dyDescent="0.2">
      <c r="B172" s="94" t="s">
        <v>585</v>
      </c>
      <c r="C172" s="94" t="s">
        <v>586</v>
      </c>
      <c r="D172" s="7">
        <v>0</v>
      </c>
      <c r="E172" s="8">
        <v>0</v>
      </c>
      <c r="F172" s="95">
        <v>500</v>
      </c>
      <c r="G172" s="90"/>
      <c r="I172" s="83"/>
      <c r="J172" s="82"/>
      <c r="K172" s="40"/>
      <c r="L172" s="40"/>
      <c r="M172" s="40"/>
      <c r="N172" s="40"/>
      <c r="O172" s="77"/>
    </row>
    <row r="173" spans="1:15" s="71" customFormat="1" x14ac:dyDescent="0.2">
      <c r="I173" s="83"/>
      <c r="J173" s="82"/>
      <c r="K173" s="40"/>
      <c r="L173" s="40"/>
      <c r="M173" s="40"/>
      <c r="N173" s="40"/>
      <c r="O173" s="77"/>
    </row>
    <row r="174" spans="1:15" s="71" customFormat="1" x14ac:dyDescent="0.2">
      <c r="B174" s="166" t="s">
        <v>556</v>
      </c>
      <c r="C174" s="167"/>
      <c r="D174" s="168"/>
      <c r="I174" s="83"/>
      <c r="J174" s="82"/>
      <c r="K174" s="40"/>
      <c r="L174" s="40"/>
      <c r="M174" s="40"/>
      <c r="N174" s="40"/>
      <c r="O174" s="77"/>
    </row>
    <row r="175" spans="1:15" s="71" customFormat="1" ht="51" x14ac:dyDescent="0.2">
      <c r="B175" s="169" t="s">
        <v>557</v>
      </c>
      <c r="C175" s="169"/>
      <c r="D175" s="72" t="s">
        <v>414</v>
      </c>
      <c r="I175" s="83"/>
      <c r="J175" s="82"/>
      <c r="K175" s="40"/>
      <c r="L175" s="40"/>
      <c r="M175" s="40"/>
      <c r="N175" s="40"/>
      <c r="O175" s="77"/>
    </row>
    <row r="176" spans="1:15" s="71" customFormat="1" x14ac:dyDescent="0.2">
      <c r="B176" s="165" t="s">
        <v>558</v>
      </c>
      <c r="C176" s="165"/>
      <c r="D176" s="73"/>
      <c r="I176" s="83"/>
      <c r="J176" s="82"/>
      <c r="K176" s="40"/>
      <c r="L176" s="40"/>
      <c r="M176" s="40"/>
      <c r="N176" s="40"/>
      <c r="O176" s="77"/>
    </row>
    <row r="177" spans="1:17" s="71" customFormat="1" x14ac:dyDescent="0.2">
      <c r="B177" s="165"/>
      <c r="C177" s="165"/>
      <c r="D177" s="74"/>
      <c r="I177" s="83"/>
      <c r="J177" s="82"/>
      <c r="K177" s="40"/>
      <c r="L177" s="40"/>
      <c r="M177" s="40"/>
      <c r="N177" s="40"/>
      <c r="O177" s="77"/>
    </row>
    <row r="178" spans="1:17" s="71" customFormat="1" x14ac:dyDescent="0.2">
      <c r="B178" s="165" t="s">
        <v>559</v>
      </c>
      <c r="C178" s="165"/>
      <c r="D178" s="75">
        <v>7.5407641215550854</v>
      </c>
      <c r="I178" s="83"/>
      <c r="J178" s="82"/>
      <c r="K178" s="40"/>
      <c r="L178" s="40"/>
      <c r="M178" s="40"/>
      <c r="N178" s="40"/>
      <c r="O178" s="77"/>
    </row>
    <row r="179" spans="1:17" s="71" customFormat="1" x14ac:dyDescent="0.2">
      <c r="B179" s="165"/>
      <c r="C179" s="165"/>
      <c r="D179" s="74"/>
      <c r="I179" s="83"/>
      <c r="J179" s="82"/>
      <c r="K179" s="40"/>
      <c r="L179" s="40"/>
      <c r="M179" s="40"/>
      <c r="N179" s="40"/>
      <c r="O179" s="77"/>
    </row>
    <row r="180" spans="1:17" s="71" customFormat="1" x14ac:dyDescent="0.2">
      <c r="B180" s="165" t="s">
        <v>560</v>
      </c>
      <c r="C180" s="165"/>
      <c r="D180" s="75">
        <v>0.53534285430344841</v>
      </c>
      <c r="I180" s="83"/>
      <c r="J180" s="82"/>
      <c r="K180" s="40"/>
      <c r="L180" s="40"/>
      <c r="M180" s="40"/>
      <c r="N180" s="40"/>
      <c r="O180" s="77"/>
    </row>
    <row r="181" spans="1:17" s="71" customFormat="1" x14ac:dyDescent="0.2">
      <c r="B181" s="165" t="s">
        <v>561</v>
      </c>
      <c r="C181" s="165"/>
      <c r="D181" s="75">
        <v>0.54258643051687061</v>
      </c>
      <c r="I181" s="83"/>
      <c r="J181" s="82"/>
      <c r="K181" s="40"/>
      <c r="L181" s="40"/>
      <c r="M181" s="40"/>
      <c r="N181" s="40"/>
      <c r="O181" s="77"/>
    </row>
    <row r="182" spans="1:17" s="71" customFormat="1" x14ac:dyDescent="0.2">
      <c r="B182" s="165"/>
      <c r="C182" s="165"/>
      <c r="D182" s="74"/>
      <c r="I182" s="83"/>
      <c r="J182" s="82"/>
      <c r="K182" s="40"/>
      <c r="L182" s="40"/>
      <c r="M182" s="40"/>
      <c r="N182" s="40"/>
      <c r="O182" s="77"/>
    </row>
    <row r="183" spans="1:17" s="71" customFormat="1" ht="25.5" x14ac:dyDescent="0.2">
      <c r="B183" s="165" t="s">
        <v>562</v>
      </c>
      <c r="C183" s="165"/>
      <c r="D183" s="76" t="s">
        <v>668</v>
      </c>
      <c r="I183" s="83"/>
      <c r="J183" s="82"/>
      <c r="K183" s="40"/>
      <c r="L183" s="40"/>
      <c r="M183" s="40"/>
      <c r="N183" s="40"/>
      <c r="O183" s="77"/>
    </row>
    <row r="184" spans="1:17" s="71" customFormat="1" x14ac:dyDescent="0.2">
      <c r="B184" s="162" t="s">
        <v>563</v>
      </c>
      <c r="C184" s="163"/>
      <c r="D184" s="164"/>
      <c r="I184" s="83"/>
      <c r="J184" s="82"/>
      <c r="K184" s="40"/>
      <c r="L184" s="40"/>
      <c r="M184" s="40"/>
      <c r="N184" s="40"/>
      <c r="O184" s="77"/>
    </row>
    <row r="185" spans="1:17" s="71" customFormat="1" x14ac:dyDescent="0.2">
      <c r="B185" s="52"/>
      <c r="C185" s="52"/>
      <c r="D185" s="52"/>
      <c r="I185" s="83"/>
      <c r="J185" s="82"/>
      <c r="K185" s="40"/>
      <c r="L185" s="40"/>
      <c r="M185" s="40"/>
      <c r="N185" s="40"/>
      <c r="O185" s="77"/>
    </row>
    <row r="186" spans="1:17" s="71" customFormat="1" ht="25.5" x14ac:dyDescent="0.2">
      <c r="A186"/>
      <c r="B186" s="78" t="s">
        <v>564</v>
      </c>
      <c r="C186"/>
      <c r="D186"/>
      <c r="E186"/>
      <c r="F186"/>
      <c r="G186"/>
      <c r="H186"/>
      <c r="I186" s="83"/>
      <c r="J186" s="82"/>
      <c r="K186" s="40"/>
      <c r="L186" s="40"/>
      <c r="M186" s="40"/>
      <c r="N186" s="40"/>
      <c r="O186" s="77"/>
      <c r="P186"/>
      <c r="Q186"/>
    </row>
    <row r="188" spans="1:17" ht="153.75" customHeight="1" x14ac:dyDescent="0.2"/>
    <row r="189" spans="1:17" ht="25.5" customHeight="1" x14ac:dyDescent="0.2"/>
    <row r="190" spans="1:17" x14ac:dyDescent="0.2">
      <c r="B190" s="79" t="s">
        <v>565</v>
      </c>
      <c r="C190" s="80"/>
      <c r="D190" s="79" t="s">
        <v>566</v>
      </c>
    </row>
    <row r="191" spans="1:17" x14ac:dyDescent="0.2">
      <c r="B191" s="79" t="s">
        <v>642</v>
      </c>
      <c r="D191" s="79" t="s">
        <v>643</v>
      </c>
    </row>
    <row r="194" spans="10:10" ht="165" customHeight="1" x14ac:dyDescent="0.2"/>
    <row r="196" spans="10:10" x14ac:dyDescent="0.2">
      <c r="J196" s="82"/>
    </row>
  </sheetData>
  <mergeCells count="26">
    <mergeCell ref="B140:H140"/>
    <mergeCell ref="B141:H141"/>
    <mergeCell ref="B161:C161"/>
    <mergeCell ref="B162:C162"/>
    <mergeCell ref="B163:C163"/>
    <mergeCell ref="B143:D143"/>
    <mergeCell ref="B144:C144"/>
    <mergeCell ref="B145:C145"/>
    <mergeCell ref="B146:C146"/>
    <mergeCell ref="B156:C156"/>
    <mergeCell ref="A3:H3"/>
    <mergeCell ref="A2:H2"/>
    <mergeCell ref="A1:H1"/>
    <mergeCell ref="B138:H138"/>
    <mergeCell ref="B139:H139"/>
    <mergeCell ref="B174:D174"/>
    <mergeCell ref="B175:C175"/>
    <mergeCell ref="B176:C176"/>
    <mergeCell ref="B177:C177"/>
    <mergeCell ref="B178:C178"/>
    <mergeCell ref="B184:D184"/>
    <mergeCell ref="B179:C179"/>
    <mergeCell ref="B180:C180"/>
    <mergeCell ref="B181:C181"/>
    <mergeCell ref="B182:C182"/>
    <mergeCell ref="B183:C183"/>
  </mergeCell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0DAD7E-FE31-40CF-9EDF-9CE15B5662DA}">
  <sheetPr>
    <outlinePr summaryBelow="0" summaryRight="0"/>
  </sheetPr>
  <dimension ref="A1:Q137"/>
  <sheetViews>
    <sheetView showGridLines="0" workbookViewId="0">
      <selection sqref="A1:H1"/>
    </sheetView>
  </sheetViews>
  <sheetFormatPr defaultRowHeight="12.75" x14ac:dyDescent="0.2"/>
  <cols>
    <col min="1" max="1" width="5.85546875" bestFit="1" customWidth="1"/>
    <col min="2" max="2" width="25.28515625" customWidth="1"/>
    <col min="3" max="3" width="44.28515625" customWidth="1"/>
    <col min="4" max="4" width="12.5703125" customWidth="1"/>
    <col min="5" max="5" width="8.7109375" bestFit="1" customWidth="1"/>
    <col min="6" max="6" width="10.140625" bestFit="1" customWidth="1"/>
    <col min="7" max="7" width="14" bestFit="1" customWidth="1"/>
  </cols>
  <sheetData>
    <row r="1" spans="1:8" ht="15" x14ac:dyDescent="0.2">
      <c r="A1" s="170" t="s">
        <v>0</v>
      </c>
      <c r="B1" s="170"/>
      <c r="C1" s="170"/>
      <c r="D1" s="170"/>
      <c r="E1" s="170"/>
      <c r="F1" s="170"/>
      <c r="G1" s="170"/>
      <c r="H1" s="170"/>
    </row>
    <row r="2" spans="1:8" ht="15" x14ac:dyDescent="0.2">
      <c r="A2" s="170" t="s">
        <v>463</v>
      </c>
      <c r="B2" s="170"/>
      <c r="C2" s="170"/>
      <c r="D2" s="170"/>
      <c r="E2" s="170"/>
      <c r="F2" s="170"/>
      <c r="G2" s="170"/>
      <c r="H2" s="170"/>
    </row>
    <row r="3" spans="1:8" ht="15" x14ac:dyDescent="0.2">
      <c r="A3" s="170" t="s">
        <v>686</v>
      </c>
      <c r="B3" s="170"/>
      <c r="C3" s="170"/>
      <c r="D3" s="170"/>
      <c r="E3" s="170"/>
      <c r="F3" s="170"/>
      <c r="G3" s="170"/>
      <c r="H3" s="170"/>
    </row>
    <row r="4" spans="1:8" s="14" customFormat="1" ht="30" x14ac:dyDescent="0.2">
      <c r="A4" s="12" t="s">
        <v>2</v>
      </c>
      <c r="B4" s="12" t="s">
        <v>3</v>
      </c>
      <c r="C4" s="12" t="s">
        <v>4</v>
      </c>
      <c r="D4" s="12" t="s">
        <v>5</v>
      </c>
      <c r="E4" s="12" t="s">
        <v>6</v>
      </c>
      <c r="F4" s="12" t="s">
        <v>7</v>
      </c>
      <c r="G4" s="12" t="s">
        <v>8</v>
      </c>
      <c r="H4" s="13" t="s">
        <v>535</v>
      </c>
    </row>
    <row r="5" spans="1:8" x14ac:dyDescent="0.2">
      <c r="A5" s="15"/>
      <c r="B5" s="15"/>
      <c r="C5" s="16" t="s">
        <v>9</v>
      </c>
      <c r="D5" s="15"/>
      <c r="E5" s="15"/>
      <c r="F5" s="15"/>
      <c r="G5" s="17"/>
      <c r="H5" s="18" t="s">
        <v>12</v>
      </c>
    </row>
    <row r="6" spans="1:8" x14ac:dyDescent="0.2">
      <c r="A6" s="19"/>
      <c r="B6" s="19"/>
      <c r="C6" s="20" t="s">
        <v>10</v>
      </c>
      <c r="D6" s="19"/>
      <c r="E6" s="19"/>
      <c r="F6" s="19"/>
      <c r="G6" s="21"/>
      <c r="H6" s="18" t="s">
        <v>12</v>
      </c>
    </row>
    <row r="7" spans="1:8" x14ac:dyDescent="0.2">
      <c r="A7" s="19"/>
      <c r="B7" s="19"/>
      <c r="C7" s="20" t="s">
        <v>11</v>
      </c>
      <c r="D7" s="19"/>
      <c r="E7" s="19" t="s">
        <v>12</v>
      </c>
      <c r="F7" s="22" t="s">
        <v>13</v>
      </c>
      <c r="G7" s="23">
        <v>0</v>
      </c>
      <c r="H7" s="18" t="s">
        <v>12</v>
      </c>
    </row>
    <row r="8" spans="1:8" x14ac:dyDescent="0.2">
      <c r="A8" s="19"/>
      <c r="B8" s="19"/>
      <c r="C8" s="24"/>
      <c r="D8" s="19"/>
      <c r="E8" s="19"/>
      <c r="F8" s="25"/>
      <c r="G8" s="26"/>
      <c r="H8" s="18" t="s">
        <v>12</v>
      </c>
    </row>
    <row r="9" spans="1:8" x14ac:dyDescent="0.2">
      <c r="A9" s="19"/>
      <c r="B9" s="19"/>
      <c r="C9" s="20" t="s">
        <v>14</v>
      </c>
      <c r="D9" s="19"/>
      <c r="E9" s="19"/>
      <c r="F9" s="19"/>
      <c r="G9" s="21"/>
      <c r="H9" s="18" t="s">
        <v>12</v>
      </c>
    </row>
    <row r="10" spans="1:8" x14ac:dyDescent="0.2">
      <c r="A10" s="19"/>
      <c r="B10" s="19"/>
      <c r="C10" s="20" t="s">
        <v>11</v>
      </c>
      <c r="D10" s="19"/>
      <c r="E10" s="19" t="s">
        <v>12</v>
      </c>
      <c r="F10" s="22" t="s">
        <v>13</v>
      </c>
      <c r="G10" s="23">
        <v>0</v>
      </c>
      <c r="H10" s="18" t="s">
        <v>12</v>
      </c>
    </row>
    <row r="11" spans="1:8" x14ac:dyDescent="0.2">
      <c r="A11" s="19"/>
      <c r="B11" s="19"/>
      <c r="C11" s="24"/>
      <c r="D11" s="19"/>
      <c r="E11" s="19"/>
      <c r="F11" s="25"/>
      <c r="G11" s="26"/>
      <c r="H11" s="18" t="s">
        <v>12</v>
      </c>
    </row>
    <row r="12" spans="1:8" x14ac:dyDescent="0.2">
      <c r="A12" s="19"/>
      <c r="B12" s="19"/>
      <c r="C12" s="20" t="s">
        <v>15</v>
      </c>
      <c r="D12" s="19"/>
      <c r="E12" s="19"/>
      <c r="F12" s="19"/>
      <c r="G12" s="21"/>
      <c r="H12" s="18" t="s">
        <v>12</v>
      </c>
    </row>
    <row r="13" spans="1:8" x14ac:dyDescent="0.2">
      <c r="A13" s="19"/>
      <c r="B13" s="19"/>
      <c r="C13" s="20" t="s">
        <v>11</v>
      </c>
      <c r="D13" s="19"/>
      <c r="E13" s="19" t="s">
        <v>12</v>
      </c>
      <c r="F13" s="22" t="s">
        <v>13</v>
      </c>
      <c r="G13" s="23">
        <v>0</v>
      </c>
      <c r="H13" s="18" t="s">
        <v>12</v>
      </c>
    </row>
    <row r="14" spans="1:8" x14ac:dyDescent="0.2">
      <c r="A14" s="19"/>
      <c r="B14" s="19"/>
      <c r="C14" s="24"/>
      <c r="D14" s="19"/>
      <c r="E14" s="19"/>
      <c r="F14" s="25"/>
      <c r="G14" s="26"/>
      <c r="H14" s="18" t="s">
        <v>12</v>
      </c>
    </row>
    <row r="15" spans="1:8" x14ac:dyDescent="0.2">
      <c r="A15" s="19"/>
      <c r="B15" s="19"/>
      <c r="C15" s="20" t="s">
        <v>16</v>
      </c>
      <c r="D15" s="19"/>
      <c r="E15" s="19"/>
      <c r="F15" s="19"/>
      <c r="G15" s="21"/>
      <c r="H15" s="18" t="s">
        <v>12</v>
      </c>
    </row>
    <row r="16" spans="1:8" x14ac:dyDescent="0.2">
      <c r="A16" s="19"/>
      <c r="B16" s="19"/>
      <c r="C16" s="20" t="s">
        <v>11</v>
      </c>
      <c r="D16" s="19"/>
      <c r="E16" s="19" t="s">
        <v>12</v>
      </c>
      <c r="F16" s="22" t="s">
        <v>13</v>
      </c>
      <c r="G16" s="23">
        <v>0</v>
      </c>
      <c r="H16" s="18" t="s">
        <v>12</v>
      </c>
    </row>
    <row r="17" spans="1:8" x14ac:dyDescent="0.2">
      <c r="A17" s="19"/>
      <c r="B17" s="19"/>
      <c r="C17" s="24"/>
      <c r="D17" s="19"/>
      <c r="E17" s="19"/>
      <c r="F17" s="25"/>
      <c r="G17" s="26"/>
      <c r="H17" s="18" t="s">
        <v>12</v>
      </c>
    </row>
    <row r="18" spans="1:8" x14ac:dyDescent="0.2">
      <c r="A18" s="19"/>
      <c r="B18" s="19"/>
      <c r="C18" s="20" t="s">
        <v>17</v>
      </c>
      <c r="D18" s="19"/>
      <c r="E18" s="19"/>
      <c r="F18" s="25"/>
      <c r="G18" s="26"/>
      <c r="H18" s="18" t="s">
        <v>12</v>
      </c>
    </row>
    <row r="19" spans="1:8" x14ac:dyDescent="0.2">
      <c r="A19" s="19"/>
      <c r="B19" s="19"/>
      <c r="C19" s="20" t="s">
        <v>11</v>
      </c>
      <c r="D19" s="19"/>
      <c r="E19" s="19" t="s">
        <v>12</v>
      </c>
      <c r="F19" s="22" t="s">
        <v>13</v>
      </c>
      <c r="G19" s="23">
        <v>0</v>
      </c>
      <c r="H19" s="18" t="s">
        <v>12</v>
      </c>
    </row>
    <row r="20" spans="1:8" x14ac:dyDescent="0.2">
      <c r="A20" s="19"/>
      <c r="B20" s="19"/>
      <c r="C20" s="24"/>
      <c r="D20" s="19"/>
      <c r="E20" s="19"/>
      <c r="F20" s="25"/>
      <c r="G20" s="26"/>
      <c r="H20" s="18" t="s">
        <v>12</v>
      </c>
    </row>
    <row r="21" spans="1:8" x14ac:dyDescent="0.2">
      <c r="A21" s="19"/>
      <c r="B21" s="19"/>
      <c r="C21" s="20" t="s">
        <v>18</v>
      </c>
      <c r="D21" s="19"/>
      <c r="E21" s="19"/>
      <c r="F21" s="25"/>
      <c r="G21" s="26"/>
      <c r="H21" s="18" t="s">
        <v>12</v>
      </c>
    </row>
    <row r="22" spans="1:8" x14ac:dyDescent="0.2">
      <c r="A22" s="19"/>
      <c r="B22" s="19"/>
      <c r="C22" s="20" t="s">
        <v>11</v>
      </c>
      <c r="D22" s="19"/>
      <c r="E22" s="19" t="s">
        <v>12</v>
      </c>
      <c r="F22" s="22" t="s">
        <v>13</v>
      </c>
      <c r="G22" s="23">
        <v>0</v>
      </c>
      <c r="H22" s="18" t="s">
        <v>12</v>
      </c>
    </row>
    <row r="23" spans="1:8" x14ac:dyDescent="0.2">
      <c r="A23" s="19"/>
      <c r="B23" s="19"/>
      <c r="C23" s="24"/>
      <c r="D23" s="19"/>
      <c r="E23" s="19"/>
      <c r="F23" s="25"/>
      <c r="G23" s="26"/>
      <c r="H23" s="18" t="s">
        <v>12</v>
      </c>
    </row>
    <row r="24" spans="1:8" x14ac:dyDescent="0.2">
      <c r="A24" s="19"/>
      <c r="B24" s="19"/>
      <c r="C24" s="20" t="s">
        <v>19</v>
      </c>
      <c r="D24" s="19"/>
      <c r="E24" s="19"/>
      <c r="F24" s="27">
        <v>0</v>
      </c>
      <c r="G24" s="23">
        <v>0</v>
      </c>
      <c r="H24" s="18" t="s">
        <v>12</v>
      </c>
    </row>
    <row r="25" spans="1:8" x14ac:dyDescent="0.2">
      <c r="A25" s="19"/>
      <c r="B25" s="19"/>
      <c r="C25" s="24"/>
      <c r="D25" s="19"/>
      <c r="E25" s="19"/>
      <c r="F25" s="25"/>
      <c r="G25" s="26"/>
      <c r="H25" s="18" t="s">
        <v>12</v>
      </c>
    </row>
    <row r="26" spans="1:8" x14ac:dyDescent="0.2">
      <c r="A26" s="19"/>
      <c r="B26" s="19"/>
      <c r="C26" s="20" t="s">
        <v>20</v>
      </c>
      <c r="D26" s="19"/>
      <c r="E26" s="19"/>
      <c r="F26" s="25"/>
      <c r="G26" s="26"/>
      <c r="H26" s="18" t="s">
        <v>12</v>
      </c>
    </row>
    <row r="27" spans="1:8" x14ac:dyDescent="0.2">
      <c r="A27" s="19"/>
      <c r="B27" s="19"/>
      <c r="C27" s="20" t="s">
        <v>10</v>
      </c>
      <c r="D27" s="19"/>
      <c r="E27" s="19"/>
      <c r="F27" s="25"/>
      <c r="G27" s="26"/>
      <c r="H27" s="18" t="s">
        <v>12</v>
      </c>
    </row>
    <row r="28" spans="1:8" x14ac:dyDescent="0.2">
      <c r="A28" s="28">
        <v>1</v>
      </c>
      <c r="B28" s="29" t="s">
        <v>234</v>
      </c>
      <c r="C28" s="29" t="s">
        <v>235</v>
      </c>
      <c r="D28" s="29" t="s">
        <v>231</v>
      </c>
      <c r="E28" s="30">
        <v>200</v>
      </c>
      <c r="F28" s="31">
        <v>200.54859999999999</v>
      </c>
      <c r="G28" s="32">
        <v>4.6259960000000003E-2</v>
      </c>
      <c r="H28" s="18">
        <v>8.34</v>
      </c>
    </row>
    <row r="29" spans="1:8" x14ac:dyDescent="0.2">
      <c r="A29" s="28">
        <v>2</v>
      </c>
      <c r="B29" s="29" t="s">
        <v>256</v>
      </c>
      <c r="C29" s="29" t="s">
        <v>257</v>
      </c>
      <c r="D29" s="29" t="s">
        <v>231</v>
      </c>
      <c r="E29" s="30">
        <v>150</v>
      </c>
      <c r="F29" s="31">
        <v>150.1902</v>
      </c>
      <c r="G29" s="32">
        <v>3.4643930000000003E-2</v>
      </c>
      <c r="H29" s="18">
        <v>8.5888000000000009</v>
      </c>
    </row>
    <row r="30" spans="1:8" x14ac:dyDescent="0.2">
      <c r="A30" s="28">
        <v>3</v>
      </c>
      <c r="B30" s="29" t="s">
        <v>226</v>
      </c>
      <c r="C30" s="29" t="s">
        <v>227</v>
      </c>
      <c r="D30" s="29" t="s">
        <v>228</v>
      </c>
      <c r="E30" s="30">
        <v>100</v>
      </c>
      <c r="F30" s="31">
        <v>100.49</v>
      </c>
      <c r="G30" s="32">
        <v>2.3179729999999999E-2</v>
      </c>
      <c r="H30" s="18">
        <v>8.0649999999999995</v>
      </c>
    </row>
    <row r="31" spans="1:8" x14ac:dyDescent="0.2">
      <c r="A31" s="28">
        <v>4</v>
      </c>
      <c r="B31" s="29" t="s">
        <v>247</v>
      </c>
      <c r="C31" s="29" t="s">
        <v>248</v>
      </c>
      <c r="D31" s="29" t="s">
        <v>231</v>
      </c>
      <c r="E31" s="30">
        <v>100</v>
      </c>
      <c r="F31" s="31">
        <v>100.224</v>
      </c>
      <c r="G31" s="32">
        <v>2.3118380000000001E-2</v>
      </c>
      <c r="H31" s="18">
        <v>8.1349999999999998</v>
      </c>
    </row>
    <row r="32" spans="1:8" x14ac:dyDescent="0.2">
      <c r="A32" s="19"/>
      <c r="B32" s="19"/>
      <c r="C32" s="20" t="s">
        <v>11</v>
      </c>
      <c r="D32" s="19"/>
      <c r="E32" s="19" t="s">
        <v>12</v>
      </c>
      <c r="F32" s="27">
        <v>551.45280000000002</v>
      </c>
      <c r="G32" s="23">
        <v>0.12720200000000001</v>
      </c>
      <c r="H32" s="18" t="s">
        <v>12</v>
      </c>
    </row>
    <row r="33" spans="1:8" x14ac:dyDescent="0.2">
      <c r="A33" s="19"/>
      <c r="B33" s="19"/>
      <c r="C33" s="24"/>
      <c r="D33" s="19"/>
      <c r="E33" s="19"/>
      <c r="F33" s="25"/>
      <c r="G33" s="26"/>
      <c r="H33" s="18" t="s">
        <v>12</v>
      </c>
    </row>
    <row r="34" spans="1:8" x14ac:dyDescent="0.2">
      <c r="A34" s="19"/>
      <c r="B34" s="19"/>
      <c r="C34" s="20" t="s">
        <v>71</v>
      </c>
      <c r="D34" s="19"/>
      <c r="E34" s="19"/>
      <c r="F34" s="19"/>
      <c r="G34" s="21"/>
      <c r="H34" s="18" t="s">
        <v>12</v>
      </c>
    </row>
    <row r="35" spans="1:8" x14ac:dyDescent="0.2">
      <c r="A35" s="19"/>
      <c r="B35" s="19"/>
      <c r="C35" s="20" t="s">
        <v>11</v>
      </c>
      <c r="D35" s="19"/>
      <c r="E35" s="19" t="s">
        <v>12</v>
      </c>
      <c r="F35" s="22" t="s">
        <v>13</v>
      </c>
      <c r="G35" s="23">
        <v>0</v>
      </c>
      <c r="H35" s="18" t="s">
        <v>12</v>
      </c>
    </row>
    <row r="36" spans="1:8" x14ac:dyDescent="0.2">
      <c r="A36" s="19"/>
      <c r="B36" s="19"/>
      <c r="C36" s="24"/>
      <c r="D36" s="19"/>
      <c r="E36" s="19"/>
      <c r="F36" s="25"/>
      <c r="G36" s="26"/>
      <c r="H36" s="18" t="s">
        <v>12</v>
      </c>
    </row>
    <row r="37" spans="1:8" x14ac:dyDescent="0.2">
      <c r="A37" s="19"/>
      <c r="B37" s="19"/>
      <c r="C37" s="20" t="s">
        <v>72</v>
      </c>
      <c r="D37" s="19"/>
      <c r="E37" s="19"/>
      <c r="F37" s="19"/>
      <c r="G37" s="21"/>
      <c r="H37" s="18" t="s">
        <v>12</v>
      </c>
    </row>
    <row r="38" spans="1:8" x14ac:dyDescent="0.2">
      <c r="A38" s="28">
        <v>1</v>
      </c>
      <c r="B38" s="29" t="s">
        <v>73</v>
      </c>
      <c r="C38" s="29" t="s">
        <v>74</v>
      </c>
      <c r="D38" s="29" t="s">
        <v>75</v>
      </c>
      <c r="E38" s="30">
        <v>1500000</v>
      </c>
      <c r="F38" s="31">
        <v>1532.0250000000001</v>
      </c>
      <c r="G38" s="32">
        <v>0.35338772000000002</v>
      </c>
      <c r="H38" s="18">
        <v>6.8952999999999998</v>
      </c>
    </row>
    <row r="39" spans="1:8" x14ac:dyDescent="0.2">
      <c r="A39" s="28">
        <v>2</v>
      </c>
      <c r="B39" s="29" t="s">
        <v>464</v>
      </c>
      <c r="C39" s="29" t="s">
        <v>465</v>
      </c>
      <c r="D39" s="29" t="s">
        <v>75</v>
      </c>
      <c r="E39" s="30">
        <v>1000000</v>
      </c>
      <c r="F39" s="31">
        <v>986.20799999999997</v>
      </c>
      <c r="G39" s="32">
        <v>0.22748571000000001</v>
      </c>
      <c r="H39" s="18">
        <v>6.7100999999999997</v>
      </c>
    </row>
    <row r="40" spans="1:8" x14ac:dyDescent="0.2">
      <c r="A40" s="28">
        <v>3</v>
      </c>
      <c r="B40" s="29" t="s">
        <v>84</v>
      </c>
      <c r="C40" s="29" t="s">
        <v>85</v>
      </c>
      <c r="D40" s="29" t="s">
        <v>75</v>
      </c>
      <c r="E40" s="30">
        <v>500000</v>
      </c>
      <c r="F40" s="31">
        <v>512.30250000000001</v>
      </c>
      <c r="G40" s="32">
        <v>0.11817132</v>
      </c>
      <c r="H40" s="18">
        <v>6.7043999999999997</v>
      </c>
    </row>
    <row r="41" spans="1:8" ht="25.5" x14ac:dyDescent="0.2">
      <c r="A41" s="28">
        <v>4</v>
      </c>
      <c r="B41" s="29" t="s">
        <v>412</v>
      </c>
      <c r="C41" s="29" t="s">
        <v>413</v>
      </c>
      <c r="D41" s="29" t="s">
        <v>75</v>
      </c>
      <c r="E41" s="30">
        <v>230000</v>
      </c>
      <c r="F41" s="31">
        <v>234.15586999999999</v>
      </c>
      <c r="G41" s="32">
        <v>5.4012049999999999E-2</v>
      </c>
      <c r="H41" s="18">
        <v>7.2927</v>
      </c>
    </row>
    <row r="42" spans="1:8" x14ac:dyDescent="0.2">
      <c r="A42" s="28">
        <v>5</v>
      </c>
      <c r="B42" s="29" t="s">
        <v>260</v>
      </c>
      <c r="C42" s="29" t="s">
        <v>261</v>
      </c>
      <c r="D42" s="29" t="s">
        <v>75</v>
      </c>
      <c r="E42" s="30">
        <v>100000</v>
      </c>
      <c r="F42" s="31">
        <v>101.4816</v>
      </c>
      <c r="G42" s="32">
        <v>2.3408459999999999E-2</v>
      </c>
      <c r="H42" s="18">
        <v>6.7407000000000004</v>
      </c>
    </row>
    <row r="43" spans="1:8" x14ac:dyDescent="0.2">
      <c r="A43" s="19"/>
      <c r="B43" s="19"/>
      <c r="C43" s="20" t="s">
        <v>11</v>
      </c>
      <c r="D43" s="19"/>
      <c r="E43" s="19" t="s">
        <v>12</v>
      </c>
      <c r="F43" s="27">
        <v>3366.1729700000001</v>
      </c>
      <c r="G43" s="23">
        <v>0.77646526000000005</v>
      </c>
      <c r="H43" s="18" t="s">
        <v>12</v>
      </c>
    </row>
    <row r="44" spans="1:8" x14ac:dyDescent="0.2">
      <c r="A44" s="19"/>
      <c r="B44" s="19"/>
      <c r="C44" s="24"/>
      <c r="D44" s="19"/>
      <c r="E44" s="19"/>
      <c r="F44" s="25"/>
      <c r="G44" s="26"/>
      <c r="H44" s="18" t="s">
        <v>12</v>
      </c>
    </row>
    <row r="45" spans="1:8" x14ac:dyDescent="0.2">
      <c r="A45" s="19"/>
      <c r="B45" s="19"/>
      <c r="C45" s="20" t="s">
        <v>88</v>
      </c>
      <c r="D45" s="19"/>
      <c r="E45" s="19"/>
      <c r="F45" s="25"/>
      <c r="G45" s="26"/>
      <c r="H45" s="18" t="s">
        <v>12</v>
      </c>
    </row>
    <row r="46" spans="1:8" x14ac:dyDescent="0.2">
      <c r="A46" s="19"/>
      <c r="B46" s="19"/>
      <c r="C46" s="20" t="s">
        <v>11</v>
      </c>
      <c r="D46" s="19"/>
      <c r="E46" s="19" t="s">
        <v>12</v>
      </c>
      <c r="F46" s="22" t="s">
        <v>13</v>
      </c>
      <c r="G46" s="23">
        <v>0</v>
      </c>
      <c r="H46" s="18" t="s">
        <v>12</v>
      </c>
    </row>
    <row r="47" spans="1:8" x14ac:dyDescent="0.2">
      <c r="A47" s="19"/>
      <c r="B47" s="19"/>
      <c r="C47" s="24"/>
      <c r="D47" s="19"/>
      <c r="E47" s="19"/>
      <c r="F47" s="25"/>
      <c r="G47" s="26"/>
      <c r="H47" s="18" t="s">
        <v>12</v>
      </c>
    </row>
    <row r="48" spans="1:8" x14ac:dyDescent="0.2">
      <c r="A48" s="19"/>
      <c r="B48" s="19"/>
      <c r="C48" s="20" t="s">
        <v>89</v>
      </c>
      <c r="D48" s="19"/>
      <c r="E48" s="19"/>
      <c r="F48" s="27">
        <v>3917.6257700000001</v>
      </c>
      <c r="G48" s="23">
        <v>0.90366725999999997</v>
      </c>
      <c r="H48" s="18" t="s">
        <v>12</v>
      </c>
    </row>
    <row r="49" spans="1:8" x14ac:dyDescent="0.2">
      <c r="A49" s="19"/>
      <c r="B49" s="19"/>
      <c r="C49" s="24"/>
      <c r="D49" s="19"/>
      <c r="E49" s="19"/>
      <c r="F49" s="25"/>
      <c r="G49" s="26"/>
      <c r="H49" s="18" t="s">
        <v>12</v>
      </c>
    </row>
    <row r="50" spans="1:8" x14ac:dyDescent="0.2">
      <c r="A50" s="19"/>
      <c r="B50" s="19"/>
      <c r="C50" s="20" t="s">
        <v>90</v>
      </c>
      <c r="D50" s="19"/>
      <c r="E50" s="19"/>
      <c r="F50" s="25"/>
      <c r="G50" s="26"/>
      <c r="H50" s="18" t="s">
        <v>12</v>
      </c>
    </row>
    <row r="51" spans="1:8" x14ac:dyDescent="0.2">
      <c r="A51" s="19"/>
      <c r="B51" s="19"/>
      <c r="C51" s="20" t="s">
        <v>91</v>
      </c>
      <c r="D51" s="19"/>
      <c r="E51" s="19"/>
      <c r="F51" s="25"/>
      <c r="G51" s="26"/>
      <c r="H51" s="18" t="s">
        <v>12</v>
      </c>
    </row>
    <row r="52" spans="1:8" x14ac:dyDescent="0.2">
      <c r="A52" s="19"/>
      <c r="B52" s="19"/>
      <c r="C52" s="20" t="s">
        <v>11</v>
      </c>
      <c r="D52" s="19"/>
      <c r="E52" s="19" t="s">
        <v>12</v>
      </c>
      <c r="F52" s="22" t="s">
        <v>13</v>
      </c>
      <c r="G52" s="23">
        <v>0</v>
      </c>
      <c r="H52" s="18" t="s">
        <v>12</v>
      </c>
    </row>
    <row r="53" spans="1:8" x14ac:dyDescent="0.2">
      <c r="A53" s="19"/>
      <c r="B53" s="19"/>
      <c r="C53" s="24"/>
      <c r="D53" s="19"/>
      <c r="E53" s="19"/>
      <c r="F53" s="25"/>
      <c r="G53" s="26"/>
      <c r="H53" s="18" t="s">
        <v>12</v>
      </c>
    </row>
    <row r="54" spans="1:8" x14ac:dyDescent="0.2">
      <c r="A54" s="19"/>
      <c r="B54" s="19"/>
      <c r="C54" s="20" t="s">
        <v>92</v>
      </c>
      <c r="D54" s="19"/>
      <c r="E54" s="19"/>
      <c r="F54" s="25"/>
      <c r="G54" s="26"/>
      <c r="H54" s="18" t="s">
        <v>12</v>
      </c>
    </row>
    <row r="55" spans="1:8" x14ac:dyDescent="0.2">
      <c r="A55" s="19"/>
      <c r="B55" s="19"/>
      <c r="C55" s="20" t="s">
        <v>11</v>
      </c>
      <c r="D55" s="19"/>
      <c r="E55" s="19" t="s">
        <v>12</v>
      </c>
      <c r="F55" s="22" t="s">
        <v>13</v>
      </c>
      <c r="G55" s="23">
        <v>0</v>
      </c>
      <c r="H55" s="18" t="s">
        <v>12</v>
      </c>
    </row>
    <row r="56" spans="1:8" x14ac:dyDescent="0.2">
      <c r="A56" s="19"/>
      <c r="B56" s="19"/>
      <c r="C56" s="24"/>
      <c r="D56" s="19"/>
      <c r="E56" s="19"/>
      <c r="F56" s="25"/>
      <c r="G56" s="26"/>
      <c r="H56" s="18" t="s">
        <v>12</v>
      </c>
    </row>
    <row r="57" spans="1:8" x14ac:dyDescent="0.2">
      <c r="A57" s="19"/>
      <c r="B57" s="19"/>
      <c r="C57" s="20" t="s">
        <v>93</v>
      </c>
      <c r="D57" s="19"/>
      <c r="E57" s="19"/>
      <c r="F57" s="25"/>
      <c r="G57" s="26"/>
      <c r="H57" s="18" t="s">
        <v>12</v>
      </c>
    </row>
    <row r="58" spans="1:8" x14ac:dyDescent="0.2">
      <c r="A58" s="19"/>
      <c r="B58" s="19"/>
      <c r="C58" s="20" t="s">
        <v>11</v>
      </c>
      <c r="D58" s="19"/>
      <c r="E58" s="19" t="s">
        <v>12</v>
      </c>
      <c r="F58" s="22" t="s">
        <v>13</v>
      </c>
      <c r="G58" s="23">
        <v>0</v>
      </c>
      <c r="H58" s="18" t="s">
        <v>12</v>
      </c>
    </row>
    <row r="59" spans="1:8" x14ac:dyDescent="0.2">
      <c r="A59" s="19"/>
      <c r="B59" s="19"/>
      <c r="C59" s="24"/>
      <c r="D59" s="19"/>
      <c r="E59" s="19"/>
      <c r="F59" s="25"/>
      <c r="G59" s="26"/>
      <c r="H59" s="18" t="s">
        <v>12</v>
      </c>
    </row>
    <row r="60" spans="1:8" x14ac:dyDescent="0.2">
      <c r="A60" s="19"/>
      <c r="B60" s="19"/>
      <c r="C60" s="20" t="s">
        <v>94</v>
      </c>
      <c r="D60" s="19"/>
      <c r="E60" s="19"/>
      <c r="F60" s="25"/>
      <c r="G60" s="26"/>
      <c r="H60" s="18" t="s">
        <v>12</v>
      </c>
    </row>
    <row r="61" spans="1:8" x14ac:dyDescent="0.2">
      <c r="A61" s="28">
        <v>1</v>
      </c>
      <c r="B61" s="29"/>
      <c r="C61" s="29" t="s">
        <v>95</v>
      </c>
      <c r="D61" s="29"/>
      <c r="E61" s="33"/>
      <c r="F61" s="31">
        <v>315.21323729900001</v>
      </c>
      <c r="G61" s="32">
        <v>7.2709309999999999E-2</v>
      </c>
      <c r="H61" s="18">
        <v>6.23</v>
      </c>
    </row>
    <row r="62" spans="1:8" x14ac:dyDescent="0.2">
      <c r="A62" s="19"/>
      <c r="B62" s="19"/>
      <c r="C62" s="20" t="s">
        <v>11</v>
      </c>
      <c r="D62" s="19"/>
      <c r="E62" s="19" t="s">
        <v>12</v>
      </c>
      <c r="F62" s="27">
        <v>315.21323729900001</v>
      </c>
      <c r="G62" s="23">
        <v>7.2709309999999999E-2</v>
      </c>
      <c r="H62" s="18" t="s">
        <v>12</v>
      </c>
    </row>
    <row r="63" spans="1:8" x14ac:dyDescent="0.2">
      <c r="A63" s="19"/>
      <c r="B63" s="19"/>
      <c r="C63" s="24"/>
      <c r="D63" s="19"/>
      <c r="E63" s="19"/>
      <c r="F63" s="25"/>
      <c r="G63" s="26"/>
      <c r="H63" s="18" t="s">
        <v>12</v>
      </c>
    </row>
    <row r="64" spans="1:8" x14ac:dyDescent="0.2">
      <c r="A64" s="19"/>
      <c r="B64" s="19"/>
      <c r="C64" s="20" t="s">
        <v>96</v>
      </c>
      <c r="D64" s="19"/>
      <c r="E64" s="19"/>
      <c r="F64" s="27">
        <v>315.21323729900001</v>
      </c>
      <c r="G64" s="23">
        <v>7.2709309999999999E-2</v>
      </c>
      <c r="H64" s="18" t="s">
        <v>12</v>
      </c>
    </row>
    <row r="65" spans="1:17" x14ac:dyDescent="0.2">
      <c r="A65" s="19"/>
      <c r="B65" s="19"/>
      <c r="C65" s="25"/>
      <c r="D65" s="19"/>
      <c r="E65" s="19"/>
      <c r="F65" s="19"/>
      <c r="G65" s="21"/>
      <c r="H65" s="18" t="s">
        <v>12</v>
      </c>
    </row>
    <row r="66" spans="1:17" x14ac:dyDescent="0.2">
      <c r="A66" s="19"/>
      <c r="B66" s="19"/>
      <c r="C66" s="20" t="s">
        <v>97</v>
      </c>
      <c r="D66" s="19"/>
      <c r="E66" s="19"/>
      <c r="F66" s="19"/>
      <c r="G66" s="21"/>
      <c r="H66" s="18" t="s">
        <v>12</v>
      </c>
    </row>
    <row r="67" spans="1:17" x14ac:dyDescent="0.2">
      <c r="A67" s="19"/>
      <c r="B67" s="19"/>
      <c r="C67" s="20" t="s">
        <v>98</v>
      </c>
      <c r="D67" s="19"/>
      <c r="E67" s="19"/>
      <c r="F67" s="19"/>
      <c r="G67" s="21"/>
      <c r="H67" s="18" t="s">
        <v>12</v>
      </c>
    </row>
    <row r="68" spans="1:17" x14ac:dyDescent="0.2">
      <c r="A68" s="19"/>
      <c r="B68" s="19"/>
      <c r="C68" s="20" t="s">
        <v>11</v>
      </c>
      <c r="D68" s="19"/>
      <c r="E68" s="19" t="s">
        <v>12</v>
      </c>
      <c r="F68" s="22" t="s">
        <v>13</v>
      </c>
      <c r="G68" s="23">
        <v>0</v>
      </c>
      <c r="H68" s="18" t="s">
        <v>12</v>
      </c>
    </row>
    <row r="69" spans="1:17" x14ac:dyDescent="0.2">
      <c r="A69" s="34"/>
      <c r="B69" s="34"/>
      <c r="C69" s="35"/>
      <c r="D69" s="34"/>
      <c r="E69" s="34"/>
      <c r="F69" s="36"/>
      <c r="G69" s="36"/>
      <c r="H69" s="37" t="s">
        <v>12</v>
      </c>
    </row>
    <row r="70" spans="1:17" x14ac:dyDescent="0.2">
      <c r="A70" s="34"/>
      <c r="B70" s="34"/>
      <c r="C70" s="38" t="s">
        <v>552</v>
      </c>
      <c r="D70" s="34"/>
      <c r="E70" s="34"/>
      <c r="F70" s="36"/>
      <c r="G70" s="36"/>
      <c r="H70" s="39"/>
      <c r="K70" s="40"/>
      <c r="L70" s="40"/>
      <c r="M70" s="40"/>
      <c r="N70" s="40"/>
      <c r="O70" s="41"/>
      <c r="P70" s="41"/>
      <c r="Q70" s="41"/>
    </row>
    <row r="71" spans="1:17" x14ac:dyDescent="0.2">
      <c r="A71" s="42">
        <v>1</v>
      </c>
      <c r="B71" s="43" t="s">
        <v>99</v>
      </c>
      <c r="C71" s="43" t="s">
        <v>100</v>
      </c>
      <c r="D71" s="43"/>
      <c r="E71" s="44">
        <v>112.994</v>
      </c>
      <c r="F71" s="39">
        <v>12.394949598</v>
      </c>
      <c r="G71" s="45">
        <v>2.8591100000000002E-3</v>
      </c>
      <c r="H71" s="37"/>
    </row>
    <row r="72" spans="1:17" x14ac:dyDescent="0.2">
      <c r="A72" s="34"/>
      <c r="B72" s="34"/>
      <c r="C72" s="38" t="s">
        <v>11</v>
      </c>
      <c r="D72" s="34"/>
      <c r="E72" s="34" t="s">
        <v>12</v>
      </c>
      <c r="F72" s="46">
        <v>12.394949598</v>
      </c>
      <c r="G72" s="47">
        <v>2.8591100000000002E-3</v>
      </c>
      <c r="H72" s="37" t="s">
        <v>12</v>
      </c>
    </row>
    <row r="73" spans="1:17" x14ac:dyDescent="0.2">
      <c r="A73" s="19"/>
      <c r="B73" s="19"/>
      <c r="C73" s="24"/>
      <c r="D73" s="19"/>
      <c r="E73" s="19"/>
      <c r="F73" s="25"/>
      <c r="G73" s="26"/>
      <c r="H73" s="18" t="s">
        <v>12</v>
      </c>
    </row>
    <row r="74" spans="1:17" x14ac:dyDescent="0.2">
      <c r="A74" s="19"/>
      <c r="B74" s="19"/>
      <c r="C74" s="20" t="s">
        <v>101</v>
      </c>
      <c r="D74" s="19"/>
      <c r="E74" s="19"/>
      <c r="F74" s="19"/>
      <c r="G74" s="21"/>
      <c r="H74" s="18" t="s">
        <v>12</v>
      </c>
    </row>
    <row r="75" spans="1:17" x14ac:dyDescent="0.2">
      <c r="A75" s="19"/>
      <c r="B75" s="19"/>
      <c r="C75" s="20" t="s">
        <v>102</v>
      </c>
      <c r="D75" s="19"/>
      <c r="E75" s="19"/>
      <c r="F75" s="19"/>
      <c r="G75" s="21"/>
      <c r="H75" s="18" t="s">
        <v>12</v>
      </c>
    </row>
    <row r="76" spans="1:17" x14ac:dyDescent="0.2">
      <c r="A76" s="19"/>
      <c r="B76" s="19"/>
      <c r="C76" s="20" t="s">
        <v>11</v>
      </c>
      <c r="D76" s="19"/>
      <c r="E76" s="19" t="s">
        <v>12</v>
      </c>
      <c r="F76" s="22" t="s">
        <v>13</v>
      </c>
      <c r="G76" s="23">
        <v>0</v>
      </c>
      <c r="H76" s="18" t="s">
        <v>12</v>
      </c>
    </row>
    <row r="77" spans="1:17" x14ac:dyDescent="0.2">
      <c r="A77" s="19"/>
      <c r="B77" s="19"/>
      <c r="C77" s="24"/>
      <c r="D77" s="19"/>
      <c r="E77" s="19"/>
      <c r="F77" s="25"/>
      <c r="G77" s="26"/>
      <c r="H77" s="18" t="s">
        <v>12</v>
      </c>
    </row>
    <row r="78" spans="1:17" x14ac:dyDescent="0.2">
      <c r="A78" s="19"/>
      <c r="B78" s="19"/>
      <c r="C78" s="20" t="s">
        <v>103</v>
      </c>
      <c r="D78" s="19"/>
      <c r="E78" s="19"/>
      <c r="F78" s="25"/>
      <c r="G78" s="26"/>
      <c r="H78" s="18" t="s">
        <v>12</v>
      </c>
    </row>
    <row r="79" spans="1:17" x14ac:dyDescent="0.2">
      <c r="A79" s="19"/>
      <c r="B79" s="19"/>
      <c r="C79" s="20" t="s">
        <v>11</v>
      </c>
      <c r="D79" s="19"/>
      <c r="E79" s="19" t="s">
        <v>12</v>
      </c>
      <c r="F79" s="22" t="s">
        <v>13</v>
      </c>
      <c r="G79" s="23">
        <v>0</v>
      </c>
      <c r="H79" s="18" t="s">
        <v>12</v>
      </c>
    </row>
    <row r="80" spans="1:17" x14ac:dyDescent="0.2">
      <c r="A80" s="19"/>
      <c r="B80" s="19"/>
      <c r="C80" s="24"/>
      <c r="D80" s="19"/>
      <c r="E80" s="19"/>
      <c r="F80" s="25"/>
      <c r="G80" s="26"/>
      <c r="H80" s="18" t="s">
        <v>12</v>
      </c>
    </row>
    <row r="81" spans="1:8" x14ac:dyDescent="0.2">
      <c r="A81" s="33"/>
      <c r="B81" s="29"/>
      <c r="C81" s="29" t="s">
        <v>104</v>
      </c>
      <c r="D81" s="29"/>
      <c r="E81" s="33"/>
      <c r="F81" s="31">
        <f>90.01861623+0.000554393000006676</f>
        <v>90.019170623000008</v>
      </c>
      <c r="G81" s="32">
        <f>F81/F82</f>
        <v>2.0764455494319857E-2</v>
      </c>
      <c r="H81" s="18" t="s">
        <v>12</v>
      </c>
    </row>
    <row r="82" spans="1:8" x14ac:dyDescent="0.2">
      <c r="A82" s="24"/>
      <c r="B82" s="24"/>
      <c r="C82" s="20" t="s">
        <v>105</v>
      </c>
      <c r="D82" s="25"/>
      <c r="E82" s="25"/>
      <c r="F82" s="27">
        <f>F81+F72+F64+F48+F24</f>
        <v>4335.2531275199999</v>
      </c>
      <c r="G82" s="48">
        <f>G81+G72+G64+G48+G24</f>
        <v>1.0000001354943198</v>
      </c>
      <c r="H82" s="18" t="s">
        <v>12</v>
      </c>
    </row>
    <row r="83" spans="1:8" x14ac:dyDescent="0.2">
      <c r="A83" s="49"/>
      <c r="B83" s="49"/>
      <c r="C83" s="49"/>
      <c r="D83" s="50"/>
      <c r="E83" s="50"/>
      <c r="F83" s="50"/>
      <c r="G83" s="50"/>
    </row>
    <row r="84" spans="1:8" x14ac:dyDescent="0.2">
      <c r="A84" s="51"/>
      <c r="B84" s="171" t="s">
        <v>549</v>
      </c>
      <c r="C84" s="171"/>
      <c r="D84" s="171"/>
      <c r="E84" s="171"/>
      <c r="F84" s="171"/>
      <c r="G84" s="171"/>
      <c r="H84" s="171"/>
    </row>
    <row r="85" spans="1:8" x14ac:dyDescent="0.2">
      <c r="A85" s="51"/>
      <c r="B85" s="171" t="s">
        <v>550</v>
      </c>
      <c r="C85" s="171"/>
      <c r="D85" s="171"/>
      <c r="E85" s="171"/>
      <c r="F85" s="171"/>
      <c r="G85" s="171"/>
      <c r="H85" s="171"/>
    </row>
    <row r="86" spans="1:8" x14ac:dyDescent="0.2">
      <c r="A86" s="51"/>
      <c r="B86" s="171" t="s">
        <v>551</v>
      </c>
      <c r="C86" s="171"/>
      <c r="D86" s="171"/>
      <c r="E86" s="171"/>
      <c r="F86" s="171"/>
      <c r="G86" s="171"/>
      <c r="H86" s="171"/>
    </row>
    <row r="87" spans="1:8" x14ac:dyDescent="0.2">
      <c r="A87" s="53"/>
      <c r="B87" s="53"/>
      <c r="C87" s="53"/>
      <c r="D87" s="54"/>
      <c r="E87" s="54"/>
      <c r="F87" s="54"/>
      <c r="G87" s="54"/>
    </row>
    <row r="88" spans="1:8" x14ac:dyDescent="0.2">
      <c r="A88" s="53"/>
      <c r="B88" s="174" t="s">
        <v>106</v>
      </c>
      <c r="C88" s="175"/>
      <c r="D88" s="176"/>
      <c r="E88" s="55"/>
      <c r="F88" s="54"/>
      <c r="G88" s="54"/>
    </row>
    <row r="89" spans="1:8" ht="25.5" x14ac:dyDescent="0.2">
      <c r="A89" s="53"/>
      <c r="B89" s="177" t="s">
        <v>107</v>
      </c>
      <c r="C89" s="178"/>
      <c r="D89" s="38" t="s">
        <v>578</v>
      </c>
      <c r="E89" s="55"/>
      <c r="F89" s="54"/>
      <c r="G89" s="54"/>
    </row>
    <row r="90" spans="1:8" x14ac:dyDescent="0.2">
      <c r="A90" s="53"/>
      <c r="B90" s="177" t="s">
        <v>109</v>
      </c>
      <c r="C90" s="178"/>
      <c r="D90" s="20" t="s">
        <v>108</v>
      </c>
      <c r="E90" s="55"/>
      <c r="F90" s="54"/>
      <c r="G90" s="54"/>
    </row>
    <row r="91" spans="1:8" x14ac:dyDescent="0.2">
      <c r="A91" s="53"/>
      <c r="B91" s="177" t="s">
        <v>110</v>
      </c>
      <c r="C91" s="178"/>
      <c r="D91" s="25" t="s">
        <v>12</v>
      </c>
      <c r="E91" s="55"/>
      <c r="F91" s="54"/>
      <c r="G91" s="54"/>
    </row>
    <row r="92" spans="1:8" x14ac:dyDescent="0.2">
      <c r="A92" s="56"/>
      <c r="B92" s="57" t="s">
        <v>12</v>
      </c>
      <c r="C92" s="57" t="s">
        <v>553</v>
      </c>
      <c r="D92" s="57" t="s">
        <v>111</v>
      </c>
      <c r="E92" s="56"/>
      <c r="F92" s="56"/>
      <c r="G92" s="56"/>
    </row>
    <row r="93" spans="1:8" x14ac:dyDescent="0.2">
      <c r="A93" s="56"/>
      <c r="B93" s="58" t="s">
        <v>112</v>
      </c>
      <c r="C93" s="59">
        <v>45688</v>
      </c>
      <c r="D93" s="59">
        <v>45716</v>
      </c>
      <c r="E93" s="56"/>
      <c r="F93" s="56"/>
      <c r="G93" s="56"/>
    </row>
    <row r="94" spans="1:8" x14ac:dyDescent="0.2">
      <c r="A94" s="60"/>
      <c r="B94" s="29" t="s">
        <v>113</v>
      </c>
      <c r="C94" s="61">
        <v>74.415599999999998</v>
      </c>
      <c r="D94" s="61">
        <v>74.674999999999997</v>
      </c>
      <c r="E94" s="60"/>
      <c r="F94" s="62"/>
      <c r="G94" s="63"/>
    </row>
    <row r="95" spans="1:8" x14ac:dyDescent="0.2">
      <c r="A95" s="60"/>
      <c r="B95" s="29" t="s">
        <v>675</v>
      </c>
      <c r="C95" s="61">
        <v>26.636299999999999</v>
      </c>
      <c r="D95" s="61">
        <v>26.729099999999999</v>
      </c>
      <c r="E95" s="60"/>
      <c r="F95" s="62"/>
      <c r="G95" s="63"/>
    </row>
    <row r="96" spans="1:8" x14ac:dyDescent="0.2">
      <c r="A96" s="60"/>
      <c r="B96" s="29" t="s">
        <v>677</v>
      </c>
      <c r="C96" s="61">
        <v>15.0357</v>
      </c>
      <c r="D96" s="61">
        <v>15.088100000000001</v>
      </c>
      <c r="E96" s="60"/>
      <c r="F96" s="62"/>
      <c r="G96" s="63"/>
    </row>
    <row r="97" spans="1:14" x14ac:dyDescent="0.2">
      <c r="A97" s="60"/>
      <c r="B97" s="29" t="s">
        <v>114</v>
      </c>
      <c r="C97" s="61">
        <v>66.877399999999994</v>
      </c>
      <c r="D97" s="61">
        <v>67.069400000000002</v>
      </c>
      <c r="E97" s="60"/>
      <c r="F97" s="62"/>
      <c r="G97" s="63"/>
    </row>
    <row r="98" spans="1:14" x14ac:dyDescent="0.2">
      <c r="A98" s="60"/>
      <c r="B98" s="29" t="s">
        <v>142</v>
      </c>
      <c r="C98" s="61">
        <v>22.842300000000002</v>
      </c>
      <c r="D98" s="61">
        <v>22.907900000000001</v>
      </c>
      <c r="E98" s="60"/>
      <c r="F98" s="62"/>
      <c r="G98" s="63"/>
    </row>
    <row r="99" spans="1:14" x14ac:dyDescent="0.2">
      <c r="A99" s="60"/>
      <c r="B99" s="29" t="s">
        <v>673</v>
      </c>
      <c r="C99" s="61">
        <v>13.178599999999999</v>
      </c>
      <c r="D99" s="61">
        <v>13.2164</v>
      </c>
      <c r="E99" s="60"/>
      <c r="F99" s="62"/>
      <c r="G99" s="63"/>
    </row>
    <row r="100" spans="1:14" ht="25.5" x14ac:dyDescent="0.2">
      <c r="A100" s="60"/>
      <c r="B100" s="29" t="s">
        <v>679</v>
      </c>
      <c r="C100" s="61">
        <v>13.5466</v>
      </c>
      <c r="D100" s="61">
        <v>13.5855</v>
      </c>
      <c r="E100" s="60"/>
      <c r="F100" s="62"/>
      <c r="G100" s="63"/>
    </row>
    <row r="101" spans="1:14" x14ac:dyDescent="0.2">
      <c r="A101" s="60"/>
      <c r="B101" s="29" t="s">
        <v>680</v>
      </c>
      <c r="C101" s="61">
        <v>13.287800000000001</v>
      </c>
      <c r="D101" s="61">
        <v>13.326000000000001</v>
      </c>
      <c r="E101" s="60"/>
      <c r="F101" s="62"/>
      <c r="G101" s="63"/>
    </row>
    <row r="102" spans="1:14" x14ac:dyDescent="0.2">
      <c r="A102" s="60"/>
      <c r="B102" s="60"/>
      <c r="C102" s="60"/>
      <c r="D102" s="60"/>
      <c r="E102" s="60"/>
      <c r="F102" s="60"/>
      <c r="G102" s="60"/>
    </row>
    <row r="103" spans="1:14" x14ac:dyDescent="0.2">
      <c r="A103" s="60"/>
      <c r="B103" s="177" t="s">
        <v>554</v>
      </c>
      <c r="C103" s="178"/>
      <c r="D103" s="38" t="s">
        <v>108</v>
      </c>
      <c r="E103" s="60"/>
      <c r="F103" s="60"/>
      <c r="G103" s="60"/>
    </row>
    <row r="104" spans="1:14" x14ac:dyDescent="0.2">
      <c r="A104" s="60"/>
      <c r="B104" s="70"/>
      <c r="C104" s="70"/>
      <c r="D104" s="70"/>
      <c r="E104" s="60"/>
      <c r="F104" s="60"/>
      <c r="G104" s="60"/>
    </row>
    <row r="105" spans="1:14" s="71" customFormat="1" ht="15" x14ac:dyDescent="0.25">
      <c r="A105" s="81"/>
      <c r="B105" s="172" t="s">
        <v>569</v>
      </c>
      <c r="C105" s="173"/>
      <c r="D105" s="38" t="s">
        <v>108</v>
      </c>
      <c r="E105" s="81"/>
      <c r="F105" s="52"/>
      <c r="G105" s="81"/>
      <c r="I105" s="136"/>
      <c r="J105" s="137"/>
      <c r="K105" s="137"/>
      <c r="L105" s="137"/>
      <c r="M105" s="137"/>
      <c r="N105"/>
    </row>
    <row r="106" spans="1:14" ht="15" x14ac:dyDescent="0.25">
      <c r="A106" s="56"/>
      <c r="B106" s="172" t="s">
        <v>570</v>
      </c>
      <c r="C106" s="173"/>
      <c r="D106" s="38" t="s">
        <v>108</v>
      </c>
      <c r="E106" s="69"/>
      <c r="F106" s="56"/>
      <c r="G106" s="56"/>
      <c r="I106" s="138"/>
    </row>
    <row r="107" spans="1:14" ht="15" x14ac:dyDescent="0.25">
      <c r="A107" s="56"/>
      <c r="B107" s="172" t="s">
        <v>571</v>
      </c>
      <c r="C107" s="173"/>
      <c r="D107" s="38" t="s">
        <v>108</v>
      </c>
      <c r="E107" s="69"/>
      <c r="F107" s="56"/>
      <c r="G107" s="56"/>
      <c r="I107" s="139"/>
    </row>
    <row r="108" spans="1:14" x14ac:dyDescent="0.2">
      <c r="A108" s="56"/>
      <c r="B108" s="172" t="s">
        <v>572</v>
      </c>
      <c r="C108" s="173"/>
      <c r="D108" s="38" t="s">
        <v>108</v>
      </c>
      <c r="E108" s="69"/>
      <c r="F108" s="56"/>
      <c r="G108" s="56"/>
    </row>
    <row r="109" spans="1:14" x14ac:dyDescent="0.2">
      <c r="A109" s="70"/>
      <c r="B109" s="70"/>
      <c r="C109" s="70"/>
      <c r="D109" s="70"/>
      <c r="E109" s="70"/>
      <c r="F109" s="70"/>
      <c r="G109" s="70"/>
    </row>
    <row r="110" spans="1:14" s="71" customFormat="1" ht="15" x14ac:dyDescent="0.25">
      <c r="B110" s="211" t="s">
        <v>669</v>
      </c>
      <c r="C110" s="212"/>
      <c r="D110" s="212"/>
      <c r="E110" s="212"/>
      <c r="F110" s="212"/>
      <c r="G110" s="213"/>
      <c r="I110"/>
      <c r="J110" s="137"/>
      <c r="K110" s="137"/>
      <c r="L110" s="137"/>
      <c r="M110" s="137"/>
      <c r="N110"/>
    </row>
    <row r="111" spans="1:14" s="71" customFormat="1" ht="45" customHeight="1" x14ac:dyDescent="0.25">
      <c r="B111" s="140" t="s">
        <v>587</v>
      </c>
      <c r="C111" s="140" t="s">
        <v>588</v>
      </c>
      <c r="D111" s="214" t="s">
        <v>582</v>
      </c>
      <c r="E111" s="215"/>
      <c r="F111" s="207" t="s">
        <v>583</v>
      </c>
      <c r="G111" s="207"/>
      <c r="H111" s="141"/>
      <c r="I111"/>
      <c r="J111" s="137"/>
      <c r="K111" s="137"/>
      <c r="L111" s="137"/>
      <c r="M111" s="137"/>
      <c r="N111"/>
    </row>
    <row r="112" spans="1:14" s="71" customFormat="1" ht="25.5" x14ac:dyDescent="0.25">
      <c r="B112" s="142" t="s">
        <v>644</v>
      </c>
      <c r="C112" s="143" t="s">
        <v>645</v>
      </c>
      <c r="D112" s="216">
        <v>0</v>
      </c>
      <c r="E112" s="217"/>
      <c r="F112" s="216">
        <v>0</v>
      </c>
      <c r="G112" s="217"/>
      <c r="H112" s="144"/>
      <c r="I112"/>
      <c r="J112" s="137"/>
      <c r="K112" s="137"/>
      <c r="L112" s="137"/>
      <c r="M112" s="137"/>
      <c r="N112"/>
    </row>
    <row r="113" spans="2:14" s="71" customFormat="1" ht="15" x14ac:dyDescent="0.25">
      <c r="B113" s="204" t="s">
        <v>646</v>
      </c>
      <c r="C113" s="205"/>
      <c r="D113" s="205"/>
      <c r="E113" s="205"/>
      <c r="F113" s="205"/>
      <c r="G113" s="206"/>
      <c r="H113" s="144"/>
      <c r="I113"/>
      <c r="J113" s="139"/>
      <c r="K113" s="139"/>
      <c r="L113" s="139"/>
      <c r="M113" s="137"/>
      <c r="N113"/>
    </row>
    <row r="114" spans="2:14" s="71" customFormat="1" ht="15" x14ac:dyDescent="0.25">
      <c r="B114" s="207" t="s">
        <v>587</v>
      </c>
      <c r="C114" s="207" t="s">
        <v>588</v>
      </c>
      <c r="D114" s="204" t="s">
        <v>596</v>
      </c>
      <c r="E114" s="205"/>
      <c r="F114" s="206"/>
      <c r="G114" s="142"/>
      <c r="H114" s="144"/>
      <c r="I114"/>
      <c r="J114" s="139"/>
      <c r="K114" s="139"/>
      <c r="L114" s="139"/>
      <c r="M114" s="137"/>
      <c r="N114"/>
    </row>
    <row r="115" spans="2:14" s="71" customFormat="1" ht="76.5" x14ac:dyDescent="0.25">
      <c r="B115" s="207"/>
      <c r="C115" s="207"/>
      <c r="D115" s="145" t="s">
        <v>600</v>
      </c>
      <c r="E115" s="145" t="s">
        <v>647</v>
      </c>
      <c r="F115" s="145" t="s">
        <v>603</v>
      </c>
      <c r="G115" s="145" t="s">
        <v>671</v>
      </c>
      <c r="H115" s="146"/>
      <c r="I115"/>
      <c r="J115" s="139"/>
      <c r="K115" s="139"/>
      <c r="L115" s="139"/>
      <c r="M115" s="137"/>
      <c r="N115"/>
    </row>
    <row r="116" spans="2:14" s="71" customFormat="1" ht="25.5" x14ac:dyDescent="0.2">
      <c r="B116" s="147" t="s">
        <v>644</v>
      </c>
      <c r="C116" s="143" t="s">
        <v>645</v>
      </c>
      <c r="D116" s="148">
        <v>200</v>
      </c>
      <c r="E116" s="148">
        <v>6.8852450999999997</v>
      </c>
      <c r="F116" s="148">
        <v>206.88524509999999</v>
      </c>
      <c r="G116" s="149">
        <f>F116/F82</f>
        <v>4.7721606793084674E-2</v>
      </c>
      <c r="H116" s="150"/>
      <c r="I116"/>
      <c r="J116"/>
      <c r="K116"/>
      <c r="L116"/>
      <c r="M116"/>
      <c r="N116"/>
    </row>
    <row r="117" spans="2:14" s="71" customFormat="1" ht="33" customHeight="1" x14ac:dyDescent="0.2">
      <c r="B117" s="208" t="s">
        <v>648</v>
      </c>
      <c r="C117" s="209"/>
      <c r="D117" s="209"/>
      <c r="E117" s="209"/>
      <c r="F117" s="209"/>
      <c r="G117" s="210"/>
      <c r="H117" s="151"/>
      <c r="I117"/>
      <c r="J117"/>
      <c r="K117"/>
      <c r="L117"/>
      <c r="M117"/>
      <c r="N117"/>
    </row>
    <row r="118" spans="2:14" s="71" customFormat="1" x14ac:dyDescent="0.2">
      <c r="H118" s="151"/>
      <c r="I118"/>
      <c r="J118"/>
      <c r="K118"/>
      <c r="L118"/>
      <c r="M118"/>
      <c r="N118"/>
    </row>
    <row r="119" spans="2:14" s="71" customFormat="1" x14ac:dyDescent="0.2">
      <c r="B119" s="166" t="s">
        <v>556</v>
      </c>
      <c r="C119" s="167"/>
      <c r="D119" s="168"/>
      <c r="I119"/>
      <c r="J119"/>
      <c r="K119"/>
      <c r="L119"/>
      <c r="M119"/>
      <c r="N119"/>
    </row>
    <row r="120" spans="2:14" s="71" customFormat="1" ht="38.25" x14ac:dyDescent="0.2">
      <c r="B120" s="169" t="s">
        <v>557</v>
      </c>
      <c r="C120" s="169"/>
      <c r="D120" s="72" t="s">
        <v>463</v>
      </c>
      <c r="I120"/>
      <c r="J120"/>
      <c r="K120"/>
      <c r="L120"/>
      <c r="M120"/>
      <c r="N120"/>
    </row>
    <row r="121" spans="2:14" s="71" customFormat="1" x14ac:dyDescent="0.2">
      <c r="B121" s="165" t="s">
        <v>558</v>
      </c>
      <c r="C121" s="165"/>
      <c r="D121" s="73"/>
      <c r="I121"/>
      <c r="J121"/>
      <c r="K121"/>
      <c r="L121"/>
      <c r="M121"/>
      <c r="N121"/>
    </row>
    <row r="122" spans="2:14" s="71" customFormat="1" x14ac:dyDescent="0.2">
      <c r="B122" s="165"/>
      <c r="C122" s="165"/>
      <c r="D122" s="74"/>
      <c r="I122"/>
      <c r="J122"/>
      <c r="K122"/>
      <c r="L122"/>
      <c r="M122"/>
      <c r="N122"/>
    </row>
    <row r="123" spans="2:14" s="71" customFormat="1" x14ac:dyDescent="0.2">
      <c r="B123" s="165" t="s">
        <v>559</v>
      </c>
      <c r="C123" s="165"/>
      <c r="D123" s="75">
        <v>6.988378598426884</v>
      </c>
      <c r="I123"/>
      <c r="J123"/>
      <c r="K123"/>
      <c r="L123"/>
      <c r="M123"/>
      <c r="N123"/>
    </row>
    <row r="124" spans="2:14" s="71" customFormat="1" x14ac:dyDescent="0.2">
      <c r="B124" s="165"/>
      <c r="C124" s="165"/>
      <c r="D124" s="74"/>
      <c r="I124"/>
      <c r="J124"/>
      <c r="K124"/>
      <c r="L124"/>
      <c r="M124"/>
      <c r="N124"/>
    </row>
    <row r="125" spans="2:14" s="71" customFormat="1" x14ac:dyDescent="0.2">
      <c r="B125" s="165" t="s">
        <v>560</v>
      </c>
      <c r="C125" s="165"/>
      <c r="D125" s="75">
        <v>3.8521322162320577</v>
      </c>
      <c r="I125"/>
      <c r="J125"/>
      <c r="K125"/>
      <c r="L125"/>
      <c r="M125"/>
      <c r="N125"/>
    </row>
    <row r="126" spans="2:14" s="71" customFormat="1" x14ac:dyDescent="0.2">
      <c r="B126" s="165" t="s">
        <v>561</v>
      </c>
      <c r="C126" s="165"/>
      <c r="D126" s="75">
        <v>4.9698934601147862</v>
      </c>
      <c r="I126"/>
      <c r="J126"/>
      <c r="K126"/>
      <c r="L126"/>
      <c r="M126"/>
      <c r="N126"/>
    </row>
    <row r="127" spans="2:14" s="71" customFormat="1" x14ac:dyDescent="0.2">
      <c r="B127" s="165"/>
      <c r="C127" s="165"/>
      <c r="D127" s="74"/>
      <c r="I127"/>
      <c r="J127"/>
      <c r="K127"/>
      <c r="L127"/>
      <c r="M127"/>
      <c r="N127"/>
    </row>
    <row r="128" spans="2:14" s="71" customFormat="1" x14ac:dyDescent="0.2">
      <c r="B128" s="165" t="s">
        <v>562</v>
      </c>
      <c r="C128" s="165"/>
      <c r="D128" s="76" t="s">
        <v>668</v>
      </c>
      <c r="I128"/>
      <c r="J128" s="40"/>
      <c r="K128" s="40"/>
      <c r="L128" s="40"/>
      <c r="M128" s="40"/>
      <c r="N128" s="77"/>
    </row>
    <row r="129" spans="2:16" s="71" customFormat="1" x14ac:dyDescent="0.2">
      <c r="B129" s="162" t="s">
        <v>563</v>
      </c>
      <c r="C129" s="163"/>
      <c r="D129" s="164"/>
      <c r="I129"/>
      <c r="J129"/>
      <c r="K129"/>
      <c r="L129"/>
      <c r="M129"/>
      <c r="N129"/>
      <c r="O129"/>
      <c r="P129"/>
    </row>
    <row r="131" spans="2:16" x14ac:dyDescent="0.2">
      <c r="B131" s="78" t="s">
        <v>564</v>
      </c>
    </row>
    <row r="132" spans="2:16" ht="153.75" customHeight="1" x14ac:dyDescent="0.2"/>
    <row r="135" spans="2:16" x14ac:dyDescent="0.2">
      <c r="B135" s="79" t="s">
        <v>565</v>
      </c>
      <c r="C135" s="80"/>
      <c r="D135" s="79" t="s">
        <v>566</v>
      </c>
    </row>
    <row r="136" spans="2:16" x14ac:dyDescent="0.2">
      <c r="B136" s="79" t="s">
        <v>649</v>
      </c>
      <c r="D136" s="79" t="s">
        <v>650</v>
      </c>
    </row>
    <row r="137" spans="2:16" ht="165" customHeight="1" x14ac:dyDescent="0.2"/>
  </sheetData>
  <mergeCells count="36">
    <mergeCell ref="B108:C108"/>
    <mergeCell ref="B110:G110"/>
    <mergeCell ref="D111:E111"/>
    <mergeCell ref="F111:G111"/>
    <mergeCell ref="D112:E112"/>
    <mergeCell ref="F112:G112"/>
    <mergeCell ref="B107:C107"/>
    <mergeCell ref="A3:H3"/>
    <mergeCell ref="A2:H2"/>
    <mergeCell ref="A1:H1"/>
    <mergeCell ref="B84:H84"/>
    <mergeCell ref="B85:H85"/>
    <mergeCell ref="B86:H86"/>
    <mergeCell ref="B105:C105"/>
    <mergeCell ref="B106:C106"/>
    <mergeCell ref="B88:D88"/>
    <mergeCell ref="B89:C89"/>
    <mergeCell ref="B90:C90"/>
    <mergeCell ref="B91:C91"/>
    <mergeCell ref="B103:C103"/>
    <mergeCell ref="B113:G113"/>
    <mergeCell ref="B114:B115"/>
    <mergeCell ref="C114:C115"/>
    <mergeCell ref="D114:F114"/>
    <mergeCell ref="B117:G117"/>
    <mergeCell ref="B119:D119"/>
    <mergeCell ref="B120:C120"/>
    <mergeCell ref="B121:C121"/>
    <mergeCell ref="B122:C122"/>
    <mergeCell ref="B123:C123"/>
    <mergeCell ref="B129:D129"/>
    <mergeCell ref="B124:C124"/>
    <mergeCell ref="B125:C125"/>
    <mergeCell ref="B126:C126"/>
    <mergeCell ref="B127:C127"/>
    <mergeCell ref="B128:C128"/>
  </mergeCell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99B739-C1AE-42E4-8782-8863EEA142EB}">
  <sheetPr>
    <outlinePr summaryBelow="0" summaryRight="0"/>
  </sheetPr>
  <dimension ref="A1:R173"/>
  <sheetViews>
    <sheetView showGridLines="0" workbookViewId="0">
      <selection sqref="A1:H1"/>
    </sheetView>
  </sheetViews>
  <sheetFormatPr defaultRowHeight="12.75" x14ac:dyDescent="0.2"/>
  <cols>
    <col min="1" max="1" width="5.85546875" bestFit="1" customWidth="1"/>
    <col min="2" max="2" width="20.28515625" bestFit="1" customWidth="1"/>
    <col min="3" max="3" width="37.28515625" customWidth="1"/>
    <col min="4" max="4" width="16.5703125" bestFit="1" customWidth="1"/>
    <col min="5" max="5" width="8.7109375" bestFit="1" customWidth="1"/>
    <col min="6" max="6" width="10.140625" bestFit="1" customWidth="1"/>
    <col min="7" max="7" width="14" bestFit="1" customWidth="1"/>
    <col min="8" max="8" width="11.5703125" customWidth="1"/>
    <col min="9" max="9" width="11.42578125" customWidth="1"/>
    <col min="10" max="10" width="12.42578125" customWidth="1"/>
  </cols>
  <sheetData>
    <row r="1" spans="1:10" ht="15" x14ac:dyDescent="0.2">
      <c r="A1" s="170" t="s">
        <v>0</v>
      </c>
      <c r="B1" s="170"/>
      <c r="C1" s="170"/>
      <c r="D1" s="170"/>
      <c r="E1" s="170"/>
      <c r="F1" s="170"/>
      <c r="G1" s="170"/>
      <c r="H1" s="170"/>
    </row>
    <row r="2" spans="1:10" ht="15" x14ac:dyDescent="0.2">
      <c r="A2" s="170" t="s">
        <v>466</v>
      </c>
      <c r="B2" s="170"/>
      <c r="C2" s="170"/>
      <c r="D2" s="170"/>
      <c r="E2" s="170"/>
      <c r="F2" s="170"/>
      <c r="G2" s="170"/>
      <c r="H2" s="170"/>
    </row>
    <row r="3" spans="1:10" ht="15" x14ac:dyDescent="0.2">
      <c r="A3" s="170" t="s">
        <v>686</v>
      </c>
      <c r="B3" s="170"/>
      <c r="C3" s="170"/>
      <c r="D3" s="170"/>
      <c r="E3" s="170"/>
      <c r="F3" s="170"/>
      <c r="G3" s="170"/>
      <c r="H3" s="170"/>
    </row>
    <row r="4" spans="1:10" s="14" customFormat="1" ht="30" x14ac:dyDescent="0.2">
      <c r="A4" s="12" t="s">
        <v>2</v>
      </c>
      <c r="B4" s="12" t="s">
        <v>3</v>
      </c>
      <c r="C4" s="12" t="s">
        <v>4</v>
      </c>
      <c r="D4" s="12" t="s">
        <v>5</v>
      </c>
      <c r="E4" s="12" t="s">
        <v>6</v>
      </c>
      <c r="F4" s="12" t="s">
        <v>7</v>
      </c>
      <c r="G4" s="12" t="s">
        <v>8</v>
      </c>
      <c r="H4" s="13" t="s">
        <v>535</v>
      </c>
    </row>
    <row r="5" spans="1:10" x14ac:dyDescent="0.2">
      <c r="A5" s="15"/>
      <c r="B5" s="15"/>
      <c r="C5" s="16" t="s">
        <v>9</v>
      </c>
      <c r="D5" s="15"/>
      <c r="E5" s="15"/>
      <c r="F5" s="15"/>
      <c r="G5" s="17"/>
      <c r="H5" s="18" t="s">
        <v>12</v>
      </c>
    </row>
    <row r="6" spans="1:10" x14ac:dyDescent="0.2">
      <c r="A6" s="19"/>
      <c r="B6" s="19"/>
      <c r="C6" s="20" t="s">
        <v>10</v>
      </c>
      <c r="D6" s="19"/>
      <c r="E6" s="19"/>
      <c r="F6" s="19"/>
      <c r="G6" s="21"/>
      <c r="H6" s="18" t="s">
        <v>12</v>
      </c>
    </row>
    <row r="7" spans="1:10" x14ac:dyDescent="0.2">
      <c r="A7" s="28">
        <v>1</v>
      </c>
      <c r="B7" s="29" t="s">
        <v>467</v>
      </c>
      <c r="C7" s="29" t="s">
        <v>468</v>
      </c>
      <c r="D7" s="29" t="s">
        <v>469</v>
      </c>
      <c r="E7" s="30">
        <v>4250</v>
      </c>
      <c r="F7" s="31">
        <v>73.626999999999995</v>
      </c>
      <c r="G7" s="32">
        <v>2.7573449999999999E-2</v>
      </c>
      <c r="H7" s="18" t="s">
        <v>12</v>
      </c>
    </row>
    <row r="8" spans="1:10" x14ac:dyDescent="0.2">
      <c r="A8" s="28">
        <v>2</v>
      </c>
      <c r="B8" s="29" t="s">
        <v>470</v>
      </c>
      <c r="C8" s="29" t="s">
        <v>471</v>
      </c>
      <c r="D8" s="29" t="s">
        <v>469</v>
      </c>
      <c r="E8" s="30">
        <v>4200</v>
      </c>
      <c r="F8" s="31">
        <v>50.572200000000002</v>
      </c>
      <c r="G8" s="32">
        <v>1.8939379999999999E-2</v>
      </c>
      <c r="H8" s="18" t="s">
        <v>12</v>
      </c>
    </row>
    <row r="9" spans="1:10" x14ac:dyDescent="0.2">
      <c r="A9" s="28">
        <v>3</v>
      </c>
      <c r="B9" s="29" t="s">
        <v>472</v>
      </c>
      <c r="C9" s="29" t="s">
        <v>473</v>
      </c>
      <c r="D9" s="29" t="s">
        <v>474</v>
      </c>
      <c r="E9" s="30">
        <v>3400</v>
      </c>
      <c r="F9" s="31">
        <v>40.803400000000003</v>
      </c>
      <c r="G9" s="32">
        <v>1.528095E-2</v>
      </c>
      <c r="H9" s="18" t="s">
        <v>12</v>
      </c>
    </row>
    <row r="10" spans="1:10" x14ac:dyDescent="0.2">
      <c r="A10" s="28">
        <v>4</v>
      </c>
      <c r="B10" s="29" t="s">
        <v>475</v>
      </c>
      <c r="C10" s="29" t="s">
        <v>476</v>
      </c>
      <c r="D10" s="29" t="s">
        <v>477</v>
      </c>
      <c r="E10" s="30">
        <v>2500</v>
      </c>
      <c r="F10" s="31">
        <v>39.255000000000003</v>
      </c>
      <c r="G10" s="32">
        <v>1.470107E-2</v>
      </c>
      <c r="H10" s="18" t="s">
        <v>12</v>
      </c>
    </row>
    <row r="11" spans="1:10" x14ac:dyDescent="0.2">
      <c r="A11" s="28">
        <v>5</v>
      </c>
      <c r="B11" s="29" t="s">
        <v>478</v>
      </c>
      <c r="C11" s="29" t="s">
        <v>479</v>
      </c>
      <c r="D11" s="29" t="s">
        <v>480</v>
      </c>
      <c r="E11" s="30">
        <v>1750</v>
      </c>
      <c r="F11" s="31">
        <v>29.534749999999999</v>
      </c>
      <c r="G11" s="32">
        <v>1.1060820000000001E-2</v>
      </c>
      <c r="H11" s="18" t="s">
        <v>12</v>
      </c>
    </row>
    <row r="12" spans="1:10" x14ac:dyDescent="0.2">
      <c r="A12" s="28">
        <v>6</v>
      </c>
      <c r="B12" s="29" t="s">
        <v>481</v>
      </c>
      <c r="C12" s="29" t="s">
        <v>482</v>
      </c>
      <c r="D12" s="29" t="s">
        <v>480</v>
      </c>
      <c r="E12" s="30">
        <v>1848</v>
      </c>
      <c r="F12" s="31">
        <v>29.106923999999999</v>
      </c>
      <c r="G12" s="32">
        <v>1.09006E-2</v>
      </c>
      <c r="H12" s="18" t="s">
        <v>12</v>
      </c>
    </row>
    <row r="13" spans="1:10" ht="25.5" x14ac:dyDescent="0.2">
      <c r="A13" s="42">
        <v>7</v>
      </c>
      <c r="B13" s="43" t="s">
        <v>651</v>
      </c>
      <c r="C13" s="43" t="s">
        <v>652</v>
      </c>
      <c r="D13" s="43" t="s">
        <v>653</v>
      </c>
      <c r="E13" s="152">
        <v>30000</v>
      </c>
      <c r="F13" s="39">
        <v>24.09</v>
      </c>
      <c r="G13" s="45">
        <f>F13/F99</f>
        <v>9.0217493461951185E-3</v>
      </c>
      <c r="H13" s="37" t="s">
        <v>12</v>
      </c>
      <c r="J13" s="153"/>
    </row>
    <row r="14" spans="1:10" x14ac:dyDescent="0.2">
      <c r="A14" s="28">
        <v>8</v>
      </c>
      <c r="B14" s="29" t="s">
        <v>483</v>
      </c>
      <c r="C14" s="29" t="s">
        <v>484</v>
      </c>
      <c r="D14" s="29" t="s">
        <v>469</v>
      </c>
      <c r="E14" s="30">
        <v>2000</v>
      </c>
      <c r="F14" s="31">
        <v>20.311</v>
      </c>
      <c r="G14" s="32">
        <v>7.6065100000000004E-3</v>
      </c>
      <c r="H14" s="18" t="s">
        <v>12</v>
      </c>
    </row>
    <row r="15" spans="1:10" x14ac:dyDescent="0.2">
      <c r="A15" s="28">
        <v>9</v>
      </c>
      <c r="B15" s="29" t="s">
        <v>485</v>
      </c>
      <c r="C15" s="29" t="s">
        <v>486</v>
      </c>
      <c r="D15" s="29" t="s">
        <v>469</v>
      </c>
      <c r="E15" s="30">
        <v>2600</v>
      </c>
      <c r="F15" s="31">
        <v>17.908799999999999</v>
      </c>
      <c r="G15" s="32">
        <v>6.7068800000000001E-3</v>
      </c>
      <c r="H15" s="18" t="s">
        <v>12</v>
      </c>
    </row>
    <row r="16" spans="1:10" x14ac:dyDescent="0.2">
      <c r="A16" s="28">
        <v>10</v>
      </c>
      <c r="B16" s="29" t="s">
        <v>487</v>
      </c>
      <c r="C16" s="29" t="s">
        <v>488</v>
      </c>
      <c r="D16" s="29" t="s">
        <v>489</v>
      </c>
      <c r="E16" s="30">
        <v>4000</v>
      </c>
      <c r="F16" s="31">
        <v>15.8</v>
      </c>
      <c r="G16" s="32">
        <v>5.9171299999999996E-3</v>
      </c>
      <c r="H16" s="18" t="s">
        <v>12</v>
      </c>
    </row>
    <row r="17" spans="1:8" x14ac:dyDescent="0.2">
      <c r="A17" s="28">
        <v>11</v>
      </c>
      <c r="B17" s="29" t="s">
        <v>490</v>
      </c>
      <c r="C17" s="29" t="s">
        <v>491</v>
      </c>
      <c r="D17" s="29" t="s">
        <v>469</v>
      </c>
      <c r="E17" s="30">
        <v>675</v>
      </c>
      <c r="F17" s="31">
        <v>12.8449125</v>
      </c>
      <c r="G17" s="32">
        <v>4.81044E-3</v>
      </c>
      <c r="H17" s="18" t="s">
        <v>12</v>
      </c>
    </row>
    <row r="18" spans="1:8" ht="25.5" x14ac:dyDescent="0.2">
      <c r="A18" s="28">
        <v>12</v>
      </c>
      <c r="B18" s="29" t="s">
        <v>492</v>
      </c>
      <c r="C18" s="29" t="s">
        <v>493</v>
      </c>
      <c r="D18" s="29" t="s">
        <v>494</v>
      </c>
      <c r="E18" s="30">
        <v>125</v>
      </c>
      <c r="F18" s="31">
        <v>12.660562499999999</v>
      </c>
      <c r="G18" s="32">
        <v>4.7413999999999998E-3</v>
      </c>
      <c r="H18" s="18" t="s">
        <v>12</v>
      </c>
    </row>
    <row r="19" spans="1:8" x14ac:dyDescent="0.2">
      <c r="A19" s="28">
        <v>13</v>
      </c>
      <c r="B19" s="29" t="s">
        <v>495</v>
      </c>
      <c r="C19" s="29" t="s">
        <v>496</v>
      </c>
      <c r="D19" s="29" t="s">
        <v>497</v>
      </c>
      <c r="E19" s="30">
        <v>400</v>
      </c>
      <c r="F19" s="31">
        <v>12.6554</v>
      </c>
      <c r="G19" s="32">
        <v>4.73947E-3</v>
      </c>
      <c r="H19" s="18" t="s">
        <v>12</v>
      </c>
    </row>
    <row r="20" spans="1:8" x14ac:dyDescent="0.2">
      <c r="A20" s="28">
        <v>14</v>
      </c>
      <c r="B20" s="29" t="s">
        <v>498</v>
      </c>
      <c r="C20" s="29" t="s">
        <v>499</v>
      </c>
      <c r="D20" s="29" t="s">
        <v>500</v>
      </c>
      <c r="E20" s="30">
        <v>160</v>
      </c>
      <c r="F20" s="31">
        <v>12.644640000000001</v>
      </c>
      <c r="G20" s="32">
        <v>4.7354399999999996E-3</v>
      </c>
      <c r="H20" s="18" t="s">
        <v>12</v>
      </c>
    </row>
    <row r="21" spans="1:8" x14ac:dyDescent="0.2">
      <c r="A21" s="28">
        <v>15</v>
      </c>
      <c r="B21" s="29" t="s">
        <v>501</v>
      </c>
      <c r="C21" s="29" t="s">
        <v>502</v>
      </c>
      <c r="D21" s="29" t="s">
        <v>503</v>
      </c>
      <c r="E21" s="30">
        <v>2000</v>
      </c>
      <c r="F21" s="31">
        <v>12.522</v>
      </c>
      <c r="G21" s="32">
        <v>4.68951E-3</v>
      </c>
      <c r="H21" s="18" t="s">
        <v>12</v>
      </c>
    </row>
    <row r="22" spans="1:8" ht="25.5" x14ac:dyDescent="0.2">
      <c r="A22" s="28">
        <v>16</v>
      </c>
      <c r="B22" s="29" t="s">
        <v>504</v>
      </c>
      <c r="C22" s="29" t="s">
        <v>505</v>
      </c>
      <c r="D22" s="29" t="s">
        <v>506</v>
      </c>
      <c r="E22" s="30">
        <v>2000</v>
      </c>
      <c r="F22" s="31">
        <v>12.012</v>
      </c>
      <c r="G22" s="32">
        <v>4.4985199999999998E-3</v>
      </c>
      <c r="H22" s="18" t="s">
        <v>12</v>
      </c>
    </row>
    <row r="23" spans="1:8" x14ac:dyDescent="0.2">
      <c r="A23" s="28">
        <v>17</v>
      </c>
      <c r="B23" s="29" t="s">
        <v>507</v>
      </c>
      <c r="C23" s="29" t="s">
        <v>508</v>
      </c>
      <c r="D23" s="29" t="s">
        <v>500</v>
      </c>
      <c r="E23" s="30">
        <v>100</v>
      </c>
      <c r="F23" s="31">
        <v>11.94585</v>
      </c>
      <c r="G23" s="32">
        <v>4.4737400000000004E-3</v>
      </c>
      <c r="H23" s="18" t="s">
        <v>12</v>
      </c>
    </row>
    <row r="24" spans="1:8" x14ac:dyDescent="0.2">
      <c r="A24" s="28">
        <v>18</v>
      </c>
      <c r="B24" s="29" t="s">
        <v>509</v>
      </c>
      <c r="C24" s="29" t="s">
        <v>510</v>
      </c>
      <c r="D24" s="29" t="s">
        <v>474</v>
      </c>
      <c r="E24" s="30">
        <v>5000</v>
      </c>
      <c r="F24" s="31">
        <v>11.865</v>
      </c>
      <c r="G24" s="32">
        <v>4.4434599999999998E-3</v>
      </c>
      <c r="H24" s="18" t="s">
        <v>12</v>
      </c>
    </row>
    <row r="25" spans="1:8" ht="25.5" x14ac:dyDescent="0.2">
      <c r="A25" s="28">
        <v>19</v>
      </c>
      <c r="B25" s="29" t="s">
        <v>511</v>
      </c>
      <c r="C25" s="29" t="s">
        <v>512</v>
      </c>
      <c r="D25" s="29" t="s">
        <v>513</v>
      </c>
      <c r="E25" s="30">
        <v>250</v>
      </c>
      <c r="F25" s="31">
        <v>11.615500000000001</v>
      </c>
      <c r="G25" s="32">
        <v>4.3500300000000004E-3</v>
      </c>
      <c r="H25" s="18" t="s">
        <v>12</v>
      </c>
    </row>
    <row r="26" spans="1:8" x14ac:dyDescent="0.2">
      <c r="A26" s="28">
        <v>20</v>
      </c>
      <c r="B26" s="29" t="s">
        <v>514</v>
      </c>
      <c r="C26" s="29" t="s">
        <v>515</v>
      </c>
      <c r="D26" s="29" t="s">
        <v>516</v>
      </c>
      <c r="E26" s="30">
        <v>900</v>
      </c>
      <c r="F26" s="31">
        <v>11.56005</v>
      </c>
      <c r="G26" s="32">
        <v>4.3292599999999997E-3</v>
      </c>
      <c r="H26" s="18" t="s">
        <v>12</v>
      </c>
    </row>
    <row r="27" spans="1:8" x14ac:dyDescent="0.2">
      <c r="A27" s="28">
        <v>21</v>
      </c>
      <c r="B27" s="29" t="s">
        <v>517</v>
      </c>
      <c r="C27" s="29" t="s">
        <v>518</v>
      </c>
      <c r="D27" s="29" t="s">
        <v>519</v>
      </c>
      <c r="E27" s="30">
        <v>2000</v>
      </c>
      <c r="F27" s="31">
        <v>11.032</v>
      </c>
      <c r="G27" s="32">
        <v>4.1314999999999998E-3</v>
      </c>
      <c r="H27" s="18" t="s">
        <v>12</v>
      </c>
    </row>
    <row r="28" spans="1:8" ht="25.5" x14ac:dyDescent="0.2">
      <c r="A28" s="28">
        <v>22</v>
      </c>
      <c r="B28" s="29" t="s">
        <v>520</v>
      </c>
      <c r="C28" s="29" t="s">
        <v>521</v>
      </c>
      <c r="D28" s="29" t="s">
        <v>494</v>
      </c>
      <c r="E28" s="30">
        <v>450</v>
      </c>
      <c r="F28" s="31">
        <v>10.379925</v>
      </c>
      <c r="G28" s="32">
        <v>3.8872999999999998E-3</v>
      </c>
      <c r="H28" s="18" t="s">
        <v>12</v>
      </c>
    </row>
    <row r="29" spans="1:8" ht="25.5" x14ac:dyDescent="0.2">
      <c r="A29" s="28">
        <v>23</v>
      </c>
      <c r="B29" s="29" t="s">
        <v>522</v>
      </c>
      <c r="C29" s="29" t="s">
        <v>523</v>
      </c>
      <c r="D29" s="29" t="s">
        <v>524</v>
      </c>
      <c r="E29" s="30">
        <v>320</v>
      </c>
      <c r="F29" s="31">
        <v>9.6446400000000008</v>
      </c>
      <c r="G29" s="32">
        <v>3.6119400000000001E-3</v>
      </c>
      <c r="H29" s="18" t="s">
        <v>12</v>
      </c>
    </row>
    <row r="30" spans="1:8" x14ac:dyDescent="0.2">
      <c r="A30" s="19"/>
      <c r="B30" s="19"/>
      <c r="C30" s="20" t="s">
        <v>11</v>
      </c>
      <c r="D30" s="19"/>
      <c r="E30" s="19" t="s">
        <v>12</v>
      </c>
      <c r="F30" s="27">
        <f>SUM(F7:F29)</f>
        <v>494.39155399999993</v>
      </c>
      <c r="G30" s="23">
        <f>SUM(G7:G29)</f>
        <v>0.18515054934619518</v>
      </c>
      <c r="H30" s="18" t="s">
        <v>12</v>
      </c>
    </row>
    <row r="31" spans="1:8" x14ac:dyDescent="0.2">
      <c r="A31" s="19"/>
      <c r="B31" s="19"/>
      <c r="C31" s="24"/>
      <c r="D31" s="19"/>
      <c r="E31" s="19"/>
      <c r="F31" s="25"/>
      <c r="G31" s="26"/>
      <c r="H31" s="18" t="s">
        <v>12</v>
      </c>
    </row>
    <row r="32" spans="1:8" x14ac:dyDescent="0.2">
      <c r="A32" s="19"/>
      <c r="B32" s="19"/>
      <c r="C32" s="20" t="s">
        <v>14</v>
      </c>
      <c r="D32" s="19"/>
      <c r="E32" s="19"/>
      <c r="F32" s="19"/>
      <c r="G32" s="21"/>
      <c r="H32" s="18" t="s">
        <v>12</v>
      </c>
    </row>
    <row r="33" spans="1:8" x14ac:dyDescent="0.2">
      <c r="A33" s="19"/>
      <c r="B33" s="19"/>
      <c r="C33" s="20" t="s">
        <v>11</v>
      </c>
      <c r="D33" s="19"/>
      <c r="E33" s="19" t="s">
        <v>12</v>
      </c>
      <c r="F33" s="22" t="s">
        <v>13</v>
      </c>
      <c r="G33" s="23">
        <v>0</v>
      </c>
      <c r="H33" s="18" t="s">
        <v>12</v>
      </c>
    </row>
    <row r="34" spans="1:8" x14ac:dyDescent="0.2">
      <c r="A34" s="19"/>
      <c r="B34" s="19"/>
      <c r="C34" s="24"/>
      <c r="D34" s="19"/>
      <c r="E34" s="19"/>
      <c r="F34" s="25"/>
      <c r="G34" s="26"/>
      <c r="H34" s="18" t="s">
        <v>12</v>
      </c>
    </row>
    <row r="35" spans="1:8" x14ac:dyDescent="0.2">
      <c r="A35" s="19"/>
      <c r="B35" s="19"/>
      <c r="C35" s="20" t="s">
        <v>15</v>
      </c>
      <c r="D35" s="19"/>
      <c r="E35" s="19"/>
      <c r="F35" s="19"/>
      <c r="G35" s="21"/>
      <c r="H35" s="18" t="s">
        <v>12</v>
      </c>
    </row>
    <row r="36" spans="1:8" x14ac:dyDescent="0.2">
      <c r="A36" s="19"/>
      <c r="B36" s="19"/>
      <c r="C36" s="20" t="s">
        <v>11</v>
      </c>
      <c r="D36" s="19"/>
      <c r="E36" s="19" t="s">
        <v>12</v>
      </c>
      <c r="F36" s="22" t="s">
        <v>13</v>
      </c>
      <c r="G36" s="23">
        <v>0</v>
      </c>
      <c r="H36" s="18" t="s">
        <v>12</v>
      </c>
    </row>
    <row r="37" spans="1:8" x14ac:dyDescent="0.2">
      <c r="A37" s="19"/>
      <c r="B37" s="19"/>
      <c r="C37" s="24"/>
      <c r="D37" s="19"/>
      <c r="E37" s="19"/>
      <c r="F37" s="25"/>
      <c r="G37" s="26"/>
      <c r="H37" s="18" t="s">
        <v>12</v>
      </c>
    </row>
    <row r="38" spans="1:8" x14ac:dyDescent="0.2">
      <c r="A38" s="19"/>
      <c r="B38" s="19"/>
      <c r="C38" s="20" t="s">
        <v>16</v>
      </c>
      <c r="D38" s="19"/>
      <c r="E38" s="19"/>
      <c r="F38" s="19"/>
      <c r="G38" s="21"/>
      <c r="H38" s="18" t="s">
        <v>12</v>
      </c>
    </row>
    <row r="39" spans="1:8" x14ac:dyDescent="0.2">
      <c r="A39" s="28">
        <v>1</v>
      </c>
      <c r="B39" s="29" t="s">
        <v>525</v>
      </c>
      <c r="C39" s="29" t="s">
        <v>654</v>
      </c>
      <c r="D39" s="29" t="s">
        <v>477</v>
      </c>
      <c r="E39" s="30">
        <v>218</v>
      </c>
      <c r="F39" s="31">
        <v>2.4324439999999998</v>
      </c>
      <c r="G39" s="32">
        <v>9.1096000000000005E-4</v>
      </c>
      <c r="H39" s="18" t="s">
        <v>12</v>
      </c>
    </row>
    <row r="40" spans="1:8" x14ac:dyDescent="0.2">
      <c r="A40" s="19"/>
      <c r="B40" s="19"/>
      <c r="C40" s="20" t="s">
        <v>11</v>
      </c>
      <c r="D40" s="19"/>
      <c r="E40" s="19" t="s">
        <v>12</v>
      </c>
      <c r="F40" s="27">
        <v>2.4324439999999998</v>
      </c>
      <c r="G40" s="23">
        <v>9.1096000000000005E-4</v>
      </c>
      <c r="H40" s="18" t="s">
        <v>12</v>
      </c>
    </row>
    <row r="41" spans="1:8" x14ac:dyDescent="0.2">
      <c r="A41" s="19"/>
      <c r="B41" s="19"/>
      <c r="C41" s="24"/>
      <c r="D41" s="19"/>
      <c r="E41" s="19"/>
      <c r="F41" s="25"/>
      <c r="G41" s="26"/>
      <c r="H41" s="18" t="s">
        <v>12</v>
      </c>
    </row>
    <row r="42" spans="1:8" x14ac:dyDescent="0.2">
      <c r="A42" s="19"/>
      <c r="B42" s="19"/>
      <c r="C42" s="20" t="s">
        <v>17</v>
      </c>
      <c r="D42" s="19"/>
      <c r="E42" s="19"/>
      <c r="F42" s="25"/>
      <c r="G42" s="26"/>
      <c r="H42" s="18" t="s">
        <v>12</v>
      </c>
    </row>
    <row r="43" spans="1:8" x14ac:dyDescent="0.2">
      <c r="A43" s="19"/>
      <c r="B43" s="19"/>
      <c r="C43" s="20" t="s">
        <v>11</v>
      </c>
      <c r="D43" s="19"/>
      <c r="E43" s="19" t="s">
        <v>12</v>
      </c>
      <c r="F43" s="22" t="s">
        <v>13</v>
      </c>
      <c r="G43" s="23">
        <v>0</v>
      </c>
      <c r="H43" s="18" t="s">
        <v>12</v>
      </c>
    </row>
    <row r="44" spans="1:8" x14ac:dyDescent="0.2">
      <c r="A44" s="19"/>
      <c r="B44" s="19"/>
      <c r="C44" s="24"/>
      <c r="D44" s="19"/>
      <c r="E44" s="19"/>
      <c r="F44" s="25"/>
      <c r="G44" s="26"/>
      <c r="H44" s="18" t="s">
        <v>12</v>
      </c>
    </row>
    <row r="45" spans="1:8" x14ac:dyDescent="0.2">
      <c r="A45" s="19"/>
      <c r="B45" s="19"/>
      <c r="C45" s="20" t="s">
        <v>18</v>
      </c>
      <c r="D45" s="19"/>
      <c r="E45" s="19"/>
      <c r="F45" s="25"/>
      <c r="G45" s="26"/>
      <c r="H45" s="18" t="s">
        <v>12</v>
      </c>
    </row>
    <row r="46" spans="1:8" x14ac:dyDescent="0.2">
      <c r="A46" s="19"/>
      <c r="B46" s="19"/>
      <c r="C46" s="20" t="s">
        <v>11</v>
      </c>
      <c r="D46" s="19"/>
      <c r="E46" s="19" t="s">
        <v>12</v>
      </c>
      <c r="F46" s="22" t="s">
        <v>13</v>
      </c>
      <c r="G46" s="23">
        <v>0</v>
      </c>
      <c r="H46" s="18" t="s">
        <v>12</v>
      </c>
    </row>
    <row r="47" spans="1:8" x14ac:dyDescent="0.2">
      <c r="A47" s="19"/>
      <c r="B47" s="19"/>
      <c r="C47" s="24"/>
      <c r="D47" s="19"/>
      <c r="E47" s="19"/>
      <c r="F47" s="25"/>
      <c r="G47" s="26"/>
      <c r="H47" s="18" t="s">
        <v>12</v>
      </c>
    </row>
    <row r="48" spans="1:8" x14ac:dyDescent="0.2">
      <c r="A48" s="19"/>
      <c r="B48" s="19"/>
      <c r="C48" s="20" t="s">
        <v>19</v>
      </c>
      <c r="D48" s="19"/>
      <c r="E48" s="19"/>
      <c r="F48" s="27">
        <f>F40+F30</f>
        <v>496.8239979999999</v>
      </c>
      <c r="G48" s="23">
        <f>G40+G30</f>
        <v>0.18606150934619517</v>
      </c>
      <c r="H48" s="18" t="s">
        <v>12</v>
      </c>
    </row>
    <row r="49" spans="1:8" x14ac:dyDescent="0.2">
      <c r="A49" s="19"/>
      <c r="B49" s="19"/>
      <c r="C49" s="24"/>
      <c r="D49" s="19"/>
      <c r="E49" s="19"/>
      <c r="F49" s="25"/>
      <c r="G49" s="26"/>
      <c r="H49" s="18" t="s">
        <v>12</v>
      </c>
    </row>
    <row r="50" spans="1:8" x14ac:dyDescent="0.2">
      <c r="A50" s="19"/>
      <c r="B50" s="19"/>
      <c r="C50" s="20" t="s">
        <v>20</v>
      </c>
      <c r="D50" s="19"/>
      <c r="E50" s="19"/>
      <c r="F50" s="25"/>
      <c r="G50" s="26"/>
      <c r="H50" s="18" t="s">
        <v>12</v>
      </c>
    </row>
    <row r="51" spans="1:8" x14ac:dyDescent="0.2">
      <c r="A51" s="19"/>
      <c r="B51" s="19"/>
      <c r="C51" s="20" t="s">
        <v>10</v>
      </c>
      <c r="D51" s="19"/>
      <c r="E51" s="19"/>
      <c r="F51" s="25"/>
      <c r="G51" s="26"/>
      <c r="H51" s="18" t="s">
        <v>12</v>
      </c>
    </row>
    <row r="52" spans="1:8" x14ac:dyDescent="0.2">
      <c r="A52" s="19"/>
      <c r="B52" s="19"/>
      <c r="C52" s="20" t="s">
        <v>11</v>
      </c>
      <c r="D52" s="19"/>
      <c r="E52" s="19" t="s">
        <v>12</v>
      </c>
      <c r="F52" s="22" t="s">
        <v>13</v>
      </c>
      <c r="G52" s="23">
        <v>0</v>
      </c>
      <c r="H52" s="18" t="s">
        <v>12</v>
      </c>
    </row>
    <row r="53" spans="1:8" x14ac:dyDescent="0.2">
      <c r="A53" s="19"/>
      <c r="B53" s="19"/>
      <c r="C53" s="24"/>
      <c r="D53" s="19"/>
      <c r="E53" s="19"/>
      <c r="F53" s="25"/>
      <c r="G53" s="26"/>
      <c r="H53" s="18" t="s">
        <v>12</v>
      </c>
    </row>
    <row r="54" spans="1:8" x14ac:dyDescent="0.2">
      <c r="A54" s="19"/>
      <c r="B54" s="19"/>
      <c r="C54" s="20" t="s">
        <v>71</v>
      </c>
      <c r="D54" s="19"/>
      <c r="E54" s="19"/>
      <c r="F54" s="19"/>
      <c r="G54" s="21"/>
      <c r="H54" s="18" t="s">
        <v>12</v>
      </c>
    </row>
    <row r="55" spans="1:8" x14ac:dyDescent="0.2">
      <c r="A55" s="19"/>
      <c r="B55" s="19"/>
      <c r="C55" s="20" t="s">
        <v>11</v>
      </c>
      <c r="D55" s="19"/>
      <c r="E55" s="19" t="s">
        <v>12</v>
      </c>
      <c r="F55" s="22" t="s">
        <v>13</v>
      </c>
      <c r="G55" s="23">
        <v>0</v>
      </c>
      <c r="H55" s="18" t="s">
        <v>12</v>
      </c>
    </row>
    <row r="56" spans="1:8" x14ac:dyDescent="0.2">
      <c r="A56" s="19"/>
      <c r="B56" s="19"/>
      <c r="C56" s="24"/>
      <c r="D56" s="19"/>
      <c r="E56" s="19"/>
      <c r="F56" s="25"/>
      <c r="G56" s="26"/>
      <c r="H56" s="18" t="s">
        <v>12</v>
      </c>
    </row>
    <row r="57" spans="1:8" x14ac:dyDescent="0.2">
      <c r="A57" s="19"/>
      <c r="B57" s="19"/>
      <c r="C57" s="20" t="s">
        <v>72</v>
      </c>
      <c r="D57" s="19"/>
      <c r="E57" s="19"/>
      <c r="F57" s="19"/>
      <c r="G57" s="21"/>
      <c r="H57" s="18" t="s">
        <v>12</v>
      </c>
    </row>
    <row r="58" spans="1:8" ht="25.5" x14ac:dyDescent="0.2">
      <c r="A58" s="28">
        <v>1</v>
      </c>
      <c r="B58" s="29" t="s">
        <v>73</v>
      </c>
      <c r="C58" s="29" t="s">
        <v>74</v>
      </c>
      <c r="D58" s="29" t="s">
        <v>75</v>
      </c>
      <c r="E58" s="30">
        <v>1100000</v>
      </c>
      <c r="F58" s="31">
        <v>1123.4849999999999</v>
      </c>
      <c r="G58" s="32">
        <v>0.42074719999999999</v>
      </c>
      <c r="H58" s="18">
        <v>6.8952999999999998</v>
      </c>
    </row>
    <row r="59" spans="1:8" x14ac:dyDescent="0.2">
      <c r="A59" s="28">
        <v>2</v>
      </c>
      <c r="B59" s="29" t="s">
        <v>80</v>
      </c>
      <c r="C59" s="29" t="s">
        <v>81</v>
      </c>
      <c r="D59" s="29" t="s">
        <v>75</v>
      </c>
      <c r="E59" s="30">
        <v>500000</v>
      </c>
      <c r="F59" s="31">
        <v>510.69549999999998</v>
      </c>
      <c r="G59" s="32">
        <v>0.19125640999999999</v>
      </c>
      <c r="H59" s="18">
        <v>7.2488000000000001</v>
      </c>
    </row>
    <row r="60" spans="1:8" x14ac:dyDescent="0.2">
      <c r="A60" s="19"/>
      <c r="B60" s="19"/>
      <c r="C60" s="20" t="s">
        <v>11</v>
      </c>
      <c r="D60" s="19"/>
      <c r="E60" s="19" t="s">
        <v>12</v>
      </c>
      <c r="F60" s="27">
        <v>1634.1804999999999</v>
      </c>
      <c r="G60" s="23">
        <v>0.61200361000000003</v>
      </c>
      <c r="H60" s="18" t="s">
        <v>12</v>
      </c>
    </row>
    <row r="61" spans="1:8" x14ac:dyDescent="0.2">
      <c r="A61" s="19"/>
      <c r="B61" s="19"/>
      <c r="C61" s="24"/>
      <c r="D61" s="19"/>
      <c r="E61" s="19"/>
      <c r="F61" s="25"/>
      <c r="G61" s="26"/>
      <c r="H61" s="18" t="s">
        <v>12</v>
      </c>
    </row>
    <row r="62" spans="1:8" x14ac:dyDescent="0.2">
      <c r="A62" s="19"/>
      <c r="B62" s="19"/>
      <c r="C62" s="20" t="s">
        <v>88</v>
      </c>
      <c r="D62" s="19"/>
      <c r="E62" s="19"/>
      <c r="F62" s="25"/>
      <c r="G62" s="26"/>
      <c r="H62" s="18" t="s">
        <v>12</v>
      </c>
    </row>
    <row r="63" spans="1:8" x14ac:dyDescent="0.2">
      <c r="A63" s="19"/>
      <c r="B63" s="19"/>
      <c r="C63" s="20" t="s">
        <v>11</v>
      </c>
      <c r="D63" s="19"/>
      <c r="E63" s="19" t="s">
        <v>12</v>
      </c>
      <c r="F63" s="22" t="s">
        <v>13</v>
      </c>
      <c r="G63" s="23">
        <v>0</v>
      </c>
      <c r="H63" s="18" t="s">
        <v>12</v>
      </c>
    </row>
    <row r="64" spans="1:8" x14ac:dyDescent="0.2">
      <c r="A64" s="19"/>
      <c r="B64" s="19"/>
      <c r="C64" s="24"/>
      <c r="D64" s="19"/>
      <c r="E64" s="19"/>
      <c r="F64" s="25"/>
      <c r="G64" s="26"/>
      <c r="H64" s="18" t="s">
        <v>12</v>
      </c>
    </row>
    <row r="65" spans="1:8" x14ac:dyDescent="0.2">
      <c r="A65" s="19"/>
      <c r="B65" s="19"/>
      <c r="C65" s="20" t="s">
        <v>89</v>
      </c>
      <c r="D65" s="19"/>
      <c r="E65" s="19"/>
      <c r="F65" s="27">
        <v>1634.1804999999999</v>
      </c>
      <c r="G65" s="23">
        <v>0.61200361000000003</v>
      </c>
      <c r="H65" s="18" t="s">
        <v>12</v>
      </c>
    </row>
    <row r="66" spans="1:8" x14ac:dyDescent="0.2">
      <c r="A66" s="19"/>
      <c r="B66" s="19"/>
      <c r="C66" s="24"/>
      <c r="D66" s="19"/>
      <c r="E66" s="19"/>
      <c r="F66" s="25"/>
      <c r="G66" s="26"/>
      <c r="H66" s="18" t="s">
        <v>12</v>
      </c>
    </row>
    <row r="67" spans="1:8" x14ac:dyDescent="0.2">
      <c r="A67" s="19"/>
      <c r="B67" s="19"/>
      <c r="C67" s="20" t="s">
        <v>90</v>
      </c>
      <c r="D67" s="19"/>
      <c r="E67" s="19"/>
      <c r="F67" s="25"/>
      <c r="G67" s="26"/>
      <c r="H67" s="18" t="s">
        <v>12</v>
      </c>
    </row>
    <row r="68" spans="1:8" x14ac:dyDescent="0.2">
      <c r="A68" s="19"/>
      <c r="B68" s="19"/>
      <c r="C68" s="20" t="s">
        <v>91</v>
      </c>
      <c r="D68" s="19"/>
      <c r="E68" s="19"/>
      <c r="F68" s="25"/>
      <c r="G68" s="26"/>
      <c r="H68" s="18" t="s">
        <v>12</v>
      </c>
    </row>
    <row r="69" spans="1:8" x14ac:dyDescent="0.2">
      <c r="A69" s="19"/>
      <c r="B69" s="19"/>
      <c r="C69" s="20" t="s">
        <v>11</v>
      </c>
      <c r="D69" s="19"/>
      <c r="E69" s="19" t="s">
        <v>12</v>
      </c>
      <c r="F69" s="22" t="s">
        <v>13</v>
      </c>
      <c r="G69" s="23">
        <v>0</v>
      </c>
      <c r="H69" s="18" t="s">
        <v>12</v>
      </c>
    </row>
    <row r="70" spans="1:8" x14ac:dyDescent="0.2">
      <c r="A70" s="19"/>
      <c r="B70" s="19"/>
      <c r="C70" s="24"/>
      <c r="D70" s="19"/>
      <c r="E70" s="19"/>
      <c r="F70" s="25"/>
      <c r="G70" s="26"/>
      <c r="H70" s="18" t="s">
        <v>12</v>
      </c>
    </row>
    <row r="71" spans="1:8" x14ac:dyDescent="0.2">
      <c r="A71" s="19"/>
      <c r="B71" s="19"/>
      <c r="C71" s="20" t="s">
        <v>92</v>
      </c>
      <c r="D71" s="19"/>
      <c r="E71" s="19"/>
      <c r="F71" s="25"/>
      <c r="G71" s="26"/>
      <c r="H71" s="18" t="s">
        <v>12</v>
      </c>
    </row>
    <row r="72" spans="1:8" x14ac:dyDescent="0.2">
      <c r="A72" s="19"/>
      <c r="B72" s="19"/>
      <c r="C72" s="20" t="s">
        <v>11</v>
      </c>
      <c r="D72" s="19"/>
      <c r="E72" s="19" t="s">
        <v>12</v>
      </c>
      <c r="F72" s="22" t="s">
        <v>13</v>
      </c>
      <c r="G72" s="23">
        <v>0</v>
      </c>
      <c r="H72" s="18" t="s">
        <v>12</v>
      </c>
    </row>
    <row r="73" spans="1:8" x14ac:dyDescent="0.2">
      <c r="A73" s="19"/>
      <c r="B73" s="19"/>
      <c r="C73" s="24"/>
      <c r="D73" s="19"/>
      <c r="E73" s="19"/>
      <c r="F73" s="25"/>
      <c r="G73" s="26"/>
      <c r="H73" s="18" t="s">
        <v>12</v>
      </c>
    </row>
    <row r="74" spans="1:8" x14ac:dyDescent="0.2">
      <c r="A74" s="19"/>
      <c r="B74" s="19"/>
      <c r="C74" s="20" t="s">
        <v>93</v>
      </c>
      <c r="D74" s="19"/>
      <c r="E74" s="19"/>
      <c r="F74" s="25"/>
      <c r="G74" s="26"/>
      <c r="H74" s="18" t="s">
        <v>12</v>
      </c>
    </row>
    <row r="75" spans="1:8" x14ac:dyDescent="0.2">
      <c r="A75" s="19"/>
      <c r="B75" s="19"/>
      <c r="C75" s="20" t="s">
        <v>11</v>
      </c>
      <c r="D75" s="19"/>
      <c r="E75" s="19" t="s">
        <v>12</v>
      </c>
      <c r="F75" s="22" t="s">
        <v>13</v>
      </c>
      <c r="G75" s="23">
        <v>0</v>
      </c>
      <c r="H75" s="18" t="s">
        <v>12</v>
      </c>
    </row>
    <row r="76" spans="1:8" x14ac:dyDescent="0.2">
      <c r="A76" s="19"/>
      <c r="B76" s="19"/>
      <c r="C76" s="24"/>
      <c r="D76" s="19"/>
      <c r="E76" s="19"/>
      <c r="F76" s="25"/>
      <c r="G76" s="26"/>
      <c r="H76" s="18" t="s">
        <v>12</v>
      </c>
    </row>
    <row r="77" spans="1:8" x14ac:dyDescent="0.2">
      <c r="A77" s="19"/>
      <c r="B77" s="19"/>
      <c r="C77" s="20" t="s">
        <v>94</v>
      </c>
      <c r="D77" s="19"/>
      <c r="E77" s="19"/>
      <c r="F77" s="25"/>
      <c r="G77" s="26"/>
      <c r="H77" s="18" t="s">
        <v>12</v>
      </c>
    </row>
    <row r="78" spans="1:8" x14ac:dyDescent="0.2">
      <c r="A78" s="28">
        <v>1</v>
      </c>
      <c r="B78" s="29"/>
      <c r="C78" s="29" t="s">
        <v>95</v>
      </c>
      <c r="D78" s="29"/>
      <c r="E78" s="33"/>
      <c r="F78" s="31">
        <v>476.86500679800002</v>
      </c>
      <c r="G78" s="32">
        <v>0.17858682000000001</v>
      </c>
      <c r="H78" s="18">
        <v>6.23</v>
      </c>
    </row>
    <row r="79" spans="1:8" x14ac:dyDescent="0.2">
      <c r="A79" s="19"/>
      <c r="B79" s="19"/>
      <c r="C79" s="20" t="s">
        <v>11</v>
      </c>
      <c r="D79" s="19"/>
      <c r="E79" s="19" t="s">
        <v>12</v>
      </c>
      <c r="F79" s="27">
        <v>476.86500679800002</v>
      </c>
      <c r="G79" s="23">
        <v>0.17858682000000001</v>
      </c>
      <c r="H79" s="18" t="s">
        <v>12</v>
      </c>
    </row>
    <row r="80" spans="1:8" x14ac:dyDescent="0.2">
      <c r="A80" s="19"/>
      <c r="B80" s="19"/>
      <c r="C80" s="24"/>
      <c r="D80" s="19"/>
      <c r="E80" s="19"/>
      <c r="F80" s="25"/>
      <c r="G80" s="26"/>
      <c r="H80" s="18" t="s">
        <v>12</v>
      </c>
    </row>
    <row r="81" spans="1:17" x14ac:dyDescent="0.2">
      <c r="A81" s="19"/>
      <c r="B81" s="19"/>
      <c r="C81" s="20" t="s">
        <v>96</v>
      </c>
      <c r="D81" s="19"/>
      <c r="E81" s="19"/>
      <c r="F81" s="27">
        <v>476.86500679800002</v>
      </c>
      <c r="G81" s="23">
        <v>0.17858682000000001</v>
      </c>
      <c r="H81" s="18" t="s">
        <v>12</v>
      </c>
    </row>
    <row r="82" spans="1:17" x14ac:dyDescent="0.2">
      <c r="A82" s="19"/>
      <c r="B82" s="19"/>
      <c r="C82" s="25"/>
      <c r="D82" s="19"/>
      <c r="E82" s="19"/>
      <c r="F82" s="19"/>
      <c r="G82" s="21"/>
      <c r="H82" s="18" t="s">
        <v>12</v>
      </c>
    </row>
    <row r="83" spans="1:17" x14ac:dyDescent="0.2">
      <c r="A83" s="19"/>
      <c r="B83" s="19"/>
      <c r="C83" s="20" t="s">
        <v>97</v>
      </c>
      <c r="D83" s="19"/>
      <c r="E83" s="19"/>
      <c r="F83" s="19"/>
      <c r="G83" s="21"/>
      <c r="H83" s="18" t="s">
        <v>12</v>
      </c>
    </row>
    <row r="84" spans="1:17" x14ac:dyDescent="0.2">
      <c r="A84" s="19"/>
      <c r="B84" s="19"/>
      <c r="C84" s="20" t="s">
        <v>98</v>
      </c>
      <c r="D84" s="19"/>
      <c r="E84" s="19"/>
      <c r="F84" s="19"/>
      <c r="G84" s="21"/>
      <c r="H84" s="18" t="s">
        <v>12</v>
      </c>
    </row>
    <row r="85" spans="1:17" x14ac:dyDescent="0.2">
      <c r="A85" s="19"/>
      <c r="B85" s="19"/>
      <c r="C85" s="20" t="s">
        <v>11</v>
      </c>
      <c r="D85" s="19"/>
      <c r="E85" s="19" t="s">
        <v>12</v>
      </c>
      <c r="F85" s="22" t="s">
        <v>13</v>
      </c>
      <c r="G85" s="23">
        <v>0</v>
      </c>
      <c r="H85" s="18" t="s">
        <v>12</v>
      </c>
    </row>
    <row r="86" spans="1:17" x14ac:dyDescent="0.2">
      <c r="A86" s="34"/>
      <c r="B86" s="34"/>
      <c r="C86" s="35"/>
      <c r="D86" s="34"/>
      <c r="E86" s="34"/>
      <c r="F86" s="36"/>
      <c r="G86" s="36"/>
      <c r="H86" s="37" t="s">
        <v>12</v>
      </c>
    </row>
    <row r="87" spans="1:17" ht="25.5" x14ac:dyDescent="0.2">
      <c r="A87" s="34"/>
      <c r="B87" s="34"/>
      <c r="C87" s="38" t="s">
        <v>552</v>
      </c>
      <c r="D87" s="34"/>
      <c r="E87" s="34"/>
      <c r="F87" s="36"/>
      <c r="G87" s="36"/>
      <c r="H87" s="39"/>
      <c r="K87" s="40"/>
      <c r="L87" s="40"/>
      <c r="M87" s="40"/>
      <c r="N87" s="40"/>
      <c r="O87" s="41"/>
      <c r="P87" s="41"/>
      <c r="Q87" s="41"/>
    </row>
    <row r="88" spans="1:17" ht="25.5" x14ac:dyDescent="0.2">
      <c r="A88" s="42">
        <v>1</v>
      </c>
      <c r="B88" s="43" t="s">
        <v>99</v>
      </c>
      <c r="C88" s="43" t="s">
        <v>100</v>
      </c>
      <c r="D88" s="43"/>
      <c r="E88" s="44">
        <v>76.796000000000006</v>
      </c>
      <c r="F88" s="39">
        <v>8.4241866769999998</v>
      </c>
      <c r="G88" s="45">
        <v>3.1548700000000002E-3</v>
      </c>
      <c r="H88" s="37"/>
    </row>
    <row r="89" spans="1:17" x14ac:dyDescent="0.2">
      <c r="A89" s="34"/>
      <c r="B89" s="34"/>
      <c r="C89" s="38" t="s">
        <v>11</v>
      </c>
      <c r="D89" s="34"/>
      <c r="E89" s="34" t="s">
        <v>12</v>
      </c>
      <c r="F89" s="46">
        <f>SUM(F88)</f>
        <v>8.4241866769999998</v>
      </c>
      <c r="G89" s="47">
        <f>SUM(G88)</f>
        <v>3.1548700000000002E-3</v>
      </c>
      <c r="H89" s="37" t="s">
        <v>12</v>
      </c>
    </row>
    <row r="90" spans="1:17" x14ac:dyDescent="0.2">
      <c r="A90" s="19"/>
      <c r="B90" s="19"/>
      <c r="C90" s="24"/>
      <c r="D90" s="19"/>
      <c r="E90" s="19"/>
      <c r="F90" s="25"/>
      <c r="G90" s="26"/>
      <c r="H90" s="18" t="s">
        <v>12</v>
      </c>
    </row>
    <row r="91" spans="1:17" x14ac:dyDescent="0.2">
      <c r="A91" s="19"/>
      <c r="B91" s="19"/>
      <c r="C91" s="20" t="s">
        <v>101</v>
      </c>
      <c r="D91" s="19"/>
      <c r="E91" s="19"/>
      <c r="F91" s="19"/>
      <c r="G91" s="21"/>
      <c r="H91" s="18" t="s">
        <v>12</v>
      </c>
    </row>
    <row r="92" spans="1:17" x14ac:dyDescent="0.2">
      <c r="A92" s="19"/>
      <c r="B92" s="19"/>
      <c r="C92" s="20" t="s">
        <v>102</v>
      </c>
      <c r="D92" s="19"/>
      <c r="E92" s="19"/>
      <c r="F92" s="19"/>
      <c r="G92" s="21"/>
      <c r="H92" s="18" t="s">
        <v>12</v>
      </c>
    </row>
    <row r="93" spans="1:17" x14ac:dyDescent="0.2">
      <c r="A93" s="19"/>
      <c r="B93" s="19"/>
      <c r="C93" s="20" t="s">
        <v>11</v>
      </c>
      <c r="D93" s="19"/>
      <c r="E93" s="19" t="s">
        <v>12</v>
      </c>
      <c r="F93" s="22" t="s">
        <v>13</v>
      </c>
      <c r="G93" s="23">
        <v>0</v>
      </c>
      <c r="H93" s="18" t="s">
        <v>12</v>
      </c>
    </row>
    <row r="94" spans="1:17" x14ac:dyDescent="0.2">
      <c r="A94" s="19"/>
      <c r="B94" s="19"/>
      <c r="C94" s="24"/>
      <c r="D94" s="19"/>
      <c r="E94" s="19"/>
      <c r="F94" s="25"/>
      <c r="G94" s="26"/>
      <c r="H94" s="18" t="s">
        <v>12</v>
      </c>
    </row>
    <row r="95" spans="1:17" ht="25.5" x14ac:dyDescent="0.2">
      <c r="A95" s="19"/>
      <c r="B95" s="19"/>
      <c r="C95" s="20" t="s">
        <v>103</v>
      </c>
      <c r="D95" s="19"/>
      <c r="E95" s="19"/>
      <c r="F95" s="25"/>
      <c r="G95" s="26"/>
      <c r="H95" s="18" t="s">
        <v>12</v>
      </c>
    </row>
    <row r="96" spans="1:17" x14ac:dyDescent="0.2">
      <c r="A96" s="19"/>
      <c r="B96" s="19"/>
      <c r="C96" s="20" t="s">
        <v>11</v>
      </c>
      <c r="D96" s="19"/>
      <c r="E96" s="19" t="s">
        <v>12</v>
      </c>
      <c r="F96" s="22" t="s">
        <v>13</v>
      </c>
      <c r="G96" s="23">
        <v>0</v>
      </c>
      <c r="H96" s="18" t="s">
        <v>12</v>
      </c>
    </row>
    <row r="97" spans="1:8" x14ac:dyDescent="0.2">
      <c r="A97" s="19"/>
      <c r="B97" s="19"/>
      <c r="C97" s="24"/>
      <c r="D97" s="19"/>
      <c r="E97" s="19"/>
      <c r="F97" s="25"/>
      <c r="G97" s="26"/>
      <c r="H97" s="18" t="s">
        <v>12</v>
      </c>
    </row>
    <row r="98" spans="1:8" x14ac:dyDescent="0.2">
      <c r="A98" s="33"/>
      <c r="B98" s="29"/>
      <c r="C98" s="29" t="s">
        <v>104</v>
      </c>
      <c r="D98" s="29"/>
      <c r="E98" s="33"/>
      <c r="F98" s="31">
        <v>53.920152379999998</v>
      </c>
      <c r="G98" s="32">
        <v>2.0193200000000001E-2</v>
      </c>
      <c r="H98" s="18" t="s">
        <v>12</v>
      </c>
    </row>
    <row r="99" spans="1:8" x14ac:dyDescent="0.2">
      <c r="A99" s="24"/>
      <c r="B99" s="24"/>
      <c r="C99" s="20" t="s">
        <v>105</v>
      </c>
      <c r="D99" s="25"/>
      <c r="E99" s="25"/>
      <c r="F99" s="27">
        <f>F98+F89+F81+F65+F48</f>
        <v>2670.2138438550001</v>
      </c>
      <c r="G99" s="48">
        <f>G98+G89+G81+G65+G48</f>
        <v>1.0000000093461952</v>
      </c>
      <c r="H99" s="18" t="s">
        <v>12</v>
      </c>
    </row>
    <row r="100" spans="1:8" x14ac:dyDescent="0.2">
      <c r="A100" s="49"/>
      <c r="B100" s="49"/>
      <c r="C100" s="49"/>
      <c r="D100" s="50"/>
      <c r="E100" s="50"/>
      <c r="F100" s="50"/>
      <c r="G100" s="50"/>
    </row>
    <row r="101" spans="1:8" x14ac:dyDescent="0.2">
      <c r="A101" s="51"/>
      <c r="B101" s="171" t="s">
        <v>549</v>
      </c>
      <c r="C101" s="171"/>
      <c r="D101" s="171"/>
      <c r="E101" s="171"/>
      <c r="F101" s="171"/>
      <c r="G101" s="171"/>
      <c r="H101" s="171"/>
    </row>
    <row r="102" spans="1:8" x14ac:dyDescent="0.2">
      <c r="A102" s="51"/>
      <c r="B102" s="171" t="s">
        <v>550</v>
      </c>
      <c r="C102" s="171"/>
      <c r="D102" s="171"/>
      <c r="E102" s="171"/>
      <c r="F102" s="171"/>
      <c r="G102" s="171"/>
      <c r="H102" s="171"/>
    </row>
    <row r="103" spans="1:8" x14ac:dyDescent="0.2">
      <c r="A103" s="51"/>
      <c r="B103" s="171" t="s">
        <v>551</v>
      </c>
      <c r="C103" s="171"/>
      <c r="D103" s="171"/>
      <c r="E103" s="171"/>
      <c r="F103" s="171"/>
      <c r="G103" s="171"/>
      <c r="H103" s="171"/>
    </row>
    <row r="104" spans="1:8" x14ac:dyDescent="0.2">
      <c r="A104" s="53"/>
      <c r="B104" s="53"/>
      <c r="C104" s="53"/>
      <c r="D104" s="54"/>
      <c r="E104" s="54"/>
      <c r="F104" s="54"/>
      <c r="G104" s="54"/>
    </row>
    <row r="105" spans="1:8" x14ac:dyDescent="0.2">
      <c r="A105" s="53"/>
      <c r="B105" s="174" t="s">
        <v>106</v>
      </c>
      <c r="C105" s="175"/>
      <c r="D105" s="176"/>
      <c r="E105" s="55"/>
      <c r="F105" s="54"/>
      <c r="G105" s="54"/>
    </row>
    <row r="106" spans="1:8" ht="25.5" x14ac:dyDescent="0.2">
      <c r="A106" s="53"/>
      <c r="B106" s="177" t="s">
        <v>107</v>
      </c>
      <c r="C106" s="178"/>
      <c r="D106" s="38" t="s">
        <v>630</v>
      </c>
      <c r="E106" s="55"/>
      <c r="F106" s="54"/>
      <c r="G106" s="54"/>
    </row>
    <row r="107" spans="1:8" x14ac:dyDescent="0.2">
      <c r="A107" s="53"/>
      <c r="B107" s="177" t="s">
        <v>109</v>
      </c>
      <c r="C107" s="178"/>
      <c r="D107" s="20" t="s">
        <v>108</v>
      </c>
      <c r="E107" s="55"/>
      <c r="F107" s="54"/>
      <c r="G107" s="54"/>
    </row>
    <row r="108" spans="1:8" x14ac:dyDescent="0.2">
      <c r="A108" s="53"/>
      <c r="B108" s="177" t="s">
        <v>110</v>
      </c>
      <c r="C108" s="178"/>
      <c r="D108" s="25" t="s">
        <v>12</v>
      </c>
      <c r="E108" s="55"/>
      <c r="F108" s="54"/>
      <c r="G108" s="54"/>
    </row>
    <row r="109" spans="1:8" x14ac:dyDescent="0.2">
      <c r="A109" s="56"/>
      <c r="B109" s="57" t="s">
        <v>12</v>
      </c>
      <c r="C109" s="57" t="s">
        <v>553</v>
      </c>
      <c r="D109" s="57" t="s">
        <v>111</v>
      </c>
      <c r="E109" s="56"/>
      <c r="F109" s="56"/>
      <c r="G109" s="56"/>
    </row>
    <row r="110" spans="1:8" x14ac:dyDescent="0.2">
      <c r="A110" s="56"/>
      <c r="B110" s="58" t="s">
        <v>112</v>
      </c>
      <c r="C110" s="59">
        <v>45688</v>
      </c>
      <c r="D110" s="59">
        <v>45716</v>
      </c>
      <c r="E110" s="56"/>
      <c r="F110" s="56"/>
      <c r="G110" s="56"/>
    </row>
    <row r="111" spans="1:8" x14ac:dyDescent="0.2">
      <c r="A111" s="60"/>
      <c r="B111" s="29" t="s">
        <v>113</v>
      </c>
      <c r="C111" s="61">
        <v>31.452100000000002</v>
      </c>
      <c r="D111" s="61">
        <v>31.094000000000001</v>
      </c>
      <c r="E111" s="60"/>
      <c r="F111" s="62"/>
      <c r="G111" s="63"/>
    </row>
    <row r="112" spans="1:8" ht="25.5" x14ac:dyDescent="0.2">
      <c r="A112" s="60"/>
      <c r="B112" s="29" t="s">
        <v>674</v>
      </c>
      <c r="C112" s="61">
        <v>13.404999999999999</v>
      </c>
      <c r="D112" s="61">
        <v>13.2523</v>
      </c>
      <c r="E112" s="60"/>
      <c r="F112" s="62"/>
      <c r="G112" s="63"/>
    </row>
    <row r="113" spans="1:18" ht="25.5" x14ac:dyDescent="0.2">
      <c r="A113" s="60"/>
      <c r="B113" s="29" t="s">
        <v>675</v>
      </c>
      <c r="C113" s="61">
        <v>20.703600000000002</v>
      </c>
      <c r="D113" s="61">
        <v>20.4678</v>
      </c>
      <c r="E113" s="60"/>
      <c r="F113" s="62"/>
      <c r="G113" s="63"/>
    </row>
    <row r="114" spans="1:18" ht="25.5" x14ac:dyDescent="0.2">
      <c r="A114" s="60"/>
      <c r="B114" s="29" t="s">
        <v>676</v>
      </c>
      <c r="C114" s="61">
        <v>20.611699999999999</v>
      </c>
      <c r="D114" s="61">
        <v>20.376999999999999</v>
      </c>
      <c r="E114" s="60"/>
      <c r="F114" s="62"/>
      <c r="G114" s="63"/>
    </row>
    <row r="115" spans="1:18" x14ac:dyDescent="0.2">
      <c r="A115" s="60"/>
      <c r="B115" s="29" t="s">
        <v>114</v>
      </c>
      <c r="C115" s="61">
        <v>28.636299999999999</v>
      </c>
      <c r="D115" s="61">
        <v>28.295500000000001</v>
      </c>
      <c r="E115" s="60"/>
      <c r="F115" s="62"/>
      <c r="G115" s="63"/>
    </row>
    <row r="116" spans="1:18" ht="25.5" x14ac:dyDescent="0.2">
      <c r="A116" s="60"/>
      <c r="B116" s="29" t="s">
        <v>678</v>
      </c>
      <c r="C116" s="61">
        <v>13.2887</v>
      </c>
      <c r="D116" s="61">
        <v>13.130599999999999</v>
      </c>
      <c r="E116" s="60"/>
      <c r="F116" s="62"/>
      <c r="G116" s="63"/>
    </row>
    <row r="117" spans="1:18" ht="25.5" x14ac:dyDescent="0.2">
      <c r="A117" s="60"/>
      <c r="B117" s="29" t="s">
        <v>673</v>
      </c>
      <c r="C117" s="61">
        <v>18.739699999999999</v>
      </c>
      <c r="D117" s="61">
        <v>18.5167</v>
      </c>
      <c r="E117" s="60"/>
      <c r="F117" s="62"/>
      <c r="G117" s="63"/>
    </row>
    <row r="118" spans="1:18" ht="25.5" x14ac:dyDescent="0.2">
      <c r="A118" s="60"/>
      <c r="B118" s="29" t="s">
        <v>679</v>
      </c>
      <c r="C118" s="61">
        <v>18.577400000000001</v>
      </c>
      <c r="D118" s="61">
        <v>18.356300000000001</v>
      </c>
      <c r="E118" s="60"/>
      <c r="F118" s="62"/>
      <c r="G118" s="63"/>
    </row>
    <row r="119" spans="1:18" x14ac:dyDescent="0.2">
      <c r="A119" s="60"/>
      <c r="B119" s="60"/>
      <c r="C119" s="60"/>
      <c r="D119" s="60"/>
      <c r="E119" s="60"/>
      <c r="F119" s="60"/>
      <c r="G119" s="60"/>
    </row>
    <row r="120" spans="1:18" x14ac:dyDescent="0.2">
      <c r="A120" s="60"/>
      <c r="B120" s="177" t="s">
        <v>554</v>
      </c>
      <c r="C120" s="178"/>
      <c r="D120" s="38" t="s">
        <v>108</v>
      </c>
      <c r="E120" s="60"/>
      <c r="F120" s="60"/>
      <c r="G120" s="60"/>
    </row>
    <row r="121" spans="1:18" x14ac:dyDescent="0.2">
      <c r="A121" s="60"/>
      <c r="B121" s="70"/>
      <c r="C121" s="70"/>
      <c r="D121" s="70"/>
      <c r="E121" s="60"/>
      <c r="F121" s="60"/>
      <c r="G121" s="60"/>
    </row>
    <row r="122" spans="1:18" x14ac:dyDescent="0.2">
      <c r="A122" s="56"/>
      <c r="B122" s="172" t="s">
        <v>118</v>
      </c>
      <c r="C122" s="173"/>
      <c r="D122" s="38" t="s">
        <v>108</v>
      </c>
      <c r="E122" s="69"/>
      <c r="F122" s="56"/>
      <c r="G122" s="56"/>
      <c r="J122" s="82"/>
    </row>
    <row r="123" spans="1:18" x14ac:dyDescent="0.2">
      <c r="A123" s="56"/>
      <c r="B123" s="172" t="s">
        <v>119</v>
      </c>
      <c r="C123" s="173"/>
      <c r="D123" s="38" t="s">
        <v>108</v>
      </c>
      <c r="E123" s="69"/>
      <c r="F123" s="56"/>
      <c r="G123" s="56"/>
      <c r="J123" s="82"/>
    </row>
    <row r="124" spans="1:18" x14ac:dyDescent="0.2">
      <c r="A124" s="56"/>
      <c r="B124" s="172" t="s">
        <v>555</v>
      </c>
      <c r="C124" s="173"/>
      <c r="D124" s="38" t="s">
        <v>108</v>
      </c>
      <c r="E124" s="69"/>
      <c r="F124" s="56"/>
      <c r="G124" s="56"/>
      <c r="J124" s="82"/>
    </row>
    <row r="125" spans="1:18" x14ac:dyDescent="0.2">
      <c r="A125" s="70"/>
      <c r="B125" s="70"/>
      <c r="C125" s="70"/>
      <c r="D125" s="70"/>
      <c r="E125" s="70"/>
      <c r="F125" s="70"/>
      <c r="G125" s="70"/>
      <c r="J125" s="82"/>
    </row>
    <row r="126" spans="1:18" s="71" customFormat="1" x14ac:dyDescent="0.2">
      <c r="B126" s="166" t="s">
        <v>556</v>
      </c>
      <c r="C126" s="167"/>
      <c r="D126" s="168"/>
      <c r="I126"/>
      <c r="J126" s="82"/>
      <c r="K126" s="40"/>
      <c r="L126" s="40"/>
      <c r="M126" s="40"/>
      <c r="N126" s="40"/>
      <c r="O126"/>
      <c r="R126"/>
    </row>
    <row r="127" spans="1:18" s="71" customFormat="1" ht="38.25" x14ac:dyDescent="0.2">
      <c r="B127" s="169" t="s">
        <v>557</v>
      </c>
      <c r="C127" s="169"/>
      <c r="D127" s="72" t="s">
        <v>466</v>
      </c>
      <c r="I127"/>
      <c r="J127" s="82"/>
      <c r="K127" s="40"/>
      <c r="L127" s="40"/>
      <c r="M127" s="40"/>
      <c r="N127" s="40"/>
      <c r="O127"/>
      <c r="R127"/>
    </row>
    <row r="128" spans="1:18" s="71" customFormat="1" x14ac:dyDescent="0.2">
      <c r="B128" s="165" t="s">
        <v>558</v>
      </c>
      <c r="C128" s="165"/>
      <c r="D128" s="73"/>
      <c r="I128"/>
      <c r="J128" s="82"/>
      <c r="K128" s="40"/>
      <c r="L128" s="40"/>
      <c r="M128" s="40"/>
      <c r="N128" s="40"/>
      <c r="O128"/>
      <c r="R128"/>
    </row>
    <row r="129" spans="2:16" s="71" customFormat="1" x14ac:dyDescent="0.2">
      <c r="B129" s="165"/>
      <c r="C129" s="165"/>
      <c r="D129" s="74"/>
      <c r="I129"/>
      <c r="J129" s="82"/>
      <c r="K129" s="40"/>
      <c r="L129" s="40"/>
      <c r="M129" s="40"/>
      <c r="N129" s="40"/>
      <c r="O129"/>
    </row>
    <row r="130" spans="2:16" s="71" customFormat="1" x14ac:dyDescent="0.2">
      <c r="B130" s="165" t="s">
        <v>559</v>
      </c>
      <c r="C130" s="165"/>
      <c r="D130" s="75">
        <v>6.8420803773763623</v>
      </c>
      <c r="I130"/>
      <c r="J130" s="82"/>
      <c r="K130" s="40"/>
      <c r="L130" s="40"/>
      <c r="M130" s="40"/>
      <c r="N130" s="40"/>
      <c r="O130"/>
    </row>
    <row r="131" spans="2:16" s="71" customFormat="1" x14ac:dyDescent="0.2">
      <c r="B131" s="165"/>
      <c r="C131" s="165"/>
      <c r="D131" s="74"/>
      <c r="I131"/>
      <c r="J131" s="82"/>
      <c r="K131" s="40"/>
      <c r="L131" s="40"/>
      <c r="M131" s="40"/>
      <c r="N131" s="40"/>
      <c r="O131"/>
    </row>
    <row r="132" spans="2:16" s="71" customFormat="1" x14ac:dyDescent="0.2">
      <c r="B132" s="165" t="s">
        <v>655</v>
      </c>
      <c r="C132" s="165"/>
      <c r="D132" s="75">
        <v>6.5185168319438427</v>
      </c>
      <c r="I132"/>
      <c r="J132" s="82"/>
      <c r="K132" s="40"/>
      <c r="L132" s="40"/>
      <c r="M132" s="40"/>
      <c r="N132" s="40"/>
      <c r="O132"/>
    </row>
    <row r="133" spans="2:16" s="71" customFormat="1" x14ac:dyDescent="0.2">
      <c r="B133" s="165" t="s">
        <v>656</v>
      </c>
      <c r="C133" s="165"/>
      <c r="D133" s="75">
        <v>11.633995596873898</v>
      </c>
      <c r="I133"/>
      <c r="J133" s="82"/>
      <c r="K133" s="40"/>
      <c r="L133" s="40"/>
      <c r="M133" s="40"/>
      <c r="N133" s="40"/>
      <c r="O133"/>
    </row>
    <row r="134" spans="2:16" s="71" customFormat="1" x14ac:dyDescent="0.2">
      <c r="B134" s="165"/>
      <c r="C134" s="165"/>
      <c r="D134" s="74"/>
      <c r="I134"/>
      <c r="J134" s="82"/>
      <c r="K134" s="40"/>
      <c r="L134" s="40"/>
      <c r="M134" s="40"/>
      <c r="N134" s="40"/>
      <c r="O134"/>
    </row>
    <row r="135" spans="2:16" s="71" customFormat="1" x14ac:dyDescent="0.2">
      <c r="B135" s="165" t="s">
        <v>562</v>
      </c>
      <c r="C135" s="165"/>
      <c r="D135" s="154" t="s">
        <v>668</v>
      </c>
      <c r="I135"/>
      <c r="J135" s="82"/>
      <c r="K135" s="40"/>
      <c r="L135" s="40"/>
      <c r="M135" s="40"/>
      <c r="N135" s="40"/>
      <c r="O135"/>
    </row>
    <row r="136" spans="2:16" s="71" customFormat="1" x14ac:dyDescent="0.2">
      <c r="B136" s="162" t="s">
        <v>563</v>
      </c>
      <c r="C136" s="163"/>
      <c r="D136" s="164"/>
      <c r="I136"/>
      <c r="J136" s="82"/>
      <c r="K136" s="40"/>
      <c r="L136" s="40"/>
      <c r="M136" s="40"/>
      <c r="N136" s="40"/>
      <c r="O136"/>
    </row>
    <row r="137" spans="2:16" x14ac:dyDescent="0.2">
      <c r="J137" s="82"/>
    </row>
    <row r="138" spans="2:16" ht="13.5" x14ac:dyDescent="0.2">
      <c r="B138" s="218" t="s">
        <v>672</v>
      </c>
      <c r="C138" s="218"/>
      <c r="D138" s="218"/>
      <c r="E138" s="218"/>
      <c r="F138" s="218"/>
      <c r="G138" s="218"/>
      <c r="H138" s="218"/>
      <c r="I138" s="40"/>
      <c r="J138" s="82"/>
      <c r="K138" s="40"/>
      <c r="L138" s="40"/>
      <c r="M138" s="40"/>
      <c r="N138" s="40"/>
      <c r="O138" s="40"/>
      <c r="P138" s="40"/>
    </row>
    <row r="139" spans="2:16" s="77" customFormat="1" ht="26.25" customHeight="1" x14ac:dyDescent="0.2">
      <c r="B139" s="100" t="s">
        <v>587</v>
      </c>
      <c r="C139" s="100" t="s">
        <v>588</v>
      </c>
      <c r="D139" s="186" t="s">
        <v>657</v>
      </c>
      <c r="E139" s="186"/>
      <c r="F139" s="186"/>
      <c r="G139" s="185" t="s">
        <v>583</v>
      </c>
      <c r="H139" s="185"/>
      <c r="J139" s="82"/>
      <c r="K139" s="155"/>
      <c r="L139" s="155"/>
      <c r="M139" s="155"/>
      <c r="N139" s="155"/>
      <c r="O139" s="155"/>
      <c r="P139" s="155"/>
    </row>
    <row r="140" spans="2:16" ht="27" x14ac:dyDescent="0.25">
      <c r="B140" s="156" t="s">
        <v>617</v>
      </c>
      <c r="C140" s="99" t="s">
        <v>658</v>
      </c>
      <c r="D140" s="187">
        <v>0</v>
      </c>
      <c r="E140" s="187"/>
      <c r="F140" s="187"/>
      <c r="G140" s="187">
        <v>0</v>
      </c>
      <c r="H140" s="187"/>
      <c r="J140" s="82"/>
      <c r="K140" s="40"/>
      <c r="L140" s="40"/>
      <c r="M140" s="40"/>
      <c r="N140" s="40"/>
      <c r="O140" s="40"/>
      <c r="P140" s="40"/>
    </row>
    <row r="141" spans="2:16" ht="13.5" x14ac:dyDescent="0.25">
      <c r="B141" s="98"/>
      <c r="C141" s="98"/>
      <c r="D141" s="188"/>
      <c r="E141" s="188"/>
      <c r="F141" s="188"/>
      <c r="G141" s="188"/>
      <c r="H141" s="188"/>
      <c r="J141" s="82"/>
      <c r="K141" s="40"/>
      <c r="L141" s="40"/>
      <c r="M141" s="40"/>
      <c r="N141" s="40"/>
      <c r="O141" s="40"/>
      <c r="P141" s="40"/>
    </row>
    <row r="142" spans="2:16" ht="13.5" x14ac:dyDescent="0.25">
      <c r="B142" s="189" t="s">
        <v>595</v>
      </c>
      <c r="C142" s="189"/>
      <c r="D142" s="189"/>
      <c r="E142" s="189"/>
      <c r="F142" s="189"/>
      <c r="G142" s="189"/>
      <c r="H142" s="189"/>
      <c r="J142" s="82"/>
      <c r="K142" s="40"/>
      <c r="L142" s="40"/>
      <c r="M142" s="40"/>
      <c r="N142" s="40"/>
      <c r="O142" s="40"/>
      <c r="P142" s="40"/>
    </row>
    <row r="143" spans="2:16" ht="13.5" customHeight="1" x14ac:dyDescent="0.2">
      <c r="B143" s="185" t="s">
        <v>587</v>
      </c>
      <c r="C143" s="185" t="s">
        <v>588</v>
      </c>
      <c r="D143" s="185" t="s">
        <v>596</v>
      </c>
      <c r="E143" s="185"/>
      <c r="F143" s="185"/>
      <c r="G143" s="185"/>
      <c r="H143" s="186" t="s">
        <v>659</v>
      </c>
      <c r="I143" s="186" t="s">
        <v>660</v>
      </c>
      <c r="J143" s="186" t="s">
        <v>599</v>
      </c>
      <c r="K143" s="40"/>
      <c r="L143" s="40"/>
      <c r="M143" s="40"/>
      <c r="N143" s="40"/>
      <c r="O143" s="40"/>
      <c r="P143" s="40"/>
    </row>
    <row r="144" spans="2:16" ht="121.5" x14ac:dyDescent="0.2">
      <c r="B144" s="185"/>
      <c r="C144" s="185"/>
      <c r="D144" s="101" t="s">
        <v>600</v>
      </c>
      <c r="E144" s="101" t="s">
        <v>601</v>
      </c>
      <c r="F144" s="101" t="s">
        <v>602</v>
      </c>
      <c r="G144" s="101" t="s">
        <v>603</v>
      </c>
      <c r="H144" s="186"/>
      <c r="I144" s="186"/>
      <c r="J144" s="186"/>
      <c r="K144" s="40"/>
      <c r="L144" s="40"/>
      <c r="M144" s="40"/>
      <c r="N144" s="40"/>
      <c r="O144" s="40"/>
    </row>
    <row r="145" spans="2:16" ht="27" x14ac:dyDescent="0.25">
      <c r="B145" s="98" t="s">
        <v>617</v>
      </c>
      <c r="C145" s="99" t="s">
        <v>661</v>
      </c>
      <c r="D145" s="102">
        <v>500</v>
      </c>
      <c r="E145" s="102">
        <v>9.9405737999999992</v>
      </c>
      <c r="F145" s="157">
        <v>16.00737140547945</v>
      </c>
      <c r="G145" s="102">
        <v>525.94794520547941</v>
      </c>
      <c r="H145" s="9">
        <v>233.40679</v>
      </c>
      <c r="I145" s="9">
        <v>4.01</v>
      </c>
      <c r="J145" s="158">
        <f>H145+I145</f>
        <v>237.41678999999999</v>
      </c>
      <c r="K145" s="40"/>
      <c r="L145" s="40"/>
      <c r="M145" s="40"/>
      <c r="N145" s="40"/>
      <c r="O145" s="40"/>
      <c r="P145" s="40"/>
    </row>
    <row r="146" spans="2:16" x14ac:dyDescent="0.2">
      <c r="J146" s="82"/>
      <c r="P146" s="40"/>
    </row>
    <row r="147" spans="2:16" x14ac:dyDescent="0.2">
      <c r="J147" s="82"/>
      <c r="K147" s="40"/>
      <c r="L147" s="40"/>
      <c r="M147" s="40"/>
      <c r="N147" s="40"/>
      <c r="O147" s="40"/>
      <c r="P147" s="40"/>
    </row>
    <row r="148" spans="2:16" ht="13.5" x14ac:dyDescent="0.25">
      <c r="B148" s="105" t="s">
        <v>604</v>
      </c>
      <c r="J148" s="82"/>
      <c r="K148" s="40"/>
      <c r="L148" s="40"/>
      <c r="M148" s="40"/>
      <c r="N148" s="40"/>
      <c r="O148" s="40"/>
      <c r="P148" s="40"/>
    </row>
    <row r="149" spans="2:16" x14ac:dyDescent="0.2">
      <c r="B149" s="40"/>
      <c r="C149" s="40"/>
      <c r="D149" s="40"/>
      <c r="E149" s="40"/>
      <c r="F149" s="40"/>
      <c r="G149" s="40"/>
      <c r="H149" s="40"/>
      <c r="J149" s="82"/>
      <c r="K149" s="40"/>
      <c r="L149" s="40"/>
      <c r="M149" s="40"/>
      <c r="N149" s="40"/>
      <c r="O149" s="40"/>
      <c r="P149" s="40"/>
    </row>
    <row r="150" spans="2:16" x14ac:dyDescent="0.2">
      <c r="B150" s="106" t="s">
        <v>605</v>
      </c>
      <c r="C150" s="40"/>
      <c r="D150" s="40"/>
      <c r="E150" s="40"/>
      <c r="F150" s="40"/>
      <c r="G150" s="40"/>
      <c r="H150" s="40"/>
      <c r="J150" s="82"/>
      <c r="K150" s="40"/>
      <c r="L150" s="40"/>
      <c r="M150" s="40"/>
      <c r="N150" s="40"/>
      <c r="O150" s="40"/>
      <c r="P150" s="40"/>
    </row>
    <row r="151" spans="2:16" x14ac:dyDescent="0.2">
      <c r="B151" s="40"/>
      <c r="C151" s="40"/>
      <c r="D151" s="40"/>
      <c r="E151" s="40"/>
      <c r="F151" s="40"/>
      <c r="G151" s="40"/>
      <c r="H151" s="40"/>
      <c r="J151" s="82"/>
      <c r="K151" s="40"/>
      <c r="L151" s="40"/>
      <c r="M151" s="40"/>
      <c r="N151" s="40"/>
      <c r="O151" s="40"/>
      <c r="P151" s="40"/>
    </row>
    <row r="152" spans="2:16" x14ac:dyDescent="0.2">
      <c r="B152" s="106" t="s">
        <v>606</v>
      </c>
      <c r="C152" s="40"/>
      <c r="D152" s="40"/>
      <c r="E152" s="40"/>
      <c r="F152" s="40"/>
      <c r="G152" s="40"/>
      <c r="H152" s="40"/>
      <c r="J152" s="82"/>
      <c r="K152" s="40"/>
      <c r="L152" s="40"/>
      <c r="M152" s="40"/>
      <c r="N152" s="40"/>
      <c r="O152" s="40"/>
      <c r="P152" s="40"/>
    </row>
    <row r="153" spans="2:16" x14ac:dyDescent="0.2">
      <c r="J153" s="82"/>
      <c r="K153" s="40"/>
      <c r="L153" s="40"/>
      <c r="M153" s="40"/>
      <c r="N153" s="40"/>
      <c r="O153" s="40"/>
    </row>
    <row r="154" spans="2:16" x14ac:dyDescent="0.2">
      <c r="B154" s="106" t="s">
        <v>607</v>
      </c>
      <c r="J154" s="82"/>
      <c r="K154" s="40"/>
      <c r="L154" s="40"/>
      <c r="M154" s="40"/>
      <c r="N154" s="40"/>
      <c r="O154" s="40"/>
    </row>
    <row r="155" spans="2:16" x14ac:dyDescent="0.2">
      <c r="J155" s="82"/>
    </row>
    <row r="156" spans="2:16" ht="25.5" x14ac:dyDescent="0.2">
      <c r="B156" s="78" t="s">
        <v>564</v>
      </c>
    </row>
    <row r="158" spans="2:16" ht="153.75" customHeight="1" x14ac:dyDescent="0.2"/>
    <row r="161" spans="2:10" x14ac:dyDescent="0.2">
      <c r="B161" s="79" t="s">
        <v>662</v>
      </c>
      <c r="C161" s="80"/>
      <c r="D161" s="79"/>
    </row>
    <row r="162" spans="2:10" x14ac:dyDescent="0.2">
      <c r="B162" s="79" t="s">
        <v>663</v>
      </c>
      <c r="D162" s="79"/>
    </row>
    <row r="163" spans="2:10" ht="165" customHeight="1" x14ac:dyDescent="0.2"/>
    <row r="165" spans="2:10" x14ac:dyDescent="0.2">
      <c r="J165" s="82"/>
    </row>
    <row r="166" spans="2:10" x14ac:dyDescent="0.2">
      <c r="J166" s="82"/>
    </row>
    <row r="167" spans="2:10" x14ac:dyDescent="0.2">
      <c r="J167" s="82"/>
    </row>
    <row r="168" spans="2:10" x14ac:dyDescent="0.2">
      <c r="J168" s="82"/>
    </row>
    <row r="169" spans="2:10" x14ac:dyDescent="0.2">
      <c r="J169" s="82"/>
    </row>
    <row r="170" spans="2:10" x14ac:dyDescent="0.2">
      <c r="J170" s="82"/>
    </row>
    <row r="171" spans="2:10" x14ac:dyDescent="0.2">
      <c r="J171" s="82"/>
    </row>
    <row r="172" spans="2:10" x14ac:dyDescent="0.2">
      <c r="J172" s="82"/>
    </row>
    <row r="173" spans="2:10" x14ac:dyDescent="0.2">
      <c r="J173" s="82"/>
    </row>
  </sheetData>
  <mergeCells count="39">
    <mergeCell ref="B103:H103"/>
    <mergeCell ref="B127:C127"/>
    <mergeCell ref="B128:C128"/>
    <mergeCell ref="B105:D105"/>
    <mergeCell ref="B106:C106"/>
    <mergeCell ref="B107:C107"/>
    <mergeCell ref="B108:C108"/>
    <mergeCell ref="B120:C120"/>
    <mergeCell ref="B124:C124"/>
    <mergeCell ref="B122:C122"/>
    <mergeCell ref="B123:C123"/>
    <mergeCell ref="B126:D126"/>
    <mergeCell ref="A3:H3"/>
    <mergeCell ref="A2:H2"/>
    <mergeCell ref="A1:H1"/>
    <mergeCell ref="B101:H101"/>
    <mergeCell ref="B102:H102"/>
    <mergeCell ref="B129:C129"/>
    <mergeCell ref="B130:C130"/>
    <mergeCell ref="B131:C131"/>
    <mergeCell ref="B132:C132"/>
    <mergeCell ref="B133:C133"/>
    <mergeCell ref="B134:C134"/>
    <mergeCell ref="B135:C135"/>
    <mergeCell ref="B136:D136"/>
    <mergeCell ref="B138:H138"/>
    <mergeCell ref="D139:F139"/>
    <mergeCell ref="G139:H139"/>
    <mergeCell ref="D140:F140"/>
    <mergeCell ref="G140:H140"/>
    <mergeCell ref="D141:F141"/>
    <mergeCell ref="G141:H141"/>
    <mergeCell ref="B142:H142"/>
    <mergeCell ref="J143:J144"/>
    <mergeCell ref="B143:B144"/>
    <mergeCell ref="C143:C144"/>
    <mergeCell ref="D143:G143"/>
    <mergeCell ref="H143:H144"/>
    <mergeCell ref="I143:I144"/>
  </mergeCells>
  <hyperlinks>
    <hyperlink ref="B150" r:id="rId1" xr:uid="{1CAF2AF2-72CA-4D39-A528-3FD32CA45451}"/>
    <hyperlink ref="B152" r:id="rId2" xr:uid="{F1A8A13E-FCD7-4DC3-897C-15CECEE9E12C}"/>
    <hyperlink ref="B154" r:id="rId3" xr:uid="{8FB179DB-B5C5-451C-8306-421DB622E2EC}"/>
  </hyperlinks>
  <pageMargins left="5.000000074505806E-2" right="5.000000074505806E-2" top="0.30000001192092896" bottom="0.20000000298023224" header="0" footer="0"/>
  <pageSetup paperSize="9" orientation="landscape" horizontalDpi="0" verticalDpi="0"/>
  <headerFooter alignWithMargins="0"/>
  <drawing r:id="rId4"/>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D02134-F4F2-4904-83F2-5A1AC1D995F3}">
  <sheetPr>
    <outlinePr summaryBelow="0" summaryRight="0"/>
  </sheetPr>
  <dimension ref="A1:U121"/>
  <sheetViews>
    <sheetView showGridLines="0" workbookViewId="0">
      <selection sqref="A1:H1"/>
    </sheetView>
  </sheetViews>
  <sheetFormatPr defaultRowHeight="12.75" x14ac:dyDescent="0.2"/>
  <cols>
    <col min="1" max="1" width="5.85546875" bestFit="1" customWidth="1"/>
    <col min="2" max="2" width="23.28515625" customWidth="1"/>
    <col min="3" max="3" width="37.28515625" customWidth="1"/>
    <col min="4" max="4" width="10.7109375" bestFit="1" customWidth="1"/>
    <col min="5" max="5" width="8.7109375" bestFit="1" customWidth="1"/>
    <col min="6" max="6" width="10.140625" bestFit="1" customWidth="1"/>
    <col min="7" max="7" width="14" bestFit="1" customWidth="1"/>
  </cols>
  <sheetData>
    <row r="1" spans="1:8" ht="15" x14ac:dyDescent="0.2">
      <c r="A1" s="170" t="s">
        <v>0</v>
      </c>
      <c r="B1" s="170"/>
      <c r="C1" s="170"/>
      <c r="D1" s="170"/>
      <c r="E1" s="170"/>
      <c r="F1" s="170"/>
      <c r="G1" s="170"/>
      <c r="H1" s="170"/>
    </row>
    <row r="2" spans="1:8" ht="15" x14ac:dyDescent="0.2">
      <c r="A2" s="170" t="s">
        <v>526</v>
      </c>
      <c r="B2" s="170"/>
      <c r="C2" s="170"/>
      <c r="D2" s="170"/>
      <c r="E2" s="170"/>
      <c r="F2" s="170"/>
      <c r="G2" s="170"/>
      <c r="H2" s="170"/>
    </row>
    <row r="3" spans="1:8" ht="15" x14ac:dyDescent="0.2">
      <c r="A3" s="170" t="s">
        <v>686</v>
      </c>
      <c r="B3" s="170"/>
      <c r="C3" s="170"/>
      <c r="D3" s="170"/>
      <c r="E3" s="170"/>
      <c r="F3" s="170"/>
      <c r="G3" s="170"/>
      <c r="H3" s="170"/>
    </row>
    <row r="4" spans="1:8" s="14" customFormat="1" ht="30" x14ac:dyDescent="0.2">
      <c r="A4" s="12" t="s">
        <v>2</v>
      </c>
      <c r="B4" s="12" t="s">
        <v>3</v>
      </c>
      <c r="C4" s="12" t="s">
        <v>4</v>
      </c>
      <c r="D4" s="12" t="s">
        <v>5</v>
      </c>
      <c r="E4" s="12" t="s">
        <v>6</v>
      </c>
      <c r="F4" s="12" t="s">
        <v>7</v>
      </c>
      <c r="G4" s="12" t="s">
        <v>8</v>
      </c>
      <c r="H4" s="13" t="s">
        <v>681</v>
      </c>
    </row>
    <row r="5" spans="1:8" x14ac:dyDescent="0.2">
      <c r="A5" s="15"/>
      <c r="B5" s="15"/>
      <c r="C5" s="16" t="s">
        <v>9</v>
      </c>
      <c r="D5" s="15"/>
      <c r="E5" s="15"/>
      <c r="F5" s="15"/>
      <c r="G5" s="17"/>
      <c r="H5" s="18" t="s">
        <v>12</v>
      </c>
    </row>
    <row r="6" spans="1:8" x14ac:dyDescent="0.2">
      <c r="A6" s="19"/>
      <c r="B6" s="19"/>
      <c r="C6" s="20" t="s">
        <v>10</v>
      </c>
      <c r="D6" s="19"/>
      <c r="E6" s="19"/>
      <c r="F6" s="19"/>
      <c r="G6" s="21"/>
      <c r="H6" s="18" t="s">
        <v>12</v>
      </c>
    </row>
    <row r="7" spans="1:8" x14ac:dyDescent="0.2">
      <c r="A7" s="19"/>
      <c r="B7" s="19"/>
      <c r="C7" s="20" t="s">
        <v>11</v>
      </c>
      <c r="D7" s="19"/>
      <c r="E7" s="19" t="s">
        <v>12</v>
      </c>
      <c r="F7" s="22" t="s">
        <v>13</v>
      </c>
      <c r="G7" s="23">
        <v>0</v>
      </c>
      <c r="H7" s="18" t="s">
        <v>12</v>
      </c>
    </row>
    <row r="8" spans="1:8" x14ac:dyDescent="0.2">
      <c r="A8" s="19"/>
      <c r="B8" s="19"/>
      <c r="C8" s="24"/>
      <c r="D8" s="19"/>
      <c r="E8" s="19"/>
      <c r="F8" s="25"/>
      <c r="G8" s="26"/>
      <c r="H8" s="18" t="s">
        <v>12</v>
      </c>
    </row>
    <row r="9" spans="1:8" x14ac:dyDescent="0.2">
      <c r="A9" s="19"/>
      <c r="B9" s="19"/>
      <c r="C9" s="20" t="s">
        <v>14</v>
      </c>
      <c r="D9" s="19"/>
      <c r="E9" s="19"/>
      <c r="F9" s="19"/>
      <c r="G9" s="21"/>
      <c r="H9" s="18" t="s">
        <v>12</v>
      </c>
    </row>
    <row r="10" spans="1:8" x14ac:dyDescent="0.2">
      <c r="A10" s="19"/>
      <c r="B10" s="19"/>
      <c r="C10" s="20" t="s">
        <v>11</v>
      </c>
      <c r="D10" s="19"/>
      <c r="E10" s="19" t="s">
        <v>12</v>
      </c>
      <c r="F10" s="22" t="s">
        <v>13</v>
      </c>
      <c r="G10" s="23">
        <v>0</v>
      </c>
      <c r="H10" s="18" t="s">
        <v>12</v>
      </c>
    </row>
    <row r="11" spans="1:8" x14ac:dyDescent="0.2">
      <c r="A11" s="19"/>
      <c r="B11" s="19"/>
      <c r="C11" s="24"/>
      <c r="D11" s="19"/>
      <c r="E11" s="19"/>
      <c r="F11" s="25"/>
      <c r="G11" s="26"/>
      <c r="H11" s="18" t="s">
        <v>12</v>
      </c>
    </row>
    <row r="12" spans="1:8" x14ac:dyDescent="0.2">
      <c r="A12" s="19"/>
      <c r="B12" s="19"/>
      <c r="C12" s="20" t="s">
        <v>15</v>
      </c>
      <c r="D12" s="19"/>
      <c r="E12" s="19"/>
      <c r="F12" s="19"/>
      <c r="G12" s="21"/>
      <c r="H12" s="18" t="s">
        <v>12</v>
      </c>
    </row>
    <row r="13" spans="1:8" x14ac:dyDescent="0.2">
      <c r="A13" s="19"/>
      <c r="B13" s="19"/>
      <c r="C13" s="20" t="s">
        <v>11</v>
      </c>
      <c r="D13" s="19"/>
      <c r="E13" s="19" t="s">
        <v>12</v>
      </c>
      <c r="F13" s="22" t="s">
        <v>13</v>
      </c>
      <c r="G13" s="23">
        <v>0</v>
      </c>
      <c r="H13" s="18" t="s">
        <v>12</v>
      </c>
    </row>
    <row r="14" spans="1:8" x14ac:dyDescent="0.2">
      <c r="A14" s="19"/>
      <c r="B14" s="19"/>
      <c r="C14" s="24"/>
      <c r="D14" s="19"/>
      <c r="E14" s="19"/>
      <c r="F14" s="25"/>
      <c r="G14" s="26"/>
      <c r="H14" s="18" t="s">
        <v>12</v>
      </c>
    </row>
    <row r="15" spans="1:8" x14ac:dyDescent="0.2">
      <c r="A15" s="19"/>
      <c r="B15" s="19"/>
      <c r="C15" s="20" t="s">
        <v>16</v>
      </c>
      <c r="D15" s="19"/>
      <c r="E15" s="19"/>
      <c r="F15" s="19"/>
      <c r="G15" s="21"/>
      <c r="H15" s="18" t="s">
        <v>12</v>
      </c>
    </row>
    <row r="16" spans="1:8" x14ac:dyDescent="0.2">
      <c r="A16" s="19"/>
      <c r="B16" s="19"/>
      <c r="C16" s="20" t="s">
        <v>11</v>
      </c>
      <c r="D16" s="19"/>
      <c r="E16" s="19" t="s">
        <v>12</v>
      </c>
      <c r="F16" s="22" t="s">
        <v>13</v>
      </c>
      <c r="G16" s="23">
        <v>0</v>
      </c>
      <c r="H16" s="18" t="s">
        <v>12</v>
      </c>
    </row>
    <row r="17" spans="1:8" x14ac:dyDescent="0.2">
      <c r="A17" s="19"/>
      <c r="B17" s="19"/>
      <c r="C17" s="24"/>
      <c r="D17" s="19"/>
      <c r="E17" s="19"/>
      <c r="F17" s="25"/>
      <c r="G17" s="26"/>
      <c r="H17" s="18" t="s">
        <v>12</v>
      </c>
    </row>
    <row r="18" spans="1:8" x14ac:dyDescent="0.2">
      <c r="A18" s="19"/>
      <c r="B18" s="19"/>
      <c r="C18" s="20" t="s">
        <v>17</v>
      </c>
      <c r="D18" s="19"/>
      <c r="E18" s="19"/>
      <c r="F18" s="25"/>
      <c r="G18" s="26"/>
      <c r="H18" s="18" t="s">
        <v>12</v>
      </c>
    </row>
    <row r="19" spans="1:8" x14ac:dyDescent="0.2">
      <c r="A19" s="19"/>
      <c r="B19" s="19"/>
      <c r="C19" s="20" t="s">
        <v>11</v>
      </c>
      <c r="D19" s="19"/>
      <c r="E19" s="19" t="s">
        <v>12</v>
      </c>
      <c r="F19" s="22" t="s">
        <v>13</v>
      </c>
      <c r="G19" s="23">
        <v>0</v>
      </c>
      <c r="H19" s="18" t="s">
        <v>12</v>
      </c>
    </row>
    <row r="20" spans="1:8" x14ac:dyDescent="0.2">
      <c r="A20" s="19"/>
      <c r="B20" s="19"/>
      <c r="C20" s="24"/>
      <c r="D20" s="19"/>
      <c r="E20" s="19"/>
      <c r="F20" s="25"/>
      <c r="G20" s="26"/>
      <c r="H20" s="18" t="s">
        <v>12</v>
      </c>
    </row>
    <row r="21" spans="1:8" x14ac:dyDescent="0.2">
      <c r="A21" s="19"/>
      <c r="B21" s="19"/>
      <c r="C21" s="20" t="s">
        <v>18</v>
      </c>
      <c r="D21" s="19"/>
      <c r="E21" s="19"/>
      <c r="F21" s="25"/>
      <c r="G21" s="26"/>
      <c r="H21" s="18" t="s">
        <v>12</v>
      </c>
    </row>
    <row r="22" spans="1:8" x14ac:dyDescent="0.2">
      <c r="A22" s="19"/>
      <c r="B22" s="19"/>
      <c r="C22" s="20" t="s">
        <v>11</v>
      </c>
      <c r="D22" s="19"/>
      <c r="E22" s="19" t="s">
        <v>12</v>
      </c>
      <c r="F22" s="22" t="s">
        <v>13</v>
      </c>
      <c r="G22" s="23">
        <v>0</v>
      </c>
      <c r="H22" s="18" t="s">
        <v>12</v>
      </c>
    </row>
    <row r="23" spans="1:8" x14ac:dyDescent="0.2">
      <c r="A23" s="19"/>
      <c r="B23" s="19"/>
      <c r="C23" s="24"/>
      <c r="D23" s="19"/>
      <c r="E23" s="19"/>
      <c r="F23" s="25"/>
      <c r="G23" s="26"/>
      <c r="H23" s="18" t="s">
        <v>12</v>
      </c>
    </row>
    <row r="24" spans="1:8" x14ac:dyDescent="0.2">
      <c r="A24" s="19"/>
      <c r="B24" s="19"/>
      <c r="C24" s="20" t="s">
        <v>19</v>
      </c>
      <c r="D24" s="19"/>
      <c r="E24" s="19"/>
      <c r="F24" s="27">
        <v>0</v>
      </c>
      <c r="G24" s="23">
        <v>0</v>
      </c>
      <c r="H24" s="18" t="s">
        <v>12</v>
      </c>
    </row>
    <row r="25" spans="1:8" x14ac:dyDescent="0.2">
      <c r="A25" s="19"/>
      <c r="B25" s="19"/>
      <c r="C25" s="24"/>
      <c r="D25" s="19"/>
      <c r="E25" s="19"/>
      <c r="F25" s="25"/>
      <c r="G25" s="26"/>
      <c r="H25" s="18" t="s">
        <v>12</v>
      </c>
    </row>
    <row r="26" spans="1:8" x14ac:dyDescent="0.2">
      <c r="A26" s="19"/>
      <c r="B26" s="19"/>
      <c r="C26" s="20" t="s">
        <v>20</v>
      </c>
      <c r="D26" s="19"/>
      <c r="E26" s="19"/>
      <c r="F26" s="25"/>
      <c r="G26" s="26"/>
      <c r="H26" s="18" t="s">
        <v>12</v>
      </c>
    </row>
    <row r="27" spans="1:8" x14ac:dyDescent="0.2">
      <c r="A27" s="19"/>
      <c r="B27" s="19"/>
      <c r="C27" s="20" t="s">
        <v>10</v>
      </c>
      <c r="D27" s="19"/>
      <c r="E27" s="19"/>
      <c r="F27" s="25"/>
      <c r="G27" s="26"/>
      <c r="H27" s="18" t="s">
        <v>12</v>
      </c>
    </row>
    <row r="28" spans="1:8" x14ac:dyDescent="0.2">
      <c r="A28" s="19"/>
      <c r="B28" s="19"/>
      <c r="C28" s="20" t="s">
        <v>11</v>
      </c>
      <c r="D28" s="19"/>
      <c r="E28" s="19" t="s">
        <v>12</v>
      </c>
      <c r="F28" s="22" t="s">
        <v>13</v>
      </c>
      <c r="G28" s="23">
        <v>0</v>
      </c>
      <c r="H28" s="18" t="s">
        <v>12</v>
      </c>
    </row>
    <row r="29" spans="1:8" x14ac:dyDescent="0.2">
      <c r="A29" s="19"/>
      <c r="B29" s="19"/>
      <c r="C29" s="24"/>
      <c r="D29" s="19"/>
      <c r="E29" s="19"/>
      <c r="F29" s="25"/>
      <c r="G29" s="26"/>
      <c r="H29" s="18" t="s">
        <v>12</v>
      </c>
    </row>
    <row r="30" spans="1:8" x14ac:dyDescent="0.2">
      <c r="A30" s="19"/>
      <c r="B30" s="19"/>
      <c r="C30" s="20" t="s">
        <v>71</v>
      </c>
      <c r="D30" s="19"/>
      <c r="E30" s="19"/>
      <c r="F30" s="19"/>
      <c r="G30" s="21"/>
      <c r="H30" s="18" t="s">
        <v>12</v>
      </c>
    </row>
    <row r="31" spans="1:8" x14ac:dyDescent="0.2">
      <c r="A31" s="19"/>
      <c r="B31" s="19"/>
      <c r="C31" s="20" t="s">
        <v>11</v>
      </c>
      <c r="D31" s="19"/>
      <c r="E31" s="19" t="s">
        <v>12</v>
      </c>
      <c r="F31" s="22" t="s">
        <v>13</v>
      </c>
      <c r="G31" s="23">
        <v>0</v>
      </c>
      <c r="H31" s="18" t="s">
        <v>12</v>
      </c>
    </row>
    <row r="32" spans="1:8" x14ac:dyDescent="0.2">
      <c r="A32" s="19"/>
      <c r="B32" s="19"/>
      <c r="C32" s="24"/>
      <c r="D32" s="19"/>
      <c r="E32" s="19"/>
      <c r="F32" s="25"/>
      <c r="G32" s="26"/>
      <c r="H32" s="18" t="s">
        <v>12</v>
      </c>
    </row>
    <row r="33" spans="1:8" x14ac:dyDescent="0.2">
      <c r="A33" s="19"/>
      <c r="B33" s="19"/>
      <c r="C33" s="20" t="s">
        <v>72</v>
      </c>
      <c r="D33" s="19"/>
      <c r="E33" s="19"/>
      <c r="F33" s="19"/>
      <c r="G33" s="21"/>
      <c r="H33" s="18" t="s">
        <v>12</v>
      </c>
    </row>
    <row r="34" spans="1:8" x14ac:dyDescent="0.2">
      <c r="A34" s="19"/>
      <c r="B34" s="19"/>
      <c r="C34" s="20" t="s">
        <v>11</v>
      </c>
      <c r="D34" s="19"/>
      <c r="E34" s="19" t="s">
        <v>12</v>
      </c>
      <c r="F34" s="22" t="s">
        <v>13</v>
      </c>
      <c r="G34" s="23">
        <v>0</v>
      </c>
      <c r="H34" s="18" t="s">
        <v>12</v>
      </c>
    </row>
    <row r="35" spans="1:8" x14ac:dyDescent="0.2">
      <c r="A35" s="19"/>
      <c r="B35" s="19"/>
      <c r="C35" s="24"/>
      <c r="D35" s="19"/>
      <c r="E35" s="19"/>
      <c r="F35" s="25"/>
      <c r="G35" s="26"/>
      <c r="H35" s="18" t="s">
        <v>12</v>
      </c>
    </row>
    <row r="36" spans="1:8" x14ac:dyDescent="0.2">
      <c r="A36" s="19"/>
      <c r="B36" s="19"/>
      <c r="C36" s="20" t="s">
        <v>88</v>
      </c>
      <c r="D36" s="19"/>
      <c r="E36" s="19"/>
      <c r="F36" s="25"/>
      <c r="G36" s="26"/>
      <c r="H36" s="18" t="s">
        <v>12</v>
      </c>
    </row>
    <row r="37" spans="1:8" x14ac:dyDescent="0.2">
      <c r="A37" s="19"/>
      <c r="B37" s="19"/>
      <c r="C37" s="20" t="s">
        <v>11</v>
      </c>
      <c r="D37" s="19"/>
      <c r="E37" s="19" t="s">
        <v>12</v>
      </c>
      <c r="F37" s="22" t="s">
        <v>13</v>
      </c>
      <c r="G37" s="23">
        <v>0</v>
      </c>
      <c r="H37" s="18" t="s">
        <v>12</v>
      </c>
    </row>
    <row r="38" spans="1:8" x14ac:dyDescent="0.2">
      <c r="A38" s="19"/>
      <c r="B38" s="19"/>
      <c r="C38" s="24"/>
      <c r="D38" s="19"/>
      <c r="E38" s="19"/>
      <c r="F38" s="25"/>
      <c r="G38" s="26"/>
      <c r="H38" s="18" t="s">
        <v>12</v>
      </c>
    </row>
    <row r="39" spans="1:8" x14ac:dyDescent="0.2">
      <c r="A39" s="19"/>
      <c r="B39" s="19"/>
      <c r="C39" s="20" t="s">
        <v>89</v>
      </c>
      <c r="D39" s="19"/>
      <c r="E39" s="19"/>
      <c r="F39" s="27">
        <v>0</v>
      </c>
      <c r="G39" s="23">
        <v>0</v>
      </c>
      <c r="H39" s="18" t="s">
        <v>12</v>
      </c>
    </row>
    <row r="40" spans="1:8" x14ac:dyDescent="0.2">
      <c r="A40" s="19"/>
      <c r="B40" s="19"/>
      <c r="C40" s="24"/>
      <c r="D40" s="19"/>
      <c r="E40" s="19"/>
      <c r="F40" s="25"/>
      <c r="G40" s="26"/>
      <c r="H40" s="18" t="s">
        <v>12</v>
      </c>
    </row>
    <row r="41" spans="1:8" x14ac:dyDescent="0.2">
      <c r="A41" s="19"/>
      <c r="B41" s="19"/>
      <c r="C41" s="20" t="s">
        <v>90</v>
      </c>
      <c r="D41" s="19"/>
      <c r="E41" s="19"/>
      <c r="F41" s="25"/>
      <c r="G41" s="26"/>
      <c r="H41" s="18" t="s">
        <v>12</v>
      </c>
    </row>
    <row r="42" spans="1:8" x14ac:dyDescent="0.2">
      <c r="A42" s="19"/>
      <c r="B42" s="19"/>
      <c r="C42" s="20" t="s">
        <v>91</v>
      </c>
      <c r="D42" s="19"/>
      <c r="E42" s="19"/>
      <c r="F42" s="25"/>
      <c r="G42" s="26"/>
      <c r="H42" s="18" t="s">
        <v>12</v>
      </c>
    </row>
    <row r="43" spans="1:8" x14ac:dyDescent="0.2">
      <c r="A43" s="19"/>
      <c r="B43" s="19"/>
      <c r="C43" s="20" t="s">
        <v>11</v>
      </c>
      <c r="D43" s="19"/>
      <c r="E43" s="19" t="s">
        <v>12</v>
      </c>
      <c r="F43" s="22" t="s">
        <v>13</v>
      </c>
      <c r="G43" s="23">
        <v>0</v>
      </c>
      <c r="H43" s="18" t="s">
        <v>12</v>
      </c>
    </row>
    <row r="44" spans="1:8" x14ac:dyDescent="0.2">
      <c r="A44" s="19"/>
      <c r="B44" s="19"/>
      <c r="C44" s="24"/>
      <c r="D44" s="19"/>
      <c r="E44" s="19"/>
      <c r="F44" s="25"/>
      <c r="G44" s="26"/>
      <c r="H44" s="18" t="s">
        <v>12</v>
      </c>
    </row>
    <row r="45" spans="1:8" x14ac:dyDescent="0.2">
      <c r="A45" s="19"/>
      <c r="B45" s="19"/>
      <c r="C45" s="20" t="s">
        <v>92</v>
      </c>
      <c r="D45" s="19"/>
      <c r="E45" s="19"/>
      <c r="F45" s="25"/>
      <c r="G45" s="26"/>
      <c r="H45" s="18" t="s">
        <v>12</v>
      </c>
    </row>
    <row r="46" spans="1:8" x14ac:dyDescent="0.2">
      <c r="A46" s="19"/>
      <c r="B46" s="19"/>
      <c r="C46" s="20" t="s">
        <v>11</v>
      </c>
      <c r="D46" s="19"/>
      <c r="E46" s="19" t="s">
        <v>12</v>
      </c>
      <c r="F46" s="22" t="s">
        <v>13</v>
      </c>
      <c r="G46" s="23">
        <v>0</v>
      </c>
      <c r="H46" s="18" t="s">
        <v>12</v>
      </c>
    </row>
    <row r="47" spans="1:8" x14ac:dyDescent="0.2">
      <c r="A47" s="19"/>
      <c r="B47" s="19"/>
      <c r="C47" s="24"/>
      <c r="D47" s="19"/>
      <c r="E47" s="19"/>
      <c r="F47" s="25"/>
      <c r="G47" s="26"/>
      <c r="H47" s="18" t="s">
        <v>12</v>
      </c>
    </row>
    <row r="48" spans="1:8" x14ac:dyDescent="0.2">
      <c r="A48" s="19"/>
      <c r="B48" s="19"/>
      <c r="C48" s="20" t="s">
        <v>93</v>
      </c>
      <c r="D48" s="19"/>
      <c r="E48" s="19"/>
      <c r="F48" s="25"/>
      <c r="G48" s="26"/>
      <c r="H48" s="18" t="s">
        <v>12</v>
      </c>
    </row>
    <row r="49" spans="1:8" x14ac:dyDescent="0.2">
      <c r="A49" s="28">
        <v>1</v>
      </c>
      <c r="B49" s="29" t="s">
        <v>527</v>
      </c>
      <c r="C49" s="29" t="s">
        <v>528</v>
      </c>
      <c r="D49" s="29" t="s">
        <v>75</v>
      </c>
      <c r="E49" s="30">
        <v>1500000</v>
      </c>
      <c r="F49" s="31">
        <v>1496.85</v>
      </c>
      <c r="G49" s="32">
        <v>2.1448869999999998E-2</v>
      </c>
      <c r="H49" s="18">
        <v>6.4</v>
      </c>
    </row>
    <row r="50" spans="1:8" x14ac:dyDescent="0.2">
      <c r="A50" s="28">
        <v>2</v>
      </c>
      <c r="B50" s="29" t="s">
        <v>529</v>
      </c>
      <c r="C50" s="29" t="s">
        <v>530</v>
      </c>
      <c r="D50" s="29" t="s">
        <v>75</v>
      </c>
      <c r="E50" s="30">
        <v>1000000</v>
      </c>
      <c r="F50" s="31">
        <v>999.11599999999999</v>
      </c>
      <c r="G50" s="32">
        <v>1.431667E-2</v>
      </c>
      <c r="H50" s="18">
        <v>6.46</v>
      </c>
    </row>
    <row r="51" spans="1:8" x14ac:dyDescent="0.2">
      <c r="A51" s="28">
        <v>3</v>
      </c>
      <c r="B51" s="29" t="s">
        <v>531</v>
      </c>
      <c r="C51" s="29" t="s">
        <v>532</v>
      </c>
      <c r="D51" s="29" t="s">
        <v>75</v>
      </c>
      <c r="E51" s="30">
        <v>500000</v>
      </c>
      <c r="F51" s="31">
        <v>499.55500000000001</v>
      </c>
      <c r="G51" s="32">
        <v>7.1582900000000003E-3</v>
      </c>
      <c r="H51" s="18">
        <v>6.5</v>
      </c>
    </row>
    <row r="52" spans="1:8" x14ac:dyDescent="0.2">
      <c r="A52" s="28">
        <v>4</v>
      </c>
      <c r="B52" s="29" t="s">
        <v>533</v>
      </c>
      <c r="C52" s="29" t="s">
        <v>534</v>
      </c>
      <c r="D52" s="29" t="s">
        <v>75</v>
      </c>
      <c r="E52" s="30">
        <v>500000</v>
      </c>
      <c r="F52" s="31">
        <v>498.95</v>
      </c>
      <c r="G52" s="32">
        <v>7.1496199999999998E-3</v>
      </c>
      <c r="H52" s="18">
        <v>6.4</v>
      </c>
    </row>
    <row r="53" spans="1:8" x14ac:dyDescent="0.2">
      <c r="A53" s="19"/>
      <c r="B53" s="19"/>
      <c r="C53" s="20" t="s">
        <v>11</v>
      </c>
      <c r="D53" s="19"/>
      <c r="E53" s="19" t="s">
        <v>12</v>
      </c>
      <c r="F53" s="27">
        <v>3494.471</v>
      </c>
      <c r="G53" s="23">
        <v>5.0073449999999999E-2</v>
      </c>
      <c r="H53" s="18" t="s">
        <v>12</v>
      </c>
    </row>
    <row r="54" spans="1:8" x14ac:dyDescent="0.2">
      <c r="A54" s="19"/>
      <c r="B54" s="19"/>
      <c r="C54" s="24"/>
      <c r="D54" s="19"/>
      <c r="E54" s="19"/>
      <c r="F54" s="25"/>
      <c r="G54" s="26"/>
      <c r="H54" s="18" t="s">
        <v>12</v>
      </c>
    </row>
    <row r="55" spans="1:8" x14ac:dyDescent="0.2">
      <c r="A55" s="19"/>
      <c r="B55" s="19"/>
      <c r="C55" s="20" t="s">
        <v>94</v>
      </c>
      <c r="D55" s="19"/>
      <c r="E55" s="19"/>
      <c r="F55" s="25"/>
      <c r="G55" s="26"/>
      <c r="H55" s="18" t="s">
        <v>12</v>
      </c>
    </row>
    <row r="56" spans="1:8" x14ac:dyDescent="0.2">
      <c r="A56" s="28">
        <v>1</v>
      </c>
      <c r="B56" s="29"/>
      <c r="C56" s="29" t="s">
        <v>398</v>
      </c>
      <c r="D56" s="29"/>
      <c r="E56" s="33"/>
      <c r="F56" s="31">
        <v>62319.473336000003</v>
      </c>
      <c r="G56" s="32">
        <v>0.89299693000000002</v>
      </c>
      <c r="H56" s="18">
        <v>6.41</v>
      </c>
    </row>
    <row r="57" spans="1:8" x14ac:dyDescent="0.2">
      <c r="A57" s="28">
        <v>2</v>
      </c>
      <c r="B57" s="29"/>
      <c r="C57" s="29" t="s">
        <v>95</v>
      </c>
      <c r="D57" s="29"/>
      <c r="E57" s="33"/>
      <c r="F57" s="31">
        <v>3783.0038659060001</v>
      </c>
      <c r="G57" s="32">
        <v>5.4207949999999998E-2</v>
      </c>
      <c r="H57" s="18">
        <v>6.23</v>
      </c>
    </row>
    <row r="58" spans="1:8" x14ac:dyDescent="0.2">
      <c r="A58" s="19"/>
      <c r="B58" s="19"/>
      <c r="C58" s="20" t="s">
        <v>11</v>
      </c>
      <c r="D58" s="19"/>
      <c r="E58" s="19" t="s">
        <v>12</v>
      </c>
      <c r="F58" s="27">
        <v>66102.477201906004</v>
      </c>
      <c r="G58" s="23">
        <v>0.94720488000000003</v>
      </c>
      <c r="H58" s="18" t="s">
        <v>12</v>
      </c>
    </row>
    <row r="59" spans="1:8" x14ac:dyDescent="0.2">
      <c r="A59" s="19"/>
      <c r="B59" s="19"/>
      <c r="C59" s="24"/>
      <c r="D59" s="19"/>
      <c r="E59" s="19"/>
      <c r="F59" s="25"/>
      <c r="G59" s="26"/>
      <c r="H59" s="18" t="s">
        <v>12</v>
      </c>
    </row>
    <row r="60" spans="1:8" x14ac:dyDescent="0.2">
      <c r="A60" s="19"/>
      <c r="B60" s="19"/>
      <c r="C60" s="20" t="s">
        <v>96</v>
      </c>
      <c r="D60" s="19"/>
      <c r="E60" s="19"/>
      <c r="F60" s="27">
        <v>69596.948201905994</v>
      </c>
      <c r="G60" s="23">
        <v>0.99727832999999999</v>
      </c>
      <c r="H60" s="18" t="s">
        <v>12</v>
      </c>
    </row>
    <row r="61" spans="1:8" x14ac:dyDescent="0.2">
      <c r="A61" s="19"/>
      <c r="B61" s="19"/>
      <c r="C61" s="25"/>
      <c r="D61" s="19"/>
      <c r="E61" s="19"/>
      <c r="F61" s="19"/>
      <c r="G61" s="21"/>
      <c r="H61" s="18" t="s">
        <v>12</v>
      </c>
    </row>
    <row r="62" spans="1:8" x14ac:dyDescent="0.2">
      <c r="A62" s="19"/>
      <c r="B62" s="19"/>
      <c r="C62" s="20" t="s">
        <v>97</v>
      </c>
      <c r="D62" s="19"/>
      <c r="E62" s="19"/>
      <c r="F62" s="19"/>
      <c r="G62" s="21"/>
      <c r="H62" s="18" t="s">
        <v>12</v>
      </c>
    </row>
    <row r="63" spans="1:8" x14ac:dyDescent="0.2">
      <c r="A63" s="19"/>
      <c r="B63" s="19"/>
      <c r="C63" s="20" t="s">
        <v>98</v>
      </c>
      <c r="D63" s="19"/>
      <c r="E63" s="19"/>
      <c r="F63" s="19"/>
      <c r="G63" s="21"/>
      <c r="H63" s="18" t="s">
        <v>12</v>
      </c>
    </row>
    <row r="64" spans="1:8" x14ac:dyDescent="0.2">
      <c r="A64" s="19"/>
      <c r="B64" s="19"/>
      <c r="C64" s="20" t="s">
        <v>11</v>
      </c>
      <c r="D64" s="19"/>
      <c r="E64" s="19" t="s">
        <v>12</v>
      </c>
      <c r="F64" s="22" t="s">
        <v>13</v>
      </c>
      <c r="G64" s="23">
        <v>0</v>
      </c>
      <c r="H64" s="18" t="s">
        <v>12</v>
      </c>
    </row>
    <row r="65" spans="1:8" x14ac:dyDescent="0.2">
      <c r="A65" s="19"/>
      <c r="B65" s="19"/>
      <c r="C65" s="24"/>
      <c r="D65" s="19"/>
      <c r="E65" s="19"/>
      <c r="F65" s="25"/>
      <c r="G65" s="26"/>
      <c r="H65" s="18" t="s">
        <v>12</v>
      </c>
    </row>
    <row r="66" spans="1:8" x14ac:dyDescent="0.2">
      <c r="A66" s="19"/>
      <c r="B66" s="19"/>
      <c r="C66" s="20" t="s">
        <v>101</v>
      </c>
      <c r="D66" s="19"/>
      <c r="E66" s="19"/>
      <c r="F66" s="19"/>
      <c r="G66" s="21"/>
      <c r="H66" s="18" t="s">
        <v>12</v>
      </c>
    </row>
    <row r="67" spans="1:8" x14ac:dyDescent="0.2">
      <c r="A67" s="19"/>
      <c r="B67" s="19"/>
      <c r="C67" s="20" t="s">
        <v>102</v>
      </c>
      <c r="D67" s="19"/>
      <c r="E67" s="19"/>
      <c r="F67" s="19"/>
      <c r="G67" s="21"/>
      <c r="H67" s="18" t="s">
        <v>12</v>
      </c>
    </row>
    <row r="68" spans="1:8" x14ac:dyDescent="0.2">
      <c r="A68" s="19"/>
      <c r="B68" s="19"/>
      <c r="C68" s="20" t="s">
        <v>11</v>
      </c>
      <c r="D68" s="19"/>
      <c r="E68" s="19" t="s">
        <v>12</v>
      </c>
      <c r="F68" s="22" t="s">
        <v>13</v>
      </c>
      <c r="G68" s="23">
        <v>0</v>
      </c>
      <c r="H68" s="18" t="s">
        <v>12</v>
      </c>
    </row>
    <row r="69" spans="1:8" x14ac:dyDescent="0.2">
      <c r="A69" s="19"/>
      <c r="B69" s="19"/>
      <c r="C69" s="24"/>
      <c r="D69" s="19"/>
      <c r="E69" s="19"/>
      <c r="F69" s="25"/>
      <c r="G69" s="26"/>
      <c r="H69" s="18" t="s">
        <v>12</v>
      </c>
    </row>
    <row r="70" spans="1:8" ht="25.5" x14ac:dyDescent="0.2">
      <c r="A70" s="19"/>
      <c r="B70" s="19"/>
      <c r="C70" s="20" t="s">
        <v>103</v>
      </c>
      <c r="D70" s="19"/>
      <c r="E70" s="19"/>
      <c r="F70" s="25"/>
      <c r="G70" s="26"/>
      <c r="H70" s="18" t="s">
        <v>12</v>
      </c>
    </row>
    <row r="71" spans="1:8" x14ac:dyDescent="0.2">
      <c r="A71" s="19"/>
      <c r="B71" s="19"/>
      <c r="C71" s="20" t="s">
        <v>11</v>
      </c>
      <c r="D71" s="19"/>
      <c r="E71" s="19" t="s">
        <v>12</v>
      </c>
      <c r="F71" s="22" t="s">
        <v>13</v>
      </c>
      <c r="G71" s="23">
        <v>0</v>
      </c>
      <c r="H71" s="18" t="s">
        <v>12</v>
      </c>
    </row>
    <row r="72" spans="1:8" x14ac:dyDescent="0.2">
      <c r="A72" s="19"/>
      <c r="B72" s="29"/>
      <c r="C72" s="29"/>
      <c r="D72" s="20"/>
      <c r="E72" s="19"/>
      <c r="F72" s="29"/>
      <c r="G72" s="159"/>
      <c r="H72" s="18" t="s">
        <v>12</v>
      </c>
    </row>
    <row r="73" spans="1:8" x14ac:dyDescent="0.2">
      <c r="A73" s="33"/>
      <c r="B73" s="29"/>
      <c r="C73" s="29" t="s">
        <v>104</v>
      </c>
      <c r="D73" s="29"/>
      <c r="E73" s="33"/>
      <c r="F73" s="31">
        <f>189.93637969+0.0000302940082550049</f>
        <v>189.93640998400826</v>
      </c>
      <c r="G73" s="32">
        <f>F73/F74</f>
        <v>2.7216634048118503E-3</v>
      </c>
      <c r="H73" s="18" t="s">
        <v>12</v>
      </c>
    </row>
    <row r="74" spans="1:8" x14ac:dyDescent="0.2">
      <c r="A74" s="24"/>
      <c r="B74" s="24"/>
      <c r="C74" s="20" t="s">
        <v>105</v>
      </c>
      <c r="D74" s="25"/>
      <c r="E74" s="25"/>
      <c r="F74" s="27">
        <f>F73+F60+F39+F24</f>
        <v>69786.884611889996</v>
      </c>
      <c r="G74" s="48">
        <f>G73+G60+G39+G24</f>
        <v>0.99999999340481183</v>
      </c>
      <c r="H74" s="18" t="s">
        <v>12</v>
      </c>
    </row>
    <row r="75" spans="1:8" x14ac:dyDescent="0.2">
      <c r="A75" s="49"/>
      <c r="B75" s="49"/>
      <c r="C75" s="49"/>
      <c r="D75" s="50"/>
      <c r="E75" s="50"/>
      <c r="F75" s="50"/>
      <c r="G75" s="50"/>
    </row>
    <row r="76" spans="1:8" x14ac:dyDescent="0.2">
      <c r="A76" s="51"/>
      <c r="B76" s="171" t="s">
        <v>549</v>
      </c>
      <c r="C76" s="171"/>
      <c r="D76" s="171"/>
      <c r="E76" s="171"/>
      <c r="F76" s="171"/>
      <c r="G76" s="171"/>
      <c r="H76" s="171"/>
    </row>
    <row r="77" spans="1:8" x14ac:dyDescent="0.2">
      <c r="A77" s="51"/>
      <c r="B77" s="171" t="s">
        <v>550</v>
      </c>
      <c r="C77" s="171"/>
      <c r="D77" s="171"/>
      <c r="E77" s="171"/>
      <c r="F77" s="171"/>
      <c r="G77" s="171"/>
      <c r="H77" s="171"/>
    </row>
    <row r="78" spans="1:8" x14ac:dyDescent="0.2">
      <c r="A78" s="51"/>
      <c r="B78" s="171" t="s">
        <v>551</v>
      </c>
      <c r="C78" s="171"/>
      <c r="D78" s="171"/>
      <c r="E78" s="171"/>
      <c r="F78" s="171"/>
      <c r="G78" s="171"/>
      <c r="H78" s="171"/>
    </row>
    <row r="79" spans="1:8" x14ac:dyDescent="0.2">
      <c r="A79" s="53"/>
      <c r="B79" s="53"/>
      <c r="C79" s="53"/>
      <c r="D79" s="54"/>
      <c r="E79" s="54"/>
      <c r="F79" s="54"/>
      <c r="G79" s="54"/>
    </row>
    <row r="80" spans="1:8" x14ac:dyDescent="0.2">
      <c r="A80" s="53"/>
      <c r="B80" s="174" t="s">
        <v>106</v>
      </c>
      <c r="C80" s="175"/>
      <c r="D80" s="176"/>
      <c r="E80" s="55"/>
      <c r="F80" s="54"/>
      <c r="G80" s="54"/>
    </row>
    <row r="81" spans="1:7" x14ac:dyDescent="0.2">
      <c r="A81" s="53"/>
      <c r="B81" s="177" t="s">
        <v>107</v>
      </c>
      <c r="C81" s="178"/>
      <c r="D81" s="20" t="s">
        <v>108</v>
      </c>
      <c r="E81" s="55"/>
      <c r="F81" s="54"/>
      <c r="G81" s="54"/>
    </row>
    <row r="82" spans="1:7" x14ac:dyDescent="0.2">
      <c r="A82" s="53"/>
      <c r="B82" s="177" t="s">
        <v>109</v>
      </c>
      <c r="C82" s="178"/>
      <c r="D82" s="20" t="s">
        <v>108</v>
      </c>
      <c r="E82" s="55"/>
      <c r="F82" s="54"/>
      <c r="G82" s="54"/>
    </row>
    <row r="83" spans="1:7" x14ac:dyDescent="0.2">
      <c r="A83" s="53"/>
      <c r="B83" s="177" t="s">
        <v>110</v>
      </c>
      <c r="C83" s="178"/>
      <c r="D83" s="25" t="s">
        <v>12</v>
      </c>
      <c r="E83" s="55"/>
      <c r="F83" s="54"/>
      <c r="G83" s="54"/>
    </row>
    <row r="84" spans="1:7" x14ac:dyDescent="0.2">
      <c r="A84" s="56"/>
      <c r="B84" s="57" t="s">
        <v>12</v>
      </c>
      <c r="C84" s="57" t="s">
        <v>553</v>
      </c>
      <c r="D84" s="57" t="s">
        <v>111</v>
      </c>
      <c r="E84" s="56"/>
      <c r="F84" s="56"/>
      <c r="G84" s="56"/>
    </row>
    <row r="85" spans="1:7" x14ac:dyDescent="0.2">
      <c r="A85" s="56"/>
      <c r="B85" s="58" t="s">
        <v>112</v>
      </c>
      <c r="C85" s="59">
        <v>45688</v>
      </c>
      <c r="D85" s="59">
        <v>45716</v>
      </c>
      <c r="E85" s="56"/>
      <c r="F85" s="56"/>
      <c r="G85" s="56"/>
    </row>
    <row r="86" spans="1:7" x14ac:dyDescent="0.2">
      <c r="A86" s="60"/>
      <c r="B86" s="29" t="s">
        <v>113</v>
      </c>
      <c r="C86" s="61">
        <v>1342.8867</v>
      </c>
      <c r="D86" s="61">
        <v>1349.3623</v>
      </c>
      <c r="E86" s="60"/>
      <c r="F86" s="62"/>
      <c r="G86" s="63"/>
    </row>
    <row r="87" spans="1:7" x14ac:dyDescent="0.2">
      <c r="A87" s="60"/>
      <c r="B87" s="29" t="s">
        <v>674</v>
      </c>
      <c r="C87" s="61">
        <v>1044.9173000000001</v>
      </c>
      <c r="D87" s="61">
        <v>1044.2646</v>
      </c>
      <c r="E87" s="60"/>
      <c r="F87" s="62"/>
      <c r="G87" s="63"/>
    </row>
    <row r="88" spans="1:7" x14ac:dyDescent="0.2">
      <c r="A88" s="60"/>
      <c r="B88" s="29" t="s">
        <v>114</v>
      </c>
      <c r="C88" s="61">
        <v>1335.0103999999999</v>
      </c>
      <c r="D88" s="61">
        <v>1341.3812</v>
      </c>
      <c r="E88" s="60"/>
      <c r="F88" s="62"/>
      <c r="G88" s="63"/>
    </row>
    <row r="89" spans="1:7" ht="25.5" x14ac:dyDescent="0.2">
      <c r="A89" s="60"/>
      <c r="B89" s="29" t="s">
        <v>678</v>
      </c>
      <c r="C89" s="61">
        <v>1041.1850999999999</v>
      </c>
      <c r="D89" s="61">
        <v>1040.5573999999999</v>
      </c>
      <c r="E89" s="60"/>
      <c r="F89" s="62"/>
      <c r="G89" s="63"/>
    </row>
    <row r="90" spans="1:7" x14ac:dyDescent="0.2">
      <c r="A90" s="60"/>
      <c r="B90" s="60"/>
      <c r="C90" s="60"/>
      <c r="D90" s="60"/>
      <c r="E90" s="60"/>
      <c r="F90" s="60"/>
      <c r="G90" s="60"/>
    </row>
    <row r="91" spans="1:7" x14ac:dyDescent="0.2">
      <c r="A91" s="60"/>
      <c r="B91" s="177" t="s">
        <v>554</v>
      </c>
      <c r="C91" s="178"/>
      <c r="D91" s="20" t="s">
        <v>12</v>
      </c>
      <c r="E91" s="60"/>
      <c r="F91" s="60"/>
      <c r="G91" s="60"/>
    </row>
    <row r="92" spans="1:7" x14ac:dyDescent="0.2">
      <c r="A92" s="60"/>
      <c r="B92" s="64" t="s">
        <v>112</v>
      </c>
      <c r="C92" s="65" t="s">
        <v>115</v>
      </c>
      <c r="D92" s="65" t="s">
        <v>116</v>
      </c>
      <c r="E92" s="60"/>
      <c r="F92" s="60"/>
      <c r="G92" s="60"/>
    </row>
    <row r="93" spans="1:7" x14ac:dyDescent="0.2">
      <c r="A93" s="60"/>
      <c r="B93" s="29" t="s">
        <v>674</v>
      </c>
      <c r="C93" s="66">
        <v>5.681</v>
      </c>
      <c r="D93" s="33" t="s">
        <v>117</v>
      </c>
      <c r="E93" s="60"/>
      <c r="F93" s="62"/>
      <c r="G93" s="63"/>
    </row>
    <row r="94" spans="1:7" ht="25.5" x14ac:dyDescent="0.2">
      <c r="A94" s="60"/>
      <c r="B94" s="29" t="s">
        <v>678</v>
      </c>
      <c r="C94" s="66">
        <v>5.5887000000000002</v>
      </c>
      <c r="D94" s="33" t="s">
        <v>117</v>
      </c>
      <c r="E94" s="60"/>
      <c r="F94" s="62"/>
      <c r="G94" s="63"/>
    </row>
    <row r="95" spans="1:7" x14ac:dyDescent="0.2">
      <c r="A95" s="60"/>
      <c r="B95" s="67"/>
      <c r="C95" s="67"/>
      <c r="D95" s="68"/>
      <c r="E95" s="60"/>
      <c r="F95" s="62"/>
      <c r="G95" s="63"/>
    </row>
    <row r="96" spans="1:7" x14ac:dyDescent="0.2">
      <c r="A96" s="56"/>
      <c r="B96" s="172" t="s">
        <v>118</v>
      </c>
      <c r="C96" s="173"/>
      <c r="D96" s="38" t="s">
        <v>108</v>
      </c>
      <c r="E96" s="69"/>
      <c r="F96" s="56"/>
      <c r="G96" s="56"/>
    </row>
    <row r="97" spans="1:21" x14ac:dyDescent="0.2">
      <c r="A97" s="56"/>
      <c r="B97" s="172" t="s">
        <v>119</v>
      </c>
      <c r="C97" s="173"/>
      <c r="D97" s="38" t="s">
        <v>108</v>
      </c>
      <c r="E97" s="69"/>
      <c r="F97" s="56"/>
      <c r="G97" s="56"/>
    </row>
    <row r="98" spans="1:21" x14ac:dyDescent="0.2">
      <c r="A98" s="56"/>
      <c r="B98" s="172" t="s">
        <v>555</v>
      </c>
      <c r="C98" s="173"/>
      <c r="D98" s="38" t="s">
        <v>108</v>
      </c>
      <c r="E98" s="69"/>
      <c r="F98" s="56"/>
      <c r="G98" s="56"/>
      <c r="I98" s="40"/>
    </row>
    <row r="99" spans="1:21" x14ac:dyDescent="0.2">
      <c r="A99" s="70"/>
      <c r="B99" s="70"/>
      <c r="C99" s="70"/>
      <c r="D99" s="70"/>
      <c r="E99" s="70"/>
      <c r="F99" s="70"/>
      <c r="G99" s="70"/>
      <c r="I99" s="40"/>
    </row>
    <row r="100" spans="1:21" s="71" customFormat="1" x14ac:dyDescent="0.2">
      <c r="B100" s="166" t="s">
        <v>556</v>
      </c>
      <c r="C100" s="167"/>
      <c r="D100" s="168"/>
      <c r="I100" s="40"/>
      <c r="J100"/>
      <c r="K100" s="40"/>
      <c r="L100" s="40"/>
      <c r="M100" s="40"/>
      <c r="N100" s="77"/>
      <c r="Q100"/>
      <c r="R100"/>
      <c r="S100"/>
      <c r="T100"/>
      <c r="U100"/>
    </row>
    <row r="101" spans="1:21" s="71" customFormat="1" ht="38.25" x14ac:dyDescent="0.2">
      <c r="B101" s="169" t="s">
        <v>557</v>
      </c>
      <c r="C101" s="169"/>
      <c r="D101" s="72" t="s">
        <v>526</v>
      </c>
      <c r="I101" s="40"/>
      <c r="J101"/>
      <c r="K101" s="40"/>
      <c r="L101" s="40"/>
      <c r="M101" s="40"/>
      <c r="N101" s="77"/>
      <c r="Q101"/>
      <c r="R101"/>
      <c r="S101"/>
      <c r="T101"/>
      <c r="U101"/>
    </row>
    <row r="102" spans="1:21" s="71" customFormat="1" x14ac:dyDescent="0.2">
      <c r="B102" s="165" t="s">
        <v>558</v>
      </c>
      <c r="C102" s="165"/>
      <c r="D102" s="73"/>
      <c r="I102" s="40"/>
      <c r="J102"/>
      <c r="K102" s="40"/>
      <c r="L102" s="40"/>
      <c r="M102" s="40"/>
      <c r="N102" s="77"/>
    </row>
    <row r="103" spans="1:21" s="71" customFormat="1" x14ac:dyDescent="0.2">
      <c r="B103" s="165"/>
      <c r="C103" s="165"/>
      <c r="D103" s="74"/>
      <c r="I103"/>
      <c r="J103"/>
      <c r="K103" s="40"/>
      <c r="L103" s="40"/>
      <c r="M103" s="40"/>
      <c r="N103" s="77"/>
    </row>
    <row r="104" spans="1:21" s="71" customFormat="1" x14ac:dyDescent="0.2">
      <c r="B104" s="165" t="s">
        <v>559</v>
      </c>
      <c r="C104" s="165"/>
      <c r="D104" s="75">
        <v>6.2970829106781814</v>
      </c>
      <c r="I104"/>
      <c r="J104"/>
      <c r="K104" s="40"/>
      <c r="L104" s="40"/>
      <c r="M104" s="40"/>
      <c r="N104" s="77"/>
    </row>
    <row r="105" spans="1:21" s="71" customFormat="1" x14ac:dyDescent="0.2">
      <c r="B105" s="165"/>
      <c r="C105" s="165"/>
      <c r="D105" s="74"/>
      <c r="I105"/>
      <c r="J105"/>
      <c r="K105" s="40"/>
      <c r="L105" s="40"/>
      <c r="M105" s="40"/>
      <c r="N105" s="77"/>
    </row>
    <row r="106" spans="1:21" s="71" customFormat="1" x14ac:dyDescent="0.2">
      <c r="B106" s="165" t="s">
        <v>664</v>
      </c>
      <c r="C106" s="165"/>
      <c r="D106" s="160">
        <v>3</v>
      </c>
      <c r="I106"/>
      <c r="J106"/>
      <c r="K106" s="40"/>
      <c r="L106" s="40"/>
      <c r="M106" s="40"/>
      <c r="N106" s="77"/>
    </row>
    <row r="107" spans="1:21" s="71" customFormat="1" x14ac:dyDescent="0.2">
      <c r="B107" s="165" t="s">
        <v>665</v>
      </c>
      <c r="C107" s="165"/>
      <c r="D107" s="160">
        <v>3</v>
      </c>
      <c r="I107"/>
      <c r="J107"/>
      <c r="K107" s="40"/>
      <c r="L107" s="40"/>
      <c r="M107" s="40"/>
      <c r="N107" s="77"/>
    </row>
    <row r="108" spans="1:21" s="71" customFormat="1" x14ac:dyDescent="0.2">
      <c r="B108" s="165"/>
      <c r="C108" s="165"/>
      <c r="D108" s="74"/>
      <c r="I108"/>
      <c r="J108"/>
      <c r="K108" s="40"/>
      <c r="L108" s="40"/>
      <c r="M108" s="40"/>
      <c r="N108" s="77"/>
    </row>
    <row r="109" spans="1:21" s="71" customFormat="1" ht="25.5" x14ac:dyDescent="0.2">
      <c r="B109" s="165" t="s">
        <v>562</v>
      </c>
      <c r="C109" s="165"/>
      <c r="D109" s="76" t="s">
        <v>668</v>
      </c>
      <c r="I109"/>
      <c r="J109"/>
      <c r="K109" s="40"/>
      <c r="L109" s="40"/>
      <c r="M109" s="40"/>
      <c r="N109" s="77"/>
    </row>
    <row r="110" spans="1:21" s="71" customFormat="1" x14ac:dyDescent="0.2">
      <c r="B110" s="162" t="s">
        <v>563</v>
      </c>
      <c r="C110" s="163"/>
      <c r="D110" s="164"/>
      <c r="I110"/>
      <c r="J110"/>
      <c r="K110" s="40"/>
      <c r="L110" s="40"/>
      <c r="M110" s="40"/>
      <c r="N110" s="77"/>
    </row>
    <row r="111" spans="1:21" x14ac:dyDescent="0.2">
      <c r="H111" s="161"/>
    </row>
    <row r="112" spans="1:21" x14ac:dyDescent="0.2">
      <c r="B112" s="78" t="s">
        <v>564</v>
      </c>
    </row>
    <row r="113" spans="2:10" ht="7.5" customHeight="1" x14ac:dyDescent="0.2"/>
    <row r="114" spans="2:10" ht="153.75" customHeight="1" x14ac:dyDescent="0.2"/>
    <row r="117" spans="2:10" x14ac:dyDescent="0.2">
      <c r="B117" s="79" t="s">
        <v>565</v>
      </c>
      <c r="C117" s="80"/>
      <c r="D117" s="79" t="s">
        <v>566</v>
      </c>
    </row>
    <row r="118" spans="2:10" x14ac:dyDescent="0.2">
      <c r="B118" s="79" t="s">
        <v>666</v>
      </c>
      <c r="D118" s="79" t="s">
        <v>667</v>
      </c>
    </row>
    <row r="119" spans="2:10" ht="165" customHeight="1" x14ac:dyDescent="0.2"/>
    <row r="121" spans="2:10" x14ac:dyDescent="0.2">
      <c r="J121" s="82"/>
    </row>
  </sheetData>
  <mergeCells count="25">
    <mergeCell ref="B78:H78"/>
    <mergeCell ref="B96:C96"/>
    <mergeCell ref="B97:C97"/>
    <mergeCell ref="B98:C98"/>
    <mergeCell ref="B80:D80"/>
    <mergeCell ref="B81:C81"/>
    <mergeCell ref="B82:C82"/>
    <mergeCell ref="B83:C83"/>
    <mergeCell ref="B91:C91"/>
    <mergeCell ref="A3:H3"/>
    <mergeCell ref="A2:H2"/>
    <mergeCell ref="A1:H1"/>
    <mergeCell ref="B76:H76"/>
    <mergeCell ref="B77:H77"/>
    <mergeCell ref="B100:D100"/>
    <mergeCell ref="B101:C101"/>
    <mergeCell ref="B102:C102"/>
    <mergeCell ref="B103:C103"/>
    <mergeCell ref="B104:C104"/>
    <mergeCell ref="B110:D110"/>
    <mergeCell ref="B105:C105"/>
    <mergeCell ref="B106:C106"/>
    <mergeCell ref="B107:C107"/>
    <mergeCell ref="B108:C108"/>
    <mergeCell ref="B109:C109"/>
  </mergeCells>
  <pageMargins left="5.000000074505806E-2" right="5.000000074505806E-2" top="0.30000001192092896" bottom="0.20000000298023224" header="0" footer="0"/>
  <pageSetup paperSize="9" orientation="landscape" horizontalDpi="0" verticalDpi="0"/>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Index</vt:lpstr>
      <vt:lpstr>SFRLTP</vt:lpstr>
      <vt:lpstr>SFRSTP</vt:lpstr>
      <vt:lpstr>SMMF</vt:lpstr>
      <vt:lpstr>SPLDF</vt:lpstr>
      <vt:lpstr>SPMON</vt:lpstr>
      <vt:lpstr>SPSDF</vt:lpstr>
      <vt:lpstr>SPUSDF</vt:lpstr>
      <vt:lpstr>SUNBDS</vt:lpstr>
      <vt:lpstr>SUNMIA</vt:lpstr>
      <vt:lpstr>SUNONF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Swapna.N - Sundaram Mutual</cp:lastModifiedBy>
  <dcterms:created xsi:type="dcterms:W3CDTF">2025-03-03T06:07:58Z</dcterms:created>
  <dcterms:modified xsi:type="dcterms:W3CDTF">2025-03-10T08:54:33Z</dcterms:modified>
</cp:coreProperties>
</file>