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AMCWEB_V2.0\uploaddir\MonthlyPortfolio\"/>
    </mc:Choice>
  </mc:AlternateContent>
  <xr:revisionPtr revIDLastSave="0" documentId="13_ncr:1_{C8AD3F05-BB77-4C46-A9C0-DE47709D2362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Index" sheetId="40" r:id="rId1"/>
    <sheet name="CAPEXG" sheetId="1" r:id="rId2"/>
    <sheet name="MICAP15" sheetId="2" r:id="rId3"/>
    <sheet name="MICAP16" sheetId="3" r:id="rId4"/>
    <sheet name="MICAP17" sheetId="4" r:id="rId5"/>
    <sheet name="MIDCAP" sheetId="5" r:id="rId6"/>
    <sheet name="MULTI1" sheetId="6" r:id="rId7"/>
    <sheet name="MULTI2" sheetId="7" r:id="rId8"/>
    <sheet name="MULTIP" sheetId="8" r:id="rId9"/>
    <sheet name="SESCAP1" sheetId="9" r:id="rId10"/>
    <sheet name="SESCAP2" sheetId="10" r:id="rId11"/>
    <sheet name="SESCAP3" sheetId="11" r:id="rId12"/>
    <sheet name="SESCAP4" sheetId="12" r:id="rId13"/>
    <sheet name="SESCAP5" sheetId="13" r:id="rId14"/>
    <sheet name="SESCAP6" sheetId="14" r:id="rId15"/>
    <sheet name="SESCAP7" sheetId="15" r:id="rId16"/>
    <sheet name="SLTADV3" sheetId="16" r:id="rId17"/>
    <sheet name="SLTADV4" sheetId="17" r:id="rId18"/>
    <sheet name="SLTAX1" sheetId="18" r:id="rId19"/>
    <sheet name="SLTAX2" sheetId="19" r:id="rId20"/>
    <sheet name="SLTAX3" sheetId="20" r:id="rId21"/>
    <sheet name="SLTAX4" sheetId="21" r:id="rId22"/>
    <sheet name="SLTAX5" sheetId="22" r:id="rId23"/>
    <sheet name="SLTAX6" sheetId="23" r:id="rId24"/>
    <sheet name="SMILE" sheetId="24" r:id="rId25"/>
    <sheet name="SPAHF" sheetId="37" r:id="rId26"/>
    <sheet name="SPARF" sheetId="25" r:id="rId27"/>
    <sheet name="SPBAF" sheetId="38" r:id="rId28"/>
    <sheet name="SPDYF" sheetId="26" r:id="rId29"/>
    <sheet name="SPESF" sheetId="27" r:id="rId30"/>
    <sheet name="SPFOCUS" sheetId="28" r:id="rId31"/>
    <sheet name="SPMUCF" sheetId="29" r:id="rId32"/>
    <sheet name="SPSN100" sheetId="30" r:id="rId33"/>
    <sheet name="SPTAX" sheetId="31" r:id="rId34"/>
    <sheet name="SRURAL" sheetId="32" r:id="rId35"/>
    <sheet name="SSFUND" sheetId="33" r:id="rId36"/>
    <sheet name="STAX" sheetId="34" r:id="rId37"/>
    <sheet name="SUNBCF" sheetId="35" r:id="rId38"/>
    <sheet name="SUNFOP" sheetId="36" r:id="rId39"/>
    <sheet name="GLOB" sheetId="39" r:id="rId40"/>
    <sheet name="Annexure-A" sheetId="41" r:id="rId41"/>
  </sheets>
  <definedNames>
    <definedName name="_xlnm._FilterDatabase" localSheetId="40" hidden="1">'Annexure-A'!$A$8:$L$85</definedName>
    <definedName name="_xlnm._FilterDatabase" localSheetId="1" hidden="1">CAPEXG!$A$7:$G$56</definedName>
    <definedName name="_xlnm._FilterDatabase" localSheetId="0" hidden="1">Index!$B$1:$C$40</definedName>
    <definedName name="_xlnm._FilterDatabase" localSheetId="2" hidden="1">MICAP15!$A$7:$H$24</definedName>
    <definedName name="_xlnm._FilterDatabase" localSheetId="3" hidden="1">MICAP16!$H$7:$H$64</definedName>
    <definedName name="_xlnm._FilterDatabase" localSheetId="4" hidden="1">MICAP17!$A$7:$H$77</definedName>
    <definedName name="_xlnm._FilterDatabase" localSheetId="5" hidden="1">MIDCAP!$A$7:$G$70</definedName>
    <definedName name="_xlnm._FilterDatabase" localSheetId="6" hidden="1">MULTI1!$A$7:$H$58</definedName>
    <definedName name="_xlnm._FilterDatabase" localSheetId="7" hidden="1">MULTI2!$H$7:$H$59</definedName>
    <definedName name="_xlnm._FilterDatabase" localSheetId="8" hidden="1">MULTIP!#REF!</definedName>
    <definedName name="_xlnm._FilterDatabase" localSheetId="9" hidden="1">SESCAP1!$A$7:$H$81</definedName>
    <definedName name="_xlnm._FilterDatabase" localSheetId="10" hidden="1">SESCAP2!$A$7:$H$80</definedName>
    <definedName name="_xlnm._FilterDatabase" localSheetId="11" hidden="1">SESCAP3!$A$7:$H$80</definedName>
    <definedName name="_xlnm._FilterDatabase" localSheetId="12" hidden="1">SESCAP4!$A$7:$H$80</definedName>
    <definedName name="_xlnm._FilterDatabase" localSheetId="13" hidden="1">SESCAP5!$H$7:$H$80</definedName>
    <definedName name="_xlnm._FilterDatabase" localSheetId="14" hidden="1">SESCAP6!$H$7:$H$80</definedName>
    <definedName name="_xlnm._FilterDatabase" localSheetId="15" hidden="1">SESCAP7!$H$7:$H$79</definedName>
    <definedName name="_xlnm._FilterDatabase" localSheetId="16" hidden="1">SLTADV3!$H$7:$H$66</definedName>
    <definedName name="_xlnm._FilterDatabase" localSheetId="17" hidden="1">SLTADV4!$H$7:$H$68</definedName>
    <definedName name="_xlnm._FilterDatabase" localSheetId="18" hidden="1">SLTAX1!$A$7:$H$44</definedName>
    <definedName name="_xlnm._FilterDatabase" localSheetId="19" hidden="1">SLTAX2!$A$7:$G$43</definedName>
    <definedName name="_xlnm._FilterDatabase" localSheetId="20" hidden="1">SLTAX3!#REF!</definedName>
    <definedName name="_xlnm._FilterDatabase" localSheetId="21" hidden="1">SLTAX4!$A$1:$G$65</definedName>
    <definedName name="_xlnm._FilterDatabase" localSheetId="22" hidden="1">SLTAX5!#REF!</definedName>
    <definedName name="_xlnm._FilterDatabase" localSheetId="23" hidden="1">SLTAX6!$A$7:$G$69</definedName>
    <definedName name="_xlnm._FilterDatabase" localSheetId="24" hidden="1">SMILE!#REF!</definedName>
    <definedName name="_xlnm._FilterDatabase" localSheetId="25" hidden="1">SPAHF!$A$85:$K$113</definedName>
    <definedName name="_xlnm._FilterDatabase" localSheetId="26" hidden="1">SPARF!$A$7:$G$27</definedName>
    <definedName name="_xlnm._FilterDatabase" localSheetId="27" hidden="1">SPBAF!$A$7:$H$87</definedName>
    <definedName name="_xlnm._FilterDatabase" localSheetId="28" hidden="1">SPDYF!$A$7:$H$44</definedName>
    <definedName name="_xlnm._FilterDatabase" localSheetId="29" hidden="1">SPESF!$H$7:$H$65</definedName>
    <definedName name="_xlnm._FilterDatabase" localSheetId="30" hidden="1">SPFOCUS!$A$7:$H$36</definedName>
    <definedName name="_xlnm._FilterDatabase" localSheetId="31" hidden="1">SPMUCF!$A$7:$G$82</definedName>
    <definedName name="_xlnm._FilterDatabase" localSheetId="32" hidden="1">SPSN100!$A$7:$H$107</definedName>
    <definedName name="_xlnm._FilterDatabase" localSheetId="33" hidden="1">SPTAX!$A$7:$H$64</definedName>
    <definedName name="_xlnm._FilterDatabase" localSheetId="34" hidden="1">SRURAL!$A$7:$H$45</definedName>
    <definedName name="_xlnm._FilterDatabase" localSheetId="35" hidden="1">SSFUND!$A$7:$I$54</definedName>
    <definedName name="_xlnm._FilterDatabase" localSheetId="36" hidden="1">STAX!$A$7:$H$57</definedName>
    <definedName name="_xlnm._FilterDatabase" localSheetId="37" hidden="1">SUNBCF!$A$7:$H$69</definedName>
    <definedName name="_xlnm._FilterDatabase" localSheetId="38" hidden="1">SUNFOP!$A$7:$G$26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6" i="41" l="1"/>
  <c r="G129" i="41"/>
  <c r="G128" i="41"/>
  <c r="G127" i="41"/>
  <c r="G126" i="41"/>
  <c r="G125" i="41"/>
  <c r="G124" i="41"/>
  <c r="G123" i="41"/>
  <c r="G122" i="41"/>
  <c r="G121" i="41"/>
  <c r="G104" i="41"/>
  <c r="G103" i="41"/>
  <c r="G102" i="41"/>
  <c r="G101" i="41"/>
  <c r="G100" i="41"/>
  <c r="G99" i="41"/>
  <c r="G98" i="41"/>
  <c r="J220" i="37"/>
  <c r="I217" i="37" l="1"/>
  <c r="G72" i="31" l="1"/>
  <c r="F72" i="31"/>
</calcChain>
</file>

<file path=xl/sharedStrings.xml><?xml version="1.0" encoding="utf-8"?>
<sst xmlns="http://schemas.openxmlformats.org/spreadsheetml/2006/main" count="11559" uniqueCount="1226">
  <si>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</si>
  <si>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</si>
  <si>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</si>
  <si>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</si>
  <si>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</si>
  <si>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</si>
  <si>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</si>
  <si>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</si>
  <si>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</si>
  <si>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</si>
  <si>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</si>
  <si>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INE002A01018</t>
  </si>
  <si>
    <t>Reliance Industries Ltd</t>
  </si>
  <si>
    <t>Petroleum Products</t>
  </si>
  <si>
    <t>INE018A01030</t>
  </si>
  <si>
    <t>Larsen &amp; Toubro Ltd</t>
  </si>
  <si>
    <t>INE090A01021</t>
  </si>
  <si>
    <t>ICICI Bank Ltd</t>
  </si>
  <si>
    <t>Banks</t>
  </si>
  <si>
    <t>INE397D01024</t>
  </si>
  <si>
    <t>Bharti Airtel Ltd</t>
  </si>
  <si>
    <t>Telecom - Services</t>
  </si>
  <si>
    <t>INE481G01011</t>
  </si>
  <si>
    <t>Ultratech Cement Ltd</t>
  </si>
  <si>
    <t>INE455K01017</t>
  </si>
  <si>
    <t>Polycab India Ltd</t>
  </si>
  <si>
    <t>Industrial Products</t>
  </si>
  <si>
    <t>INE733E01010</t>
  </si>
  <si>
    <t>NTPC Ltd</t>
  </si>
  <si>
    <t>Power</t>
  </si>
  <si>
    <t>INE536A01023</t>
  </si>
  <si>
    <t>Grindwell Norton Ltd</t>
  </si>
  <si>
    <t>INE284A01012</t>
  </si>
  <si>
    <t>ESAB India Ltd</t>
  </si>
  <si>
    <t>INE671A01010</t>
  </si>
  <si>
    <t>Honeywell Automation India Ltd</t>
  </si>
  <si>
    <t>INE999A01015</t>
  </si>
  <si>
    <t>KSB Ltd</t>
  </si>
  <si>
    <t>INE245A01021</t>
  </si>
  <si>
    <t>Tata Power Company Ltd</t>
  </si>
  <si>
    <t>INE029A01011</t>
  </si>
  <si>
    <t>Bharat Petroleum Corporation Ltd</t>
  </si>
  <si>
    <t>INE823G01014</t>
  </si>
  <si>
    <t>JK Cement Ltd</t>
  </si>
  <si>
    <t>INE331A01037</t>
  </si>
  <si>
    <t>The Ramco Cements Ltd</t>
  </si>
  <si>
    <t>INE742F01042</t>
  </si>
  <si>
    <t>Adani Ports and Special Economic Zone Ltd</t>
  </si>
  <si>
    <t>INE062A01020</t>
  </si>
  <si>
    <t>State Bank of India</t>
  </si>
  <si>
    <t>INE111A01025</t>
  </si>
  <si>
    <t>Container Corporation of India Ltd</t>
  </si>
  <si>
    <t>INE213A01029</t>
  </si>
  <si>
    <t>Oil &amp; Natural Gas Corporation Ltd</t>
  </si>
  <si>
    <t>Oil</t>
  </si>
  <si>
    <t>INE129A01019</t>
  </si>
  <si>
    <t>GAIL (India) Ltd</t>
  </si>
  <si>
    <t>Gas</t>
  </si>
  <si>
    <t>INE541A01023</t>
  </si>
  <si>
    <t>GMM Pfaudler Ltd</t>
  </si>
  <si>
    <t>INE868B01028</t>
  </si>
  <si>
    <t>NCC Ltd</t>
  </si>
  <si>
    <t>INE195J01029</t>
  </si>
  <si>
    <t>PNC Infratech Ltd</t>
  </si>
  <si>
    <t>Construction</t>
  </si>
  <si>
    <t>INE242A01010</t>
  </si>
  <si>
    <t>Indian Oil Corporation Ltd</t>
  </si>
  <si>
    <t>INE752E01010</t>
  </si>
  <si>
    <t>Power Grid Corporation of India Ltd</t>
  </si>
  <si>
    <t>INE08ZM01014</t>
  </si>
  <si>
    <t>Green Panel Industries Ltd</t>
  </si>
  <si>
    <t>Consumer Durables</t>
  </si>
  <si>
    <t>INE702C01027</t>
  </si>
  <si>
    <t>APL Apollo Tubes Ltd</t>
  </si>
  <si>
    <t>INE371P01015</t>
  </si>
  <si>
    <t>Amber Enterprises India Ltd</t>
  </si>
  <si>
    <t>INE766P01016</t>
  </si>
  <si>
    <t>Mahindra Logistics Ltd</t>
  </si>
  <si>
    <t>INE208A01029</t>
  </si>
  <si>
    <t>Ashok Leyland Ltd</t>
  </si>
  <si>
    <t>INE121A01024</t>
  </si>
  <si>
    <t>Cholamandalam Investment and Finance Company Ltd</t>
  </si>
  <si>
    <t>Finance</t>
  </si>
  <si>
    <t>INE258A01016</t>
  </si>
  <si>
    <t>BEML Ltd</t>
  </si>
  <si>
    <t>INE201P01022</t>
  </si>
  <si>
    <t>GR Infraprojects Ltd</t>
  </si>
  <si>
    <t>INE513A01022</t>
  </si>
  <si>
    <t>Schaeffler India Ltd</t>
  </si>
  <si>
    <t>INE114A01011</t>
  </si>
  <si>
    <t>Steel Authority of India Ltd</t>
  </si>
  <si>
    <t>Ferrous Metals</t>
  </si>
  <si>
    <t>INE791I01019</t>
  </si>
  <si>
    <t>Brigade Enterprises Ltd</t>
  </si>
  <si>
    <t>INE264T01014</t>
  </si>
  <si>
    <t>Capacite Infraprojects Ltd</t>
  </si>
  <si>
    <t>INE121J01017</t>
  </si>
  <si>
    <t>Indus Towers Ltd (Prev Bharti Infratel Ltd)</t>
  </si>
  <si>
    <t>INE811K01011</t>
  </si>
  <si>
    <t>Prestige Estates Projects Ltd</t>
  </si>
  <si>
    <t>INE844O01030</t>
  </si>
  <si>
    <t>Gujarat Gas Co Ltd</t>
  </si>
  <si>
    <t>INE203G01027</t>
  </si>
  <si>
    <t>Indraprastha Gas Ltd</t>
  </si>
  <si>
    <t>INE246F01010</t>
  </si>
  <si>
    <t>Gujarat State Petronet Ltd</t>
  </si>
  <si>
    <t>INE217L01019</t>
  </si>
  <si>
    <t>Shriram Properties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</si>
  <si>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</si>
  <si>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</si>
  <si>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</si>
  <si>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</si>
  <si>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</si>
  <si>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</si>
  <si>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</si>
  <si>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</si>
  <si>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</si>
  <si>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</si>
  <si>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</si>
  <si>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</si>
  <si>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</si>
  <si>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</si>
  <si>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</si>
  <si>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</si>
  <si>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</si>
  <si>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</si>
  <si>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</si>
  <si>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</si>
  <si>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</si>
  <si>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</si>
  <si>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</si>
  <si>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</si>
  <si>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</si>
  <si>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</si>
  <si>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</si>
  <si>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</si>
  <si>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</si>
  <si>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</si>
  <si>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</si>
  <si>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</si>
  <si>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</si>
  <si>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</si>
  <si>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</si>
  <si>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</si>
  <si>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</si>
  <si>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</si>
  <si>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</si>
  <si>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</si>
  <si>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31/03/2022</t>
  </si>
  <si>
    <t>30/04/2022</t>
  </si>
  <si>
    <t>Direct Plan - Growth</t>
  </si>
  <si>
    <t>Regular Plan - Growth</t>
  </si>
  <si>
    <t xml:space="preserve"> 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</si>
  <si>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</si>
  <si>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</si>
  <si>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</si>
  <si>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</si>
  <si>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XV</t>
  </si>
  <si>
    <t>INE615P01015</t>
  </si>
  <si>
    <t>Quess Corp Ltd</t>
  </si>
  <si>
    <t>INE00WC01027</t>
  </si>
  <si>
    <t>Affle (India) Ltd</t>
  </si>
  <si>
    <t>INE060A01024</t>
  </si>
  <si>
    <t>Navneet Education Ltd</t>
  </si>
  <si>
    <t>INE274F01020</t>
  </si>
  <si>
    <t>Westlife Development Ltd</t>
  </si>
  <si>
    <t>INE988K01017</t>
  </si>
  <si>
    <t>Equitas Holdings Ltd</t>
  </si>
  <si>
    <t>INE806T01012</t>
  </si>
  <si>
    <t>Sapphire Foods India Ltd</t>
  </si>
  <si>
    <t>INE873D01024</t>
  </si>
  <si>
    <t>Indoco Remedies Ltd</t>
  </si>
  <si>
    <t>INE782A01015</t>
  </si>
  <si>
    <t>Johnson Controls-Hitachi AirConditioning India Ltd</t>
  </si>
  <si>
    <t>INE00IN01015</t>
  </si>
  <si>
    <t>Stove Kraft Ltd</t>
  </si>
  <si>
    <t>INE07T201019</t>
  </si>
  <si>
    <t>Restaurant Brands Asia Ltd</t>
  </si>
  <si>
    <t>INE745G01035</t>
  </si>
  <si>
    <t>Multi Commodity Exchange of India Ltd</t>
  </si>
  <si>
    <t>INE285J01028</t>
  </si>
  <si>
    <t>SIS Ltd</t>
  </si>
  <si>
    <t>INE586B01026</t>
  </si>
  <si>
    <t>Taj GVK Hotels &amp; Resorts Ltd</t>
  </si>
  <si>
    <t>INE578A01017</t>
  </si>
  <si>
    <t>HeidelbergCement India Ltd</t>
  </si>
  <si>
    <t>INE02A801020</t>
  </si>
  <si>
    <t>Rossari Biotech Ltd</t>
  </si>
  <si>
    <t>INE199A01012</t>
  </si>
  <si>
    <t>Procter &amp; Gamble Health Ltd</t>
  </si>
  <si>
    <t>Sundaram Select Micro Cap Series XVI</t>
  </si>
  <si>
    <t>INE878B01027</t>
  </si>
  <si>
    <t>KEI Industries Ltd</t>
  </si>
  <si>
    <t>INE04I401011</t>
  </si>
  <si>
    <t>KPIT Technologies Ltd</t>
  </si>
  <si>
    <t>INE348B01021</t>
  </si>
  <si>
    <t>Century Plyboards (India) Ltd</t>
  </si>
  <si>
    <t>INE481N01025</t>
  </si>
  <si>
    <t>Home First Finance Company Ltd</t>
  </si>
  <si>
    <t>INE974X01010</t>
  </si>
  <si>
    <t>Tube Investments of India Ltd</t>
  </si>
  <si>
    <t>INE211B01039</t>
  </si>
  <si>
    <t>The Phoenix Mills Ltd</t>
  </si>
  <si>
    <t>INE477A01020</t>
  </si>
  <si>
    <t>Can Fin Homes Ltd</t>
  </si>
  <si>
    <t>INE220B01022</t>
  </si>
  <si>
    <t>Kalpataru Power Transmission Ltd</t>
  </si>
  <si>
    <t>INE312H01016</t>
  </si>
  <si>
    <t>INOX Leisure Ltd</t>
  </si>
  <si>
    <t>INE732I01013</t>
  </si>
  <si>
    <t>Angel One Ltd</t>
  </si>
  <si>
    <t>INE864I01014</t>
  </si>
  <si>
    <t>MTAR Technologies Ltd</t>
  </si>
  <si>
    <t>INE442H01029</t>
  </si>
  <si>
    <t>Ashoka Buildcon Ltd</t>
  </si>
  <si>
    <t>INE947Q01028</t>
  </si>
  <si>
    <t>Laurus Labs Ltd</t>
  </si>
  <si>
    <t>INE048G01026</t>
  </si>
  <si>
    <t>Navin Fluorine International Ltd</t>
  </si>
  <si>
    <t>INE421D01022</t>
  </si>
  <si>
    <t>CCL Products (India) Ltd</t>
  </si>
  <si>
    <t>INE572A01028</t>
  </si>
  <si>
    <t>JB Chemicals &amp; Pharmaceuticals Ltd</t>
  </si>
  <si>
    <t>INE834I01025</t>
  </si>
  <si>
    <t>Khadim India Ltd</t>
  </si>
  <si>
    <t>INE978A01027</t>
  </si>
  <si>
    <t>Heritage Foods Ltd</t>
  </si>
  <si>
    <t>INE386A01015</t>
  </si>
  <si>
    <t>Vesuvius India Ltd</t>
  </si>
  <si>
    <t>INE227C01017</t>
  </si>
  <si>
    <t>MM Forgings Ltd</t>
  </si>
  <si>
    <t>INE075I01017</t>
  </si>
  <si>
    <t>Healthcare Global Enterprises Ltd</t>
  </si>
  <si>
    <t>Healthcare Services</t>
  </si>
  <si>
    <t>INE049A01027</t>
  </si>
  <si>
    <t>Himatsingka Seide Ltd</t>
  </si>
  <si>
    <t>INE262H01013</t>
  </si>
  <si>
    <t>Persistent Systems Ltd</t>
  </si>
  <si>
    <t>INE731H01025</t>
  </si>
  <si>
    <t>ACTION CONSTRUCTION EQUIPMENTS LTD</t>
  </si>
  <si>
    <t>INE934S01014</t>
  </si>
  <si>
    <t>GNA Axles Ltd</t>
  </si>
  <si>
    <t>INE386C01029</t>
  </si>
  <si>
    <t>Astra Microwave Products Ltd</t>
  </si>
  <si>
    <t>INE094A01015</t>
  </si>
  <si>
    <t>Hindustan Petroleum Corporation Ltd</t>
  </si>
  <si>
    <t>INE056C01010</t>
  </si>
  <si>
    <t>Tata Metaliks Ltd</t>
  </si>
  <si>
    <t>INE126A01031</t>
  </si>
  <si>
    <t>EID Parry India Ltd</t>
  </si>
  <si>
    <t>INE290S01011</t>
  </si>
  <si>
    <t>CarTrade Tech Ltd</t>
  </si>
  <si>
    <t>INE884B01025</t>
  </si>
  <si>
    <t>Kirloskar Ferrous Ind Ltd</t>
  </si>
  <si>
    <t>INE144Z01023</t>
  </si>
  <si>
    <t>Tarsons Products Ltd</t>
  </si>
  <si>
    <t>INE435A01028</t>
  </si>
  <si>
    <t>International Paper APPM Ltd</t>
  </si>
  <si>
    <t>INE565V01010</t>
  </si>
  <si>
    <t>Valiant Organics Ltd</t>
  </si>
  <si>
    <t>Sundaram Select Micro Cap Series XVII</t>
  </si>
  <si>
    <t>INE067A01029</t>
  </si>
  <si>
    <t>CG Power and Industrial Solutions Ltd</t>
  </si>
  <si>
    <t>INE045A01017</t>
  </si>
  <si>
    <t>Ador Welding Ltd</t>
  </si>
  <si>
    <t>INE136B01020</t>
  </si>
  <si>
    <t>Cyient Ltd</t>
  </si>
  <si>
    <t>INE043D01016</t>
  </si>
  <si>
    <t>IDFC Ltd</t>
  </si>
  <si>
    <t>INE325A01013</t>
  </si>
  <si>
    <t>Timken India Ltd</t>
  </si>
  <si>
    <t>INE384A01010</t>
  </si>
  <si>
    <t>Rane Holdings Ltd</t>
  </si>
  <si>
    <t>INE295F01017</t>
  </si>
  <si>
    <t>Butterfly Gandhimathi Appliances Ltd</t>
  </si>
  <si>
    <t>INE877F01012</t>
  </si>
  <si>
    <t>PTC India Ltd</t>
  </si>
  <si>
    <t>INE488A01050</t>
  </si>
  <si>
    <t>Chemplast Sanmar Ltd</t>
  </si>
  <si>
    <t>INE679A01013</t>
  </si>
  <si>
    <t>CSB Bank Ltd</t>
  </si>
  <si>
    <t>INE0H5O01029</t>
  </si>
  <si>
    <t>Windlas Biotech Ltd</t>
  </si>
  <si>
    <t>Sundaram Mid Cap Fund</t>
  </si>
  <si>
    <t>INE647A01010</t>
  </si>
  <si>
    <t>SRF Ltd</t>
  </si>
  <si>
    <t>INE761H01022</t>
  </si>
  <si>
    <t>Page Industries Ltd</t>
  </si>
  <si>
    <t>INE171A01029</t>
  </si>
  <si>
    <t>The Federal Bank  Ltd</t>
  </si>
  <si>
    <t>INE028A01039</t>
  </si>
  <si>
    <t>Bank of Baroda</t>
  </si>
  <si>
    <t>INE437A01024</t>
  </si>
  <si>
    <t>Apollo Hospitals Enterprise Ltd</t>
  </si>
  <si>
    <t>INE238A01034</t>
  </si>
  <si>
    <t>Axis Bank Ltd</t>
  </si>
  <si>
    <t>INE200M01013</t>
  </si>
  <si>
    <t>Varun Beverages Ltd</t>
  </si>
  <si>
    <t>INE018I01017</t>
  </si>
  <si>
    <t>MindTree Ltd</t>
  </si>
  <si>
    <t>INE849A01020</t>
  </si>
  <si>
    <t>Trent Ltd</t>
  </si>
  <si>
    <t>Retailing</t>
  </si>
  <si>
    <t>INE749A01030</t>
  </si>
  <si>
    <t>Jindal Steel &amp; Power Ltd</t>
  </si>
  <si>
    <t>INE226A01021</t>
  </si>
  <si>
    <t>Voltas Ltd</t>
  </si>
  <si>
    <t>INE180A01020</t>
  </si>
  <si>
    <t>Max Financial Services Ltd</t>
  </si>
  <si>
    <t>INE263A01024</t>
  </si>
  <si>
    <t>Bharat Electronics Ltd</t>
  </si>
  <si>
    <t>INE465A01025</t>
  </si>
  <si>
    <t>Bharat Forge Ltd</t>
  </si>
  <si>
    <t>INE299U01018</t>
  </si>
  <si>
    <t>Crompton Greaves Consumer Electricals Ltd</t>
  </si>
  <si>
    <t>INE949L01017</t>
  </si>
  <si>
    <t>AU Small Finance Bank Ltd</t>
  </si>
  <si>
    <t>INE298A01020</t>
  </si>
  <si>
    <t>Cummins India Ltd</t>
  </si>
  <si>
    <t>INE571A01038</t>
  </si>
  <si>
    <t>IPCA Laboratories Ltd</t>
  </si>
  <si>
    <t>INE721A01013</t>
  </si>
  <si>
    <t>Shriram Transport Finance Company Ltd</t>
  </si>
  <si>
    <t>INE356A01018</t>
  </si>
  <si>
    <t>MphasiS Ltd</t>
  </si>
  <si>
    <t>INE068V01023</t>
  </si>
  <si>
    <t>Gland Pharma Ltd</t>
  </si>
  <si>
    <t>INE010V01017</t>
  </si>
  <si>
    <t>L&amp;T Technology Services Ltd</t>
  </si>
  <si>
    <t>INE987B01026</t>
  </si>
  <si>
    <t>Natco Pharma Ltd</t>
  </si>
  <si>
    <t>INE149A01033</t>
  </si>
  <si>
    <t>Cholamandalam Financial Holdings Ltd</t>
  </si>
  <si>
    <t>INE603J01030</t>
  </si>
  <si>
    <t>PI Industries Ltd</t>
  </si>
  <si>
    <t>INE548C01032</t>
  </si>
  <si>
    <t>Emami Ltd</t>
  </si>
  <si>
    <t>INE797F01020</t>
  </si>
  <si>
    <t>Jubilant Foodworks Ltd</t>
  </si>
  <si>
    <t>INE169A01031</t>
  </si>
  <si>
    <t>Coromandel International Ltd</t>
  </si>
  <si>
    <t>INE105A01035</t>
  </si>
  <si>
    <t>Sundaram Clayton Ltd</t>
  </si>
  <si>
    <t>INE763G01038</t>
  </si>
  <si>
    <t>ICICI Securities Ltd</t>
  </si>
  <si>
    <t>INE303R01014</t>
  </si>
  <si>
    <t>Kalyan Jewellers India Ltd</t>
  </si>
  <si>
    <t>INE256A01028</t>
  </si>
  <si>
    <t>Zee Entertainment Enterprises Ltd</t>
  </si>
  <si>
    <t>INE040A01034</t>
  </si>
  <si>
    <t>HDFC Bank Ltd</t>
  </si>
  <si>
    <t>INE935N01020</t>
  </si>
  <si>
    <t>Dixon Technologies (India) Ltd</t>
  </si>
  <si>
    <t>INE115A01026</t>
  </si>
  <si>
    <t>LIC Housing Finance Ltd</t>
  </si>
  <si>
    <t>INE918I01018</t>
  </si>
  <si>
    <t>Bajaj Finserv Ltd</t>
  </si>
  <si>
    <t>INE192A01025</t>
  </si>
  <si>
    <t>TATA Consumer Products Ltd</t>
  </si>
  <si>
    <t>INE405E01023</t>
  </si>
  <si>
    <t>Minda Industries Ltd</t>
  </si>
  <si>
    <t>INE317I01021</t>
  </si>
  <si>
    <t>Metro Brands Ltd</t>
  </si>
  <si>
    <t>INE093I01010</t>
  </si>
  <si>
    <t>Oberoi Realty Ltd</t>
  </si>
  <si>
    <t>INE006I01046</t>
  </si>
  <si>
    <t>Astral Ltd</t>
  </si>
  <si>
    <t>INE061F01013</t>
  </si>
  <si>
    <t>Fortis Health Care Ltd</t>
  </si>
  <si>
    <t>INE217B01036</t>
  </si>
  <si>
    <t>Kajaria Ceramics Ltd</t>
  </si>
  <si>
    <t>INE787D01026</t>
  </si>
  <si>
    <t>Balkrishna Industries Ltd</t>
  </si>
  <si>
    <t>INE00R701025</t>
  </si>
  <si>
    <t>Dalmia Cement (Bharat) Ltd.</t>
  </si>
  <si>
    <t>INE342J01019</t>
  </si>
  <si>
    <t>ZF Commercial Vehicle Control Systems I Ltd</t>
  </si>
  <si>
    <t>INE494B01023</t>
  </si>
  <si>
    <t>TVS Motor Company Ltd</t>
  </si>
  <si>
    <t>Sundaram Multi Cap Fund Series I</t>
  </si>
  <si>
    <t>INE009A01021</t>
  </si>
  <si>
    <t>Infosys Ltd</t>
  </si>
  <si>
    <t>INE001A01036</t>
  </si>
  <si>
    <t>Housing Development Finance Corporation Ltd</t>
  </si>
  <si>
    <t>INE467B01029</t>
  </si>
  <si>
    <t>Tata Consultancy Services Ltd</t>
  </si>
  <si>
    <t>INE123W01016</t>
  </si>
  <si>
    <t>SBI Life Insurance Company Ltd</t>
  </si>
  <si>
    <t>INE044A01036</t>
  </si>
  <si>
    <t>Sun Pharmaceutical Industries Ltd</t>
  </si>
  <si>
    <t>INE030A01027</t>
  </si>
  <si>
    <t>Hindustan UniLever Ltd</t>
  </si>
  <si>
    <t>INE075A01022</t>
  </si>
  <si>
    <t>Wipro Ltd</t>
  </si>
  <si>
    <t>INE860A01027</t>
  </si>
  <si>
    <t>HCL Technologies Ltd</t>
  </si>
  <si>
    <t>INE101A01026</t>
  </si>
  <si>
    <t>Mahindra &amp; Mahindra Ltd</t>
  </si>
  <si>
    <t>INE669C01036</t>
  </si>
  <si>
    <t>Tech Mahindra Ltd</t>
  </si>
  <si>
    <t>INE154A01025</t>
  </si>
  <si>
    <t>ITC Ltd</t>
  </si>
  <si>
    <t>INE081A01012</t>
  </si>
  <si>
    <t>Tata Steel Ltd</t>
  </si>
  <si>
    <t>INE038A01020</t>
  </si>
  <si>
    <t>Hindalco Industries Ltd</t>
  </si>
  <si>
    <t>Non - Ferrous Metals</t>
  </si>
  <si>
    <t>INE237A01028</t>
  </si>
  <si>
    <t>Kotak Mahindra Bank Ltd</t>
  </si>
  <si>
    <t>IN9397D01014</t>
  </si>
  <si>
    <t>Sundaram Multi Cap Fund -Series II</t>
  </si>
  <si>
    <t>Sundaram Large and Mid Cap Fund</t>
  </si>
  <si>
    <t>INE073K01018</t>
  </si>
  <si>
    <t>Sona BLW Precision Forgings Ltd</t>
  </si>
  <si>
    <t>INE361B01024</t>
  </si>
  <si>
    <t>Divis Laboratories Ltd</t>
  </si>
  <si>
    <t>INE476A01014</t>
  </si>
  <si>
    <t>Canara Bank</t>
  </si>
  <si>
    <t>INE296A01024</t>
  </si>
  <si>
    <t>Bajaj Finance Ltd</t>
  </si>
  <si>
    <t>INE893J01029</t>
  </si>
  <si>
    <t>Mold-Tek Packaging Ltd</t>
  </si>
  <si>
    <t>INE117A01022</t>
  </si>
  <si>
    <t>ABB India Ltd</t>
  </si>
  <si>
    <t>INE155A01022</t>
  </si>
  <si>
    <t>Tata Motors Ltd</t>
  </si>
  <si>
    <t>INE586V01016</t>
  </si>
  <si>
    <t>TCI Express Ltd</t>
  </si>
  <si>
    <t>INE192R01011</t>
  </si>
  <si>
    <t>Avenue Supermarts Ltd</t>
  </si>
  <si>
    <t>INE100A01010</t>
  </si>
  <si>
    <t>Atul Ltd</t>
  </si>
  <si>
    <t>INE070A01015</t>
  </si>
  <si>
    <t>Shree Cement Ltd</t>
  </si>
  <si>
    <t>INE585B01010</t>
  </si>
  <si>
    <t>Maruti Suzuki India Ltd</t>
  </si>
  <si>
    <t>INE131B01039</t>
  </si>
  <si>
    <t>Relaxo Footwears Ltd</t>
  </si>
  <si>
    <t>INE388Y01029</t>
  </si>
  <si>
    <t>FSN E–Commerce Ventures Ltd(NYKAA)</t>
  </si>
  <si>
    <t>INE775A01035</t>
  </si>
  <si>
    <t>Motherson Sumi Systems Ltd</t>
  </si>
  <si>
    <t>INE387A01021</t>
  </si>
  <si>
    <t>Sundram Fasteners Ltd</t>
  </si>
  <si>
    <t>INE280A01028</t>
  </si>
  <si>
    <t>Titan Company Ltd</t>
  </si>
  <si>
    <t>INE640A01023</t>
  </si>
  <si>
    <t>SKF India Ltd</t>
  </si>
  <si>
    <t>Sundaram Emerging Small Cap Series I</t>
  </si>
  <si>
    <t>INE717A01029</t>
  </si>
  <si>
    <t>Kennametal India Ltd</t>
  </si>
  <si>
    <t>INE429E01023</t>
  </si>
  <si>
    <t>Safari Industries (India) Ltd</t>
  </si>
  <si>
    <t>INE688A01022</t>
  </si>
  <si>
    <t>Transport Corporation of India Ltd</t>
  </si>
  <si>
    <t>INE472A01039</t>
  </si>
  <si>
    <t>Blue Star Ltd</t>
  </si>
  <si>
    <t>INE120A01034</t>
  </si>
  <si>
    <t>Carborundum Universal Ltd</t>
  </si>
  <si>
    <t>INE743M01012</t>
  </si>
  <si>
    <t>RHI Magnesita India Ltd</t>
  </si>
  <si>
    <t>INE741K01010</t>
  </si>
  <si>
    <t>Creditaccess Grameen Ltd</t>
  </si>
  <si>
    <t>INE296E01026</t>
  </si>
  <si>
    <t>Rajapalayam Mills Ltd</t>
  </si>
  <si>
    <t>INE750A01020</t>
  </si>
  <si>
    <t>Oriental Hotels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</si>
  <si>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</si>
  <si>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</si>
  <si>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</si>
  <si>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</si>
  <si>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</si>
  <si>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</si>
  <si>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</si>
  <si>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</si>
  <si>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INE854D01024</t>
  </si>
  <si>
    <t>United Spirits Ltd</t>
  </si>
  <si>
    <t>INE058A01010</t>
  </si>
  <si>
    <t>Sanofi India Ltd</t>
  </si>
  <si>
    <t>INE716A01013</t>
  </si>
  <si>
    <t>Whirlpool of India Ltd</t>
  </si>
  <si>
    <t>INE172A01027</t>
  </si>
  <si>
    <t>Castrol India Ltd</t>
  </si>
  <si>
    <t>INE517F01014</t>
  </si>
  <si>
    <t>Gujarat Pipavav Port Ltd</t>
  </si>
  <si>
    <t>INE182A01018</t>
  </si>
  <si>
    <t>Pfizer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</si>
  <si>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</si>
  <si>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</si>
  <si>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</si>
  <si>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</si>
  <si>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</si>
  <si>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INE647O01011</t>
  </si>
  <si>
    <t>Aditya Birla Fashion and Retail Ltd</t>
  </si>
  <si>
    <t>INE059A01026</t>
  </si>
  <si>
    <t>Cipla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</si>
  <si>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</si>
  <si>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</si>
  <si>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</si>
  <si>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</si>
  <si>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</si>
  <si>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</si>
  <si>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INE098F01031</t>
  </si>
  <si>
    <t>Amrutanjan Health Care Ltd</t>
  </si>
  <si>
    <t>INE596I01012</t>
  </si>
  <si>
    <t>Computer Age Management Services Ltd</t>
  </si>
  <si>
    <t>INE136S01016</t>
  </si>
  <si>
    <t>Neogen Chemicals Ltd</t>
  </si>
  <si>
    <t>INE836A01035</t>
  </si>
  <si>
    <t>Birlasoft Ltd</t>
  </si>
  <si>
    <t>INE944F01028</t>
  </si>
  <si>
    <t>Radico Khaitan Ltd</t>
  </si>
  <si>
    <t>INE022Q01020</t>
  </si>
  <si>
    <t>Indian Energy Exchange Ltd</t>
  </si>
  <si>
    <t>INE094J01016</t>
  </si>
  <si>
    <t>UTI Asset Management Co Ltd</t>
  </si>
  <si>
    <t>INE0BV301023</t>
  </si>
  <si>
    <t>CE Info Systems Private Limited</t>
  </si>
  <si>
    <t>IN9155A01020</t>
  </si>
  <si>
    <t>INE142Z01019</t>
  </si>
  <si>
    <t>Orient Electric Ltd</t>
  </si>
  <si>
    <t>INE736A01011</t>
  </si>
  <si>
    <t>Central Depository Services (India) Ltd</t>
  </si>
  <si>
    <t>INE03QK01018</t>
  </si>
  <si>
    <t>Suven Pharmaceuticals Ltd</t>
  </si>
  <si>
    <t>INE768C01010</t>
  </si>
  <si>
    <t>Zydus Wellness Ltd</t>
  </si>
  <si>
    <t>INE725G01011</t>
  </si>
  <si>
    <t>ICRA Ltd</t>
  </si>
  <si>
    <t>INE119A01028</t>
  </si>
  <si>
    <t>Balrampur Chini Mills Ltd</t>
  </si>
  <si>
    <t>INE451A01017</t>
  </si>
  <si>
    <t>Force Motors Ltd</t>
  </si>
  <si>
    <t>INE287B01021</t>
  </si>
  <si>
    <t>Subros Ltd</t>
  </si>
  <si>
    <t>INE930H01031</t>
  </si>
  <si>
    <t>K.P.R. Mill Ltd</t>
  </si>
  <si>
    <t>INE177F01017</t>
  </si>
  <si>
    <t>Kovai Medical Center &amp; Hospital Ltd</t>
  </si>
  <si>
    <t>INE930P01018</t>
  </si>
  <si>
    <t>Anupam Rasayan India Ltd</t>
  </si>
  <si>
    <t>INE634I01029</t>
  </si>
  <si>
    <t>KNR Construction Ltd</t>
  </si>
  <si>
    <t>INE600K01018</t>
  </si>
  <si>
    <t>Galaxy Surfactants Ltd</t>
  </si>
  <si>
    <t>INE670A01012</t>
  </si>
  <si>
    <t>Tata Elxsi Ltd</t>
  </si>
  <si>
    <t>INE343H01029</t>
  </si>
  <si>
    <t>Solar Industries India Ltd</t>
  </si>
  <si>
    <t>INE450U01017</t>
  </si>
  <si>
    <t>Route Mobile Ltd</t>
  </si>
  <si>
    <t>INE054A01027</t>
  </si>
  <si>
    <t>VIP Industries Ltd</t>
  </si>
  <si>
    <t>INE739E01017</t>
  </si>
  <si>
    <t>Cera Sanitaryware Ltd</t>
  </si>
  <si>
    <t>INE112L01020</t>
  </si>
  <si>
    <t>Metropolis Healthcare Ltd</t>
  </si>
  <si>
    <t>INE825V01034</t>
  </si>
  <si>
    <t>Vedant Fashions Ltd</t>
  </si>
  <si>
    <t>INE016A01026</t>
  </si>
  <si>
    <t>Dabur India Ltd</t>
  </si>
  <si>
    <t>INE795G01014</t>
  </si>
  <si>
    <t>HDFC Life Insurance Company Ltd</t>
  </si>
  <si>
    <t>Stock Future</t>
  </si>
  <si>
    <t>IN002021Y445</t>
  </si>
  <si>
    <t>Sovereign</t>
  </si>
  <si>
    <t>INF173K01GU0</t>
  </si>
  <si>
    <t>Margin Money For Derivatives</t>
  </si>
  <si>
    <t>Sundaram Dividend Yield Fund</t>
  </si>
  <si>
    <t>INE917I01010</t>
  </si>
  <si>
    <t>Bajaj Auto Ltd</t>
  </si>
  <si>
    <t>INE916U01025</t>
  </si>
  <si>
    <t>Sheela Foam Ltd</t>
  </si>
  <si>
    <t>INE212H01026</t>
  </si>
  <si>
    <t>AIA Engineering Ltd</t>
  </si>
  <si>
    <t>INE267A01025</t>
  </si>
  <si>
    <t>Hindustan Zinc Ltd</t>
  </si>
  <si>
    <t>INE710A01016</t>
  </si>
  <si>
    <t>VST Industries Ltd</t>
  </si>
  <si>
    <t>INE482A01020</t>
  </si>
  <si>
    <t>Ceat Ltd</t>
  </si>
  <si>
    <t>INE216A01030</t>
  </si>
  <si>
    <t>Britannia Industries Ltd</t>
  </si>
  <si>
    <t>INE759J01022</t>
  </si>
  <si>
    <t>IDIA00069480</t>
  </si>
  <si>
    <t>IDIA00069477</t>
  </si>
  <si>
    <t>INE02CF01010</t>
  </si>
  <si>
    <t>INE216A08027</t>
  </si>
  <si>
    <t>Britannia Industries Ltd - 5.5% - 03/06/2024**</t>
  </si>
  <si>
    <t xml:space="preserve"> CRISIL AAA </t>
  </si>
  <si>
    <t>** Thinly traded / Non Traded Securities</t>
  </si>
  <si>
    <t>Sundaram Equity Savings Fund</t>
  </si>
  <si>
    <t>INE021A01026</t>
  </si>
  <si>
    <t>Asian Paints Ltd</t>
  </si>
  <si>
    <t>INE214T01019</t>
  </si>
  <si>
    <t>Larsen &amp; Toubro Infotech Ltd</t>
  </si>
  <si>
    <t>INE562A01011</t>
  </si>
  <si>
    <t>Indian Bank</t>
  </si>
  <si>
    <t>INE326A01037</t>
  </si>
  <si>
    <t>Lupin Ltd</t>
  </si>
  <si>
    <t>INE591G01017</t>
  </si>
  <si>
    <t>Coforge Ltd</t>
  </si>
  <si>
    <t>INE115A07OV2</t>
  </si>
  <si>
    <t>LIC Housing Finance Ltd - 5.45% - 25/08/2023**</t>
  </si>
  <si>
    <t xml:space="preserve"> CARE AAA </t>
  </si>
  <si>
    <t>INE020B08AT3</t>
  </si>
  <si>
    <t>REC Ltd - 7.99% - 23/02/2023**</t>
  </si>
  <si>
    <t>INE053F07BB3</t>
  </si>
  <si>
    <t>Indian Railway Finance Corporation Ltd - 8.25% - 28/02/2024**</t>
  </si>
  <si>
    <t>INE733E07JD2</t>
  </si>
  <si>
    <t>NTPC Ltd - 8.8% - 04/04/2023**</t>
  </si>
  <si>
    <t>INE020B08CG6</t>
  </si>
  <si>
    <t>REC Ltd - 7.24% - 31/12/2022**</t>
  </si>
  <si>
    <t>INE261F08CA0</t>
  </si>
  <si>
    <t>National Bank for Agricultural &amp; Rural Development - 6.4% - 31/07/2023**</t>
  </si>
  <si>
    <t>IN0020200112</t>
  </si>
  <si>
    <t>5.22% Central Government Securities 15/06/2025</t>
  </si>
  <si>
    <t>IN0020200278</t>
  </si>
  <si>
    <t>5.15% Central Government Securities 09/11/2025</t>
  </si>
  <si>
    <t>IN2220150022</t>
  </si>
  <si>
    <t>8.14% Maharashtra State Development Loan 27/05/2025</t>
  </si>
  <si>
    <t>IN0020190396</t>
  </si>
  <si>
    <t>6.18% Central Government Securities 04/11/2024</t>
  </si>
  <si>
    <t>IN002021Y510</t>
  </si>
  <si>
    <t>IN002021Y528</t>
  </si>
  <si>
    <t>Sundaram Multi Cap Fund</t>
  </si>
  <si>
    <t>INE227W01023</t>
  </si>
  <si>
    <t>Clean Science &amp; Technology Ltd</t>
  </si>
  <si>
    <t>INE470A01017</t>
  </si>
  <si>
    <t>3M India Ltd</t>
  </si>
  <si>
    <t>INE852S01026</t>
  </si>
  <si>
    <t>INE147E01013</t>
  </si>
  <si>
    <t>INE348C01011</t>
  </si>
  <si>
    <t>IDIA00069356</t>
  </si>
  <si>
    <t>INE406B01019</t>
  </si>
  <si>
    <t>INE604A01011</t>
  </si>
  <si>
    <t>IDIA00069359</t>
  </si>
  <si>
    <t>INE431E01011</t>
  </si>
  <si>
    <t>INE364U01010</t>
  </si>
  <si>
    <t>Adani Green Energy Ltd</t>
  </si>
  <si>
    <t>INE079A01024</t>
  </si>
  <si>
    <t>Ambuja Cements Ltd</t>
  </si>
  <si>
    <t>INE423A01024</t>
  </si>
  <si>
    <t>Adani Enterprises</t>
  </si>
  <si>
    <t>INE176B01034</t>
  </si>
  <si>
    <t>Havells India Ltd</t>
  </si>
  <si>
    <t>INE931S01010</t>
  </si>
  <si>
    <t>Adani Transmission Ltd</t>
  </si>
  <si>
    <t>INE012A01025</t>
  </si>
  <si>
    <t>ACC Ltd</t>
  </si>
  <si>
    <t>INE102D01028</t>
  </si>
  <si>
    <t>Godrej Consumer Products Ltd</t>
  </si>
  <si>
    <t>INE545U01014</t>
  </si>
  <si>
    <t>Bandhan Bank Ltd</t>
  </si>
  <si>
    <t>INE726G01019</t>
  </si>
  <si>
    <t>ICICI Prudential Life Insurance Company Ltd</t>
  </si>
  <si>
    <t>INE066A01021</t>
  </si>
  <si>
    <t>Eicher Motors Ltd</t>
  </si>
  <si>
    <t>INE196A01026</t>
  </si>
  <si>
    <t>Marico Ltd</t>
  </si>
  <si>
    <t>INE259A01022</t>
  </si>
  <si>
    <t>Colgate Palmolive (India) Ltd</t>
  </si>
  <si>
    <t>INE982J01020</t>
  </si>
  <si>
    <t>One 97 Communications Ltd</t>
  </si>
  <si>
    <t>INE239A01016</t>
  </si>
  <si>
    <t>Nestle India Ltd</t>
  </si>
  <si>
    <t>INE376G01013</t>
  </si>
  <si>
    <t>Biocon Ltd</t>
  </si>
  <si>
    <t>INE463A01038</t>
  </si>
  <si>
    <t>Berger Paints (I) Ltd</t>
  </si>
  <si>
    <t>INE663F01024</t>
  </si>
  <si>
    <t>Info Edge (India) Ltd</t>
  </si>
  <si>
    <t>INE628A01036</t>
  </si>
  <si>
    <t>UPL Ltd</t>
  </si>
  <si>
    <t>INE047A01021</t>
  </si>
  <si>
    <t>Grasim Industries Ltd</t>
  </si>
  <si>
    <t>INE158A01026</t>
  </si>
  <si>
    <t>Hero MotoCorp Ltd</t>
  </si>
  <si>
    <t>INE095A01012</t>
  </si>
  <si>
    <t>IndusInd Bank Ltd</t>
  </si>
  <si>
    <t>INE685A01028</t>
  </si>
  <si>
    <t>Torrent Pharmaceuticals Ltd</t>
  </si>
  <si>
    <t>INE323A01026</t>
  </si>
  <si>
    <t>Bosch Ltd</t>
  </si>
  <si>
    <t>INE118A01012</t>
  </si>
  <si>
    <t>Bajaj Holdings &amp; Investment Ltd</t>
  </si>
  <si>
    <t>INE271C01023</t>
  </si>
  <si>
    <t>DLF Ltd</t>
  </si>
  <si>
    <t>INE318A01026</t>
  </si>
  <si>
    <t>Pidilite Industries Ltd</t>
  </si>
  <si>
    <t>INE765G01017</t>
  </si>
  <si>
    <t>ICICI Lombard General Insurance Company Ltd</t>
  </si>
  <si>
    <t>INE003A01024</t>
  </si>
  <si>
    <t>Siemens Ltd</t>
  </si>
  <si>
    <t>INE584A01023</t>
  </si>
  <si>
    <t>NMDC Ltd</t>
  </si>
  <si>
    <t>INE010B01027</t>
  </si>
  <si>
    <t>Zydus Lifesciences Ltd</t>
  </si>
  <si>
    <t>INE019A01038</t>
  </si>
  <si>
    <t>JSW Steel Ltd</t>
  </si>
  <si>
    <t>INE205A01025</t>
  </si>
  <si>
    <t>Vedanta Ltd</t>
  </si>
  <si>
    <t>INE140A01024</t>
  </si>
  <si>
    <t>Piramal Enterprises Ltd</t>
  </si>
  <si>
    <t>INE160A01022</t>
  </si>
  <si>
    <t>Punjab National Bank</t>
  </si>
  <si>
    <t>INE414G01012</t>
  </si>
  <si>
    <t>Muthoot Finance Ltd</t>
  </si>
  <si>
    <t>INE018E01016</t>
  </si>
  <si>
    <t>SBI Cards and Payment Services Ltd</t>
  </si>
  <si>
    <t>INE127D01025</t>
  </si>
  <si>
    <t>HDFC Asset Management Company Ltd</t>
  </si>
  <si>
    <t>INE089A01023</t>
  </si>
  <si>
    <t>Dr. Reddys Laboratories Ltd</t>
  </si>
  <si>
    <t>INE522F01014</t>
  </si>
  <si>
    <t>Coal India Ltd</t>
  </si>
  <si>
    <t>INE646L01027</t>
  </si>
  <si>
    <t>Interglobe Aviation Ltd</t>
  </si>
  <si>
    <t>INE179A01014</t>
  </si>
  <si>
    <t>Procter &amp; Gamble Hygiene and Health Care Ltd</t>
  </si>
  <si>
    <t>INE758T01015</t>
  </si>
  <si>
    <t>Zomato Ltd</t>
  </si>
  <si>
    <t>INEDUMMYYESB</t>
  </si>
  <si>
    <t>Sundaram Rural and Consumption Fund</t>
  </si>
  <si>
    <t>INE176A01028</t>
  </si>
  <si>
    <t>Bata India Ltd</t>
  </si>
  <si>
    <t>INE872J01023</t>
  </si>
  <si>
    <t>Devyani international limited</t>
  </si>
  <si>
    <t>INE355A01028</t>
  </si>
  <si>
    <t>Somany Ceramics Ltd</t>
  </si>
  <si>
    <t>INE418L01021</t>
  </si>
  <si>
    <t>Nazara Technologies Ltd</t>
  </si>
  <si>
    <t>Sundaram Services Fund</t>
  </si>
  <si>
    <t>INE191H01014</t>
  </si>
  <si>
    <t>PVR Ltd</t>
  </si>
  <si>
    <t>INE970X01018</t>
  </si>
  <si>
    <t>Lemon Tree Hotels Ltd</t>
  </si>
  <si>
    <t>INE419U01012</t>
  </si>
  <si>
    <t>Happiest Minds Technologies Limited</t>
  </si>
  <si>
    <t>INE0CLI01024</t>
  </si>
  <si>
    <t>Rate Gain Travel Technologies Ltd</t>
  </si>
  <si>
    <t>MU0295S00016</t>
  </si>
  <si>
    <t>Make My Trip Ltd (USD)</t>
  </si>
  <si>
    <t>Sundaram Diversified Equity</t>
  </si>
  <si>
    <t>Sundaram Financial Services Opportunities Fund</t>
  </si>
  <si>
    <t>Institutional Plan - Growth</t>
  </si>
  <si>
    <t>i) Repo in corporate debt</t>
  </si>
  <si>
    <t>Others</t>
  </si>
  <si>
    <t>Individual &amp; HUF</t>
  </si>
  <si>
    <t>^ Net current assets includes interest accrued on fixed income securities</t>
  </si>
  <si>
    <t>**Non Traded Securities</t>
  </si>
  <si>
    <t>IN002021Z368</t>
  </si>
  <si>
    <t>IN002021Y536</t>
  </si>
  <si>
    <t>IN002021Y437</t>
  </si>
  <si>
    <t xml:space="preserve"> CRISIL A1+ </t>
  </si>
  <si>
    <t>Export Import Bank of India - 30/09/2022**</t>
  </si>
  <si>
    <t>INE514E14QH8</t>
  </si>
  <si>
    <t xml:space="preserve"> IND A1+ </t>
  </si>
  <si>
    <t>Bank of Baroda - 14/02/2023**</t>
  </si>
  <si>
    <t>INE028A16CO8</t>
  </si>
  <si>
    <t>Canara Bank - 22/08/2022</t>
  </si>
  <si>
    <t>INE476A16ST4</t>
  </si>
  <si>
    <t>Axis Bank Ltd - 16/06/2022</t>
  </si>
  <si>
    <t>INE238A164X2</t>
  </si>
  <si>
    <t>Bank of Baroda - 13/06/2022**</t>
  </si>
  <si>
    <t>INE028A16CS9</t>
  </si>
  <si>
    <t>8.35% Central Government Securities 14/05/2022</t>
  </si>
  <si>
    <t>IN0020020072</t>
  </si>
  <si>
    <t>8.13% Central Government Securities 21/09/2022</t>
  </si>
  <si>
    <t>IN0020070051</t>
  </si>
  <si>
    <t>8.06% Maharashtra State Development Loan 11/02/2025</t>
  </si>
  <si>
    <t>IN2220140205</t>
  </si>
  <si>
    <t>8.08% Karnataka State Development Loan 11/03/2025</t>
  </si>
  <si>
    <t>IN1920140119</t>
  </si>
  <si>
    <t>8.25% Maharashtra State Development Loan 10/06/2025</t>
  </si>
  <si>
    <t>IN2220150030</t>
  </si>
  <si>
    <t xml:space="preserve">6.84% Central Government Securities 19/12/2022 </t>
  </si>
  <si>
    <t>IN0020160050</t>
  </si>
  <si>
    <t>7.16% Central Government Securities 20/05/2023</t>
  </si>
  <si>
    <t>IN0020130012</t>
  </si>
  <si>
    <t>7.32% Central Government Securities 28/01/2024</t>
  </si>
  <si>
    <t>IN0020180488</t>
  </si>
  <si>
    <t>Tata Sons Pvt Ltd - 9.3% - 19/06/2024**</t>
  </si>
  <si>
    <t>INE895D07487</t>
  </si>
  <si>
    <t>National Bank for Agricultural &amp; Rural Development - 5.27% - 23/07/2024**</t>
  </si>
  <si>
    <t>INE261F08DF7</t>
  </si>
  <si>
    <t>INE528G08246</t>
  </si>
  <si>
    <t>Small Industrial Development Bank of India - 6.99% - 08/08/2022**</t>
  </si>
  <si>
    <t>INE556F08JN1</t>
  </si>
  <si>
    <t>National Housing Bank  - 6.55% - 17/04/2023**</t>
  </si>
  <si>
    <t>INE557F08FI7</t>
  </si>
  <si>
    <t>National Bank for Agricultural &amp; Rural Development - 8.5% - 31/01/2023</t>
  </si>
  <si>
    <t>INE261F08AT4</t>
  </si>
  <si>
    <t>ICICI Bank Ltd - 7.6% - 07/10/2023**</t>
  </si>
  <si>
    <t>INE090A08TU6</t>
  </si>
  <si>
    <t>National Bank for Agricultural &amp; Rural Development - 5.23% - 31/01/2025**</t>
  </si>
  <si>
    <t>INE261F08DI1</t>
  </si>
  <si>
    <t>LIC Housing Finance Ltd - 5.35% - 20/03/2023**</t>
  </si>
  <si>
    <t>INE115A07PC9</t>
  </si>
  <si>
    <t xml:space="preserve"> CRISIL AA+ </t>
  </si>
  <si>
    <t>INE238A08443</t>
  </si>
  <si>
    <t>LIC Housing Finance Ltd - 7.445% - 13/01/2023**</t>
  </si>
  <si>
    <t>INE115A07OJ7</t>
  </si>
  <si>
    <t>National Bank for Agricultural &amp; Rural Development - 7.69% - 29/05/2024**</t>
  </si>
  <si>
    <t>INE261F08BK1</t>
  </si>
  <si>
    <t>Larsen &amp; Toubro Ltd - 7.7% - 28/04/2025**</t>
  </si>
  <si>
    <t>INE018A08BA7</t>
  </si>
  <si>
    <t>Power Finance Corporation Ltd - 8.1% - 04/06/2024**</t>
  </si>
  <si>
    <t>INE134E08KD9</t>
  </si>
  <si>
    <t>INE028A08117</t>
  </si>
  <si>
    <t>Housing Development Finance Corporation Ltd - 7.21% - 30/12/2022**</t>
  </si>
  <si>
    <t>INE001A07SD3</t>
  </si>
  <si>
    <t>Housing Development Finance Corporation Ltd - 7.35% - 10/02/2025**</t>
  </si>
  <si>
    <t>INE001A07SG6</t>
  </si>
  <si>
    <t>National Housing Bank  - 7.05% - 18/12/2024**</t>
  </si>
  <si>
    <t>INE557F08FG1</t>
  </si>
  <si>
    <t xml:space="preserve"> IND AAA </t>
  </si>
  <si>
    <t>INE028A08158</t>
  </si>
  <si>
    <t>LIC Housing Finance Ltd - 4.96% - 14/09/2023**</t>
  </si>
  <si>
    <t>INE115A07OZ3</t>
  </si>
  <si>
    <t>INE040A08377</t>
  </si>
  <si>
    <t>REC Ltd - 5.74% - 20/06/2024**</t>
  </si>
  <si>
    <t>INE020B08DR1</t>
  </si>
  <si>
    <t>INE062A08157</t>
  </si>
  <si>
    <t>Small Industrial Development Bank of India - 6.8% - 29/09/2022**</t>
  </si>
  <si>
    <t>INE556F08JO9</t>
  </si>
  <si>
    <t>Power Finance Corporation Ltd - 6.83% - 24/04/2023**</t>
  </si>
  <si>
    <t>INE134E08KO6</t>
  </si>
  <si>
    <t>National Bank for Agricultural &amp; Rural Development - 4.6% - 29/07/2022</t>
  </si>
  <si>
    <t>INE261F08CS2</t>
  </si>
  <si>
    <t>Sundaram Aggressive Hybrid Fund</t>
  </si>
  <si>
    <t xml:space="preserve">8.15% Central Government Securities 11/06/2022 </t>
  </si>
  <si>
    <t>IN0020120013</t>
  </si>
  <si>
    <t>7.02% Maharashtra State Development Loan 27/09/2022</t>
  </si>
  <si>
    <t>IN2220170111</t>
  </si>
  <si>
    <t>4.26% Central Government Securities 17/05/2023</t>
  </si>
  <si>
    <t>IN0020210046</t>
  </si>
  <si>
    <t>Indian Oil Corporation Ltd - 5.05% - 25/11/2022</t>
  </si>
  <si>
    <t>INE242A08460</t>
  </si>
  <si>
    <t>REC Ltd - 8.15% - 10/06/2022**</t>
  </si>
  <si>
    <t>INE020B08BT1</t>
  </si>
  <si>
    <t>Housing and Urban Development Corp. Ltd - 7.34% - 16/09/2022**</t>
  </si>
  <si>
    <t>INE031A08731</t>
  </si>
  <si>
    <t>Indian Railway Finance Corporation Ltd - 6.59% - 14/04/2023**</t>
  </si>
  <si>
    <t>INE053F07BZ2</t>
  </si>
  <si>
    <t>REC Ltd - 7.09% - 13/12/2022**</t>
  </si>
  <si>
    <t>INE020B08CD3</t>
  </si>
  <si>
    <t>Power Finance Corporation Ltd - 7.04% - 14/04/2023**</t>
  </si>
  <si>
    <t>INE134E08KJ6</t>
  </si>
  <si>
    <t>LIC Housing Finance Ltd - 9.3% - 14/09/2022**</t>
  </si>
  <si>
    <t>INE115A07CY1</t>
  </si>
  <si>
    <t>Housing Development Finance Corporation Ltd - 4.95% - 09/09/2022**</t>
  </si>
  <si>
    <t>INE001A07SQ5</t>
  </si>
  <si>
    <t>REC Ltd - 5.69% - 30/09/2023**</t>
  </si>
  <si>
    <t>INE020B08DC3</t>
  </si>
  <si>
    <t>Housing Development Finance Corporation Ltd - 6.99% - 13/02/2023**</t>
  </si>
  <si>
    <t>INE001A07SH4</t>
  </si>
  <si>
    <t>National Bank for Agricultural &amp; Rural Development - 6.72% - 14/04/2023**</t>
  </si>
  <si>
    <t>INE261F08BW6</t>
  </si>
  <si>
    <t>LIC Housing Finance Ltd - 7.6% - 22/11/2022**</t>
  </si>
  <si>
    <t>INE115A07OH1</t>
  </si>
  <si>
    <t>REC Ltd - 6.8% - 30/06/2023**</t>
  </si>
  <si>
    <t>INE020B08CN2</t>
  </si>
  <si>
    <t>Hindustan Petroleum Corporation Ltd - 4.79% - 23/10/2023**</t>
  </si>
  <si>
    <t>INE094A08085</t>
  </si>
  <si>
    <t>Housing Development Finance Corporation Ltd - 8.05% - 20/06/2022**</t>
  </si>
  <si>
    <t>INE001A07RU9</t>
  </si>
  <si>
    <t>Index Future</t>
  </si>
  <si>
    <t>Aurobindo Pharma Ltd</t>
  </si>
  <si>
    <t>INE406A01037</t>
  </si>
  <si>
    <t>Tata Chemicals Ltd</t>
  </si>
  <si>
    <t>INE092A01019</t>
  </si>
  <si>
    <t>Sundaram Balanced Advantage Fund</t>
  </si>
  <si>
    <t>Page Industries Ltd May 2022</t>
  </si>
  <si>
    <t>Bharat Forge Ltd May 2022</t>
  </si>
  <si>
    <t>HDFC Life Insurance Company Ltd May 2022</t>
  </si>
  <si>
    <t>Infosys Limited May 2022</t>
  </si>
  <si>
    <t>Larsen &amp; Toubro Ltd May 2022</t>
  </si>
  <si>
    <t>Dabur India Limited May 2022</t>
  </si>
  <si>
    <t>ICICI Bank Ltd May 2022</t>
  </si>
  <si>
    <t>Wipro Limited May 2022</t>
  </si>
  <si>
    <t>Hindustan Unilever Ltd May 2022</t>
  </si>
  <si>
    <t>Canara Bank May 2022</t>
  </si>
  <si>
    <t>LIC Housing Finance Ltd May 2022</t>
  </si>
  <si>
    <t>Bajaj Finserv Limited May 2022</t>
  </si>
  <si>
    <t>Kotak Mahindra Bank Ltd May 2022</t>
  </si>
  <si>
    <t>Jindal Steel &amp; Power Ltd May 2022</t>
  </si>
  <si>
    <t>Adani Ports &amp; SEZ Ltd May 2022</t>
  </si>
  <si>
    <t xml:space="preserve">
Zee Entertainment Enterprises Limited May 2022</t>
  </si>
  <si>
    <t>Bajaj Finance Limited May 2022</t>
  </si>
  <si>
    <t>HDFC Bank Limited May 2022</t>
  </si>
  <si>
    <t>Axis Bank Ltd May 2022</t>
  </si>
  <si>
    <t>Reliance Industries Ltd May 2022</t>
  </si>
  <si>
    <t>Divis Labarotories Ltd May 2022</t>
  </si>
  <si>
    <t>Mahindra &amp; Mahindra Ltd May 2022</t>
  </si>
  <si>
    <t>Lupin Ltd May 2022</t>
  </si>
  <si>
    <t>TATA Consumer Products Ltd May 2022</t>
  </si>
  <si>
    <t>Bharti Airtel Ltd May 2022</t>
  </si>
  <si>
    <t>Tata Steel Limited May 2022</t>
  </si>
  <si>
    <t>United Spirits Ltd May 2022</t>
  </si>
  <si>
    <t>Titan Company Limited May 2022</t>
  </si>
  <si>
    <t>Larsen &amp; Toubro Infotech Limited May 2022</t>
  </si>
  <si>
    <t>Ashok Leyland Ltd May 2022</t>
  </si>
  <si>
    <t>Tech Mahindra Ltd May 2022</t>
  </si>
  <si>
    <t>Asian Paints Limited May 2022</t>
  </si>
  <si>
    <t>Punjab National Bank May 2022</t>
  </si>
  <si>
    <t>Aurobindo Pharma Limited May 2022</t>
  </si>
  <si>
    <t>Tata Chemicals Limited May 2022</t>
  </si>
  <si>
    <t>Apollo Hospitals Enterprise Limited May 2022</t>
  </si>
  <si>
    <t>Eicher Motors Limited May 2022</t>
  </si>
  <si>
    <t>SBI Life Insurance Company Ltd May 2022</t>
  </si>
  <si>
    <t>Grasim Industries Limited May 2022</t>
  </si>
  <si>
    <t>Sun Pharmaceutical Industries Limited May 2022</t>
  </si>
  <si>
    <t>Dr.Reddys Laboratories Ltd May 2022</t>
  </si>
  <si>
    <t>Hindalco Industries Ltd May 2022</t>
  </si>
  <si>
    <t>ITC Ltd May 2022</t>
  </si>
  <si>
    <t>State Bank of India May 2022</t>
  </si>
  <si>
    <t>Pidilite Industries Ltd May 2022</t>
  </si>
  <si>
    <t>Nifty May 2022</t>
  </si>
  <si>
    <t>INE0GGX23010</t>
  </si>
  <si>
    <t>Power Grid Infrastructure Investment Trust(InvIT)</t>
  </si>
  <si>
    <t>INE041025011</t>
  </si>
  <si>
    <t>Embassy Office Parks(REIT)</t>
  </si>
  <si>
    <t>Realty</t>
  </si>
  <si>
    <t>INE001A13049</t>
  </si>
  <si>
    <t>Housing Development Finance Corporation Ltd.</t>
  </si>
  <si>
    <t>Bharti Airtel Ltd - Partly Paid Right Shares</t>
  </si>
  <si>
    <t>182 Days - T Bill - 01/09/2022</t>
  </si>
  <si>
    <t>182 Days - T Bill - 07/07/2022</t>
  </si>
  <si>
    <t>182 Days - T Bill - 08/09/2022</t>
  </si>
  <si>
    <t>182 Days - T Bill - 14/07/2022</t>
  </si>
  <si>
    <t>182 Days - T Bill - 15/09/2022</t>
  </si>
  <si>
    <t>364 Days - T Bill - 01/12/2022</t>
  </si>
  <si>
    <t>Insurance</t>
  </si>
  <si>
    <t>Capital Markets</t>
  </si>
  <si>
    <t>Cement &amp; Cement Products</t>
  </si>
  <si>
    <t>Industrial Manufacturing</t>
  </si>
  <si>
    <t>Transport Infrastructure</t>
  </si>
  <si>
    <t>Transport Services</t>
  </si>
  <si>
    <t>Agricultural, Commercial &amp; Construction Vehicles</t>
  </si>
  <si>
    <t>Auto Components</t>
  </si>
  <si>
    <t>Commercial Services &amp; Supplies</t>
  </si>
  <si>
    <t>IT - Services</t>
  </si>
  <si>
    <t>Printing &amp; Publication</t>
  </si>
  <si>
    <t>Leisure Services</t>
  </si>
  <si>
    <t>Pharmaceuticals &amp; Biotechnology</t>
  </si>
  <si>
    <t>Chemicals &amp; Petrochemicals</t>
  </si>
  <si>
    <t>IT - Software</t>
  </si>
  <si>
    <t>Entertainment</t>
  </si>
  <si>
    <t>Aerospace &amp; Defense</t>
  </si>
  <si>
    <t>Agricultural Food &amp; other Products</t>
  </si>
  <si>
    <t>Food Products</t>
  </si>
  <si>
    <t>Textiles &amp; Apparels</t>
  </si>
  <si>
    <t>Healthcare Equipment &amp; Supplies</t>
  </si>
  <si>
    <t>Paper, Forest &amp; Jute Products</t>
  </si>
  <si>
    <t>Electrical Equipment</t>
  </si>
  <si>
    <t>Beverages</t>
  </si>
  <si>
    <t>Fertilizers &amp; Agrochemicals</t>
  </si>
  <si>
    <t>Personal Products</t>
  </si>
  <si>
    <t>Automobiles</t>
  </si>
  <si>
    <t>Diversified FMCG</t>
  </si>
  <si>
    <t>Cigarettes &amp; Tobacco Products</t>
  </si>
  <si>
    <t>Diversified</t>
  </si>
  <si>
    <t>Metals &amp; Minerals Trading</t>
  </si>
  <si>
    <t>Financial Technology (Fintech)</t>
  </si>
  <si>
    <t>Minerals &amp; Mining</t>
  </si>
  <si>
    <t>Diversified Metals</t>
  </si>
  <si>
    <t>Consumable Fuels</t>
  </si>
  <si>
    <t>b) Total value and percentage of illiquid equity shares@</t>
  </si>
  <si>
    <t>0.00 / #</t>
  </si>
  <si>
    <t>Hindustan Dorr-Oliver Ltd @</t>
  </si>
  <si>
    <t>b) Total value and percentage of illiquid equity shares @</t>
  </si>
  <si>
    <t>Sandur Laminates Ltd @</t>
  </si>
  <si>
    <t>Crystal Cable Industries Ltd @</t>
  </si>
  <si>
    <t>Tirrihannah Company Ltd @</t>
  </si>
  <si>
    <t>Minerava Holdings Ltd @</t>
  </si>
  <si>
    <t>Chennai Super Kings Ltd @</t>
  </si>
  <si>
    <t>Crescent Finstock Ltd @</t>
  </si>
  <si>
    <t>Mukerian Papers Ltd @</t>
  </si>
  <si>
    <t>Balmer Lawrie Freight Containers Ltd @</t>
  </si>
  <si>
    <t>Virtual Dynamics Software Ltd @</t>
  </si>
  <si>
    <t>Precision Fasteners Ltd @</t>
  </si>
  <si>
    <t>Noble Brothers Impex Ltd @</t>
  </si>
  <si>
    <t>Sangam Health Care Products Ltd @</t>
  </si>
  <si>
    <t>Rs. 53.88 lacs / 0.03%</t>
  </si>
  <si>
    <t>Yes Bank Ltd ~</t>
  </si>
  <si>
    <t>~ Any realization beyond the carrying value shall be distributed to the investors existed as on March 13, 2020.</t>
  </si>
  <si>
    <t>Rs. 23.41 lacs / 0.03%</t>
  </si>
  <si>
    <t>j) Portfolio Turnover Ratio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</si>
  <si>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</si>
  <si>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</si>
  <si>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</si>
  <si>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</si>
  <si>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Tata Motors Ltd - DVR</t>
  </si>
  <si>
    <t>Cash and Other Net Current Assets ^</t>
  </si>
  <si>
    <t xml:space="preserve"> ICRA AAA </t>
  </si>
  <si>
    <t xml:space="preserve"> ICRA BBB </t>
  </si>
  <si>
    <t>YTM (%)</t>
  </si>
  <si>
    <t>Name of The security</t>
  </si>
  <si>
    <t xml:space="preserve">ISIN </t>
  </si>
  <si>
    <t>Net receivable/Market value  (Rs. Lakh)</t>
  </si>
  <si>
    <t>% to NAV</t>
  </si>
  <si>
    <t>Total Amount(Principal &amp; Interest)  (Rs. Lakh)</t>
  </si>
  <si>
    <t xml:space="preserve">IL&amp;FS Financial Services Ltd. 24SEP18 CP </t>
  </si>
  <si>
    <t>INE121H14JU3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</si>
  <si>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</si>
  <si>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</si>
  <si>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</si>
  <si>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</si>
  <si>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</si>
  <si>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</si>
  <si>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</si>
  <si>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</si>
  <si>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</si>
  <si>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</si>
  <si>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</si>
  <si>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</si>
  <si>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SPAHF - AUM</t>
  </si>
  <si>
    <t>Total - Cr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</si>
  <si>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</si>
  <si>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k) Exposure to securities classified as below investment grade or default as on April 30, 2022:-</t>
  </si>
  <si>
    <t>% to AUM as on 30/04/2022</t>
  </si>
  <si>
    <t>Refer below point k)</t>
  </si>
  <si>
    <t>Rs. 1.91 lacs/0.00%</t>
  </si>
  <si>
    <t>21.50% Dewan Rubber Ltd</t>
  </si>
  <si>
    <t>Not Available</t>
  </si>
  <si>
    <t>Chemox Chemicals Industries</t>
  </si>
  <si>
    <t>i) Exposure to securities classified as below investment grade or default as on April 30, 2022:-</t>
  </si>
  <si>
    <t>Refer below point i)</t>
  </si>
  <si>
    <t>15% Premier Vinyl Ltd</t>
  </si>
  <si>
    <t>18% Jord Engineering Ltd</t>
  </si>
  <si>
    <t>Yes Bank Ltd - 9.9% - 31/10/2022** (Tier II bond under Basel II)</t>
  </si>
  <si>
    <t>SUNDARAM GLOBAL BRAND FUND</t>
  </si>
  <si>
    <t>Monthly Portfolio Statement for the period ended 30 Apr 2022</t>
  </si>
  <si>
    <t>S.NO</t>
  </si>
  <si>
    <t>ISIN CODE</t>
  </si>
  <si>
    <t>Name of the Instrument</t>
  </si>
  <si>
    <t>Industry/ Rating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</si>
  <si>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</si>
  <si>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</si>
  <si>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</si>
  <si>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</si>
  <si>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</si>
  <si>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</si>
  <si>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ReverseRepo / TREPS</t>
  </si>
  <si>
    <t>Cash and Other Net Curent Assets</t>
  </si>
  <si>
    <t>a) Total securities below investment grade or default  - Nil</t>
  </si>
  <si>
    <t>b) Total value and percentage of illiquid equity shares - Nil</t>
  </si>
  <si>
    <t>Options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</si>
  <si>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</si>
  <si>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</si>
  <si>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12,064.68 lacs</t>
  </si>
  <si>
    <t>g) Repo in Corporate Debt - Nil</t>
  </si>
  <si>
    <t>S.NO.</t>
  </si>
  <si>
    <t>ACRONYM</t>
  </si>
  <si>
    <t>SCHEME NAME</t>
  </si>
  <si>
    <t>CAPEXG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</si>
  <si>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</si>
  <si>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</si>
  <si>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</si>
  <si>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</si>
  <si>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</si>
  <si>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</si>
  <si>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</si>
  <si>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</si>
  <si>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</si>
  <si>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</si>
  <si>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</si>
  <si>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</si>
  <si>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</si>
  <si>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</si>
  <si>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</si>
  <si>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</si>
  <si>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</si>
  <si>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</si>
  <si>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</si>
  <si>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</si>
  <si>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</si>
  <si>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</si>
  <si>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</si>
  <si>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</si>
  <si>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</si>
  <si>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</si>
  <si>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</si>
  <si>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</si>
  <si>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</si>
  <si>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SPAHF</t>
  </si>
  <si>
    <t>SPARF</t>
  </si>
  <si>
    <t xml:space="preserve">Sundaram Arbitrage Fund </t>
  </si>
  <si>
    <t>SPBAF</t>
  </si>
  <si>
    <t>SPDYF</t>
  </si>
  <si>
    <t>SPESF</t>
  </si>
  <si>
    <t>SPFOCUS</t>
  </si>
  <si>
    <t>Sundaram Focused  Fund</t>
  </si>
  <si>
    <t>SPMUCF</t>
  </si>
  <si>
    <t>SPSN100</t>
  </si>
  <si>
    <t xml:space="preserve">Sundaram Smart Nifty 100 Equal Weight Fund </t>
  </si>
  <si>
    <t>SPTAX</t>
  </si>
  <si>
    <t>Sundaram Tax Savings Fund (Elss)</t>
  </si>
  <si>
    <t>SRURAL</t>
  </si>
  <si>
    <t>Sundaram Rural And Consumption Fund</t>
  </si>
  <si>
    <t>SSFUND</t>
  </si>
  <si>
    <t>Sundaram Service Fund</t>
  </si>
  <si>
    <t>STAX</t>
  </si>
  <si>
    <t>SUNBCF</t>
  </si>
  <si>
    <t>SUNFOP</t>
  </si>
  <si>
    <t>GLOB</t>
  </si>
  <si>
    <t>Sundaram Global Brand Fund</t>
  </si>
  <si>
    <t>State Bank of India - 8.15% - Call Dt 02/08/2022** (Perpetual Bond under Basel III)</t>
  </si>
  <si>
    <t>HDFC Bank Ltd - 8.85% - Call Dt 12/05/2022** (Perpetual Bond under Basel III)</t>
  </si>
  <si>
    <t>Bank of Baroda - 8.65% - Call Dt 11/08/2022**  (Perpetual Bond under Basel III)</t>
  </si>
  <si>
    <t>Axis Bank Ltd - 8.75% - Call Dt 28/06/2022** (Perpetual Bond under Basel III)</t>
  </si>
  <si>
    <t>Bank of Baroda - 8.55% - Call Dt 14/02/2024 (Tier II Bond under Basel III)**</t>
  </si>
  <si>
    <t>Yield to call date %</t>
  </si>
  <si>
    <t>Direct Plan - IDCW</t>
  </si>
  <si>
    <t>Regular Plan - IDCW</t>
  </si>
  <si>
    <t>d) IDCW declared during the period (Rupees per unit)</t>
  </si>
  <si>
    <t>Direct Plan - Halfyearly IDCW</t>
  </si>
  <si>
    <t>Regular Plan - Halfyearly IDCW</t>
  </si>
  <si>
    <t>Direct Plan - Monthly IDCW</t>
  </si>
  <si>
    <t>Direct Plan - Quarterly IDCW</t>
  </si>
  <si>
    <t>Regular Plan - Monthly IDCW</t>
  </si>
  <si>
    <t>Regular Plan - Quarterly IDCW</t>
  </si>
  <si>
    <t>Institutional Plan - IDCW</t>
  </si>
  <si>
    <t>Monthly Portfolio Statement for the month ended 30 April 2022</t>
  </si>
  <si>
    <t>Sundaram Liquid Fund - Direct Growth @@</t>
  </si>
  <si>
    <t xml:space="preserve"> @@ Placed as margin for derivatives</t>
  </si>
  <si>
    <t>Sundaram Aggressive Hybrid Fund (Formerly Known As Principal Hybrid Equity Fund)</t>
  </si>
  <si>
    <t>Sundaram Arbitrage Fund (Formerly Known As Principal Arbitrage Fund)</t>
  </si>
  <si>
    <t>Sundaram Balanced Advantage Fund (Formerly Known As Principal Balanced Advantage Fund)</t>
  </si>
  <si>
    <t>Sundaram Dividend Yield Fund (Formerly Known As Principal Dividend Yield Fund)</t>
  </si>
  <si>
    <t>Sundaram Equity Savings Fund (Formerly Known As Principal Equity Savings Fund)</t>
  </si>
  <si>
    <t>Sundaram Focused Fund (Formerly Known As Principal Focused Multicap Fund)</t>
  </si>
  <si>
    <t>Sundaram Multi Cap Fund (Formerly Known As Principal Multi Cap Growth Fund)</t>
  </si>
  <si>
    <t>Sundaram Nifty 100 Equal Weight Fund (Formerly Known As Principal Nifty 100 Equal Weight Fund)</t>
  </si>
  <si>
    <t>Sundaram Tax Savings Fund (ELSS) (Formerly Known As Principal Tax Savings Fund)</t>
  </si>
  <si>
    <t>Sundaram Large Cap Fund (Formerly Known As Sundaram Bluechip Fund)</t>
  </si>
  <si>
    <t>Sundaram Large Cap Fund</t>
  </si>
  <si>
    <t>742.13 Lacs</t>
  </si>
  <si>
    <t>Scheme Riskometer</t>
  </si>
  <si>
    <t>Benchmark Riskometer - NIFTY Infrastructure TRI</t>
  </si>
  <si>
    <t>Benchmark Riskometer - S&amp;P BSE Small Cap INDEX</t>
  </si>
  <si>
    <t>Tier I Benchmark Riskometer - Nifty MidCap 150 TRI</t>
  </si>
  <si>
    <t>Tier II Benchmark Riskometer - Nifty MidCap 100 TRI</t>
  </si>
  <si>
    <t>Benchmark Riskometer - S&amp;P BSE 500 INDDX</t>
  </si>
  <si>
    <t>Benchmark Riskometer - S&amp;P BSE 500 INDEX</t>
  </si>
  <si>
    <t>Tier I Benchmark Riskometer - Nifty Large Mid Cap 250 INDEX</t>
  </si>
  <si>
    <t>Tier II Benchmark Riskometer - Nifty Large Mid Cap 250 INDEX</t>
  </si>
  <si>
    <t>Benchmark Riskometer - S&amp;P BSE 250 SmallCap</t>
  </si>
  <si>
    <t>Benchmark Riskometer - Nifty Small Cap 100 TRI</t>
  </si>
  <si>
    <t>Tier I Benchmark Riskometer - Nifty Small Cap 250 TRI</t>
  </si>
  <si>
    <t>Tier II Benchmark Riskometer - Nifty Small Cap 100 TRI</t>
  </si>
  <si>
    <t>Benchmark Riskometer - CRISIL Hybrid 35+65 - Aggressive Index</t>
  </si>
  <si>
    <t>Benchmark Riskometer - NIFTY 50 Arbitrage INDEX</t>
  </si>
  <si>
    <t>Benchmark Riskometer - NIFTY 50 Hybrid Composite Debt 50 : 50 INDEX</t>
  </si>
  <si>
    <t>Tier I Benchmark Riskometer - NIFTY 500 TRI</t>
  </si>
  <si>
    <t>Tier II Benchmark Riskometer - NIFTY 500 TRI</t>
  </si>
  <si>
    <t>Benchmark Riskometer - Nifty Equity Savings INDEX</t>
  </si>
  <si>
    <t>Tier I Benchmark Riskometer - Nifty 500</t>
  </si>
  <si>
    <t>Tier II Benchmark Riskometer - Nifty 500</t>
  </si>
  <si>
    <t>Tier I Benchmark Riskometer - Nifty 500 MultiCap 50:25:25</t>
  </si>
  <si>
    <t>Tier II Benchmark Riskometer - Nifty 500 MultiCap 50:25:25</t>
  </si>
  <si>
    <t>Benchmark Riskometer - Nifty 100 Equal Weight TRI</t>
  </si>
  <si>
    <t>Benchmark Riskometer - Nifty India Consumption TRI</t>
  </si>
  <si>
    <t>Tier I Benchmark Riskometer - NIFTY Services Sector Index</t>
  </si>
  <si>
    <t>Tier II Benchmark Riskometer - NIFTY 500 MULTICAP 50:25:25</t>
  </si>
  <si>
    <t>Tier I Benchmark Riskometer - NIFTY 500 Index</t>
  </si>
  <si>
    <t>Tier II Benchmark Riskometer - S&amp;P BSE 200</t>
  </si>
  <si>
    <t>Tier I Benchmark Riskometer - Nifty 100 TRI INDEX</t>
  </si>
  <si>
    <t>Tier II Benchmark Riskometer - Nifty 100 TRI INDEX</t>
  </si>
  <si>
    <t>Benchmark Riskometer - Nifty Financial Services</t>
  </si>
  <si>
    <t>Benchmark Riskometer - MSCI ACWI TRI</t>
  </si>
  <si>
    <t>Annexure-A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</si>
  <si>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</si>
  <si>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</si>
  <si>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</si>
  <si>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April 30,2022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</si>
  <si>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</si>
  <si>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</si>
  <si>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</si>
  <si>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</si>
  <si>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</si>
  <si>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</si>
  <si>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Sundaram Arbitrage Fund</t>
  </si>
  <si>
    <t>Short</t>
  </si>
  <si>
    <t xml:space="preserve">Total percentage of existing assets hedged through futures as a percentage of net assets </t>
  </si>
  <si>
    <t>%</t>
  </si>
  <si>
    <t>For the period ended April 30,2022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</si>
  <si>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</si>
  <si>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</si>
  <si>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</si>
  <si>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</si>
  <si>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</si>
  <si>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B. Other than hedging positions through futures as on April 30,2022:</t>
  </si>
  <si>
    <t>Margin maintained in       (Rs. in Lakhs) *</t>
  </si>
  <si>
    <t>LONG</t>
  </si>
  <si>
    <t>Total percentage of existing assets due to non-hedging positions as a percentage of net assets</t>
  </si>
  <si>
    <t>For the period ended April 30,2022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</si>
  <si>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</si>
  <si>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</si>
  <si>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April 30,2022:</t>
  </si>
  <si>
    <t>Call/Put</t>
  </si>
  <si>
    <t>Number of Contracts</t>
  </si>
  <si>
    <t>Option Price when purchased</t>
  </si>
  <si>
    <t>Current Option Price</t>
  </si>
  <si>
    <t>-</t>
  </si>
  <si>
    <t>Total % of existing assets hedged through Put Options</t>
  </si>
  <si>
    <t>For the period ended  April 30,2022,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</si>
  <si>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</si>
  <si>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</si>
  <si>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</si>
  <si>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</si>
  <si>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April 30,2022:</t>
  </si>
  <si>
    <t xml:space="preserve">Total Exposure through Options other than hedging as a percentage of net assets </t>
  </si>
  <si>
    <t>For the period ended April 30,2022,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</si>
  <si>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</si>
  <si>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</si>
  <si>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April 30,2022- Nil</t>
  </si>
  <si>
    <t>F. Hedging Positions through Interest Rate Futures as on April 30,2022: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</si>
  <si>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</si>
  <si>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</si>
  <si>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</si>
  <si>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</si>
  <si>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April 30,2022 following were the hedging transactions through Interest Rate Futures which have been squared off/ expired</t>
  </si>
  <si>
    <t>For the period ended April 30,2022 following were the Non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</si>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</sst>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 * #,##0.00_ ;_ * \-#,##0.00_ ;_ * &quot;-&quot;??_ ;_ @_ 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;\(#,##0.00\)"/>
    <numFmt numFmtId="173" formatCode="[$-1014009]#,##0.000000;\-#,##0.000000"/>
    <numFmt numFmtId="174" formatCode="[$-1014009]#.0000"/>
    <numFmt numFmtId="175" formatCode="_(* #,##0_);_(* \(#,##0\);_(* &quot;-&quot;??_);_(@_)"/>
    <numFmt numFmtId="176" formatCode="0.000"/>
    <numFmt numFmtId="177" formatCode="#,##0.000"/>
    <numFmt numFmtId="178" formatCode="0.00000"/>
    <numFmt numFmtId="179" formatCode="dd\/mm\/yyyy"/>
    <numFmt numFmtId="180" formatCode="0.0000"/>
    <numFmt numFmtId="181" formatCode="0.000000000"/>
    <numFmt numFmtId="182" formatCode="_(* #,##0.0000_);_(* \(#,##0.0000\);_(* &quot;-&quot;??_);_(@_)"/>
    <numFmt numFmtId="183" formatCode="#,##0.0000;\(#,##0.0000\)"/>
    <numFmt numFmtId="184" formatCode="_(* #,##0.000_);_(* \(#,##0.000\);_(* &quot;-&quot;??_);_(@_)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>
      <alignment wrapText="1"/>
    </xf>
    <xf numFmtId="0" fontId="8" fillId="0" borderId="0">
      <alignment wrapText="1"/>
    </xf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3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164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8" fillId="0" borderId="0">
      <alignment wrapText="1"/>
    </xf>
    <xf numFmtId="0" fontId="1" fillId="0" borderId="0"/>
  </cellStyleXfs>
  <cellXfs count="327">
    <xf numFmtId="0" fontId="0" fillId="0" borderId="0" xfId="0">
      <alignment wrapText="1"/>
    </xf>
    <xf numFmtId="0" fontId="5" fillId="2" borderId="1" xfId="0" applyFont="1" applyFill="1" applyBorder="1" applyAlignment="1">
      <alignment horizontal="right" vertical="top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165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166" fontId="5" fillId="2" borderId="1" xfId="0" applyNumberFormat="1" applyFont="1" applyFill="1" applyBorder="1" applyAlignment="1">
      <alignment horizontal="right" vertical="center" wrapText="1" readingOrder="1"/>
    </xf>
    <xf numFmtId="167" fontId="5" fillId="2" borderId="1" xfId="0" applyNumberFormat="1" applyFont="1" applyFill="1" applyBorder="1" applyAlignment="1">
      <alignment horizontal="right" vertical="center" wrapText="1" readingOrder="1"/>
    </xf>
    <xf numFmtId="168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167" fontId="6" fillId="2" borderId="1" xfId="0" applyNumberFormat="1" applyFont="1" applyFill="1" applyBorder="1" applyAlignment="1">
      <alignment horizontal="right" vertical="center" wrapText="1" readingOrder="1"/>
    </xf>
    <xf numFmtId="168" fontId="6" fillId="2" borderId="1" xfId="0" applyNumberFormat="1" applyFont="1" applyFill="1" applyBorder="1" applyAlignment="1">
      <alignment horizontal="righ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right" vertical="center" wrapText="1" readingOrder="1"/>
    </xf>
    <xf numFmtId="169" fontId="6" fillId="2" borderId="1" xfId="0" applyNumberFormat="1" applyFont="1" applyFill="1" applyBorder="1" applyAlignment="1">
      <alignment horizontal="right" vertical="center" wrapText="1" readingOrder="1"/>
    </xf>
    <xf numFmtId="170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righ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1" xfId="0" applyFont="1" applyFill="1" applyBorder="1" applyAlignment="1">
      <alignment horizontal="right" vertical="top" wrapText="1" readingOrder="1"/>
    </xf>
    <xf numFmtId="171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170" fontId="6" fillId="2" borderId="1" xfId="0" applyNumberFormat="1" applyFont="1" applyFill="1" applyBorder="1" applyAlignment="1">
      <alignment horizontal="left" vertical="center" wrapText="1" readingOrder="1"/>
    </xf>
    <xf numFmtId="0" fontId="8" fillId="0" borderId="0" xfId="1">
      <alignment wrapText="1"/>
    </xf>
    <xf numFmtId="0" fontId="8" fillId="2" borderId="0" xfId="1" applyFill="1" applyAlignment="1">
      <alignment horizontal="center" vertical="top" readingOrder="1"/>
    </xf>
    <xf numFmtId="0" fontId="5" fillId="2" borderId="0" xfId="1" applyFont="1" applyFill="1" applyAlignment="1">
      <alignment horizontal="right" vertical="center" wrapText="1" readingOrder="1"/>
    </xf>
    <xf numFmtId="0" fontId="5" fillId="2" borderId="0" xfId="1" applyFont="1" applyFill="1" applyAlignment="1">
      <alignment horizontal="left" vertical="center" wrapText="1" readingOrder="1"/>
    </xf>
    <xf numFmtId="0" fontId="5" fillId="2" borderId="0" xfId="1" applyFont="1" applyFill="1" applyAlignment="1">
      <alignment horizontal="right" vertical="top" wrapText="1" readingOrder="1"/>
    </xf>
    <xf numFmtId="170" fontId="6" fillId="2" borderId="1" xfId="1" applyNumberFormat="1" applyFont="1" applyFill="1" applyBorder="1" applyAlignment="1">
      <alignment horizontal="left" vertical="center" wrapText="1" readingOrder="1"/>
    </xf>
    <xf numFmtId="0" fontId="5" fillId="2" borderId="3" xfId="1" applyFont="1" applyFill="1" applyBorder="1" applyAlignment="1">
      <alignment horizontal="right" vertical="top" wrapText="1" readingOrder="1"/>
    </xf>
    <xf numFmtId="0" fontId="6" fillId="2" borderId="1" xfId="1" applyFont="1" applyFill="1" applyBorder="1" applyAlignment="1">
      <alignment horizontal="left" vertical="center" wrapText="1" readingOrder="1"/>
    </xf>
    <xf numFmtId="172" fontId="6" fillId="2" borderId="1" xfId="1" applyNumberFormat="1" applyFont="1" applyFill="1" applyBorder="1" applyAlignment="1">
      <alignment horizontal="left" vertical="center" wrapText="1" readingOrder="1"/>
    </xf>
    <xf numFmtId="0" fontId="6" fillId="2" borderId="2" xfId="1" applyFont="1" applyFill="1" applyBorder="1" applyAlignment="1">
      <alignment horizontal="left" vertical="center" wrapText="1" readingOrder="1"/>
    </xf>
    <xf numFmtId="0" fontId="5" fillId="2" borderId="2" xfId="1" applyFont="1" applyFill="1" applyBorder="1" applyAlignment="1">
      <alignment horizontal="left" vertical="center" wrapText="1" readingOrder="1"/>
    </xf>
    <xf numFmtId="173" fontId="5" fillId="2" borderId="1" xfId="1" applyNumberFormat="1" applyFont="1" applyFill="1" applyBorder="1" applyAlignment="1">
      <alignment horizontal="right" vertical="center" wrapText="1" readingOrder="1"/>
    </xf>
    <xf numFmtId="0" fontId="5" fillId="2" borderId="1" xfId="1" applyFont="1" applyFill="1" applyBorder="1" applyAlignment="1">
      <alignment horizontal="left" vertical="center" wrapText="1" readingOrder="1"/>
    </xf>
    <xf numFmtId="0" fontId="9" fillId="2" borderId="1" xfId="1" applyFont="1" applyFill="1" applyBorder="1" applyAlignment="1">
      <alignment horizontal="right" vertical="center" wrapText="1" readingOrder="1"/>
    </xf>
    <xf numFmtId="0" fontId="9" fillId="2" borderId="1" xfId="1" applyFont="1" applyFill="1" applyBorder="1" applyAlignment="1">
      <alignment horizontal="left" vertical="center" wrapText="1" readingOrder="1"/>
    </xf>
    <xf numFmtId="174" fontId="5" fillId="2" borderId="1" xfId="1" applyNumberFormat="1" applyFont="1" applyFill="1" applyBorder="1" applyAlignment="1">
      <alignment horizontal="right" vertical="center" wrapText="1" readingOrder="1"/>
    </xf>
    <xf numFmtId="0" fontId="6" fillId="2" borderId="1" xfId="1" applyFont="1" applyFill="1" applyBorder="1" applyAlignment="1">
      <alignment horizontal="right" vertical="top" wrapText="1" readingOrder="1"/>
    </xf>
    <xf numFmtId="0" fontId="6" fillId="2" borderId="1" xfId="1" applyFont="1" applyFill="1" applyBorder="1" applyAlignment="1">
      <alignment horizontal="left" vertical="top" wrapText="1" readingOrder="1"/>
    </xf>
    <xf numFmtId="0" fontId="7" fillId="2" borderId="0" xfId="1" applyFont="1" applyFill="1" applyAlignment="1">
      <alignment horizontal="right" vertical="center" wrapText="1" readingOrder="1"/>
    </xf>
    <xf numFmtId="0" fontId="7" fillId="2" borderId="3" xfId="1" applyFont="1" applyFill="1" applyBorder="1" applyAlignment="1">
      <alignment horizontal="right" vertical="center" wrapText="1" readingOrder="1"/>
    </xf>
    <xf numFmtId="0" fontId="7" fillId="2" borderId="1" xfId="1" applyFont="1" applyFill="1" applyBorder="1" applyAlignment="1">
      <alignment horizontal="right" vertical="center" wrapText="1" readingOrder="1"/>
    </xf>
    <xf numFmtId="0" fontId="7" fillId="2" borderId="0" xfId="1" applyFont="1" applyFill="1" applyAlignment="1">
      <alignment horizontal="left" vertical="center" wrapText="1" readingOrder="1"/>
    </xf>
    <xf numFmtId="0" fontId="7" fillId="2" borderId="2" xfId="1" applyFont="1" applyFill="1" applyBorder="1" applyAlignment="1">
      <alignment horizontal="right" vertical="center" wrapText="1" readingOrder="1"/>
    </xf>
    <xf numFmtId="0" fontId="7" fillId="2" borderId="2" xfId="1" applyFont="1" applyFill="1" applyBorder="1" applyAlignment="1">
      <alignment horizontal="left" vertical="center" wrapText="1" readingOrder="1"/>
    </xf>
    <xf numFmtId="168" fontId="6" fillId="2" borderId="1" xfId="1" applyNumberFormat="1" applyFont="1" applyFill="1" applyBorder="1" applyAlignment="1">
      <alignment horizontal="right" vertical="center" wrapText="1" readingOrder="1"/>
    </xf>
    <xf numFmtId="167" fontId="6" fillId="2" borderId="1" xfId="1" applyNumberFormat="1" applyFont="1" applyFill="1" applyBorder="1" applyAlignment="1">
      <alignment horizontal="right" vertical="center" wrapText="1" readingOrder="1"/>
    </xf>
    <xf numFmtId="0" fontId="7" fillId="2" borderId="1" xfId="1" applyFont="1" applyFill="1" applyBorder="1" applyAlignment="1">
      <alignment horizontal="left" vertical="center" wrapText="1" readingOrder="1"/>
    </xf>
    <xf numFmtId="168" fontId="5" fillId="2" borderId="1" xfId="1" applyNumberFormat="1" applyFont="1" applyFill="1" applyBorder="1" applyAlignment="1">
      <alignment horizontal="right" vertical="center" wrapText="1" readingOrder="1"/>
    </xf>
    <xf numFmtId="167" fontId="5" fillId="2" borderId="1" xfId="1" applyNumberFormat="1" applyFont="1" applyFill="1" applyBorder="1" applyAlignment="1">
      <alignment horizontal="right" vertical="center" wrapText="1" readingOrder="1"/>
    </xf>
    <xf numFmtId="0" fontId="5" fillId="2" borderId="1" xfId="1" applyFont="1" applyFill="1" applyBorder="1" applyAlignment="1">
      <alignment horizontal="right" vertical="center" wrapText="1" readingOrder="1"/>
    </xf>
    <xf numFmtId="0" fontId="5" fillId="2" borderId="1" xfId="1" applyFont="1" applyFill="1" applyBorder="1" applyAlignment="1">
      <alignment horizontal="right" vertical="top" wrapText="1" readingOrder="1"/>
    </xf>
    <xf numFmtId="170" fontId="6" fillId="2" borderId="1" xfId="1" applyNumberFormat="1" applyFont="1" applyFill="1" applyBorder="1" applyAlignment="1">
      <alignment horizontal="right" vertical="center" wrapText="1" readingOrder="1"/>
    </xf>
    <xf numFmtId="169" fontId="6" fillId="2" borderId="1" xfId="1" applyNumberFormat="1" applyFont="1" applyFill="1" applyBorder="1" applyAlignment="1">
      <alignment horizontal="right" vertical="center" wrapText="1" readingOrder="1"/>
    </xf>
    <xf numFmtId="165" fontId="5" fillId="2" borderId="1" xfId="1" applyNumberFormat="1" applyFont="1" applyFill="1" applyBorder="1" applyAlignment="1">
      <alignment horizontal="right" vertical="center" wrapText="1" readingOrder="1"/>
    </xf>
    <xf numFmtId="166" fontId="5" fillId="2" borderId="1" xfId="1" applyNumberFormat="1" applyFont="1" applyFill="1" applyBorder="1" applyAlignment="1">
      <alignment horizontal="right" vertical="center" wrapText="1" readingOrder="1"/>
    </xf>
    <xf numFmtId="165" fontId="5" fillId="2" borderId="1" xfId="0" applyNumberFormat="1" applyFont="1" applyFill="1" applyBorder="1" applyAlignment="1">
      <alignment horizontal="right" vertical="center" readingOrder="1"/>
    </xf>
    <xf numFmtId="0" fontId="5" fillId="2" borderId="1" xfId="0" applyFont="1" applyFill="1" applyBorder="1" applyAlignment="1">
      <alignment horizontal="left" vertical="center" readingOrder="1"/>
    </xf>
    <xf numFmtId="166" fontId="5" fillId="2" borderId="1" xfId="0" applyNumberFormat="1" applyFont="1" applyFill="1" applyBorder="1" applyAlignment="1">
      <alignment horizontal="right" vertical="center" readingOrder="1"/>
    </xf>
    <xf numFmtId="167" fontId="5" fillId="2" borderId="1" xfId="0" applyNumberFormat="1" applyFont="1" applyFill="1" applyBorder="1" applyAlignment="1">
      <alignment horizontal="right" vertical="center" readingOrder="1"/>
    </xf>
    <xf numFmtId="0" fontId="0" fillId="0" borderId="0" xfId="0" applyAlignment="1"/>
    <xf numFmtId="0" fontId="6" fillId="2" borderId="1" xfId="0" applyFont="1" applyFill="1" applyBorder="1" applyAlignment="1">
      <alignment horizontal="left" vertical="top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readingOrder="1"/>
    </xf>
    <xf numFmtId="172" fontId="6" fillId="2" borderId="1" xfId="0" applyNumberFormat="1" applyFont="1" applyFill="1" applyBorder="1" applyAlignment="1">
      <alignment horizontal="left" vertical="center" wrapText="1" readingOrder="1"/>
    </xf>
    <xf numFmtId="0" fontId="11" fillId="0" borderId="7" xfId="4" applyFont="1" applyBorder="1" applyAlignment="1">
      <alignment horizontal="center" vertical="center" wrapText="1" readingOrder="1"/>
    </xf>
    <xf numFmtId="0" fontId="12" fillId="0" borderId="0" xfId="0" applyFont="1" applyAlignment="1"/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>
      <alignment wrapText="1"/>
    </xf>
    <xf numFmtId="0" fontId="14" fillId="0" borderId="7" xfId="0" applyFont="1" applyBorder="1" applyAlignment="1"/>
    <xf numFmtId="2" fontId="14" fillId="0" borderId="7" xfId="0" applyNumberFormat="1" applyFont="1" applyBorder="1" applyAlignment="1"/>
    <xf numFmtId="10" fontId="12" fillId="0" borderId="7" xfId="3" applyNumberFormat="1" applyFont="1" applyBorder="1"/>
    <xf numFmtId="4" fontId="14" fillId="0" borderId="7" xfId="0" applyNumberFormat="1" applyFont="1" applyBorder="1" applyAlignment="1"/>
    <xf numFmtId="0" fontId="13" fillId="0" borderId="7" xfId="5" applyFont="1" applyBorder="1" applyAlignment="1">
      <alignment horizontal="center"/>
    </xf>
    <xf numFmtId="0" fontId="13" fillId="0" borderId="0" xfId="5" applyFont="1" applyAlignment="1">
      <alignment horizontal="center"/>
    </xf>
    <xf numFmtId="0" fontId="12" fillId="0" borderId="7" xfId="5" applyFont="1" applyBorder="1"/>
    <xf numFmtId="0" fontId="12" fillId="0" borderId="7" xfId="5" applyFont="1" applyBorder="1" applyAlignment="1">
      <alignment wrapText="1"/>
    </xf>
    <xf numFmtId="0" fontId="12" fillId="0" borderId="0" xfId="5" applyFont="1" applyAlignment="1">
      <alignment horizontal="center"/>
    </xf>
    <xf numFmtId="0" fontId="13" fillId="0" borderId="7" xfId="5" applyFont="1" applyBorder="1" applyAlignment="1">
      <alignment horizontal="center" vertical="center" wrapText="1"/>
    </xf>
    <xf numFmtId="0" fontId="12" fillId="0" borderId="7" xfId="5" applyFont="1" applyBorder="1" applyAlignment="1">
      <alignment horizontal="left" vertical="center"/>
    </xf>
    <xf numFmtId="0" fontId="12" fillId="0" borderId="7" xfId="5" applyFont="1" applyBorder="1" applyAlignment="1">
      <alignment vertical="center" wrapText="1"/>
    </xf>
    <xf numFmtId="2" fontId="12" fillId="0" borderId="7" xfId="5" applyNumberFormat="1" applyFont="1" applyBorder="1" applyAlignment="1">
      <alignment horizontal="right" vertical="center" wrapText="1"/>
    </xf>
    <xf numFmtId="43" fontId="12" fillId="0" borderId="7" xfId="6" applyFont="1" applyBorder="1" applyAlignment="1">
      <alignment horizontal="right" vertical="center" wrapText="1"/>
    </xf>
    <xf numFmtId="4" fontId="12" fillId="0" borderId="7" xfId="5" applyNumberFormat="1" applyFont="1" applyBorder="1" applyAlignment="1">
      <alignment horizontal="right" vertical="center"/>
    </xf>
    <xf numFmtId="10" fontId="12" fillId="0" borderId="7" xfId="7" applyNumberFormat="1" applyFont="1" applyBorder="1" applyAlignment="1">
      <alignment vertical="center" wrapText="1"/>
    </xf>
    <xf numFmtId="4" fontId="12" fillId="0" borderId="7" xfId="5" applyNumberFormat="1" applyFont="1" applyBorder="1"/>
    <xf numFmtId="2" fontId="12" fillId="0" borderId="7" xfId="5" applyNumberFormat="1" applyFont="1" applyBorder="1"/>
    <xf numFmtId="10" fontId="12" fillId="0" borderId="7" xfId="7" applyNumberFormat="1" applyFont="1" applyBorder="1"/>
    <xf numFmtId="4" fontId="12" fillId="0" borderId="0" xfId="5" applyNumberFormat="1" applyFont="1" applyAlignment="1">
      <alignment horizontal="left"/>
    </xf>
    <xf numFmtId="0" fontId="16" fillId="0" borderId="0" xfId="5" applyFont="1"/>
    <xf numFmtId="0" fontId="17" fillId="0" borderId="0" xfId="1" applyFont="1" applyAlignment="1">
      <alignment horizontal="center" vertical="center"/>
    </xf>
    <xf numFmtId="4" fontId="18" fillId="0" borderId="0" xfId="5" applyNumberFormat="1" applyFont="1"/>
    <xf numFmtId="10" fontId="16" fillId="0" borderId="0" xfId="7" applyNumberFormat="1" applyFont="1" applyBorder="1"/>
    <xf numFmtId="0" fontId="12" fillId="0" borderId="7" xfId="0" applyFont="1" applyBorder="1" applyAlignment="1"/>
    <xf numFmtId="175" fontId="12" fillId="0" borderId="7" xfId="2" applyNumberFormat="1" applyFont="1" applyBorder="1"/>
    <xf numFmtId="164" fontId="12" fillId="0" borderId="0" xfId="2" applyFont="1"/>
    <xf numFmtId="0" fontId="0" fillId="0" borderId="0" xfId="0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7" xfId="0" applyFont="1" applyBorder="1" applyAlignment="1">
      <alignment vertical="center"/>
    </xf>
    <xf numFmtId="2" fontId="14" fillId="0" borderId="7" xfId="0" applyNumberFormat="1" applyFont="1" applyBorder="1" applyAlignment="1">
      <alignment vertical="center"/>
    </xf>
    <xf numFmtId="10" fontId="12" fillId="0" borderId="7" xfId="3" applyNumberFormat="1" applyFont="1" applyBorder="1" applyAlignment="1">
      <alignment vertical="center"/>
    </xf>
    <xf numFmtId="4" fontId="14" fillId="0" borderId="7" xfId="0" applyNumberFormat="1" applyFont="1" applyBorder="1" applyAlignment="1">
      <alignment vertical="center"/>
    </xf>
    <xf numFmtId="175" fontId="12" fillId="0" borderId="0" xfId="2" applyNumberFormat="1" applyFont="1"/>
    <xf numFmtId="0" fontId="13" fillId="0" borderId="7" xfId="0" applyFont="1" applyBorder="1" applyAlignment="1">
      <alignment horizontal="left" wrapText="1"/>
    </xf>
    <xf numFmtId="0" fontId="13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4" fontId="14" fillId="0" borderId="7" xfId="8" applyNumberFormat="1" applyFont="1" applyFill="1" applyBorder="1" applyAlignment="1">
      <alignment horizontal="center" vertical="center"/>
    </xf>
    <xf numFmtId="10" fontId="14" fillId="0" borderId="7" xfId="8" applyNumberFormat="1" applyFont="1" applyFill="1" applyBorder="1" applyAlignment="1">
      <alignment horizontal="center" vertical="center"/>
    </xf>
    <xf numFmtId="4" fontId="14" fillId="0" borderId="7" xfId="0" applyNumberFormat="1" applyFont="1" applyBorder="1" applyAlignment="1">
      <alignment horizontal="center" vertical="center"/>
    </xf>
    <xf numFmtId="0" fontId="14" fillId="0" borderId="0" xfId="0" applyFont="1" applyAlignment="1"/>
    <xf numFmtId="164" fontId="14" fillId="0" borderId="7" xfId="8" applyFont="1" applyFill="1" applyBorder="1" applyAlignment="1">
      <alignment horizontal="right" vertical="center"/>
    </xf>
    <xf numFmtId="164" fontId="14" fillId="0" borderId="7" xfId="8" applyFont="1" applyFill="1" applyBorder="1" applyAlignment="1">
      <alignment horizontal="center" vertical="center"/>
    </xf>
    <xf numFmtId="4" fontId="14" fillId="0" borderId="7" xfId="0" applyNumberFormat="1" applyFont="1" applyBorder="1" applyAlignment="1">
      <alignment horizontal="right" vertical="center"/>
    </xf>
    <xf numFmtId="0" fontId="2" fillId="0" borderId="0" xfId="9"/>
    <xf numFmtId="0" fontId="20" fillId="0" borderId="7" xfId="10" applyFont="1" applyBorder="1" applyAlignment="1">
      <alignment horizontal="center" vertical="center" wrapText="1"/>
    </xf>
    <xf numFmtId="0" fontId="11" fillId="0" borderId="7" xfId="9" applyFont="1" applyBorder="1" applyAlignment="1">
      <alignment horizontal="center" vertical="center" wrapText="1" readingOrder="1"/>
    </xf>
    <xf numFmtId="0" fontId="14" fillId="0" borderId="7" xfId="11" applyFont="1" applyBorder="1" applyProtection="1">
      <protection locked="0"/>
    </xf>
    <xf numFmtId="0" fontId="21" fillId="0" borderId="7" xfId="11" applyFont="1" applyBorder="1" applyAlignment="1" applyProtection="1">
      <alignment wrapText="1"/>
      <protection locked="0"/>
    </xf>
    <xf numFmtId="0" fontId="14" fillId="0" borderId="7" xfId="11" applyFont="1" applyBorder="1" applyAlignment="1">
      <alignment horizontal="right"/>
    </xf>
    <xf numFmtId="0" fontId="2" fillId="0" borderId="7" xfId="9" applyBorder="1"/>
    <xf numFmtId="0" fontId="14" fillId="0" borderId="7" xfId="11" applyFont="1" applyBorder="1" applyAlignment="1" applyProtection="1">
      <alignment wrapText="1"/>
      <protection locked="0"/>
    </xf>
    <xf numFmtId="176" fontId="14" fillId="0" borderId="7" xfId="11" applyNumberFormat="1" applyFont="1" applyBorder="1" applyProtection="1">
      <protection locked="0"/>
    </xf>
    <xf numFmtId="164" fontId="14" fillId="0" borderId="7" xfId="12" applyFont="1" applyFill="1" applyBorder="1" applyAlignment="1">
      <alignment horizontal="right"/>
    </xf>
    <xf numFmtId="2" fontId="14" fillId="0" borderId="7" xfId="11" applyNumberFormat="1" applyFont="1" applyBorder="1" applyAlignment="1">
      <alignment horizontal="right"/>
    </xf>
    <xf numFmtId="164" fontId="2" fillId="0" borderId="0" xfId="9" applyNumberFormat="1"/>
    <xf numFmtId="0" fontId="14" fillId="0" borderId="7" xfId="11" applyFont="1" applyBorder="1" applyAlignment="1">
      <alignment horizontal="center"/>
    </xf>
    <xf numFmtId="177" fontId="2" fillId="0" borderId="7" xfId="9" applyNumberFormat="1" applyBorder="1"/>
    <xf numFmtId="0" fontId="14" fillId="0" borderId="7" xfId="11" applyFont="1" applyBorder="1"/>
    <xf numFmtId="0" fontId="21" fillId="0" borderId="7" xfId="10" applyFont="1" applyBorder="1" applyAlignment="1">
      <alignment vertical="center" wrapText="1"/>
    </xf>
    <xf numFmtId="176" fontId="21" fillId="0" borderId="7" xfId="10" applyNumberFormat="1" applyFont="1" applyBorder="1" applyAlignment="1">
      <alignment vertical="center" wrapText="1"/>
    </xf>
    <xf numFmtId="43" fontId="21" fillId="0" borderId="7" xfId="13" applyFont="1" applyFill="1" applyBorder="1" applyAlignment="1">
      <alignment vertical="center" wrapText="1"/>
    </xf>
    <xf numFmtId="164" fontId="21" fillId="0" borderId="7" xfId="12" applyFont="1" applyBorder="1" applyAlignment="1">
      <alignment horizontal="right" vertical="center"/>
    </xf>
    <xf numFmtId="10" fontId="2" fillId="0" borderId="7" xfId="9" applyNumberFormat="1" applyBorder="1"/>
    <xf numFmtId="43" fontId="14" fillId="0" borderId="7" xfId="13" applyFont="1" applyFill="1" applyBorder="1" applyAlignment="1">
      <alignment horizontal="right"/>
    </xf>
    <xf numFmtId="0" fontId="21" fillId="0" borderId="7" xfId="11" applyFont="1" applyBorder="1" applyProtection="1">
      <protection locked="0"/>
    </xf>
    <xf numFmtId="43" fontId="14" fillId="0" borderId="7" xfId="13" applyFont="1" applyFill="1" applyBorder="1" applyAlignment="1" applyProtection="1">
      <alignment horizontal="right"/>
      <protection locked="0"/>
    </xf>
    <xf numFmtId="0" fontId="6" fillId="2" borderId="1" xfId="9" applyFont="1" applyFill="1" applyBorder="1" applyAlignment="1">
      <alignment horizontal="left" vertical="center" wrapText="1" readingOrder="1"/>
    </xf>
    <xf numFmtId="0" fontId="14" fillId="0" borderId="7" xfId="9" applyFont="1" applyBorder="1"/>
    <xf numFmtId="43" fontId="14" fillId="0" borderId="7" xfId="13" applyFont="1" applyFill="1" applyBorder="1"/>
    <xf numFmtId="164" fontId="12" fillId="0" borderId="7" xfId="9" applyNumberFormat="1" applyFont="1" applyBorder="1"/>
    <xf numFmtId="0" fontId="21" fillId="0" borderId="7" xfId="11" applyFont="1" applyBorder="1"/>
    <xf numFmtId="43" fontId="21" fillId="0" borderId="7" xfId="13" applyFont="1" applyFill="1" applyBorder="1" applyAlignment="1">
      <alignment horizontal="right"/>
    </xf>
    <xf numFmtId="164" fontId="2" fillId="0" borderId="7" xfId="9" applyNumberFormat="1" applyBorder="1"/>
    <xf numFmtId="2" fontId="21" fillId="0" borderId="7" xfId="11" applyNumberFormat="1" applyFont="1" applyBorder="1" applyAlignment="1">
      <alignment horizontal="right"/>
    </xf>
    <xf numFmtId="4" fontId="22" fillId="0" borderId="7" xfId="9" applyNumberFormat="1" applyFont="1" applyBorder="1"/>
    <xf numFmtId="4" fontId="2" fillId="0" borderId="0" xfId="9" applyNumberFormat="1"/>
    <xf numFmtId="178" fontId="2" fillId="0" borderId="0" xfId="9" applyNumberFormat="1"/>
    <xf numFmtId="0" fontId="23" fillId="0" borderId="0" xfId="14" applyFont="1" applyAlignment="1">
      <alignment horizontal="left" vertical="center" wrapText="1"/>
    </xf>
    <xf numFmtId="0" fontId="24" fillId="0" borderId="0" xfId="14" applyFont="1" applyAlignment="1">
      <alignment vertical="center"/>
    </xf>
    <xf numFmtId="164" fontId="24" fillId="0" borderId="0" xfId="14" applyNumberFormat="1" applyFont="1" applyAlignment="1">
      <alignment vertical="center"/>
    </xf>
    <xf numFmtId="4" fontId="25" fillId="0" borderId="0" xfId="9" applyNumberFormat="1" applyFont="1"/>
    <xf numFmtId="2" fontId="24" fillId="0" borderId="0" xfId="14" applyNumberFormat="1" applyFont="1" applyAlignment="1">
      <alignment vertical="center"/>
    </xf>
    <xf numFmtId="0" fontId="14" fillId="0" borderId="0" xfId="15" applyFont="1" applyAlignment="1">
      <alignment vertical="center"/>
    </xf>
    <xf numFmtId="0" fontId="24" fillId="0" borderId="7" xfId="14" applyFont="1" applyBorder="1" applyAlignment="1">
      <alignment vertical="center"/>
    </xf>
    <xf numFmtId="0" fontId="21" fillId="0" borderId="7" xfId="15" applyFont="1" applyBorder="1" applyAlignment="1">
      <alignment horizontal="center" vertical="center"/>
    </xf>
    <xf numFmtId="0" fontId="23" fillId="0" borderId="0" xfId="14" applyFont="1" applyAlignment="1">
      <alignment vertical="center"/>
    </xf>
    <xf numFmtId="0" fontId="21" fillId="0" borderId="7" xfId="15" applyFont="1" applyBorder="1" applyAlignment="1">
      <alignment vertical="center"/>
    </xf>
    <xf numFmtId="179" fontId="23" fillId="0" borderId="7" xfId="14" applyNumberFormat="1" applyFont="1" applyBorder="1" applyAlignment="1">
      <alignment horizontal="center"/>
    </xf>
    <xf numFmtId="14" fontId="23" fillId="0" borderId="0" xfId="14" applyNumberFormat="1" applyFont="1" applyAlignment="1">
      <alignment horizontal="center"/>
    </xf>
    <xf numFmtId="0" fontId="12" fillId="0" borderId="0" xfId="9" applyFont="1"/>
    <xf numFmtId="0" fontId="24" fillId="0" borderId="7" xfId="14" applyFont="1" applyBorder="1" applyAlignment="1">
      <alignment horizontal="left" vertical="center"/>
    </xf>
    <xf numFmtId="180" fontId="12" fillId="0" borderId="7" xfId="9" applyNumberFormat="1" applyFont="1" applyBorder="1"/>
    <xf numFmtId="180" fontId="12" fillId="0" borderId="0" xfId="9" applyNumberFormat="1" applyFont="1"/>
    <xf numFmtId="0" fontId="5" fillId="0" borderId="1" xfId="9" applyFont="1" applyBorder="1" applyAlignment="1">
      <alignment horizontal="left" vertical="center" wrapText="1" readingOrder="1"/>
    </xf>
    <xf numFmtId="0" fontId="5" fillId="0" borderId="7" xfId="9" applyFont="1" applyBorder="1" applyAlignment="1">
      <alignment horizontal="left" vertical="center" wrapText="1" readingOrder="1"/>
    </xf>
    <xf numFmtId="0" fontId="5" fillId="0" borderId="0" xfId="9" applyFont="1" applyAlignment="1">
      <alignment vertical="center" readingOrder="1"/>
    </xf>
    <xf numFmtId="0" fontId="5" fillId="0" borderId="0" xfId="9" applyFont="1" applyAlignment="1">
      <alignment vertical="center" wrapText="1" readingOrder="1"/>
    </xf>
    <xf numFmtId="0" fontId="14" fillId="0" borderId="0" xfId="14" applyFont="1" applyAlignment="1">
      <alignment horizontal="center" vertical="center"/>
    </xf>
    <xf numFmtId="0" fontId="24" fillId="0" borderId="0" xfId="14" quotePrefix="1" applyFont="1" applyAlignment="1">
      <alignment vertical="center"/>
    </xf>
    <xf numFmtId="0" fontId="14" fillId="0" borderId="0" xfId="9" applyFont="1" applyAlignment="1">
      <alignment vertical="center" wrapText="1"/>
    </xf>
    <xf numFmtId="0" fontId="19" fillId="0" borderId="7" xfId="16" applyFont="1" applyBorder="1" applyAlignment="1">
      <alignment horizontal="center" vertical="center"/>
    </xf>
    <xf numFmtId="0" fontId="20" fillId="0" borderId="7" xfId="16" applyFont="1" applyBorder="1" applyAlignment="1">
      <alignment horizontal="center" vertical="center"/>
    </xf>
    <xf numFmtId="0" fontId="26" fillId="0" borderId="0" xfId="1" applyFont="1">
      <alignment wrapText="1"/>
    </xf>
    <xf numFmtId="0" fontId="26" fillId="0" borderId="7" xfId="1" applyFont="1" applyBorder="1">
      <alignment wrapText="1"/>
    </xf>
    <xf numFmtId="0" fontId="26" fillId="0" borderId="7" xfId="1" applyFont="1" applyBorder="1" applyAlignment="1"/>
    <xf numFmtId="0" fontId="26" fillId="0" borderId="7" xfId="0" applyFont="1" applyBorder="1" applyAlignment="1"/>
    <xf numFmtId="167" fontId="5" fillId="2" borderId="4" xfId="0" applyNumberFormat="1" applyFont="1" applyFill="1" applyBorder="1" applyAlignment="1">
      <alignment horizontal="right" vertical="center" wrapText="1" readingOrder="1"/>
    </xf>
    <xf numFmtId="0" fontId="11" fillId="0" borderId="11" xfId="0" applyFont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2" fillId="0" borderId="0" xfId="9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 readingOrder="1"/>
    </xf>
    <xf numFmtId="0" fontId="8" fillId="0" borderId="0" xfId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8" fillId="0" borderId="0" xfId="1" applyAlignment="1">
      <alignment vertical="center" wrapText="1"/>
    </xf>
    <xf numFmtId="0" fontId="29" fillId="0" borderId="0" xfId="1" applyFont="1" applyAlignment="1">
      <alignment horizontal="center" vertical="center"/>
    </xf>
    <xf numFmtId="4" fontId="30" fillId="0" borderId="0" xfId="1" applyNumberFormat="1" applyFont="1" applyAlignment="1"/>
    <xf numFmtId="0" fontId="8" fillId="0" borderId="0" xfId="0" applyFont="1">
      <alignment wrapText="1"/>
    </xf>
    <xf numFmtId="0" fontId="19" fillId="0" borderId="0" xfId="0" applyFont="1" applyAlignment="1">
      <alignment horizontal="left" vertical="top"/>
    </xf>
    <xf numFmtId="0" fontId="31" fillId="0" borderId="0" xfId="0" applyFont="1">
      <alignment wrapText="1"/>
    </xf>
    <xf numFmtId="0" fontId="26" fillId="0" borderId="0" xfId="4" applyFont="1"/>
    <xf numFmtId="0" fontId="26" fillId="0" borderId="0" xfId="4" applyFont="1" applyAlignment="1">
      <alignment horizontal="center" vertical="center"/>
    </xf>
    <xf numFmtId="176" fontId="26" fillId="0" borderId="0" xfId="4" applyNumberFormat="1" applyFont="1"/>
    <xf numFmtId="0" fontId="20" fillId="0" borderId="0" xfId="0" applyFont="1" applyAlignment="1">
      <alignment horizontal="left" vertical="center"/>
    </xf>
    <xf numFmtId="0" fontId="14" fillId="0" borderId="0" xfId="18" applyFont="1"/>
    <xf numFmtId="0" fontId="21" fillId="0" borderId="0" xfId="18" applyFont="1"/>
    <xf numFmtId="0" fontId="21" fillId="0" borderId="7" xfId="18" applyFont="1" applyBorder="1" applyAlignment="1">
      <alignment horizontal="center" vertical="top"/>
    </xf>
    <xf numFmtId="0" fontId="21" fillId="0" borderId="7" xfId="18" applyFont="1" applyBorder="1" applyAlignment="1">
      <alignment horizontal="center" vertical="top" wrapText="1"/>
    </xf>
    <xf numFmtId="0" fontId="14" fillId="0" borderId="7" xfId="18" applyFont="1" applyBorder="1" applyAlignment="1">
      <alignment horizontal="left" vertical="top"/>
    </xf>
    <xf numFmtId="0" fontId="14" fillId="0" borderId="0" xfId="18" applyFont="1" applyAlignment="1">
      <alignment horizontal="left" vertical="top"/>
    </xf>
    <xf numFmtId="0" fontId="14" fillId="0" borderId="7" xfId="18" applyFont="1" applyBorder="1" applyAlignment="1">
      <alignment horizontal="center" vertical="top"/>
    </xf>
    <xf numFmtId="172" fontId="5" fillId="2" borderId="1" xfId="18" applyNumberFormat="1" applyFont="1" applyFill="1" applyBorder="1" applyAlignment="1">
      <alignment horizontal="right" vertical="center" readingOrder="1"/>
    </xf>
    <xf numFmtId="2" fontId="14" fillId="0" borderId="7" xfId="18" applyNumberFormat="1" applyFont="1" applyBorder="1" applyAlignment="1">
      <alignment horizontal="right" vertical="top" wrapText="1"/>
    </xf>
    <xf numFmtId="0" fontId="5" fillId="2" borderId="1" xfId="18" applyFont="1" applyFill="1" applyBorder="1" applyAlignment="1">
      <alignment horizontal="left" vertical="center" readingOrder="1"/>
    </xf>
    <xf numFmtId="0" fontId="5" fillId="2" borderId="7" xfId="18" applyFont="1" applyFill="1" applyBorder="1" applyAlignment="1">
      <alignment horizontal="left" vertical="center" readingOrder="1"/>
    </xf>
    <xf numFmtId="0" fontId="5" fillId="2" borderId="8" xfId="18" applyFont="1" applyFill="1" applyBorder="1" applyAlignment="1">
      <alignment horizontal="left" vertical="center" readingOrder="1"/>
    </xf>
    <xf numFmtId="172" fontId="5" fillId="2" borderId="1" xfId="18" applyNumberFormat="1" applyFont="1" applyFill="1" applyBorder="1" applyAlignment="1">
      <alignment horizontal="right" vertical="center" wrapText="1" readingOrder="1"/>
    </xf>
    <xf numFmtId="0" fontId="27" fillId="0" borderId="8" xfId="10" applyFont="1" applyBorder="1" applyAlignment="1">
      <alignment vertical="center" wrapText="1"/>
    </xf>
    <xf numFmtId="0" fontId="27" fillId="0" borderId="0" xfId="10" applyFont="1" applyAlignment="1">
      <alignment vertical="center" wrapText="1"/>
    </xf>
    <xf numFmtId="0" fontId="5" fillId="2" borderId="1" xfId="18" applyFont="1" applyFill="1" applyBorder="1" applyAlignment="1">
      <alignment horizontal="left" vertical="top" readingOrder="1"/>
    </xf>
    <xf numFmtId="2" fontId="14" fillId="0" borderId="14" xfId="18" applyNumberFormat="1" applyFont="1" applyBorder="1" applyAlignment="1">
      <alignment horizontal="right" vertical="top" wrapText="1"/>
    </xf>
    <xf numFmtId="4" fontId="14" fillId="0" borderId="7" xfId="18" applyNumberFormat="1" applyFont="1" applyBorder="1"/>
    <xf numFmtId="0" fontId="14" fillId="0" borderId="14" xfId="18" applyFont="1" applyBorder="1"/>
    <xf numFmtId="2" fontId="14" fillId="0" borderId="0" xfId="18" applyNumberFormat="1" applyFont="1" applyAlignment="1">
      <alignment horizontal="right" vertical="top" wrapText="1"/>
    </xf>
    <xf numFmtId="0" fontId="5" fillId="2" borderId="1" xfId="18" applyFont="1" applyFill="1" applyBorder="1" applyAlignment="1">
      <alignment horizontal="left" vertical="center" wrapText="1" readingOrder="1"/>
    </xf>
    <xf numFmtId="172" fontId="14" fillId="0" borderId="0" xfId="18" applyNumberFormat="1" applyFont="1"/>
    <xf numFmtId="0" fontId="21" fillId="0" borderId="7" xfId="18" applyFont="1" applyBorder="1" applyAlignment="1">
      <alignment horizontal="center"/>
    </xf>
    <xf numFmtId="2" fontId="14" fillId="0" borderId="7" xfId="18" applyNumberFormat="1" applyFont="1" applyBorder="1" applyAlignment="1">
      <alignment horizontal="center"/>
    </xf>
    <xf numFmtId="0" fontId="14" fillId="0" borderId="7" xfId="18" applyFont="1" applyBorder="1"/>
    <xf numFmtId="37" fontId="14" fillId="0" borderId="7" xfId="6" applyNumberFormat="1" applyFont="1" applyFill="1" applyBorder="1" applyAlignment="1">
      <alignment horizontal="center"/>
    </xf>
    <xf numFmtId="43" fontId="14" fillId="0" borderId="7" xfId="6" applyFont="1" applyFill="1" applyBorder="1"/>
    <xf numFmtId="43" fontId="14" fillId="0" borderId="0" xfId="6" applyFont="1" applyFill="1" applyBorder="1"/>
    <xf numFmtId="43" fontId="14" fillId="0" borderId="0" xfId="18" applyNumberFormat="1" applyFont="1"/>
    <xf numFmtId="4" fontId="14" fillId="0" borderId="0" xfId="18" applyNumberFormat="1" applyFont="1"/>
    <xf numFmtId="0" fontId="14" fillId="0" borderId="7" xfId="6" applyNumberFormat="1" applyFont="1" applyFill="1" applyBorder="1" applyAlignment="1">
      <alignment horizontal="center"/>
    </xf>
    <xf numFmtId="4" fontId="14" fillId="0" borderId="7" xfId="6" applyNumberFormat="1" applyFont="1" applyFill="1" applyBorder="1"/>
    <xf numFmtId="0" fontId="14" fillId="0" borderId="7" xfId="18" applyFont="1" applyBorder="1" applyAlignment="1">
      <alignment horizontal="left" vertical="top" wrapText="1"/>
    </xf>
    <xf numFmtId="177" fontId="14" fillId="0" borderId="7" xfId="6" applyNumberFormat="1" applyFont="1" applyFill="1" applyBorder="1"/>
    <xf numFmtId="181" fontId="14" fillId="0" borderId="0" xfId="18" applyNumberFormat="1" applyFont="1"/>
    <xf numFmtId="0" fontId="14" fillId="0" borderId="7" xfId="18" applyFont="1" applyBorder="1" applyAlignment="1">
      <alignment horizontal="right" vertical="top"/>
    </xf>
    <xf numFmtId="2" fontId="14" fillId="0" borderId="0" xfId="18" applyNumberFormat="1" applyFont="1" applyAlignment="1">
      <alignment vertical="top" wrapText="1"/>
    </xf>
    <xf numFmtId="43" fontId="14" fillId="0" borderId="0" xfId="6" applyFont="1" applyFill="1" applyBorder="1" applyAlignment="1"/>
    <xf numFmtId="0" fontId="14" fillId="0" borderId="0" xfId="18" applyFont="1" applyAlignment="1" applyProtection="1">
      <alignment horizontal="left"/>
      <protection locked="0"/>
    </xf>
    <xf numFmtId="0" fontId="14" fillId="0" borderId="0" xfId="18" applyFont="1" applyAlignment="1">
      <alignment horizontal="center" vertical="top"/>
    </xf>
    <xf numFmtId="43" fontId="14" fillId="0" borderId="0" xfId="6" applyFont="1" applyFill="1" applyBorder="1" applyAlignment="1" applyProtection="1">
      <alignment horizontal="left"/>
      <protection locked="0"/>
    </xf>
    <xf numFmtId="4" fontId="14" fillId="0" borderId="0" xfId="18" applyNumberFormat="1" applyFont="1" applyAlignment="1">
      <alignment horizontal="right" vertical="center"/>
    </xf>
    <xf numFmtId="10" fontId="14" fillId="0" borderId="0" xfId="18" applyNumberFormat="1" applyFont="1" applyAlignment="1">
      <alignment horizontal="center"/>
    </xf>
    <xf numFmtId="43" fontId="14" fillId="0" borderId="7" xfId="6" applyFont="1" applyFill="1" applyBorder="1" applyAlignment="1">
      <alignment horizontal="center" vertical="top" wrapText="1"/>
    </xf>
    <xf numFmtId="0" fontId="14" fillId="0" borderId="7" xfId="18" applyFont="1" applyBorder="1" applyAlignment="1">
      <alignment horizontal="center"/>
    </xf>
    <xf numFmtId="2" fontId="14" fillId="0" borderId="7" xfId="18" applyNumberFormat="1" applyFont="1" applyBorder="1" applyAlignment="1">
      <alignment horizontal="right"/>
    </xf>
    <xf numFmtId="164" fontId="14" fillId="0" borderId="0" xfId="18" applyNumberFormat="1" applyFont="1"/>
    <xf numFmtId="1" fontId="14" fillId="0" borderId="7" xfId="18" applyNumberFormat="1" applyFont="1" applyBorder="1" applyAlignment="1">
      <alignment horizontal="center"/>
    </xf>
    <xf numFmtId="43" fontId="21" fillId="0" borderId="0" xfId="6" applyFont="1" applyFill="1" applyBorder="1"/>
    <xf numFmtId="182" fontId="14" fillId="0" borderId="0" xfId="18" applyNumberFormat="1" applyFont="1"/>
    <xf numFmtId="0" fontId="14" fillId="0" borderId="7" xfId="18" applyFont="1" applyBorder="1" applyAlignment="1">
      <alignment vertical="top" wrapText="1"/>
    </xf>
    <xf numFmtId="43" fontId="21" fillId="0" borderId="0" xfId="18" applyNumberFormat="1" applyFont="1"/>
    <xf numFmtId="0" fontId="21" fillId="0" borderId="7" xfId="6" applyNumberFormat="1" applyFont="1" applyFill="1" applyBorder="1" applyAlignment="1">
      <alignment horizontal="center"/>
    </xf>
    <xf numFmtId="4" fontId="21" fillId="0" borderId="7" xfId="6" applyNumberFormat="1" applyFont="1" applyFill="1" applyBorder="1"/>
    <xf numFmtId="43" fontId="21" fillId="0" borderId="7" xfId="6" applyFont="1" applyFill="1" applyBorder="1" applyAlignment="1">
      <alignment horizontal="center" vertical="top" wrapText="1"/>
    </xf>
    <xf numFmtId="0" fontId="21" fillId="0" borderId="0" xfId="18" applyFont="1" applyAlignment="1">
      <alignment vertical="top" wrapText="1"/>
    </xf>
    <xf numFmtId="0" fontId="14" fillId="0" borderId="0" xfId="18" applyFont="1" applyAlignment="1">
      <alignment horizontal="center"/>
    </xf>
    <xf numFmtId="2" fontId="14" fillId="0" borderId="0" xfId="18" applyNumberFormat="1" applyFont="1" applyAlignment="1">
      <alignment horizontal="right"/>
    </xf>
    <xf numFmtId="0" fontId="14" fillId="0" borderId="0" xfId="18" applyFont="1" applyAlignment="1">
      <alignment horizontal="right" vertical="top" wrapText="1"/>
    </xf>
    <xf numFmtId="0" fontId="14" fillId="0" borderId="7" xfId="18" applyFont="1" applyBorder="1" applyAlignment="1">
      <alignment horizontal="center" vertical="top" wrapText="1"/>
    </xf>
    <xf numFmtId="183" fontId="14" fillId="0" borderId="0" xfId="18" applyNumberFormat="1" applyFont="1" applyAlignment="1">
      <alignment horizontal="right" vertical="top" wrapText="1"/>
    </xf>
    <xf numFmtId="2" fontId="14" fillId="0" borderId="0" xfId="18" applyNumberFormat="1" applyFont="1" applyAlignment="1">
      <alignment horizontal="center"/>
    </xf>
    <xf numFmtId="0" fontId="14" fillId="0" borderId="7" xfId="18" applyFont="1" applyBorder="1" applyAlignment="1">
      <alignment horizontal="left"/>
    </xf>
    <xf numFmtId="2" fontId="14" fillId="0" borderId="7" xfId="18" applyNumberFormat="1" applyFont="1" applyBorder="1" applyAlignment="1">
      <alignment horizontal="center" vertical="top" wrapText="1"/>
    </xf>
    <xf numFmtId="0" fontId="14" fillId="0" borderId="0" xfId="18" applyFont="1" applyAlignment="1">
      <alignment horizontal="left"/>
    </xf>
    <xf numFmtId="0" fontId="14" fillId="0" borderId="0" xfId="18" applyFont="1" applyAlignment="1">
      <alignment horizontal="right" vertical="top"/>
    </xf>
    <xf numFmtId="2" fontId="14" fillId="0" borderId="0" xfId="18" applyNumberFormat="1" applyFont="1" applyAlignment="1">
      <alignment horizontal="right" vertical="top"/>
    </xf>
    <xf numFmtId="184" fontId="14" fillId="0" borderId="0" xfId="6" applyNumberFormat="1" applyFont="1" applyFill="1" applyBorder="1" applyAlignment="1">
      <alignment horizontal="center" vertical="top" wrapText="1"/>
    </xf>
    <xf numFmtId="0" fontId="14" fillId="0" borderId="0" xfId="18" applyFont="1" applyAlignment="1">
      <alignment horizontal="left" vertical="top" wrapText="1"/>
    </xf>
    <xf numFmtId="175" fontId="14" fillId="0" borderId="0" xfId="6" applyNumberFormat="1" applyFont="1" applyFill="1" applyBorder="1" applyAlignment="1">
      <alignment horizontal="right" vertical="top" wrapText="1"/>
    </xf>
    <xf numFmtId="2" fontId="14" fillId="0" borderId="0" xfId="18" applyNumberFormat="1" applyFont="1"/>
    <xf numFmtId="4" fontId="14" fillId="0" borderId="0" xfId="6" applyNumberFormat="1" applyFont="1" applyFill="1" applyBorder="1"/>
    <xf numFmtId="2" fontId="14" fillId="0" borderId="7" xfId="18" applyNumberFormat="1" applyFont="1" applyBorder="1" applyAlignment="1">
      <alignment vertical="top" wrapText="1"/>
    </xf>
    <xf numFmtId="43" fontId="14" fillId="0" borderId="7" xfId="6" applyFont="1" applyFill="1" applyBorder="1" applyAlignment="1"/>
    <xf numFmtId="4" fontId="14" fillId="0" borderId="7" xfId="18" applyNumberFormat="1" applyFont="1" applyBorder="1" applyAlignment="1">
      <alignment horizontal="center"/>
    </xf>
    <xf numFmtId="4" fontId="14" fillId="0" borderId="7" xfId="6" applyNumberFormat="1" applyFont="1" applyFill="1" applyBorder="1" applyAlignment="1">
      <alignment horizontal="center"/>
    </xf>
    <xf numFmtId="4" fontId="21" fillId="0" borderId="7" xfId="18" applyNumberFormat="1" applyFont="1" applyBorder="1" applyAlignment="1">
      <alignment horizontal="center" vertical="top" wrapText="1"/>
    </xf>
    <xf numFmtId="4" fontId="14" fillId="0" borderId="7" xfId="18" applyNumberFormat="1" applyFont="1" applyBorder="1" applyAlignment="1">
      <alignment horizontal="center" vertical="top" wrapText="1"/>
    </xf>
    <xf numFmtId="0" fontId="14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center" readingOrder="1"/>
    </xf>
    <xf numFmtId="0" fontId="14" fillId="0" borderId="7" xfId="0" applyFont="1" applyBorder="1" applyAlignment="1">
      <alignment horizontal="center" vertical="top"/>
    </xf>
    <xf numFmtId="172" fontId="5" fillId="0" borderId="1" xfId="0" applyNumberFormat="1" applyFont="1" applyBorder="1" applyAlignment="1">
      <alignment horizontal="right" vertical="center" readingOrder="1"/>
    </xf>
    <xf numFmtId="2" fontId="14" fillId="0" borderId="7" xfId="0" applyNumberFormat="1" applyFont="1" applyBorder="1" applyAlignment="1">
      <alignment horizontal="right" vertical="top" wrapText="1"/>
    </xf>
    <xf numFmtId="0" fontId="14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6" xfId="0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readingOrder="1"/>
    </xf>
    <xf numFmtId="0" fontId="4" fillId="2" borderId="9" xfId="0" applyFont="1" applyFill="1" applyBorder="1" applyAlignment="1">
      <alignment horizontal="center" vertical="center" readingOrder="1"/>
    </xf>
    <xf numFmtId="0" fontId="4" fillId="2" borderId="10" xfId="0" applyFont="1" applyFill="1" applyBorder="1" applyAlignment="1">
      <alignment horizontal="center" vertical="center" readingOrder="1"/>
    </xf>
    <xf numFmtId="0" fontId="6" fillId="2" borderId="4" xfId="0" applyFont="1" applyFill="1" applyBorder="1" applyAlignment="1">
      <alignment horizontal="left" vertical="center" wrapText="1" readingOrder="1"/>
    </xf>
    <xf numFmtId="0" fontId="6" fillId="2" borderId="6" xfId="0" applyFont="1" applyFill="1" applyBorder="1" applyAlignment="1">
      <alignment horizontal="left" vertical="center" wrapText="1" readingOrder="1"/>
    </xf>
    <xf numFmtId="0" fontId="20" fillId="0" borderId="0" xfId="17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 readingOrder="1"/>
    </xf>
    <xf numFmtId="0" fontId="5" fillId="2" borderId="0" xfId="1" applyFont="1" applyFill="1" applyAlignment="1">
      <alignment horizontal="left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readingOrder="1"/>
    </xf>
    <xf numFmtId="0" fontId="13" fillId="0" borderId="7" xfId="5" applyFont="1" applyBorder="1" applyAlignment="1">
      <alignment horizontal="center" wrapText="1"/>
    </xf>
    <xf numFmtId="0" fontId="13" fillId="0" borderId="7" xfId="5" applyFont="1" applyBorder="1" applyAlignment="1">
      <alignment horizontal="center"/>
    </xf>
    <xf numFmtId="164" fontId="12" fillId="0" borderId="7" xfId="2" applyFont="1" applyBorder="1" applyAlignment="1">
      <alignment horizontal="center"/>
    </xf>
    <xf numFmtId="0" fontId="6" fillId="2" borderId="4" xfId="1" applyFont="1" applyFill="1" applyBorder="1" applyAlignment="1">
      <alignment horizontal="left" vertical="center" wrapText="1" readingOrder="1"/>
    </xf>
    <xf numFmtId="0" fontId="6" fillId="2" borderId="5" xfId="1" applyFont="1" applyFill="1" applyBorder="1" applyAlignment="1">
      <alignment horizontal="left" vertical="center" wrapText="1" readingOrder="1"/>
    </xf>
    <xf numFmtId="0" fontId="6" fillId="2" borderId="6" xfId="1" applyFont="1" applyFill="1" applyBorder="1" applyAlignment="1">
      <alignment horizontal="left" vertical="center" wrapText="1" readingOrder="1"/>
    </xf>
    <xf numFmtId="0" fontId="5" fillId="2" borderId="4" xfId="1" applyFont="1" applyFill="1" applyBorder="1" applyAlignment="1">
      <alignment horizontal="left" vertical="center" wrapText="1" readingOrder="1"/>
    </xf>
    <xf numFmtId="0" fontId="5" fillId="2" borderId="6" xfId="1" applyFont="1" applyFill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top" wrapText="1" readingOrder="1"/>
    </xf>
    <xf numFmtId="0" fontId="5" fillId="0" borderId="6" xfId="0" applyFont="1" applyBorder="1" applyAlignment="1">
      <alignment horizontal="left" vertical="top" wrapText="1" readingOrder="1"/>
    </xf>
    <xf numFmtId="0" fontId="12" fillId="0" borderId="7" xfId="5" applyFont="1" applyBorder="1" applyAlignment="1">
      <alignment horizontal="left" wrapText="1"/>
    </xf>
    <xf numFmtId="0" fontId="12" fillId="0" borderId="7" xfId="5" applyFont="1" applyBorder="1" applyAlignment="1">
      <alignment horizontal="left"/>
    </xf>
    <xf numFmtId="0" fontId="12" fillId="0" borderId="7" xfId="5" applyFont="1" applyBorder="1" applyAlignment="1">
      <alignment horizontal="center"/>
    </xf>
    <xf numFmtId="0" fontId="13" fillId="0" borderId="7" xfId="5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top" wrapText="1" readingOrder="1"/>
    </xf>
    <xf numFmtId="0" fontId="5" fillId="2" borderId="6" xfId="0" applyFont="1" applyFill="1" applyBorder="1" applyAlignment="1">
      <alignment horizontal="left" vertical="top" wrapText="1" readingOrder="1"/>
    </xf>
    <xf numFmtId="0" fontId="24" fillId="0" borderId="0" xfId="14" applyFont="1" applyAlignment="1">
      <alignment horizontal="left" vertical="center"/>
    </xf>
    <xf numFmtId="0" fontId="12" fillId="0" borderId="0" xfId="9" applyFont="1" applyAlignment="1">
      <alignment horizontal="left"/>
    </xf>
    <xf numFmtId="0" fontId="19" fillId="0" borderId="7" xfId="9" applyFont="1" applyBorder="1" applyAlignment="1">
      <alignment horizontal="center"/>
    </xf>
    <xf numFmtId="0" fontId="20" fillId="0" borderId="7" xfId="10" applyFont="1" applyBorder="1" applyAlignment="1">
      <alignment horizontal="center" vertical="center"/>
    </xf>
    <xf numFmtId="0" fontId="11" fillId="3" borderId="7" xfId="10" applyFont="1" applyFill="1" applyBorder="1" applyAlignment="1">
      <alignment horizontal="center" vertical="center" wrapText="1"/>
    </xf>
    <xf numFmtId="0" fontId="24" fillId="0" borderId="8" xfId="14" applyFont="1" applyBorder="1" applyAlignment="1">
      <alignment horizontal="left" vertical="center"/>
    </xf>
    <xf numFmtId="0" fontId="24" fillId="0" borderId="9" xfId="14" applyFont="1" applyBorder="1" applyAlignment="1">
      <alignment horizontal="left" vertical="center"/>
    </xf>
    <xf numFmtId="0" fontId="24" fillId="0" borderId="10" xfId="14" applyFont="1" applyBorder="1" applyAlignment="1">
      <alignment horizontal="left" vertical="center"/>
    </xf>
    <xf numFmtId="0" fontId="24" fillId="0" borderId="0" xfId="14" applyFont="1" applyAlignment="1">
      <alignment horizontal="left"/>
    </xf>
    <xf numFmtId="0" fontId="21" fillId="0" borderId="0" xfId="18" applyFont="1" applyAlignment="1">
      <alignment horizontal="center"/>
    </xf>
  </cellXfs>
  <cellStyles count="19">
    <cellStyle name="Comma" xfId="2" builtinId="3"/>
    <cellStyle name="Comma 10" xfId="13" xr:uid="{E2F3F9E0-9436-49C5-A171-FF39FBF26DFB}"/>
    <cellStyle name="Comma 2" xfId="8" xr:uid="{7E082F65-3FD2-416F-A91B-5F5DC7A5BB11}"/>
    <cellStyle name="Comma 2 2" xfId="6" xr:uid="{1975478F-8C27-4BD1-9745-318C37C2857D}"/>
    <cellStyle name="Comma 3" xfId="12" xr:uid="{1CD7A900-AE14-4516-9723-F536BACAC107}"/>
    <cellStyle name="Normal" xfId="0" builtinId="0"/>
    <cellStyle name="Normal 2" xfId="1" xr:uid="{E36A6529-6881-4BC2-8499-35DC677352FA}"/>
    <cellStyle name="Normal 2 2" xfId="11" xr:uid="{C675712A-26DA-488E-BA46-121E391DDB0C}"/>
    <cellStyle name="Normal 2 2 3" xfId="5" xr:uid="{9590E70F-BB88-42EA-9B34-ABADFA56C404}"/>
    <cellStyle name="Normal 2 2 3 2" xfId="16" xr:uid="{A7AD2883-0DFF-420B-B809-E4428FD57B22}"/>
    <cellStyle name="Normal 3" xfId="17" xr:uid="{12CB6954-C67F-4E1D-8848-F715363F7E76}"/>
    <cellStyle name="Normal 4" xfId="4" xr:uid="{AB024E8C-0276-4346-977E-E9356661F798}"/>
    <cellStyle name="Normal 4 2" xfId="9" xr:uid="{C101911C-2DD2-4419-821A-AA0D3B7927E9}"/>
    <cellStyle name="Normal 5" xfId="18" xr:uid="{62FBCAE0-7FBA-4D75-B425-B8DB230C6D85}"/>
    <cellStyle name="Normal_Bonsaverportfolio 2 2" xfId="10" xr:uid="{008B778D-6B4B-4C9D-BCE2-4668C140D07B}"/>
    <cellStyle name="Normal_Halfyearly_Debtholdings_30092011 2" xfId="14" xr:uid="{98BDD182-BAA2-44BB-8577-BA097C3B9E13}"/>
    <cellStyle name="Normal_Holdingotherschemes new" xfId="15" xr:uid="{138422F1-9EC2-44FE-9428-87C457DBE195}"/>
    <cellStyle name="Percent" xfId="3" builtinId="5"/>
    <cellStyle name="Percent 2" xfId="7" xr:uid="{19CBA305-EFA8-4702-A226-B85F1C004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19050</xdr:rowOff>
    </xdr:from>
    <xdr:to>
      <xdr:col>14</xdr:col>
      <xdr:colOff>235942</xdr:colOff>
      <xdr:row>10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6D2DF-7703-4EDC-9E6F-D5A18C84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0" y="4000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959C5-533D-4410-AA60-644330FE0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727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13</xdr:row>
      <xdr:rowOff>123825</xdr:rowOff>
    </xdr:from>
    <xdr:to>
      <xdr:col>14</xdr:col>
      <xdr:colOff>197146</xdr:colOff>
      <xdr:row>21</xdr:row>
      <xdr:rowOff>66673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ACC8B-A9CB-4DAB-AD30-39154A2F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91775" y="3181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131167</xdr:colOff>
      <xdr:row>10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844557-E87D-4832-AE51-7B87630F7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3179167" cy="201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EA3D2-3A30-4759-8A2C-B578834D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13</xdr:col>
      <xdr:colOff>495301</xdr:colOff>
      <xdr:row>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F8085C-0430-492E-93A2-8923DEC02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2933701" cy="2000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C42582-3428-4245-A73B-B95F5786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E820C2-D5B9-4F1E-9D66-234A3503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619E7-BCD6-4D47-8451-6FF703BD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15</xdr:row>
      <xdr:rowOff>47625</xdr:rowOff>
    </xdr:from>
    <xdr:to>
      <xdr:col>14</xdr:col>
      <xdr:colOff>111421</xdr:colOff>
      <xdr:row>24</xdr:row>
      <xdr:rowOff>314323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72560C-DCAE-4E1E-A4C7-98A97BA0F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06050" y="32956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600075</xdr:colOff>
      <xdr:row>27</xdr:row>
      <xdr:rowOff>95250</xdr:rowOff>
    </xdr:from>
    <xdr:to>
      <xdr:col>14</xdr:col>
      <xdr:colOff>216196</xdr:colOff>
      <xdr:row>35</xdr:row>
      <xdr:rowOff>200023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49B0AE-0997-447B-B98B-8D90F097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10825" y="56388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D44E3-1DFC-4AB7-AF0C-E9C3228B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C6A6DF-CFBD-4691-BC59-0A57F58E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3813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899B99-1D24-47DF-B40F-9B56230E3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A27B59-5B17-468A-B94E-9A40AEDED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3813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1FABA-14D0-4243-A17F-F29EF6F9D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238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180975</xdr:rowOff>
    </xdr:from>
    <xdr:to>
      <xdr:col>14</xdr:col>
      <xdr:colOff>225721</xdr:colOff>
      <xdr:row>22</xdr:row>
      <xdr:rowOff>609598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49B62C-4288-4778-80FF-6C460CB7D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076575"/>
          <a:ext cx="3273721" cy="190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590550</xdr:colOff>
      <xdr:row>30</xdr:row>
      <xdr:rowOff>19050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8AEEFFDB-034D-445F-AA23-0C8090DA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01300" y="58864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CBB05-0AFE-4C3A-A683-19C9184B3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B7692-2B5E-4562-8C51-D0B537A19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161925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728622-D1AF-4981-9F5B-C2D0E7632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09925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CE09DA-CBAF-493D-9676-4D2D6F8CF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B1B96-611E-40EF-AC0E-8299E525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9BDADC-CB1B-48C0-8F78-5DE42A92B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1B2C5-E2EE-41BF-90F9-0DD6BB9FD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CA1467-BAEC-4D85-9D64-A5F87706F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55C46-039F-4AD7-B06E-92942972A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28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26EEE1-BACB-44B9-B697-A417B9353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CB25FA-F43D-4CEC-BD13-1E8749C2B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292F3C-A46A-4BBA-9FFE-532F45804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65FF8-9CC2-4597-B3D3-FC37ABFA2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D7350B-E1A9-4B81-B245-3CB2F57E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18209-6F48-40D2-B31E-2E7F49EC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80ED9A-72C9-4C8B-9429-FC12987F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0B810-5C3D-4063-8FBF-3F5BFD8DB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23F462-0B5F-4FE3-9D78-B0F3EC17B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BB180C-1E7D-4C91-81B5-8B59FC34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A5F-A6DE-409A-AAB0-88DD849F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3813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A35A7-E8A0-4904-B521-A4023F40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5EA3B9-E9D0-4CB5-B1EC-80083068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190500</xdr:rowOff>
    </xdr:from>
    <xdr:to>
      <xdr:col>14</xdr:col>
      <xdr:colOff>235942</xdr:colOff>
      <xdr:row>10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F95E1-63C2-4A3C-85BC-421CD9AE1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3810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CFCDE6-E552-4F08-9843-0BCB0F43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D9A4BA-E54D-4DE1-932B-A919DE1EB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428A0-C877-4CD0-ABF1-E28FE07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19649-36A6-4D84-AD29-772EE4D83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D20F2A-BF22-4EA0-BA6C-A783F24E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304201-2D30-4490-8147-55D34C896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08D766-798A-4ACB-A998-49B055E93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0F59A-275B-483D-B3DE-9B1D8D6CC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133348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FC295D-E72C-4CA0-8F48-8B6C33E7A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571875"/>
          <a:ext cx="3273721" cy="1914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30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FA990E32-5D80-4F3E-B1BE-1C38B36F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60293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15</xdr:col>
      <xdr:colOff>54271</xdr:colOff>
      <xdr:row>23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57615F-CA93-48D5-9650-38DC62A12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287125" y="3248025"/>
          <a:ext cx="3111796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14</xdr:col>
      <xdr:colOff>495301</xdr:colOff>
      <xdr:row>12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0C73E7-FF19-44BE-BD6C-D032113F7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704850"/>
          <a:ext cx="2933701" cy="20002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15</xdr:row>
      <xdr:rowOff>114300</xdr:rowOff>
    </xdr:from>
    <xdr:to>
      <xdr:col>14</xdr:col>
      <xdr:colOff>307855</xdr:colOff>
      <xdr:row>23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85ACD-414C-42ED-93FF-97FFE7B01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3228975"/>
          <a:ext cx="3422530" cy="19716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131167</xdr:colOff>
      <xdr:row>10</xdr:row>
      <xdr:rowOff>323850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D1B86F-530E-4A78-9FEC-0E6775D0F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750" y="704850"/>
          <a:ext cx="3179167" cy="20193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66675</xdr:rowOff>
    </xdr:from>
    <xdr:to>
      <xdr:col>14</xdr:col>
      <xdr:colOff>276225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71ED2-AB50-4C3C-8F79-3A9649A4D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447675"/>
          <a:ext cx="3324225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104775</xdr:rowOff>
    </xdr:from>
    <xdr:to>
      <xdr:col>14</xdr:col>
      <xdr:colOff>324928</xdr:colOff>
      <xdr:row>25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03E50-278C-48C0-8E5F-6BF4946F1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50" y="3028950"/>
          <a:ext cx="3372928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95250</xdr:rowOff>
    </xdr:from>
    <xdr:to>
      <xdr:col>14</xdr:col>
      <xdr:colOff>245467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C91D35-1514-4A7B-9A88-E78430296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6575" y="4762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14</xdr:row>
      <xdr:rowOff>38100</xdr:rowOff>
    </xdr:from>
    <xdr:to>
      <xdr:col>14</xdr:col>
      <xdr:colOff>178096</xdr:colOff>
      <xdr:row>24</xdr:row>
      <xdr:rowOff>142873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08AF9F-6A9E-445E-B650-F0A3A5AA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39425" y="2800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542925</xdr:colOff>
      <xdr:row>26</xdr:row>
      <xdr:rowOff>95250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2985CA2B-1D11-469D-8BF8-E59715136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20375" y="5153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523875</xdr:colOff>
      <xdr:row>15</xdr:row>
      <xdr:rowOff>28575</xdr:rowOff>
    </xdr:from>
    <xdr:to>
      <xdr:col>14</xdr:col>
      <xdr:colOff>288805</xdr:colOff>
      <xdr:row>25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80921-C9B5-4F94-92C3-E54A0174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3409950"/>
          <a:ext cx="342253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47625</xdr:colOff>
      <xdr:row>2</xdr:row>
      <xdr:rowOff>190500</xdr:rowOff>
    </xdr:from>
    <xdr:to>
      <xdr:col>14</xdr:col>
      <xdr:colOff>274042</xdr:colOff>
      <xdr:row>10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F9E225-8962-4B9A-89D3-DDAA5C4C7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9900" y="628650"/>
          <a:ext cx="3274417" cy="20955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C3B3C-F637-4954-9219-5E0EA435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20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D91851-9DC4-42E2-8E85-E1C11D6DF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5718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25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1CEE1108-5B96-48B0-947D-0408C9A0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6677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9DE00-5C5D-4E5B-8A37-AC85A8497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E6C8DE-8275-43DA-B7FC-508A1F495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194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32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583229BA-8681-41AA-86B0-3FD8E8048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64865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3724-4321-4B4A-A757-10D200277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EEB69B-5D85-497D-9223-1D32EDADD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C325FD-4C52-488E-9C1C-5618FC05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57150</xdr:rowOff>
    </xdr:from>
    <xdr:to>
      <xdr:col>14</xdr:col>
      <xdr:colOff>225721</xdr:colOff>
      <xdr:row>21</xdr:row>
      <xdr:rowOff>647698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598032-7ED2-48BF-998C-27B89853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1146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27</xdr:row>
      <xdr:rowOff>9525</xdr:rowOff>
    </xdr:from>
    <xdr:ext cx="3273721" cy="1885948"/>
    <xdr:pic>
      <xdr:nvPicPr>
        <xdr:cNvPr id="7" name="Picture 6">
          <a:extLst>
            <a:ext uri="{FF2B5EF4-FFF2-40B4-BE49-F238E27FC236}">
              <a16:creationId xmlns:a16="http://schemas.microsoft.com/office/drawing/2014/main" id="{4224B082-ED8D-4E90-88C2-417DAD6DC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59817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209550</xdr:rowOff>
    </xdr:from>
    <xdr:to>
      <xdr:col>14</xdr:col>
      <xdr:colOff>235942</xdr:colOff>
      <xdr:row>11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E4D5B6-3DCE-4E7B-ACF6-FFBC74D41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383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225721</xdr:colOff>
      <xdr:row>24</xdr:row>
      <xdr:rowOff>104773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F9E99F-199E-43A7-820B-E438763F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1DE6F8-860F-466E-9976-DAEF4153A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7F52E2-C733-4007-B809-5DE0C798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31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C2EA8A01-BFDC-426F-AEFC-3FB51AE6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5838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EC17C-C619-4291-AA9C-2462E5764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22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930C1B-FE5F-4A13-AF12-84968FFBD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43FFA324-D0C4-4852-8862-2BBA3322A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63246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8C5D05-5423-4C86-986C-E85B4BEB9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2275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428623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C9E383-BE41-4EE3-A926-47F79BDD4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82275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E9B9789B-A4A2-44EC-9D78-1FF21D53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82275" y="63531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41E873-F2A1-4F07-BD05-03560FCCA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217849-FBF7-401B-9509-30487354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B8F67-33B6-4456-82D2-A90C87C9A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0" y="571500"/>
          <a:ext cx="337919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23</xdr:row>
      <xdr:rowOff>171448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DE21B-6DAE-43EF-877E-311B02A50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191500" y="3276600"/>
          <a:ext cx="336897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661-8337-4F35-A6F6-8E396C9D4A10}">
  <dimension ref="A1:C40"/>
  <sheetViews>
    <sheetView tabSelected="1" workbookViewId="0"/>
  </sheetViews>
  <sheetFormatPr defaultRowHeight="15" x14ac:dyDescent="0.25"/>
  <cols>
    <col min="1" max="1" width="6" style="179" bestFit="1" customWidth="1"/>
    <col min="2" max="2" width="10.42578125" style="179" bestFit="1" customWidth="1"/>
    <col min="3" max="3" width="56.42578125" style="179" bestFit="1" customWidth="1"/>
    <col min="4" max="4" width="21.5703125" style="179" customWidth="1"/>
    <col min="5" max="16384" width="9.140625" style="179"/>
  </cols>
  <sheetData>
    <row r="1" spans="1:3" x14ac:dyDescent="0.25">
      <c r="A1" s="177" t="s">
        <v>1053</v>
      </c>
      <c r="B1" s="178" t="s">
        <v>1054</v>
      </c>
      <c r="C1" s="178" t="s">
        <v>1055</v>
      </c>
    </row>
    <row r="2" spans="1:3" x14ac:dyDescent="0.25">
      <c r="A2" s="180">
        <v>1</v>
      </c>
      <c r="B2" s="181" t="s">
        <v>1056</v>
      </c>
      <c r="C2" s="181" t="s">
        <v>1</v>
      </c>
    </row>
    <row r="3" spans="1:3" x14ac:dyDescent="0.25">
      <c r="A3" s="180">
        <v>2</v>
      </c>
      <c r="B3" s="181" t="s">
        <v>1057</v>
      </c>
      <c r="C3" s="181" t="s">
        <v>157</v>
      </c>
    </row>
    <row r="4" spans="1:3" x14ac:dyDescent="0.25">
      <c r="A4" s="180">
        <v>3</v>
      </c>
      <c r="B4" s="181" t="s">
        <v>1058</v>
      </c>
      <c r="C4" s="181" t="s">
        <v>190</v>
      </c>
    </row>
    <row r="5" spans="1:3" x14ac:dyDescent="0.25">
      <c r="A5" s="180">
        <v>4</v>
      </c>
      <c r="B5" s="181" t="s">
        <v>1059</v>
      </c>
      <c r="C5" s="181" t="s">
        <v>260</v>
      </c>
    </row>
    <row r="6" spans="1:3" x14ac:dyDescent="0.25">
      <c r="A6" s="180">
        <v>5</v>
      </c>
      <c r="B6" s="181" t="s">
        <v>1060</v>
      </c>
      <c r="C6" s="181" t="s">
        <v>283</v>
      </c>
    </row>
    <row r="7" spans="1:3" x14ac:dyDescent="0.25">
      <c r="A7" s="180">
        <v>6</v>
      </c>
      <c r="B7" s="181" t="s">
        <v>1061</v>
      </c>
      <c r="C7" s="181" t="s">
        <v>379</v>
      </c>
    </row>
    <row r="8" spans="1:3" x14ac:dyDescent="0.25">
      <c r="A8" s="180">
        <v>7</v>
      </c>
      <c r="B8" s="181" t="s">
        <v>1062</v>
      </c>
      <c r="C8" s="181" t="s">
        <v>1063</v>
      </c>
    </row>
    <row r="9" spans="1:3" x14ac:dyDescent="0.25">
      <c r="A9" s="180">
        <v>8</v>
      </c>
      <c r="B9" s="181" t="s">
        <v>1064</v>
      </c>
      <c r="C9" s="181" t="s">
        <v>1065</v>
      </c>
    </row>
    <row r="10" spans="1:3" x14ac:dyDescent="0.25">
      <c r="A10" s="180">
        <v>9</v>
      </c>
      <c r="B10" s="181" t="s">
        <v>1066</v>
      </c>
      <c r="C10" s="181" t="s">
        <v>448</v>
      </c>
    </row>
    <row r="11" spans="1:3" x14ac:dyDescent="0.25">
      <c r="A11" s="180">
        <v>10</v>
      </c>
      <c r="B11" s="181" t="s">
        <v>1067</v>
      </c>
      <c r="C11" s="181" t="s">
        <v>467</v>
      </c>
    </row>
    <row r="12" spans="1:3" x14ac:dyDescent="0.25">
      <c r="A12" s="180">
        <v>11</v>
      </c>
      <c r="B12" s="181" t="s">
        <v>1068</v>
      </c>
      <c r="C12" s="181" t="s">
        <v>468</v>
      </c>
    </row>
    <row r="13" spans="1:3" x14ac:dyDescent="0.25">
      <c r="A13" s="180">
        <v>12</v>
      </c>
      <c r="B13" s="181" t="s">
        <v>1069</v>
      </c>
      <c r="C13" s="181" t="s">
        <v>471</v>
      </c>
    </row>
    <row r="14" spans="1:3" x14ac:dyDescent="0.25">
      <c r="A14" s="180">
        <v>13</v>
      </c>
      <c r="B14" s="181" t="s">
        <v>1070</v>
      </c>
      <c r="C14" s="181" t="s">
        <v>472</v>
      </c>
    </row>
    <row r="15" spans="1:3" x14ac:dyDescent="0.25">
      <c r="A15" s="180">
        <v>14</v>
      </c>
      <c r="B15" s="181" t="s">
        <v>1071</v>
      </c>
      <c r="C15" s="181" t="s">
        <v>473</v>
      </c>
    </row>
    <row r="16" spans="1:3" x14ac:dyDescent="0.25">
      <c r="A16" s="180">
        <v>15</v>
      </c>
      <c r="B16" s="181" t="s">
        <v>1072</v>
      </c>
      <c r="C16" s="181" t="s">
        <v>474</v>
      </c>
    </row>
    <row r="17" spans="1:3" x14ac:dyDescent="0.25">
      <c r="A17" s="180">
        <v>16</v>
      </c>
      <c r="B17" s="181" t="s">
        <v>1073</v>
      </c>
      <c r="C17" s="181" t="s">
        <v>1074</v>
      </c>
    </row>
    <row r="18" spans="1:3" x14ac:dyDescent="0.25">
      <c r="A18" s="180">
        <v>17</v>
      </c>
      <c r="B18" s="181" t="s">
        <v>1075</v>
      </c>
      <c r="C18" s="181" t="s">
        <v>1076</v>
      </c>
    </row>
    <row r="19" spans="1:3" x14ac:dyDescent="0.25">
      <c r="A19" s="180">
        <v>18</v>
      </c>
      <c r="B19" s="181" t="s">
        <v>1077</v>
      </c>
      <c r="C19" s="181" t="s">
        <v>1078</v>
      </c>
    </row>
    <row r="20" spans="1:3" x14ac:dyDescent="0.25">
      <c r="A20" s="180">
        <v>19</v>
      </c>
      <c r="B20" s="181" t="s">
        <v>1079</v>
      </c>
      <c r="C20" s="181" t="s">
        <v>1080</v>
      </c>
    </row>
    <row r="21" spans="1:3" x14ac:dyDescent="0.25">
      <c r="A21" s="180">
        <v>20</v>
      </c>
      <c r="B21" s="181" t="s">
        <v>1081</v>
      </c>
      <c r="C21" s="181" t="s">
        <v>497</v>
      </c>
    </row>
    <row r="22" spans="1:3" x14ac:dyDescent="0.25">
      <c r="A22" s="180">
        <v>21</v>
      </c>
      <c r="B22" s="181" t="s">
        <v>1082</v>
      </c>
      <c r="C22" s="181" t="s">
        <v>498</v>
      </c>
    </row>
    <row r="23" spans="1:3" x14ac:dyDescent="0.25">
      <c r="A23" s="180">
        <v>22</v>
      </c>
      <c r="B23" s="181" t="s">
        <v>1083</v>
      </c>
      <c r="C23" s="181" t="s">
        <v>499</v>
      </c>
    </row>
    <row r="24" spans="1:3" x14ac:dyDescent="0.25">
      <c r="A24" s="180">
        <v>23</v>
      </c>
      <c r="B24" s="181" t="s">
        <v>1084</v>
      </c>
      <c r="C24" s="181" t="s">
        <v>500</v>
      </c>
    </row>
    <row r="25" spans="1:3" x14ac:dyDescent="0.25">
      <c r="A25" s="180">
        <v>24</v>
      </c>
      <c r="B25" s="181" t="s">
        <v>1085</v>
      </c>
      <c r="C25" s="181" t="s">
        <v>501</v>
      </c>
    </row>
    <row r="26" spans="1:3" x14ac:dyDescent="0.25">
      <c r="A26" s="180">
        <v>25</v>
      </c>
      <c r="B26" s="181" t="s">
        <v>1086</v>
      </c>
      <c r="C26" s="181" t="s">
        <v>830</v>
      </c>
    </row>
    <row r="27" spans="1:3" x14ac:dyDescent="0.25">
      <c r="A27" s="180">
        <v>26</v>
      </c>
      <c r="B27" s="181" t="s">
        <v>1087</v>
      </c>
      <c r="C27" s="181" t="s">
        <v>1088</v>
      </c>
    </row>
    <row r="28" spans="1:3" x14ac:dyDescent="0.25">
      <c r="A28" s="180">
        <v>27</v>
      </c>
      <c r="B28" s="181" t="s">
        <v>1089</v>
      </c>
      <c r="C28" s="181" t="s">
        <v>872</v>
      </c>
    </row>
    <row r="29" spans="1:3" x14ac:dyDescent="0.25">
      <c r="A29" s="180">
        <v>28</v>
      </c>
      <c r="B29" s="181" t="s">
        <v>1090</v>
      </c>
      <c r="C29" s="182" t="s">
        <v>568</v>
      </c>
    </row>
    <row r="30" spans="1:3" x14ac:dyDescent="0.25">
      <c r="A30" s="180">
        <v>29</v>
      </c>
      <c r="B30" s="181" t="s">
        <v>1091</v>
      </c>
      <c r="C30" s="181" t="s">
        <v>591</v>
      </c>
    </row>
    <row r="31" spans="1:3" x14ac:dyDescent="0.25">
      <c r="A31" s="180">
        <v>30</v>
      </c>
      <c r="B31" s="181" t="s">
        <v>1092</v>
      </c>
      <c r="C31" s="181" t="s">
        <v>1093</v>
      </c>
    </row>
    <row r="32" spans="1:3" x14ac:dyDescent="0.25">
      <c r="A32" s="180">
        <v>31</v>
      </c>
      <c r="B32" s="181" t="s">
        <v>1094</v>
      </c>
      <c r="C32" s="181" t="s">
        <v>625</v>
      </c>
    </row>
    <row r="33" spans="1:3" x14ac:dyDescent="0.25">
      <c r="A33" s="180">
        <v>32</v>
      </c>
      <c r="B33" s="181" t="s">
        <v>1095</v>
      </c>
      <c r="C33" s="181" t="s">
        <v>1096</v>
      </c>
    </row>
    <row r="34" spans="1:3" x14ac:dyDescent="0.25">
      <c r="A34" s="180">
        <v>33</v>
      </c>
      <c r="B34" s="181" t="s">
        <v>1097</v>
      </c>
      <c r="C34" s="181" t="s">
        <v>1098</v>
      </c>
    </row>
    <row r="35" spans="1:3" x14ac:dyDescent="0.25">
      <c r="A35" s="180">
        <v>34</v>
      </c>
      <c r="B35" s="181" t="s">
        <v>1099</v>
      </c>
      <c r="C35" s="181" t="s">
        <v>1100</v>
      </c>
    </row>
    <row r="36" spans="1:3" x14ac:dyDescent="0.25">
      <c r="A36" s="180">
        <v>35</v>
      </c>
      <c r="B36" s="181" t="s">
        <v>1101</v>
      </c>
      <c r="C36" s="181" t="s">
        <v>1102</v>
      </c>
    </row>
    <row r="37" spans="1:3" x14ac:dyDescent="0.25">
      <c r="A37" s="180">
        <v>36</v>
      </c>
      <c r="B37" s="181" t="s">
        <v>1103</v>
      </c>
      <c r="C37" s="181" t="s">
        <v>743</v>
      </c>
    </row>
    <row r="38" spans="1:3" x14ac:dyDescent="0.25">
      <c r="A38" s="180">
        <v>37</v>
      </c>
      <c r="B38" s="181" t="s">
        <v>1104</v>
      </c>
      <c r="C38" s="181" t="s">
        <v>1137</v>
      </c>
    </row>
    <row r="39" spans="1:3" x14ac:dyDescent="0.25">
      <c r="A39" s="180">
        <v>38</v>
      </c>
      <c r="B39" s="181" t="s">
        <v>1105</v>
      </c>
      <c r="C39" s="181" t="s">
        <v>744</v>
      </c>
    </row>
    <row r="40" spans="1:3" x14ac:dyDescent="0.25">
      <c r="A40" s="180">
        <v>39</v>
      </c>
      <c r="B40" s="181" t="s">
        <v>1106</v>
      </c>
      <c r="C40" s="181" t="s">
        <v>1107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9" max="9" width="11.42578125" bestFit="1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192490</v>
      </c>
      <c r="F7" s="6">
        <v>5370.952225</v>
      </c>
      <c r="G7" s="7">
        <v>8.6102384000000004E-2</v>
      </c>
      <c r="H7" s="6"/>
    </row>
    <row r="8" spans="1:14" x14ac:dyDescent="0.2">
      <c r="A8" s="3">
        <v>2</v>
      </c>
      <c r="B8" s="4" t="s">
        <v>14</v>
      </c>
      <c r="C8" s="4" t="s">
        <v>15</v>
      </c>
      <c r="D8" s="4" t="s">
        <v>64</v>
      </c>
      <c r="E8" s="5">
        <v>308887</v>
      </c>
      <c r="F8" s="6">
        <v>5233.6268845000004</v>
      </c>
      <c r="G8" s="7">
        <v>8.3900904999999998E-2</v>
      </c>
      <c r="H8" s="6"/>
    </row>
    <row r="9" spans="1:14" x14ac:dyDescent="0.2">
      <c r="A9" s="3">
        <v>3</v>
      </c>
      <c r="B9" s="4" t="s">
        <v>16</v>
      </c>
      <c r="C9" s="4" t="s">
        <v>17</v>
      </c>
      <c r="D9" s="4" t="s">
        <v>18</v>
      </c>
      <c r="E9" s="5">
        <v>584107</v>
      </c>
      <c r="F9" s="6">
        <v>4341.6673309999996</v>
      </c>
      <c r="G9" s="7">
        <v>6.9601793999999995E-2</v>
      </c>
      <c r="H9" s="6"/>
    </row>
    <row r="10" spans="1:14" x14ac:dyDescent="0.2">
      <c r="A10" s="3">
        <v>4</v>
      </c>
      <c r="B10" s="4" t="s">
        <v>19</v>
      </c>
      <c r="C10" s="4" t="s">
        <v>20</v>
      </c>
      <c r="D10" s="4" t="s">
        <v>21</v>
      </c>
      <c r="E10" s="5">
        <v>551604</v>
      </c>
      <c r="F10" s="6">
        <v>4076.35356</v>
      </c>
      <c r="G10" s="7">
        <v>6.5348516999999995E-2</v>
      </c>
      <c r="H10" s="6"/>
    </row>
    <row r="11" spans="1:14" ht="25.5" x14ac:dyDescent="0.2">
      <c r="A11" s="3">
        <v>5</v>
      </c>
      <c r="B11" s="4" t="s">
        <v>22</v>
      </c>
      <c r="C11" s="4" t="s">
        <v>23</v>
      </c>
      <c r="D11" s="4" t="s">
        <v>935</v>
      </c>
      <c r="E11" s="5">
        <v>44676</v>
      </c>
      <c r="F11" s="6">
        <v>2962.13049</v>
      </c>
      <c r="G11" s="7">
        <v>4.7486272000000003E-2</v>
      </c>
      <c r="H11" s="6"/>
    </row>
    <row r="12" spans="1:14" x14ac:dyDescent="0.2">
      <c r="A12" s="3">
        <v>6</v>
      </c>
      <c r="B12" s="4" t="s">
        <v>24</v>
      </c>
      <c r="C12" s="4" t="s">
        <v>25</v>
      </c>
      <c r="D12" s="4" t="s">
        <v>26</v>
      </c>
      <c r="E12" s="5">
        <v>86173</v>
      </c>
      <c r="F12" s="6">
        <v>2142.3900395000001</v>
      </c>
      <c r="G12" s="7">
        <v>3.4344913999999997E-2</v>
      </c>
      <c r="H12" s="6"/>
    </row>
    <row r="13" spans="1:14" x14ac:dyDescent="0.2">
      <c r="A13" s="3">
        <v>7</v>
      </c>
      <c r="B13" s="4" t="s">
        <v>27</v>
      </c>
      <c r="C13" s="4" t="s">
        <v>28</v>
      </c>
      <c r="D13" s="4" t="s">
        <v>29</v>
      </c>
      <c r="E13" s="5">
        <v>1234236</v>
      </c>
      <c r="F13" s="6">
        <v>1927.876632</v>
      </c>
      <c r="G13" s="7">
        <v>3.0906023000000001E-2</v>
      </c>
      <c r="H13" s="6"/>
    </row>
    <row r="14" spans="1:14" x14ac:dyDescent="0.2">
      <c r="A14" s="3">
        <v>8</v>
      </c>
      <c r="B14" s="4" t="s">
        <v>30</v>
      </c>
      <c r="C14" s="4" t="s">
        <v>31</v>
      </c>
      <c r="D14" s="4" t="s">
        <v>26</v>
      </c>
      <c r="E14" s="5">
        <v>107795</v>
      </c>
      <c r="F14" s="6">
        <v>1846.4744525000001</v>
      </c>
      <c r="G14" s="7">
        <v>2.9601055000000001E-2</v>
      </c>
      <c r="H14" s="6"/>
    </row>
    <row r="15" spans="1:14" ht="15" x14ac:dyDescent="0.2">
      <c r="A15" s="3">
        <v>9</v>
      </c>
      <c r="B15" s="4" t="s">
        <v>32</v>
      </c>
      <c r="C15" s="4" t="s">
        <v>33</v>
      </c>
      <c r="D15" s="4" t="s">
        <v>26</v>
      </c>
      <c r="E15" s="5">
        <v>54410</v>
      </c>
      <c r="F15" s="6">
        <v>1811.90741</v>
      </c>
      <c r="G15" s="7">
        <v>2.9046907E-2</v>
      </c>
      <c r="H15" s="6"/>
      <c r="J15" s="192" t="s">
        <v>1140</v>
      </c>
    </row>
    <row r="16" spans="1:14" ht="25.5" x14ac:dyDescent="0.2">
      <c r="A16" s="3">
        <v>10</v>
      </c>
      <c r="B16" s="4" t="s">
        <v>34</v>
      </c>
      <c r="C16" s="4" t="s">
        <v>35</v>
      </c>
      <c r="D16" s="4" t="s">
        <v>936</v>
      </c>
      <c r="E16" s="5">
        <v>4234</v>
      </c>
      <c r="F16" s="6">
        <v>1698.560131</v>
      </c>
      <c r="G16" s="7">
        <v>2.7229823E-2</v>
      </c>
      <c r="H16" s="6"/>
    </row>
    <row r="17" spans="1:8" x14ac:dyDescent="0.2">
      <c r="A17" s="3">
        <v>11</v>
      </c>
      <c r="B17" s="4" t="s">
        <v>36</v>
      </c>
      <c r="C17" s="4" t="s">
        <v>37</v>
      </c>
      <c r="D17" s="4" t="s">
        <v>26</v>
      </c>
      <c r="E17" s="5">
        <v>123067</v>
      </c>
      <c r="F17" s="6">
        <v>1642.821383</v>
      </c>
      <c r="G17" s="7">
        <v>2.6336267999999999E-2</v>
      </c>
      <c r="H17" s="6"/>
    </row>
    <row r="18" spans="1:8" x14ac:dyDescent="0.2">
      <c r="A18" s="3">
        <v>12</v>
      </c>
      <c r="B18" s="4" t="s">
        <v>38</v>
      </c>
      <c r="C18" s="4" t="s">
        <v>39</v>
      </c>
      <c r="D18" s="4" t="s">
        <v>29</v>
      </c>
      <c r="E18" s="5">
        <v>603954</v>
      </c>
      <c r="F18" s="6">
        <v>1463.682519</v>
      </c>
      <c r="G18" s="7">
        <v>2.3464471000000001E-2</v>
      </c>
      <c r="H18" s="6"/>
    </row>
    <row r="19" spans="1:8" x14ac:dyDescent="0.2">
      <c r="A19" s="3">
        <v>13</v>
      </c>
      <c r="B19" s="4" t="s">
        <v>40</v>
      </c>
      <c r="C19" s="4" t="s">
        <v>41</v>
      </c>
      <c r="D19" s="4" t="s">
        <v>13</v>
      </c>
      <c r="E19" s="5">
        <v>395130</v>
      </c>
      <c r="F19" s="6">
        <v>1432.7413799999999</v>
      </c>
      <c r="G19" s="7">
        <v>2.2968450000000001E-2</v>
      </c>
      <c r="H19" s="6"/>
    </row>
    <row r="20" spans="1:8" ht="25.5" x14ac:dyDescent="0.2">
      <c r="A20" s="3">
        <v>14</v>
      </c>
      <c r="B20" s="4" t="s">
        <v>42</v>
      </c>
      <c r="C20" s="4" t="s">
        <v>43</v>
      </c>
      <c r="D20" s="4" t="s">
        <v>935</v>
      </c>
      <c r="E20" s="5">
        <v>50412</v>
      </c>
      <c r="F20" s="6">
        <v>1334.456052</v>
      </c>
      <c r="G20" s="7">
        <v>2.1392826E-2</v>
      </c>
      <c r="H20" s="6"/>
    </row>
    <row r="21" spans="1:8" ht="25.5" x14ac:dyDescent="0.2">
      <c r="A21" s="3">
        <v>15</v>
      </c>
      <c r="B21" s="4" t="s">
        <v>44</v>
      </c>
      <c r="C21" s="4" t="s">
        <v>45</v>
      </c>
      <c r="D21" s="4" t="s">
        <v>935</v>
      </c>
      <c r="E21" s="5">
        <v>161942</v>
      </c>
      <c r="F21" s="6">
        <v>1286.953074</v>
      </c>
      <c r="G21" s="7">
        <v>2.0631300000000002E-2</v>
      </c>
      <c r="H21" s="6"/>
    </row>
    <row r="22" spans="1:8" ht="25.5" x14ac:dyDescent="0.2">
      <c r="A22" s="3">
        <v>16</v>
      </c>
      <c r="B22" s="4" t="s">
        <v>46</v>
      </c>
      <c r="C22" s="4" t="s">
        <v>47</v>
      </c>
      <c r="D22" s="4" t="s">
        <v>937</v>
      </c>
      <c r="E22" s="5">
        <v>140270</v>
      </c>
      <c r="F22" s="6">
        <v>1201.2722799999999</v>
      </c>
      <c r="G22" s="7">
        <v>1.9257740999999998E-2</v>
      </c>
      <c r="H22" s="6"/>
    </row>
    <row r="23" spans="1:8" x14ac:dyDescent="0.2">
      <c r="A23" s="3">
        <v>17</v>
      </c>
      <c r="B23" s="4" t="s">
        <v>48</v>
      </c>
      <c r="C23" s="4" t="s">
        <v>49</v>
      </c>
      <c r="D23" s="4" t="s">
        <v>18</v>
      </c>
      <c r="E23" s="5">
        <v>235591</v>
      </c>
      <c r="F23" s="6">
        <v>1169.2381330000001</v>
      </c>
      <c r="G23" s="7">
        <v>1.8744198E-2</v>
      </c>
      <c r="H23" s="6"/>
    </row>
    <row r="24" spans="1:8" x14ac:dyDescent="0.2">
      <c r="A24" s="3">
        <v>18</v>
      </c>
      <c r="B24" s="4" t="s">
        <v>50</v>
      </c>
      <c r="C24" s="4" t="s">
        <v>51</v>
      </c>
      <c r="D24" s="4" t="s">
        <v>938</v>
      </c>
      <c r="E24" s="5">
        <v>180440</v>
      </c>
      <c r="F24" s="6">
        <v>1166.3641600000001</v>
      </c>
      <c r="G24" s="7">
        <v>1.8698124999999999E-2</v>
      </c>
      <c r="H24" s="6"/>
    </row>
    <row r="25" spans="1:8" x14ac:dyDescent="0.2">
      <c r="A25" s="3">
        <v>19</v>
      </c>
      <c r="B25" s="4" t="s">
        <v>52</v>
      </c>
      <c r="C25" s="4" t="s">
        <v>53</v>
      </c>
      <c r="D25" s="4" t="s">
        <v>54</v>
      </c>
      <c r="E25" s="5">
        <v>716100</v>
      </c>
      <c r="F25" s="6">
        <v>1148.98245</v>
      </c>
      <c r="G25" s="7">
        <v>1.8419477E-2</v>
      </c>
      <c r="H25" s="6"/>
    </row>
    <row r="26" spans="1:8" x14ac:dyDescent="0.2">
      <c r="A26" s="3">
        <v>20</v>
      </c>
      <c r="B26" s="4" t="s">
        <v>55</v>
      </c>
      <c r="C26" s="4" t="s">
        <v>56</v>
      </c>
      <c r="D26" s="4" t="s">
        <v>57</v>
      </c>
      <c r="E26" s="5">
        <v>716249</v>
      </c>
      <c r="F26" s="6">
        <v>1139.9102835000001</v>
      </c>
      <c r="G26" s="7">
        <v>1.8274039999999998E-2</v>
      </c>
      <c r="H26" s="6"/>
    </row>
    <row r="27" spans="1:8" ht="25.5" x14ac:dyDescent="0.2">
      <c r="A27" s="3">
        <v>21</v>
      </c>
      <c r="B27" s="4" t="s">
        <v>58</v>
      </c>
      <c r="C27" s="4" t="s">
        <v>59</v>
      </c>
      <c r="D27" s="4" t="s">
        <v>936</v>
      </c>
      <c r="E27" s="5">
        <v>23847</v>
      </c>
      <c r="F27" s="6">
        <v>1080.0425534999999</v>
      </c>
      <c r="G27" s="7">
        <v>1.7314293000000001E-2</v>
      </c>
      <c r="H27" s="6"/>
    </row>
    <row r="28" spans="1:8" x14ac:dyDescent="0.2">
      <c r="A28" s="3">
        <v>22</v>
      </c>
      <c r="B28" s="4" t="s">
        <v>60</v>
      </c>
      <c r="C28" s="4" t="s">
        <v>61</v>
      </c>
      <c r="D28" s="4" t="s">
        <v>64</v>
      </c>
      <c r="E28" s="5">
        <v>1542666</v>
      </c>
      <c r="F28" s="6">
        <v>1057.497543</v>
      </c>
      <c r="G28" s="7">
        <v>1.6952871000000001E-2</v>
      </c>
      <c r="H28" s="6"/>
    </row>
    <row r="29" spans="1:8" x14ac:dyDescent="0.2">
      <c r="A29" s="3">
        <v>23</v>
      </c>
      <c r="B29" s="4" t="s">
        <v>62</v>
      </c>
      <c r="C29" s="4" t="s">
        <v>63</v>
      </c>
      <c r="D29" s="4" t="s">
        <v>64</v>
      </c>
      <c r="E29" s="5">
        <v>380518</v>
      </c>
      <c r="F29" s="6">
        <v>975.64815199999998</v>
      </c>
      <c r="G29" s="7">
        <v>1.5640733E-2</v>
      </c>
      <c r="H29" s="6"/>
    </row>
    <row r="30" spans="1:8" x14ac:dyDescent="0.2">
      <c r="A30" s="3">
        <v>24</v>
      </c>
      <c r="B30" s="4" t="s">
        <v>65</v>
      </c>
      <c r="C30" s="4" t="s">
        <v>66</v>
      </c>
      <c r="D30" s="4" t="s">
        <v>13</v>
      </c>
      <c r="E30" s="5">
        <v>773705</v>
      </c>
      <c r="F30" s="6">
        <v>974.86829999999998</v>
      </c>
      <c r="G30" s="7">
        <v>1.5628231999999999E-2</v>
      </c>
      <c r="H30" s="6"/>
    </row>
    <row r="31" spans="1:8" x14ac:dyDescent="0.2">
      <c r="A31" s="3">
        <v>25</v>
      </c>
      <c r="B31" s="4" t="s">
        <v>67</v>
      </c>
      <c r="C31" s="4" t="s">
        <v>68</v>
      </c>
      <c r="D31" s="4" t="s">
        <v>29</v>
      </c>
      <c r="E31" s="5">
        <v>414816</v>
      </c>
      <c r="F31" s="6">
        <v>944.74343999999996</v>
      </c>
      <c r="G31" s="7">
        <v>1.5145296000000001E-2</v>
      </c>
      <c r="H31" s="6"/>
    </row>
    <row r="32" spans="1:8" x14ac:dyDescent="0.2">
      <c r="A32" s="3">
        <v>26</v>
      </c>
      <c r="B32" s="4" t="s">
        <v>69</v>
      </c>
      <c r="C32" s="4" t="s">
        <v>70</v>
      </c>
      <c r="D32" s="4" t="s">
        <v>71</v>
      </c>
      <c r="E32" s="5">
        <v>153349</v>
      </c>
      <c r="F32" s="6">
        <v>928.29817149999997</v>
      </c>
      <c r="G32" s="7">
        <v>1.488166E-2</v>
      </c>
      <c r="H32" s="6"/>
    </row>
    <row r="33" spans="1:8" x14ac:dyDescent="0.2">
      <c r="A33" s="3">
        <v>27</v>
      </c>
      <c r="B33" s="4" t="s">
        <v>72</v>
      </c>
      <c r="C33" s="4" t="s">
        <v>73</v>
      </c>
      <c r="D33" s="4" t="s">
        <v>26</v>
      </c>
      <c r="E33" s="5">
        <v>84259</v>
      </c>
      <c r="F33" s="6">
        <v>862.22234700000001</v>
      </c>
      <c r="G33" s="7">
        <v>1.3822391E-2</v>
      </c>
      <c r="H33" s="6"/>
    </row>
    <row r="34" spans="1:8" x14ac:dyDescent="0.2">
      <c r="A34" s="3">
        <v>28</v>
      </c>
      <c r="B34" s="4" t="s">
        <v>74</v>
      </c>
      <c r="C34" s="4" t="s">
        <v>75</v>
      </c>
      <c r="D34" s="4" t="s">
        <v>71</v>
      </c>
      <c r="E34" s="5">
        <v>22325</v>
      </c>
      <c r="F34" s="6">
        <v>828.19052499999998</v>
      </c>
      <c r="G34" s="7">
        <v>1.3276822000000001E-2</v>
      </c>
      <c r="H34" s="6"/>
    </row>
    <row r="35" spans="1:8" x14ac:dyDescent="0.2">
      <c r="A35" s="3">
        <v>29</v>
      </c>
      <c r="B35" s="4" t="s">
        <v>76</v>
      </c>
      <c r="C35" s="4" t="s">
        <v>77</v>
      </c>
      <c r="D35" s="4" t="s">
        <v>938</v>
      </c>
      <c r="E35" s="5">
        <v>160298</v>
      </c>
      <c r="F35" s="6">
        <v>827.29797799999994</v>
      </c>
      <c r="G35" s="7">
        <v>1.3262514E-2</v>
      </c>
      <c r="H35" s="6"/>
    </row>
    <row r="36" spans="1:8" ht="51" x14ac:dyDescent="0.2">
      <c r="A36" s="3">
        <v>30</v>
      </c>
      <c r="B36" s="4" t="s">
        <v>78</v>
      </c>
      <c r="C36" s="4" t="s">
        <v>79</v>
      </c>
      <c r="D36" s="4" t="s">
        <v>939</v>
      </c>
      <c r="E36" s="5">
        <v>624467</v>
      </c>
      <c r="F36" s="6">
        <v>793.69755699999996</v>
      </c>
      <c r="G36" s="7">
        <v>1.2723861E-2</v>
      </c>
      <c r="H36" s="6"/>
    </row>
    <row r="37" spans="1:8" ht="25.5" x14ac:dyDescent="0.2">
      <c r="A37" s="3">
        <v>31</v>
      </c>
      <c r="B37" s="4" t="s">
        <v>80</v>
      </c>
      <c r="C37" s="4" t="s">
        <v>81</v>
      </c>
      <c r="D37" s="4" t="s">
        <v>82</v>
      </c>
      <c r="E37" s="5">
        <v>102316</v>
      </c>
      <c r="F37" s="6">
        <v>755.85945000000004</v>
      </c>
      <c r="G37" s="7">
        <v>1.2117274000000001E-2</v>
      </c>
      <c r="H37" s="6"/>
    </row>
    <row r="38" spans="1:8" ht="51" x14ac:dyDescent="0.2">
      <c r="A38" s="3">
        <v>32</v>
      </c>
      <c r="B38" s="4" t="s">
        <v>83</v>
      </c>
      <c r="C38" s="4" t="s">
        <v>84</v>
      </c>
      <c r="D38" s="4" t="s">
        <v>939</v>
      </c>
      <c r="E38" s="5">
        <v>45404</v>
      </c>
      <c r="F38" s="6">
        <v>753.63829399999997</v>
      </c>
      <c r="G38" s="7">
        <v>1.2081667000000001E-2</v>
      </c>
      <c r="H38" s="6"/>
    </row>
    <row r="39" spans="1:8" x14ac:dyDescent="0.2">
      <c r="A39" s="3">
        <v>33</v>
      </c>
      <c r="B39" s="4" t="s">
        <v>85</v>
      </c>
      <c r="C39" s="4" t="s">
        <v>86</v>
      </c>
      <c r="D39" s="4" t="s">
        <v>64</v>
      </c>
      <c r="E39" s="5">
        <v>44400</v>
      </c>
      <c r="F39" s="6">
        <v>694.83780000000002</v>
      </c>
      <c r="G39" s="7">
        <v>1.1139029E-2</v>
      </c>
      <c r="H39" s="6"/>
    </row>
    <row r="40" spans="1:8" x14ac:dyDescent="0.2">
      <c r="A40" s="3">
        <v>34</v>
      </c>
      <c r="B40" s="4" t="s">
        <v>87</v>
      </c>
      <c r="C40" s="4" t="s">
        <v>88</v>
      </c>
      <c r="D40" s="4" t="s">
        <v>940</v>
      </c>
      <c r="E40" s="5">
        <v>26495</v>
      </c>
      <c r="F40" s="6">
        <v>611.39862000000005</v>
      </c>
      <c r="G40" s="7">
        <v>9.8014049999999991E-3</v>
      </c>
      <c r="H40" s="6"/>
    </row>
    <row r="41" spans="1:8" x14ac:dyDescent="0.2">
      <c r="A41" s="3">
        <v>35</v>
      </c>
      <c r="B41" s="4" t="s">
        <v>89</v>
      </c>
      <c r="C41" s="4" t="s">
        <v>90</v>
      </c>
      <c r="D41" s="4" t="s">
        <v>91</v>
      </c>
      <c r="E41" s="5">
        <v>589999</v>
      </c>
      <c r="F41" s="6">
        <v>570.82403250000004</v>
      </c>
      <c r="G41" s="7">
        <v>9.1509490000000002E-3</v>
      </c>
      <c r="H41" s="6"/>
    </row>
    <row r="42" spans="1:8" x14ac:dyDescent="0.2">
      <c r="A42" s="3">
        <v>36</v>
      </c>
      <c r="B42" s="4" t="s">
        <v>92</v>
      </c>
      <c r="C42" s="4" t="s">
        <v>93</v>
      </c>
      <c r="D42" s="4" t="s">
        <v>923</v>
      </c>
      <c r="E42" s="5">
        <v>123800</v>
      </c>
      <c r="F42" s="6">
        <v>564.28039999999999</v>
      </c>
      <c r="G42" s="7">
        <v>9.0460469999999998E-3</v>
      </c>
      <c r="H42" s="6"/>
    </row>
    <row r="43" spans="1:8" x14ac:dyDescent="0.2">
      <c r="A43" s="3">
        <v>37</v>
      </c>
      <c r="B43" s="4" t="s">
        <v>94</v>
      </c>
      <c r="C43" s="4" t="s">
        <v>95</v>
      </c>
      <c r="D43" s="4" t="s">
        <v>64</v>
      </c>
      <c r="E43" s="5">
        <v>381592</v>
      </c>
      <c r="F43" s="6">
        <v>526.02457200000003</v>
      </c>
      <c r="G43" s="7">
        <v>8.4327640000000006E-3</v>
      </c>
      <c r="H43" s="6"/>
    </row>
    <row r="44" spans="1:8" x14ac:dyDescent="0.2">
      <c r="A44" s="3">
        <v>38</v>
      </c>
      <c r="B44" s="4" t="s">
        <v>96</v>
      </c>
      <c r="C44" s="4" t="s">
        <v>97</v>
      </c>
      <c r="D44" s="4" t="s">
        <v>21</v>
      </c>
      <c r="E44" s="5">
        <v>211063</v>
      </c>
      <c r="F44" s="6">
        <v>441.12166999999999</v>
      </c>
      <c r="G44" s="7">
        <v>7.0716750000000004E-3</v>
      </c>
      <c r="H44" s="6"/>
    </row>
    <row r="45" spans="1:8" x14ac:dyDescent="0.2">
      <c r="A45" s="3">
        <v>39</v>
      </c>
      <c r="B45" s="4" t="s">
        <v>98</v>
      </c>
      <c r="C45" s="4" t="s">
        <v>99</v>
      </c>
      <c r="D45" s="4" t="s">
        <v>923</v>
      </c>
      <c r="E45" s="5">
        <v>91065</v>
      </c>
      <c r="F45" s="6">
        <v>432.24002250000001</v>
      </c>
      <c r="G45" s="7">
        <v>6.9292920000000001E-3</v>
      </c>
      <c r="H45" s="6"/>
    </row>
    <row r="46" spans="1:8" x14ac:dyDescent="0.2">
      <c r="A46" s="3">
        <v>40</v>
      </c>
      <c r="B46" s="4" t="s">
        <v>100</v>
      </c>
      <c r="C46" s="4" t="s">
        <v>101</v>
      </c>
      <c r="D46" s="4" t="s">
        <v>57</v>
      </c>
      <c r="E46" s="5">
        <v>87973</v>
      </c>
      <c r="F46" s="6">
        <v>424.38175200000001</v>
      </c>
      <c r="G46" s="7">
        <v>6.8033149999999999E-3</v>
      </c>
      <c r="H46" s="6"/>
    </row>
    <row r="47" spans="1:8" x14ac:dyDescent="0.2">
      <c r="A47" s="3">
        <v>41</v>
      </c>
      <c r="B47" s="4" t="s">
        <v>102</v>
      </c>
      <c r="C47" s="4" t="s">
        <v>103</v>
      </c>
      <c r="D47" s="4" t="s">
        <v>57</v>
      </c>
      <c r="E47" s="5">
        <v>81311</v>
      </c>
      <c r="F47" s="6">
        <v>286.539964</v>
      </c>
      <c r="G47" s="7">
        <v>4.5935569999999998E-3</v>
      </c>
      <c r="H47" s="6"/>
    </row>
    <row r="48" spans="1:8" x14ac:dyDescent="0.2">
      <c r="A48" s="3">
        <v>42</v>
      </c>
      <c r="B48" s="4" t="s">
        <v>104</v>
      </c>
      <c r="C48" s="4" t="s">
        <v>105</v>
      </c>
      <c r="D48" s="4" t="s">
        <v>57</v>
      </c>
      <c r="E48" s="5">
        <v>98674</v>
      </c>
      <c r="F48" s="6">
        <v>258.47654299999999</v>
      </c>
      <c r="G48" s="7">
        <v>4.143669E-3</v>
      </c>
      <c r="H48" s="6"/>
    </row>
    <row r="49" spans="1:8" x14ac:dyDescent="0.2">
      <c r="A49" s="3">
        <v>43</v>
      </c>
      <c r="B49" s="4" t="s">
        <v>106</v>
      </c>
      <c r="C49" s="4" t="s">
        <v>107</v>
      </c>
      <c r="D49" s="4" t="s">
        <v>923</v>
      </c>
      <c r="E49" s="5">
        <v>339227</v>
      </c>
      <c r="F49" s="6">
        <v>257.47329300000001</v>
      </c>
      <c r="G49" s="7">
        <v>4.1275849999999996E-3</v>
      </c>
      <c r="H49" s="6"/>
    </row>
    <row r="50" spans="1:8" ht="14.1" customHeight="1" x14ac:dyDescent="0.2">
      <c r="A50" s="1"/>
      <c r="B50" s="1"/>
      <c r="C50" s="2" t="s">
        <v>111</v>
      </c>
      <c r="D50" s="1"/>
      <c r="E50" s="1" t="s">
        <v>112</v>
      </c>
      <c r="F50" s="9">
        <v>60247.963861188997</v>
      </c>
      <c r="G50" s="10">
        <v>0.96584239100000002</v>
      </c>
      <c r="H50" s="6"/>
    </row>
    <row r="51" spans="1:8" ht="14.1" customHeight="1" x14ac:dyDescent="0.2">
      <c r="A51" s="1"/>
      <c r="B51" s="1"/>
      <c r="C51" s="11"/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113</v>
      </c>
      <c r="D52" s="1"/>
      <c r="E52" s="1"/>
      <c r="F52" s="1"/>
      <c r="G52" s="1"/>
      <c r="H52" s="6"/>
    </row>
    <row r="53" spans="1:8" ht="14.1" customHeight="1" x14ac:dyDescent="0.2">
      <c r="A53" s="1"/>
      <c r="B53" s="1"/>
      <c r="C53" s="2" t="s">
        <v>111</v>
      </c>
      <c r="D53" s="1"/>
      <c r="E53" s="1" t="s">
        <v>112</v>
      </c>
      <c r="F53" s="13">
        <v>0</v>
      </c>
      <c r="G53" s="14">
        <v>0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114</v>
      </c>
      <c r="D55" s="1"/>
      <c r="E55" s="1"/>
      <c r="F55" s="1"/>
      <c r="G55" s="1"/>
      <c r="H55" s="6"/>
    </row>
    <row r="56" spans="1:8" ht="17.100000000000001" customHeight="1" x14ac:dyDescent="0.2">
      <c r="A56" s="3">
        <v>1</v>
      </c>
      <c r="B56" s="4" t="s">
        <v>108</v>
      </c>
      <c r="C56" s="4" t="s">
        <v>970</v>
      </c>
      <c r="D56" s="4" t="s">
        <v>109</v>
      </c>
      <c r="E56" s="5">
        <v>559425</v>
      </c>
      <c r="F56" s="6">
        <v>1.1189000000000001E-5</v>
      </c>
      <c r="G56" s="8" t="s">
        <v>110</v>
      </c>
      <c r="H56" s="6"/>
    </row>
    <row r="57" spans="1:8" ht="14.1" customHeight="1" x14ac:dyDescent="0.2">
      <c r="A57" s="1"/>
      <c r="B57" s="1"/>
      <c r="C57" s="2" t="s">
        <v>111</v>
      </c>
      <c r="D57" s="1"/>
      <c r="E57" s="1" t="s">
        <v>112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115</v>
      </c>
      <c r="D59" s="1"/>
      <c r="E59" s="1"/>
      <c r="F59" s="1"/>
      <c r="G59" s="1"/>
      <c r="H59" s="6"/>
    </row>
    <row r="60" spans="1:8" ht="14.1" customHeight="1" x14ac:dyDescent="0.2">
      <c r="A60" s="1"/>
      <c r="B60" s="1"/>
      <c r="C60" s="2" t="s">
        <v>111</v>
      </c>
      <c r="D60" s="1"/>
      <c r="E60" s="1" t="s">
        <v>112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116</v>
      </c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111</v>
      </c>
      <c r="D63" s="1"/>
      <c r="E63" s="1" t="s">
        <v>112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117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8" customHeight="1" x14ac:dyDescent="0.2">
      <c r="A68" s="1"/>
      <c r="B68" s="1"/>
      <c r="C68" s="2" t="s">
        <v>118</v>
      </c>
      <c r="D68" s="1"/>
      <c r="E68" s="1"/>
      <c r="F68" s="9">
        <v>60247.963861188997</v>
      </c>
      <c r="G68" s="10">
        <v>0.96584239100000002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119</v>
      </c>
      <c r="D70" s="1"/>
      <c r="E70" s="1"/>
      <c r="F70" s="12"/>
      <c r="G70" s="12"/>
      <c r="H70" s="6"/>
    </row>
    <row r="71" spans="1:8" ht="24" customHeight="1" x14ac:dyDescent="0.2">
      <c r="A71" s="1"/>
      <c r="B71" s="1"/>
      <c r="C71" s="2" t="s">
        <v>10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120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121</v>
      </c>
      <c r="D77" s="1"/>
      <c r="E77" s="1"/>
      <c r="F77" s="1"/>
      <c r="G77" s="1"/>
      <c r="H77" s="6"/>
    </row>
    <row r="78" spans="1:8" ht="14.1" customHeight="1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122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123</v>
      </c>
      <c r="D83" s="1"/>
      <c r="E83" s="1"/>
      <c r="F83" s="9">
        <v>0</v>
      </c>
      <c r="G83" s="10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124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125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126</v>
      </c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127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128</v>
      </c>
      <c r="D95" s="1"/>
      <c r="E95" s="1"/>
      <c r="F95" s="12"/>
      <c r="G95" s="12"/>
      <c r="H95" s="6"/>
    </row>
    <row r="96" spans="1:8" ht="17.100000000000001" customHeight="1" x14ac:dyDescent="0.2">
      <c r="A96" s="3">
        <v>1</v>
      </c>
      <c r="B96" s="4"/>
      <c r="C96" s="4" t="s">
        <v>129</v>
      </c>
      <c r="D96" s="4"/>
      <c r="E96" s="8"/>
      <c r="F96" s="6">
        <v>1305.6396890999999</v>
      </c>
      <c r="G96" s="7">
        <v>2.0930867999999998E-2</v>
      </c>
      <c r="H96" s="6">
        <v>3.9343919198424624</v>
      </c>
    </row>
    <row r="97" spans="1:8" ht="17.100000000000001" customHeight="1" x14ac:dyDescent="0.2">
      <c r="A97" s="3">
        <v>2</v>
      </c>
      <c r="B97" s="4"/>
      <c r="C97" s="4" t="s">
        <v>130</v>
      </c>
      <c r="D97" s="4"/>
      <c r="E97" s="8"/>
      <c r="F97" s="6">
        <v>85.753811499999998</v>
      </c>
      <c r="G97" s="7">
        <v>1.37473E-3</v>
      </c>
      <c r="H97" s="6">
        <v>3.8</v>
      </c>
    </row>
    <row r="98" spans="1:8" ht="14.1" customHeight="1" x14ac:dyDescent="0.2">
      <c r="A98" s="1"/>
      <c r="B98" s="1"/>
      <c r="C98" s="2" t="s">
        <v>111</v>
      </c>
      <c r="D98" s="1"/>
      <c r="E98" s="1" t="s">
        <v>112</v>
      </c>
      <c r="F98" s="9">
        <v>1391.3935005999999</v>
      </c>
      <c r="G98" s="10">
        <v>2.2305597999999999E-2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131</v>
      </c>
      <c r="D100" s="1"/>
      <c r="E100" s="1"/>
      <c r="F100" s="9">
        <v>1391.3935005999999</v>
      </c>
      <c r="G100" s="10">
        <v>2.2305597999999999E-2</v>
      </c>
      <c r="H100" s="6"/>
    </row>
    <row r="101" spans="1:8" ht="14.1" customHeight="1" x14ac:dyDescent="0.2">
      <c r="A101" s="1"/>
      <c r="B101" s="1"/>
      <c r="C101" s="12"/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132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133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134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135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24" customHeight="1" x14ac:dyDescent="0.2">
      <c r="A111" s="1"/>
      <c r="B111" s="1"/>
      <c r="C111" s="2" t="s">
        <v>136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6"/>
    </row>
    <row r="113" spans="1:15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15" ht="14.1" customHeight="1" x14ac:dyDescent="0.2">
      <c r="A114" s="1"/>
      <c r="B114" s="4"/>
      <c r="C114" s="4"/>
      <c r="D114" s="2"/>
      <c r="E114" s="1"/>
      <c r="F114" s="4"/>
      <c r="G114" s="8"/>
      <c r="H114" s="6"/>
    </row>
    <row r="115" spans="1:15" ht="18" customHeight="1" x14ac:dyDescent="0.2">
      <c r="A115" s="8"/>
      <c r="B115" s="4"/>
      <c r="C115" s="4" t="s">
        <v>137</v>
      </c>
      <c r="D115" s="4"/>
      <c r="E115" s="8"/>
      <c r="F115" s="6">
        <v>739.31264848000001</v>
      </c>
      <c r="G115" s="7">
        <v>1.185201E-2</v>
      </c>
      <c r="H115" s="6"/>
    </row>
    <row r="116" spans="1:15" ht="14.1" customHeight="1" x14ac:dyDescent="0.2">
      <c r="A116" s="11"/>
      <c r="B116" s="11"/>
      <c r="C116" s="2" t="s">
        <v>138</v>
      </c>
      <c r="D116" s="15"/>
      <c r="E116" s="15"/>
      <c r="F116" s="9">
        <v>62378.670010268994</v>
      </c>
      <c r="G116" s="10">
        <v>0.99999999900000003</v>
      </c>
      <c r="H116" s="6"/>
    </row>
    <row r="117" spans="1:15" ht="14.1" customHeight="1" x14ac:dyDescent="0.2">
      <c r="A117" s="16"/>
      <c r="B117" s="16"/>
      <c r="C117" s="16"/>
      <c r="D117" s="17"/>
      <c r="E117" s="17"/>
      <c r="F117" s="17"/>
      <c r="G117" s="17"/>
    </row>
    <row r="118" spans="1:15" ht="17.100000000000001" customHeight="1" x14ac:dyDescent="0.2">
      <c r="A118" s="18"/>
      <c r="B118" s="297" t="s">
        <v>139</v>
      </c>
      <c r="C118" s="297"/>
      <c r="D118" s="297"/>
      <c r="E118" s="297"/>
      <c r="F118" s="297"/>
      <c r="G118" s="20"/>
    </row>
    <row r="119" spans="1:15" ht="14.1" customHeight="1" x14ac:dyDescent="0.2">
      <c r="A119" s="18"/>
      <c r="B119" s="18"/>
      <c r="C119" s="18"/>
      <c r="D119" s="20"/>
      <c r="E119" s="20"/>
      <c r="F119" s="20"/>
      <c r="G119" s="20"/>
    </row>
    <row r="120" spans="1:15" ht="14.1" customHeight="1" x14ac:dyDescent="0.2">
      <c r="A120" s="18"/>
      <c r="B120" s="294" t="s">
        <v>140</v>
      </c>
      <c r="C120" s="295"/>
      <c r="D120" s="12" t="s">
        <v>112</v>
      </c>
      <c r="E120" s="21"/>
      <c r="F120" s="20"/>
      <c r="G120" s="20"/>
    </row>
    <row r="121" spans="1:15" ht="29.1" customHeight="1" x14ac:dyDescent="0.2">
      <c r="A121" s="18"/>
      <c r="B121" s="288" t="s">
        <v>141</v>
      </c>
      <c r="C121" s="289"/>
      <c r="D121" s="2" t="s">
        <v>142</v>
      </c>
      <c r="E121" s="21"/>
      <c r="F121" s="20"/>
      <c r="G121" s="20"/>
    </row>
    <row r="122" spans="1:15" ht="17.100000000000001" customHeight="1" x14ac:dyDescent="0.2">
      <c r="A122" s="18"/>
      <c r="B122" s="288" t="s">
        <v>971</v>
      </c>
      <c r="C122" s="289"/>
      <c r="D122" s="67" t="s">
        <v>969</v>
      </c>
      <c r="E122" s="21"/>
      <c r="F122" s="20"/>
      <c r="G122" s="20"/>
    </row>
    <row r="123" spans="1:15" ht="17.100000000000001" customHeight="1" x14ac:dyDescent="0.2">
      <c r="A123" s="18"/>
      <c r="B123" s="288" t="s">
        <v>144</v>
      </c>
      <c r="C123" s="289"/>
      <c r="D123" s="12" t="s">
        <v>112</v>
      </c>
      <c r="E123" s="21"/>
      <c r="F123" s="20"/>
      <c r="G123" s="20"/>
    </row>
    <row r="124" spans="1:15" ht="24" customHeight="1" x14ac:dyDescent="0.2">
      <c r="A124" s="22"/>
      <c r="B124" s="23" t="s">
        <v>112</v>
      </c>
      <c r="C124" s="23" t="s">
        <v>145</v>
      </c>
      <c r="D124" s="23" t="s">
        <v>146</v>
      </c>
      <c r="E124" s="22"/>
      <c r="F124" s="22"/>
      <c r="G124" s="22"/>
    </row>
    <row r="125" spans="1:15" ht="18" customHeight="1" x14ac:dyDescent="0.2">
      <c r="A125" s="22"/>
      <c r="B125" s="23" t="s">
        <v>147</v>
      </c>
      <c r="C125" s="23" t="s">
        <v>148</v>
      </c>
      <c r="D125" s="23" t="s">
        <v>149</v>
      </c>
      <c r="E125" s="22"/>
      <c r="F125" s="22"/>
      <c r="G125" s="22"/>
    </row>
    <row r="126" spans="1:15" ht="17.100000000000001" customHeight="1" x14ac:dyDescent="0.2">
      <c r="A126" s="22"/>
      <c r="B126" s="4" t="s">
        <v>150</v>
      </c>
      <c r="C126" s="24">
        <v>52.3262</v>
      </c>
      <c r="D126" s="24">
        <v>53.485100000000003</v>
      </c>
      <c r="E126" s="22"/>
      <c r="F126" s="19"/>
      <c r="G126" s="25"/>
    </row>
    <row r="127" spans="1:15" ht="17.100000000000001" customHeight="1" x14ac:dyDescent="0.2">
      <c r="A127" s="22"/>
      <c r="B127" s="4" t="s">
        <v>1114</v>
      </c>
      <c r="C127" s="24">
        <v>40.371299999999998</v>
      </c>
      <c r="D127" s="24">
        <v>41.2654</v>
      </c>
      <c r="E127" s="22"/>
      <c r="F127" s="19"/>
      <c r="G127" s="25"/>
    </row>
    <row r="128" spans="1:15" ht="17.100000000000001" customHeight="1" x14ac:dyDescent="0.2">
      <c r="A128" s="22"/>
      <c r="B128" s="4" t="s">
        <v>151</v>
      </c>
      <c r="C128" s="24">
        <v>49.8827</v>
      </c>
      <c r="D128" s="24">
        <v>50.9664</v>
      </c>
      <c r="E128" s="22"/>
      <c r="F128" s="19"/>
      <c r="G128" s="25"/>
      <c r="J128" s="66"/>
      <c r="K128" s="66"/>
      <c r="L128" s="66"/>
      <c r="M128" s="66"/>
      <c r="N128" s="66"/>
      <c r="O128" s="66"/>
    </row>
    <row r="129" spans="1:7" ht="17.100000000000001" customHeight="1" x14ac:dyDescent="0.2">
      <c r="A129" s="22"/>
      <c r="B129" s="4" t="s">
        <v>1115</v>
      </c>
      <c r="C129" s="24">
        <v>38.291499999999999</v>
      </c>
      <c r="D129" s="24">
        <v>39.1235</v>
      </c>
      <c r="E129" s="22"/>
      <c r="F129" s="19"/>
      <c r="G129" s="25"/>
    </row>
    <row r="130" spans="1:7" ht="14.1" customHeight="1" x14ac:dyDescent="0.2">
      <c r="A130" s="22"/>
      <c r="B130" s="22"/>
      <c r="C130" s="22"/>
      <c r="D130" s="22"/>
      <c r="E130" s="22"/>
      <c r="F130" s="22"/>
      <c r="G130" s="22"/>
    </row>
    <row r="131" spans="1:7" ht="17.100000000000001" customHeight="1" x14ac:dyDescent="0.2">
      <c r="A131" s="22"/>
      <c r="B131" s="288" t="s">
        <v>1116</v>
      </c>
      <c r="C131" s="289"/>
      <c r="D131" s="2" t="s">
        <v>142</v>
      </c>
      <c r="E131" s="22"/>
      <c r="F131" s="22"/>
      <c r="G131" s="22"/>
    </row>
    <row r="132" spans="1:7" ht="14.1" customHeight="1" x14ac:dyDescent="0.2">
      <c r="A132" s="22"/>
      <c r="B132" s="19"/>
      <c r="C132" s="19"/>
      <c r="D132" s="22"/>
      <c r="E132" s="22"/>
      <c r="F132" s="22"/>
      <c r="G132" s="22"/>
    </row>
    <row r="133" spans="1:7" ht="29.1" customHeight="1" x14ac:dyDescent="0.2">
      <c r="A133" s="22"/>
      <c r="B133" s="288" t="s">
        <v>153</v>
      </c>
      <c r="C133" s="289"/>
      <c r="D133" s="2" t="s">
        <v>142</v>
      </c>
      <c r="E133" s="22"/>
      <c r="F133" s="22"/>
      <c r="G133" s="22"/>
    </row>
    <row r="134" spans="1:7" ht="29.1" customHeight="1" x14ac:dyDescent="0.2">
      <c r="A134" s="22"/>
      <c r="B134" s="288" t="s">
        <v>154</v>
      </c>
      <c r="C134" s="289"/>
      <c r="D134" s="2" t="s">
        <v>142</v>
      </c>
      <c r="E134" s="22"/>
      <c r="F134" s="22"/>
      <c r="G134" s="22"/>
    </row>
    <row r="135" spans="1:7" ht="17.100000000000001" customHeight="1" x14ac:dyDescent="0.2">
      <c r="A135" s="22"/>
      <c r="B135" s="288" t="s">
        <v>155</v>
      </c>
      <c r="C135" s="289"/>
      <c r="D135" s="26">
        <v>0.38854441123760891</v>
      </c>
      <c r="E135" s="22"/>
      <c r="F135" s="19"/>
      <c r="G135" s="25"/>
    </row>
    <row r="136" spans="1:7" ht="17.100000000000001" customHeight="1" x14ac:dyDescent="0.2">
      <c r="A136" s="22"/>
      <c r="B136" s="288" t="s">
        <v>156</v>
      </c>
      <c r="C136" s="289"/>
      <c r="D136" s="2" t="s">
        <v>142</v>
      </c>
      <c r="E136" s="22"/>
      <c r="F136" s="22"/>
      <c r="G136" s="22"/>
    </row>
  </sheetData>
  <mergeCells count="14">
    <mergeCell ref="A1:H1"/>
    <mergeCell ref="A2:H2"/>
    <mergeCell ref="A3:H3"/>
    <mergeCell ref="B120:C120"/>
    <mergeCell ref="J2:N2"/>
    <mergeCell ref="B118:F118"/>
    <mergeCell ref="B135:C135"/>
    <mergeCell ref="B136:C136"/>
    <mergeCell ref="B121:C121"/>
    <mergeCell ref="B122:C122"/>
    <mergeCell ref="B123:C123"/>
    <mergeCell ref="B131:C131"/>
    <mergeCell ref="B133:C133"/>
    <mergeCell ref="B134:C13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157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25.5" x14ac:dyDescent="0.2">
      <c r="A7" s="3">
        <v>1</v>
      </c>
      <c r="B7" s="4" t="s">
        <v>158</v>
      </c>
      <c r="C7" s="4" t="s">
        <v>159</v>
      </c>
      <c r="D7" s="4" t="s">
        <v>941</v>
      </c>
      <c r="E7" s="5">
        <v>25190</v>
      </c>
      <c r="F7" s="6">
        <v>178.60969499999999</v>
      </c>
      <c r="G7" s="7">
        <v>8.4237630000000008E-3</v>
      </c>
      <c r="H7" s="6"/>
    </row>
    <row r="8" spans="1:14" x14ac:dyDescent="0.2">
      <c r="A8" s="3">
        <v>2</v>
      </c>
      <c r="B8" s="4" t="s">
        <v>160</v>
      </c>
      <c r="C8" s="4" t="s">
        <v>161</v>
      </c>
      <c r="D8" s="4" t="s">
        <v>942</v>
      </c>
      <c r="E8" s="5">
        <v>12021</v>
      </c>
      <c r="F8" s="6">
        <v>146.8665675</v>
      </c>
      <c r="G8" s="7">
        <v>6.9266629999999996E-3</v>
      </c>
      <c r="H8" s="6"/>
    </row>
    <row r="9" spans="1:14" ht="25.5" x14ac:dyDescent="0.2">
      <c r="A9" s="3">
        <v>3</v>
      </c>
      <c r="B9" s="4" t="s">
        <v>42</v>
      </c>
      <c r="C9" s="4" t="s">
        <v>43</v>
      </c>
      <c r="D9" s="4" t="s">
        <v>935</v>
      </c>
      <c r="E9" s="5">
        <v>5344</v>
      </c>
      <c r="F9" s="6">
        <v>141.46102400000001</v>
      </c>
      <c r="G9" s="7">
        <v>6.6717219999999997E-3</v>
      </c>
      <c r="H9" s="6"/>
    </row>
    <row r="10" spans="1:14" ht="25.5" x14ac:dyDescent="0.2">
      <c r="A10" s="3">
        <v>4</v>
      </c>
      <c r="B10" s="4" t="s">
        <v>162</v>
      </c>
      <c r="C10" s="4" t="s">
        <v>163</v>
      </c>
      <c r="D10" s="4" t="s">
        <v>943</v>
      </c>
      <c r="E10" s="5">
        <v>102859</v>
      </c>
      <c r="F10" s="6">
        <v>105.7904815</v>
      </c>
      <c r="G10" s="7">
        <v>4.989393E-3</v>
      </c>
      <c r="H10" s="6"/>
    </row>
    <row r="11" spans="1:14" x14ac:dyDescent="0.2">
      <c r="A11" s="3">
        <v>5</v>
      </c>
      <c r="B11" s="4" t="s">
        <v>164</v>
      </c>
      <c r="C11" s="4" t="s">
        <v>165</v>
      </c>
      <c r="D11" s="4" t="s">
        <v>944</v>
      </c>
      <c r="E11" s="5">
        <v>21332</v>
      </c>
      <c r="F11" s="6">
        <v>101.678978</v>
      </c>
      <c r="G11" s="7">
        <v>4.7954820000000002E-3</v>
      </c>
      <c r="H11" s="6"/>
    </row>
    <row r="12" spans="1:14" x14ac:dyDescent="0.2">
      <c r="A12" s="3">
        <v>6</v>
      </c>
      <c r="B12" s="4" t="s">
        <v>166</v>
      </c>
      <c r="C12" s="4" t="s">
        <v>167</v>
      </c>
      <c r="D12" s="4" t="s">
        <v>82</v>
      </c>
      <c r="E12" s="5">
        <v>89480</v>
      </c>
      <c r="F12" s="6">
        <v>99.859679999999997</v>
      </c>
      <c r="G12" s="7">
        <v>4.7096789999999996E-3</v>
      </c>
      <c r="H12" s="6"/>
    </row>
    <row r="13" spans="1:14" ht="15" x14ac:dyDescent="0.2">
      <c r="A13" s="3">
        <v>7</v>
      </c>
      <c r="B13" s="4" t="s">
        <v>168</v>
      </c>
      <c r="C13" s="4" t="s">
        <v>169</v>
      </c>
      <c r="D13" s="4" t="s">
        <v>944</v>
      </c>
      <c r="E13" s="5">
        <v>7271</v>
      </c>
      <c r="F13" s="6">
        <v>96.5188895</v>
      </c>
      <c r="G13" s="7">
        <v>4.5521169999999996E-3</v>
      </c>
      <c r="H13" s="6"/>
      <c r="J13" s="192" t="s">
        <v>1141</v>
      </c>
    </row>
    <row r="14" spans="1:14" ht="25.5" x14ac:dyDescent="0.2">
      <c r="A14" s="3">
        <v>8</v>
      </c>
      <c r="B14" s="4" t="s">
        <v>170</v>
      </c>
      <c r="C14" s="4" t="s">
        <v>171</v>
      </c>
      <c r="D14" s="4" t="s">
        <v>945</v>
      </c>
      <c r="E14" s="5">
        <v>22461</v>
      </c>
      <c r="F14" s="6">
        <v>85.441643999999997</v>
      </c>
      <c r="G14" s="7">
        <v>4.0296810000000002E-3</v>
      </c>
      <c r="H14" s="6"/>
    </row>
    <row r="15" spans="1:14" ht="25.5" x14ac:dyDescent="0.2">
      <c r="A15" s="3">
        <v>9</v>
      </c>
      <c r="B15" s="4" t="s">
        <v>172</v>
      </c>
      <c r="C15" s="4" t="s">
        <v>173</v>
      </c>
      <c r="D15" s="4" t="s">
        <v>71</v>
      </c>
      <c r="E15" s="5">
        <v>3995</v>
      </c>
      <c r="F15" s="6">
        <v>78.6036225</v>
      </c>
      <c r="G15" s="7">
        <v>3.70718E-3</v>
      </c>
      <c r="H15" s="6"/>
    </row>
    <row r="16" spans="1:14" x14ac:dyDescent="0.2">
      <c r="A16" s="3">
        <v>10</v>
      </c>
      <c r="B16" s="4" t="s">
        <v>174</v>
      </c>
      <c r="C16" s="4" t="s">
        <v>175</v>
      </c>
      <c r="D16" s="4" t="s">
        <v>71</v>
      </c>
      <c r="E16" s="5">
        <v>11841</v>
      </c>
      <c r="F16" s="6">
        <v>75.154826999999997</v>
      </c>
      <c r="G16" s="7">
        <v>3.5445250000000002E-3</v>
      </c>
      <c r="H16" s="6"/>
    </row>
    <row r="17" spans="1:8" x14ac:dyDescent="0.2">
      <c r="A17" s="3">
        <v>11</v>
      </c>
      <c r="B17" s="4" t="s">
        <v>176</v>
      </c>
      <c r="C17" s="4" t="s">
        <v>177</v>
      </c>
      <c r="D17" s="4" t="s">
        <v>944</v>
      </c>
      <c r="E17" s="5">
        <v>68432</v>
      </c>
      <c r="F17" s="6">
        <v>69.458479999999994</v>
      </c>
      <c r="G17" s="7">
        <v>3.2758679999999999E-3</v>
      </c>
      <c r="H17" s="6"/>
    </row>
    <row r="18" spans="1:8" x14ac:dyDescent="0.2">
      <c r="A18" s="3">
        <v>12</v>
      </c>
      <c r="B18" s="4" t="s">
        <v>178</v>
      </c>
      <c r="C18" s="4" t="s">
        <v>179</v>
      </c>
      <c r="D18" s="4" t="s">
        <v>934</v>
      </c>
      <c r="E18" s="5">
        <v>3861</v>
      </c>
      <c r="F18" s="6">
        <v>55.220022</v>
      </c>
      <c r="G18" s="7">
        <v>2.6043400000000001E-3</v>
      </c>
      <c r="H18" s="6"/>
    </row>
    <row r="19" spans="1:8" ht="25.5" x14ac:dyDescent="0.2">
      <c r="A19" s="3">
        <v>13</v>
      </c>
      <c r="B19" s="4" t="s">
        <v>180</v>
      </c>
      <c r="C19" s="4" t="s">
        <v>181</v>
      </c>
      <c r="D19" s="4" t="s">
        <v>941</v>
      </c>
      <c r="E19" s="5">
        <v>10339</v>
      </c>
      <c r="F19" s="6">
        <v>52.413560500000003</v>
      </c>
      <c r="G19" s="7">
        <v>2.471979E-3</v>
      </c>
      <c r="H19" s="6"/>
    </row>
    <row r="20" spans="1:8" x14ac:dyDescent="0.2">
      <c r="A20" s="3">
        <v>14</v>
      </c>
      <c r="B20" s="4" t="s">
        <v>182</v>
      </c>
      <c r="C20" s="4" t="s">
        <v>183</v>
      </c>
      <c r="D20" s="4" t="s">
        <v>944</v>
      </c>
      <c r="E20" s="5">
        <v>29333</v>
      </c>
      <c r="F20" s="6">
        <v>49.763434500000002</v>
      </c>
      <c r="G20" s="7">
        <v>2.3469910000000001E-3</v>
      </c>
      <c r="H20" s="6"/>
    </row>
    <row r="21" spans="1:8" ht="25.5" x14ac:dyDescent="0.2">
      <c r="A21" s="3">
        <v>15</v>
      </c>
      <c r="B21" s="4" t="s">
        <v>184</v>
      </c>
      <c r="C21" s="4" t="s">
        <v>185</v>
      </c>
      <c r="D21" s="4" t="s">
        <v>935</v>
      </c>
      <c r="E21" s="5">
        <v>20866</v>
      </c>
      <c r="F21" s="6">
        <v>42.044989999999999</v>
      </c>
      <c r="G21" s="7">
        <v>1.9829660000000001E-3</v>
      </c>
      <c r="H21" s="6"/>
    </row>
    <row r="22" spans="1:8" ht="25.5" x14ac:dyDescent="0.2">
      <c r="A22" s="3">
        <v>16</v>
      </c>
      <c r="B22" s="4" t="s">
        <v>186</v>
      </c>
      <c r="C22" s="4" t="s">
        <v>187</v>
      </c>
      <c r="D22" s="4" t="s">
        <v>946</v>
      </c>
      <c r="E22" s="5">
        <v>3355</v>
      </c>
      <c r="F22" s="6">
        <v>31.8540475</v>
      </c>
      <c r="G22" s="7">
        <v>1.502331E-3</v>
      </c>
      <c r="H22" s="6"/>
    </row>
    <row r="23" spans="1:8" ht="25.5" x14ac:dyDescent="0.2">
      <c r="A23" s="3">
        <v>17</v>
      </c>
      <c r="B23" s="4" t="s">
        <v>188</v>
      </c>
      <c r="C23" s="4" t="s">
        <v>189</v>
      </c>
      <c r="D23" s="4" t="s">
        <v>945</v>
      </c>
      <c r="E23" s="5">
        <v>223</v>
      </c>
      <c r="F23" s="6">
        <v>9.8941754999999993</v>
      </c>
      <c r="G23" s="7">
        <v>4.6663899999999998E-4</v>
      </c>
      <c r="H23" s="6"/>
    </row>
    <row r="24" spans="1:8" ht="14.1" customHeight="1" x14ac:dyDescent="0.2">
      <c r="A24" s="1"/>
      <c r="B24" s="1"/>
      <c r="C24" s="2" t="s">
        <v>111</v>
      </c>
      <c r="D24" s="1"/>
      <c r="E24" s="1" t="s">
        <v>112</v>
      </c>
      <c r="F24" s="9">
        <v>1420.6341190000001</v>
      </c>
      <c r="G24" s="10">
        <v>6.7001319000000004E-2</v>
      </c>
      <c r="H24" s="6"/>
    </row>
    <row r="25" spans="1:8" ht="14.1" customHeight="1" x14ac:dyDescent="0.2">
      <c r="A25" s="1"/>
      <c r="B25" s="1"/>
      <c r="C25" s="11"/>
      <c r="D25" s="1"/>
      <c r="E25" s="1"/>
      <c r="F25" s="12"/>
      <c r="G25" s="12"/>
      <c r="H25" s="6"/>
    </row>
    <row r="26" spans="1:8" ht="14.1" customHeight="1" x14ac:dyDescent="0.2">
      <c r="A26" s="1"/>
      <c r="B26" s="1"/>
      <c r="C26" s="2" t="s">
        <v>113</v>
      </c>
      <c r="D26" s="1"/>
      <c r="E26" s="1"/>
      <c r="F26" s="1"/>
      <c r="G26" s="1"/>
      <c r="H26" s="6"/>
    </row>
    <row r="27" spans="1:8" ht="14.1" customHeight="1" x14ac:dyDescent="0.2">
      <c r="A27" s="1"/>
      <c r="B27" s="1"/>
      <c r="C27" s="2" t="s">
        <v>111</v>
      </c>
      <c r="D27" s="1"/>
      <c r="E27" s="1" t="s">
        <v>112</v>
      </c>
      <c r="F27" s="13">
        <v>0</v>
      </c>
      <c r="G27" s="14">
        <v>0</v>
      </c>
      <c r="H27" s="6"/>
    </row>
    <row r="28" spans="1:8" ht="14.1" customHeight="1" x14ac:dyDescent="0.2">
      <c r="A28" s="1"/>
      <c r="B28" s="1"/>
      <c r="C28" s="11"/>
      <c r="D28" s="1"/>
      <c r="E28" s="1"/>
      <c r="F28" s="12"/>
      <c r="G28" s="12"/>
      <c r="H28" s="6"/>
    </row>
    <row r="29" spans="1:8" ht="14.1" customHeight="1" x14ac:dyDescent="0.2">
      <c r="A29" s="1"/>
      <c r="B29" s="1"/>
      <c r="C29" s="2" t="s">
        <v>114</v>
      </c>
      <c r="D29" s="1"/>
      <c r="E29" s="1"/>
      <c r="F29" s="1"/>
      <c r="G29" s="1"/>
      <c r="H29" s="6"/>
    </row>
    <row r="30" spans="1:8" ht="14.1" customHeight="1" x14ac:dyDescent="0.2">
      <c r="A30" s="1"/>
      <c r="B30" s="1"/>
      <c r="C30" s="2" t="s">
        <v>111</v>
      </c>
      <c r="D30" s="1"/>
      <c r="E30" s="1" t="s">
        <v>112</v>
      </c>
      <c r="F30" s="13">
        <v>0</v>
      </c>
      <c r="G30" s="14">
        <v>0</v>
      </c>
      <c r="H30" s="6"/>
    </row>
    <row r="31" spans="1:8" ht="14.1" customHeight="1" x14ac:dyDescent="0.2">
      <c r="A31" s="1"/>
      <c r="B31" s="1"/>
      <c r="C31" s="11"/>
      <c r="D31" s="1"/>
      <c r="E31" s="1"/>
      <c r="F31" s="12"/>
      <c r="G31" s="12"/>
      <c r="H31" s="6"/>
    </row>
    <row r="32" spans="1:8" ht="14.1" customHeight="1" x14ac:dyDescent="0.2">
      <c r="A32" s="1"/>
      <c r="B32" s="1"/>
      <c r="C32" s="2" t="s">
        <v>115</v>
      </c>
      <c r="D32" s="1"/>
      <c r="E32" s="1"/>
      <c r="F32" s="1"/>
      <c r="G32" s="1"/>
      <c r="H32" s="6"/>
    </row>
    <row r="33" spans="1:8" ht="14.1" customHeight="1" x14ac:dyDescent="0.2">
      <c r="A33" s="1"/>
      <c r="B33" s="1"/>
      <c r="C33" s="2" t="s">
        <v>111</v>
      </c>
      <c r="D33" s="1"/>
      <c r="E33" s="1" t="s">
        <v>112</v>
      </c>
      <c r="F33" s="13">
        <v>0</v>
      </c>
      <c r="G33" s="14">
        <v>0</v>
      </c>
      <c r="H33" s="6"/>
    </row>
    <row r="34" spans="1:8" ht="14.1" customHeight="1" x14ac:dyDescent="0.2">
      <c r="A34" s="1"/>
      <c r="B34" s="1"/>
      <c r="C34" s="11"/>
      <c r="D34" s="1"/>
      <c r="E34" s="1"/>
      <c r="F34" s="12"/>
      <c r="G34" s="12"/>
      <c r="H34" s="6"/>
    </row>
    <row r="35" spans="1:8" ht="14.1" customHeight="1" x14ac:dyDescent="0.2">
      <c r="A35" s="1"/>
      <c r="B35" s="1"/>
      <c r="C35" s="2" t="s">
        <v>116</v>
      </c>
      <c r="D35" s="1"/>
      <c r="E35" s="1"/>
      <c r="F35" s="12"/>
      <c r="G35" s="12"/>
      <c r="H35" s="6"/>
    </row>
    <row r="36" spans="1:8" ht="14.1" customHeight="1" x14ac:dyDescent="0.2">
      <c r="A36" s="1"/>
      <c r="B36" s="1"/>
      <c r="C36" s="2" t="s">
        <v>111</v>
      </c>
      <c r="D36" s="1"/>
      <c r="E36" s="1" t="s">
        <v>112</v>
      </c>
      <c r="F36" s="13">
        <v>0</v>
      </c>
      <c r="G36" s="14">
        <v>0</v>
      </c>
      <c r="H36" s="6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6"/>
    </row>
    <row r="38" spans="1:8" ht="14.1" customHeight="1" x14ac:dyDescent="0.2">
      <c r="A38" s="1"/>
      <c r="B38" s="1"/>
      <c r="C38" s="2" t="s">
        <v>117</v>
      </c>
      <c r="D38" s="1"/>
      <c r="E38" s="1"/>
      <c r="F38" s="12"/>
      <c r="G38" s="12"/>
      <c r="H38" s="6"/>
    </row>
    <row r="39" spans="1:8" ht="14.1" customHeight="1" x14ac:dyDescent="0.2">
      <c r="A39" s="1"/>
      <c r="B39" s="1"/>
      <c r="C39" s="2" t="s">
        <v>111</v>
      </c>
      <c r="D39" s="1"/>
      <c r="E39" s="1" t="s">
        <v>112</v>
      </c>
      <c r="F39" s="13">
        <v>0</v>
      </c>
      <c r="G39" s="14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8" customHeight="1" x14ac:dyDescent="0.2">
      <c r="A41" s="1"/>
      <c r="B41" s="1"/>
      <c r="C41" s="2" t="s">
        <v>118</v>
      </c>
      <c r="D41" s="1"/>
      <c r="E41" s="1"/>
      <c r="F41" s="9">
        <v>1420.6341190000001</v>
      </c>
      <c r="G41" s="10">
        <v>6.7001319000000004E-2</v>
      </c>
      <c r="H41" s="6"/>
    </row>
    <row r="42" spans="1:8" ht="14.1" customHeight="1" x14ac:dyDescent="0.2">
      <c r="A42" s="1"/>
      <c r="B42" s="1"/>
      <c r="C42" s="11"/>
      <c r="D42" s="1"/>
      <c r="E42" s="1"/>
      <c r="F42" s="12"/>
      <c r="G42" s="12"/>
      <c r="H42" s="6"/>
    </row>
    <row r="43" spans="1:8" ht="14.1" customHeight="1" x14ac:dyDescent="0.2">
      <c r="A43" s="1"/>
      <c r="B43" s="1"/>
      <c r="C43" s="2" t="s">
        <v>119</v>
      </c>
      <c r="D43" s="1"/>
      <c r="E43" s="1"/>
      <c r="F43" s="12"/>
      <c r="G43" s="12"/>
      <c r="H43" s="6"/>
    </row>
    <row r="44" spans="1:8" ht="24" customHeight="1" x14ac:dyDescent="0.2">
      <c r="A44" s="1"/>
      <c r="B44" s="1"/>
      <c r="C44" s="2" t="s">
        <v>10</v>
      </c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111</v>
      </c>
      <c r="D45" s="1"/>
      <c r="E45" s="1" t="s">
        <v>112</v>
      </c>
      <c r="F45" s="13">
        <v>0</v>
      </c>
      <c r="G45" s="14">
        <v>0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120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111</v>
      </c>
      <c r="D48" s="1"/>
      <c r="E48" s="1" t="s">
        <v>112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121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111</v>
      </c>
      <c r="D51" s="1"/>
      <c r="E51" s="1" t="s">
        <v>112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122</v>
      </c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111</v>
      </c>
      <c r="D54" s="1"/>
      <c r="E54" s="1" t="s">
        <v>112</v>
      </c>
      <c r="F54" s="13">
        <v>0</v>
      </c>
      <c r="G54" s="14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123</v>
      </c>
      <c r="D56" s="1"/>
      <c r="E56" s="1"/>
      <c r="F56" s="9">
        <v>0</v>
      </c>
      <c r="G56" s="10">
        <v>0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124</v>
      </c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125</v>
      </c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111</v>
      </c>
      <c r="D60" s="1"/>
      <c r="E60" s="1" t="s">
        <v>112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126</v>
      </c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111</v>
      </c>
      <c r="D63" s="1"/>
      <c r="E63" s="1" t="s">
        <v>112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127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128</v>
      </c>
      <c r="D68" s="1"/>
      <c r="E68" s="1"/>
      <c r="F68" s="12"/>
      <c r="G68" s="12"/>
      <c r="H68" s="6"/>
    </row>
    <row r="69" spans="1:8" ht="17.100000000000001" customHeight="1" x14ac:dyDescent="0.2">
      <c r="A69" s="3">
        <v>1</v>
      </c>
      <c r="B69" s="4"/>
      <c r="C69" s="4" t="s">
        <v>129</v>
      </c>
      <c r="D69" s="4"/>
      <c r="E69" s="8"/>
      <c r="F69" s="6">
        <v>18363.110833899998</v>
      </c>
      <c r="G69" s="7">
        <v>0.86605877799999997</v>
      </c>
      <c r="H69" s="6">
        <v>3.9343919198424624</v>
      </c>
    </row>
    <row r="70" spans="1:8" ht="17.100000000000001" customHeight="1" x14ac:dyDescent="0.2">
      <c r="A70" s="3">
        <v>2</v>
      </c>
      <c r="B70" s="4"/>
      <c r="C70" s="4" t="s">
        <v>130</v>
      </c>
      <c r="D70" s="4"/>
      <c r="E70" s="8"/>
      <c r="F70" s="6">
        <v>1206.0806496</v>
      </c>
      <c r="G70" s="7">
        <v>5.6882341000000003E-2</v>
      </c>
      <c r="H70" s="6">
        <v>3.8</v>
      </c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9">
        <v>19569.191483499999</v>
      </c>
      <c r="G71" s="10">
        <v>0.92294111899999998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131</v>
      </c>
      <c r="D73" s="1"/>
      <c r="E73" s="1"/>
      <c r="F73" s="9">
        <v>19569.191483499999</v>
      </c>
      <c r="G73" s="10">
        <v>0.92294111899999998</v>
      </c>
      <c r="H73" s="6"/>
    </row>
    <row r="74" spans="1:8" ht="14.1" customHeight="1" x14ac:dyDescent="0.2">
      <c r="A74" s="1"/>
      <c r="B74" s="1"/>
      <c r="C74" s="12"/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132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133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134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135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24" customHeight="1" x14ac:dyDescent="0.2">
      <c r="A84" s="1"/>
      <c r="B84" s="1"/>
      <c r="C84" s="2" t="s">
        <v>136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4"/>
      <c r="C87" s="4"/>
      <c r="D87" s="2"/>
      <c r="E87" s="1"/>
      <c r="F87" s="4"/>
      <c r="G87" s="8"/>
      <c r="H87" s="6"/>
    </row>
    <row r="88" spans="1:8" ht="18" customHeight="1" x14ac:dyDescent="0.2">
      <c r="A88" s="8"/>
      <c r="B88" s="4"/>
      <c r="C88" s="4" t="s">
        <v>137</v>
      </c>
      <c r="D88" s="4"/>
      <c r="E88" s="8"/>
      <c r="F88" s="6">
        <v>213.25125241000001</v>
      </c>
      <c r="G88" s="7">
        <v>1.0057562000000001E-2</v>
      </c>
      <c r="H88" s="6"/>
    </row>
    <row r="89" spans="1:8" ht="14.1" customHeight="1" x14ac:dyDescent="0.2">
      <c r="A89" s="11"/>
      <c r="B89" s="11"/>
      <c r="C89" s="2" t="s">
        <v>138</v>
      </c>
      <c r="D89" s="15"/>
      <c r="E89" s="15"/>
      <c r="F89" s="9">
        <v>21203.076854909999</v>
      </c>
      <c r="G89" s="10">
        <v>1</v>
      </c>
      <c r="H89" s="6"/>
    </row>
    <row r="90" spans="1:8" ht="14.1" customHeight="1" x14ac:dyDescent="0.2">
      <c r="A90" s="18"/>
      <c r="B90" s="297" t="s">
        <v>112</v>
      </c>
      <c r="C90" s="297"/>
      <c r="D90" s="297"/>
      <c r="E90" s="297"/>
      <c r="F90" s="297"/>
      <c r="G90" s="20"/>
    </row>
    <row r="91" spans="1:8" ht="14.1" customHeight="1" x14ac:dyDescent="0.2">
      <c r="A91" s="18"/>
      <c r="B91" s="18"/>
      <c r="C91" s="18"/>
      <c r="D91" s="20"/>
      <c r="E91" s="20"/>
      <c r="F91" s="20"/>
      <c r="G91" s="20"/>
    </row>
    <row r="92" spans="1:8" ht="14.1" customHeight="1" x14ac:dyDescent="0.2">
      <c r="A92" s="18"/>
      <c r="B92" s="294" t="s">
        <v>140</v>
      </c>
      <c r="C92" s="295"/>
      <c r="D92" s="12" t="s">
        <v>112</v>
      </c>
      <c r="E92" s="21"/>
      <c r="F92" s="20"/>
      <c r="G92" s="20"/>
    </row>
    <row r="93" spans="1:8" ht="29.1" customHeight="1" x14ac:dyDescent="0.2">
      <c r="A93" s="18"/>
      <c r="B93" s="288" t="s">
        <v>141</v>
      </c>
      <c r="C93" s="289"/>
      <c r="D93" s="2" t="s">
        <v>142</v>
      </c>
      <c r="E93" s="21"/>
      <c r="F93" s="20"/>
      <c r="G93" s="20"/>
    </row>
    <row r="94" spans="1:8" ht="17.100000000000001" customHeight="1" x14ac:dyDescent="0.2">
      <c r="A94" s="18"/>
      <c r="B94" s="288" t="s">
        <v>143</v>
      </c>
      <c r="C94" s="289"/>
      <c r="D94" s="2" t="s">
        <v>142</v>
      </c>
      <c r="E94" s="21"/>
      <c r="F94" s="20"/>
      <c r="G94" s="20"/>
    </row>
    <row r="95" spans="1:8" ht="17.100000000000001" customHeight="1" x14ac:dyDescent="0.2">
      <c r="A95" s="18"/>
      <c r="B95" s="288" t="s">
        <v>144</v>
      </c>
      <c r="C95" s="289"/>
      <c r="D95" s="12" t="s">
        <v>112</v>
      </c>
      <c r="E95" s="21"/>
      <c r="F95" s="20"/>
      <c r="G95" s="20"/>
    </row>
    <row r="96" spans="1:8" ht="24" customHeight="1" x14ac:dyDescent="0.2">
      <c r="A96" s="22"/>
      <c r="B96" s="23" t="s">
        <v>112</v>
      </c>
      <c r="C96" s="23" t="s">
        <v>145</v>
      </c>
      <c r="D96" s="23" t="s">
        <v>146</v>
      </c>
      <c r="E96" s="22"/>
      <c r="F96" s="22"/>
      <c r="G96" s="22"/>
    </row>
    <row r="97" spans="1:7" ht="18" customHeight="1" x14ac:dyDescent="0.2">
      <c r="A97" s="22"/>
      <c r="B97" s="23" t="s">
        <v>147</v>
      </c>
      <c r="C97" s="23" t="s">
        <v>148</v>
      </c>
      <c r="D97" s="23" t="s">
        <v>149</v>
      </c>
      <c r="E97" s="22"/>
      <c r="F97" s="22"/>
      <c r="G97" s="22"/>
    </row>
    <row r="98" spans="1:7" ht="17.100000000000001" customHeight="1" x14ac:dyDescent="0.2">
      <c r="A98" s="22"/>
      <c r="B98" s="4" t="s">
        <v>150</v>
      </c>
      <c r="C98" s="24">
        <v>16.191400000000002</v>
      </c>
      <c r="D98" s="24">
        <v>16.521599999999999</v>
      </c>
      <c r="E98" s="22"/>
      <c r="F98" s="19"/>
      <c r="G98" s="25"/>
    </row>
    <row r="99" spans="1:7" ht="17.100000000000001" customHeight="1" x14ac:dyDescent="0.2">
      <c r="A99" s="22"/>
      <c r="B99" s="4" t="s">
        <v>1114</v>
      </c>
      <c r="C99" s="24">
        <v>16.191199999999998</v>
      </c>
      <c r="D99" s="24">
        <v>16.5215</v>
      </c>
      <c r="E99" s="22"/>
      <c r="F99" s="19"/>
      <c r="G99" s="25"/>
    </row>
    <row r="100" spans="1:7" ht="17.100000000000001" customHeight="1" x14ac:dyDescent="0.2">
      <c r="A100" s="22"/>
      <c r="B100" s="4" t="s">
        <v>151</v>
      </c>
      <c r="C100" s="24">
        <v>15.5794</v>
      </c>
      <c r="D100" s="24">
        <v>15.888500000000001</v>
      </c>
      <c r="E100" s="22"/>
      <c r="F100" s="19"/>
      <c r="G100" s="25"/>
    </row>
    <row r="101" spans="1:7" ht="17.100000000000001" customHeight="1" x14ac:dyDescent="0.2">
      <c r="A101" s="22"/>
      <c r="B101" s="4" t="s">
        <v>1115</v>
      </c>
      <c r="C101" s="24">
        <v>15.5794</v>
      </c>
      <c r="D101" s="24">
        <v>15.8886</v>
      </c>
      <c r="E101" s="22"/>
      <c r="F101" s="19"/>
      <c r="G101" s="25"/>
    </row>
    <row r="102" spans="1:7" ht="14.1" customHeight="1" x14ac:dyDescent="0.2">
      <c r="A102" s="22"/>
      <c r="B102" s="22"/>
      <c r="C102" s="22"/>
      <c r="D102" s="22"/>
      <c r="E102" s="22"/>
      <c r="F102" s="22"/>
      <c r="G102" s="22"/>
    </row>
    <row r="103" spans="1:7" ht="17.100000000000001" customHeight="1" x14ac:dyDescent="0.2">
      <c r="A103" s="22"/>
      <c r="B103" s="288" t="s">
        <v>1116</v>
      </c>
      <c r="C103" s="289"/>
      <c r="D103" s="2" t="s">
        <v>142</v>
      </c>
      <c r="E103" s="22"/>
      <c r="F103" s="22"/>
      <c r="G103" s="22"/>
    </row>
    <row r="104" spans="1:7" ht="14.1" customHeight="1" x14ac:dyDescent="0.2">
      <c r="A104" s="22"/>
      <c r="B104" s="19"/>
      <c r="C104" s="19"/>
      <c r="D104" s="22"/>
      <c r="E104" s="22"/>
      <c r="F104" s="22"/>
      <c r="G104" s="22"/>
    </row>
    <row r="105" spans="1:7" ht="29.1" customHeight="1" x14ac:dyDescent="0.2">
      <c r="A105" s="22"/>
      <c r="B105" s="288" t="s">
        <v>153</v>
      </c>
      <c r="C105" s="289"/>
      <c r="D105" s="2" t="s">
        <v>142</v>
      </c>
      <c r="E105" s="22"/>
      <c r="F105" s="22"/>
      <c r="G105" s="22"/>
    </row>
    <row r="106" spans="1:7" ht="29.1" customHeight="1" x14ac:dyDescent="0.2">
      <c r="A106" s="22"/>
      <c r="B106" s="288" t="s">
        <v>154</v>
      </c>
      <c r="C106" s="289"/>
      <c r="D106" s="2" t="s">
        <v>142</v>
      </c>
      <c r="E106" s="22"/>
      <c r="F106" s="22"/>
      <c r="G106" s="22"/>
    </row>
    <row r="107" spans="1:7" ht="17.100000000000001" customHeight="1" x14ac:dyDescent="0.2">
      <c r="A107" s="22"/>
      <c r="B107" s="288" t="s">
        <v>155</v>
      </c>
      <c r="C107" s="289"/>
      <c r="D107" s="26">
        <v>0.3425754672380546</v>
      </c>
      <c r="E107" s="22"/>
      <c r="F107" s="19"/>
      <c r="G107" s="25"/>
    </row>
    <row r="108" spans="1:7" ht="17.100000000000001" customHeight="1" x14ac:dyDescent="0.2">
      <c r="A108" s="22"/>
      <c r="B108" s="288" t="s">
        <v>156</v>
      </c>
      <c r="C108" s="289"/>
      <c r="D108" s="2" t="s">
        <v>142</v>
      </c>
      <c r="E108" s="22"/>
      <c r="F108" s="22"/>
      <c r="G108" s="22"/>
    </row>
    <row r="164" spans="10:15" x14ac:dyDescent="0.2">
      <c r="J164" s="66"/>
      <c r="K164" s="66"/>
      <c r="L164" s="66"/>
      <c r="M164" s="66"/>
      <c r="N164" s="66"/>
      <c r="O164" s="66"/>
    </row>
  </sheetData>
  <mergeCells count="14">
    <mergeCell ref="A1:H1"/>
    <mergeCell ref="A2:H2"/>
    <mergeCell ref="A3:H3"/>
    <mergeCell ref="B92:C92"/>
    <mergeCell ref="J2:N2"/>
    <mergeCell ref="B90:F90"/>
    <mergeCell ref="B107:C107"/>
    <mergeCell ref="B108:C108"/>
    <mergeCell ref="B93:C93"/>
    <mergeCell ref="B94:C94"/>
    <mergeCell ref="B95:C95"/>
    <mergeCell ref="B103:C103"/>
    <mergeCell ref="B105:C105"/>
    <mergeCell ref="B106:C10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190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28070</v>
      </c>
      <c r="F7" s="6">
        <v>338.86104</v>
      </c>
      <c r="G7" s="7">
        <v>2.3532273999999999E-2</v>
      </c>
      <c r="H7" s="6"/>
    </row>
    <row r="8" spans="1:14" x14ac:dyDescent="0.2">
      <c r="A8" s="3">
        <v>2</v>
      </c>
      <c r="B8" s="4" t="s">
        <v>193</v>
      </c>
      <c r="C8" s="4" t="s">
        <v>194</v>
      </c>
      <c r="D8" s="4" t="s">
        <v>947</v>
      </c>
      <c r="E8" s="5">
        <v>58996</v>
      </c>
      <c r="F8" s="6">
        <v>326.749346</v>
      </c>
      <c r="G8" s="7">
        <v>2.2691175000000001E-2</v>
      </c>
      <c r="H8" s="6"/>
    </row>
    <row r="9" spans="1:14" x14ac:dyDescent="0.2">
      <c r="A9" s="3">
        <v>3</v>
      </c>
      <c r="B9" s="4" t="s">
        <v>160</v>
      </c>
      <c r="C9" s="4" t="s">
        <v>161</v>
      </c>
      <c r="D9" s="4" t="s">
        <v>942</v>
      </c>
      <c r="E9" s="5">
        <v>25532</v>
      </c>
      <c r="F9" s="6">
        <v>311.93720999999999</v>
      </c>
      <c r="G9" s="7">
        <v>2.1662542999999999E-2</v>
      </c>
      <c r="H9" s="6"/>
    </row>
    <row r="10" spans="1:14" x14ac:dyDescent="0.2">
      <c r="A10" s="3">
        <v>4</v>
      </c>
      <c r="B10" s="4" t="s">
        <v>166</v>
      </c>
      <c r="C10" s="4" t="s">
        <v>167</v>
      </c>
      <c r="D10" s="4" t="s">
        <v>82</v>
      </c>
      <c r="E10" s="5">
        <v>273941</v>
      </c>
      <c r="F10" s="6">
        <v>305.71815600000002</v>
      </c>
      <c r="G10" s="7">
        <v>2.1230659999999998E-2</v>
      </c>
      <c r="H10" s="6"/>
    </row>
    <row r="11" spans="1:14" x14ac:dyDescent="0.2">
      <c r="A11" s="3">
        <v>5</v>
      </c>
      <c r="B11" s="4" t="s">
        <v>168</v>
      </c>
      <c r="C11" s="4" t="s">
        <v>169</v>
      </c>
      <c r="D11" s="4" t="s">
        <v>944</v>
      </c>
      <c r="E11" s="5">
        <v>21096</v>
      </c>
      <c r="F11" s="6">
        <v>280.03885200000002</v>
      </c>
      <c r="G11" s="7">
        <v>1.9447355E-2</v>
      </c>
      <c r="H11" s="6"/>
    </row>
    <row r="12" spans="1:14" x14ac:dyDescent="0.2">
      <c r="A12" s="3">
        <v>6</v>
      </c>
      <c r="B12" s="4" t="s">
        <v>195</v>
      </c>
      <c r="C12" s="4" t="s">
        <v>196</v>
      </c>
      <c r="D12" s="4" t="s">
        <v>71</v>
      </c>
      <c r="E12" s="5">
        <v>43292</v>
      </c>
      <c r="F12" s="6">
        <v>274.96913799999999</v>
      </c>
      <c r="G12" s="7">
        <v>1.9095287999999998E-2</v>
      </c>
      <c r="H12" s="6"/>
    </row>
    <row r="13" spans="1:14" x14ac:dyDescent="0.2">
      <c r="A13" s="3">
        <v>7</v>
      </c>
      <c r="B13" s="4" t="s">
        <v>85</v>
      </c>
      <c r="C13" s="4" t="s">
        <v>86</v>
      </c>
      <c r="D13" s="4" t="s">
        <v>64</v>
      </c>
      <c r="E13" s="5">
        <v>15135</v>
      </c>
      <c r="F13" s="6">
        <v>236.85518250000001</v>
      </c>
      <c r="G13" s="7">
        <v>1.6448456E-2</v>
      </c>
      <c r="H13" s="6"/>
    </row>
    <row r="14" spans="1:14" x14ac:dyDescent="0.2">
      <c r="A14" s="3">
        <v>8</v>
      </c>
      <c r="B14" s="4" t="s">
        <v>197</v>
      </c>
      <c r="C14" s="4" t="s">
        <v>198</v>
      </c>
      <c r="D14" s="4" t="s">
        <v>82</v>
      </c>
      <c r="E14" s="5">
        <v>32038</v>
      </c>
      <c r="F14" s="6">
        <v>225.03491199999999</v>
      </c>
      <c r="G14" s="7">
        <v>1.5627595000000001E-2</v>
      </c>
      <c r="H14" s="6"/>
    </row>
    <row r="15" spans="1:14" x14ac:dyDescent="0.2">
      <c r="A15" s="3">
        <v>9</v>
      </c>
      <c r="B15" s="4" t="s">
        <v>178</v>
      </c>
      <c r="C15" s="4" t="s">
        <v>179</v>
      </c>
      <c r="D15" s="4" t="s">
        <v>934</v>
      </c>
      <c r="E15" s="5">
        <v>15696</v>
      </c>
      <c r="F15" s="6">
        <v>224.48419200000001</v>
      </c>
      <c r="G15" s="7">
        <v>1.558935E-2</v>
      </c>
      <c r="H15" s="6"/>
    </row>
    <row r="16" spans="1:14" ht="15" x14ac:dyDescent="0.2">
      <c r="A16" s="3">
        <v>10</v>
      </c>
      <c r="B16" s="4" t="s">
        <v>199</v>
      </c>
      <c r="C16" s="4" t="s">
        <v>200</v>
      </c>
      <c r="D16" s="4" t="s">
        <v>940</v>
      </c>
      <c r="E16" s="5">
        <v>11897</v>
      </c>
      <c r="F16" s="6">
        <v>221.95638049999999</v>
      </c>
      <c r="G16" s="7">
        <v>1.5413806E-2</v>
      </c>
      <c r="H16" s="6"/>
      <c r="J16" s="192" t="s">
        <v>1141</v>
      </c>
    </row>
    <row r="17" spans="1:8" ht="25.5" x14ac:dyDescent="0.2">
      <c r="A17" s="3">
        <v>11</v>
      </c>
      <c r="B17" s="4" t="s">
        <v>170</v>
      </c>
      <c r="C17" s="4" t="s">
        <v>171</v>
      </c>
      <c r="D17" s="4" t="s">
        <v>945</v>
      </c>
      <c r="E17" s="5">
        <v>56271</v>
      </c>
      <c r="F17" s="6">
        <v>214.05488399999999</v>
      </c>
      <c r="G17" s="7">
        <v>1.4865085E-2</v>
      </c>
      <c r="H17" s="6"/>
    </row>
    <row r="18" spans="1:8" ht="25.5" x14ac:dyDescent="0.2">
      <c r="A18" s="3">
        <v>12</v>
      </c>
      <c r="B18" s="4" t="s">
        <v>158</v>
      </c>
      <c r="C18" s="4" t="s">
        <v>159</v>
      </c>
      <c r="D18" s="4" t="s">
        <v>941</v>
      </c>
      <c r="E18" s="5">
        <v>30169</v>
      </c>
      <c r="F18" s="6">
        <v>213.91329450000001</v>
      </c>
      <c r="G18" s="7">
        <v>1.4855251999999999E-2</v>
      </c>
      <c r="H18" s="6"/>
    </row>
    <row r="19" spans="1:8" x14ac:dyDescent="0.2">
      <c r="A19" s="3">
        <v>13</v>
      </c>
      <c r="B19" s="4" t="s">
        <v>201</v>
      </c>
      <c r="C19" s="4" t="s">
        <v>202</v>
      </c>
      <c r="D19" s="4" t="s">
        <v>923</v>
      </c>
      <c r="E19" s="5">
        <v>19504</v>
      </c>
      <c r="F19" s="6">
        <v>211.901208</v>
      </c>
      <c r="G19" s="7">
        <v>1.4715522999999999E-2</v>
      </c>
      <c r="H19" s="6"/>
    </row>
    <row r="20" spans="1:8" x14ac:dyDescent="0.2">
      <c r="A20" s="3">
        <v>14</v>
      </c>
      <c r="B20" s="4" t="s">
        <v>203</v>
      </c>
      <c r="C20" s="4" t="s">
        <v>204</v>
      </c>
      <c r="D20" s="4" t="s">
        <v>82</v>
      </c>
      <c r="E20" s="5">
        <v>34323</v>
      </c>
      <c r="F20" s="6">
        <v>203.24364449999999</v>
      </c>
      <c r="G20" s="7">
        <v>1.4114296E-2</v>
      </c>
      <c r="H20" s="6"/>
    </row>
    <row r="21" spans="1:8" ht="25.5" x14ac:dyDescent="0.2">
      <c r="A21" s="3">
        <v>15</v>
      </c>
      <c r="B21" s="4" t="s">
        <v>42</v>
      </c>
      <c r="C21" s="4" t="s">
        <v>43</v>
      </c>
      <c r="D21" s="4" t="s">
        <v>935</v>
      </c>
      <c r="E21" s="5">
        <v>7660</v>
      </c>
      <c r="F21" s="6">
        <v>202.76786000000001</v>
      </c>
      <c r="G21" s="7">
        <v>1.4081255000000001E-2</v>
      </c>
      <c r="H21" s="6"/>
    </row>
    <row r="22" spans="1:8" x14ac:dyDescent="0.2">
      <c r="A22" s="3">
        <v>16</v>
      </c>
      <c r="B22" s="4" t="s">
        <v>69</v>
      </c>
      <c r="C22" s="4" t="s">
        <v>70</v>
      </c>
      <c r="D22" s="4" t="s">
        <v>71</v>
      </c>
      <c r="E22" s="5">
        <v>31884</v>
      </c>
      <c r="F22" s="6">
        <v>193.009794</v>
      </c>
      <c r="G22" s="7">
        <v>1.3403604E-2</v>
      </c>
      <c r="H22" s="6"/>
    </row>
    <row r="23" spans="1:8" x14ac:dyDescent="0.2">
      <c r="A23" s="3">
        <v>17</v>
      </c>
      <c r="B23" s="4" t="s">
        <v>205</v>
      </c>
      <c r="C23" s="4" t="s">
        <v>206</v>
      </c>
      <c r="D23" s="4" t="s">
        <v>64</v>
      </c>
      <c r="E23" s="5">
        <v>51485</v>
      </c>
      <c r="F23" s="6">
        <v>185.3202575</v>
      </c>
      <c r="G23" s="7">
        <v>1.2869603E-2</v>
      </c>
      <c r="H23" s="6"/>
    </row>
    <row r="24" spans="1:8" ht="25.5" x14ac:dyDescent="0.2">
      <c r="A24" s="3">
        <v>18</v>
      </c>
      <c r="B24" s="4" t="s">
        <v>180</v>
      </c>
      <c r="C24" s="4" t="s">
        <v>181</v>
      </c>
      <c r="D24" s="4" t="s">
        <v>941</v>
      </c>
      <c r="E24" s="5">
        <v>36074</v>
      </c>
      <c r="F24" s="6">
        <v>182.87714299999999</v>
      </c>
      <c r="G24" s="7">
        <v>1.269994E-2</v>
      </c>
      <c r="H24" s="6"/>
    </row>
    <row r="25" spans="1:8" x14ac:dyDescent="0.2">
      <c r="A25" s="3">
        <v>19</v>
      </c>
      <c r="B25" s="4" t="s">
        <v>207</v>
      </c>
      <c r="C25" s="4" t="s">
        <v>208</v>
      </c>
      <c r="D25" s="4" t="s">
        <v>948</v>
      </c>
      <c r="E25" s="5">
        <v>35634</v>
      </c>
      <c r="F25" s="6">
        <v>178.59760800000001</v>
      </c>
      <c r="G25" s="7">
        <v>1.2402747E-2</v>
      </c>
      <c r="H25" s="6"/>
    </row>
    <row r="26" spans="1:8" x14ac:dyDescent="0.2">
      <c r="A26" s="3">
        <v>20</v>
      </c>
      <c r="B26" s="4" t="s">
        <v>209</v>
      </c>
      <c r="C26" s="4" t="s">
        <v>210</v>
      </c>
      <c r="D26" s="4" t="s">
        <v>934</v>
      </c>
      <c r="E26" s="5">
        <v>8561</v>
      </c>
      <c r="F26" s="6">
        <v>166.87101200000001</v>
      </c>
      <c r="G26" s="7">
        <v>1.1588391E-2</v>
      </c>
      <c r="H26" s="6"/>
    </row>
    <row r="27" spans="1:8" ht="25.5" x14ac:dyDescent="0.2">
      <c r="A27" s="3">
        <v>21</v>
      </c>
      <c r="B27" s="4" t="s">
        <v>184</v>
      </c>
      <c r="C27" s="4" t="s">
        <v>185</v>
      </c>
      <c r="D27" s="4" t="s">
        <v>935</v>
      </c>
      <c r="E27" s="5">
        <v>78693</v>
      </c>
      <c r="F27" s="6">
        <v>158.566395</v>
      </c>
      <c r="G27" s="7">
        <v>1.1011676E-2</v>
      </c>
      <c r="H27" s="6"/>
    </row>
    <row r="28" spans="1:8" x14ac:dyDescent="0.2">
      <c r="A28" s="3">
        <v>22</v>
      </c>
      <c r="B28" s="4" t="s">
        <v>211</v>
      </c>
      <c r="C28" s="4" t="s">
        <v>212</v>
      </c>
      <c r="D28" s="4" t="s">
        <v>949</v>
      </c>
      <c r="E28" s="5">
        <v>9119</v>
      </c>
      <c r="F28" s="6">
        <v>153.24479500000001</v>
      </c>
      <c r="G28" s="7">
        <v>1.0642116E-2</v>
      </c>
      <c r="H28" s="6"/>
    </row>
    <row r="29" spans="1:8" x14ac:dyDescent="0.2">
      <c r="A29" s="3">
        <v>23</v>
      </c>
      <c r="B29" s="4" t="s">
        <v>213</v>
      </c>
      <c r="C29" s="4" t="s">
        <v>214</v>
      </c>
      <c r="D29" s="4" t="s">
        <v>64</v>
      </c>
      <c r="E29" s="5">
        <v>172563</v>
      </c>
      <c r="F29" s="6">
        <v>149.1807135</v>
      </c>
      <c r="G29" s="7">
        <v>1.0359884999999999E-2</v>
      </c>
      <c r="H29" s="6"/>
    </row>
    <row r="30" spans="1:8" ht="25.5" x14ac:dyDescent="0.2">
      <c r="A30" s="3">
        <v>24</v>
      </c>
      <c r="B30" s="4" t="s">
        <v>215</v>
      </c>
      <c r="C30" s="4" t="s">
        <v>216</v>
      </c>
      <c r="D30" s="4" t="s">
        <v>945</v>
      </c>
      <c r="E30" s="5">
        <v>25404</v>
      </c>
      <c r="F30" s="6">
        <v>148.19423399999999</v>
      </c>
      <c r="G30" s="7">
        <v>1.0291379E-2</v>
      </c>
      <c r="H30" s="6"/>
    </row>
    <row r="31" spans="1:8" x14ac:dyDescent="0.2">
      <c r="A31" s="3">
        <v>25</v>
      </c>
      <c r="B31" s="4" t="s">
        <v>164</v>
      </c>
      <c r="C31" s="4" t="s">
        <v>165</v>
      </c>
      <c r="D31" s="4" t="s">
        <v>944</v>
      </c>
      <c r="E31" s="5">
        <v>30931</v>
      </c>
      <c r="F31" s="6">
        <v>147.43261150000001</v>
      </c>
      <c r="G31" s="7">
        <v>1.0238488E-2</v>
      </c>
      <c r="H31" s="6"/>
    </row>
    <row r="32" spans="1:8" x14ac:dyDescent="0.2">
      <c r="A32" s="3">
        <v>26</v>
      </c>
      <c r="B32" s="4" t="s">
        <v>36</v>
      </c>
      <c r="C32" s="4" t="s">
        <v>37</v>
      </c>
      <c r="D32" s="4" t="s">
        <v>26</v>
      </c>
      <c r="E32" s="5">
        <v>10799</v>
      </c>
      <c r="F32" s="6">
        <v>144.15585100000001</v>
      </c>
      <c r="G32" s="7">
        <v>1.0010932E-2</v>
      </c>
      <c r="H32" s="6"/>
    </row>
    <row r="33" spans="1:8" ht="25.5" x14ac:dyDescent="0.2">
      <c r="A33" s="3">
        <v>27</v>
      </c>
      <c r="B33" s="4" t="s">
        <v>217</v>
      </c>
      <c r="C33" s="4" t="s">
        <v>218</v>
      </c>
      <c r="D33" s="4" t="s">
        <v>946</v>
      </c>
      <c r="E33" s="5">
        <v>3526</v>
      </c>
      <c r="F33" s="6">
        <v>138.635268</v>
      </c>
      <c r="G33" s="7">
        <v>9.627554E-3</v>
      </c>
      <c r="H33" s="6"/>
    </row>
    <row r="34" spans="1:8" ht="25.5" x14ac:dyDescent="0.2">
      <c r="A34" s="3">
        <v>28</v>
      </c>
      <c r="B34" s="4" t="s">
        <v>186</v>
      </c>
      <c r="C34" s="4" t="s">
        <v>187</v>
      </c>
      <c r="D34" s="4" t="s">
        <v>946</v>
      </c>
      <c r="E34" s="5">
        <v>14443</v>
      </c>
      <c r="F34" s="6">
        <v>137.1290635</v>
      </c>
      <c r="G34" s="7">
        <v>9.5229560000000008E-3</v>
      </c>
      <c r="H34" s="6"/>
    </row>
    <row r="35" spans="1:8" ht="25.5" x14ac:dyDescent="0.2">
      <c r="A35" s="3">
        <v>29</v>
      </c>
      <c r="B35" s="4" t="s">
        <v>172</v>
      </c>
      <c r="C35" s="4" t="s">
        <v>173</v>
      </c>
      <c r="D35" s="4" t="s">
        <v>71</v>
      </c>
      <c r="E35" s="5">
        <v>6492</v>
      </c>
      <c r="F35" s="6">
        <v>127.733346</v>
      </c>
      <c r="G35" s="7">
        <v>8.8704679999999994E-3</v>
      </c>
      <c r="H35" s="6"/>
    </row>
    <row r="36" spans="1:8" ht="25.5" x14ac:dyDescent="0.2">
      <c r="A36" s="3">
        <v>30</v>
      </c>
      <c r="B36" s="4" t="s">
        <v>219</v>
      </c>
      <c r="C36" s="4" t="s">
        <v>220</v>
      </c>
      <c r="D36" s="4" t="s">
        <v>950</v>
      </c>
      <c r="E36" s="5">
        <v>30826</v>
      </c>
      <c r="F36" s="6">
        <v>125.81631899999999</v>
      </c>
      <c r="G36" s="7">
        <v>8.7373399999999997E-3</v>
      </c>
      <c r="H36" s="6"/>
    </row>
    <row r="37" spans="1:8" ht="25.5" x14ac:dyDescent="0.2">
      <c r="A37" s="3">
        <v>31</v>
      </c>
      <c r="B37" s="4" t="s">
        <v>221</v>
      </c>
      <c r="C37" s="4" t="s">
        <v>222</v>
      </c>
      <c r="D37" s="4" t="s">
        <v>945</v>
      </c>
      <c r="E37" s="5">
        <v>7157</v>
      </c>
      <c r="F37" s="6">
        <v>123.02167300000001</v>
      </c>
      <c r="G37" s="7">
        <v>8.5432649999999995E-3</v>
      </c>
      <c r="H37" s="6"/>
    </row>
    <row r="38" spans="1:8" x14ac:dyDescent="0.2">
      <c r="A38" s="3">
        <v>32</v>
      </c>
      <c r="B38" s="4" t="s">
        <v>174</v>
      </c>
      <c r="C38" s="4" t="s">
        <v>175</v>
      </c>
      <c r="D38" s="4" t="s">
        <v>71</v>
      </c>
      <c r="E38" s="5">
        <v>19380</v>
      </c>
      <c r="F38" s="6">
        <v>123.00485999999999</v>
      </c>
      <c r="G38" s="7">
        <v>8.5420979999999997E-3</v>
      </c>
      <c r="H38" s="6"/>
    </row>
    <row r="39" spans="1:8" ht="25.5" x14ac:dyDescent="0.2">
      <c r="A39" s="3">
        <v>33</v>
      </c>
      <c r="B39" s="4" t="s">
        <v>162</v>
      </c>
      <c r="C39" s="4" t="s">
        <v>163</v>
      </c>
      <c r="D39" s="4" t="s">
        <v>943</v>
      </c>
      <c r="E39" s="5">
        <v>118261</v>
      </c>
      <c r="F39" s="6">
        <v>121.6314385</v>
      </c>
      <c r="G39" s="7">
        <v>8.4467199999999996E-3</v>
      </c>
      <c r="H39" s="6"/>
    </row>
    <row r="40" spans="1:8" x14ac:dyDescent="0.2">
      <c r="A40" s="3">
        <v>34</v>
      </c>
      <c r="B40" s="4" t="s">
        <v>223</v>
      </c>
      <c r="C40" s="4" t="s">
        <v>224</v>
      </c>
      <c r="D40" s="4" t="s">
        <v>71</v>
      </c>
      <c r="E40" s="5">
        <v>48497</v>
      </c>
      <c r="F40" s="6">
        <v>119.54510500000001</v>
      </c>
      <c r="G40" s="7">
        <v>8.3018339999999993E-3</v>
      </c>
      <c r="H40" s="6"/>
    </row>
    <row r="41" spans="1:8" x14ac:dyDescent="0.2">
      <c r="A41" s="3">
        <v>35</v>
      </c>
      <c r="B41" s="4" t="s">
        <v>225</v>
      </c>
      <c r="C41" s="4" t="s">
        <v>226</v>
      </c>
      <c r="D41" s="4" t="s">
        <v>951</v>
      </c>
      <c r="E41" s="5">
        <v>37245</v>
      </c>
      <c r="F41" s="6">
        <v>116.78169750000001</v>
      </c>
      <c r="G41" s="7">
        <v>8.1099290000000001E-3</v>
      </c>
      <c r="H41" s="6"/>
    </row>
    <row r="42" spans="1:8" x14ac:dyDescent="0.2">
      <c r="A42" s="3">
        <v>36</v>
      </c>
      <c r="B42" s="4" t="s">
        <v>227</v>
      </c>
      <c r="C42" s="4" t="s">
        <v>228</v>
      </c>
      <c r="D42" s="4" t="s">
        <v>26</v>
      </c>
      <c r="E42" s="5">
        <v>11492</v>
      </c>
      <c r="F42" s="6">
        <v>116.540372</v>
      </c>
      <c r="G42" s="7">
        <v>8.0931700000000002E-3</v>
      </c>
      <c r="H42" s="6"/>
    </row>
    <row r="43" spans="1:8" x14ac:dyDescent="0.2">
      <c r="A43" s="3">
        <v>37</v>
      </c>
      <c r="B43" s="4" t="s">
        <v>229</v>
      </c>
      <c r="C43" s="4" t="s">
        <v>230</v>
      </c>
      <c r="D43" s="4" t="s">
        <v>26</v>
      </c>
      <c r="E43" s="5">
        <v>11880</v>
      </c>
      <c r="F43" s="6">
        <v>105.94584</v>
      </c>
      <c r="G43" s="7">
        <v>7.3574299999999999E-3</v>
      </c>
      <c r="H43" s="6"/>
    </row>
    <row r="44" spans="1:8" x14ac:dyDescent="0.2">
      <c r="A44" s="3">
        <v>38</v>
      </c>
      <c r="B44" s="4" t="s">
        <v>231</v>
      </c>
      <c r="C44" s="4" t="s">
        <v>232</v>
      </c>
      <c r="D44" s="4" t="s">
        <v>233</v>
      </c>
      <c r="E44" s="5">
        <v>37381</v>
      </c>
      <c r="F44" s="6">
        <v>105.35834850000001</v>
      </c>
      <c r="G44" s="7">
        <v>7.316632E-3</v>
      </c>
      <c r="H44" s="6"/>
    </row>
    <row r="45" spans="1:8" x14ac:dyDescent="0.2">
      <c r="A45" s="3">
        <v>39</v>
      </c>
      <c r="B45" s="4" t="s">
        <v>234</v>
      </c>
      <c r="C45" s="4" t="s">
        <v>235</v>
      </c>
      <c r="D45" s="4" t="s">
        <v>952</v>
      </c>
      <c r="E45" s="5">
        <v>67193</v>
      </c>
      <c r="F45" s="6">
        <v>99.512833000000001</v>
      </c>
      <c r="G45" s="7">
        <v>6.9106890000000002E-3</v>
      </c>
      <c r="H45" s="6"/>
    </row>
    <row r="46" spans="1:8" x14ac:dyDescent="0.2">
      <c r="A46" s="3">
        <v>40</v>
      </c>
      <c r="B46" s="4" t="s">
        <v>236</v>
      </c>
      <c r="C46" s="4" t="s">
        <v>237</v>
      </c>
      <c r="D46" s="4" t="s">
        <v>947</v>
      </c>
      <c r="E46" s="5">
        <v>2269</v>
      </c>
      <c r="F46" s="6">
        <v>98.035548500000004</v>
      </c>
      <c r="G46" s="7">
        <v>6.8080989999999997E-3</v>
      </c>
      <c r="H46" s="6"/>
    </row>
    <row r="47" spans="1:8" ht="51" x14ac:dyDescent="0.2">
      <c r="A47" s="3">
        <v>41</v>
      </c>
      <c r="B47" s="4" t="s">
        <v>238</v>
      </c>
      <c r="C47" s="4" t="s">
        <v>239</v>
      </c>
      <c r="D47" s="4" t="s">
        <v>939</v>
      </c>
      <c r="E47" s="5">
        <v>40861</v>
      </c>
      <c r="F47" s="6">
        <v>98.005108500000006</v>
      </c>
      <c r="G47" s="7">
        <v>6.8059849999999996E-3</v>
      </c>
      <c r="H47" s="6"/>
    </row>
    <row r="48" spans="1:8" x14ac:dyDescent="0.2">
      <c r="A48" s="3">
        <v>42</v>
      </c>
      <c r="B48" s="4" t="s">
        <v>92</v>
      </c>
      <c r="C48" s="4" t="s">
        <v>93</v>
      </c>
      <c r="D48" s="4" t="s">
        <v>923</v>
      </c>
      <c r="E48" s="5">
        <v>21219</v>
      </c>
      <c r="F48" s="6">
        <v>96.716201999999996</v>
      </c>
      <c r="G48" s="7">
        <v>6.7164759999999999E-3</v>
      </c>
      <c r="H48" s="6"/>
    </row>
    <row r="49" spans="1:8" x14ac:dyDescent="0.2">
      <c r="A49" s="3">
        <v>43</v>
      </c>
      <c r="B49" s="4" t="s">
        <v>240</v>
      </c>
      <c r="C49" s="4" t="s">
        <v>241</v>
      </c>
      <c r="D49" s="4" t="s">
        <v>940</v>
      </c>
      <c r="E49" s="5">
        <v>17673</v>
      </c>
      <c r="F49" s="6">
        <v>92.526991499999994</v>
      </c>
      <c r="G49" s="7">
        <v>6.4255559999999998E-3</v>
      </c>
      <c r="H49" s="6"/>
    </row>
    <row r="50" spans="1:8" x14ac:dyDescent="0.2">
      <c r="A50" s="3">
        <v>44</v>
      </c>
      <c r="B50" s="4" t="s">
        <v>242</v>
      </c>
      <c r="C50" s="4" t="s">
        <v>243</v>
      </c>
      <c r="D50" s="4" t="s">
        <v>949</v>
      </c>
      <c r="E50" s="5">
        <v>35358</v>
      </c>
      <c r="F50" s="6">
        <v>89.420382000000004</v>
      </c>
      <c r="G50" s="7">
        <v>6.2098170000000003E-3</v>
      </c>
      <c r="H50" s="6"/>
    </row>
    <row r="51" spans="1:8" x14ac:dyDescent="0.2">
      <c r="A51" s="3">
        <v>45</v>
      </c>
      <c r="B51" s="4" t="s">
        <v>182</v>
      </c>
      <c r="C51" s="4" t="s">
        <v>183</v>
      </c>
      <c r="D51" s="4" t="s">
        <v>944</v>
      </c>
      <c r="E51" s="5">
        <v>50412</v>
      </c>
      <c r="F51" s="6">
        <v>85.523957999999993</v>
      </c>
      <c r="G51" s="7">
        <v>5.9392289999999999E-3</v>
      </c>
      <c r="H51" s="6"/>
    </row>
    <row r="52" spans="1:8" x14ac:dyDescent="0.2">
      <c r="A52" s="3">
        <v>46</v>
      </c>
      <c r="B52" s="4" t="s">
        <v>244</v>
      </c>
      <c r="C52" s="4" t="s">
        <v>245</v>
      </c>
      <c r="D52" s="4" t="s">
        <v>13</v>
      </c>
      <c r="E52" s="5">
        <v>31483</v>
      </c>
      <c r="F52" s="6">
        <v>85.098549000000006</v>
      </c>
      <c r="G52" s="7">
        <v>5.9096859999999999E-3</v>
      </c>
      <c r="H52" s="6"/>
    </row>
    <row r="53" spans="1:8" x14ac:dyDescent="0.2">
      <c r="A53" s="3">
        <v>47</v>
      </c>
      <c r="B53" s="4" t="s">
        <v>246</v>
      </c>
      <c r="C53" s="4" t="s">
        <v>247</v>
      </c>
      <c r="D53" s="4" t="s">
        <v>91</v>
      </c>
      <c r="E53" s="5">
        <v>9967</v>
      </c>
      <c r="F53" s="6">
        <v>78.300752000000003</v>
      </c>
      <c r="G53" s="7">
        <v>5.4376119999999997E-3</v>
      </c>
      <c r="H53" s="6"/>
    </row>
    <row r="54" spans="1:8" x14ac:dyDescent="0.2">
      <c r="A54" s="3">
        <v>48</v>
      </c>
      <c r="B54" s="4" t="s">
        <v>176</v>
      </c>
      <c r="C54" s="4" t="s">
        <v>177</v>
      </c>
      <c r="D54" s="4" t="s">
        <v>944</v>
      </c>
      <c r="E54" s="5">
        <v>77084</v>
      </c>
      <c r="F54" s="6">
        <v>78.240260000000006</v>
      </c>
      <c r="G54" s="7">
        <v>5.433411E-3</v>
      </c>
      <c r="H54" s="6"/>
    </row>
    <row r="55" spans="1:8" ht="25.5" x14ac:dyDescent="0.2">
      <c r="A55" s="3">
        <v>49</v>
      </c>
      <c r="B55" s="4" t="s">
        <v>248</v>
      </c>
      <c r="C55" s="4" t="s">
        <v>249</v>
      </c>
      <c r="D55" s="4" t="s">
        <v>950</v>
      </c>
      <c r="E55" s="5">
        <v>14626</v>
      </c>
      <c r="F55" s="6">
        <v>77.656746999999996</v>
      </c>
      <c r="G55" s="7">
        <v>5.3928889999999997E-3</v>
      </c>
      <c r="H55" s="6"/>
    </row>
    <row r="56" spans="1:8" x14ac:dyDescent="0.2">
      <c r="A56" s="3">
        <v>50</v>
      </c>
      <c r="B56" s="4" t="s">
        <v>250</v>
      </c>
      <c r="C56" s="4" t="s">
        <v>251</v>
      </c>
      <c r="D56" s="4" t="s">
        <v>302</v>
      </c>
      <c r="E56" s="5">
        <v>10857</v>
      </c>
      <c r="F56" s="6">
        <v>70.5542145</v>
      </c>
      <c r="G56" s="7">
        <v>4.899652E-3</v>
      </c>
      <c r="H56" s="6"/>
    </row>
    <row r="57" spans="1:8" x14ac:dyDescent="0.2">
      <c r="A57" s="3">
        <v>51</v>
      </c>
      <c r="B57" s="4" t="s">
        <v>252</v>
      </c>
      <c r="C57" s="4" t="s">
        <v>253</v>
      </c>
      <c r="D57" s="4" t="s">
        <v>91</v>
      </c>
      <c r="E57" s="5">
        <v>28290</v>
      </c>
      <c r="F57" s="6">
        <v>70.031895000000006</v>
      </c>
      <c r="G57" s="7">
        <v>4.8633790000000001E-3</v>
      </c>
      <c r="H57" s="6"/>
    </row>
    <row r="58" spans="1:8" ht="25.5" x14ac:dyDescent="0.2">
      <c r="A58" s="3">
        <v>52</v>
      </c>
      <c r="B58" s="4" t="s">
        <v>188</v>
      </c>
      <c r="C58" s="4" t="s">
        <v>189</v>
      </c>
      <c r="D58" s="4" t="s">
        <v>945</v>
      </c>
      <c r="E58" s="5">
        <v>1484</v>
      </c>
      <c r="F58" s="6">
        <v>65.842854000000003</v>
      </c>
      <c r="G58" s="7">
        <v>4.5724700000000004E-3</v>
      </c>
      <c r="H58" s="6"/>
    </row>
    <row r="59" spans="1:8" x14ac:dyDescent="0.2">
      <c r="A59" s="3">
        <v>53</v>
      </c>
      <c r="B59" s="4" t="s">
        <v>106</v>
      </c>
      <c r="C59" s="4" t="s">
        <v>107</v>
      </c>
      <c r="D59" s="4" t="s">
        <v>923</v>
      </c>
      <c r="E59" s="5">
        <v>78875</v>
      </c>
      <c r="F59" s="6">
        <v>59.866124999999997</v>
      </c>
      <c r="G59" s="7">
        <v>4.1574150000000002E-3</v>
      </c>
      <c r="H59" s="6"/>
    </row>
    <row r="60" spans="1:8" ht="38.25" x14ac:dyDescent="0.2">
      <c r="A60" s="3">
        <v>54</v>
      </c>
      <c r="B60" s="4" t="s">
        <v>254</v>
      </c>
      <c r="C60" s="4" t="s">
        <v>255</v>
      </c>
      <c r="D60" s="4" t="s">
        <v>953</v>
      </c>
      <c r="E60" s="5">
        <v>6764</v>
      </c>
      <c r="F60" s="6">
        <v>47.030092000000003</v>
      </c>
      <c r="G60" s="7">
        <v>3.2660139999999998E-3</v>
      </c>
      <c r="H60" s="6"/>
    </row>
    <row r="61" spans="1:8" ht="25.5" x14ac:dyDescent="0.2">
      <c r="A61" s="3">
        <v>55</v>
      </c>
      <c r="B61" s="4" t="s">
        <v>256</v>
      </c>
      <c r="C61" s="4" t="s">
        <v>257</v>
      </c>
      <c r="D61" s="4" t="s">
        <v>954</v>
      </c>
      <c r="E61" s="5">
        <v>13168</v>
      </c>
      <c r="F61" s="6">
        <v>44.106216000000003</v>
      </c>
      <c r="G61" s="7">
        <v>3.062965E-3</v>
      </c>
      <c r="H61" s="6"/>
    </row>
    <row r="62" spans="1:8" x14ac:dyDescent="0.2">
      <c r="A62" s="3">
        <v>56</v>
      </c>
      <c r="B62" s="4" t="s">
        <v>94</v>
      </c>
      <c r="C62" s="4" t="s">
        <v>95</v>
      </c>
      <c r="D62" s="4" t="s">
        <v>64</v>
      </c>
      <c r="E62" s="5">
        <v>27635</v>
      </c>
      <c r="F62" s="6">
        <v>38.0948475</v>
      </c>
      <c r="G62" s="7">
        <v>2.6455039999999999E-3</v>
      </c>
      <c r="H62" s="6"/>
    </row>
    <row r="63" spans="1:8" ht="25.5" x14ac:dyDescent="0.2">
      <c r="A63" s="3">
        <v>57</v>
      </c>
      <c r="B63" s="4" t="s">
        <v>258</v>
      </c>
      <c r="C63" s="4" t="s">
        <v>259</v>
      </c>
      <c r="D63" s="4" t="s">
        <v>946</v>
      </c>
      <c r="E63" s="5">
        <v>3966</v>
      </c>
      <c r="F63" s="6">
        <v>35.295417</v>
      </c>
      <c r="G63" s="7">
        <v>2.4510970000000002E-3</v>
      </c>
      <c r="H63" s="6"/>
    </row>
    <row r="64" spans="1:8" ht="14.1" customHeight="1" x14ac:dyDescent="0.2">
      <c r="A64" s="1"/>
      <c r="B64" s="1"/>
      <c r="C64" s="2" t="s">
        <v>111</v>
      </c>
      <c r="D64" s="1"/>
      <c r="E64" s="1" t="s">
        <v>112</v>
      </c>
      <c r="F64" s="9">
        <v>8470.9380380000002</v>
      </c>
      <c r="G64" s="10">
        <v>0.58826601499999998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113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111</v>
      </c>
      <c r="D67" s="1"/>
      <c r="E67" s="1" t="s">
        <v>112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114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115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111</v>
      </c>
      <c r="D73" s="1"/>
      <c r="E73" s="1" t="s">
        <v>112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116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111</v>
      </c>
      <c r="D76" s="1"/>
      <c r="E76" s="1" t="s">
        <v>112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117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8" customHeight="1" x14ac:dyDescent="0.2">
      <c r="A81" s="1"/>
      <c r="B81" s="1"/>
      <c r="C81" s="2" t="s">
        <v>118</v>
      </c>
      <c r="D81" s="1"/>
      <c r="E81" s="1"/>
      <c r="F81" s="9">
        <v>8470.9380380000002</v>
      </c>
      <c r="G81" s="10">
        <v>0.58826601499999998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119</v>
      </c>
      <c r="D83" s="1"/>
      <c r="E83" s="1"/>
      <c r="F83" s="12"/>
      <c r="G83" s="12"/>
      <c r="H83" s="6"/>
    </row>
    <row r="84" spans="1:8" ht="24" customHeight="1" x14ac:dyDescent="0.2">
      <c r="A84" s="1"/>
      <c r="B84" s="1"/>
      <c r="C84" s="2" t="s">
        <v>10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120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121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111</v>
      </c>
      <c r="D91" s="1"/>
      <c r="E91" s="1" t="s">
        <v>112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122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123</v>
      </c>
      <c r="D96" s="1"/>
      <c r="E96" s="1"/>
      <c r="F96" s="9">
        <v>0</v>
      </c>
      <c r="G96" s="10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124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125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126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127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128</v>
      </c>
      <c r="D108" s="1"/>
      <c r="E108" s="1"/>
      <c r="F108" s="12"/>
      <c r="G108" s="12"/>
      <c r="H108" s="6"/>
    </row>
    <row r="109" spans="1:8" ht="17.100000000000001" customHeight="1" x14ac:dyDescent="0.2">
      <c r="A109" s="3">
        <v>1</v>
      </c>
      <c r="B109" s="4"/>
      <c r="C109" s="4" t="s">
        <v>129</v>
      </c>
      <c r="D109" s="4"/>
      <c r="E109" s="8"/>
      <c r="F109" s="6">
        <v>5540.7282684000002</v>
      </c>
      <c r="G109" s="7">
        <v>0.38477700300000001</v>
      </c>
      <c r="H109" s="6">
        <v>3.9343919198424624</v>
      </c>
    </row>
    <row r="110" spans="1:8" ht="17.100000000000001" customHeight="1" x14ac:dyDescent="0.2">
      <c r="A110" s="3">
        <v>2</v>
      </c>
      <c r="B110" s="4"/>
      <c r="C110" s="4" t="s">
        <v>130</v>
      </c>
      <c r="D110" s="4"/>
      <c r="E110" s="8"/>
      <c r="F110" s="6">
        <v>363.91247449999997</v>
      </c>
      <c r="G110" s="7">
        <v>2.5271976000000002E-2</v>
      </c>
      <c r="H110" s="6">
        <v>3.8</v>
      </c>
    </row>
    <row r="111" spans="1:8" ht="14.1" customHeight="1" x14ac:dyDescent="0.2">
      <c r="A111" s="1"/>
      <c r="B111" s="1"/>
      <c r="C111" s="2" t="s">
        <v>111</v>
      </c>
      <c r="D111" s="1"/>
      <c r="E111" s="1" t="s">
        <v>112</v>
      </c>
      <c r="F111" s="9">
        <v>5904.6407429000001</v>
      </c>
      <c r="G111" s="10">
        <v>0.41004897899999998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131</v>
      </c>
      <c r="D113" s="1"/>
      <c r="E113" s="1"/>
      <c r="F113" s="9">
        <v>5904.6407429000001</v>
      </c>
      <c r="G113" s="10">
        <v>0.41004897899999998</v>
      </c>
      <c r="H113" s="6"/>
    </row>
    <row r="114" spans="1:8" ht="14.1" customHeight="1" x14ac:dyDescent="0.2">
      <c r="A114" s="1"/>
      <c r="B114" s="1"/>
      <c r="C114" s="12"/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132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133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134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135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24" customHeight="1" x14ac:dyDescent="0.2">
      <c r="A124" s="1"/>
      <c r="B124" s="1"/>
      <c r="C124" s="2" t="s">
        <v>136</v>
      </c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111</v>
      </c>
      <c r="D125" s="1"/>
      <c r="E125" s="1" t="s">
        <v>112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4"/>
      <c r="C127" s="4"/>
      <c r="D127" s="2"/>
      <c r="E127" s="1"/>
      <c r="F127" s="4"/>
      <c r="G127" s="8"/>
      <c r="H127" s="6"/>
    </row>
    <row r="128" spans="1:8" ht="18" customHeight="1" x14ac:dyDescent="0.2">
      <c r="A128" s="8"/>
      <c r="B128" s="4"/>
      <c r="C128" s="4" t="s">
        <v>137</v>
      </c>
      <c r="D128" s="4"/>
      <c r="E128" s="8"/>
      <c r="F128" s="6">
        <v>24.263806809999998</v>
      </c>
      <c r="G128" s="7">
        <v>1.6850050000000001E-3</v>
      </c>
      <c r="H128" s="6"/>
    </row>
    <row r="129" spans="1:8" ht="14.1" customHeight="1" x14ac:dyDescent="0.2">
      <c r="A129" s="11"/>
      <c r="B129" s="11"/>
      <c r="C129" s="2" t="s">
        <v>138</v>
      </c>
      <c r="D129" s="15"/>
      <c r="E129" s="15"/>
      <c r="F129" s="9">
        <v>14399.84258771</v>
      </c>
      <c r="G129" s="10">
        <v>0.99999999900000003</v>
      </c>
      <c r="H129" s="6"/>
    </row>
    <row r="130" spans="1:8" ht="14.1" customHeight="1" x14ac:dyDescent="0.2">
      <c r="A130" s="18"/>
      <c r="B130" s="297" t="s">
        <v>112</v>
      </c>
      <c r="C130" s="297"/>
      <c r="D130" s="297"/>
      <c r="E130" s="297"/>
      <c r="F130" s="297"/>
      <c r="G130" s="20"/>
    </row>
    <row r="131" spans="1:8" ht="14.1" customHeight="1" x14ac:dyDescent="0.2">
      <c r="A131" s="18"/>
      <c r="B131" s="18"/>
      <c r="C131" s="18"/>
      <c r="D131" s="20"/>
      <c r="E131" s="20"/>
      <c r="F131" s="20"/>
      <c r="G131" s="20"/>
    </row>
    <row r="132" spans="1:8" ht="14.1" customHeight="1" x14ac:dyDescent="0.2">
      <c r="A132" s="18"/>
      <c r="B132" s="294" t="s">
        <v>140</v>
      </c>
      <c r="C132" s="295"/>
      <c r="D132" s="12" t="s">
        <v>112</v>
      </c>
      <c r="E132" s="21"/>
      <c r="F132" s="20"/>
      <c r="G132" s="20"/>
    </row>
    <row r="133" spans="1:8" ht="29.1" customHeight="1" x14ac:dyDescent="0.2">
      <c r="A133" s="18"/>
      <c r="B133" s="288" t="s">
        <v>141</v>
      </c>
      <c r="C133" s="289"/>
      <c r="D133" s="2" t="s">
        <v>142</v>
      </c>
      <c r="E133" s="21"/>
      <c r="F133" s="20"/>
      <c r="G133" s="20"/>
    </row>
    <row r="134" spans="1:8" ht="17.100000000000001" customHeight="1" x14ac:dyDescent="0.2">
      <c r="A134" s="18"/>
      <c r="B134" s="288" t="s">
        <v>143</v>
      </c>
      <c r="C134" s="289"/>
      <c r="D134" s="2" t="s">
        <v>142</v>
      </c>
      <c r="E134" s="21"/>
      <c r="F134" s="20"/>
      <c r="G134" s="20"/>
    </row>
    <row r="135" spans="1:8" ht="17.100000000000001" customHeight="1" x14ac:dyDescent="0.2">
      <c r="A135" s="18"/>
      <c r="B135" s="288" t="s">
        <v>144</v>
      </c>
      <c r="C135" s="289"/>
      <c r="D135" s="12" t="s">
        <v>112</v>
      </c>
      <c r="E135" s="21"/>
      <c r="F135" s="20"/>
      <c r="G135" s="20"/>
    </row>
    <row r="136" spans="1:8" ht="24" customHeight="1" x14ac:dyDescent="0.2">
      <c r="A136" s="22"/>
      <c r="B136" s="23" t="s">
        <v>112</v>
      </c>
      <c r="C136" s="23" t="s">
        <v>145</v>
      </c>
      <c r="D136" s="23" t="s">
        <v>146</v>
      </c>
      <c r="E136" s="22"/>
      <c r="F136" s="22"/>
      <c r="G136" s="22"/>
    </row>
    <row r="137" spans="1:8" ht="18" customHeight="1" x14ac:dyDescent="0.2">
      <c r="A137" s="22"/>
      <c r="B137" s="23" t="s">
        <v>147</v>
      </c>
      <c r="C137" s="23" t="s">
        <v>148</v>
      </c>
      <c r="D137" s="23" t="s">
        <v>149</v>
      </c>
      <c r="E137" s="22"/>
      <c r="F137" s="22"/>
      <c r="G137" s="22"/>
    </row>
    <row r="138" spans="1:8" ht="17.100000000000001" customHeight="1" x14ac:dyDescent="0.2">
      <c r="A138" s="22"/>
      <c r="B138" s="4" t="s">
        <v>150</v>
      </c>
      <c r="C138" s="24">
        <v>15.9628</v>
      </c>
      <c r="D138" s="24">
        <v>16.2742</v>
      </c>
      <c r="E138" s="22"/>
      <c r="F138" s="19"/>
      <c r="G138" s="25"/>
    </row>
    <row r="139" spans="1:8" ht="17.100000000000001" customHeight="1" x14ac:dyDescent="0.2">
      <c r="A139" s="22"/>
      <c r="B139" s="4" t="s">
        <v>1114</v>
      </c>
      <c r="C139" s="24">
        <v>15.9628</v>
      </c>
      <c r="D139" s="24">
        <v>16.2742</v>
      </c>
      <c r="E139" s="22"/>
      <c r="F139" s="19"/>
      <c r="G139" s="25"/>
    </row>
    <row r="140" spans="1:8" ht="17.100000000000001" customHeight="1" x14ac:dyDescent="0.2">
      <c r="A140" s="22"/>
      <c r="B140" s="4" t="s">
        <v>151</v>
      </c>
      <c r="C140" s="24">
        <v>15.5403</v>
      </c>
      <c r="D140" s="24">
        <v>15.835900000000001</v>
      </c>
      <c r="E140" s="22"/>
      <c r="F140" s="19"/>
      <c r="G140" s="25"/>
    </row>
    <row r="141" spans="1:8" ht="17.100000000000001" customHeight="1" x14ac:dyDescent="0.2">
      <c r="A141" s="22"/>
      <c r="B141" s="4" t="s">
        <v>1115</v>
      </c>
      <c r="C141" s="24">
        <v>15.5403</v>
      </c>
      <c r="D141" s="24">
        <v>15.835900000000001</v>
      </c>
      <c r="E141" s="22"/>
      <c r="F141" s="19"/>
      <c r="G141" s="25"/>
    </row>
    <row r="142" spans="1:8" ht="14.1" customHeight="1" x14ac:dyDescent="0.2">
      <c r="A142" s="22"/>
      <c r="B142" s="22"/>
      <c r="C142" s="22"/>
      <c r="D142" s="22"/>
      <c r="E142" s="22"/>
      <c r="F142" s="22"/>
      <c r="G142" s="22"/>
    </row>
    <row r="143" spans="1:8" ht="17.100000000000001" customHeight="1" x14ac:dyDescent="0.2">
      <c r="A143" s="22"/>
      <c r="B143" s="288" t="s">
        <v>1116</v>
      </c>
      <c r="C143" s="289"/>
      <c r="D143" s="2" t="s">
        <v>142</v>
      </c>
      <c r="E143" s="22"/>
      <c r="F143" s="22"/>
      <c r="G143" s="22"/>
    </row>
    <row r="144" spans="1:8" ht="14.1" customHeight="1" x14ac:dyDescent="0.2">
      <c r="A144" s="22"/>
      <c r="B144" s="19"/>
      <c r="C144" s="19"/>
      <c r="D144" s="22"/>
      <c r="E144" s="22"/>
      <c r="F144" s="22"/>
      <c r="G144" s="22"/>
    </row>
    <row r="145" spans="1:7" ht="29.1" customHeight="1" x14ac:dyDescent="0.2">
      <c r="A145" s="22"/>
      <c r="B145" s="288" t="s">
        <v>153</v>
      </c>
      <c r="C145" s="289"/>
      <c r="D145" s="2" t="s">
        <v>142</v>
      </c>
      <c r="E145" s="22"/>
      <c r="F145" s="22"/>
      <c r="G145" s="22"/>
    </row>
    <row r="146" spans="1:7" ht="29.1" customHeight="1" x14ac:dyDescent="0.2">
      <c r="A146" s="22"/>
      <c r="B146" s="288" t="s">
        <v>154</v>
      </c>
      <c r="C146" s="289"/>
      <c r="D146" s="2" t="s">
        <v>142</v>
      </c>
      <c r="E146" s="22"/>
      <c r="F146" s="22"/>
      <c r="G146" s="22"/>
    </row>
    <row r="147" spans="1:7" ht="17.100000000000001" customHeight="1" x14ac:dyDescent="0.2">
      <c r="A147" s="22"/>
      <c r="B147" s="288" t="s">
        <v>155</v>
      </c>
      <c r="C147" s="289"/>
      <c r="D147" s="26">
        <v>0.35678213178522467</v>
      </c>
      <c r="E147" s="22"/>
      <c r="F147" s="19"/>
      <c r="G147" s="25"/>
    </row>
    <row r="148" spans="1:7" ht="17.100000000000001" customHeight="1" x14ac:dyDescent="0.2">
      <c r="A148" s="22"/>
      <c r="B148" s="288" t="s">
        <v>156</v>
      </c>
      <c r="C148" s="289"/>
      <c r="D148" s="2" t="s">
        <v>142</v>
      </c>
      <c r="E148" s="22"/>
      <c r="F148" s="22"/>
      <c r="G148" s="22"/>
    </row>
    <row r="165" spans="10:15" x14ac:dyDescent="0.2">
      <c r="J165" s="66"/>
      <c r="K165" s="66"/>
      <c r="L165" s="66"/>
      <c r="M165" s="66"/>
      <c r="N165" s="66"/>
      <c r="O165" s="66"/>
    </row>
  </sheetData>
  <mergeCells count="14">
    <mergeCell ref="A1:H1"/>
    <mergeCell ref="A2:H2"/>
    <mergeCell ref="A3:H3"/>
    <mergeCell ref="B132:C132"/>
    <mergeCell ref="J2:N2"/>
    <mergeCell ref="B130:F130"/>
    <mergeCell ref="B147:C147"/>
    <mergeCell ref="B148:C148"/>
    <mergeCell ref="B133:C133"/>
    <mergeCell ref="B134:C134"/>
    <mergeCell ref="B135:C135"/>
    <mergeCell ref="B143:C143"/>
    <mergeCell ref="B145:C145"/>
    <mergeCell ref="B146:C14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6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260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32056</v>
      </c>
      <c r="F7" s="6">
        <v>386.98003199999999</v>
      </c>
      <c r="G7" s="7">
        <v>3.2046039999999998E-2</v>
      </c>
      <c r="H7" s="6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62247</v>
      </c>
      <c r="F8" s="6">
        <v>376.81221449999998</v>
      </c>
      <c r="G8" s="7">
        <v>3.1204037E-2</v>
      </c>
      <c r="H8" s="6"/>
    </row>
    <row r="9" spans="1:14" x14ac:dyDescent="0.2">
      <c r="A9" s="3">
        <v>3</v>
      </c>
      <c r="B9" s="4" t="s">
        <v>261</v>
      </c>
      <c r="C9" s="4" t="s">
        <v>262</v>
      </c>
      <c r="D9" s="4" t="s">
        <v>955</v>
      </c>
      <c r="E9" s="5">
        <v>188288</v>
      </c>
      <c r="F9" s="6">
        <v>372.62195200000002</v>
      </c>
      <c r="G9" s="7">
        <v>3.0857038999999999E-2</v>
      </c>
      <c r="H9" s="6"/>
    </row>
    <row r="10" spans="1:14" x14ac:dyDescent="0.2">
      <c r="A10" s="3">
        <v>4</v>
      </c>
      <c r="B10" s="4" t="s">
        <v>209</v>
      </c>
      <c r="C10" s="4" t="s">
        <v>210</v>
      </c>
      <c r="D10" s="4" t="s">
        <v>934</v>
      </c>
      <c r="E10" s="5">
        <v>19044</v>
      </c>
      <c r="F10" s="6">
        <v>371.205648</v>
      </c>
      <c r="G10" s="7">
        <v>3.0739754000000001E-2</v>
      </c>
      <c r="H10" s="6"/>
    </row>
    <row r="11" spans="1:14" ht="25.5" x14ac:dyDescent="0.2">
      <c r="A11" s="3">
        <v>5</v>
      </c>
      <c r="B11" s="4" t="s">
        <v>217</v>
      </c>
      <c r="C11" s="4" t="s">
        <v>218</v>
      </c>
      <c r="D11" s="4" t="s">
        <v>946</v>
      </c>
      <c r="E11" s="5">
        <v>8708</v>
      </c>
      <c r="F11" s="6">
        <v>342.38114400000001</v>
      </c>
      <c r="G11" s="7">
        <v>2.8352780000000001E-2</v>
      </c>
      <c r="H11" s="6"/>
    </row>
    <row r="12" spans="1:14" x14ac:dyDescent="0.2">
      <c r="A12" s="3">
        <v>6</v>
      </c>
      <c r="B12" s="4" t="s">
        <v>195</v>
      </c>
      <c r="C12" s="4" t="s">
        <v>196</v>
      </c>
      <c r="D12" s="4" t="s">
        <v>71</v>
      </c>
      <c r="E12" s="5">
        <v>49555</v>
      </c>
      <c r="F12" s="6">
        <v>314.7485825</v>
      </c>
      <c r="G12" s="7">
        <v>2.6064512000000001E-2</v>
      </c>
      <c r="H12" s="6"/>
    </row>
    <row r="13" spans="1:14" x14ac:dyDescent="0.2">
      <c r="A13" s="3">
        <v>7</v>
      </c>
      <c r="B13" s="4" t="s">
        <v>229</v>
      </c>
      <c r="C13" s="4" t="s">
        <v>230</v>
      </c>
      <c r="D13" s="4" t="s">
        <v>26</v>
      </c>
      <c r="E13" s="5">
        <v>32433</v>
      </c>
      <c r="F13" s="6">
        <v>289.23749400000003</v>
      </c>
      <c r="G13" s="7">
        <v>2.3951923999999999E-2</v>
      </c>
      <c r="H13" s="6"/>
    </row>
    <row r="14" spans="1:14" x14ac:dyDescent="0.2">
      <c r="A14" s="3">
        <v>8</v>
      </c>
      <c r="B14" s="4" t="s">
        <v>207</v>
      </c>
      <c r="C14" s="4" t="s">
        <v>208</v>
      </c>
      <c r="D14" s="4" t="s">
        <v>948</v>
      </c>
      <c r="E14" s="5">
        <v>55085</v>
      </c>
      <c r="F14" s="6">
        <v>276.08602000000002</v>
      </c>
      <c r="G14" s="7">
        <v>2.2862843000000001E-2</v>
      </c>
      <c r="H14" s="6"/>
    </row>
    <row r="15" spans="1:14" x14ac:dyDescent="0.2">
      <c r="A15" s="3">
        <v>9</v>
      </c>
      <c r="B15" s="4" t="s">
        <v>193</v>
      </c>
      <c r="C15" s="4" t="s">
        <v>194</v>
      </c>
      <c r="D15" s="4" t="s">
        <v>947</v>
      </c>
      <c r="E15" s="5">
        <v>49716</v>
      </c>
      <c r="F15" s="6">
        <v>275.35206599999998</v>
      </c>
      <c r="G15" s="7">
        <v>2.2802063000000001E-2</v>
      </c>
      <c r="H15" s="6"/>
    </row>
    <row r="16" spans="1:14" ht="15" x14ac:dyDescent="0.2">
      <c r="A16" s="3">
        <v>10</v>
      </c>
      <c r="B16" s="4" t="s">
        <v>30</v>
      </c>
      <c r="C16" s="4" t="s">
        <v>31</v>
      </c>
      <c r="D16" s="4" t="s">
        <v>26</v>
      </c>
      <c r="E16" s="5">
        <v>15418</v>
      </c>
      <c r="F16" s="6">
        <v>264.10263099999997</v>
      </c>
      <c r="G16" s="7">
        <v>2.1870490999999999E-2</v>
      </c>
      <c r="H16" s="6"/>
      <c r="J16" s="192" t="s">
        <v>1141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942</v>
      </c>
      <c r="E17" s="5">
        <v>21516</v>
      </c>
      <c r="F17" s="6">
        <v>262.87173000000001</v>
      </c>
      <c r="G17" s="7">
        <v>2.1768559999999999E-2</v>
      </c>
      <c r="H17" s="6"/>
    </row>
    <row r="18" spans="1:8" x14ac:dyDescent="0.2">
      <c r="A18" s="3">
        <v>12</v>
      </c>
      <c r="B18" s="4" t="s">
        <v>166</v>
      </c>
      <c r="C18" s="4" t="s">
        <v>167</v>
      </c>
      <c r="D18" s="4" t="s">
        <v>82</v>
      </c>
      <c r="E18" s="5">
        <v>230364</v>
      </c>
      <c r="F18" s="6">
        <v>257.08622400000002</v>
      </c>
      <c r="G18" s="7">
        <v>2.1289458000000001E-2</v>
      </c>
      <c r="H18" s="6"/>
    </row>
    <row r="19" spans="1:8" x14ac:dyDescent="0.2">
      <c r="A19" s="3">
        <v>13</v>
      </c>
      <c r="B19" s="4" t="s">
        <v>236</v>
      </c>
      <c r="C19" s="4" t="s">
        <v>237</v>
      </c>
      <c r="D19" s="4" t="s">
        <v>947</v>
      </c>
      <c r="E19" s="5">
        <v>5738</v>
      </c>
      <c r="F19" s="6">
        <v>247.91889699999999</v>
      </c>
      <c r="G19" s="7">
        <v>2.0530307000000001E-2</v>
      </c>
      <c r="H19" s="6"/>
    </row>
    <row r="20" spans="1:8" x14ac:dyDescent="0.2">
      <c r="A20" s="3">
        <v>14</v>
      </c>
      <c r="B20" s="4" t="s">
        <v>168</v>
      </c>
      <c r="C20" s="4" t="s">
        <v>169</v>
      </c>
      <c r="D20" s="4" t="s">
        <v>944</v>
      </c>
      <c r="E20" s="5">
        <v>17819</v>
      </c>
      <c r="F20" s="6">
        <v>236.53831550000001</v>
      </c>
      <c r="G20" s="7">
        <v>1.9587874000000002E-2</v>
      </c>
      <c r="H20" s="6"/>
    </row>
    <row r="21" spans="1:8" x14ac:dyDescent="0.2">
      <c r="A21" s="3">
        <v>15</v>
      </c>
      <c r="B21" s="4" t="s">
        <v>231</v>
      </c>
      <c r="C21" s="4" t="s">
        <v>232</v>
      </c>
      <c r="D21" s="4" t="s">
        <v>233</v>
      </c>
      <c r="E21" s="5">
        <v>72801</v>
      </c>
      <c r="F21" s="6">
        <v>205.18961849999999</v>
      </c>
      <c r="G21" s="7">
        <v>1.6991870999999999E-2</v>
      </c>
      <c r="H21" s="6"/>
    </row>
    <row r="22" spans="1:8" x14ac:dyDescent="0.2">
      <c r="A22" s="3">
        <v>16</v>
      </c>
      <c r="B22" s="4" t="s">
        <v>85</v>
      </c>
      <c r="C22" s="4" t="s">
        <v>86</v>
      </c>
      <c r="D22" s="4" t="s">
        <v>64</v>
      </c>
      <c r="E22" s="5">
        <v>12753</v>
      </c>
      <c r="F22" s="6">
        <v>199.57807349999999</v>
      </c>
      <c r="G22" s="7">
        <v>1.6527175000000002E-2</v>
      </c>
      <c r="H22" s="6"/>
    </row>
    <row r="23" spans="1:8" x14ac:dyDescent="0.2">
      <c r="A23" s="3">
        <v>17</v>
      </c>
      <c r="B23" s="4" t="s">
        <v>197</v>
      </c>
      <c r="C23" s="4" t="s">
        <v>198</v>
      </c>
      <c r="D23" s="4" t="s">
        <v>82</v>
      </c>
      <c r="E23" s="5">
        <v>27098</v>
      </c>
      <c r="F23" s="6">
        <v>190.33635200000001</v>
      </c>
      <c r="G23" s="7">
        <v>1.5761863000000001E-2</v>
      </c>
      <c r="H23" s="6"/>
    </row>
    <row r="24" spans="1:8" x14ac:dyDescent="0.2">
      <c r="A24" s="3">
        <v>18</v>
      </c>
      <c r="B24" s="4" t="s">
        <v>36</v>
      </c>
      <c r="C24" s="4" t="s">
        <v>37</v>
      </c>
      <c r="D24" s="4" t="s">
        <v>26</v>
      </c>
      <c r="E24" s="5">
        <v>14186</v>
      </c>
      <c r="F24" s="6">
        <v>189.36891399999999</v>
      </c>
      <c r="G24" s="7">
        <v>1.5681748999999998E-2</v>
      </c>
      <c r="H24" s="6"/>
    </row>
    <row r="25" spans="1:8" x14ac:dyDescent="0.2">
      <c r="A25" s="3">
        <v>19</v>
      </c>
      <c r="B25" s="4" t="s">
        <v>178</v>
      </c>
      <c r="C25" s="4" t="s">
        <v>179</v>
      </c>
      <c r="D25" s="4" t="s">
        <v>934</v>
      </c>
      <c r="E25" s="5">
        <v>13239</v>
      </c>
      <c r="F25" s="6">
        <v>189.344178</v>
      </c>
      <c r="G25" s="7">
        <v>1.5679701000000001E-2</v>
      </c>
      <c r="H25" s="6"/>
    </row>
    <row r="26" spans="1:8" x14ac:dyDescent="0.2">
      <c r="A26" s="3">
        <v>20</v>
      </c>
      <c r="B26" s="4" t="s">
        <v>199</v>
      </c>
      <c r="C26" s="4" t="s">
        <v>200</v>
      </c>
      <c r="D26" s="4" t="s">
        <v>940</v>
      </c>
      <c r="E26" s="5">
        <v>10027</v>
      </c>
      <c r="F26" s="6">
        <v>187.0687255</v>
      </c>
      <c r="G26" s="7">
        <v>1.5491269E-2</v>
      </c>
      <c r="H26" s="6"/>
    </row>
    <row r="27" spans="1:8" ht="25.5" x14ac:dyDescent="0.2">
      <c r="A27" s="3">
        <v>21</v>
      </c>
      <c r="B27" s="4" t="s">
        <v>158</v>
      </c>
      <c r="C27" s="4" t="s">
        <v>159</v>
      </c>
      <c r="D27" s="4" t="s">
        <v>941</v>
      </c>
      <c r="E27" s="5">
        <v>25510</v>
      </c>
      <c r="F27" s="6">
        <v>180.87865500000001</v>
      </c>
      <c r="G27" s="7">
        <v>1.4978666E-2</v>
      </c>
      <c r="H27" s="6"/>
    </row>
    <row r="28" spans="1:8" ht="25.5" x14ac:dyDescent="0.2">
      <c r="A28" s="3">
        <v>22</v>
      </c>
      <c r="B28" s="4" t="s">
        <v>170</v>
      </c>
      <c r="C28" s="4" t="s">
        <v>171</v>
      </c>
      <c r="D28" s="4" t="s">
        <v>945</v>
      </c>
      <c r="E28" s="5">
        <v>47293</v>
      </c>
      <c r="F28" s="6">
        <v>179.90257199999999</v>
      </c>
      <c r="G28" s="7">
        <v>1.4897835999999999E-2</v>
      </c>
      <c r="H28" s="6"/>
    </row>
    <row r="29" spans="1:8" x14ac:dyDescent="0.2">
      <c r="A29" s="3">
        <v>23</v>
      </c>
      <c r="B29" s="4" t="s">
        <v>92</v>
      </c>
      <c r="C29" s="4" t="s">
        <v>93</v>
      </c>
      <c r="D29" s="4" t="s">
        <v>923</v>
      </c>
      <c r="E29" s="5">
        <v>39179</v>
      </c>
      <c r="F29" s="6">
        <v>178.57788199999999</v>
      </c>
      <c r="G29" s="7">
        <v>1.4788137E-2</v>
      </c>
      <c r="H29" s="6"/>
    </row>
    <row r="30" spans="1:8" x14ac:dyDescent="0.2">
      <c r="A30" s="3">
        <v>24</v>
      </c>
      <c r="B30" s="4" t="s">
        <v>201</v>
      </c>
      <c r="C30" s="4" t="s">
        <v>202</v>
      </c>
      <c r="D30" s="4" t="s">
        <v>923</v>
      </c>
      <c r="E30" s="5">
        <v>16360</v>
      </c>
      <c r="F30" s="6">
        <v>177.74322000000001</v>
      </c>
      <c r="G30" s="7">
        <v>1.4719019E-2</v>
      </c>
      <c r="H30" s="6"/>
    </row>
    <row r="31" spans="1:8" ht="51" x14ac:dyDescent="0.2">
      <c r="A31" s="3">
        <v>25</v>
      </c>
      <c r="B31" s="4" t="s">
        <v>238</v>
      </c>
      <c r="C31" s="4" t="s">
        <v>239</v>
      </c>
      <c r="D31" s="4" t="s">
        <v>939</v>
      </c>
      <c r="E31" s="5">
        <v>72461</v>
      </c>
      <c r="F31" s="6">
        <v>173.7977085</v>
      </c>
      <c r="G31" s="7">
        <v>1.4392288E-2</v>
      </c>
      <c r="H31" s="6"/>
    </row>
    <row r="32" spans="1:8" ht="25.5" x14ac:dyDescent="0.2">
      <c r="A32" s="3">
        <v>26</v>
      </c>
      <c r="B32" s="4" t="s">
        <v>42</v>
      </c>
      <c r="C32" s="4" t="s">
        <v>43</v>
      </c>
      <c r="D32" s="4" t="s">
        <v>935</v>
      </c>
      <c r="E32" s="5">
        <v>6481</v>
      </c>
      <c r="F32" s="6">
        <v>171.55855099999999</v>
      </c>
      <c r="G32" s="7">
        <v>1.4206863E-2</v>
      </c>
      <c r="H32" s="6"/>
    </row>
    <row r="33" spans="1:8" x14ac:dyDescent="0.2">
      <c r="A33" s="3">
        <v>27</v>
      </c>
      <c r="B33" s="4" t="s">
        <v>203</v>
      </c>
      <c r="C33" s="4" t="s">
        <v>204</v>
      </c>
      <c r="D33" s="4" t="s">
        <v>82</v>
      </c>
      <c r="E33" s="5">
        <v>28924</v>
      </c>
      <c r="F33" s="6">
        <v>171.27346600000001</v>
      </c>
      <c r="G33" s="7">
        <v>1.4183253999999999E-2</v>
      </c>
      <c r="H33" s="6"/>
    </row>
    <row r="34" spans="1:8" x14ac:dyDescent="0.2">
      <c r="A34" s="3">
        <v>28</v>
      </c>
      <c r="B34" s="4" t="s">
        <v>263</v>
      </c>
      <c r="C34" s="4" t="s">
        <v>264</v>
      </c>
      <c r="D34" s="4" t="s">
        <v>26</v>
      </c>
      <c r="E34" s="5">
        <v>23981</v>
      </c>
      <c r="F34" s="6">
        <v>161.89573100000001</v>
      </c>
      <c r="G34" s="7">
        <v>1.3406678999999999E-2</v>
      </c>
      <c r="H34" s="6"/>
    </row>
    <row r="35" spans="1:8" x14ac:dyDescent="0.2">
      <c r="A35" s="3">
        <v>29</v>
      </c>
      <c r="B35" s="4" t="s">
        <v>265</v>
      </c>
      <c r="C35" s="4" t="s">
        <v>266</v>
      </c>
      <c r="D35" s="4" t="s">
        <v>942</v>
      </c>
      <c r="E35" s="5">
        <v>18035</v>
      </c>
      <c r="F35" s="6">
        <v>159.63680249999999</v>
      </c>
      <c r="G35" s="7">
        <v>1.3219616E-2</v>
      </c>
      <c r="H35" s="6"/>
    </row>
    <row r="36" spans="1:8" ht="25.5" x14ac:dyDescent="0.2">
      <c r="A36" s="3">
        <v>30</v>
      </c>
      <c r="B36" s="4" t="s">
        <v>180</v>
      </c>
      <c r="C36" s="4" t="s">
        <v>181</v>
      </c>
      <c r="D36" s="4" t="s">
        <v>941</v>
      </c>
      <c r="E36" s="5">
        <v>30419</v>
      </c>
      <c r="F36" s="6">
        <v>154.20912050000001</v>
      </c>
      <c r="G36" s="7">
        <v>1.2770146E-2</v>
      </c>
      <c r="H36" s="6"/>
    </row>
    <row r="37" spans="1:8" x14ac:dyDescent="0.2">
      <c r="A37" s="3">
        <v>31</v>
      </c>
      <c r="B37" s="4" t="s">
        <v>267</v>
      </c>
      <c r="C37" s="4" t="s">
        <v>268</v>
      </c>
      <c r="D37" s="4" t="s">
        <v>82</v>
      </c>
      <c r="E37" s="5">
        <v>264030</v>
      </c>
      <c r="F37" s="6">
        <v>150.76113000000001</v>
      </c>
      <c r="G37" s="7">
        <v>1.2484616E-2</v>
      </c>
      <c r="H37" s="6"/>
    </row>
    <row r="38" spans="1:8" x14ac:dyDescent="0.2">
      <c r="A38" s="3">
        <v>32</v>
      </c>
      <c r="B38" s="4" t="s">
        <v>244</v>
      </c>
      <c r="C38" s="4" t="s">
        <v>245</v>
      </c>
      <c r="D38" s="4" t="s">
        <v>13</v>
      </c>
      <c r="E38" s="5">
        <v>53872</v>
      </c>
      <c r="F38" s="6">
        <v>145.616016</v>
      </c>
      <c r="G38" s="7">
        <v>1.2058546E-2</v>
      </c>
      <c r="H38" s="6"/>
    </row>
    <row r="39" spans="1:8" x14ac:dyDescent="0.2">
      <c r="A39" s="3">
        <v>33</v>
      </c>
      <c r="B39" s="4" t="s">
        <v>205</v>
      </c>
      <c r="C39" s="4" t="s">
        <v>206</v>
      </c>
      <c r="D39" s="4" t="s">
        <v>64</v>
      </c>
      <c r="E39" s="5">
        <v>40089</v>
      </c>
      <c r="F39" s="6">
        <v>144.30035549999999</v>
      </c>
      <c r="G39" s="7">
        <v>1.1949596E-2</v>
      </c>
      <c r="H39" s="6"/>
    </row>
    <row r="40" spans="1:8" x14ac:dyDescent="0.2">
      <c r="A40" s="3">
        <v>34</v>
      </c>
      <c r="B40" s="4" t="s">
        <v>269</v>
      </c>
      <c r="C40" s="4" t="s">
        <v>270</v>
      </c>
      <c r="D40" s="4" t="s">
        <v>26</v>
      </c>
      <c r="E40" s="5">
        <v>7016</v>
      </c>
      <c r="F40" s="6">
        <v>139.207964</v>
      </c>
      <c r="G40" s="7">
        <v>1.1527892E-2</v>
      </c>
      <c r="H40" s="6"/>
    </row>
    <row r="41" spans="1:8" ht="25.5" x14ac:dyDescent="0.2">
      <c r="A41" s="3">
        <v>35</v>
      </c>
      <c r="B41" s="4" t="s">
        <v>184</v>
      </c>
      <c r="C41" s="4" t="s">
        <v>185</v>
      </c>
      <c r="D41" s="4" t="s">
        <v>935</v>
      </c>
      <c r="E41" s="5">
        <v>66035</v>
      </c>
      <c r="F41" s="6">
        <v>133.06052500000001</v>
      </c>
      <c r="G41" s="7">
        <v>1.1018818999999999E-2</v>
      </c>
      <c r="H41" s="6"/>
    </row>
    <row r="42" spans="1:8" ht="25.5" x14ac:dyDescent="0.2">
      <c r="A42" s="3">
        <v>36</v>
      </c>
      <c r="B42" s="4" t="s">
        <v>248</v>
      </c>
      <c r="C42" s="4" t="s">
        <v>249</v>
      </c>
      <c r="D42" s="4" t="s">
        <v>950</v>
      </c>
      <c r="E42" s="5">
        <v>24808</v>
      </c>
      <c r="F42" s="6">
        <v>131.718076</v>
      </c>
      <c r="G42" s="7">
        <v>1.090765E-2</v>
      </c>
      <c r="H42" s="6"/>
    </row>
    <row r="43" spans="1:8" x14ac:dyDescent="0.2">
      <c r="A43" s="3">
        <v>37</v>
      </c>
      <c r="B43" s="4" t="s">
        <v>213</v>
      </c>
      <c r="C43" s="4" t="s">
        <v>214</v>
      </c>
      <c r="D43" s="4" t="s">
        <v>64</v>
      </c>
      <c r="E43" s="5">
        <v>152329</v>
      </c>
      <c r="F43" s="6">
        <v>131.68842050000001</v>
      </c>
      <c r="G43" s="7">
        <v>1.0905194E-2</v>
      </c>
      <c r="H43" s="6"/>
    </row>
    <row r="44" spans="1:8" ht="25.5" x14ac:dyDescent="0.2">
      <c r="A44" s="3">
        <v>38</v>
      </c>
      <c r="B44" s="4" t="s">
        <v>215</v>
      </c>
      <c r="C44" s="4" t="s">
        <v>216</v>
      </c>
      <c r="D44" s="4" t="s">
        <v>945</v>
      </c>
      <c r="E44" s="5">
        <v>21308</v>
      </c>
      <c r="F44" s="6">
        <v>124.300218</v>
      </c>
      <c r="G44" s="7">
        <v>1.0293373E-2</v>
      </c>
      <c r="H44" s="6"/>
    </row>
    <row r="45" spans="1:8" x14ac:dyDescent="0.2">
      <c r="A45" s="3">
        <v>39</v>
      </c>
      <c r="B45" s="4" t="s">
        <v>164</v>
      </c>
      <c r="C45" s="4" t="s">
        <v>165</v>
      </c>
      <c r="D45" s="4" t="s">
        <v>944</v>
      </c>
      <c r="E45" s="5">
        <v>26053</v>
      </c>
      <c r="F45" s="6">
        <v>124.1816245</v>
      </c>
      <c r="G45" s="7">
        <v>1.0283552E-2</v>
      </c>
      <c r="H45" s="6"/>
    </row>
    <row r="46" spans="1:8" ht="25.5" x14ac:dyDescent="0.2">
      <c r="A46" s="3">
        <v>40</v>
      </c>
      <c r="B46" s="4" t="s">
        <v>186</v>
      </c>
      <c r="C46" s="4" t="s">
        <v>187</v>
      </c>
      <c r="D46" s="4" t="s">
        <v>946</v>
      </c>
      <c r="E46" s="5">
        <v>12112</v>
      </c>
      <c r="F46" s="6">
        <v>114.997384</v>
      </c>
      <c r="G46" s="7">
        <v>9.5230000000000002E-3</v>
      </c>
      <c r="H46" s="6"/>
    </row>
    <row r="47" spans="1:8" x14ac:dyDescent="0.2">
      <c r="A47" s="3">
        <v>41</v>
      </c>
      <c r="B47" s="4" t="s">
        <v>242</v>
      </c>
      <c r="C47" s="4" t="s">
        <v>243</v>
      </c>
      <c r="D47" s="4" t="s">
        <v>949</v>
      </c>
      <c r="E47" s="5">
        <v>45236</v>
      </c>
      <c r="F47" s="6">
        <v>114.401844</v>
      </c>
      <c r="G47" s="7">
        <v>9.4736830000000001E-3</v>
      </c>
      <c r="H47" s="6"/>
    </row>
    <row r="48" spans="1:8" x14ac:dyDescent="0.2">
      <c r="A48" s="3">
        <v>42</v>
      </c>
      <c r="B48" s="4" t="s">
        <v>211</v>
      </c>
      <c r="C48" s="4" t="s">
        <v>212</v>
      </c>
      <c r="D48" s="4" t="s">
        <v>949</v>
      </c>
      <c r="E48" s="5">
        <v>6688</v>
      </c>
      <c r="F48" s="6">
        <v>112.39184</v>
      </c>
      <c r="G48" s="7">
        <v>9.3072329999999998E-3</v>
      </c>
      <c r="H48" s="6"/>
    </row>
    <row r="49" spans="1:8" x14ac:dyDescent="0.2">
      <c r="A49" s="3">
        <v>43</v>
      </c>
      <c r="B49" s="4" t="s">
        <v>74</v>
      </c>
      <c r="C49" s="4" t="s">
        <v>75</v>
      </c>
      <c r="D49" s="4" t="s">
        <v>71</v>
      </c>
      <c r="E49" s="5">
        <v>3000</v>
      </c>
      <c r="F49" s="6">
        <v>111.291</v>
      </c>
      <c r="G49" s="7">
        <v>9.2160720000000005E-3</v>
      </c>
      <c r="H49" s="6"/>
    </row>
    <row r="50" spans="1:8" ht="25.5" x14ac:dyDescent="0.2">
      <c r="A50" s="3">
        <v>44</v>
      </c>
      <c r="B50" s="4" t="s">
        <v>219</v>
      </c>
      <c r="C50" s="4" t="s">
        <v>220</v>
      </c>
      <c r="D50" s="4" t="s">
        <v>950</v>
      </c>
      <c r="E50" s="5">
        <v>25988</v>
      </c>
      <c r="F50" s="6">
        <v>106.07002199999999</v>
      </c>
      <c r="G50" s="7">
        <v>8.7837200000000001E-3</v>
      </c>
      <c r="H50" s="6"/>
    </row>
    <row r="51" spans="1:8" x14ac:dyDescent="0.2">
      <c r="A51" s="3">
        <v>45</v>
      </c>
      <c r="B51" s="4" t="s">
        <v>252</v>
      </c>
      <c r="C51" s="4" t="s">
        <v>253</v>
      </c>
      <c r="D51" s="4" t="s">
        <v>91</v>
      </c>
      <c r="E51" s="5">
        <v>42614</v>
      </c>
      <c r="F51" s="6">
        <v>105.49095699999999</v>
      </c>
      <c r="G51" s="7">
        <v>8.7357670000000002E-3</v>
      </c>
      <c r="H51" s="6"/>
    </row>
    <row r="52" spans="1:8" ht="25.5" x14ac:dyDescent="0.2">
      <c r="A52" s="3">
        <v>46</v>
      </c>
      <c r="B52" s="4" t="s">
        <v>162</v>
      </c>
      <c r="C52" s="4" t="s">
        <v>163</v>
      </c>
      <c r="D52" s="4" t="s">
        <v>943</v>
      </c>
      <c r="E52" s="5">
        <v>100256</v>
      </c>
      <c r="F52" s="6">
        <v>103.11329600000001</v>
      </c>
      <c r="G52" s="7">
        <v>8.5388719999999994E-3</v>
      </c>
      <c r="H52" s="6"/>
    </row>
    <row r="53" spans="1:8" x14ac:dyDescent="0.2">
      <c r="A53" s="3">
        <v>47</v>
      </c>
      <c r="B53" s="4" t="s">
        <v>174</v>
      </c>
      <c r="C53" s="4" t="s">
        <v>175</v>
      </c>
      <c r="D53" s="4" t="s">
        <v>71</v>
      </c>
      <c r="E53" s="5">
        <v>16226</v>
      </c>
      <c r="F53" s="6">
        <v>102.986422</v>
      </c>
      <c r="G53" s="7">
        <v>8.5283649999999996E-3</v>
      </c>
      <c r="H53" s="6"/>
    </row>
    <row r="54" spans="1:8" ht="25.5" x14ac:dyDescent="0.2">
      <c r="A54" s="3">
        <v>48</v>
      </c>
      <c r="B54" s="4" t="s">
        <v>221</v>
      </c>
      <c r="C54" s="4" t="s">
        <v>222</v>
      </c>
      <c r="D54" s="4" t="s">
        <v>945</v>
      </c>
      <c r="E54" s="5">
        <v>5980</v>
      </c>
      <c r="F54" s="6">
        <v>102.79022000000001</v>
      </c>
      <c r="G54" s="7">
        <v>8.5121169999999996E-3</v>
      </c>
      <c r="H54" s="6"/>
    </row>
    <row r="55" spans="1:8" x14ac:dyDescent="0.2">
      <c r="A55" s="3">
        <v>49</v>
      </c>
      <c r="B55" s="4" t="s">
        <v>223</v>
      </c>
      <c r="C55" s="4" t="s">
        <v>224</v>
      </c>
      <c r="D55" s="4" t="s">
        <v>71</v>
      </c>
      <c r="E55" s="5">
        <v>40563</v>
      </c>
      <c r="F55" s="6">
        <v>99.987795000000006</v>
      </c>
      <c r="G55" s="7">
        <v>8.2800470000000004E-3</v>
      </c>
      <c r="H55" s="6"/>
    </row>
    <row r="56" spans="1:8" ht="25.5" x14ac:dyDescent="0.2">
      <c r="A56" s="3">
        <v>50</v>
      </c>
      <c r="B56" s="4" t="s">
        <v>256</v>
      </c>
      <c r="C56" s="4" t="s">
        <v>257</v>
      </c>
      <c r="D56" s="4" t="s">
        <v>954</v>
      </c>
      <c r="E56" s="5">
        <v>29657</v>
      </c>
      <c r="F56" s="6">
        <v>99.336121500000004</v>
      </c>
      <c r="G56" s="7">
        <v>8.2260819999999991E-3</v>
      </c>
      <c r="H56" s="6"/>
    </row>
    <row r="57" spans="1:8" x14ac:dyDescent="0.2">
      <c r="A57" s="3">
        <v>51</v>
      </c>
      <c r="B57" s="4" t="s">
        <v>227</v>
      </c>
      <c r="C57" s="4" t="s">
        <v>228</v>
      </c>
      <c r="D57" s="4" t="s">
        <v>26</v>
      </c>
      <c r="E57" s="5">
        <v>9688</v>
      </c>
      <c r="F57" s="6">
        <v>98.246008000000003</v>
      </c>
      <c r="G57" s="7">
        <v>8.1358090000000008E-3</v>
      </c>
      <c r="H57" s="6"/>
    </row>
    <row r="58" spans="1:8" x14ac:dyDescent="0.2">
      <c r="A58" s="3">
        <v>52</v>
      </c>
      <c r="B58" s="4" t="s">
        <v>225</v>
      </c>
      <c r="C58" s="4" t="s">
        <v>226</v>
      </c>
      <c r="D58" s="4" t="s">
        <v>951</v>
      </c>
      <c r="E58" s="5">
        <v>31242</v>
      </c>
      <c r="F58" s="6">
        <v>97.959290999999993</v>
      </c>
      <c r="G58" s="7">
        <v>8.1120649999999999E-3</v>
      </c>
      <c r="H58" s="6"/>
    </row>
    <row r="59" spans="1:8" x14ac:dyDescent="0.2">
      <c r="A59" s="3">
        <v>53</v>
      </c>
      <c r="B59" s="4" t="s">
        <v>234</v>
      </c>
      <c r="C59" s="4" t="s">
        <v>235</v>
      </c>
      <c r="D59" s="4" t="s">
        <v>952</v>
      </c>
      <c r="E59" s="5">
        <v>61316</v>
      </c>
      <c r="F59" s="6">
        <v>90.808995999999993</v>
      </c>
      <c r="G59" s="7">
        <v>7.5199450000000001E-3</v>
      </c>
      <c r="H59" s="6"/>
    </row>
    <row r="60" spans="1:8" ht="25.5" x14ac:dyDescent="0.2">
      <c r="A60" s="3">
        <v>54</v>
      </c>
      <c r="B60" s="4" t="s">
        <v>172</v>
      </c>
      <c r="C60" s="4" t="s">
        <v>173</v>
      </c>
      <c r="D60" s="4" t="s">
        <v>71</v>
      </c>
      <c r="E60" s="5">
        <v>4600</v>
      </c>
      <c r="F60" s="6">
        <v>90.507300000000001</v>
      </c>
      <c r="G60" s="7">
        <v>7.494962E-3</v>
      </c>
      <c r="H60" s="6"/>
    </row>
    <row r="61" spans="1:8" ht="38.25" x14ac:dyDescent="0.2">
      <c r="A61" s="3">
        <v>55</v>
      </c>
      <c r="B61" s="4" t="s">
        <v>254</v>
      </c>
      <c r="C61" s="4" t="s">
        <v>255</v>
      </c>
      <c r="D61" s="4" t="s">
        <v>953</v>
      </c>
      <c r="E61" s="5">
        <v>11772</v>
      </c>
      <c r="F61" s="6">
        <v>81.850716000000006</v>
      </c>
      <c r="G61" s="7">
        <v>6.7781050000000004E-3</v>
      </c>
      <c r="H61" s="6"/>
    </row>
    <row r="62" spans="1:8" x14ac:dyDescent="0.2">
      <c r="A62" s="3">
        <v>56</v>
      </c>
      <c r="B62" s="4" t="s">
        <v>271</v>
      </c>
      <c r="C62" s="4" t="s">
        <v>272</v>
      </c>
      <c r="D62" s="4" t="s">
        <v>940</v>
      </c>
      <c r="E62" s="5">
        <v>12261</v>
      </c>
      <c r="F62" s="6">
        <v>76.484117999999995</v>
      </c>
      <c r="G62" s="7">
        <v>6.333694E-3</v>
      </c>
      <c r="H62" s="6"/>
    </row>
    <row r="63" spans="1:8" x14ac:dyDescent="0.2">
      <c r="A63" s="3">
        <v>57</v>
      </c>
      <c r="B63" s="4" t="s">
        <v>273</v>
      </c>
      <c r="C63" s="4" t="s">
        <v>274</v>
      </c>
      <c r="D63" s="4" t="s">
        <v>71</v>
      </c>
      <c r="E63" s="5">
        <v>5211</v>
      </c>
      <c r="F63" s="6">
        <v>73.227577499999995</v>
      </c>
      <c r="G63" s="7">
        <v>6.064018E-3</v>
      </c>
      <c r="H63" s="6"/>
    </row>
    <row r="64" spans="1:8" x14ac:dyDescent="0.2">
      <c r="A64" s="3">
        <v>58</v>
      </c>
      <c r="B64" s="4" t="s">
        <v>182</v>
      </c>
      <c r="C64" s="4" t="s">
        <v>183</v>
      </c>
      <c r="D64" s="4" t="s">
        <v>944</v>
      </c>
      <c r="E64" s="5">
        <v>42305</v>
      </c>
      <c r="F64" s="6">
        <v>71.770432499999998</v>
      </c>
      <c r="G64" s="7">
        <v>5.9433510000000004E-3</v>
      </c>
      <c r="H64" s="6"/>
    </row>
    <row r="65" spans="1:8" x14ac:dyDescent="0.2">
      <c r="A65" s="3">
        <v>59</v>
      </c>
      <c r="B65" s="4" t="s">
        <v>176</v>
      </c>
      <c r="C65" s="4" t="s">
        <v>177</v>
      </c>
      <c r="D65" s="4" t="s">
        <v>944</v>
      </c>
      <c r="E65" s="5">
        <v>70479</v>
      </c>
      <c r="F65" s="6">
        <v>71.536185000000003</v>
      </c>
      <c r="G65" s="7">
        <v>5.923953E-3</v>
      </c>
      <c r="H65" s="6"/>
    </row>
    <row r="66" spans="1:8" x14ac:dyDescent="0.2">
      <c r="A66" s="3">
        <v>60</v>
      </c>
      <c r="B66" s="4" t="s">
        <v>275</v>
      </c>
      <c r="C66" s="4" t="s">
        <v>276</v>
      </c>
      <c r="D66" s="4" t="s">
        <v>29</v>
      </c>
      <c r="E66" s="5">
        <v>76703</v>
      </c>
      <c r="F66" s="6">
        <v>70.758517499999996</v>
      </c>
      <c r="G66" s="7">
        <v>5.8595540000000003E-3</v>
      </c>
      <c r="H66" s="6"/>
    </row>
    <row r="67" spans="1:8" x14ac:dyDescent="0.2">
      <c r="A67" s="3">
        <v>61</v>
      </c>
      <c r="B67" s="4" t="s">
        <v>240</v>
      </c>
      <c r="C67" s="4" t="s">
        <v>241</v>
      </c>
      <c r="D67" s="4" t="s">
        <v>940</v>
      </c>
      <c r="E67" s="5">
        <v>13025</v>
      </c>
      <c r="F67" s="6">
        <v>68.192387499999995</v>
      </c>
      <c r="G67" s="7">
        <v>5.6470510000000002E-3</v>
      </c>
      <c r="H67" s="6"/>
    </row>
    <row r="68" spans="1:8" x14ac:dyDescent="0.2">
      <c r="A68" s="3">
        <v>62</v>
      </c>
      <c r="B68" s="4" t="s">
        <v>246</v>
      </c>
      <c r="C68" s="4" t="s">
        <v>247</v>
      </c>
      <c r="D68" s="4" t="s">
        <v>91</v>
      </c>
      <c r="E68" s="5">
        <v>8427</v>
      </c>
      <c r="F68" s="6">
        <v>66.202511999999999</v>
      </c>
      <c r="G68" s="7">
        <v>5.4822680000000002E-3</v>
      </c>
      <c r="H68" s="6"/>
    </row>
    <row r="69" spans="1:8" x14ac:dyDescent="0.2">
      <c r="A69" s="3">
        <v>63</v>
      </c>
      <c r="B69" s="4" t="s">
        <v>250</v>
      </c>
      <c r="C69" s="4" t="s">
        <v>251</v>
      </c>
      <c r="D69" s="4" t="s">
        <v>302</v>
      </c>
      <c r="E69" s="5">
        <v>9171</v>
      </c>
      <c r="F69" s="6">
        <v>59.5977435</v>
      </c>
      <c r="G69" s="7">
        <v>4.9353239999999996E-3</v>
      </c>
      <c r="H69" s="6"/>
    </row>
    <row r="70" spans="1:8" ht="25.5" x14ac:dyDescent="0.2">
      <c r="A70" s="3">
        <v>64</v>
      </c>
      <c r="B70" s="4" t="s">
        <v>277</v>
      </c>
      <c r="C70" s="4" t="s">
        <v>278</v>
      </c>
      <c r="D70" s="4" t="s">
        <v>946</v>
      </c>
      <c r="E70" s="5">
        <v>9829</v>
      </c>
      <c r="F70" s="6">
        <v>58.423575999999997</v>
      </c>
      <c r="G70" s="7">
        <v>4.8380899999999998E-3</v>
      </c>
      <c r="H70" s="6"/>
    </row>
    <row r="71" spans="1:8" x14ac:dyDescent="0.2">
      <c r="A71" s="3">
        <v>65</v>
      </c>
      <c r="B71" s="4" t="s">
        <v>279</v>
      </c>
      <c r="C71" s="4" t="s">
        <v>280</v>
      </c>
      <c r="D71" s="4" t="s">
        <v>18</v>
      </c>
      <c r="E71" s="5">
        <v>27137</v>
      </c>
      <c r="F71" s="6">
        <v>58.127454</v>
      </c>
      <c r="G71" s="7">
        <v>4.8135679999999998E-3</v>
      </c>
      <c r="H71" s="6"/>
    </row>
    <row r="72" spans="1:8" ht="25.5" x14ac:dyDescent="0.2">
      <c r="A72" s="3">
        <v>66</v>
      </c>
      <c r="B72" s="4" t="s">
        <v>188</v>
      </c>
      <c r="C72" s="4" t="s">
        <v>189</v>
      </c>
      <c r="D72" s="4" t="s">
        <v>945</v>
      </c>
      <c r="E72" s="5">
        <v>1256</v>
      </c>
      <c r="F72" s="6">
        <v>55.726835999999999</v>
      </c>
      <c r="G72" s="7">
        <v>4.6147710000000002E-3</v>
      </c>
      <c r="H72" s="6"/>
    </row>
    <row r="73" spans="1:8" x14ac:dyDescent="0.2">
      <c r="A73" s="3">
        <v>67</v>
      </c>
      <c r="B73" s="4" t="s">
        <v>106</v>
      </c>
      <c r="C73" s="4" t="s">
        <v>107</v>
      </c>
      <c r="D73" s="4" t="s">
        <v>923</v>
      </c>
      <c r="E73" s="5">
        <v>67000</v>
      </c>
      <c r="F73" s="6">
        <v>50.853000000000002</v>
      </c>
      <c r="G73" s="7">
        <v>4.2111659999999997E-3</v>
      </c>
      <c r="H73" s="6"/>
    </row>
    <row r="74" spans="1:8" ht="25.5" x14ac:dyDescent="0.2">
      <c r="A74" s="3">
        <v>68</v>
      </c>
      <c r="B74" s="4" t="s">
        <v>281</v>
      </c>
      <c r="C74" s="4" t="s">
        <v>282</v>
      </c>
      <c r="D74" s="4" t="s">
        <v>945</v>
      </c>
      <c r="E74" s="5">
        <v>14986</v>
      </c>
      <c r="F74" s="6">
        <v>37.509957999999997</v>
      </c>
      <c r="G74" s="7">
        <v>3.1062210000000002E-3</v>
      </c>
      <c r="H74" s="6"/>
    </row>
    <row r="75" spans="1:8" x14ac:dyDescent="0.2">
      <c r="A75" s="3">
        <v>69</v>
      </c>
      <c r="B75" s="4" t="s">
        <v>94</v>
      </c>
      <c r="C75" s="4" t="s">
        <v>95</v>
      </c>
      <c r="D75" s="4" t="s">
        <v>64</v>
      </c>
      <c r="E75" s="5">
        <v>24117</v>
      </c>
      <c r="F75" s="6">
        <v>33.245284499999997</v>
      </c>
      <c r="G75" s="7">
        <v>2.7530609999999998E-3</v>
      </c>
      <c r="H75" s="6"/>
    </row>
    <row r="76" spans="1:8" ht="25.5" x14ac:dyDescent="0.2">
      <c r="A76" s="3">
        <v>70</v>
      </c>
      <c r="B76" s="4" t="s">
        <v>258</v>
      </c>
      <c r="C76" s="4" t="s">
        <v>259</v>
      </c>
      <c r="D76" s="4" t="s">
        <v>946</v>
      </c>
      <c r="E76" s="5">
        <v>3329</v>
      </c>
      <c r="F76" s="6">
        <v>29.626435499999999</v>
      </c>
      <c r="G76" s="7">
        <v>2.453382E-3</v>
      </c>
      <c r="H76" s="6"/>
    </row>
    <row r="77" spans="1:8" ht="14.1" customHeight="1" x14ac:dyDescent="0.2">
      <c r="A77" s="1"/>
      <c r="B77" s="1"/>
      <c r="C77" s="2" t="s">
        <v>111</v>
      </c>
      <c r="D77" s="1"/>
      <c r="E77" s="1" t="s">
        <v>112</v>
      </c>
      <c r="F77" s="9">
        <v>10882.648080000001</v>
      </c>
      <c r="G77" s="10">
        <v>0.90119836799999997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113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114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115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116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117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8" customHeight="1" x14ac:dyDescent="0.2">
      <c r="A94" s="1"/>
      <c r="B94" s="1"/>
      <c r="C94" s="2" t="s">
        <v>118</v>
      </c>
      <c r="D94" s="1"/>
      <c r="E94" s="1"/>
      <c r="F94" s="9">
        <v>10882.648080000001</v>
      </c>
      <c r="G94" s="10">
        <v>0.90119836799999997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/>
      <c r="F96" s="12"/>
      <c r="G96" s="12"/>
      <c r="H96" s="6"/>
    </row>
    <row r="97" spans="1:8" ht="24" customHeight="1" x14ac:dyDescent="0.2">
      <c r="A97" s="1"/>
      <c r="B97" s="1"/>
      <c r="C97" s="2" t="s">
        <v>10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120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121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122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123</v>
      </c>
      <c r="D109" s="1"/>
      <c r="E109" s="1"/>
      <c r="F109" s="9">
        <v>0</v>
      </c>
      <c r="G109" s="10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124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125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111</v>
      </c>
      <c r="D113" s="1"/>
      <c r="E113" s="1" t="s">
        <v>112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127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128</v>
      </c>
      <c r="D121" s="1"/>
      <c r="E121" s="1"/>
      <c r="F121" s="12"/>
      <c r="G121" s="12"/>
      <c r="H121" s="6"/>
    </row>
    <row r="122" spans="1:8" ht="17.100000000000001" customHeight="1" x14ac:dyDescent="0.2">
      <c r="A122" s="3">
        <v>1</v>
      </c>
      <c r="B122" s="4"/>
      <c r="C122" s="4" t="s">
        <v>129</v>
      </c>
      <c r="D122" s="4"/>
      <c r="E122" s="8"/>
      <c r="F122" s="6">
        <v>1126.8897923</v>
      </c>
      <c r="G122" s="7">
        <v>9.3318393999999999E-2</v>
      </c>
      <c r="H122" s="6">
        <v>3.9343919198424624</v>
      </c>
    </row>
    <row r="123" spans="1:8" ht="17.100000000000001" customHeight="1" x14ac:dyDescent="0.2">
      <c r="A123" s="3">
        <v>2</v>
      </c>
      <c r="B123" s="4"/>
      <c r="C123" s="4" t="s">
        <v>130</v>
      </c>
      <c r="D123" s="4"/>
      <c r="E123" s="8"/>
      <c r="F123" s="6">
        <v>74.013600199999999</v>
      </c>
      <c r="G123" s="7">
        <v>6.1291089999999998E-3</v>
      </c>
      <c r="H123" s="6">
        <v>3.8</v>
      </c>
    </row>
    <row r="124" spans="1:8" ht="14.1" customHeight="1" x14ac:dyDescent="0.2">
      <c r="A124" s="1"/>
      <c r="B124" s="1"/>
      <c r="C124" s="2" t="s">
        <v>111</v>
      </c>
      <c r="D124" s="1"/>
      <c r="E124" s="1" t="s">
        <v>112</v>
      </c>
      <c r="F124" s="9">
        <v>1200.9033925000001</v>
      </c>
      <c r="G124" s="10">
        <v>9.9447503000000007E-2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131</v>
      </c>
      <c r="D126" s="1"/>
      <c r="E126" s="1"/>
      <c r="F126" s="9">
        <v>1200.9033925000001</v>
      </c>
      <c r="G126" s="10">
        <v>9.9447503000000007E-2</v>
      </c>
      <c r="H126" s="6"/>
    </row>
    <row r="127" spans="1:8" ht="14.1" customHeight="1" x14ac:dyDescent="0.2">
      <c r="A127" s="1"/>
      <c r="B127" s="1"/>
      <c r="C127" s="12"/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132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133</v>
      </c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111</v>
      </c>
      <c r="D130" s="1"/>
      <c r="E130" s="1" t="s">
        <v>112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134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135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24" customHeight="1" x14ac:dyDescent="0.2">
      <c r="A137" s="1"/>
      <c r="B137" s="1"/>
      <c r="C137" s="2" t="s">
        <v>136</v>
      </c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4"/>
      <c r="C140" s="4"/>
      <c r="D140" s="2"/>
      <c r="E140" s="1"/>
      <c r="F140" s="4"/>
      <c r="G140" s="8"/>
      <c r="H140" s="6"/>
    </row>
    <row r="141" spans="1:8" ht="18" customHeight="1" x14ac:dyDescent="0.2">
      <c r="A141" s="8"/>
      <c r="B141" s="4"/>
      <c r="C141" s="4" t="s">
        <v>137</v>
      </c>
      <c r="D141" s="4"/>
      <c r="E141" s="8"/>
      <c r="F141" s="6">
        <v>-7.7993178099999998</v>
      </c>
      <c r="G141" s="7">
        <v>-6.4586600000000004E-4</v>
      </c>
      <c r="H141" s="6"/>
    </row>
    <row r="142" spans="1:8" ht="14.1" customHeight="1" x14ac:dyDescent="0.2">
      <c r="A142" s="11"/>
      <c r="B142" s="11"/>
      <c r="C142" s="2" t="s">
        <v>138</v>
      </c>
      <c r="D142" s="15"/>
      <c r="E142" s="15"/>
      <c r="F142" s="9">
        <v>12075.752154690001</v>
      </c>
      <c r="G142" s="10">
        <v>1.000000005</v>
      </c>
      <c r="H142" s="6"/>
    </row>
    <row r="143" spans="1:8" ht="14.1" customHeight="1" x14ac:dyDescent="0.2">
      <c r="A143" s="18"/>
      <c r="B143" s="297" t="s">
        <v>112</v>
      </c>
      <c r="C143" s="297"/>
      <c r="D143" s="297"/>
      <c r="E143" s="297"/>
      <c r="F143" s="297"/>
      <c r="G143" s="20"/>
    </row>
    <row r="144" spans="1:8" ht="14.1" customHeight="1" x14ac:dyDescent="0.2">
      <c r="A144" s="18"/>
      <c r="B144" s="18"/>
      <c r="C144" s="18"/>
      <c r="D144" s="20"/>
      <c r="E144" s="20"/>
      <c r="F144" s="20"/>
      <c r="G144" s="20"/>
    </row>
    <row r="145" spans="1:7" ht="14.1" customHeight="1" x14ac:dyDescent="0.2">
      <c r="A145" s="18"/>
      <c r="B145" s="294" t="s">
        <v>140</v>
      </c>
      <c r="C145" s="295"/>
      <c r="D145" s="12" t="s">
        <v>112</v>
      </c>
      <c r="E145" s="21"/>
      <c r="F145" s="20"/>
      <c r="G145" s="20"/>
    </row>
    <row r="146" spans="1:7" ht="29.1" customHeight="1" x14ac:dyDescent="0.2">
      <c r="A146" s="18"/>
      <c r="B146" s="288" t="s">
        <v>141</v>
      </c>
      <c r="C146" s="289"/>
      <c r="D146" s="2" t="s">
        <v>142</v>
      </c>
      <c r="E146" s="21"/>
      <c r="F146" s="20"/>
      <c r="G146" s="20"/>
    </row>
    <row r="147" spans="1:7" ht="17.100000000000001" customHeight="1" x14ac:dyDescent="0.2">
      <c r="A147" s="18"/>
      <c r="B147" s="288" t="s">
        <v>143</v>
      </c>
      <c r="C147" s="289"/>
      <c r="D147" s="2" t="s">
        <v>142</v>
      </c>
      <c r="E147" s="21"/>
      <c r="F147" s="20"/>
      <c r="G147" s="20"/>
    </row>
    <row r="148" spans="1:7" ht="17.100000000000001" customHeight="1" x14ac:dyDescent="0.2">
      <c r="A148" s="18"/>
      <c r="B148" s="288" t="s">
        <v>144</v>
      </c>
      <c r="C148" s="289"/>
      <c r="D148" s="12" t="s">
        <v>112</v>
      </c>
      <c r="E148" s="21"/>
      <c r="F148" s="20"/>
      <c r="G148" s="20"/>
    </row>
    <row r="149" spans="1:7" ht="24" customHeight="1" x14ac:dyDescent="0.2">
      <c r="A149" s="22"/>
      <c r="B149" s="23" t="s">
        <v>112</v>
      </c>
      <c r="C149" s="23" t="s">
        <v>145</v>
      </c>
      <c r="D149" s="23" t="s">
        <v>146</v>
      </c>
      <c r="E149" s="22"/>
      <c r="F149" s="22"/>
      <c r="G149" s="22"/>
    </row>
    <row r="150" spans="1:7" ht="18" customHeight="1" x14ac:dyDescent="0.2">
      <c r="A150" s="22"/>
      <c r="B150" s="23" t="s">
        <v>147</v>
      </c>
      <c r="C150" s="23" t="s">
        <v>148</v>
      </c>
      <c r="D150" s="23" t="s">
        <v>149</v>
      </c>
      <c r="E150" s="22"/>
      <c r="F150" s="22"/>
      <c r="G150" s="22"/>
    </row>
    <row r="151" spans="1:7" ht="17.100000000000001" customHeight="1" x14ac:dyDescent="0.2">
      <c r="A151" s="22"/>
      <c r="B151" s="4" t="s">
        <v>150</v>
      </c>
      <c r="C151" s="24">
        <v>15.359299999999999</v>
      </c>
      <c r="D151" s="24">
        <v>15.5365</v>
      </c>
      <c r="E151" s="22"/>
      <c r="F151" s="19"/>
      <c r="G151" s="25"/>
    </row>
    <row r="152" spans="1:7" ht="17.100000000000001" customHeight="1" x14ac:dyDescent="0.2">
      <c r="A152" s="22"/>
      <c r="B152" s="4" t="s">
        <v>1114</v>
      </c>
      <c r="C152" s="24">
        <v>15.359299999999999</v>
      </c>
      <c r="D152" s="24">
        <v>15.5365</v>
      </c>
      <c r="E152" s="22"/>
      <c r="F152" s="19"/>
      <c r="G152" s="25"/>
    </row>
    <row r="153" spans="1:7" ht="17.100000000000001" customHeight="1" x14ac:dyDescent="0.2">
      <c r="A153" s="22"/>
      <c r="B153" s="4" t="s">
        <v>151</v>
      </c>
      <c r="C153" s="24">
        <v>14.7592</v>
      </c>
      <c r="D153" s="24">
        <v>14.9229</v>
      </c>
      <c r="E153" s="22"/>
      <c r="F153" s="19"/>
      <c r="G153" s="25"/>
    </row>
    <row r="154" spans="1:7" ht="17.100000000000001" customHeight="1" x14ac:dyDescent="0.2">
      <c r="A154" s="22"/>
      <c r="B154" s="4" t="s">
        <v>1115</v>
      </c>
      <c r="C154" s="24">
        <v>14.7592</v>
      </c>
      <c r="D154" s="24">
        <v>14.9229</v>
      </c>
      <c r="E154" s="22"/>
      <c r="F154" s="19"/>
      <c r="G154" s="25"/>
    </row>
    <row r="155" spans="1:7" ht="14.1" customHeight="1" x14ac:dyDescent="0.2">
      <c r="A155" s="22"/>
      <c r="B155" s="22"/>
      <c r="C155" s="22"/>
      <c r="D155" s="22"/>
      <c r="E155" s="22"/>
      <c r="F155" s="22"/>
      <c r="G155" s="22"/>
    </row>
    <row r="156" spans="1:7" ht="17.100000000000001" customHeight="1" x14ac:dyDescent="0.2">
      <c r="A156" s="22"/>
      <c r="B156" s="288" t="s">
        <v>1116</v>
      </c>
      <c r="C156" s="289"/>
      <c r="D156" s="2" t="s">
        <v>142</v>
      </c>
      <c r="E156" s="22"/>
      <c r="F156" s="22"/>
      <c r="G156" s="22"/>
    </row>
    <row r="157" spans="1:7" ht="14.1" customHeight="1" x14ac:dyDescent="0.2">
      <c r="A157" s="22"/>
      <c r="B157" s="19"/>
      <c r="C157" s="19"/>
      <c r="D157" s="22"/>
      <c r="E157" s="22"/>
      <c r="F157" s="22"/>
      <c r="G157" s="22"/>
    </row>
    <row r="158" spans="1:7" ht="29.1" customHeight="1" x14ac:dyDescent="0.2">
      <c r="A158" s="22"/>
      <c r="B158" s="288" t="s">
        <v>153</v>
      </c>
      <c r="C158" s="289"/>
      <c r="D158" s="2" t="s">
        <v>142</v>
      </c>
      <c r="E158" s="22"/>
      <c r="F158" s="22"/>
      <c r="G158" s="22"/>
    </row>
    <row r="159" spans="1:7" ht="29.1" customHeight="1" x14ac:dyDescent="0.2">
      <c r="A159" s="22"/>
      <c r="B159" s="288" t="s">
        <v>154</v>
      </c>
      <c r="C159" s="289"/>
      <c r="D159" s="2" t="s">
        <v>142</v>
      </c>
      <c r="E159" s="22"/>
      <c r="F159" s="22"/>
      <c r="G159" s="22"/>
    </row>
    <row r="160" spans="1:7" ht="17.100000000000001" customHeight="1" x14ac:dyDescent="0.2">
      <c r="A160" s="22"/>
      <c r="B160" s="288" t="s">
        <v>155</v>
      </c>
      <c r="C160" s="289"/>
      <c r="D160" s="26">
        <v>0.37306542409531729</v>
      </c>
      <c r="E160" s="22"/>
      <c r="F160" s="19"/>
      <c r="G160" s="25"/>
    </row>
    <row r="161" spans="1:15" ht="17.100000000000001" customHeight="1" x14ac:dyDescent="0.2">
      <c r="A161" s="22"/>
      <c r="B161" s="288" t="s">
        <v>156</v>
      </c>
      <c r="C161" s="289"/>
      <c r="D161" s="2" t="s">
        <v>142</v>
      </c>
      <c r="E161" s="22"/>
      <c r="F161" s="22"/>
      <c r="G161" s="22"/>
    </row>
    <row r="166" spans="1:15" x14ac:dyDescent="0.2">
      <c r="J166" s="66"/>
      <c r="K166" s="66"/>
      <c r="L166" s="66"/>
      <c r="M166" s="66"/>
      <c r="N166" s="66"/>
      <c r="O166" s="66"/>
    </row>
  </sheetData>
  <mergeCells count="14">
    <mergeCell ref="A1:H1"/>
    <mergeCell ref="A2:H2"/>
    <mergeCell ref="A3:H3"/>
    <mergeCell ref="B145:C145"/>
    <mergeCell ref="J2:N2"/>
    <mergeCell ref="B143:F143"/>
    <mergeCell ref="B160:C160"/>
    <mergeCell ref="B161:C161"/>
    <mergeCell ref="B146:C146"/>
    <mergeCell ref="B147:C147"/>
    <mergeCell ref="B148:C148"/>
    <mergeCell ref="B156:C156"/>
    <mergeCell ref="B158:C158"/>
    <mergeCell ref="B159:C159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283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87</v>
      </c>
      <c r="C7" s="4" t="s">
        <v>88</v>
      </c>
      <c r="D7" s="4" t="s">
        <v>940</v>
      </c>
      <c r="E7" s="5">
        <v>1225535</v>
      </c>
      <c r="F7" s="6">
        <v>28280.445660000001</v>
      </c>
      <c r="G7" s="7">
        <v>3.9681907000000002E-2</v>
      </c>
      <c r="H7" s="6"/>
    </row>
    <row r="8" spans="1:14" ht="25.5" x14ac:dyDescent="0.2">
      <c r="A8" s="3">
        <v>2</v>
      </c>
      <c r="B8" s="4" t="s">
        <v>80</v>
      </c>
      <c r="C8" s="4" t="s">
        <v>81</v>
      </c>
      <c r="D8" s="4" t="s">
        <v>82</v>
      </c>
      <c r="E8" s="5">
        <v>2699712</v>
      </c>
      <c r="F8" s="6">
        <v>19944.1224</v>
      </c>
      <c r="G8" s="7">
        <v>2.7984736E-2</v>
      </c>
      <c r="H8" s="6"/>
    </row>
    <row r="9" spans="1:14" ht="25.5" x14ac:dyDescent="0.2">
      <c r="A9" s="3">
        <v>3</v>
      </c>
      <c r="B9" s="4" t="s">
        <v>284</v>
      </c>
      <c r="C9" s="4" t="s">
        <v>285</v>
      </c>
      <c r="D9" s="4" t="s">
        <v>946</v>
      </c>
      <c r="E9" s="5">
        <v>782831</v>
      </c>
      <c r="F9" s="6">
        <v>19670.194536999999</v>
      </c>
      <c r="G9" s="7">
        <v>2.7600372000000001E-2</v>
      </c>
      <c r="H9" s="6"/>
    </row>
    <row r="10" spans="1:14" x14ac:dyDescent="0.2">
      <c r="A10" s="3">
        <v>4</v>
      </c>
      <c r="B10" s="4" t="s">
        <v>286</v>
      </c>
      <c r="C10" s="4" t="s">
        <v>287</v>
      </c>
      <c r="D10" s="4" t="s">
        <v>952</v>
      </c>
      <c r="E10" s="5">
        <v>41292</v>
      </c>
      <c r="F10" s="6">
        <v>18820.37745</v>
      </c>
      <c r="G10" s="7">
        <v>2.6407944999999999E-2</v>
      </c>
      <c r="H10" s="6"/>
    </row>
    <row r="11" spans="1:14" x14ac:dyDescent="0.2">
      <c r="A11" s="3">
        <v>5</v>
      </c>
      <c r="B11" s="4" t="s">
        <v>30</v>
      </c>
      <c r="C11" s="4" t="s">
        <v>31</v>
      </c>
      <c r="D11" s="4" t="s">
        <v>26</v>
      </c>
      <c r="E11" s="5">
        <v>1084084</v>
      </c>
      <c r="F11" s="6">
        <v>18569.816878000001</v>
      </c>
      <c r="G11" s="7">
        <v>2.6056368999999999E-2</v>
      </c>
      <c r="H11" s="6"/>
    </row>
    <row r="12" spans="1:14" x14ac:dyDescent="0.2">
      <c r="A12" s="3">
        <v>6</v>
      </c>
      <c r="B12" s="4" t="s">
        <v>288</v>
      </c>
      <c r="C12" s="4" t="s">
        <v>289</v>
      </c>
      <c r="D12" s="4" t="s">
        <v>18</v>
      </c>
      <c r="E12" s="5">
        <v>19328108</v>
      </c>
      <c r="F12" s="6">
        <v>18554.983680000001</v>
      </c>
      <c r="G12" s="7">
        <v>2.6035556000000001E-2</v>
      </c>
      <c r="H12" s="6"/>
    </row>
    <row r="13" spans="1:14" x14ac:dyDescent="0.2">
      <c r="A13" s="3">
        <v>7</v>
      </c>
      <c r="B13" s="4" t="s">
        <v>290</v>
      </c>
      <c r="C13" s="4" t="s">
        <v>291</v>
      </c>
      <c r="D13" s="4" t="s">
        <v>18</v>
      </c>
      <c r="E13" s="5">
        <v>15875025</v>
      </c>
      <c r="F13" s="6">
        <v>17922.903224999998</v>
      </c>
      <c r="G13" s="7">
        <v>2.5148647999999999E-2</v>
      </c>
      <c r="H13" s="6"/>
    </row>
    <row r="14" spans="1:14" x14ac:dyDescent="0.2">
      <c r="A14" s="3">
        <v>8</v>
      </c>
      <c r="B14" s="4" t="s">
        <v>292</v>
      </c>
      <c r="C14" s="4" t="s">
        <v>293</v>
      </c>
      <c r="D14" s="4" t="s">
        <v>233</v>
      </c>
      <c r="E14" s="5">
        <v>393649</v>
      </c>
      <c r="F14" s="6">
        <v>17534.504231499999</v>
      </c>
      <c r="G14" s="7">
        <v>2.4603663000000001E-2</v>
      </c>
      <c r="H14" s="6"/>
    </row>
    <row r="15" spans="1:14" ht="15" x14ac:dyDescent="0.2">
      <c r="A15" s="3">
        <v>9</v>
      </c>
      <c r="B15" s="4" t="s">
        <v>294</v>
      </c>
      <c r="C15" s="4" t="s">
        <v>295</v>
      </c>
      <c r="D15" s="4" t="s">
        <v>18</v>
      </c>
      <c r="E15" s="5">
        <v>2396728</v>
      </c>
      <c r="F15" s="6">
        <v>17462.560207999999</v>
      </c>
      <c r="G15" s="7">
        <v>2.4502713999999998E-2</v>
      </c>
      <c r="H15" s="6"/>
      <c r="J15" s="192" t="s">
        <v>1142</v>
      </c>
    </row>
    <row r="16" spans="1:14" x14ac:dyDescent="0.2">
      <c r="A16" s="3">
        <v>10</v>
      </c>
      <c r="B16" s="4" t="s">
        <v>296</v>
      </c>
      <c r="C16" s="4" t="s">
        <v>297</v>
      </c>
      <c r="D16" s="4" t="s">
        <v>956</v>
      </c>
      <c r="E16" s="5">
        <v>1593553</v>
      </c>
      <c r="F16" s="6">
        <v>17266.943531500001</v>
      </c>
      <c r="G16" s="7">
        <v>2.4228234000000001E-2</v>
      </c>
      <c r="H16" s="6"/>
    </row>
    <row r="17" spans="1:10" ht="25.5" x14ac:dyDescent="0.2">
      <c r="A17" s="3">
        <v>11</v>
      </c>
      <c r="B17" s="4" t="s">
        <v>217</v>
      </c>
      <c r="C17" s="4" t="s">
        <v>218</v>
      </c>
      <c r="D17" s="4" t="s">
        <v>946</v>
      </c>
      <c r="E17" s="5">
        <v>435033</v>
      </c>
      <c r="F17" s="6">
        <v>17104.627494</v>
      </c>
      <c r="G17" s="7">
        <v>2.4000479000000002E-2</v>
      </c>
      <c r="H17" s="6"/>
    </row>
    <row r="18" spans="1:10" x14ac:dyDescent="0.2">
      <c r="A18" s="3">
        <v>12</v>
      </c>
      <c r="B18" s="4" t="s">
        <v>298</v>
      </c>
      <c r="C18" s="4" t="s">
        <v>299</v>
      </c>
      <c r="D18" s="4" t="s">
        <v>947</v>
      </c>
      <c r="E18" s="5">
        <v>480351</v>
      </c>
      <c r="F18" s="6">
        <v>17062.788046500002</v>
      </c>
      <c r="G18" s="7">
        <v>2.3941771000000001E-2</v>
      </c>
      <c r="H18" s="6"/>
    </row>
    <row r="19" spans="1:10" x14ac:dyDescent="0.2">
      <c r="A19" s="3">
        <v>13</v>
      </c>
      <c r="B19" s="4" t="s">
        <v>300</v>
      </c>
      <c r="C19" s="4" t="s">
        <v>301</v>
      </c>
      <c r="D19" s="4" t="s">
        <v>302</v>
      </c>
      <c r="E19" s="5">
        <v>1353998</v>
      </c>
      <c r="F19" s="6">
        <v>16632.511431999999</v>
      </c>
      <c r="G19" s="7">
        <v>2.3338026000000001E-2</v>
      </c>
      <c r="H19" s="6"/>
    </row>
    <row r="20" spans="1:10" x14ac:dyDescent="0.2">
      <c r="A20" s="3">
        <v>14</v>
      </c>
      <c r="B20" s="4" t="s">
        <v>303</v>
      </c>
      <c r="C20" s="4" t="s">
        <v>304</v>
      </c>
      <c r="D20" s="4" t="s">
        <v>91</v>
      </c>
      <c r="E20" s="5">
        <v>2996495</v>
      </c>
      <c r="F20" s="6">
        <v>16182.5712475</v>
      </c>
      <c r="G20" s="7">
        <v>2.2706688999999999E-2</v>
      </c>
      <c r="H20" s="6"/>
    </row>
    <row r="21" spans="1:10" x14ac:dyDescent="0.2">
      <c r="A21" s="3">
        <v>15</v>
      </c>
      <c r="B21" s="4" t="s">
        <v>305</v>
      </c>
      <c r="C21" s="4" t="s">
        <v>306</v>
      </c>
      <c r="D21" s="4" t="s">
        <v>71</v>
      </c>
      <c r="E21" s="5">
        <v>1281156</v>
      </c>
      <c r="F21" s="6">
        <v>16162.423518</v>
      </c>
      <c r="G21" s="7">
        <v>2.2678417999999999E-2</v>
      </c>
      <c r="H21" s="6"/>
    </row>
    <row r="22" spans="1:10" x14ac:dyDescent="0.2">
      <c r="A22" s="3">
        <v>16</v>
      </c>
      <c r="B22" s="4" t="s">
        <v>307</v>
      </c>
      <c r="C22" s="4" t="s">
        <v>308</v>
      </c>
      <c r="D22" s="4" t="s">
        <v>933</v>
      </c>
      <c r="E22" s="5">
        <v>2075144</v>
      </c>
      <c r="F22" s="6">
        <v>15721.290944</v>
      </c>
      <c r="G22" s="7">
        <v>2.205944E-2</v>
      </c>
      <c r="H22" s="6"/>
    </row>
    <row r="23" spans="1:10" x14ac:dyDescent="0.2">
      <c r="A23" s="3">
        <v>17</v>
      </c>
      <c r="B23" s="4" t="s">
        <v>309</v>
      </c>
      <c r="C23" s="4" t="s">
        <v>310</v>
      </c>
      <c r="D23" s="4" t="s">
        <v>949</v>
      </c>
      <c r="E23" s="5">
        <v>6413136</v>
      </c>
      <c r="F23" s="6">
        <v>15298.535927999999</v>
      </c>
      <c r="G23" s="7">
        <v>2.1466249E-2</v>
      </c>
      <c r="H23" s="6"/>
    </row>
    <row r="24" spans="1:10" x14ac:dyDescent="0.2">
      <c r="A24" s="3">
        <v>18</v>
      </c>
      <c r="B24" s="4" t="s">
        <v>311</v>
      </c>
      <c r="C24" s="4" t="s">
        <v>312</v>
      </c>
      <c r="D24" s="4" t="s">
        <v>26</v>
      </c>
      <c r="E24" s="5">
        <v>2110535</v>
      </c>
      <c r="F24" s="6">
        <v>14810.679362499999</v>
      </c>
      <c r="G24" s="7">
        <v>2.0781708999999999E-2</v>
      </c>
      <c r="H24" s="6"/>
    </row>
    <row r="25" spans="1:10" ht="25.5" x14ac:dyDescent="0.2">
      <c r="A25" s="3">
        <v>19</v>
      </c>
      <c r="B25" s="4" t="s">
        <v>313</v>
      </c>
      <c r="C25" s="4" t="s">
        <v>314</v>
      </c>
      <c r="D25" s="4" t="s">
        <v>71</v>
      </c>
      <c r="E25" s="5">
        <v>3834247</v>
      </c>
      <c r="F25" s="6">
        <v>14754.182456</v>
      </c>
      <c r="G25" s="7">
        <v>2.0702435000000002E-2</v>
      </c>
      <c r="H25" s="6"/>
    </row>
    <row r="26" spans="1:10" x14ac:dyDescent="0.2">
      <c r="A26" s="3">
        <v>20</v>
      </c>
      <c r="B26" s="4" t="s">
        <v>315</v>
      </c>
      <c r="C26" s="4" t="s">
        <v>316</v>
      </c>
      <c r="D26" s="4" t="s">
        <v>18</v>
      </c>
      <c r="E26" s="5">
        <v>1044945</v>
      </c>
      <c r="F26" s="6">
        <v>14525.2579725</v>
      </c>
      <c r="G26" s="7">
        <v>2.0381218E-2</v>
      </c>
      <c r="H26" s="6"/>
    </row>
    <row r="27" spans="1:10" ht="15" x14ac:dyDescent="0.2">
      <c r="A27" s="3">
        <v>21</v>
      </c>
      <c r="B27" s="4" t="s">
        <v>317</v>
      </c>
      <c r="C27" s="4" t="s">
        <v>318</v>
      </c>
      <c r="D27" s="4" t="s">
        <v>26</v>
      </c>
      <c r="E27" s="5">
        <v>1331359</v>
      </c>
      <c r="F27" s="6">
        <v>13718.988815500001</v>
      </c>
      <c r="G27" s="7">
        <v>1.9249895999999999E-2</v>
      </c>
      <c r="H27" s="6"/>
      <c r="J27" s="192" t="s">
        <v>1143</v>
      </c>
    </row>
    <row r="28" spans="1:10" x14ac:dyDescent="0.2">
      <c r="A28" s="3">
        <v>22</v>
      </c>
      <c r="B28" s="4" t="s">
        <v>199</v>
      </c>
      <c r="C28" s="4" t="s">
        <v>200</v>
      </c>
      <c r="D28" s="4" t="s">
        <v>940</v>
      </c>
      <c r="E28" s="5">
        <v>712201</v>
      </c>
      <c r="F28" s="6">
        <v>13287.1779565</v>
      </c>
      <c r="G28" s="7">
        <v>1.8643996999999999E-2</v>
      </c>
      <c r="H28" s="6"/>
    </row>
    <row r="29" spans="1:10" ht="25.5" x14ac:dyDescent="0.2">
      <c r="A29" s="3">
        <v>23</v>
      </c>
      <c r="B29" s="4" t="s">
        <v>319</v>
      </c>
      <c r="C29" s="4" t="s">
        <v>320</v>
      </c>
      <c r="D29" s="4" t="s">
        <v>945</v>
      </c>
      <c r="E29" s="5">
        <v>1232552</v>
      </c>
      <c r="F29" s="6">
        <v>12470.344859999999</v>
      </c>
      <c r="G29" s="7">
        <v>1.7497852000000001E-2</v>
      </c>
      <c r="H29" s="6"/>
    </row>
    <row r="30" spans="1:10" x14ac:dyDescent="0.2">
      <c r="A30" s="3">
        <v>24</v>
      </c>
      <c r="B30" s="4" t="s">
        <v>321</v>
      </c>
      <c r="C30" s="4" t="s">
        <v>322</v>
      </c>
      <c r="D30" s="4" t="s">
        <v>82</v>
      </c>
      <c r="E30" s="5">
        <v>1027411</v>
      </c>
      <c r="F30" s="6">
        <v>12349.993925500001</v>
      </c>
      <c r="G30" s="7">
        <v>1.7328981E-2</v>
      </c>
      <c r="H30" s="6"/>
    </row>
    <row r="31" spans="1:10" x14ac:dyDescent="0.2">
      <c r="A31" s="3">
        <v>25</v>
      </c>
      <c r="B31" s="4" t="s">
        <v>323</v>
      </c>
      <c r="C31" s="4" t="s">
        <v>324</v>
      </c>
      <c r="D31" s="4" t="s">
        <v>947</v>
      </c>
      <c r="E31" s="5">
        <v>410908</v>
      </c>
      <c r="F31" s="6">
        <v>11682.936256000001</v>
      </c>
      <c r="G31" s="7">
        <v>1.6392994000000001E-2</v>
      </c>
      <c r="H31" s="6"/>
    </row>
    <row r="32" spans="1:10" ht="25.5" x14ac:dyDescent="0.2">
      <c r="A32" s="3">
        <v>26</v>
      </c>
      <c r="B32" s="4" t="s">
        <v>158</v>
      </c>
      <c r="C32" s="4" t="s">
        <v>159</v>
      </c>
      <c r="D32" s="4" t="s">
        <v>941</v>
      </c>
      <c r="E32" s="5">
        <v>1638755</v>
      </c>
      <c r="F32" s="6">
        <v>11619.5923275</v>
      </c>
      <c r="G32" s="7">
        <v>1.6304112999999999E-2</v>
      </c>
      <c r="H32" s="6"/>
    </row>
    <row r="33" spans="1:8" ht="25.5" x14ac:dyDescent="0.2">
      <c r="A33" s="3">
        <v>27</v>
      </c>
      <c r="B33" s="4" t="s">
        <v>325</v>
      </c>
      <c r="C33" s="4" t="s">
        <v>326</v>
      </c>
      <c r="D33" s="4" t="s">
        <v>945</v>
      </c>
      <c r="E33" s="5">
        <v>353576</v>
      </c>
      <c r="F33" s="6">
        <v>11320.973156</v>
      </c>
      <c r="G33" s="7">
        <v>1.5885103000000001E-2</v>
      </c>
      <c r="H33" s="6"/>
    </row>
    <row r="34" spans="1:8" x14ac:dyDescent="0.2">
      <c r="A34" s="3">
        <v>28</v>
      </c>
      <c r="B34" s="4" t="s">
        <v>16</v>
      </c>
      <c r="C34" s="4" t="s">
        <v>17</v>
      </c>
      <c r="D34" s="4" t="s">
        <v>18</v>
      </c>
      <c r="E34" s="5">
        <v>1503901</v>
      </c>
      <c r="F34" s="6">
        <v>11178.496133000001</v>
      </c>
      <c r="G34" s="7">
        <v>1.5685186E-2</v>
      </c>
      <c r="H34" s="6"/>
    </row>
    <row r="35" spans="1:8" x14ac:dyDescent="0.2">
      <c r="A35" s="3">
        <v>29</v>
      </c>
      <c r="B35" s="4" t="s">
        <v>327</v>
      </c>
      <c r="C35" s="4" t="s">
        <v>328</v>
      </c>
      <c r="D35" s="4" t="s">
        <v>942</v>
      </c>
      <c r="E35" s="5">
        <v>263546</v>
      </c>
      <c r="F35" s="6">
        <v>10783.379908999999</v>
      </c>
      <c r="G35" s="7">
        <v>1.5130776E-2</v>
      </c>
      <c r="H35" s="6"/>
    </row>
    <row r="36" spans="1:8" ht="51" x14ac:dyDescent="0.2">
      <c r="A36" s="3">
        <v>30</v>
      </c>
      <c r="B36" s="4" t="s">
        <v>78</v>
      </c>
      <c r="C36" s="4" t="s">
        <v>79</v>
      </c>
      <c r="D36" s="4" t="s">
        <v>939</v>
      </c>
      <c r="E36" s="5">
        <v>8464608</v>
      </c>
      <c r="F36" s="6">
        <v>10758.516768</v>
      </c>
      <c r="G36" s="7">
        <v>1.5095888999999999E-2</v>
      </c>
      <c r="H36" s="6"/>
    </row>
    <row r="37" spans="1:8" ht="25.5" x14ac:dyDescent="0.2">
      <c r="A37" s="3">
        <v>31</v>
      </c>
      <c r="B37" s="4" t="s">
        <v>329</v>
      </c>
      <c r="C37" s="4" t="s">
        <v>330</v>
      </c>
      <c r="D37" s="4" t="s">
        <v>945</v>
      </c>
      <c r="E37" s="5">
        <v>1349160</v>
      </c>
      <c r="F37" s="6">
        <v>10615.865460000001</v>
      </c>
      <c r="G37" s="7">
        <v>1.4895726E-2</v>
      </c>
      <c r="H37" s="6"/>
    </row>
    <row r="38" spans="1:8" x14ac:dyDescent="0.2">
      <c r="A38" s="3">
        <v>32</v>
      </c>
      <c r="B38" s="4" t="s">
        <v>50</v>
      </c>
      <c r="C38" s="4" t="s">
        <v>51</v>
      </c>
      <c r="D38" s="4" t="s">
        <v>938</v>
      </c>
      <c r="E38" s="5">
        <v>1609771</v>
      </c>
      <c r="F38" s="6">
        <v>10405.559744</v>
      </c>
      <c r="G38" s="7">
        <v>1.4600633999999999E-2</v>
      </c>
      <c r="H38" s="6"/>
    </row>
    <row r="39" spans="1:8" x14ac:dyDescent="0.2">
      <c r="A39" s="3">
        <v>33</v>
      </c>
      <c r="B39" s="4" t="s">
        <v>331</v>
      </c>
      <c r="C39" s="4" t="s">
        <v>332</v>
      </c>
      <c r="D39" s="4" t="s">
        <v>82</v>
      </c>
      <c r="E39" s="5">
        <v>1549881</v>
      </c>
      <c r="F39" s="6">
        <v>10060.277571000001</v>
      </c>
      <c r="G39" s="7">
        <v>1.4116149E-2</v>
      </c>
      <c r="H39" s="6"/>
    </row>
    <row r="40" spans="1:8" ht="25.5" x14ac:dyDescent="0.2">
      <c r="A40" s="3">
        <v>34</v>
      </c>
      <c r="B40" s="4" t="s">
        <v>333</v>
      </c>
      <c r="C40" s="4" t="s">
        <v>334</v>
      </c>
      <c r="D40" s="4" t="s">
        <v>957</v>
      </c>
      <c r="E40" s="5">
        <v>351395</v>
      </c>
      <c r="F40" s="6">
        <v>10007.5539025</v>
      </c>
      <c r="G40" s="7">
        <v>1.404217E-2</v>
      </c>
      <c r="H40" s="6"/>
    </row>
    <row r="41" spans="1:8" x14ac:dyDescent="0.2">
      <c r="A41" s="3">
        <v>35</v>
      </c>
      <c r="B41" s="4" t="s">
        <v>335</v>
      </c>
      <c r="C41" s="4" t="s">
        <v>336</v>
      </c>
      <c r="D41" s="4" t="s">
        <v>958</v>
      </c>
      <c r="E41" s="5">
        <v>1905598</v>
      </c>
      <c r="F41" s="6">
        <v>9370.7781649999997</v>
      </c>
      <c r="G41" s="7">
        <v>1.3148673E-2</v>
      </c>
      <c r="H41" s="6"/>
    </row>
    <row r="42" spans="1:8" x14ac:dyDescent="0.2">
      <c r="A42" s="3">
        <v>36</v>
      </c>
      <c r="B42" s="4" t="s">
        <v>104</v>
      </c>
      <c r="C42" s="4" t="s">
        <v>105</v>
      </c>
      <c r="D42" s="4" t="s">
        <v>57</v>
      </c>
      <c r="E42" s="5">
        <v>3569540</v>
      </c>
      <c r="F42" s="6">
        <v>9350.4100299999991</v>
      </c>
      <c r="G42" s="7">
        <v>1.3120094000000001E-2</v>
      </c>
      <c r="H42" s="6"/>
    </row>
    <row r="43" spans="1:8" x14ac:dyDescent="0.2">
      <c r="A43" s="3">
        <v>37</v>
      </c>
      <c r="B43" s="4" t="s">
        <v>337</v>
      </c>
      <c r="C43" s="4" t="s">
        <v>338</v>
      </c>
      <c r="D43" s="4" t="s">
        <v>944</v>
      </c>
      <c r="E43" s="5">
        <v>1676390</v>
      </c>
      <c r="F43" s="6">
        <v>9153.0894000000008</v>
      </c>
      <c r="G43" s="7">
        <v>1.2843222E-2</v>
      </c>
      <c r="H43" s="6"/>
    </row>
    <row r="44" spans="1:8" ht="25.5" x14ac:dyDescent="0.2">
      <c r="A44" s="3">
        <v>38</v>
      </c>
      <c r="B44" s="4" t="s">
        <v>339</v>
      </c>
      <c r="C44" s="4" t="s">
        <v>340</v>
      </c>
      <c r="D44" s="4" t="s">
        <v>957</v>
      </c>
      <c r="E44" s="5">
        <v>1000000</v>
      </c>
      <c r="F44" s="6">
        <v>8945.5</v>
      </c>
      <c r="G44" s="7">
        <v>1.2551941E-2</v>
      </c>
      <c r="H44" s="6"/>
    </row>
    <row r="45" spans="1:8" x14ac:dyDescent="0.2">
      <c r="A45" s="3">
        <v>39</v>
      </c>
      <c r="B45" s="4" t="s">
        <v>341</v>
      </c>
      <c r="C45" s="4" t="s">
        <v>342</v>
      </c>
      <c r="D45" s="4" t="s">
        <v>940</v>
      </c>
      <c r="E45" s="5">
        <v>223469</v>
      </c>
      <c r="F45" s="6">
        <v>8518.0796074999998</v>
      </c>
      <c r="G45" s="7">
        <v>1.1952203E-2</v>
      </c>
      <c r="H45" s="6"/>
    </row>
    <row r="46" spans="1:8" ht="25.5" x14ac:dyDescent="0.2">
      <c r="A46" s="3">
        <v>40</v>
      </c>
      <c r="B46" s="4" t="s">
        <v>34</v>
      </c>
      <c r="C46" s="4" t="s">
        <v>35</v>
      </c>
      <c r="D46" s="4" t="s">
        <v>936</v>
      </c>
      <c r="E46" s="5">
        <v>20359</v>
      </c>
      <c r="F46" s="6">
        <v>8167.4505685000004</v>
      </c>
      <c r="G46" s="7">
        <v>1.1460216E-2</v>
      </c>
      <c r="H46" s="6"/>
    </row>
    <row r="47" spans="1:8" x14ac:dyDescent="0.2">
      <c r="A47" s="3">
        <v>41</v>
      </c>
      <c r="B47" s="4" t="s">
        <v>343</v>
      </c>
      <c r="C47" s="4" t="s">
        <v>344</v>
      </c>
      <c r="D47" s="4" t="s">
        <v>934</v>
      </c>
      <c r="E47" s="5">
        <v>1401632</v>
      </c>
      <c r="F47" s="6">
        <v>7858.9506240000001</v>
      </c>
      <c r="G47" s="7">
        <v>1.1027342000000001E-2</v>
      </c>
      <c r="H47" s="6"/>
    </row>
    <row r="48" spans="1:8" x14ac:dyDescent="0.2">
      <c r="A48" s="3">
        <v>42</v>
      </c>
      <c r="B48" s="4" t="s">
        <v>345</v>
      </c>
      <c r="C48" s="4" t="s">
        <v>346</v>
      </c>
      <c r="D48" s="4" t="s">
        <v>71</v>
      </c>
      <c r="E48" s="5">
        <v>12728514</v>
      </c>
      <c r="F48" s="6">
        <v>7751.6650259999997</v>
      </c>
      <c r="G48" s="7">
        <v>1.0876803000000001E-2</v>
      </c>
      <c r="H48" s="6"/>
    </row>
    <row r="49" spans="1:8" x14ac:dyDescent="0.2">
      <c r="A49" s="3">
        <v>43</v>
      </c>
      <c r="B49" s="4" t="s">
        <v>347</v>
      </c>
      <c r="C49" s="4" t="s">
        <v>348</v>
      </c>
      <c r="D49" s="4" t="s">
        <v>948</v>
      </c>
      <c r="E49" s="5">
        <v>2929857</v>
      </c>
      <c r="F49" s="6">
        <v>7270.4401454999997</v>
      </c>
      <c r="G49" s="7">
        <v>1.0201569000000001E-2</v>
      </c>
      <c r="H49" s="6"/>
    </row>
    <row r="50" spans="1:8" x14ac:dyDescent="0.2">
      <c r="A50" s="3">
        <v>44</v>
      </c>
      <c r="B50" s="4" t="s">
        <v>349</v>
      </c>
      <c r="C50" s="4" t="s">
        <v>350</v>
      </c>
      <c r="D50" s="4" t="s">
        <v>18</v>
      </c>
      <c r="E50" s="5">
        <v>510718</v>
      </c>
      <c r="F50" s="6">
        <v>7071.4014280000001</v>
      </c>
      <c r="G50" s="7">
        <v>9.9222870000000001E-3</v>
      </c>
      <c r="H50" s="6"/>
    </row>
    <row r="51" spans="1:8" x14ac:dyDescent="0.2">
      <c r="A51" s="3">
        <v>45</v>
      </c>
      <c r="B51" s="4" t="s">
        <v>351</v>
      </c>
      <c r="C51" s="4" t="s">
        <v>352</v>
      </c>
      <c r="D51" s="4" t="s">
        <v>71</v>
      </c>
      <c r="E51" s="5">
        <v>158611</v>
      </c>
      <c r="F51" s="6">
        <v>6972.9360875000002</v>
      </c>
      <c r="G51" s="7">
        <v>9.7841239999999999E-3</v>
      </c>
      <c r="H51" s="6"/>
    </row>
    <row r="52" spans="1:8" x14ac:dyDescent="0.2">
      <c r="A52" s="3">
        <v>46</v>
      </c>
      <c r="B52" s="4" t="s">
        <v>353</v>
      </c>
      <c r="C52" s="4" t="s">
        <v>354</v>
      </c>
      <c r="D52" s="4" t="s">
        <v>82</v>
      </c>
      <c r="E52" s="5">
        <v>1800967</v>
      </c>
      <c r="F52" s="6">
        <v>6820.2620290000004</v>
      </c>
      <c r="G52" s="7">
        <v>9.5698989999999998E-3</v>
      </c>
      <c r="H52" s="6"/>
    </row>
    <row r="53" spans="1:8" ht="25.5" x14ac:dyDescent="0.2">
      <c r="A53" s="3">
        <v>47</v>
      </c>
      <c r="B53" s="4" t="s">
        <v>215</v>
      </c>
      <c r="C53" s="4" t="s">
        <v>216</v>
      </c>
      <c r="D53" s="4" t="s">
        <v>945</v>
      </c>
      <c r="E53" s="5">
        <v>1150200</v>
      </c>
      <c r="F53" s="6">
        <v>6709.6917000000003</v>
      </c>
      <c r="G53" s="7">
        <v>9.4147510000000007E-3</v>
      </c>
      <c r="H53" s="6"/>
    </row>
    <row r="54" spans="1:8" x14ac:dyDescent="0.2">
      <c r="A54" s="3">
        <v>48</v>
      </c>
      <c r="B54" s="4" t="s">
        <v>244</v>
      </c>
      <c r="C54" s="4" t="s">
        <v>245</v>
      </c>
      <c r="D54" s="4" t="s">
        <v>13</v>
      </c>
      <c r="E54" s="5">
        <v>2430815</v>
      </c>
      <c r="F54" s="6">
        <v>6570.492945</v>
      </c>
      <c r="G54" s="7">
        <v>9.2194330000000008E-3</v>
      </c>
      <c r="H54" s="6"/>
    </row>
    <row r="55" spans="1:8" x14ac:dyDescent="0.2">
      <c r="A55" s="3">
        <v>49</v>
      </c>
      <c r="B55" s="4" t="s">
        <v>355</v>
      </c>
      <c r="C55" s="4" t="s">
        <v>356</v>
      </c>
      <c r="D55" s="4" t="s">
        <v>82</v>
      </c>
      <c r="E55" s="5">
        <v>41831</v>
      </c>
      <c r="F55" s="6">
        <v>6237.4831565000004</v>
      </c>
      <c r="G55" s="7">
        <v>8.7521679999999994E-3</v>
      </c>
      <c r="H55" s="6"/>
    </row>
    <row r="56" spans="1:8" ht="25.5" x14ac:dyDescent="0.2">
      <c r="A56" s="3">
        <v>50</v>
      </c>
      <c r="B56" s="4" t="s">
        <v>357</v>
      </c>
      <c r="C56" s="4" t="s">
        <v>358</v>
      </c>
      <c r="D56" s="4" t="s">
        <v>950</v>
      </c>
      <c r="E56" s="5">
        <v>754391</v>
      </c>
      <c r="F56" s="6">
        <v>6214.2958625000001</v>
      </c>
      <c r="G56" s="7">
        <v>8.7196329999999992E-3</v>
      </c>
      <c r="H56" s="6"/>
    </row>
    <row r="57" spans="1:8" x14ac:dyDescent="0.2">
      <c r="A57" s="3">
        <v>51</v>
      </c>
      <c r="B57" s="4" t="s">
        <v>102</v>
      </c>
      <c r="C57" s="4" t="s">
        <v>103</v>
      </c>
      <c r="D57" s="4" t="s">
        <v>57</v>
      </c>
      <c r="E57" s="5">
        <v>1692500</v>
      </c>
      <c r="F57" s="6">
        <v>5964.37</v>
      </c>
      <c r="G57" s="7">
        <v>8.3689479999999993E-3</v>
      </c>
      <c r="H57" s="6"/>
    </row>
    <row r="58" spans="1:8" x14ac:dyDescent="0.2">
      <c r="A58" s="3">
        <v>52</v>
      </c>
      <c r="B58" s="4" t="s">
        <v>359</v>
      </c>
      <c r="C58" s="4" t="s">
        <v>360</v>
      </c>
      <c r="D58" s="4" t="s">
        <v>940</v>
      </c>
      <c r="E58" s="5">
        <v>575236</v>
      </c>
      <c r="F58" s="6">
        <v>5261.6836919999996</v>
      </c>
      <c r="G58" s="7">
        <v>7.3829689999999996E-3</v>
      </c>
      <c r="H58" s="6"/>
    </row>
    <row r="59" spans="1:8" x14ac:dyDescent="0.2">
      <c r="A59" s="3">
        <v>53</v>
      </c>
      <c r="B59" s="4" t="s">
        <v>361</v>
      </c>
      <c r="C59" s="4" t="s">
        <v>362</v>
      </c>
      <c r="D59" s="4" t="s">
        <v>71</v>
      </c>
      <c r="E59" s="5">
        <v>881680</v>
      </c>
      <c r="F59" s="6">
        <v>5026.4576800000004</v>
      </c>
      <c r="G59" s="7">
        <v>7.0529099999999999E-3</v>
      </c>
      <c r="H59" s="6"/>
    </row>
    <row r="60" spans="1:8" x14ac:dyDescent="0.2">
      <c r="A60" s="3">
        <v>54</v>
      </c>
      <c r="B60" s="4" t="s">
        <v>24</v>
      </c>
      <c r="C60" s="4" t="s">
        <v>25</v>
      </c>
      <c r="D60" s="4" t="s">
        <v>26</v>
      </c>
      <c r="E60" s="5">
        <v>195331</v>
      </c>
      <c r="F60" s="6">
        <v>4856.2216564999999</v>
      </c>
      <c r="G60" s="7">
        <v>6.8140420000000002E-3</v>
      </c>
      <c r="H60" s="6"/>
    </row>
    <row r="61" spans="1:8" x14ac:dyDescent="0.2">
      <c r="A61" s="3">
        <v>55</v>
      </c>
      <c r="B61" s="4" t="s">
        <v>363</v>
      </c>
      <c r="C61" s="4" t="s">
        <v>364</v>
      </c>
      <c r="D61" s="4" t="s">
        <v>923</v>
      </c>
      <c r="E61" s="5">
        <v>484390</v>
      </c>
      <c r="F61" s="6">
        <v>4651.3549750000002</v>
      </c>
      <c r="G61" s="7">
        <v>6.5265820000000004E-3</v>
      </c>
      <c r="H61" s="6"/>
    </row>
    <row r="62" spans="1:8" x14ac:dyDescent="0.2">
      <c r="A62" s="3">
        <v>56</v>
      </c>
      <c r="B62" s="4" t="s">
        <v>365</v>
      </c>
      <c r="C62" s="4" t="s">
        <v>366</v>
      </c>
      <c r="D62" s="4" t="s">
        <v>26</v>
      </c>
      <c r="E62" s="5">
        <v>208669</v>
      </c>
      <c r="F62" s="6">
        <v>4493.4782459999997</v>
      </c>
      <c r="G62" s="7">
        <v>6.3050559999999999E-3</v>
      </c>
      <c r="H62" s="6"/>
    </row>
    <row r="63" spans="1:8" x14ac:dyDescent="0.2">
      <c r="A63" s="3">
        <v>57</v>
      </c>
      <c r="B63" s="4" t="s">
        <v>38</v>
      </c>
      <c r="C63" s="4" t="s">
        <v>39</v>
      </c>
      <c r="D63" s="4" t="s">
        <v>29</v>
      </c>
      <c r="E63" s="5">
        <v>1617175</v>
      </c>
      <c r="F63" s="6">
        <v>3919.2236124999999</v>
      </c>
      <c r="G63" s="7">
        <v>5.4992859999999999E-3</v>
      </c>
      <c r="H63" s="6"/>
    </row>
    <row r="64" spans="1:8" x14ac:dyDescent="0.2">
      <c r="A64" s="3">
        <v>58</v>
      </c>
      <c r="B64" s="4" t="s">
        <v>367</v>
      </c>
      <c r="C64" s="4" t="s">
        <v>368</v>
      </c>
      <c r="D64" s="4" t="s">
        <v>233</v>
      </c>
      <c r="E64" s="5">
        <v>1416138</v>
      </c>
      <c r="F64" s="6">
        <v>3783.2126669999998</v>
      </c>
      <c r="G64" s="7">
        <v>5.308442E-3</v>
      </c>
      <c r="H64" s="6"/>
    </row>
    <row r="65" spans="1:8" x14ac:dyDescent="0.2">
      <c r="A65" s="3">
        <v>59</v>
      </c>
      <c r="B65" s="4" t="s">
        <v>369</v>
      </c>
      <c r="C65" s="4" t="s">
        <v>370</v>
      </c>
      <c r="D65" s="4" t="s">
        <v>71</v>
      </c>
      <c r="E65" s="5">
        <v>262905</v>
      </c>
      <c r="F65" s="6">
        <v>2717.1231750000002</v>
      </c>
      <c r="G65" s="7">
        <v>3.812551E-3</v>
      </c>
      <c r="H65" s="6"/>
    </row>
    <row r="66" spans="1:8" x14ac:dyDescent="0.2">
      <c r="A66" s="3">
        <v>60</v>
      </c>
      <c r="B66" s="4" t="s">
        <v>371</v>
      </c>
      <c r="C66" s="4" t="s">
        <v>372</v>
      </c>
      <c r="D66" s="4" t="s">
        <v>940</v>
      </c>
      <c r="E66" s="5">
        <v>114760</v>
      </c>
      <c r="F66" s="6">
        <v>2460.6839199999999</v>
      </c>
      <c r="G66" s="7">
        <v>3.4527260000000001E-3</v>
      </c>
      <c r="H66" s="6"/>
    </row>
    <row r="67" spans="1:8" x14ac:dyDescent="0.2">
      <c r="A67" s="3">
        <v>61</v>
      </c>
      <c r="B67" s="4" t="s">
        <v>236</v>
      </c>
      <c r="C67" s="4" t="s">
        <v>237</v>
      </c>
      <c r="D67" s="4" t="s">
        <v>947</v>
      </c>
      <c r="E67" s="5">
        <v>40244</v>
      </c>
      <c r="F67" s="6">
        <v>1738.8023860000001</v>
      </c>
      <c r="G67" s="7">
        <v>2.4398129999999999E-3</v>
      </c>
      <c r="H67" s="6"/>
    </row>
    <row r="68" spans="1:8" ht="25.5" x14ac:dyDescent="0.2">
      <c r="A68" s="3">
        <v>62</v>
      </c>
      <c r="B68" s="4" t="s">
        <v>373</v>
      </c>
      <c r="C68" s="4" t="s">
        <v>374</v>
      </c>
      <c r="D68" s="4" t="s">
        <v>935</v>
      </c>
      <c r="E68" s="5">
        <v>110147</v>
      </c>
      <c r="F68" s="6">
        <v>1673.2981505</v>
      </c>
      <c r="G68" s="7">
        <v>2.3479E-3</v>
      </c>
      <c r="H68" s="6"/>
    </row>
    <row r="69" spans="1:8" ht="25.5" x14ac:dyDescent="0.2">
      <c r="A69" s="3">
        <v>63</v>
      </c>
      <c r="B69" s="4" t="s">
        <v>375</v>
      </c>
      <c r="C69" s="4" t="s">
        <v>376</v>
      </c>
      <c r="D69" s="4" t="s">
        <v>940</v>
      </c>
      <c r="E69" s="5">
        <v>21411</v>
      </c>
      <c r="F69" s="6">
        <v>1668.9018060000001</v>
      </c>
      <c r="G69" s="7">
        <v>2.3417310000000001E-3</v>
      </c>
      <c r="H69" s="6"/>
    </row>
    <row r="70" spans="1:8" x14ac:dyDescent="0.2">
      <c r="A70" s="3">
        <v>64</v>
      </c>
      <c r="B70" s="4" t="s">
        <v>377</v>
      </c>
      <c r="C70" s="4" t="s">
        <v>378</v>
      </c>
      <c r="D70" s="4" t="s">
        <v>959</v>
      </c>
      <c r="E70" s="5">
        <v>191166</v>
      </c>
      <c r="F70" s="6">
        <v>1251.850551</v>
      </c>
      <c r="G70" s="7">
        <v>1.7565429999999999E-3</v>
      </c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9">
        <v>684990.96627900004</v>
      </c>
      <c r="G71" s="10">
        <v>0.96114990099999997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113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114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115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116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117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8" customHeight="1" x14ac:dyDescent="0.2">
      <c r="A88" s="1"/>
      <c r="B88" s="1"/>
      <c r="C88" s="2" t="s">
        <v>118</v>
      </c>
      <c r="D88" s="1"/>
      <c r="E88" s="1"/>
      <c r="F88" s="9">
        <v>684990.96627900004</v>
      </c>
      <c r="G88" s="10">
        <v>0.96114990099999997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119</v>
      </c>
      <c r="D90" s="1"/>
      <c r="E90" s="1"/>
      <c r="F90" s="12"/>
      <c r="G90" s="12"/>
      <c r="H90" s="6"/>
    </row>
    <row r="91" spans="1:8" ht="24" customHeight="1" x14ac:dyDescent="0.2">
      <c r="A91" s="1"/>
      <c r="B91" s="1"/>
      <c r="C91" s="2" t="s">
        <v>10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120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121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122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123</v>
      </c>
      <c r="D103" s="1"/>
      <c r="E103" s="1"/>
      <c r="F103" s="9">
        <v>0</v>
      </c>
      <c r="G103" s="10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124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125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127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111</v>
      </c>
      <c r="D113" s="1"/>
      <c r="E113" s="1" t="s">
        <v>112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128</v>
      </c>
      <c r="D115" s="1"/>
      <c r="E115" s="1"/>
      <c r="F115" s="12"/>
      <c r="G115" s="12"/>
      <c r="H115" s="6"/>
    </row>
    <row r="116" spans="1:8" ht="17.100000000000001" customHeight="1" x14ac:dyDescent="0.2">
      <c r="A116" s="3">
        <v>1</v>
      </c>
      <c r="B116" s="4"/>
      <c r="C116" s="4" t="s">
        <v>129</v>
      </c>
      <c r="D116" s="4"/>
      <c r="E116" s="8"/>
      <c r="F116" s="6">
        <v>23283.743025399999</v>
      </c>
      <c r="G116" s="7">
        <v>3.2670747999999999E-2</v>
      </c>
      <c r="H116" s="6">
        <v>3.9343919198424624</v>
      </c>
    </row>
    <row r="117" spans="1:8" ht="17.100000000000001" customHeight="1" x14ac:dyDescent="0.2">
      <c r="A117" s="3">
        <v>2</v>
      </c>
      <c r="B117" s="4"/>
      <c r="C117" s="4" t="s">
        <v>130</v>
      </c>
      <c r="D117" s="4"/>
      <c r="E117" s="8"/>
      <c r="F117" s="6">
        <v>1529.2654898000001</v>
      </c>
      <c r="G117" s="7">
        <v>2.1457999999999998E-3</v>
      </c>
      <c r="H117" s="6">
        <v>3.8</v>
      </c>
    </row>
    <row r="118" spans="1:8" ht="14.1" customHeight="1" x14ac:dyDescent="0.2">
      <c r="A118" s="1"/>
      <c r="B118" s="1"/>
      <c r="C118" s="2" t="s">
        <v>111</v>
      </c>
      <c r="D118" s="1"/>
      <c r="E118" s="1" t="s">
        <v>112</v>
      </c>
      <c r="F118" s="9">
        <v>24813.008515199999</v>
      </c>
      <c r="G118" s="10">
        <v>3.4816548000000003E-2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131</v>
      </c>
      <c r="D120" s="1"/>
      <c r="E120" s="1"/>
      <c r="F120" s="9">
        <v>24813.008515199999</v>
      </c>
      <c r="G120" s="10">
        <v>3.4816548000000003E-2</v>
      </c>
      <c r="H120" s="6"/>
    </row>
    <row r="121" spans="1:8" ht="14.1" customHeight="1" x14ac:dyDescent="0.2">
      <c r="A121" s="1"/>
      <c r="B121" s="1"/>
      <c r="C121" s="12"/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132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133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111</v>
      </c>
      <c r="D124" s="1"/>
      <c r="E124" s="1" t="s">
        <v>112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134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135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111</v>
      </c>
      <c r="D128" s="1"/>
      <c r="E128" s="1" t="s">
        <v>112</v>
      </c>
      <c r="F128" s="13">
        <v>0</v>
      </c>
      <c r="G128" s="14">
        <v>0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24" customHeight="1" x14ac:dyDescent="0.2">
      <c r="A131" s="1"/>
      <c r="B131" s="1"/>
      <c r="C131" s="2" t="s">
        <v>136</v>
      </c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111</v>
      </c>
      <c r="D132" s="1"/>
      <c r="E132" s="1" t="s">
        <v>112</v>
      </c>
      <c r="F132" s="13">
        <v>0</v>
      </c>
      <c r="G132" s="14">
        <v>0</v>
      </c>
      <c r="H132" s="6"/>
    </row>
    <row r="133" spans="1:8" ht="14.1" customHeight="1" x14ac:dyDescent="0.2">
      <c r="A133" s="1"/>
      <c r="B133" s="1"/>
      <c r="C133" s="11"/>
      <c r="D133" s="1"/>
      <c r="E133" s="1"/>
      <c r="F133" s="12"/>
      <c r="G133" s="12"/>
      <c r="H133" s="6"/>
    </row>
    <row r="134" spans="1:8" ht="14.1" customHeight="1" x14ac:dyDescent="0.2">
      <c r="A134" s="1"/>
      <c r="B134" s="4"/>
      <c r="C134" s="4"/>
      <c r="D134" s="2"/>
      <c r="E134" s="1"/>
      <c r="F134" s="4"/>
      <c r="G134" s="8"/>
      <c r="H134" s="6"/>
    </row>
    <row r="135" spans="1:8" ht="18" customHeight="1" x14ac:dyDescent="0.2">
      <c r="A135" s="8"/>
      <c r="B135" s="4"/>
      <c r="C135" s="4" t="s">
        <v>137</v>
      </c>
      <c r="D135" s="4"/>
      <c r="E135" s="8"/>
      <c r="F135" s="6">
        <v>2874.6251679100001</v>
      </c>
      <c r="G135" s="7">
        <v>4.0335509999999998E-3</v>
      </c>
      <c r="H135" s="6"/>
    </row>
    <row r="136" spans="1:8" ht="14.1" customHeight="1" x14ac:dyDescent="0.2">
      <c r="A136" s="11"/>
      <c r="B136" s="11"/>
      <c r="C136" s="2" t="s">
        <v>138</v>
      </c>
      <c r="D136" s="15"/>
      <c r="E136" s="15"/>
      <c r="F136" s="9">
        <v>712678.59996211005</v>
      </c>
      <c r="G136" s="10">
        <v>1</v>
      </c>
      <c r="H136" s="6"/>
    </row>
    <row r="137" spans="1:8" ht="14.1" customHeight="1" x14ac:dyDescent="0.2">
      <c r="A137" s="18"/>
      <c r="B137" s="297" t="s">
        <v>112</v>
      </c>
      <c r="C137" s="297"/>
      <c r="D137" s="297"/>
      <c r="E137" s="297"/>
      <c r="F137" s="297"/>
      <c r="G137" s="20"/>
    </row>
    <row r="138" spans="1:8" ht="14.1" customHeight="1" x14ac:dyDescent="0.2">
      <c r="A138" s="18"/>
      <c r="B138" s="18"/>
      <c r="C138" s="18"/>
      <c r="D138" s="20"/>
      <c r="E138" s="20"/>
      <c r="F138" s="20"/>
      <c r="G138" s="20"/>
    </row>
    <row r="139" spans="1:8" ht="14.1" customHeight="1" x14ac:dyDescent="0.2">
      <c r="A139" s="18"/>
      <c r="B139" s="294" t="s">
        <v>140</v>
      </c>
      <c r="C139" s="295"/>
      <c r="D139" s="12" t="s">
        <v>112</v>
      </c>
      <c r="E139" s="21"/>
      <c r="F139" s="20"/>
      <c r="G139" s="20"/>
    </row>
    <row r="140" spans="1:8" ht="29.1" customHeight="1" x14ac:dyDescent="0.2">
      <c r="A140" s="18"/>
      <c r="B140" s="288" t="s">
        <v>141</v>
      </c>
      <c r="C140" s="289"/>
      <c r="D140" s="2" t="s">
        <v>142</v>
      </c>
      <c r="E140" s="21"/>
      <c r="F140" s="20"/>
      <c r="G140" s="20"/>
    </row>
    <row r="141" spans="1:8" ht="17.100000000000001" customHeight="1" x14ac:dyDescent="0.2">
      <c r="A141" s="18"/>
      <c r="B141" s="288" t="s">
        <v>143</v>
      </c>
      <c r="C141" s="289"/>
      <c r="D141" s="2" t="s">
        <v>142</v>
      </c>
      <c r="E141" s="21"/>
      <c r="F141" s="20"/>
      <c r="G141" s="20"/>
    </row>
    <row r="142" spans="1:8" ht="17.100000000000001" customHeight="1" x14ac:dyDescent="0.2">
      <c r="A142" s="18"/>
      <c r="B142" s="288" t="s">
        <v>144</v>
      </c>
      <c r="C142" s="289"/>
      <c r="D142" s="12" t="s">
        <v>112</v>
      </c>
      <c r="E142" s="21"/>
      <c r="F142" s="20"/>
      <c r="G142" s="20"/>
    </row>
    <row r="143" spans="1:8" ht="24" customHeight="1" x14ac:dyDescent="0.2">
      <c r="A143" s="22"/>
      <c r="B143" s="23" t="s">
        <v>112</v>
      </c>
      <c r="C143" s="23" t="s">
        <v>145</v>
      </c>
      <c r="D143" s="23" t="s">
        <v>146</v>
      </c>
      <c r="E143" s="22"/>
      <c r="F143" s="22"/>
      <c r="G143" s="22"/>
    </row>
    <row r="144" spans="1:8" ht="18" customHeight="1" x14ac:dyDescent="0.2">
      <c r="A144" s="22"/>
      <c r="B144" s="23" t="s">
        <v>147</v>
      </c>
      <c r="C144" s="23" t="s">
        <v>148</v>
      </c>
      <c r="D144" s="23" t="s">
        <v>149</v>
      </c>
      <c r="E144" s="22"/>
      <c r="F144" s="22"/>
      <c r="G144" s="22"/>
    </row>
    <row r="145" spans="1:7" ht="17.100000000000001" customHeight="1" x14ac:dyDescent="0.2">
      <c r="A145" s="22"/>
      <c r="B145" s="4" t="s">
        <v>150</v>
      </c>
      <c r="C145" s="24">
        <v>738.97379999999998</v>
      </c>
      <c r="D145" s="24">
        <v>740.93430000000001</v>
      </c>
      <c r="E145" s="22"/>
      <c r="F145" s="19"/>
      <c r="G145" s="25"/>
    </row>
    <row r="146" spans="1:7" ht="17.100000000000001" customHeight="1" x14ac:dyDescent="0.2">
      <c r="A146" s="22"/>
      <c r="B146" s="4" t="s">
        <v>1114</v>
      </c>
      <c r="C146" s="24">
        <v>46.362900000000003</v>
      </c>
      <c r="D146" s="24">
        <v>46.485799999999998</v>
      </c>
      <c r="E146" s="22"/>
      <c r="F146" s="19"/>
      <c r="G146" s="25"/>
    </row>
    <row r="147" spans="1:7" ht="17.100000000000001" customHeight="1" x14ac:dyDescent="0.2">
      <c r="A147" s="22"/>
      <c r="B147" s="4" t="s">
        <v>151</v>
      </c>
      <c r="C147" s="24">
        <v>696.20500000000004</v>
      </c>
      <c r="D147" s="24">
        <v>697.50530000000003</v>
      </c>
      <c r="E147" s="22"/>
      <c r="F147" s="19"/>
      <c r="G147" s="25"/>
    </row>
    <row r="148" spans="1:7" ht="17.100000000000001" customHeight="1" x14ac:dyDescent="0.2">
      <c r="A148" s="22"/>
      <c r="B148" s="4" t="s">
        <v>1115</v>
      </c>
      <c r="C148" s="24">
        <v>43.068199999999997</v>
      </c>
      <c r="D148" s="24">
        <v>43.148600000000002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288" t="s">
        <v>1116</v>
      </c>
      <c r="C150" s="289"/>
      <c r="D150" s="2" t="s">
        <v>142</v>
      </c>
      <c r="E150" s="22"/>
      <c r="F150" s="22"/>
      <c r="G150" s="22"/>
    </row>
    <row r="151" spans="1:7" ht="14.1" customHeight="1" x14ac:dyDescent="0.2">
      <c r="A151" s="22"/>
      <c r="B151" s="19"/>
      <c r="C151" s="19"/>
      <c r="D151" s="22"/>
      <c r="E151" s="22"/>
      <c r="F151" s="22"/>
      <c r="G151" s="22"/>
    </row>
    <row r="152" spans="1:7" ht="29.1" customHeight="1" x14ac:dyDescent="0.2">
      <c r="A152" s="22"/>
      <c r="B152" s="288" t="s">
        <v>153</v>
      </c>
      <c r="C152" s="289"/>
      <c r="D152" s="2" t="s">
        <v>142</v>
      </c>
      <c r="E152" s="22"/>
      <c r="F152" s="22"/>
      <c r="G152" s="22"/>
    </row>
    <row r="153" spans="1:7" ht="29.1" customHeight="1" x14ac:dyDescent="0.2">
      <c r="A153" s="22"/>
      <c r="B153" s="288" t="s">
        <v>154</v>
      </c>
      <c r="C153" s="289"/>
      <c r="D153" s="2" t="s">
        <v>142</v>
      </c>
      <c r="E153" s="22"/>
      <c r="F153" s="22"/>
      <c r="G153" s="22"/>
    </row>
    <row r="154" spans="1:7" ht="17.100000000000001" customHeight="1" x14ac:dyDescent="0.2">
      <c r="A154" s="22"/>
      <c r="B154" s="288" t="s">
        <v>155</v>
      </c>
      <c r="C154" s="289"/>
      <c r="D154" s="26">
        <v>0.33775045258693742</v>
      </c>
      <c r="E154" s="22"/>
      <c r="F154" s="19"/>
      <c r="G154" s="25"/>
    </row>
    <row r="155" spans="1:7" ht="17.100000000000001" customHeight="1" x14ac:dyDescent="0.2">
      <c r="A155" s="22"/>
      <c r="B155" s="288" t="s">
        <v>156</v>
      </c>
      <c r="C155" s="289"/>
      <c r="D155" s="2" t="s">
        <v>142</v>
      </c>
      <c r="E155" s="22"/>
      <c r="F155" s="22"/>
      <c r="G155" s="22"/>
    </row>
  </sheetData>
  <mergeCells count="14">
    <mergeCell ref="A1:H1"/>
    <mergeCell ref="A2:H2"/>
    <mergeCell ref="A3:H3"/>
    <mergeCell ref="B139:C139"/>
    <mergeCell ref="J2:N2"/>
    <mergeCell ref="B137:F137"/>
    <mergeCell ref="B154:C154"/>
    <mergeCell ref="B155:C155"/>
    <mergeCell ref="B140:C140"/>
    <mergeCell ref="B141:C141"/>
    <mergeCell ref="B142:C142"/>
    <mergeCell ref="B150:C150"/>
    <mergeCell ref="B152:C152"/>
    <mergeCell ref="B153:C15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4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379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44211</v>
      </c>
      <c r="F7" s="6">
        <v>1233.5974275000001</v>
      </c>
      <c r="G7" s="7">
        <v>8.6484750999999999E-2</v>
      </c>
      <c r="H7" s="6"/>
    </row>
    <row r="8" spans="1:14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137271</v>
      </c>
      <c r="F8" s="6">
        <v>1020.335343</v>
      </c>
      <c r="G8" s="7">
        <v>7.1533424999999998E-2</v>
      </c>
      <c r="H8" s="6"/>
    </row>
    <row r="9" spans="1:14" x14ac:dyDescent="0.2">
      <c r="A9" s="3">
        <v>3</v>
      </c>
      <c r="B9" s="4" t="s">
        <v>380</v>
      </c>
      <c r="C9" s="4" t="s">
        <v>381</v>
      </c>
      <c r="D9" s="4" t="s">
        <v>947</v>
      </c>
      <c r="E9" s="5">
        <v>53410</v>
      </c>
      <c r="F9" s="6">
        <v>837.22845500000005</v>
      </c>
      <c r="G9" s="7">
        <v>5.8696210999999998E-2</v>
      </c>
      <c r="H9" s="6"/>
    </row>
    <row r="10" spans="1:14" x14ac:dyDescent="0.2">
      <c r="A10" s="3">
        <v>4</v>
      </c>
      <c r="B10" s="4" t="s">
        <v>349</v>
      </c>
      <c r="C10" s="4" t="s">
        <v>350</v>
      </c>
      <c r="D10" s="4" t="s">
        <v>18</v>
      </c>
      <c r="E10" s="5">
        <v>54472</v>
      </c>
      <c r="F10" s="6">
        <v>754.21931199999995</v>
      </c>
      <c r="G10" s="7">
        <v>5.2876626000000003E-2</v>
      </c>
      <c r="H10" s="6"/>
    </row>
    <row r="11" spans="1:14" x14ac:dyDescent="0.2">
      <c r="A11" s="3">
        <v>5</v>
      </c>
      <c r="B11" s="4" t="s">
        <v>48</v>
      </c>
      <c r="C11" s="4" t="s">
        <v>49</v>
      </c>
      <c r="D11" s="4" t="s">
        <v>18</v>
      </c>
      <c r="E11" s="5">
        <v>108901</v>
      </c>
      <c r="F11" s="6">
        <v>540.47566300000005</v>
      </c>
      <c r="G11" s="7">
        <v>3.7891538000000002E-2</v>
      </c>
      <c r="H11" s="6"/>
    </row>
    <row r="12" spans="1:14" x14ac:dyDescent="0.2">
      <c r="A12" s="3">
        <v>6</v>
      </c>
      <c r="B12" s="4" t="s">
        <v>296</v>
      </c>
      <c r="C12" s="4" t="s">
        <v>297</v>
      </c>
      <c r="D12" s="4" t="s">
        <v>956</v>
      </c>
      <c r="E12" s="5">
        <v>46412</v>
      </c>
      <c r="F12" s="6">
        <v>502.89722599999999</v>
      </c>
      <c r="G12" s="7">
        <v>3.5256997999999998E-2</v>
      </c>
      <c r="H12" s="6"/>
    </row>
    <row r="13" spans="1:14" ht="25.5" x14ac:dyDescent="0.2">
      <c r="A13" s="3">
        <v>7</v>
      </c>
      <c r="B13" s="4" t="s">
        <v>382</v>
      </c>
      <c r="C13" s="4" t="s">
        <v>383</v>
      </c>
      <c r="D13" s="4" t="s">
        <v>82</v>
      </c>
      <c r="E13" s="5">
        <v>21645</v>
      </c>
      <c r="F13" s="6">
        <v>482.61856499999999</v>
      </c>
      <c r="G13" s="7">
        <v>3.3835306000000002E-2</v>
      </c>
      <c r="H13" s="6"/>
    </row>
    <row r="14" spans="1:14" x14ac:dyDescent="0.2">
      <c r="A14" s="3">
        <v>8</v>
      </c>
      <c r="B14" s="4" t="s">
        <v>294</v>
      </c>
      <c r="C14" s="4" t="s">
        <v>295</v>
      </c>
      <c r="D14" s="4" t="s">
        <v>18</v>
      </c>
      <c r="E14" s="5">
        <v>66020</v>
      </c>
      <c r="F14" s="6">
        <v>481.02172000000002</v>
      </c>
      <c r="G14" s="7">
        <v>3.3723355000000003E-2</v>
      </c>
      <c r="H14" s="6"/>
    </row>
    <row r="15" spans="1:14" ht="25.5" x14ac:dyDescent="0.2">
      <c r="A15" s="3">
        <v>9</v>
      </c>
      <c r="B15" s="4" t="s">
        <v>217</v>
      </c>
      <c r="C15" s="4" t="s">
        <v>218</v>
      </c>
      <c r="D15" s="4" t="s">
        <v>946</v>
      </c>
      <c r="E15" s="5">
        <v>10484</v>
      </c>
      <c r="F15" s="6">
        <v>412.20991199999997</v>
      </c>
      <c r="G15" s="7">
        <v>2.8899113000000001E-2</v>
      </c>
      <c r="H15" s="6"/>
      <c r="J15" s="192" t="s">
        <v>1144</v>
      </c>
    </row>
    <row r="16" spans="1:14" x14ac:dyDescent="0.2">
      <c r="A16" s="3">
        <v>10</v>
      </c>
      <c r="B16" s="4" t="s">
        <v>14</v>
      </c>
      <c r="C16" s="4" t="s">
        <v>15</v>
      </c>
      <c r="D16" s="4" t="s">
        <v>64</v>
      </c>
      <c r="E16" s="5">
        <v>23069</v>
      </c>
      <c r="F16" s="6">
        <v>390.86960149999999</v>
      </c>
      <c r="G16" s="7">
        <v>2.7402992000000001E-2</v>
      </c>
      <c r="H16" s="6"/>
    </row>
    <row r="17" spans="1:8" x14ac:dyDescent="0.2">
      <c r="A17" s="3">
        <v>11</v>
      </c>
      <c r="B17" s="4" t="s">
        <v>19</v>
      </c>
      <c r="C17" s="4" t="s">
        <v>20</v>
      </c>
      <c r="D17" s="4" t="s">
        <v>21</v>
      </c>
      <c r="E17" s="5">
        <v>45416</v>
      </c>
      <c r="F17" s="6">
        <v>335.62423999999999</v>
      </c>
      <c r="G17" s="7">
        <v>2.3529863000000002E-2</v>
      </c>
      <c r="H17" s="6"/>
    </row>
    <row r="18" spans="1:8" x14ac:dyDescent="0.2">
      <c r="A18" s="3">
        <v>12</v>
      </c>
      <c r="B18" s="4" t="s">
        <v>384</v>
      </c>
      <c r="C18" s="4" t="s">
        <v>385</v>
      </c>
      <c r="D18" s="4" t="s">
        <v>947</v>
      </c>
      <c r="E18" s="5">
        <v>8814</v>
      </c>
      <c r="F18" s="6">
        <v>312.60613799999999</v>
      </c>
      <c r="G18" s="7">
        <v>2.1916115999999999E-2</v>
      </c>
      <c r="H18" s="6"/>
    </row>
    <row r="19" spans="1:8" x14ac:dyDescent="0.2">
      <c r="A19" s="3">
        <v>13</v>
      </c>
      <c r="B19" s="4" t="s">
        <v>199</v>
      </c>
      <c r="C19" s="4" t="s">
        <v>200</v>
      </c>
      <c r="D19" s="4" t="s">
        <v>940</v>
      </c>
      <c r="E19" s="5">
        <v>16000</v>
      </c>
      <c r="F19" s="6">
        <v>298.50400000000002</v>
      </c>
      <c r="G19" s="7">
        <v>2.0927446999999998E-2</v>
      </c>
      <c r="H19" s="6"/>
    </row>
    <row r="20" spans="1:8" x14ac:dyDescent="0.2">
      <c r="A20" s="3">
        <v>14</v>
      </c>
      <c r="B20" s="4" t="s">
        <v>386</v>
      </c>
      <c r="C20" s="4" t="s">
        <v>387</v>
      </c>
      <c r="D20" s="4" t="s">
        <v>933</v>
      </c>
      <c r="E20" s="5">
        <v>24719</v>
      </c>
      <c r="F20" s="6">
        <v>273.26854500000002</v>
      </c>
      <c r="G20" s="7">
        <v>1.9158245000000001E-2</v>
      </c>
      <c r="H20" s="6"/>
    </row>
    <row r="21" spans="1:8" x14ac:dyDescent="0.2">
      <c r="A21" s="3">
        <v>15</v>
      </c>
      <c r="B21" s="4" t="s">
        <v>207</v>
      </c>
      <c r="C21" s="4" t="s">
        <v>208</v>
      </c>
      <c r="D21" s="4" t="s">
        <v>948</v>
      </c>
      <c r="E21" s="5">
        <v>53148</v>
      </c>
      <c r="F21" s="6">
        <v>266.37777599999998</v>
      </c>
      <c r="G21" s="7">
        <v>1.8675148999999999E-2</v>
      </c>
      <c r="H21" s="6"/>
    </row>
    <row r="22" spans="1:8" ht="25.5" x14ac:dyDescent="0.2">
      <c r="A22" s="3">
        <v>16</v>
      </c>
      <c r="B22" s="4" t="s">
        <v>388</v>
      </c>
      <c r="C22" s="4" t="s">
        <v>389</v>
      </c>
      <c r="D22" s="4" t="s">
        <v>945</v>
      </c>
      <c r="E22" s="5">
        <v>28492</v>
      </c>
      <c r="F22" s="6">
        <v>264.590958</v>
      </c>
      <c r="G22" s="7">
        <v>1.8549878999999998E-2</v>
      </c>
      <c r="H22" s="6"/>
    </row>
    <row r="23" spans="1:8" x14ac:dyDescent="0.2">
      <c r="A23" s="3">
        <v>17</v>
      </c>
      <c r="B23" s="4" t="s">
        <v>30</v>
      </c>
      <c r="C23" s="4" t="s">
        <v>31</v>
      </c>
      <c r="D23" s="4" t="s">
        <v>26</v>
      </c>
      <c r="E23" s="5">
        <v>15186</v>
      </c>
      <c r="F23" s="6">
        <v>260.12858699999998</v>
      </c>
      <c r="G23" s="7">
        <v>1.8237032E-2</v>
      </c>
      <c r="H23" s="6"/>
    </row>
    <row r="24" spans="1:8" ht="25.5" x14ac:dyDescent="0.2">
      <c r="A24" s="3">
        <v>18</v>
      </c>
      <c r="B24" s="4" t="s">
        <v>313</v>
      </c>
      <c r="C24" s="4" t="s">
        <v>314</v>
      </c>
      <c r="D24" s="4" t="s">
        <v>71</v>
      </c>
      <c r="E24" s="5">
        <v>62892</v>
      </c>
      <c r="F24" s="6">
        <v>242.00841600000001</v>
      </c>
      <c r="G24" s="7">
        <v>1.6966668000000001E-2</v>
      </c>
      <c r="H24" s="6"/>
    </row>
    <row r="25" spans="1:8" ht="25.5" x14ac:dyDescent="0.2">
      <c r="A25" s="3">
        <v>19</v>
      </c>
      <c r="B25" s="4" t="s">
        <v>22</v>
      </c>
      <c r="C25" s="4" t="s">
        <v>23</v>
      </c>
      <c r="D25" s="4" t="s">
        <v>935</v>
      </c>
      <c r="E25" s="5">
        <v>3567</v>
      </c>
      <c r="F25" s="6">
        <v>236.50101749999999</v>
      </c>
      <c r="G25" s="7">
        <v>1.6580556E-2</v>
      </c>
      <c r="H25" s="6"/>
    </row>
    <row r="26" spans="1:8" ht="25.5" x14ac:dyDescent="0.2">
      <c r="A26" s="3">
        <v>20</v>
      </c>
      <c r="B26" s="4" t="s">
        <v>158</v>
      </c>
      <c r="C26" s="4" t="s">
        <v>159</v>
      </c>
      <c r="D26" s="4" t="s">
        <v>941</v>
      </c>
      <c r="E26" s="5">
        <v>32477</v>
      </c>
      <c r="F26" s="6">
        <v>230.27816849999999</v>
      </c>
      <c r="G26" s="7">
        <v>1.6144286000000001E-2</v>
      </c>
      <c r="H26" s="6"/>
    </row>
    <row r="27" spans="1:8" x14ac:dyDescent="0.2">
      <c r="A27" s="3">
        <v>21</v>
      </c>
      <c r="B27" s="4" t="s">
        <v>337</v>
      </c>
      <c r="C27" s="4" t="s">
        <v>338</v>
      </c>
      <c r="D27" s="4" t="s">
        <v>944</v>
      </c>
      <c r="E27" s="5">
        <v>40695</v>
      </c>
      <c r="F27" s="6">
        <v>222.19470000000001</v>
      </c>
      <c r="G27" s="7">
        <v>1.5577573000000001E-2</v>
      </c>
      <c r="H27" s="6"/>
    </row>
    <row r="28" spans="1:8" x14ac:dyDescent="0.2">
      <c r="A28" s="3">
        <v>22</v>
      </c>
      <c r="B28" s="4" t="s">
        <v>209</v>
      </c>
      <c r="C28" s="4" t="s">
        <v>210</v>
      </c>
      <c r="D28" s="4" t="s">
        <v>934</v>
      </c>
      <c r="E28" s="5">
        <v>11380</v>
      </c>
      <c r="F28" s="6">
        <v>221.81896</v>
      </c>
      <c r="G28" s="7">
        <v>1.5551229999999999E-2</v>
      </c>
      <c r="H28" s="6"/>
    </row>
    <row r="29" spans="1:8" x14ac:dyDescent="0.2">
      <c r="A29" s="3">
        <v>23</v>
      </c>
      <c r="B29" s="4" t="s">
        <v>390</v>
      </c>
      <c r="C29" s="4" t="s">
        <v>391</v>
      </c>
      <c r="D29" s="4" t="s">
        <v>960</v>
      </c>
      <c r="E29" s="5">
        <v>9430</v>
      </c>
      <c r="F29" s="6">
        <v>210.74635499999999</v>
      </c>
      <c r="G29" s="7">
        <v>1.4774954999999999E-2</v>
      </c>
      <c r="H29" s="6"/>
    </row>
    <row r="30" spans="1:8" ht="25.5" x14ac:dyDescent="0.2">
      <c r="A30" s="3">
        <v>24</v>
      </c>
      <c r="B30" s="4" t="s">
        <v>277</v>
      </c>
      <c r="C30" s="4" t="s">
        <v>278</v>
      </c>
      <c r="D30" s="4" t="s">
        <v>946</v>
      </c>
      <c r="E30" s="5">
        <v>34955</v>
      </c>
      <c r="F30" s="6">
        <v>207.77251999999999</v>
      </c>
      <c r="G30" s="7">
        <v>1.4566466E-2</v>
      </c>
      <c r="H30" s="6"/>
    </row>
    <row r="31" spans="1:8" x14ac:dyDescent="0.2">
      <c r="A31" s="3">
        <v>25</v>
      </c>
      <c r="B31" s="4" t="s">
        <v>286</v>
      </c>
      <c r="C31" s="4" t="s">
        <v>287</v>
      </c>
      <c r="D31" s="4" t="s">
        <v>952</v>
      </c>
      <c r="E31" s="5">
        <v>443</v>
      </c>
      <c r="F31" s="6">
        <v>201.91386249999999</v>
      </c>
      <c r="G31" s="7">
        <v>1.4155727999999999E-2</v>
      </c>
      <c r="H31" s="6"/>
    </row>
    <row r="32" spans="1:8" x14ac:dyDescent="0.2">
      <c r="A32" s="3">
        <v>26</v>
      </c>
      <c r="B32" s="4" t="s">
        <v>392</v>
      </c>
      <c r="C32" s="4" t="s">
        <v>393</v>
      </c>
      <c r="D32" s="4" t="s">
        <v>947</v>
      </c>
      <c r="E32" s="5">
        <v>39000</v>
      </c>
      <c r="F32" s="6">
        <v>198.43199999999999</v>
      </c>
      <c r="G32" s="7">
        <v>1.3911623E-2</v>
      </c>
      <c r="H32" s="6"/>
    </row>
    <row r="33" spans="1:8" x14ac:dyDescent="0.2">
      <c r="A33" s="3">
        <v>27</v>
      </c>
      <c r="B33" s="4" t="s">
        <v>394</v>
      </c>
      <c r="C33" s="4" t="s">
        <v>395</v>
      </c>
      <c r="D33" s="4" t="s">
        <v>947</v>
      </c>
      <c r="E33" s="5">
        <v>18271</v>
      </c>
      <c r="F33" s="6">
        <v>197.18976749999999</v>
      </c>
      <c r="G33" s="7">
        <v>1.3824533E-2</v>
      </c>
      <c r="H33" s="6"/>
    </row>
    <row r="34" spans="1:8" x14ac:dyDescent="0.2">
      <c r="A34" s="3">
        <v>28</v>
      </c>
      <c r="B34" s="4" t="s">
        <v>303</v>
      </c>
      <c r="C34" s="4" t="s">
        <v>304</v>
      </c>
      <c r="D34" s="4" t="s">
        <v>91</v>
      </c>
      <c r="E34" s="5">
        <v>35316</v>
      </c>
      <c r="F34" s="6">
        <v>190.72405800000001</v>
      </c>
      <c r="G34" s="7">
        <v>1.3371236E-2</v>
      </c>
      <c r="H34" s="6"/>
    </row>
    <row r="35" spans="1:8" x14ac:dyDescent="0.2">
      <c r="A35" s="3">
        <v>29</v>
      </c>
      <c r="B35" s="4" t="s">
        <v>87</v>
      </c>
      <c r="C35" s="4" t="s">
        <v>88</v>
      </c>
      <c r="D35" s="4" t="s">
        <v>940</v>
      </c>
      <c r="E35" s="5">
        <v>8130</v>
      </c>
      <c r="F35" s="6">
        <v>187.60787999999999</v>
      </c>
      <c r="G35" s="7">
        <v>1.3152768E-2</v>
      </c>
      <c r="H35" s="6"/>
    </row>
    <row r="36" spans="1:8" x14ac:dyDescent="0.2">
      <c r="A36" s="3">
        <v>30</v>
      </c>
      <c r="B36" s="4" t="s">
        <v>290</v>
      </c>
      <c r="C36" s="4" t="s">
        <v>291</v>
      </c>
      <c r="D36" s="4" t="s">
        <v>18</v>
      </c>
      <c r="E36" s="5">
        <v>160000</v>
      </c>
      <c r="F36" s="6">
        <v>180.64</v>
      </c>
      <c r="G36" s="7">
        <v>1.2664266E-2</v>
      </c>
      <c r="H36" s="6"/>
    </row>
    <row r="37" spans="1:8" x14ac:dyDescent="0.2">
      <c r="A37" s="3">
        <v>31</v>
      </c>
      <c r="B37" s="4" t="s">
        <v>300</v>
      </c>
      <c r="C37" s="4" t="s">
        <v>301</v>
      </c>
      <c r="D37" s="4" t="s">
        <v>302</v>
      </c>
      <c r="E37" s="5">
        <v>13636</v>
      </c>
      <c r="F37" s="6">
        <v>167.50462400000001</v>
      </c>
      <c r="G37" s="7">
        <v>1.1743373999999999E-2</v>
      </c>
      <c r="H37" s="6"/>
    </row>
    <row r="38" spans="1:8" x14ac:dyDescent="0.2">
      <c r="A38" s="3">
        <v>32</v>
      </c>
      <c r="B38" s="4" t="s">
        <v>261</v>
      </c>
      <c r="C38" s="4" t="s">
        <v>262</v>
      </c>
      <c r="D38" s="4" t="s">
        <v>955</v>
      </c>
      <c r="E38" s="5">
        <v>84020</v>
      </c>
      <c r="F38" s="6">
        <v>166.27557999999999</v>
      </c>
      <c r="G38" s="7">
        <v>1.1657208000000001E-2</v>
      </c>
      <c r="H38" s="6"/>
    </row>
    <row r="39" spans="1:8" x14ac:dyDescent="0.2">
      <c r="A39" s="3">
        <v>33</v>
      </c>
      <c r="B39" s="4" t="s">
        <v>396</v>
      </c>
      <c r="C39" s="4" t="s">
        <v>397</v>
      </c>
      <c r="D39" s="4" t="s">
        <v>959</v>
      </c>
      <c r="E39" s="5">
        <v>17387</v>
      </c>
      <c r="F39" s="6">
        <v>160.32552699999999</v>
      </c>
      <c r="G39" s="7">
        <v>1.1240063E-2</v>
      </c>
      <c r="H39" s="6"/>
    </row>
    <row r="40" spans="1:8" ht="25.5" x14ac:dyDescent="0.2">
      <c r="A40" s="3">
        <v>34</v>
      </c>
      <c r="B40" s="4" t="s">
        <v>215</v>
      </c>
      <c r="C40" s="4" t="s">
        <v>216</v>
      </c>
      <c r="D40" s="4" t="s">
        <v>945</v>
      </c>
      <c r="E40" s="5">
        <v>27249</v>
      </c>
      <c r="F40" s="6">
        <v>158.9570415</v>
      </c>
      <c r="G40" s="7">
        <v>1.1144121999999999E-2</v>
      </c>
      <c r="H40" s="6"/>
    </row>
    <row r="41" spans="1:8" x14ac:dyDescent="0.2">
      <c r="A41" s="3">
        <v>35</v>
      </c>
      <c r="B41" s="4" t="s">
        <v>50</v>
      </c>
      <c r="C41" s="4" t="s">
        <v>51</v>
      </c>
      <c r="D41" s="4" t="s">
        <v>938</v>
      </c>
      <c r="E41" s="5">
        <v>24502</v>
      </c>
      <c r="F41" s="6">
        <v>158.38092800000001</v>
      </c>
      <c r="G41" s="7">
        <v>1.1103732E-2</v>
      </c>
      <c r="H41" s="6"/>
    </row>
    <row r="42" spans="1:8" x14ac:dyDescent="0.2">
      <c r="A42" s="3">
        <v>36</v>
      </c>
      <c r="B42" s="4" t="s">
        <v>168</v>
      </c>
      <c r="C42" s="4" t="s">
        <v>169</v>
      </c>
      <c r="D42" s="4" t="s">
        <v>944</v>
      </c>
      <c r="E42" s="5">
        <v>10923</v>
      </c>
      <c r="F42" s="6">
        <v>144.99736350000001</v>
      </c>
      <c r="G42" s="7">
        <v>1.016544E-2</v>
      </c>
      <c r="H42" s="6"/>
    </row>
    <row r="43" spans="1:8" x14ac:dyDescent="0.2">
      <c r="A43" s="3">
        <v>37</v>
      </c>
      <c r="B43" s="4" t="s">
        <v>398</v>
      </c>
      <c r="C43" s="4" t="s">
        <v>399</v>
      </c>
      <c r="D43" s="4" t="s">
        <v>947</v>
      </c>
      <c r="E43" s="5">
        <v>11437</v>
      </c>
      <c r="F43" s="6">
        <v>143.99182999999999</v>
      </c>
      <c r="G43" s="7">
        <v>1.0094944999999999E-2</v>
      </c>
      <c r="H43" s="6"/>
    </row>
    <row r="44" spans="1:8" ht="25.5" x14ac:dyDescent="0.2">
      <c r="A44" s="3">
        <v>38</v>
      </c>
      <c r="B44" s="4" t="s">
        <v>339</v>
      </c>
      <c r="C44" s="4" t="s">
        <v>340</v>
      </c>
      <c r="D44" s="4" t="s">
        <v>957</v>
      </c>
      <c r="E44" s="5">
        <v>16000</v>
      </c>
      <c r="F44" s="6">
        <v>143.12799999999999</v>
      </c>
      <c r="G44" s="7">
        <v>1.0034382999999999E-2</v>
      </c>
      <c r="H44" s="6"/>
    </row>
    <row r="45" spans="1:8" x14ac:dyDescent="0.2">
      <c r="A45" s="3">
        <v>39</v>
      </c>
      <c r="B45" s="4" t="s">
        <v>343</v>
      </c>
      <c r="C45" s="4" t="s">
        <v>344</v>
      </c>
      <c r="D45" s="4" t="s">
        <v>934</v>
      </c>
      <c r="E45" s="5">
        <v>25439</v>
      </c>
      <c r="F45" s="6">
        <v>142.636473</v>
      </c>
      <c r="G45" s="7">
        <v>9.9999240000000003E-3</v>
      </c>
      <c r="H45" s="6"/>
    </row>
    <row r="46" spans="1:8" x14ac:dyDescent="0.2">
      <c r="A46" s="3">
        <v>40</v>
      </c>
      <c r="B46" s="4" t="s">
        <v>400</v>
      </c>
      <c r="C46" s="4" t="s">
        <v>401</v>
      </c>
      <c r="D46" s="4" t="s">
        <v>960</v>
      </c>
      <c r="E46" s="5">
        <v>53592</v>
      </c>
      <c r="F46" s="6">
        <v>139.09803600000001</v>
      </c>
      <c r="G46" s="7">
        <v>9.7518520000000001E-3</v>
      </c>
      <c r="H46" s="6"/>
    </row>
    <row r="47" spans="1:8" x14ac:dyDescent="0.2">
      <c r="A47" s="3">
        <v>41</v>
      </c>
      <c r="B47" s="4" t="s">
        <v>40</v>
      </c>
      <c r="C47" s="4" t="s">
        <v>41</v>
      </c>
      <c r="D47" s="4" t="s">
        <v>13</v>
      </c>
      <c r="E47" s="5">
        <v>37123</v>
      </c>
      <c r="F47" s="6">
        <v>134.60799800000001</v>
      </c>
      <c r="G47" s="7">
        <v>9.4370649999999997E-3</v>
      </c>
      <c r="H47" s="6"/>
    </row>
    <row r="48" spans="1:8" ht="25.5" x14ac:dyDescent="0.2">
      <c r="A48" s="3">
        <v>42</v>
      </c>
      <c r="B48" s="4" t="s">
        <v>325</v>
      </c>
      <c r="C48" s="4" t="s">
        <v>326</v>
      </c>
      <c r="D48" s="4" t="s">
        <v>945</v>
      </c>
      <c r="E48" s="5">
        <v>4108</v>
      </c>
      <c r="F48" s="6">
        <v>131.53199799999999</v>
      </c>
      <c r="G48" s="7">
        <v>9.2214140000000007E-3</v>
      </c>
      <c r="H48" s="6"/>
    </row>
    <row r="49" spans="1:8" x14ac:dyDescent="0.2">
      <c r="A49" s="3">
        <v>43</v>
      </c>
      <c r="B49" s="4" t="s">
        <v>402</v>
      </c>
      <c r="C49" s="4" t="s">
        <v>403</v>
      </c>
      <c r="D49" s="4" t="s">
        <v>91</v>
      </c>
      <c r="E49" s="5">
        <v>7773</v>
      </c>
      <c r="F49" s="6">
        <v>98.798716499999998</v>
      </c>
      <c r="G49" s="7">
        <v>6.9265569999999999E-3</v>
      </c>
      <c r="H49" s="6"/>
    </row>
    <row r="50" spans="1:8" x14ac:dyDescent="0.2">
      <c r="A50" s="3">
        <v>44</v>
      </c>
      <c r="B50" s="4" t="s">
        <v>244</v>
      </c>
      <c r="C50" s="4" t="s">
        <v>245</v>
      </c>
      <c r="D50" s="4" t="s">
        <v>13</v>
      </c>
      <c r="E50" s="5">
        <v>35000</v>
      </c>
      <c r="F50" s="6">
        <v>94.605000000000004</v>
      </c>
      <c r="G50" s="7">
        <v>6.6325450000000001E-3</v>
      </c>
      <c r="H50" s="6"/>
    </row>
    <row r="51" spans="1:8" x14ac:dyDescent="0.2">
      <c r="A51" s="3">
        <v>45</v>
      </c>
      <c r="B51" s="4" t="s">
        <v>404</v>
      </c>
      <c r="C51" s="4" t="s">
        <v>405</v>
      </c>
      <c r="D51" s="4" t="s">
        <v>406</v>
      </c>
      <c r="E51" s="5">
        <v>19132</v>
      </c>
      <c r="F51" s="6">
        <v>92.340598</v>
      </c>
      <c r="G51" s="7">
        <v>6.4737919999999999E-3</v>
      </c>
      <c r="H51" s="6"/>
    </row>
    <row r="52" spans="1:8" ht="51" x14ac:dyDescent="0.2">
      <c r="A52" s="3">
        <v>46</v>
      </c>
      <c r="B52" s="4" t="s">
        <v>238</v>
      </c>
      <c r="C52" s="4" t="s">
        <v>239</v>
      </c>
      <c r="D52" s="4" t="s">
        <v>939</v>
      </c>
      <c r="E52" s="5">
        <v>36162</v>
      </c>
      <c r="F52" s="6">
        <v>86.734556999999995</v>
      </c>
      <c r="G52" s="7">
        <v>6.0807650000000001E-3</v>
      </c>
      <c r="H52" s="6"/>
    </row>
    <row r="53" spans="1:8" x14ac:dyDescent="0.2">
      <c r="A53" s="3">
        <v>47</v>
      </c>
      <c r="B53" s="4" t="s">
        <v>321</v>
      </c>
      <c r="C53" s="4" t="s">
        <v>322</v>
      </c>
      <c r="D53" s="4" t="s">
        <v>82</v>
      </c>
      <c r="E53" s="5">
        <v>7100</v>
      </c>
      <c r="F53" s="6">
        <v>85.345550000000003</v>
      </c>
      <c r="G53" s="7">
        <v>5.9833849999999999E-3</v>
      </c>
      <c r="H53" s="6"/>
    </row>
    <row r="54" spans="1:8" x14ac:dyDescent="0.2">
      <c r="A54" s="3">
        <v>48</v>
      </c>
      <c r="B54" s="4" t="s">
        <v>106</v>
      </c>
      <c r="C54" s="4" t="s">
        <v>107</v>
      </c>
      <c r="D54" s="4" t="s">
        <v>923</v>
      </c>
      <c r="E54" s="5">
        <v>111123</v>
      </c>
      <c r="F54" s="6">
        <v>84.342357000000007</v>
      </c>
      <c r="G54" s="7">
        <v>5.9130540000000001E-3</v>
      </c>
      <c r="H54" s="6"/>
    </row>
    <row r="55" spans="1:8" x14ac:dyDescent="0.2">
      <c r="A55" s="3">
        <v>49</v>
      </c>
      <c r="B55" s="4" t="s">
        <v>407</v>
      </c>
      <c r="C55" s="4" t="s">
        <v>408</v>
      </c>
      <c r="D55" s="4" t="s">
        <v>18</v>
      </c>
      <c r="E55" s="5">
        <v>4709</v>
      </c>
      <c r="F55" s="6">
        <v>84.326417500000005</v>
      </c>
      <c r="G55" s="7">
        <v>5.9119359999999996E-3</v>
      </c>
      <c r="H55" s="6"/>
    </row>
    <row r="56" spans="1:8" x14ac:dyDescent="0.2">
      <c r="A56" s="3">
        <v>50</v>
      </c>
      <c r="B56" s="4" t="s">
        <v>307</v>
      </c>
      <c r="C56" s="4" t="s">
        <v>308</v>
      </c>
      <c r="D56" s="4" t="s">
        <v>933</v>
      </c>
      <c r="E56" s="5">
        <v>10058</v>
      </c>
      <c r="F56" s="6">
        <v>76.199408000000005</v>
      </c>
      <c r="G56" s="7">
        <v>5.3421700000000003E-3</v>
      </c>
      <c r="H56" s="6"/>
    </row>
    <row r="57" spans="1:8" x14ac:dyDescent="0.2">
      <c r="A57" s="3">
        <v>51</v>
      </c>
      <c r="B57" s="4" t="s">
        <v>345</v>
      </c>
      <c r="C57" s="4" t="s">
        <v>346</v>
      </c>
      <c r="D57" s="4" t="s">
        <v>71</v>
      </c>
      <c r="E57" s="5">
        <v>100655</v>
      </c>
      <c r="F57" s="6">
        <v>61.298895000000002</v>
      </c>
      <c r="G57" s="7">
        <v>4.2975280000000001E-3</v>
      </c>
      <c r="H57" s="6"/>
    </row>
    <row r="58" spans="1:8" ht="25.5" x14ac:dyDescent="0.2">
      <c r="A58" s="3">
        <v>52</v>
      </c>
      <c r="B58" s="4" t="s">
        <v>409</v>
      </c>
      <c r="C58" s="4" t="s">
        <v>926</v>
      </c>
      <c r="D58" s="4" t="s">
        <v>21</v>
      </c>
      <c r="E58" s="5">
        <v>3244</v>
      </c>
      <c r="F58" s="6">
        <v>11.125298000000001</v>
      </c>
      <c r="G58" s="7">
        <v>7.7996999999999995E-4</v>
      </c>
      <c r="H58" s="6"/>
    </row>
    <row r="59" spans="1:8" ht="14.1" customHeight="1" x14ac:dyDescent="0.2">
      <c r="A59" s="1"/>
      <c r="B59" s="1"/>
      <c r="C59" s="2" t="s">
        <v>111</v>
      </c>
      <c r="D59" s="1"/>
      <c r="E59" s="1" t="s">
        <v>112</v>
      </c>
      <c r="F59" s="9">
        <v>13960.953370000001</v>
      </c>
      <c r="G59" s="10">
        <v>0.97877115800000003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113</v>
      </c>
      <c r="D61" s="1"/>
      <c r="E61" s="1"/>
      <c r="F61" s="1"/>
      <c r="G61" s="1"/>
      <c r="H61" s="6"/>
    </row>
    <row r="62" spans="1:8" ht="14.1" customHeight="1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114</v>
      </c>
      <c r="D64" s="1"/>
      <c r="E64" s="1"/>
      <c r="F64" s="1"/>
      <c r="G64" s="1"/>
      <c r="H64" s="6"/>
    </row>
    <row r="65" spans="1:8" ht="14.1" customHeight="1" x14ac:dyDescent="0.2">
      <c r="A65" s="1"/>
      <c r="B65" s="1"/>
      <c r="C65" s="2" t="s">
        <v>111</v>
      </c>
      <c r="D65" s="1"/>
      <c r="E65" s="1" t="s">
        <v>112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115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111</v>
      </c>
      <c r="D68" s="1"/>
      <c r="E68" s="1" t="s">
        <v>112</v>
      </c>
      <c r="F68" s="9">
        <v>0</v>
      </c>
      <c r="G68" s="10">
        <v>7.7996999999999995E-4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116</v>
      </c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117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8" customHeight="1" x14ac:dyDescent="0.2">
      <c r="A76" s="1"/>
      <c r="B76" s="1"/>
      <c r="C76" s="2" t="s">
        <v>118</v>
      </c>
      <c r="D76" s="1"/>
      <c r="E76" s="1"/>
      <c r="F76" s="9">
        <v>13960.953369999999</v>
      </c>
      <c r="G76" s="10">
        <v>0.97877115800000003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119</v>
      </c>
      <c r="D78" s="1"/>
      <c r="E78" s="1"/>
      <c r="F78" s="12"/>
      <c r="G78" s="12"/>
      <c r="H78" s="6"/>
    </row>
    <row r="79" spans="1:8" ht="24" customHeight="1" x14ac:dyDescent="0.2">
      <c r="A79" s="1"/>
      <c r="B79" s="1"/>
      <c r="C79" s="2" t="s">
        <v>10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120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121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122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123</v>
      </c>
      <c r="D91" s="1"/>
      <c r="E91" s="1"/>
      <c r="F91" s="9">
        <v>0</v>
      </c>
      <c r="G91" s="10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124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125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126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127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128</v>
      </c>
      <c r="D103" s="1"/>
      <c r="E103" s="1"/>
      <c r="F103" s="12"/>
      <c r="G103" s="12"/>
      <c r="H103" s="6"/>
    </row>
    <row r="104" spans="1:8" ht="17.100000000000001" customHeight="1" x14ac:dyDescent="0.2">
      <c r="A104" s="3">
        <v>1</v>
      </c>
      <c r="B104" s="4"/>
      <c r="C104" s="4" t="s">
        <v>129</v>
      </c>
      <c r="D104" s="4"/>
      <c r="E104" s="8"/>
      <c r="F104" s="6">
        <v>300.63868120000001</v>
      </c>
      <c r="G104" s="7">
        <v>2.1077103999999999E-2</v>
      </c>
      <c r="H104" s="6">
        <v>3.9343919198424624</v>
      </c>
    </row>
    <row r="105" spans="1:8" ht="17.100000000000001" customHeight="1" x14ac:dyDescent="0.2">
      <c r="A105" s="3">
        <v>2</v>
      </c>
      <c r="B105" s="4"/>
      <c r="C105" s="4" t="s">
        <v>130</v>
      </c>
      <c r="D105" s="4"/>
      <c r="E105" s="8"/>
      <c r="F105" s="6">
        <v>19.745802399999999</v>
      </c>
      <c r="G105" s="7">
        <v>1.3843340000000001E-3</v>
      </c>
      <c r="H105" s="6">
        <v>3.8</v>
      </c>
    </row>
    <row r="106" spans="1:8" ht="14.1" customHeight="1" x14ac:dyDescent="0.2">
      <c r="A106" s="1"/>
      <c r="B106" s="1"/>
      <c r="C106" s="2" t="s">
        <v>111</v>
      </c>
      <c r="D106" s="1"/>
      <c r="E106" s="1" t="s">
        <v>112</v>
      </c>
      <c r="F106" s="9">
        <v>320.38448360000001</v>
      </c>
      <c r="G106" s="10">
        <v>2.2461438E-2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131</v>
      </c>
      <c r="D108" s="1"/>
      <c r="E108" s="1"/>
      <c r="F108" s="9">
        <v>320.38448360000001</v>
      </c>
      <c r="G108" s="10">
        <v>2.2461438E-2</v>
      </c>
      <c r="H108" s="6"/>
    </row>
    <row r="109" spans="1:8" ht="14.1" customHeight="1" x14ac:dyDescent="0.2">
      <c r="A109" s="1"/>
      <c r="B109" s="1"/>
      <c r="C109" s="12"/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132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133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134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135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24" customHeight="1" x14ac:dyDescent="0.2">
      <c r="A119" s="1"/>
      <c r="B119" s="1"/>
      <c r="C119" s="2" t="s">
        <v>136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4"/>
      <c r="C122" s="4"/>
      <c r="D122" s="2"/>
      <c r="E122" s="1"/>
      <c r="F122" s="4"/>
      <c r="G122" s="8"/>
      <c r="H122" s="6"/>
    </row>
    <row r="123" spans="1:8" ht="18" customHeight="1" x14ac:dyDescent="0.2">
      <c r="A123" s="8"/>
      <c r="B123" s="4"/>
      <c r="C123" s="4" t="s">
        <v>137</v>
      </c>
      <c r="D123" s="4"/>
      <c r="E123" s="8"/>
      <c r="F123" s="6">
        <v>-17.581439889999999</v>
      </c>
      <c r="G123" s="7">
        <v>-1.232595E-3</v>
      </c>
      <c r="H123" s="6"/>
    </row>
    <row r="124" spans="1:8" ht="14.1" customHeight="1" x14ac:dyDescent="0.2">
      <c r="A124" s="11"/>
      <c r="B124" s="11"/>
      <c r="C124" s="2" t="s">
        <v>138</v>
      </c>
      <c r="D124" s="15"/>
      <c r="E124" s="15"/>
      <c r="F124" s="9">
        <v>14263.75641371</v>
      </c>
      <c r="G124" s="10">
        <v>1.0000000010000001</v>
      </c>
      <c r="H124" s="6"/>
    </row>
    <row r="125" spans="1:8" ht="14.1" customHeight="1" x14ac:dyDescent="0.2">
      <c r="A125" s="18"/>
      <c r="B125" s="297" t="s">
        <v>112</v>
      </c>
      <c r="C125" s="297"/>
      <c r="D125" s="297"/>
      <c r="E125" s="297"/>
      <c r="F125" s="297"/>
      <c r="G125" s="20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294" t="s">
        <v>140</v>
      </c>
      <c r="C127" s="295"/>
      <c r="D127" s="12" t="s">
        <v>112</v>
      </c>
      <c r="E127" s="21"/>
      <c r="F127" s="20"/>
      <c r="G127" s="20"/>
    </row>
    <row r="128" spans="1:8" ht="29.1" customHeight="1" x14ac:dyDescent="0.2">
      <c r="A128" s="18"/>
      <c r="B128" s="288" t="s">
        <v>141</v>
      </c>
      <c r="C128" s="289"/>
      <c r="D128" s="2" t="s">
        <v>142</v>
      </c>
      <c r="E128" s="21"/>
      <c r="F128" s="20"/>
      <c r="G128" s="20"/>
    </row>
    <row r="129" spans="1:15" ht="17.100000000000001" customHeight="1" x14ac:dyDescent="0.2">
      <c r="A129" s="18"/>
      <c r="B129" s="288" t="s">
        <v>143</v>
      </c>
      <c r="C129" s="289"/>
      <c r="D129" s="2" t="s">
        <v>142</v>
      </c>
      <c r="E129" s="21"/>
      <c r="F129" s="20"/>
      <c r="G129" s="20"/>
    </row>
    <row r="130" spans="1:15" ht="17.100000000000001" customHeight="1" x14ac:dyDescent="0.2">
      <c r="A130" s="18"/>
      <c r="B130" s="288" t="s">
        <v>144</v>
      </c>
      <c r="C130" s="289"/>
      <c r="D130" s="12" t="s">
        <v>112</v>
      </c>
      <c r="E130" s="21"/>
      <c r="F130" s="20"/>
      <c r="G130" s="20"/>
    </row>
    <row r="131" spans="1:15" ht="24" customHeight="1" x14ac:dyDescent="0.2">
      <c r="A131" s="22"/>
      <c r="B131" s="23" t="s">
        <v>112</v>
      </c>
      <c r="C131" s="23" t="s">
        <v>145</v>
      </c>
      <c r="D131" s="23" t="s">
        <v>146</v>
      </c>
      <c r="E131" s="22"/>
      <c r="F131" s="22"/>
      <c r="G131" s="22"/>
    </row>
    <row r="132" spans="1:15" ht="18" customHeight="1" x14ac:dyDescent="0.2">
      <c r="A132" s="22"/>
      <c r="B132" s="23" t="s">
        <v>147</v>
      </c>
      <c r="C132" s="23" t="s">
        <v>148</v>
      </c>
      <c r="D132" s="23" t="s">
        <v>149</v>
      </c>
      <c r="E132" s="22"/>
      <c r="F132" s="22"/>
      <c r="G132" s="22"/>
    </row>
    <row r="133" spans="1:15" ht="17.100000000000001" customHeight="1" x14ac:dyDescent="0.2">
      <c r="A133" s="22"/>
      <c r="B133" s="4" t="s">
        <v>150</v>
      </c>
      <c r="C133" s="24">
        <v>17.356100000000001</v>
      </c>
      <c r="D133" s="24">
        <v>17.195699999999999</v>
      </c>
      <c r="E133" s="22"/>
      <c r="F133" s="19"/>
      <c r="G133" s="25"/>
    </row>
    <row r="134" spans="1:15" ht="17.100000000000001" customHeight="1" x14ac:dyDescent="0.2">
      <c r="A134" s="22"/>
      <c r="B134" s="4" t="s">
        <v>1114</v>
      </c>
      <c r="C134" s="24">
        <v>16.508199999999999</v>
      </c>
      <c r="D134" s="24">
        <v>16.355599999999999</v>
      </c>
      <c r="E134" s="22"/>
      <c r="F134" s="19"/>
      <c r="G134" s="25"/>
    </row>
    <row r="135" spans="1:15" ht="17.100000000000001" customHeight="1" x14ac:dyDescent="0.2">
      <c r="A135" s="22"/>
      <c r="B135" s="4" t="s">
        <v>151</v>
      </c>
      <c r="C135" s="24">
        <v>16.9832</v>
      </c>
      <c r="D135" s="24">
        <v>16.8184</v>
      </c>
      <c r="E135" s="22"/>
      <c r="F135" s="19"/>
      <c r="G135" s="25"/>
    </row>
    <row r="136" spans="1:15" ht="17.100000000000001" customHeight="1" x14ac:dyDescent="0.2">
      <c r="A136" s="22"/>
      <c r="B136" s="4" t="s">
        <v>1115</v>
      </c>
      <c r="C136" s="24">
        <v>16.338899999999999</v>
      </c>
      <c r="D136" s="24">
        <v>16.180299999999999</v>
      </c>
      <c r="E136" s="22"/>
      <c r="F136" s="19"/>
      <c r="G136" s="25"/>
    </row>
    <row r="137" spans="1:15" ht="14.1" customHeight="1" x14ac:dyDescent="0.2">
      <c r="A137" s="22"/>
      <c r="B137" s="22"/>
      <c r="C137" s="22"/>
      <c r="D137" s="22"/>
      <c r="E137" s="22"/>
      <c r="F137" s="22"/>
      <c r="G137" s="22"/>
    </row>
    <row r="138" spans="1:15" ht="17.100000000000001" customHeight="1" x14ac:dyDescent="0.2">
      <c r="A138" s="22"/>
      <c r="B138" s="288" t="s">
        <v>1116</v>
      </c>
      <c r="C138" s="289"/>
      <c r="D138" s="2" t="s">
        <v>142</v>
      </c>
      <c r="E138" s="22"/>
      <c r="F138" s="22"/>
      <c r="G138" s="22"/>
    </row>
    <row r="139" spans="1:15" ht="14.1" customHeight="1" x14ac:dyDescent="0.2">
      <c r="A139" s="22"/>
      <c r="B139" s="19"/>
      <c r="C139" s="25"/>
      <c r="D139" s="22"/>
      <c r="E139" s="22"/>
      <c r="F139" s="19"/>
      <c r="G139" s="25"/>
    </row>
    <row r="140" spans="1:15" ht="14.1" customHeight="1" x14ac:dyDescent="0.2">
      <c r="A140" s="22"/>
      <c r="B140" s="19"/>
      <c r="C140" s="19"/>
      <c r="D140" s="22"/>
      <c r="E140" s="22"/>
      <c r="F140" s="22"/>
      <c r="G140" s="22"/>
      <c r="J140" s="66"/>
      <c r="K140" s="66"/>
      <c r="L140" s="66"/>
      <c r="M140" s="66"/>
      <c r="N140" s="66"/>
      <c r="O140" s="66"/>
    </row>
    <row r="141" spans="1:15" ht="29.1" customHeight="1" x14ac:dyDescent="0.2">
      <c r="A141" s="22"/>
      <c r="B141" s="288" t="s">
        <v>153</v>
      </c>
      <c r="C141" s="289"/>
      <c r="D141" s="2" t="s">
        <v>142</v>
      </c>
      <c r="E141" s="22"/>
      <c r="F141" s="22"/>
      <c r="G141" s="22"/>
    </row>
    <row r="142" spans="1:15" ht="29.1" customHeight="1" x14ac:dyDescent="0.2">
      <c r="A142" s="22"/>
      <c r="B142" s="288" t="s">
        <v>154</v>
      </c>
      <c r="C142" s="289"/>
      <c r="D142" s="2" t="s">
        <v>142</v>
      </c>
      <c r="E142" s="22"/>
      <c r="F142" s="22"/>
      <c r="G142" s="22"/>
    </row>
    <row r="143" spans="1:15" ht="17.100000000000001" customHeight="1" x14ac:dyDescent="0.2">
      <c r="A143" s="22"/>
      <c r="B143" s="288" t="s">
        <v>155</v>
      </c>
      <c r="C143" s="289"/>
      <c r="D143" s="26">
        <v>0.29376263509125355</v>
      </c>
      <c r="E143" s="22"/>
      <c r="F143" s="19"/>
      <c r="G143" s="25"/>
    </row>
    <row r="144" spans="1:15" ht="17.100000000000001" customHeight="1" x14ac:dyDescent="0.2">
      <c r="A144" s="22"/>
      <c r="B144" s="288" t="s">
        <v>156</v>
      </c>
      <c r="C144" s="289"/>
      <c r="D144" s="2" t="s">
        <v>142</v>
      </c>
      <c r="E144" s="22"/>
      <c r="F144" s="22"/>
      <c r="G144" s="22"/>
    </row>
  </sheetData>
  <mergeCells count="14">
    <mergeCell ref="A1:H1"/>
    <mergeCell ref="A2:H2"/>
    <mergeCell ref="A3:H3"/>
    <mergeCell ref="B127:C127"/>
    <mergeCell ref="J2:N2"/>
    <mergeCell ref="B125:F125"/>
    <mergeCell ref="B143:C143"/>
    <mergeCell ref="B144:C144"/>
    <mergeCell ref="B128:C128"/>
    <mergeCell ref="B129:C129"/>
    <mergeCell ref="B130:C130"/>
    <mergeCell ref="B138:C138"/>
    <mergeCell ref="B141:C141"/>
    <mergeCell ref="B142:C14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410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26043</v>
      </c>
      <c r="F7" s="6">
        <v>726.66480750000005</v>
      </c>
      <c r="G7" s="7">
        <v>8.6612439999999999E-2</v>
      </c>
      <c r="H7" s="6"/>
    </row>
    <row r="8" spans="1:14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80632</v>
      </c>
      <c r="F8" s="6">
        <v>599.33765600000004</v>
      </c>
      <c r="G8" s="7">
        <v>7.1436096000000004E-2</v>
      </c>
      <c r="H8" s="6"/>
    </row>
    <row r="9" spans="1:14" x14ac:dyDescent="0.2">
      <c r="A9" s="3">
        <v>3</v>
      </c>
      <c r="B9" s="4" t="s">
        <v>380</v>
      </c>
      <c r="C9" s="4" t="s">
        <v>381</v>
      </c>
      <c r="D9" s="4" t="s">
        <v>947</v>
      </c>
      <c r="E9" s="5">
        <v>31453</v>
      </c>
      <c r="F9" s="6">
        <v>493.04150149999998</v>
      </c>
      <c r="G9" s="7">
        <v>5.8766473E-2</v>
      </c>
      <c r="H9" s="6"/>
    </row>
    <row r="10" spans="1:14" x14ac:dyDescent="0.2">
      <c r="A10" s="3">
        <v>4</v>
      </c>
      <c r="B10" s="4" t="s">
        <v>349</v>
      </c>
      <c r="C10" s="4" t="s">
        <v>350</v>
      </c>
      <c r="D10" s="4" t="s">
        <v>18</v>
      </c>
      <c r="E10" s="5">
        <v>32012</v>
      </c>
      <c r="F10" s="6">
        <v>443.23815200000001</v>
      </c>
      <c r="G10" s="7">
        <v>5.2830324999999997E-2</v>
      </c>
      <c r="H10" s="6"/>
    </row>
    <row r="11" spans="1:14" x14ac:dyDescent="0.2">
      <c r="A11" s="3">
        <v>5</v>
      </c>
      <c r="B11" s="4" t="s">
        <v>48</v>
      </c>
      <c r="C11" s="4" t="s">
        <v>49</v>
      </c>
      <c r="D11" s="4" t="s">
        <v>18</v>
      </c>
      <c r="E11" s="5">
        <v>64105</v>
      </c>
      <c r="F11" s="6">
        <v>318.15311500000001</v>
      </c>
      <c r="G11" s="7">
        <v>3.7921221999999997E-2</v>
      </c>
      <c r="H11" s="6"/>
    </row>
    <row r="12" spans="1:14" x14ac:dyDescent="0.2">
      <c r="A12" s="3">
        <v>6</v>
      </c>
      <c r="B12" s="4" t="s">
        <v>296</v>
      </c>
      <c r="C12" s="4" t="s">
        <v>297</v>
      </c>
      <c r="D12" s="4" t="s">
        <v>956</v>
      </c>
      <c r="E12" s="5">
        <v>27323</v>
      </c>
      <c r="F12" s="6">
        <v>296.05836649999998</v>
      </c>
      <c r="G12" s="7">
        <v>3.5287710999999999E-2</v>
      </c>
      <c r="H12" s="6"/>
    </row>
    <row r="13" spans="1:14" ht="25.5" x14ac:dyDescent="0.2">
      <c r="A13" s="3">
        <v>7</v>
      </c>
      <c r="B13" s="4" t="s">
        <v>382</v>
      </c>
      <c r="C13" s="4" t="s">
        <v>383</v>
      </c>
      <c r="D13" s="4" t="s">
        <v>82</v>
      </c>
      <c r="E13" s="5">
        <v>12776</v>
      </c>
      <c r="F13" s="6">
        <v>284.86647199999999</v>
      </c>
      <c r="G13" s="7">
        <v>3.3953729000000002E-2</v>
      </c>
      <c r="H13" s="6"/>
    </row>
    <row r="14" spans="1:14" x14ac:dyDescent="0.2">
      <c r="A14" s="3">
        <v>8</v>
      </c>
      <c r="B14" s="4" t="s">
        <v>294</v>
      </c>
      <c r="C14" s="4" t="s">
        <v>295</v>
      </c>
      <c r="D14" s="4" t="s">
        <v>18</v>
      </c>
      <c r="E14" s="5">
        <v>38735</v>
      </c>
      <c r="F14" s="6">
        <v>282.22320999999999</v>
      </c>
      <c r="G14" s="7">
        <v>3.3638674E-2</v>
      </c>
      <c r="H14" s="6"/>
    </row>
    <row r="15" spans="1:14" ht="25.5" x14ac:dyDescent="0.2">
      <c r="A15" s="3">
        <v>9</v>
      </c>
      <c r="B15" s="4" t="s">
        <v>217</v>
      </c>
      <c r="C15" s="4" t="s">
        <v>218</v>
      </c>
      <c r="D15" s="4" t="s">
        <v>946</v>
      </c>
      <c r="E15" s="5">
        <v>6166</v>
      </c>
      <c r="F15" s="6">
        <v>242.434788</v>
      </c>
      <c r="G15" s="7">
        <v>2.8896222999999999E-2</v>
      </c>
      <c r="H15" s="6"/>
      <c r="J15" s="192" t="s">
        <v>1145</v>
      </c>
    </row>
    <row r="16" spans="1:14" x14ac:dyDescent="0.2">
      <c r="A16" s="3">
        <v>10</v>
      </c>
      <c r="B16" s="4" t="s">
        <v>14</v>
      </c>
      <c r="C16" s="4" t="s">
        <v>15</v>
      </c>
      <c r="D16" s="4" t="s">
        <v>64</v>
      </c>
      <c r="E16" s="5">
        <v>13567</v>
      </c>
      <c r="F16" s="6">
        <v>229.87246450000001</v>
      </c>
      <c r="G16" s="7">
        <v>2.7398898000000001E-2</v>
      </c>
      <c r="H16" s="6"/>
    </row>
    <row r="17" spans="1:8" x14ac:dyDescent="0.2">
      <c r="A17" s="3">
        <v>11</v>
      </c>
      <c r="B17" s="4" t="s">
        <v>19</v>
      </c>
      <c r="C17" s="4" t="s">
        <v>20</v>
      </c>
      <c r="D17" s="4" t="s">
        <v>21</v>
      </c>
      <c r="E17" s="5">
        <v>26720</v>
      </c>
      <c r="F17" s="6">
        <v>197.46080000000001</v>
      </c>
      <c r="G17" s="7">
        <v>2.3535695999999998E-2</v>
      </c>
      <c r="H17" s="6"/>
    </row>
    <row r="18" spans="1:8" x14ac:dyDescent="0.2">
      <c r="A18" s="3">
        <v>12</v>
      </c>
      <c r="B18" s="4" t="s">
        <v>384</v>
      </c>
      <c r="C18" s="4" t="s">
        <v>385</v>
      </c>
      <c r="D18" s="4" t="s">
        <v>947</v>
      </c>
      <c r="E18" s="5">
        <v>5191</v>
      </c>
      <c r="F18" s="6">
        <v>184.10919699999999</v>
      </c>
      <c r="G18" s="7">
        <v>2.1944294999999999E-2</v>
      </c>
      <c r="H18" s="6"/>
    </row>
    <row r="19" spans="1:8" x14ac:dyDescent="0.2">
      <c r="A19" s="3">
        <v>13</v>
      </c>
      <c r="B19" s="4" t="s">
        <v>199</v>
      </c>
      <c r="C19" s="4" t="s">
        <v>200</v>
      </c>
      <c r="D19" s="4" t="s">
        <v>940</v>
      </c>
      <c r="E19" s="5">
        <v>9500</v>
      </c>
      <c r="F19" s="6">
        <v>177.23675</v>
      </c>
      <c r="G19" s="7">
        <v>2.1125155999999999E-2</v>
      </c>
      <c r="H19" s="6"/>
    </row>
    <row r="20" spans="1:8" x14ac:dyDescent="0.2">
      <c r="A20" s="3">
        <v>14</v>
      </c>
      <c r="B20" s="4" t="s">
        <v>386</v>
      </c>
      <c r="C20" s="4" t="s">
        <v>387</v>
      </c>
      <c r="D20" s="4" t="s">
        <v>933</v>
      </c>
      <c r="E20" s="5">
        <v>14560</v>
      </c>
      <c r="F20" s="6">
        <v>160.96080000000001</v>
      </c>
      <c r="G20" s="7">
        <v>1.9185197000000001E-2</v>
      </c>
      <c r="H20" s="6"/>
    </row>
    <row r="21" spans="1:8" x14ac:dyDescent="0.2">
      <c r="A21" s="3">
        <v>15</v>
      </c>
      <c r="B21" s="4" t="s">
        <v>207</v>
      </c>
      <c r="C21" s="4" t="s">
        <v>208</v>
      </c>
      <c r="D21" s="4" t="s">
        <v>948</v>
      </c>
      <c r="E21" s="5">
        <v>31260</v>
      </c>
      <c r="F21" s="6">
        <v>156.67511999999999</v>
      </c>
      <c r="G21" s="7">
        <v>1.8674380000000001E-2</v>
      </c>
      <c r="H21" s="6"/>
    </row>
    <row r="22" spans="1:8" ht="25.5" x14ac:dyDescent="0.2">
      <c r="A22" s="3">
        <v>16</v>
      </c>
      <c r="B22" s="4" t="s">
        <v>388</v>
      </c>
      <c r="C22" s="4" t="s">
        <v>389</v>
      </c>
      <c r="D22" s="4" t="s">
        <v>945</v>
      </c>
      <c r="E22" s="5">
        <v>16801</v>
      </c>
      <c r="F22" s="6">
        <v>156.02248650000001</v>
      </c>
      <c r="G22" s="7">
        <v>1.8596590999999999E-2</v>
      </c>
      <c r="H22" s="6"/>
    </row>
    <row r="23" spans="1:8" x14ac:dyDescent="0.2">
      <c r="A23" s="3">
        <v>17</v>
      </c>
      <c r="B23" s="4" t="s">
        <v>30</v>
      </c>
      <c r="C23" s="4" t="s">
        <v>31</v>
      </c>
      <c r="D23" s="4" t="s">
        <v>26</v>
      </c>
      <c r="E23" s="5">
        <v>8928</v>
      </c>
      <c r="F23" s="6">
        <v>152.932176</v>
      </c>
      <c r="G23" s="7">
        <v>1.8228252E-2</v>
      </c>
      <c r="H23" s="6"/>
    </row>
    <row r="24" spans="1:8" ht="25.5" x14ac:dyDescent="0.2">
      <c r="A24" s="3">
        <v>18</v>
      </c>
      <c r="B24" s="4" t="s">
        <v>313</v>
      </c>
      <c r="C24" s="4" t="s">
        <v>314</v>
      </c>
      <c r="D24" s="4" t="s">
        <v>71</v>
      </c>
      <c r="E24" s="5">
        <v>37015</v>
      </c>
      <c r="F24" s="6">
        <v>142.43371999999999</v>
      </c>
      <c r="G24" s="7">
        <v>1.6976921999999998E-2</v>
      </c>
      <c r="H24" s="6"/>
    </row>
    <row r="25" spans="1:8" ht="25.5" x14ac:dyDescent="0.2">
      <c r="A25" s="3">
        <v>19</v>
      </c>
      <c r="B25" s="4" t="s">
        <v>158</v>
      </c>
      <c r="C25" s="4" t="s">
        <v>159</v>
      </c>
      <c r="D25" s="4" t="s">
        <v>941</v>
      </c>
      <c r="E25" s="5">
        <v>19626</v>
      </c>
      <c r="F25" s="6">
        <v>139.158153</v>
      </c>
      <c r="G25" s="7">
        <v>1.6586501999999999E-2</v>
      </c>
      <c r="H25" s="6"/>
    </row>
    <row r="26" spans="1:8" ht="25.5" x14ac:dyDescent="0.2">
      <c r="A26" s="3">
        <v>20</v>
      </c>
      <c r="B26" s="4" t="s">
        <v>22</v>
      </c>
      <c r="C26" s="4" t="s">
        <v>23</v>
      </c>
      <c r="D26" s="4" t="s">
        <v>935</v>
      </c>
      <c r="E26" s="5">
        <v>2097</v>
      </c>
      <c r="F26" s="6">
        <v>139.03634249999999</v>
      </c>
      <c r="G26" s="7">
        <v>1.6571982999999998E-2</v>
      </c>
      <c r="H26" s="6"/>
    </row>
    <row r="27" spans="1:8" x14ac:dyDescent="0.2">
      <c r="A27" s="3">
        <v>21</v>
      </c>
      <c r="B27" s="4" t="s">
        <v>337</v>
      </c>
      <c r="C27" s="4" t="s">
        <v>338</v>
      </c>
      <c r="D27" s="4" t="s">
        <v>944</v>
      </c>
      <c r="E27" s="5">
        <v>23930</v>
      </c>
      <c r="F27" s="6">
        <v>130.65780000000001</v>
      </c>
      <c r="G27" s="7">
        <v>1.557333E-2</v>
      </c>
      <c r="H27" s="6"/>
    </row>
    <row r="28" spans="1:8" x14ac:dyDescent="0.2">
      <c r="A28" s="3">
        <v>22</v>
      </c>
      <c r="B28" s="4" t="s">
        <v>209</v>
      </c>
      <c r="C28" s="4" t="s">
        <v>210</v>
      </c>
      <c r="D28" s="4" t="s">
        <v>934</v>
      </c>
      <c r="E28" s="5">
        <v>6693</v>
      </c>
      <c r="F28" s="6">
        <v>130.45995600000001</v>
      </c>
      <c r="G28" s="7">
        <v>1.5549749E-2</v>
      </c>
      <c r="H28" s="6"/>
    </row>
    <row r="29" spans="1:8" x14ac:dyDescent="0.2">
      <c r="A29" s="3">
        <v>23</v>
      </c>
      <c r="B29" s="4" t="s">
        <v>390</v>
      </c>
      <c r="C29" s="4" t="s">
        <v>391</v>
      </c>
      <c r="D29" s="4" t="s">
        <v>960</v>
      </c>
      <c r="E29" s="5">
        <v>5513</v>
      </c>
      <c r="F29" s="6">
        <v>123.2072805</v>
      </c>
      <c r="G29" s="7">
        <v>1.468529E-2</v>
      </c>
      <c r="H29" s="6"/>
    </row>
    <row r="30" spans="1:8" ht="25.5" x14ac:dyDescent="0.2">
      <c r="A30" s="3">
        <v>24</v>
      </c>
      <c r="B30" s="4" t="s">
        <v>277</v>
      </c>
      <c r="C30" s="4" t="s">
        <v>278</v>
      </c>
      <c r="D30" s="4" t="s">
        <v>946</v>
      </c>
      <c r="E30" s="5">
        <v>20479</v>
      </c>
      <c r="F30" s="6">
        <v>121.727176</v>
      </c>
      <c r="G30" s="7">
        <v>1.4508873E-2</v>
      </c>
      <c r="H30" s="6"/>
    </row>
    <row r="31" spans="1:8" x14ac:dyDescent="0.2">
      <c r="A31" s="3">
        <v>25</v>
      </c>
      <c r="B31" s="4" t="s">
        <v>286</v>
      </c>
      <c r="C31" s="4" t="s">
        <v>287</v>
      </c>
      <c r="D31" s="4" t="s">
        <v>952</v>
      </c>
      <c r="E31" s="5">
        <v>260</v>
      </c>
      <c r="F31" s="6">
        <v>118.50475</v>
      </c>
      <c r="G31" s="7">
        <v>1.4124787E-2</v>
      </c>
      <c r="H31" s="6"/>
    </row>
    <row r="32" spans="1:8" x14ac:dyDescent="0.2">
      <c r="A32" s="3">
        <v>26</v>
      </c>
      <c r="B32" s="4" t="s">
        <v>392</v>
      </c>
      <c r="C32" s="4" t="s">
        <v>393</v>
      </c>
      <c r="D32" s="4" t="s">
        <v>947</v>
      </c>
      <c r="E32" s="5">
        <v>23000</v>
      </c>
      <c r="F32" s="6">
        <v>117.024</v>
      </c>
      <c r="G32" s="7">
        <v>1.3948294E-2</v>
      </c>
      <c r="H32" s="6"/>
    </row>
    <row r="33" spans="1:8" x14ac:dyDescent="0.2">
      <c r="A33" s="3">
        <v>27</v>
      </c>
      <c r="B33" s="4" t="s">
        <v>394</v>
      </c>
      <c r="C33" s="4" t="s">
        <v>395</v>
      </c>
      <c r="D33" s="4" t="s">
        <v>947</v>
      </c>
      <c r="E33" s="5">
        <v>10771</v>
      </c>
      <c r="F33" s="6">
        <v>116.24601749999999</v>
      </c>
      <c r="G33" s="7">
        <v>1.3855565E-2</v>
      </c>
      <c r="H33" s="6"/>
    </row>
    <row r="34" spans="1:8" x14ac:dyDescent="0.2">
      <c r="A34" s="3">
        <v>28</v>
      </c>
      <c r="B34" s="4" t="s">
        <v>303</v>
      </c>
      <c r="C34" s="4" t="s">
        <v>304</v>
      </c>
      <c r="D34" s="4" t="s">
        <v>91</v>
      </c>
      <c r="E34" s="5">
        <v>20478</v>
      </c>
      <c r="F34" s="6">
        <v>110.59143899999999</v>
      </c>
      <c r="G34" s="7">
        <v>1.3181586E-2</v>
      </c>
      <c r="H34" s="6"/>
    </row>
    <row r="35" spans="1:8" x14ac:dyDescent="0.2">
      <c r="A35" s="3">
        <v>29</v>
      </c>
      <c r="B35" s="4" t="s">
        <v>87</v>
      </c>
      <c r="C35" s="4" t="s">
        <v>88</v>
      </c>
      <c r="D35" s="4" t="s">
        <v>940</v>
      </c>
      <c r="E35" s="5">
        <v>4780</v>
      </c>
      <c r="F35" s="6">
        <v>110.30328</v>
      </c>
      <c r="G35" s="7">
        <v>1.3147239E-2</v>
      </c>
      <c r="H35" s="6"/>
    </row>
    <row r="36" spans="1:8" x14ac:dyDescent="0.2">
      <c r="A36" s="3">
        <v>30</v>
      </c>
      <c r="B36" s="4" t="s">
        <v>290</v>
      </c>
      <c r="C36" s="4" t="s">
        <v>291</v>
      </c>
      <c r="D36" s="4" t="s">
        <v>18</v>
      </c>
      <c r="E36" s="5">
        <v>96000</v>
      </c>
      <c r="F36" s="6">
        <v>108.384</v>
      </c>
      <c r="G36" s="7">
        <v>1.2918476999999999E-2</v>
      </c>
      <c r="H36" s="6"/>
    </row>
    <row r="37" spans="1:8" x14ac:dyDescent="0.2">
      <c r="A37" s="3">
        <v>31</v>
      </c>
      <c r="B37" s="4" t="s">
        <v>300</v>
      </c>
      <c r="C37" s="4" t="s">
        <v>301</v>
      </c>
      <c r="D37" s="4" t="s">
        <v>302</v>
      </c>
      <c r="E37" s="5">
        <v>8029</v>
      </c>
      <c r="F37" s="6">
        <v>98.628236000000001</v>
      </c>
      <c r="G37" s="7">
        <v>1.1755671000000001E-2</v>
      </c>
      <c r="H37" s="6"/>
    </row>
    <row r="38" spans="1:8" x14ac:dyDescent="0.2">
      <c r="A38" s="3">
        <v>32</v>
      </c>
      <c r="B38" s="4" t="s">
        <v>261</v>
      </c>
      <c r="C38" s="4" t="s">
        <v>262</v>
      </c>
      <c r="D38" s="4" t="s">
        <v>955</v>
      </c>
      <c r="E38" s="5">
        <v>49416</v>
      </c>
      <c r="F38" s="6">
        <v>97.794263999999998</v>
      </c>
      <c r="G38" s="7">
        <v>1.1656267999999999E-2</v>
      </c>
      <c r="H38" s="6"/>
    </row>
    <row r="39" spans="1:8" x14ac:dyDescent="0.2">
      <c r="A39" s="3">
        <v>33</v>
      </c>
      <c r="B39" s="4" t="s">
        <v>396</v>
      </c>
      <c r="C39" s="4" t="s">
        <v>397</v>
      </c>
      <c r="D39" s="4" t="s">
        <v>959</v>
      </c>
      <c r="E39" s="5">
        <v>10176</v>
      </c>
      <c r="F39" s="6">
        <v>93.832896000000005</v>
      </c>
      <c r="G39" s="7">
        <v>1.1184105999999999E-2</v>
      </c>
      <c r="H39" s="6"/>
    </row>
    <row r="40" spans="1:8" ht="25.5" x14ac:dyDescent="0.2">
      <c r="A40" s="3">
        <v>34</v>
      </c>
      <c r="B40" s="4" t="s">
        <v>215</v>
      </c>
      <c r="C40" s="4" t="s">
        <v>216</v>
      </c>
      <c r="D40" s="4" t="s">
        <v>945</v>
      </c>
      <c r="E40" s="5">
        <v>16028</v>
      </c>
      <c r="F40" s="6">
        <v>93.499337999999995</v>
      </c>
      <c r="G40" s="7">
        <v>1.1144348E-2</v>
      </c>
      <c r="H40" s="6"/>
    </row>
    <row r="41" spans="1:8" x14ac:dyDescent="0.2">
      <c r="A41" s="3">
        <v>35</v>
      </c>
      <c r="B41" s="4" t="s">
        <v>50</v>
      </c>
      <c r="C41" s="4" t="s">
        <v>51</v>
      </c>
      <c r="D41" s="4" t="s">
        <v>938</v>
      </c>
      <c r="E41" s="5">
        <v>14383</v>
      </c>
      <c r="F41" s="6">
        <v>92.971711999999997</v>
      </c>
      <c r="G41" s="7">
        <v>1.108146E-2</v>
      </c>
      <c r="H41" s="6"/>
    </row>
    <row r="42" spans="1:8" x14ac:dyDescent="0.2">
      <c r="A42" s="3">
        <v>36</v>
      </c>
      <c r="B42" s="4" t="s">
        <v>343</v>
      </c>
      <c r="C42" s="4" t="s">
        <v>344</v>
      </c>
      <c r="D42" s="4" t="s">
        <v>934</v>
      </c>
      <c r="E42" s="5">
        <v>15345</v>
      </c>
      <c r="F42" s="6">
        <v>86.039415000000005</v>
      </c>
      <c r="G42" s="7">
        <v>1.0255187000000001E-2</v>
      </c>
      <c r="H42" s="6"/>
    </row>
    <row r="43" spans="1:8" x14ac:dyDescent="0.2">
      <c r="A43" s="3">
        <v>37</v>
      </c>
      <c r="B43" s="4" t="s">
        <v>168</v>
      </c>
      <c r="C43" s="4" t="s">
        <v>169</v>
      </c>
      <c r="D43" s="4" t="s">
        <v>944</v>
      </c>
      <c r="E43" s="5">
        <v>6424</v>
      </c>
      <c r="F43" s="6">
        <v>85.275388000000007</v>
      </c>
      <c r="G43" s="7">
        <v>1.0164121999999999E-2</v>
      </c>
      <c r="H43" s="6"/>
    </row>
    <row r="44" spans="1:8" x14ac:dyDescent="0.2">
      <c r="A44" s="3">
        <v>38</v>
      </c>
      <c r="B44" s="4" t="s">
        <v>398</v>
      </c>
      <c r="C44" s="4" t="s">
        <v>399</v>
      </c>
      <c r="D44" s="4" t="s">
        <v>947</v>
      </c>
      <c r="E44" s="5">
        <v>6698</v>
      </c>
      <c r="F44" s="6">
        <v>84.327820000000003</v>
      </c>
      <c r="G44" s="7">
        <v>1.0051179E-2</v>
      </c>
      <c r="H44" s="6"/>
    </row>
    <row r="45" spans="1:8" ht="25.5" x14ac:dyDescent="0.2">
      <c r="A45" s="3">
        <v>39</v>
      </c>
      <c r="B45" s="4" t="s">
        <v>339</v>
      </c>
      <c r="C45" s="4" t="s">
        <v>340</v>
      </c>
      <c r="D45" s="4" t="s">
        <v>957</v>
      </c>
      <c r="E45" s="5">
        <v>9400</v>
      </c>
      <c r="F45" s="6">
        <v>84.087699999999998</v>
      </c>
      <c r="G45" s="7">
        <v>1.0022559E-2</v>
      </c>
      <c r="H45" s="6"/>
    </row>
    <row r="46" spans="1:8" x14ac:dyDescent="0.2">
      <c r="A46" s="3">
        <v>40</v>
      </c>
      <c r="B46" s="4" t="s">
        <v>400</v>
      </c>
      <c r="C46" s="4" t="s">
        <v>401</v>
      </c>
      <c r="D46" s="4" t="s">
        <v>960</v>
      </c>
      <c r="E46" s="5">
        <v>31300</v>
      </c>
      <c r="F46" s="6">
        <v>81.239149999999995</v>
      </c>
      <c r="G46" s="7">
        <v>9.6830349999999996E-3</v>
      </c>
      <c r="H46" s="6"/>
    </row>
    <row r="47" spans="1:8" x14ac:dyDescent="0.2">
      <c r="A47" s="3">
        <v>41</v>
      </c>
      <c r="B47" s="4" t="s">
        <v>40</v>
      </c>
      <c r="C47" s="4" t="s">
        <v>41</v>
      </c>
      <c r="D47" s="4" t="s">
        <v>13</v>
      </c>
      <c r="E47" s="5">
        <v>21882</v>
      </c>
      <c r="F47" s="6">
        <v>79.344132000000002</v>
      </c>
      <c r="G47" s="7">
        <v>9.457165E-3</v>
      </c>
      <c r="H47" s="6"/>
    </row>
    <row r="48" spans="1:8" ht="25.5" x14ac:dyDescent="0.2">
      <c r="A48" s="3">
        <v>42</v>
      </c>
      <c r="B48" s="4" t="s">
        <v>325</v>
      </c>
      <c r="C48" s="4" t="s">
        <v>326</v>
      </c>
      <c r="D48" s="4" t="s">
        <v>945</v>
      </c>
      <c r="E48" s="5">
        <v>2422</v>
      </c>
      <c r="F48" s="6">
        <v>77.548806999999996</v>
      </c>
      <c r="G48" s="7">
        <v>9.243177E-3</v>
      </c>
      <c r="H48" s="6"/>
    </row>
    <row r="49" spans="1:8" x14ac:dyDescent="0.2">
      <c r="A49" s="3">
        <v>43</v>
      </c>
      <c r="B49" s="4" t="s">
        <v>402</v>
      </c>
      <c r="C49" s="4" t="s">
        <v>403</v>
      </c>
      <c r="D49" s="4" t="s">
        <v>91</v>
      </c>
      <c r="E49" s="5">
        <v>4575</v>
      </c>
      <c r="F49" s="6">
        <v>58.150537499999999</v>
      </c>
      <c r="G49" s="7">
        <v>6.9310639999999998E-3</v>
      </c>
      <c r="H49" s="6"/>
    </row>
    <row r="50" spans="1:8" x14ac:dyDescent="0.2">
      <c r="A50" s="3">
        <v>44</v>
      </c>
      <c r="B50" s="4" t="s">
        <v>244</v>
      </c>
      <c r="C50" s="4" t="s">
        <v>245</v>
      </c>
      <c r="D50" s="4" t="s">
        <v>13</v>
      </c>
      <c r="E50" s="5">
        <v>21000</v>
      </c>
      <c r="F50" s="6">
        <v>56.762999999999998</v>
      </c>
      <c r="G50" s="7">
        <v>6.765681E-3</v>
      </c>
      <c r="H50" s="6"/>
    </row>
    <row r="51" spans="1:8" x14ac:dyDescent="0.2">
      <c r="A51" s="3">
        <v>45</v>
      </c>
      <c r="B51" s="4" t="s">
        <v>404</v>
      </c>
      <c r="C51" s="4" t="s">
        <v>405</v>
      </c>
      <c r="D51" s="4" t="s">
        <v>406</v>
      </c>
      <c r="E51" s="5">
        <v>11575</v>
      </c>
      <c r="F51" s="6">
        <v>55.866737499999999</v>
      </c>
      <c r="G51" s="7">
        <v>6.6588530000000002E-3</v>
      </c>
      <c r="H51" s="6"/>
    </row>
    <row r="52" spans="1:8" ht="51" x14ac:dyDescent="0.2">
      <c r="A52" s="3">
        <v>46</v>
      </c>
      <c r="B52" s="4" t="s">
        <v>238</v>
      </c>
      <c r="C52" s="4" t="s">
        <v>239</v>
      </c>
      <c r="D52" s="4" t="s">
        <v>939</v>
      </c>
      <c r="E52" s="5">
        <v>21287</v>
      </c>
      <c r="F52" s="6">
        <v>51.056869499999998</v>
      </c>
      <c r="G52" s="7">
        <v>6.0855570000000001E-3</v>
      </c>
      <c r="H52" s="6"/>
    </row>
    <row r="53" spans="1:8" x14ac:dyDescent="0.2">
      <c r="A53" s="3">
        <v>47</v>
      </c>
      <c r="B53" s="4" t="s">
        <v>407</v>
      </c>
      <c r="C53" s="4" t="s">
        <v>408</v>
      </c>
      <c r="D53" s="4" t="s">
        <v>18</v>
      </c>
      <c r="E53" s="5">
        <v>2804</v>
      </c>
      <c r="F53" s="6">
        <v>50.212629999999997</v>
      </c>
      <c r="G53" s="7">
        <v>5.9849309999999998E-3</v>
      </c>
      <c r="H53" s="6"/>
    </row>
    <row r="54" spans="1:8" x14ac:dyDescent="0.2">
      <c r="A54" s="3">
        <v>48</v>
      </c>
      <c r="B54" s="4" t="s">
        <v>321</v>
      </c>
      <c r="C54" s="4" t="s">
        <v>322</v>
      </c>
      <c r="D54" s="4" t="s">
        <v>82</v>
      </c>
      <c r="E54" s="5">
        <v>4150</v>
      </c>
      <c r="F54" s="6">
        <v>49.885075000000001</v>
      </c>
      <c r="G54" s="7">
        <v>5.9458890000000002E-3</v>
      </c>
      <c r="H54" s="6"/>
    </row>
    <row r="55" spans="1:8" x14ac:dyDescent="0.2">
      <c r="A55" s="3">
        <v>49</v>
      </c>
      <c r="B55" s="4" t="s">
        <v>307</v>
      </c>
      <c r="C55" s="4" t="s">
        <v>308</v>
      </c>
      <c r="D55" s="4" t="s">
        <v>933</v>
      </c>
      <c r="E55" s="5">
        <v>5927</v>
      </c>
      <c r="F55" s="6">
        <v>44.902951999999999</v>
      </c>
      <c r="G55" s="7">
        <v>5.352061E-3</v>
      </c>
      <c r="H55" s="6"/>
    </row>
    <row r="56" spans="1:8" x14ac:dyDescent="0.2">
      <c r="A56" s="3">
        <v>50</v>
      </c>
      <c r="B56" s="4" t="s">
        <v>106</v>
      </c>
      <c r="C56" s="4" t="s">
        <v>107</v>
      </c>
      <c r="D56" s="4" t="s">
        <v>923</v>
      </c>
      <c r="E56" s="5">
        <v>55523</v>
      </c>
      <c r="F56" s="6">
        <v>42.141956999999998</v>
      </c>
      <c r="G56" s="7">
        <v>5.022973E-3</v>
      </c>
      <c r="H56" s="6"/>
    </row>
    <row r="57" spans="1:8" x14ac:dyDescent="0.2">
      <c r="A57" s="3">
        <v>51</v>
      </c>
      <c r="B57" s="4" t="s">
        <v>345</v>
      </c>
      <c r="C57" s="4" t="s">
        <v>346</v>
      </c>
      <c r="D57" s="4" t="s">
        <v>71</v>
      </c>
      <c r="E57" s="5">
        <v>59307</v>
      </c>
      <c r="F57" s="6">
        <v>36.117963000000003</v>
      </c>
      <c r="G57" s="7">
        <v>4.3049630000000002E-3</v>
      </c>
      <c r="H57" s="6"/>
    </row>
    <row r="58" spans="1:8" ht="25.5" x14ac:dyDescent="0.2">
      <c r="A58" s="3">
        <v>52</v>
      </c>
      <c r="B58" s="4" t="s">
        <v>409</v>
      </c>
      <c r="C58" s="4" t="s">
        <v>926</v>
      </c>
      <c r="D58" s="4" t="s">
        <v>21</v>
      </c>
      <c r="E58" s="5">
        <v>1908</v>
      </c>
      <c r="F58" s="6">
        <v>6.5434859999999997</v>
      </c>
      <c r="G58" s="7">
        <v>7.7992899999999995E-4</v>
      </c>
      <c r="H58" s="6"/>
    </row>
    <row r="59" spans="1:8" ht="14.1" customHeight="1" x14ac:dyDescent="0.2">
      <c r="A59" s="1"/>
      <c r="B59" s="1"/>
      <c r="C59" s="2" t="s">
        <v>111</v>
      </c>
      <c r="D59" s="1"/>
      <c r="E59" s="1" t="s">
        <v>112</v>
      </c>
      <c r="F59" s="9">
        <v>8215.2518425000017</v>
      </c>
      <c r="G59" s="10">
        <v>0.9791901329999998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113</v>
      </c>
      <c r="D61" s="1"/>
      <c r="E61" s="1"/>
      <c r="F61" s="1"/>
      <c r="G61" s="1"/>
      <c r="H61" s="6"/>
    </row>
    <row r="62" spans="1:8" ht="14.1" customHeight="1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114</v>
      </c>
      <c r="D64" s="1"/>
      <c r="E64" s="1"/>
      <c r="F64" s="1"/>
      <c r="G64" s="1"/>
      <c r="H64" s="6"/>
    </row>
    <row r="65" spans="1:8" ht="14.1" customHeight="1" x14ac:dyDescent="0.2">
      <c r="A65" s="1"/>
      <c r="B65" s="1"/>
      <c r="C65" s="2" t="s">
        <v>111</v>
      </c>
      <c r="D65" s="1"/>
      <c r="E65" s="1" t="s">
        <v>112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115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111</v>
      </c>
      <c r="D68" s="1"/>
      <c r="E68" s="1" t="s">
        <v>112</v>
      </c>
      <c r="F68" s="9">
        <v>0</v>
      </c>
      <c r="G68" s="10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116</v>
      </c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117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8" customHeight="1" x14ac:dyDescent="0.2">
      <c r="A76" s="1"/>
      <c r="B76" s="1"/>
      <c r="C76" s="2" t="s">
        <v>118</v>
      </c>
      <c r="D76" s="1"/>
      <c r="E76" s="1"/>
      <c r="F76" s="9">
        <v>8215.2518424999998</v>
      </c>
      <c r="G76" s="10">
        <v>0.97919013300000002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119</v>
      </c>
      <c r="D78" s="1"/>
      <c r="E78" s="1"/>
      <c r="F78" s="12"/>
      <c r="G78" s="12"/>
      <c r="H78" s="6"/>
    </row>
    <row r="79" spans="1:8" ht="24" customHeight="1" x14ac:dyDescent="0.2">
      <c r="A79" s="1"/>
      <c r="B79" s="1"/>
      <c r="C79" s="2" t="s">
        <v>10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120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121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122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123</v>
      </c>
      <c r="D91" s="1"/>
      <c r="E91" s="1"/>
      <c r="F91" s="9">
        <v>0</v>
      </c>
      <c r="G91" s="10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124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125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126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127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128</v>
      </c>
      <c r="D103" s="1"/>
      <c r="E103" s="1"/>
      <c r="F103" s="12"/>
      <c r="G103" s="12"/>
      <c r="H103" s="6"/>
    </row>
    <row r="104" spans="1:8" ht="17.100000000000001" customHeight="1" x14ac:dyDescent="0.2">
      <c r="A104" s="3">
        <v>1</v>
      </c>
      <c r="B104" s="4"/>
      <c r="C104" s="4" t="s">
        <v>129</v>
      </c>
      <c r="D104" s="4"/>
      <c r="E104" s="8"/>
      <c r="F104" s="6">
        <v>173.61195849999999</v>
      </c>
      <c r="G104" s="7">
        <v>2.0693111E-2</v>
      </c>
      <c r="H104" s="6">
        <v>3.9343919198424624</v>
      </c>
    </row>
    <row r="105" spans="1:8" ht="17.100000000000001" customHeight="1" x14ac:dyDescent="0.2">
      <c r="A105" s="3">
        <v>2</v>
      </c>
      <c r="B105" s="4"/>
      <c r="C105" s="4" t="s">
        <v>130</v>
      </c>
      <c r="D105" s="4"/>
      <c r="E105" s="8"/>
      <c r="F105" s="6">
        <v>11.402757599999999</v>
      </c>
      <c r="G105" s="7">
        <v>1.359114E-3</v>
      </c>
      <c r="H105" s="6">
        <v>3.8</v>
      </c>
    </row>
    <row r="106" spans="1:8" ht="14.1" customHeight="1" x14ac:dyDescent="0.2">
      <c r="A106" s="1"/>
      <c r="B106" s="1"/>
      <c r="C106" s="2" t="s">
        <v>111</v>
      </c>
      <c r="D106" s="1"/>
      <c r="E106" s="1" t="s">
        <v>112</v>
      </c>
      <c r="F106" s="9">
        <v>185.01471609999999</v>
      </c>
      <c r="G106" s="10">
        <v>2.2052225000000002E-2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131</v>
      </c>
      <c r="D108" s="1"/>
      <c r="E108" s="1"/>
      <c r="F108" s="9">
        <v>185.01471609999999</v>
      </c>
      <c r="G108" s="10">
        <v>2.2052225000000002E-2</v>
      </c>
      <c r="H108" s="6"/>
    </row>
    <row r="109" spans="1:8" ht="14.1" customHeight="1" x14ac:dyDescent="0.2">
      <c r="A109" s="1"/>
      <c r="B109" s="1"/>
      <c r="C109" s="12"/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132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133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134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135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24" customHeight="1" x14ac:dyDescent="0.2">
      <c r="A119" s="1"/>
      <c r="B119" s="1"/>
      <c r="C119" s="2" t="s">
        <v>136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4"/>
      <c r="C122" s="4"/>
      <c r="D122" s="2"/>
      <c r="E122" s="1"/>
      <c r="F122" s="4"/>
      <c r="G122" s="8"/>
      <c r="H122" s="6"/>
    </row>
    <row r="123" spans="1:8" ht="18" customHeight="1" x14ac:dyDescent="0.2">
      <c r="A123" s="8"/>
      <c r="B123" s="4"/>
      <c r="C123" s="4" t="s">
        <v>137</v>
      </c>
      <c r="D123" s="4"/>
      <c r="E123" s="8"/>
      <c r="F123" s="6">
        <v>-10.42316188</v>
      </c>
      <c r="G123" s="7">
        <v>-1.2423549999999999E-3</v>
      </c>
      <c r="H123" s="6"/>
    </row>
    <row r="124" spans="1:8" ht="14.1" customHeight="1" x14ac:dyDescent="0.2">
      <c r="A124" s="11"/>
      <c r="B124" s="11"/>
      <c r="C124" s="2" t="s">
        <v>138</v>
      </c>
      <c r="D124" s="15"/>
      <c r="E124" s="15"/>
      <c r="F124" s="9">
        <v>8389.8433967199999</v>
      </c>
      <c r="G124" s="10">
        <v>1.000000003</v>
      </c>
      <c r="H124" s="6"/>
    </row>
    <row r="125" spans="1:8" ht="14.1" customHeight="1" x14ac:dyDescent="0.2">
      <c r="A125" s="18"/>
      <c r="B125" s="297" t="s">
        <v>112</v>
      </c>
      <c r="C125" s="297"/>
      <c r="D125" s="297"/>
      <c r="E125" s="297"/>
      <c r="F125" s="297"/>
      <c r="G125" s="20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294" t="s">
        <v>140</v>
      </c>
      <c r="C127" s="295"/>
      <c r="D127" s="12" t="s">
        <v>112</v>
      </c>
      <c r="E127" s="21"/>
      <c r="F127" s="20"/>
      <c r="G127" s="20"/>
    </row>
    <row r="128" spans="1:8" ht="29.1" customHeight="1" x14ac:dyDescent="0.2">
      <c r="A128" s="18"/>
      <c r="B128" s="288" t="s">
        <v>141</v>
      </c>
      <c r="C128" s="289"/>
      <c r="D128" s="2" t="s">
        <v>142</v>
      </c>
      <c r="E128" s="21"/>
      <c r="F128" s="20"/>
      <c r="G128" s="20"/>
    </row>
    <row r="129" spans="1:15" ht="17.100000000000001" customHeight="1" x14ac:dyDescent="0.2">
      <c r="A129" s="18"/>
      <c r="B129" s="288" t="s">
        <v>143</v>
      </c>
      <c r="C129" s="289"/>
      <c r="D129" s="2" t="s">
        <v>142</v>
      </c>
      <c r="E129" s="21"/>
      <c r="F129" s="20"/>
      <c r="G129" s="20"/>
    </row>
    <row r="130" spans="1:15" ht="17.100000000000001" customHeight="1" x14ac:dyDescent="0.2">
      <c r="A130" s="18"/>
      <c r="B130" s="288" t="s">
        <v>144</v>
      </c>
      <c r="C130" s="289"/>
      <c r="D130" s="12" t="s">
        <v>112</v>
      </c>
      <c r="E130" s="21"/>
      <c r="F130" s="20"/>
      <c r="G130" s="20"/>
    </row>
    <row r="131" spans="1:15" ht="24" customHeight="1" x14ac:dyDescent="0.2">
      <c r="A131" s="22"/>
      <c r="B131" s="23" t="s">
        <v>112</v>
      </c>
      <c r="C131" s="23" t="s">
        <v>145</v>
      </c>
      <c r="D131" s="23" t="s">
        <v>146</v>
      </c>
      <c r="E131" s="22"/>
      <c r="F131" s="22"/>
      <c r="G131" s="22"/>
    </row>
    <row r="132" spans="1:15" ht="18" customHeight="1" x14ac:dyDescent="0.2">
      <c r="A132" s="22"/>
      <c r="B132" s="23" t="s">
        <v>147</v>
      </c>
      <c r="C132" s="23" t="s">
        <v>148</v>
      </c>
      <c r="D132" s="23" t="s">
        <v>149</v>
      </c>
      <c r="E132" s="22"/>
      <c r="F132" s="22"/>
      <c r="G132" s="22"/>
    </row>
    <row r="133" spans="1:15" ht="17.100000000000001" customHeight="1" x14ac:dyDescent="0.2">
      <c r="A133" s="22"/>
      <c r="B133" s="4" t="s">
        <v>150</v>
      </c>
      <c r="C133" s="24">
        <v>17.355499999999999</v>
      </c>
      <c r="D133" s="24">
        <v>17.195</v>
      </c>
      <c r="E133" s="22"/>
      <c r="F133" s="19"/>
      <c r="G133" s="25"/>
    </row>
    <row r="134" spans="1:15" ht="17.100000000000001" customHeight="1" x14ac:dyDescent="0.2">
      <c r="A134" s="22"/>
      <c r="B134" s="4" t="s">
        <v>1114</v>
      </c>
      <c r="C134" s="24">
        <v>16.518000000000001</v>
      </c>
      <c r="D134" s="24">
        <v>16.365200000000002</v>
      </c>
      <c r="E134" s="22"/>
      <c r="F134" s="19"/>
      <c r="G134" s="25"/>
    </row>
    <row r="135" spans="1:15" ht="17.100000000000001" customHeight="1" x14ac:dyDescent="0.2">
      <c r="A135" s="22"/>
      <c r="B135" s="4" t="s">
        <v>151</v>
      </c>
      <c r="C135" s="24">
        <v>16.971299999999999</v>
      </c>
      <c r="D135" s="24">
        <v>16.8065</v>
      </c>
      <c r="E135" s="22"/>
      <c r="F135" s="19"/>
      <c r="G135" s="25"/>
    </row>
    <row r="136" spans="1:15" ht="17.100000000000001" customHeight="1" x14ac:dyDescent="0.2">
      <c r="A136" s="22"/>
      <c r="B136" s="4" t="s">
        <v>1115</v>
      </c>
      <c r="C136" s="24">
        <v>16.337499999999999</v>
      </c>
      <c r="D136" s="24">
        <v>16.178899999999999</v>
      </c>
      <c r="E136" s="22"/>
      <c r="F136" s="19"/>
      <c r="G136" s="25"/>
    </row>
    <row r="137" spans="1:15" ht="14.1" customHeight="1" x14ac:dyDescent="0.2">
      <c r="A137" s="22"/>
      <c r="B137" s="22"/>
      <c r="C137" s="22"/>
      <c r="D137" s="22"/>
      <c r="E137" s="22"/>
      <c r="F137" s="22"/>
      <c r="G137" s="22"/>
    </row>
    <row r="138" spans="1:15" ht="17.100000000000001" customHeight="1" x14ac:dyDescent="0.2">
      <c r="A138" s="22"/>
      <c r="B138" s="288" t="s">
        <v>1116</v>
      </c>
      <c r="C138" s="289"/>
      <c r="D138" s="2" t="s">
        <v>142</v>
      </c>
      <c r="E138" s="22"/>
      <c r="F138" s="22"/>
      <c r="G138" s="22"/>
    </row>
    <row r="139" spans="1:15" ht="14.1" customHeight="1" x14ac:dyDescent="0.2">
      <c r="A139" s="22"/>
      <c r="B139" s="19"/>
      <c r="C139" s="19"/>
      <c r="D139" s="22"/>
      <c r="E139" s="22"/>
      <c r="F139" s="22"/>
      <c r="G139" s="22"/>
    </row>
    <row r="140" spans="1:15" ht="29.1" customHeight="1" x14ac:dyDescent="0.2">
      <c r="A140" s="22"/>
      <c r="B140" s="288" t="s">
        <v>153</v>
      </c>
      <c r="C140" s="289"/>
      <c r="D140" s="2" t="s">
        <v>142</v>
      </c>
      <c r="E140" s="22"/>
      <c r="F140" s="22"/>
      <c r="G140" s="22"/>
      <c r="J140" s="66"/>
      <c r="K140" s="66"/>
      <c r="L140" s="66"/>
      <c r="M140" s="66"/>
      <c r="N140" s="66"/>
      <c r="O140" s="66"/>
    </row>
    <row r="141" spans="1:15" ht="29.1" customHeight="1" x14ac:dyDescent="0.2">
      <c r="A141" s="22"/>
      <c r="B141" s="288" t="s">
        <v>154</v>
      </c>
      <c r="C141" s="289"/>
      <c r="D141" s="2" t="s">
        <v>142</v>
      </c>
      <c r="E141" s="22"/>
      <c r="F141" s="22"/>
      <c r="G141" s="22"/>
    </row>
    <row r="142" spans="1:15" ht="17.100000000000001" customHeight="1" x14ac:dyDescent="0.2">
      <c r="A142" s="22"/>
      <c r="B142" s="288" t="s">
        <v>155</v>
      </c>
      <c r="C142" s="289"/>
      <c r="D142" s="26">
        <v>0.29387424233087356</v>
      </c>
      <c r="E142" s="22"/>
      <c r="F142" s="19"/>
      <c r="G142" s="25"/>
    </row>
    <row r="143" spans="1:15" ht="17.100000000000001" customHeight="1" x14ac:dyDescent="0.2">
      <c r="A143" s="22"/>
      <c r="B143" s="288" t="s">
        <v>156</v>
      </c>
      <c r="C143" s="289"/>
      <c r="D143" s="2" t="s">
        <v>142</v>
      </c>
      <c r="E143" s="22"/>
      <c r="F143" s="22"/>
      <c r="G143" s="22"/>
    </row>
  </sheetData>
  <mergeCells count="14">
    <mergeCell ref="A1:H1"/>
    <mergeCell ref="A2:H2"/>
    <mergeCell ref="A3:H3"/>
    <mergeCell ref="B127:C127"/>
    <mergeCell ref="J2:N2"/>
    <mergeCell ref="B125:F125"/>
    <mergeCell ref="B142:C142"/>
    <mergeCell ref="B143:C143"/>
    <mergeCell ref="B128:C128"/>
    <mergeCell ref="B129:C129"/>
    <mergeCell ref="B130:C130"/>
    <mergeCell ref="B138:C138"/>
    <mergeCell ref="B140:C140"/>
    <mergeCell ref="B141:C14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411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4495006</v>
      </c>
      <c r="F7" s="6">
        <v>33411.379598</v>
      </c>
      <c r="G7" s="7">
        <v>6.7574729E-2</v>
      </c>
      <c r="H7" s="6"/>
    </row>
    <row r="8" spans="1:14" x14ac:dyDescent="0.2">
      <c r="A8" s="3">
        <v>2</v>
      </c>
      <c r="B8" s="4" t="s">
        <v>380</v>
      </c>
      <c r="C8" s="4" t="s">
        <v>381</v>
      </c>
      <c r="D8" s="4" t="s">
        <v>947</v>
      </c>
      <c r="E8" s="5">
        <v>1279690</v>
      </c>
      <c r="F8" s="6">
        <v>20059.780595</v>
      </c>
      <c r="G8" s="7">
        <v>4.0571034999999998E-2</v>
      </c>
      <c r="H8" s="6"/>
    </row>
    <row r="9" spans="1:14" x14ac:dyDescent="0.2">
      <c r="A9" s="3">
        <v>3</v>
      </c>
      <c r="B9" s="4" t="s">
        <v>11</v>
      </c>
      <c r="C9" s="4" t="s">
        <v>12</v>
      </c>
      <c r="D9" s="4" t="s">
        <v>13</v>
      </c>
      <c r="E9" s="5">
        <v>707712</v>
      </c>
      <c r="F9" s="6">
        <v>19746.934079999999</v>
      </c>
      <c r="G9" s="7">
        <v>3.9938301000000002E-2</v>
      </c>
      <c r="H9" s="6"/>
    </row>
    <row r="10" spans="1:14" x14ac:dyDescent="0.2">
      <c r="A10" s="3">
        <v>4</v>
      </c>
      <c r="B10" s="4" t="s">
        <v>349</v>
      </c>
      <c r="C10" s="4" t="s">
        <v>350</v>
      </c>
      <c r="D10" s="4" t="s">
        <v>18</v>
      </c>
      <c r="E10" s="5">
        <v>1323852</v>
      </c>
      <c r="F10" s="6">
        <v>18330.054791999999</v>
      </c>
      <c r="G10" s="7">
        <v>3.7072652999999997E-2</v>
      </c>
      <c r="H10" s="6"/>
    </row>
    <row r="11" spans="1:14" x14ac:dyDescent="0.2">
      <c r="A11" s="3">
        <v>5</v>
      </c>
      <c r="B11" s="4" t="s">
        <v>14</v>
      </c>
      <c r="C11" s="4" t="s">
        <v>15</v>
      </c>
      <c r="D11" s="4" t="s">
        <v>64</v>
      </c>
      <c r="E11" s="5">
        <v>746883</v>
      </c>
      <c r="F11" s="6">
        <v>12654.812110499999</v>
      </c>
      <c r="G11" s="7">
        <v>2.5594438000000001E-2</v>
      </c>
      <c r="H11" s="6"/>
    </row>
    <row r="12" spans="1:14" x14ac:dyDescent="0.2">
      <c r="A12" s="3">
        <v>6</v>
      </c>
      <c r="B12" s="4" t="s">
        <v>355</v>
      </c>
      <c r="C12" s="4" t="s">
        <v>356</v>
      </c>
      <c r="D12" s="4" t="s">
        <v>82</v>
      </c>
      <c r="E12" s="5">
        <v>82672</v>
      </c>
      <c r="F12" s="6">
        <v>12327.345928000001</v>
      </c>
      <c r="G12" s="7">
        <v>2.4932136000000001E-2</v>
      </c>
      <c r="H12" s="6"/>
    </row>
    <row r="13" spans="1:14" x14ac:dyDescent="0.2">
      <c r="A13" s="3">
        <v>7</v>
      </c>
      <c r="B13" s="4" t="s">
        <v>48</v>
      </c>
      <c r="C13" s="4" t="s">
        <v>49</v>
      </c>
      <c r="D13" s="4" t="s">
        <v>18</v>
      </c>
      <c r="E13" s="5">
        <v>2191327</v>
      </c>
      <c r="F13" s="6">
        <v>10875.555901</v>
      </c>
      <c r="G13" s="7">
        <v>2.1995880999999998E-2</v>
      </c>
      <c r="H13" s="6"/>
    </row>
    <row r="14" spans="1:14" x14ac:dyDescent="0.2">
      <c r="A14" s="3">
        <v>8</v>
      </c>
      <c r="B14" s="4" t="s">
        <v>412</v>
      </c>
      <c r="C14" s="4" t="s">
        <v>413</v>
      </c>
      <c r="D14" s="4" t="s">
        <v>940</v>
      </c>
      <c r="E14" s="5">
        <v>1685076</v>
      </c>
      <c r="F14" s="6">
        <v>10709.500518000001</v>
      </c>
      <c r="G14" s="7">
        <v>2.1660032999999999E-2</v>
      </c>
      <c r="H14" s="6"/>
    </row>
    <row r="15" spans="1:14" x14ac:dyDescent="0.2">
      <c r="A15" s="3">
        <v>9</v>
      </c>
      <c r="B15" s="4" t="s">
        <v>294</v>
      </c>
      <c r="C15" s="4" t="s">
        <v>295</v>
      </c>
      <c r="D15" s="4" t="s">
        <v>18</v>
      </c>
      <c r="E15" s="5">
        <v>1371950</v>
      </c>
      <c r="F15" s="6">
        <v>9996.0277000000006</v>
      </c>
      <c r="G15" s="7">
        <v>2.021703E-2</v>
      </c>
      <c r="H15" s="6"/>
    </row>
    <row r="16" spans="1:14" ht="15" x14ac:dyDescent="0.2">
      <c r="A16" s="3">
        <v>10</v>
      </c>
      <c r="B16" s="4" t="s">
        <v>296</v>
      </c>
      <c r="C16" s="4" t="s">
        <v>297</v>
      </c>
      <c r="D16" s="4" t="s">
        <v>956</v>
      </c>
      <c r="E16" s="5">
        <v>900646</v>
      </c>
      <c r="F16" s="6">
        <v>9758.9497329999995</v>
      </c>
      <c r="G16" s="7">
        <v>1.9737537999999999E-2</v>
      </c>
      <c r="H16" s="6"/>
      <c r="J16" s="192" t="s">
        <v>1146</v>
      </c>
    </row>
    <row r="17" spans="1:10" ht="25.5" x14ac:dyDescent="0.2">
      <c r="A17" s="3">
        <v>11</v>
      </c>
      <c r="B17" s="4" t="s">
        <v>414</v>
      </c>
      <c r="C17" s="4" t="s">
        <v>415</v>
      </c>
      <c r="D17" s="4" t="s">
        <v>945</v>
      </c>
      <c r="E17" s="5">
        <v>197830</v>
      </c>
      <c r="F17" s="6">
        <v>8913.0328200000004</v>
      </c>
      <c r="G17" s="7">
        <v>1.8026666E-2</v>
      </c>
      <c r="H17" s="6"/>
    </row>
    <row r="18" spans="1:10" x14ac:dyDescent="0.2">
      <c r="A18" s="3">
        <v>12</v>
      </c>
      <c r="B18" s="4" t="s">
        <v>416</v>
      </c>
      <c r="C18" s="4" t="s">
        <v>417</v>
      </c>
      <c r="D18" s="4" t="s">
        <v>18</v>
      </c>
      <c r="E18" s="5">
        <v>3875118</v>
      </c>
      <c r="F18" s="6">
        <v>8899.2084869999999</v>
      </c>
      <c r="G18" s="7">
        <v>1.7998706E-2</v>
      </c>
      <c r="H18" s="6"/>
    </row>
    <row r="19" spans="1:10" ht="25.5" x14ac:dyDescent="0.2">
      <c r="A19" s="3">
        <v>13</v>
      </c>
      <c r="B19" s="4" t="s">
        <v>382</v>
      </c>
      <c r="C19" s="4" t="s">
        <v>383</v>
      </c>
      <c r="D19" s="4" t="s">
        <v>82</v>
      </c>
      <c r="E19" s="5">
        <v>384006</v>
      </c>
      <c r="F19" s="6">
        <v>8562.1817819999997</v>
      </c>
      <c r="G19" s="7">
        <v>1.7317066999999998E-2</v>
      </c>
      <c r="H19" s="6"/>
    </row>
    <row r="20" spans="1:10" x14ac:dyDescent="0.2">
      <c r="A20" s="3">
        <v>14</v>
      </c>
      <c r="B20" s="4" t="s">
        <v>87</v>
      </c>
      <c r="C20" s="4" t="s">
        <v>88</v>
      </c>
      <c r="D20" s="4" t="s">
        <v>940</v>
      </c>
      <c r="E20" s="5">
        <v>357500</v>
      </c>
      <c r="F20" s="6">
        <v>8249.67</v>
      </c>
      <c r="G20" s="7">
        <v>1.668501E-2</v>
      </c>
      <c r="H20" s="6"/>
    </row>
    <row r="21" spans="1:10" x14ac:dyDescent="0.2">
      <c r="A21" s="3">
        <v>15</v>
      </c>
      <c r="B21" s="4" t="s">
        <v>351</v>
      </c>
      <c r="C21" s="4" t="s">
        <v>352</v>
      </c>
      <c r="D21" s="4" t="s">
        <v>71</v>
      </c>
      <c r="E21" s="5">
        <v>184208</v>
      </c>
      <c r="F21" s="6">
        <v>8098.2442000000001</v>
      </c>
      <c r="G21" s="7">
        <v>1.6378751E-2</v>
      </c>
      <c r="H21" s="6"/>
    </row>
    <row r="22" spans="1:10" x14ac:dyDescent="0.2">
      <c r="A22" s="3">
        <v>16</v>
      </c>
      <c r="B22" s="4" t="s">
        <v>365</v>
      </c>
      <c r="C22" s="4" t="s">
        <v>366</v>
      </c>
      <c r="D22" s="4" t="s">
        <v>26</v>
      </c>
      <c r="E22" s="5">
        <v>374960</v>
      </c>
      <c r="F22" s="6">
        <v>8074.3886400000001</v>
      </c>
      <c r="G22" s="7">
        <v>1.6330503E-2</v>
      </c>
      <c r="H22" s="6"/>
    </row>
    <row r="23" spans="1:10" ht="51" x14ac:dyDescent="0.2">
      <c r="A23" s="3">
        <v>17</v>
      </c>
      <c r="B23" s="4" t="s">
        <v>78</v>
      </c>
      <c r="C23" s="4" t="s">
        <v>79</v>
      </c>
      <c r="D23" s="4" t="s">
        <v>939</v>
      </c>
      <c r="E23" s="5">
        <v>6352636</v>
      </c>
      <c r="F23" s="6">
        <v>8074.2003560000003</v>
      </c>
      <c r="G23" s="7">
        <v>1.6330121999999999E-2</v>
      </c>
      <c r="H23" s="6"/>
    </row>
    <row r="24" spans="1:10" x14ac:dyDescent="0.2">
      <c r="A24" s="3">
        <v>18</v>
      </c>
      <c r="B24" s="4" t="s">
        <v>404</v>
      </c>
      <c r="C24" s="4" t="s">
        <v>405</v>
      </c>
      <c r="D24" s="4" t="s">
        <v>406</v>
      </c>
      <c r="E24" s="5">
        <v>1649310</v>
      </c>
      <c r="F24" s="6">
        <v>7960.3947150000004</v>
      </c>
      <c r="G24" s="7">
        <v>1.6099948999999999E-2</v>
      </c>
      <c r="H24" s="6"/>
    </row>
    <row r="25" spans="1:10" x14ac:dyDescent="0.2">
      <c r="A25" s="3">
        <v>19</v>
      </c>
      <c r="B25" s="4" t="s">
        <v>323</v>
      </c>
      <c r="C25" s="4" t="s">
        <v>324</v>
      </c>
      <c r="D25" s="4" t="s">
        <v>947</v>
      </c>
      <c r="E25" s="5">
        <v>270147</v>
      </c>
      <c r="F25" s="6">
        <v>7680.8195040000001</v>
      </c>
      <c r="G25" s="7">
        <v>1.5534506999999999E-2</v>
      </c>
      <c r="H25" s="6"/>
    </row>
    <row r="26" spans="1:10" x14ac:dyDescent="0.2">
      <c r="A26" s="3">
        <v>20</v>
      </c>
      <c r="B26" s="4" t="s">
        <v>307</v>
      </c>
      <c r="C26" s="4" t="s">
        <v>308</v>
      </c>
      <c r="D26" s="4" t="s">
        <v>933</v>
      </c>
      <c r="E26" s="5">
        <v>997049</v>
      </c>
      <c r="F26" s="6">
        <v>7553.6432240000004</v>
      </c>
      <c r="G26" s="7">
        <v>1.5277292E-2</v>
      </c>
      <c r="H26" s="6"/>
    </row>
    <row r="27" spans="1:10" x14ac:dyDescent="0.2">
      <c r="A27" s="3">
        <v>21</v>
      </c>
      <c r="B27" s="4" t="s">
        <v>418</v>
      </c>
      <c r="C27" s="4" t="s">
        <v>419</v>
      </c>
      <c r="D27" s="4" t="s">
        <v>82</v>
      </c>
      <c r="E27" s="5">
        <v>113013</v>
      </c>
      <c r="F27" s="6">
        <v>7540.0013339999996</v>
      </c>
      <c r="G27" s="7">
        <v>1.5249700999999999E-2</v>
      </c>
      <c r="H27" s="6"/>
    </row>
    <row r="28" spans="1:10" x14ac:dyDescent="0.2">
      <c r="A28" s="3">
        <v>22</v>
      </c>
      <c r="B28" s="4" t="s">
        <v>19</v>
      </c>
      <c r="C28" s="4" t="s">
        <v>20</v>
      </c>
      <c r="D28" s="4" t="s">
        <v>21</v>
      </c>
      <c r="E28" s="5">
        <v>1002403</v>
      </c>
      <c r="F28" s="6">
        <v>7407.7581700000001</v>
      </c>
      <c r="G28" s="7">
        <v>1.4982238E-2</v>
      </c>
      <c r="H28" s="6"/>
    </row>
    <row r="29" spans="1:10" x14ac:dyDescent="0.2">
      <c r="A29" s="3">
        <v>23</v>
      </c>
      <c r="B29" s="4" t="s">
        <v>359</v>
      </c>
      <c r="C29" s="4" t="s">
        <v>360</v>
      </c>
      <c r="D29" s="4" t="s">
        <v>940</v>
      </c>
      <c r="E29" s="5">
        <v>805172</v>
      </c>
      <c r="F29" s="6">
        <v>7364.9082840000001</v>
      </c>
      <c r="G29" s="7">
        <v>1.4895574E-2</v>
      </c>
      <c r="H29" s="6"/>
    </row>
    <row r="30" spans="1:10" ht="15" x14ac:dyDescent="0.2">
      <c r="A30" s="3">
        <v>24</v>
      </c>
      <c r="B30" s="4" t="s">
        <v>363</v>
      </c>
      <c r="C30" s="4" t="s">
        <v>364</v>
      </c>
      <c r="D30" s="4" t="s">
        <v>923</v>
      </c>
      <c r="E30" s="5">
        <v>749225</v>
      </c>
      <c r="F30" s="6">
        <v>7194.4330625000002</v>
      </c>
      <c r="G30" s="7">
        <v>1.4550787000000001E-2</v>
      </c>
      <c r="H30" s="6"/>
      <c r="J30" s="192" t="s">
        <v>1147</v>
      </c>
    </row>
    <row r="31" spans="1:10" x14ac:dyDescent="0.2">
      <c r="A31" s="3">
        <v>25</v>
      </c>
      <c r="B31" s="4" t="s">
        <v>384</v>
      </c>
      <c r="C31" s="4" t="s">
        <v>385</v>
      </c>
      <c r="D31" s="4" t="s">
        <v>947</v>
      </c>
      <c r="E31" s="5">
        <v>191953</v>
      </c>
      <c r="F31" s="6">
        <v>6807.9970510000003</v>
      </c>
      <c r="G31" s="7">
        <v>1.3769218E-2</v>
      </c>
      <c r="H31" s="6"/>
    </row>
    <row r="32" spans="1:10" x14ac:dyDescent="0.2">
      <c r="A32" s="3">
        <v>26</v>
      </c>
      <c r="B32" s="4" t="s">
        <v>420</v>
      </c>
      <c r="C32" s="4" t="s">
        <v>421</v>
      </c>
      <c r="D32" s="4" t="s">
        <v>26</v>
      </c>
      <c r="E32" s="5">
        <v>856506</v>
      </c>
      <c r="F32" s="6">
        <v>6618.6501150000004</v>
      </c>
      <c r="G32" s="7">
        <v>1.3386261999999999E-2</v>
      </c>
      <c r="H32" s="6"/>
    </row>
    <row r="33" spans="1:8" x14ac:dyDescent="0.2">
      <c r="A33" s="3">
        <v>27</v>
      </c>
      <c r="B33" s="4" t="s">
        <v>24</v>
      </c>
      <c r="C33" s="4" t="s">
        <v>25</v>
      </c>
      <c r="D33" s="4" t="s">
        <v>26</v>
      </c>
      <c r="E33" s="5">
        <v>265225</v>
      </c>
      <c r="F33" s="6">
        <v>6593.8913375000002</v>
      </c>
      <c r="G33" s="7">
        <v>1.3336186999999999E-2</v>
      </c>
      <c r="H33" s="6"/>
    </row>
    <row r="34" spans="1:8" x14ac:dyDescent="0.2">
      <c r="A34" s="3">
        <v>28</v>
      </c>
      <c r="B34" s="4" t="s">
        <v>422</v>
      </c>
      <c r="C34" s="4" t="s">
        <v>423</v>
      </c>
      <c r="D34" s="4" t="s">
        <v>955</v>
      </c>
      <c r="E34" s="5">
        <v>311047</v>
      </c>
      <c r="F34" s="6">
        <v>6521.2558785000001</v>
      </c>
      <c r="G34" s="7">
        <v>1.3189282E-2</v>
      </c>
      <c r="H34" s="6"/>
    </row>
    <row r="35" spans="1:8" ht="25.5" x14ac:dyDescent="0.2">
      <c r="A35" s="3">
        <v>29</v>
      </c>
      <c r="B35" s="4" t="s">
        <v>22</v>
      </c>
      <c r="C35" s="4" t="s">
        <v>23</v>
      </c>
      <c r="D35" s="4" t="s">
        <v>935</v>
      </c>
      <c r="E35" s="5">
        <v>97004</v>
      </c>
      <c r="F35" s="6">
        <v>6431.6077100000002</v>
      </c>
      <c r="G35" s="7">
        <v>1.3007968E-2</v>
      </c>
      <c r="H35" s="6"/>
    </row>
    <row r="36" spans="1:8" ht="51" x14ac:dyDescent="0.2">
      <c r="A36" s="3">
        <v>30</v>
      </c>
      <c r="B36" s="4" t="s">
        <v>83</v>
      </c>
      <c r="C36" s="4" t="s">
        <v>84</v>
      </c>
      <c r="D36" s="4" t="s">
        <v>939</v>
      </c>
      <c r="E36" s="5">
        <v>360100</v>
      </c>
      <c r="F36" s="6">
        <v>5977.11985</v>
      </c>
      <c r="G36" s="7">
        <v>1.2088763000000001E-2</v>
      </c>
      <c r="H36" s="6"/>
    </row>
    <row r="37" spans="1:8" x14ac:dyDescent="0.2">
      <c r="A37" s="3">
        <v>31</v>
      </c>
      <c r="B37" s="4" t="s">
        <v>424</v>
      </c>
      <c r="C37" s="4" t="s">
        <v>425</v>
      </c>
      <c r="D37" s="4" t="s">
        <v>959</v>
      </c>
      <c r="E37" s="5">
        <v>1355977</v>
      </c>
      <c r="F37" s="6">
        <v>5933.7553520000001</v>
      </c>
      <c r="G37" s="7">
        <v>1.2001058E-2</v>
      </c>
      <c r="H37" s="6"/>
    </row>
    <row r="38" spans="1:8" ht="25.5" x14ac:dyDescent="0.2">
      <c r="A38" s="3">
        <v>32</v>
      </c>
      <c r="B38" s="4" t="s">
        <v>388</v>
      </c>
      <c r="C38" s="4" t="s">
        <v>389</v>
      </c>
      <c r="D38" s="4" t="s">
        <v>945</v>
      </c>
      <c r="E38" s="5">
        <v>622280</v>
      </c>
      <c r="F38" s="6">
        <v>5778.8032199999998</v>
      </c>
      <c r="G38" s="7">
        <v>1.1687665999999999E-2</v>
      </c>
      <c r="H38" s="6"/>
    </row>
    <row r="39" spans="1:8" x14ac:dyDescent="0.2">
      <c r="A39" s="3">
        <v>33</v>
      </c>
      <c r="B39" s="4" t="s">
        <v>426</v>
      </c>
      <c r="C39" s="4" t="s">
        <v>427</v>
      </c>
      <c r="D39" s="4" t="s">
        <v>938</v>
      </c>
      <c r="E39" s="5">
        <v>302944</v>
      </c>
      <c r="F39" s="6">
        <v>5658.0850879999998</v>
      </c>
      <c r="G39" s="7">
        <v>1.1443513000000001E-2</v>
      </c>
      <c r="H39" s="6"/>
    </row>
    <row r="40" spans="1:8" ht="25.5" x14ac:dyDescent="0.2">
      <c r="A40" s="3">
        <v>34</v>
      </c>
      <c r="B40" s="4" t="s">
        <v>217</v>
      </c>
      <c r="C40" s="4" t="s">
        <v>218</v>
      </c>
      <c r="D40" s="4" t="s">
        <v>946</v>
      </c>
      <c r="E40" s="5">
        <v>140588</v>
      </c>
      <c r="F40" s="6">
        <v>5527.6389840000002</v>
      </c>
      <c r="G40" s="7">
        <v>1.1179685E-2</v>
      </c>
      <c r="H40" s="6"/>
    </row>
    <row r="41" spans="1:8" x14ac:dyDescent="0.2">
      <c r="A41" s="3">
        <v>35</v>
      </c>
      <c r="B41" s="4" t="s">
        <v>38</v>
      </c>
      <c r="C41" s="4" t="s">
        <v>39</v>
      </c>
      <c r="D41" s="4" t="s">
        <v>29</v>
      </c>
      <c r="E41" s="5">
        <v>2249244</v>
      </c>
      <c r="F41" s="6">
        <v>5451.0428339999999</v>
      </c>
      <c r="G41" s="7">
        <v>1.1024769E-2</v>
      </c>
      <c r="H41" s="6"/>
    </row>
    <row r="42" spans="1:8" ht="25.5" x14ac:dyDescent="0.2">
      <c r="A42" s="3">
        <v>36</v>
      </c>
      <c r="B42" s="4" t="s">
        <v>80</v>
      </c>
      <c r="C42" s="4" t="s">
        <v>81</v>
      </c>
      <c r="D42" s="4" t="s">
        <v>82</v>
      </c>
      <c r="E42" s="5">
        <v>737755</v>
      </c>
      <c r="F42" s="6">
        <v>5450.1650625000002</v>
      </c>
      <c r="G42" s="7">
        <v>1.1022994E-2</v>
      </c>
      <c r="H42" s="6"/>
    </row>
    <row r="43" spans="1:8" ht="25.5" x14ac:dyDescent="0.2">
      <c r="A43" s="3">
        <v>37</v>
      </c>
      <c r="B43" s="4" t="s">
        <v>325</v>
      </c>
      <c r="C43" s="4" t="s">
        <v>326</v>
      </c>
      <c r="D43" s="4" t="s">
        <v>945</v>
      </c>
      <c r="E43" s="5">
        <v>166575</v>
      </c>
      <c r="F43" s="6">
        <v>5333.4816375</v>
      </c>
      <c r="G43" s="7">
        <v>1.0787000999999999E-2</v>
      </c>
      <c r="H43" s="6"/>
    </row>
    <row r="44" spans="1:8" x14ac:dyDescent="0.2">
      <c r="A44" s="3">
        <v>38</v>
      </c>
      <c r="B44" s="4" t="s">
        <v>428</v>
      </c>
      <c r="C44" s="4" t="s">
        <v>429</v>
      </c>
      <c r="D44" s="4" t="s">
        <v>302</v>
      </c>
      <c r="E44" s="5">
        <v>133556</v>
      </c>
      <c r="F44" s="6">
        <v>5267.7825300000004</v>
      </c>
      <c r="G44" s="7">
        <v>1.0654123999999999E-2</v>
      </c>
      <c r="H44" s="6"/>
    </row>
    <row r="45" spans="1:8" x14ac:dyDescent="0.2">
      <c r="A45" s="3">
        <v>39</v>
      </c>
      <c r="B45" s="4" t="s">
        <v>290</v>
      </c>
      <c r="C45" s="4" t="s">
        <v>291</v>
      </c>
      <c r="D45" s="4" t="s">
        <v>18</v>
      </c>
      <c r="E45" s="5">
        <v>4445537</v>
      </c>
      <c r="F45" s="6">
        <v>5019.0112730000001</v>
      </c>
      <c r="G45" s="7">
        <v>1.0150981999999999E-2</v>
      </c>
      <c r="H45" s="6"/>
    </row>
    <row r="46" spans="1:8" x14ac:dyDescent="0.2">
      <c r="A46" s="3">
        <v>40</v>
      </c>
      <c r="B46" s="4" t="s">
        <v>298</v>
      </c>
      <c r="C46" s="4" t="s">
        <v>299</v>
      </c>
      <c r="D46" s="4" t="s">
        <v>947</v>
      </c>
      <c r="E46" s="5">
        <v>139910</v>
      </c>
      <c r="F46" s="6">
        <v>4969.8130650000003</v>
      </c>
      <c r="G46" s="7">
        <v>1.0051479E-2</v>
      </c>
      <c r="H46" s="6"/>
    </row>
    <row r="47" spans="1:8" ht="25.5" x14ac:dyDescent="0.2">
      <c r="A47" s="3">
        <v>41</v>
      </c>
      <c r="B47" s="4" t="s">
        <v>333</v>
      </c>
      <c r="C47" s="4" t="s">
        <v>334</v>
      </c>
      <c r="D47" s="4" t="s">
        <v>957</v>
      </c>
      <c r="E47" s="5">
        <v>167631</v>
      </c>
      <c r="F47" s="6">
        <v>4774.0470644999996</v>
      </c>
      <c r="G47" s="7">
        <v>9.6555410000000001E-3</v>
      </c>
      <c r="H47" s="6"/>
    </row>
    <row r="48" spans="1:8" ht="25.5" x14ac:dyDescent="0.2">
      <c r="A48" s="3">
        <v>42</v>
      </c>
      <c r="B48" s="4" t="s">
        <v>313</v>
      </c>
      <c r="C48" s="4" t="s">
        <v>314</v>
      </c>
      <c r="D48" s="4" t="s">
        <v>71</v>
      </c>
      <c r="E48" s="5">
        <v>1227129</v>
      </c>
      <c r="F48" s="6">
        <v>4721.9923920000001</v>
      </c>
      <c r="G48" s="7">
        <v>9.5502599999999997E-3</v>
      </c>
      <c r="H48" s="6"/>
    </row>
    <row r="49" spans="1:8" x14ac:dyDescent="0.2">
      <c r="A49" s="3">
        <v>43</v>
      </c>
      <c r="B49" s="4" t="s">
        <v>367</v>
      </c>
      <c r="C49" s="4" t="s">
        <v>368</v>
      </c>
      <c r="D49" s="4" t="s">
        <v>233</v>
      </c>
      <c r="E49" s="5">
        <v>1743213</v>
      </c>
      <c r="F49" s="6">
        <v>4656.9935294999996</v>
      </c>
      <c r="G49" s="7">
        <v>9.4187990000000003E-3</v>
      </c>
      <c r="H49" s="6"/>
    </row>
    <row r="50" spans="1:8" x14ac:dyDescent="0.2">
      <c r="A50" s="3">
        <v>44</v>
      </c>
      <c r="B50" s="4" t="s">
        <v>236</v>
      </c>
      <c r="C50" s="4" t="s">
        <v>237</v>
      </c>
      <c r="D50" s="4" t="s">
        <v>947</v>
      </c>
      <c r="E50" s="5">
        <v>107723</v>
      </c>
      <c r="F50" s="6">
        <v>4654.3337995000002</v>
      </c>
      <c r="G50" s="7">
        <v>9.4134200000000005E-3</v>
      </c>
      <c r="H50" s="6"/>
    </row>
    <row r="51" spans="1:8" x14ac:dyDescent="0.2">
      <c r="A51" s="3">
        <v>45</v>
      </c>
      <c r="B51" s="4" t="s">
        <v>100</v>
      </c>
      <c r="C51" s="4" t="s">
        <v>101</v>
      </c>
      <c r="D51" s="4" t="s">
        <v>57</v>
      </c>
      <c r="E51" s="5">
        <v>964378</v>
      </c>
      <c r="F51" s="6">
        <v>4652.1594720000003</v>
      </c>
      <c r="G51" s="7">
        <v>9.4090219999999995E-3</v>
      </c>
      <c r="H51" s="6"/>
    </row>
    <row r="52" spans="1:8" ht="25.5" x14ac:dyDescent="0.2">
      <c r="A52" s="3">
        <v>46</v>
      </c>
      <c r="B52" s="4" t="s">
        <v>430</v>
      </c>
      <c r="C52" s="4" t="s">
        <v>431</v>
      </c>
      <c r="D52" s="4" t="s">
        <v>946</v>
      </c>
      <c r="E52" s="5">
        <v>51087</v>
      </c>
      <c r="F52" s="6">
        <v>4573.7169359999998</v>
      </c>
      <c r="G52" s="7">
        <v>9.2503719999999998E-3</v>
      </c>
      <c r="H52" s="6"/>
    </row>
    <row r="53" spans="1:8" x14ac:dyDescent="0.2">
      <c r="A53" s="3">
        <v>47</v>
      </c>
      <c r="B53" s="4" t="s">
        <v>102</v>
      </c>
      <c r="C53" s="4" t="s">
        <v>103</v>
      </c>
      <c r="D53" s="4" t="s">
        <v>57</v>
      </c>
      <c r="E53" s="5">
        <v>1283717</v>
      </c>
      <c r="F53" s="6">
        <v>4523.8187079999998</v>
      </c>
      <c r="G53" s="7">
        <v>9.1494520000000006E-3</v>
      </c>
      <c r="H53" s="6"/>
    </row>
    <row r="54" spans="1:8" ht="25.5" x14ac:dyDescent="0.2">
      <c r="A54" s="3">
        <v>48</v>
      </c>
      <c r="B54" s="4" t="s">
        <v>357</v>
      </c>
      <c r="C54" s="4" t="s">
        <v>358</v>
      </c>
      <c r="D54" s="4" t="s">
        <v>950</v>
      </c>
      <c r="E54" s="5">
        <v>524486</v>
      </c>
      <c r="F54" s="6">
        <v>4320.4534249999997</v>
      </c>
      <c r="G54" s="7">
        <v>8.7381449999999992E-3</v>
      </c>
      <c r="H54" s="6"/>
    </row>
    <row r="55" spans="1:8" x14ac:dyDescent="0.2">
      <c r="A55" s="3">
        <v>49</v>
      </c>
      <c r="B55" s="4" t="s">
        <v>50</v>
      </c>
      <c r="C55" s="4" t="s">
        <v>51</v>
      </c>
      <c r="D55" s="4" t="s">
        <v>938</v>
      </c>
      <c r="E55" s="5">
        <v>636555</v>
      </c>
      <c r="F55" s="6">
        <v>4114.6915200000003</v>
      </c>
      <c r="G55" s="7">
        <v>8.3219899999999996E-3</v>
      </c>
      <c r="H55" s="6"/>
    </row>
    <row r="56" spans="1:8" x14ac:dyDescent="0.2">
      <c r="A56" s="3">
        <v>50</v>
      </c>
      <c r="B56" s="4" t="s">
        <v>402</v>
      </c>
      <c r="C56" s="4" t="s">
        <v>403</v>
      </c>
      <c r="D56" s="4" t="s">
        <v>91</v>
      </c>
      <c r="E56" s="5">
        <v>307717</v>
      </c>
      <c r="F56" s="6">
        <v>3911.2369285</v>
      </c>
      <c r="G56" s="7">
        <v>7.9105019999999998E-3</v>
      </c>
      <c r="H56" s="6"/>
    </row>
    <row r="57" spans="1:8" ht="25.5" x14ac:dyDescent="0.2">
      <c r="A57" s="3">
        <v>51</v>
      </c>
      <c r="B57" s="4" t="s">
        <v>432</v>
      </c>
      <c r="C57" s="4" t="s">
        <v>433</v>
      </c>
      <c r="D57" s="4" t="s">
        <v>935</v>
      </c>
      <c r="E57" s="5">
        <v>14764</v>
      </c>
      <c r="F57" s="6">
        <v>3827.05026</v>
      </c>
      <c r="G57" s="7">
        <v>7.7402340000000004E-3</v>
      </c>
      <c r="H57" s="6"/>
    </row>
    <row r="58" spans="1:8" x14ac:dyDescent="0.2">
      <c r="A58" s="3">
        <v>52</v>
      </c>
      <c r="B58" s="4" t="s">
        <v>434</v>
      </c>
      <c r="C58" s="4" t="s">
        <v>435</v>
      </c>
      <c r="D58" s="4" t="s">
        <v>959</v>
      </c>
      <c r="E58" s="5">
        <v>49246</v>
      </c>
      <c r="F58" s="6">
        <v>3800.7077880000002</v>
      </c>
      <c r="G58" s="7">
        <v>7.686956E-3</v>
      </c>
      <c r="H58" s="6"/>
    </row>
    <row r="59" spans="1:8" ht="25.5" x14ac:dyDescent="0.2">
      <c r="A59" s="3">
        <v>53</v>
      </c>
      <c r="B59" s="4" t="s">
        <v>284</v>
      </c>
      <c r="C59" s="4" t="s">
        <v>285</v>
      </c>
      <c r="D59" s="4" t="s">
        <v>946</v>
      </c>
      <c r="E59" s="5">
        <v>150285</v>
      </c>
      <c r="F59" s="6">
        <v>3776.2111949999999</v>
      </c>
      <c r="G59" s="7">
        <v>7.6374110000000002E-3</v>
      </c>
      <c r="H59" s="6"/>
    </row>
    <row r="60" spans="1:8" x14ac:dyDescent="0.2">
      <c r="A60" s="3">
        <v>54</v>
      </c>
      <c r="B60" s="4" t="s">
        <v>436</v>
      </c>
      <c r="C60" s="4" t="s">
        <v>437</v>
      </c>
      <c r="D60" s="4" t="s">
        <v>71</v>
      </c>
      <c r="E60" s="5">
        <v>348399</v>
      </c>
      <c r="F60" s="6">
        <v>3768.2835839999998</v>
      </c>
      <c r="G60" s="7">
        <v>7.6213779999999998E-3</v>
      </c>
      <c r="H60" s="6"/>
    </row>
    <row r="61" spans="1:8" x14ac:dyDescent="0.2">
      <c r="A61" s="3">
        <v>55</v>
      </c>
      <c r="B61" s="4" t="s">
        <v>199</v>
      </c>
      <c r="C61" s="4" t="s">
        <v>200</v>
      </c>
      <c r="D61" s="4" t="s">
        <v>940</v>
      </c>
      <c r="E61" s="5">
        <v>190000</v>
      </c>
      <c r="F61" s="6">
        <v>3544.7350000000001</v>
      </c>
      <c r="G61" s="7">
        <v>7.1692489999999999E-3</v>
      </c>
      <c r="H61" s="6"/>
    </row>
    <row r="62" spans="1:8" x14ac:dyDescent="0.2">
      <c r="A62" s="3">
        <v>56</v>
      </c>
      <c r="B62" s="4" t="s">
        <v>286</v>
      </c>
      <c r="C62" s="4" t="s">
        <v>287</v>
      </c>
      <c r="D62" s="4" t="s">
        <v>952</v>
      </c>
      <c r="E62" s="5">
        <v>7610</v>
      </c>
      <c r="F62" s="6">
        <v>3468.5428750000001</v>
      </c>
      <c r="G62" s="7">
        <v>7.0151500000000004E-3</v>
      </c>
      <c r="H62" s="6"/>
    </row>
    <row r="63" spans="1:8" x14ac:dyDescent="0.2">
      <c r="A63" s="3">
        <v>57</v>
      </c>
      <c r="B63" s="4" t="s">
        <v>392</v>
      </c>
      <c r="C63" s="4" t="s">
        <v>393</v>
      </c>
      <c r="D63" s="4" t="s">
        <v>947</v>
      </c>
      <c r="E63" s="5">
        <v>661260</v>
      </c>
      <c r="F63" s="6">
        <v>3364.4908799999998</v>
      </c>
      <c r="G63" s="7">
        <v>6.804704E-3</v>
      </c>
      <c r="H63" s="6"/>
    </row>
    <row r="64" spans="1:8" x14ac:dyDescent="0.2">
      <c r="A64" s="3">
        <v>58</v>
      </c>
      <c r="B64" s="4" t="s">
        <v>331</v>
      </c>
      <c r="C64" s="4" t="s">
        <v>332</v>
      </c>
      <c r="D64" s="4" t="s">
        <v>82</v>
      </c>
      <c r="E64" s="5">
        <v>492415</v>
      </c>
      <c r="F64" s="6">
        <v>3196.2657650000001</v>
      </c>
      <c r="G64" s="7">
        <v>6.4644680000000001E-3</v>
      </c>
      <c r="H64" s="6"/>
    </row>
    <row r="65" spans="1:8" ht="25.5" x14ac:dyDescent="0.2">
      <c r="A65" s="3">
        <v>59</v>
      </c>
      <c r="B65" s="4" t="s">
        <v>329</v>
      </c>
      <c r="C65" s="4" t="s">
        <v>330</v>
      </c>
      <c r="D65" s="4" t="s">
        <v>945</v>
      </c>
      <c r="E65" s="5">
        <v>403490</v>
      </c>
      <c r="F65" s="6">
        <v>3174.8610650000001</v>
      </c>
      <c r="G65" s="7">
        <v>6.4211770000000001E-3</v>
      </c>
      <c r="H65" s="6"/>
    </row>
    <row r="66" spans="1:8" x14ac:dyDescent="0.2">
      <c r="A66" s="3">
        <v>60</v>
      </c>
      <c r="B66" s="4" t="s">
        <v>438</v>
      </c>
      <c r="C66" s="4" t="s">
        <v>439</v>
      </c>
      <c r="D66" s="4" t="s">
        <v>302</v>
      </c>
      <c r="E66" s="5">
        <v>185641</v>
      </c>
      <c r="F66" s="6">
        <v>3145.1298219999999</v>
      </c>
      <c r="G66" s="7">
        <v>6.3610450000000001E-3</v>
      </c>
      <c r="H66" s="6"/>
    </row>
    <row r="67" spans="1:8" x14ac:dyDescent="0.2">
      <c r="A67" s="3">
        <v>61</v>
      </c>
      <c r="B67" s="4" t="s">
        <v>317</v>
      </c>
      <c r="C67" s="4" t="s">
        <v>318</v>
      </c>
      <c r="D67" s="4" t="s">
        <v>26</v>
      </c>
      <c r="E67" s="5">
        <v>286278</v>
      </c>
      <c r="F67" s="6">
        <v>2949.9516509999999</v>
      </c>
      <c r="G67" s="7">
        <v>5.9662960000000003E-3</v>
      </c>
      <c r="H67" s="6"/>
    </row>
    <row r="68" spans="1:8" x14ac:dyDescent="0.2">
      <c r="A68" s="3">
        <v>62</v>
      </c>
      <c r="B68" s="4" t="s">
        <v>337</v>
      </c>
      <c r="C68" s="4" t="s">
        <v>338</v>
      </c>
      <c r="D68" s="4" t="s">
        <v>944</v>
      </c>
      <c r="E68" s="5">
        <v>533470</v>
      </c>
      <c r="F68" s="6">
        <v>2912.7462</v>
      </c>
      <c r="G68" s="7">
        <v>5.8910480000000003E-3</v>
      </c>
      <c r="H68" s="6"/>
    </row>
    <row r="69" spans="1:8" x14ac:dyDescent="0.2">
      <c r="A69" s="3">
        <v>63</v>
      </c>
      <c r="B69" s="4" t="s">
        <v>361</v>
      </c>
      <c r="C69" s="4" t="s">
        <v>362</v>
      </c>
      <c r="D69" s="4" t="s">
        <v>71</v>
      </c>
      <c r="E69" s="5">
        <v>509693</v>
      </c>
      <c r="F69" s="6">
        <v>2905.7597930000002</v>
      </c>
      <c r="G69" s="7">
        <v>5.8769180000000001E-3</v>
      </c>
      <c r="H69" s="6"/>
    </row>
    <row r="70" spans="1:8" ht="25.5" x14ac:dyDescent="0.2">
      <c r="A70" s="3">
        <v>64</v>
      </c>
      <c r="B70" s="4" t="s">
        <v>319</v>
      </c>
      <c r="C70" s="4" t="s">
        <v>320</v>
      </c>
      <c r="D70" s="4" t="s">
        <v>945</v>
      </c>
      <c r="E70" s="5">
        <v>286464</v>
      </c>
      <c r="F70" s="6">
        <v>2898.29952</v>
      </c>
      <c r="G70" s="7">
        <v>5.8618289999999998E-3</v>
      </c>
      <c r="H70" s="6"/>
    </row>
    <row r="71" spans="1:8" x14ac:dyDescent="0.2">
      <c r="A71" s="3">
        <v>65</v>
      </c>
      <c r="B71" s="4" t="s">
        <v>440</v>
      </c>
      <c r="C71" s="4" t="s">
        <v>441</v>
      </c>
      <c r="D71" s="4" t="s">
        <v>940</v>
      </c>
      <c r="E71" s="5">
        <v>2081348</v>
      </c>
      <c r="F71" s="6">
        <v>2863.9348479999999</v>
      </c>
      <c r="G71" s="7">
        <v>5.7923269999999999E-3</v>
      </c>
      <c r="H71" s="6"/>
    </row>
    <row r="72" spans="1:8" x14ac:dyDescent="0.2">
      <c r="A72" s="3">
        <v>66</v>
      </c>
      <c r="B72" s="4" t="s">
        <v>442</v>
      </c>
      <c r="C72" s="4" t="s">
        <v>443</v>
      </c>
      <c r="D72" s="4" t="s">
        <v>940</v>
      </c>
      <c r="E72" s="5">
        <v>328185</v>
      </c>
      <c r="F72" s="6">
        <v>2643.5301749999999</v>
      </c>
      <c r="G72" s="7">
        <v>5.346557E-3</v>
      </c>
      <c r="H72" s="6"/>
    </row>
    <row r="73" spans="1:8" x14ac:dyDescent="0.2">
      <c r="A73" s="3">
        <v>67</v>
      </c>
      <c r="B73" s="4" t="s">
        <v>369</v>
      </c>
      <c r="C73" s="4" t="s">
        <v>370</v>
      </c>
      <c r="D73" s="4" t="s">
        <v>71</v>
      </c>
      <c r="E73" s="5">
        <v>198211</v>
      </c>
      <c r="F73" s="6">
        <v>2048.5106850000002</v>
      </c>
      <c r="G73" s="7">
        <v>4.1431259999999996E-3</v>
      </c>
      <c r="H73" s="6"/>
    </row>
    <row r="74" spans="1:8" x14ac:dyDescent="0.2">
      <c r="A74" s="3">
        <v>68</v>
      </c>
      <c r="B74" s="4" t="s">
        <v>444</v>
      </c>
      <c r="C74" s="4" t="s">
        <v>445</v>
      </c>
      <c r="D74" s="4" t="s">
        <v>71</v>
      </c>
      <c r="E74" s="5">
        <v>80959</v>
      </c>
      <c r="F74" s="6">
        <v>1990.1341379999999</v>
      </c>
      <c r="G74" s="7">
        <v>4.0250590000000001E-3</v>
      </c>
      <c r="H74" s="6"/>
    </row>
    <row r="75" spans="1:8" ht="25.5" x14ac:dyDescent="0.2">
      <c r="A75" s="3">
        <v>69</v>
      </c>
      <c r="B75" s="4" t="s">
        <v>373</v>
      </c>
      <c r="C75" s="4" t="s">
        <v>374</v>
      </c>
      <c r="D75" s="4" t="s">
        <v>935</v>
      </c>
      <c r="E75" s="5">
        <v>126915</v>
      </c>
      <c r="F75" s="6">
        <v>1928.0292225000001</v>
      </c>
      <c r="G75" s="7">
        <v>3.899451E-3</v>
      </c>
      <c r="H75" s="6"/>
    </row>
    <row r="76" spans="1:8" x14ac:dyDescent="0.2">
      <c r="A76" s="3">
        <v>70</v>
      </c>
      <c r="B76" s="4" t="s">
        <v>292</v>
      </c>
      <c r="C76" s="4" t="s">
        <v>293</v>
      </c>
      <c r="D76" s="4" t="s">
        <v>233</v>
      </c>
      <c r="E76" s="5">
        <v>42261</v>
      </c>
      <c r="F76" s="6">
        <v>1882.4528534999999</v>
      </c>
      <c r="G76" s="7">
        <v>3.8072729999999999E-3</v>
      </c>
      <c r="H76" s="6"/>
    </row>
    <row r="77" spans="1:8" x14ac:dyDescent="0.2">
      <c r="A77" s="3">
        <v>71</v>
      </c>
      <c r="B77" s="4" t="s">
        <v>305</v>
      </c>
      <c r="C77" s="4" t="s">
        <v>306</v>
      </c>
      <c r="D77" s="4" t="s">
        <v>71</v>
      </c>
      <c r="E77" s="5">
        <v>124614</v>
      </c>
      <c r="F77" s="6">
        <v>1572.0679170000001</v>
      </c>
      <c r="G77" s="7">
        <v>3.1795170000000002E-3</v>
      </c>
      <c r="H77" s="6"/>
    </row>
    <row r="78" spans="1:8" x14ac:dyDescent="0.2">
      <c r="A78" s="3">
        <v>72</v>
      </c>
      <c r="B78" s="4" t="s">
        <v>446</v>
      </c>
      <c r="C78" s="4" t="s">
        <v>447</v>
      </c>
      <c r="D78" s="4" t="s">
        <v>26</v>
      </c>
      <c r="E78" s="5">
        <v>20951</v>
      </c>
      <c r="F78" s="6">
        <v>704.85449300000005</v>
      </c>
      <c r="G78" s="7">
        <v>1.4255730000000001E-3</v>
      </c>
      <c r="H78" s="6"/>
    </row>
    <row r="79" spans="1:8" x14ac:dyDescent="0.2">
      <c r="A79" s="3">
        <v>73</v>
      </c>
      <c r="B79" s="4" t="s">
        <v>300</v>
      </c>
      <c r="C79" s="4" t="s">
        <v>301</v>
      </c>
      <c r="D79" s="4" t="s">
        <v>302</v>
      </c>
      <c r="E79" s="5">
        <v>36141</v>
      </c>
      <c r="F79" s="6">
        <v>443.95604400000002</v>
      </c>
      <c r="G79" s="7">
        <v>8.9790400000000004E-4</v>
      </c>
      <c r="H79" s="6"/>
    </row>
    <row r="80" spans="1:8" ht="25.5" x14ac:dyDescent="0.2">
      <c r="A80" s="3">
        <v>74</v>
      </c>
      <c r="B80" s="4" t="s">
        <v>409</v>
      </c>
      <c r="C80" s="4" t="s">
        <v>926</v>
      </c>
      <c r="D80" s="4" t="s">
        <v>21</v>
      </c>
      <c r="E80" s="5">
        <v>71599</v>
      </c>
      <c r="F80" s="6">
        <v>245.54877049999999</v>
      </c>
      <c r="G80" s="7">
        <v>4.9662399999999998E-4</v>
      </c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9">
        <v>470742.82484150009</v>
      </c>
      <c r="G81" s="10">
        <v>0.95208037499999998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113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114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115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9">
        <v>0</v>
      </c>
      <c r="G90" s="10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116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117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118</v>
      </c>
      <c r="D98" s="1"/>
      <c r="E98" s="1"/>
      <c r="F98" s="9">
        <v>470742.82484150003</v>
      </c>
      <c r="G98" s="10">
        <v>0.95208037499999998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120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121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122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123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124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125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126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127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128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129</v>
      </c>
      <c r="D126" s="4"/>
      <c r="E126" s="8"/>
      <c r="F126" s="6">
        <v>21609.035883600001</v>
      </c>
      <c r="G126" s="7">
        <v>4.3704412999999998E-2</v>
      </c>
      <c r="H126" s="6">
        <v>3.9343919198424624</v>
      </c>
    </row>
    <row r="127" spans="1:8" ht="17.100000000000001" customHeight="1" x14ac:dyDescent="0.2">
      <c r="A127" s="3">
        <v>2</v>
      </c>
      <c r="B127" s="4"/>
      <c r="C127" s="4" t="s">
        <v>130</v>
      </c>
      <c r="D127" s="4"/>
      <c r="E127" s="8"/>
      <c r="F127" s="6">
        <v>1419.2714897999999</v>
      </c>
      <c r="G127" s="7">
        <v>2.8704859999999998E-3</v>
      </c>
      <c r="H127" s="6">
        <v>3.8</v>
      </c>
    </row>
    <row r="128" spans="1:8" ht="14.1" customHeight="1" x14ac:dyDescent="0.2">
      <c r="A128" s="1"/>
      <c r="B128" s="1"/>
      <c r="C128" s="2" t="s">
        <v>111</v>
      </c>
      <c r="D128" s="1"/>
      <c r="E128" s="1" t="s">
        <v>112</v>
      </c>
      <c r="F128" s="9">
        <v>23028.307373399999</v>
      </c>
      <c r="G128" s="10">
        <v>4.6574899000000003E-2</v>
      </c>
      <c r="H128" s="6"/>
    </row>
    <row r="129" spans="1:15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15" ht="14.1" customHeight="1" x14ac:dyDescent="0.2">
      <c r="A130" s="1"/>
      <c r="B130" s="1"/>
      <c r="C130" s="2" t="s">
        <v>131</v>
      </c>
      <c r="D130" s="1"/>
      <c r="E130" s="1"/>
      <c r="F130" s="9">
        <v>23028.307373399999</v>
      </c>
      <c r="G130" s="10">
        <v>4.6574899000000003E-2</v>
      </c>
      <c r="H130" s="6"/>
    </row>
    <row r="131" spans="1:15" ht="14.1" customHeight="1" x14ac:dyDescent="0.2">
      <c r="A131" s="1"/>
      <c r="B131" s="1"/>
      <c r="C131" s="12"/>
      <c r="D131" s="1"/>
      <c r="E131" s="1"/>
      <c r="F131" s="1"/>
      <c r="G131" s="1"/>
      <c r="H131" s="6"/>
    </row>
    <row r="132" spans="1:15" ht="14.1" customHeight="1" x14ac:dyDescent="0.2">
      <c r="A132" s="1"/>
      <c r="B132" s="1"/>
      <c r="C132" s="2" t="s">
        <v>132</v>
      </c>
      <c r="D132" s="1"/>
      <c r="E132" s="1"/>
      <c r="F132" s="1"/>
      <c r="G132" s="1"/>
      <c r="H132" s="6"/>
    </row>
    <row r="133" spans="1:15" ht="14.1" customHeight="1" x14ac:dyDescent="0.2">
      <c r="A133" s="1"/>
      <c r="B133" s="1"/>
      <c r="C133" s="2" t="s">
        <v>133</v>
      </c>
      <c r="D133" s="1"/>
      <c r="E133" s="1"/>
      <c r="F133" s="1"/>
      <c r="G133" s="1"/>
      <c r="H133" s="6"/>
    </row>
    <row r="134" spans="1:15" ht="14.1" customHeight="1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6"/>
    </row>
    <row r="135" spans="1:15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15" ht="14.1" customHeight="1" x14ac:dyDescent="0.2">
      <c r="A136" s="1"/>
      <c r="B136" s="1"/>
      <c r="C136" s="2" t="s">
        <v>134</v>
      </c>
      <c r="D136" s="1"/>
      <c r="E136" s="1"/>
      <c r="F136" s="1"/>
      <c r="G136" s="1"/>
      <c r="H136" s="6"/>
    </row>
    <row r="137" spans="1:15" ht="14.1" customHeight="1" x14ac:dyDescent="0.2">
      <c r="A137" s="1"/>
      <c r="B137" s="1"/>
      <c r="C137" s="2" t="s">
        <v>135</v>
      </c>
      <c r="D137" s="1"/>
      <c r="E137" s="1"/>
      <c r="F137" s="1"/>
      <c r="G137" s="1"/>
      <c r="H137" s="6"/>
      <c r="J137" s="66"/>
      <c r="K137" s="66"/>
      <c r="L137" s="66"/>
      <c r="M137" s="66"/>
      <c r="N137" s="66"/>
      <c r="O137" s="66"/>
    </row>
    <row r="138" spans="1:15" ht="14.1" customHeight="1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6"/>
    </row>
    <row r="139" spans="1:15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15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15" ht="24" customHeight="1" x14ac:dyDescent="0.2">
      <c r="A141" s="1"/>
      <c r="B141" s="1"/>
      <c r="C141" s="2" t="s">
        <v>136</v>
      </c>
      <c r="D141" s="1"/>
      <c r="E141" s="1"/>
      <c r="F141" s="12"/>
      <c r="G141" s="12"/>
      <c r="H141" s="6"/>
    </row>
    <row r="142" spans="1:15" ht="14.1" customHeight="1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6"/>
    </row>
    <row r="143" spans="1:15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15" ht="14.1" customHeight="1" x14ac:dyDescent="0.2">
      <c r="A144" s="1"/>
      <c r="B144" s="4"/>
      <c r="C144" s="4"/>
      <c r="D144" s="2"/>
      <c r="E144" s="1"/>
      <c r="F144" s="4"/>
      <c r="G144" s="8"/>
      <c r="H144" s="6"/>
    </row>
    <row r="145" spans="1:8" ht="18" customHeight="1" x14ac:dyDescent="0.2">
      <c r="A145" s="8"/>
      <c r="B145" s="4"/>
      <c r="C145" s="4" t="s">
        <v>137</v>
      </c>
      <c r="D145" s="4"/>
      <c r="E145" s="8"/>
      <c r="F145" s="6">
        <v>664.88043327000003</v>
      </c>
      <c r="G145" s="7">
        <v>1.344725E-3</v>
      </c>
      <c r="H145" s="6"/>
    </row>
    <row r="146" spans="1:8" ht="14.1" customHeight="1" x14ac:dyDescent="0.2">
      <c r="A146" s="11"/>
      <c r="B146" s="11"/>
      <c r="C146" s="2" t="s">
        <v>138</v>
      </c>
      <c r="D146" s="15"/>
      <c r="E146" s="15"/>
      <c r="F146" s="9">
        <v>494436.01264817</v>
      </c>
      <c r="G146" s="10">
        <v>0.99999999900000003</v>
      </c>
      <c r="H146" s="6"/>
    </row>
    <row r="147" spans="1:8" ht="14.1" customHeight="1" x14ac:dyDescent="0.2">
      <c r="A147" s="18"/>
      <c r="B147" s="297" t="s">
        <v>112</v>
      </c>
      <c r="C147" s="297"/>
      <c r="D147" s="297"/>
      <c r="E147" s="297"/>
      <c r="F147" s="297"/>
      <c r="G147" s="20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294" t="s">
        <v>140</v>
      </c>
      <c r="C149" s="295"/>
      <c r="D149" s="12" t="s">
        <v>112</v>
      </c>
      <c r="E149" s="21"/>
      <c r="F149" s="20"/>
      <c r="G149" s="20"/>
    </row>
    <row r="150" spans="1:8" ht="29.1" customHeight="1" x14ac:dyDescent="0.2">
      <c r="A150" s="18"/>
      <c r="B150" s="288" t="s">
        <v>141</v>
      </c>
      <c r="C150" s="289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288" t="s">
        <v>143</v>
      </c>
      <c r="C151" s="289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288" t="s">
        <v>144</v>
      </c>
      <c r="C152" s="289"/>
      <c r="D152" s="12" t="s">
        <v>112</v>
      </c>
      <c r="E152" s="21"/>
      <c r="F152" s="20"/>
      <c r="G152" s="20"/>
    </row>
    <row r="153" spans="1:8" ht="24" customHeight="1" x14ac:dyDescent="0.2">
      <c r="A153" s="22"/>
      <c r="B153" s="23" t="s">
        <v>112</v>
      </c>
      <c r="C153" s="23" t="s">
        <v>145</v>
      </c>
      <c r="D153" s="23" t="s">
        <v>146</v>
      </c>
      <c r="E153" s="22"/>
      <c r="F153" s="22"/>
      <c r="G153" s="22"/>
    </row>
    <row r="154" spans="1:8" ht="18" customHeight="1" x14ac:dyDescent="0.2">
      <c r="A154" s="22"/>
      <c r="B154" s="23" t="s">
        <v>147</v>
      </c>
      <c r="C154" s="23" t="s">
        <v>148</v>
      </c>
      <c r="D154" s="23" t="s">
        <v>149</v>
      </c>
      <c r="E154" s="22"/>
      <c r="F154" s="22"/>
      <c r="G154" s="22"/>
    </row>
    <row r="155" spans="1:8" ht="17.100000000000001" customHeight="1" x14ac:dyDescent="0.2">
      <c r="A155" s="22"/>
      <c r="B155" s="4" t="s">
        <v>150</v>
      </c>
      <c r="C155" s="24">
        <v>59.0687</v>
      </c>
      <c r="D155" s="24">
        <v>57.798499999999997</v>
      </c>
      <c r="E155" s="22"/>
      <c r="F155" s="19"/>
      <c r="G155" s="25"/>
    </row>
    <row r="156" spans="1:8" ht="17.100000000000001" customHeight="1" x14ac:dyDescent="0.2">
      <c r="A156" s="22"/>
      <c r="B156" s="4" t="s">
        <v>1114</v>
      </c>
      <c r="C156" s="24">
        <v>27.340900000000001</v>
      </c>
      <c r="D156" s="24">
        <v>26.7529</v>
      </c>
      <c r="E156" s="22"/>
      <c r="F156" s="19"/>
      <c r="G156" s="25"/>
    </row>
    <row r="157" spans="1:8" ht="17.100000000000001" customHeight="1" x14ac:dyDescent="0.2">
      <c r="A157" s="22"/>
      <c r="B157" s="4" t="s">
        <v>151</v>
      </c>
      <c r="C157" s="24">
        <v>54.458399999999997</v>
      </c>
      <c r="D157" s="24">
        <v>53.235500000000002</v>
      </c>
      <c r="E157" s="22"/>
      <c r="F157" s="19"/>
      <c r="G157" s="25"/>
    </row>
    <row r="158" spans="1:8" ht="17.100000000000001" customHeight="1" x14ac:dyDescent="0.2">
      <c r="A158" s="22"/>
      <c r="B158" s="4" t="s">
        <v>1115</v>
      </c>
      <c r="C158" s="24">
        <v>24.676600000000001</v>
      </c>
      <c r="D158" s="24">
        <v>24.122499999999999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288" t="s">
        <v>1116</v>
      </c>
      <c r="C160" s="289"/>
      <c r="D160" s="2" t="s">
        <v>142</v>
      </c>
      <c r="E160" s="22"/>
      <c r="F160" s="22"/>
      <c r="G160" s="22"/>
    </row>
    <row r="161" spans="1:7" ht="14.1" customHeight="1" x14ac:dyDescent="0.2">
      <c r="A161" s="22"/>
      <c r="B161" s="19"/>
      <c r="C161" s="19"/>
      <c r="D161" s="22"/>
      <c r="E161" s="22"/>
      <c r="F161" s="22"/>
      <c r="G161" s="22"/>
    </row>
    <row r="162" spans="1:7" ht="29.1" customHeight="1" x14ac:dyDescent="0.2">
      <c r="A162" s="22"/>
      <c r="B162" s="288" t="s">
        <v>153</v>
      </c>
      <c r="C162" s="289"/>
      <c r="D162" s="2" t="s">
        <v>142</v>
      </c>
      <c r="E162" s="22"/>
      <c r="F162" s="22"/>
      <c r="G162" s="22"/>
    </row>
    <row r="163" spans="1:7" ht="29.1" customHeight="1" x14ac:dyDescent="0.2">
      <c r="A163" s="22"/>
      <c r="B163" s="288" t="s">
        <v>154</v>
      </c>
      <c r="C163" s="289"/>
      <c r="D163" s="2" t="s">
        <v>142</v>
      </c>
      <c r="E163" s="22"/>
      <c r="F163" s="22"/>
      <c r="G163" s="22"/>
    </row>
    <row r="164" spans="1:7" ht="17.100000000000001" customHeight="1" x14ac:dyDescent="0.2">
      <c r="A164" s="22"/>
      <c r="B164" s="288" t="s">
        <v>155</v>
      </c>
      <c r="C164" s="289"/>
      <c r="D164" s="26">
        <v>0.42042201219073344</v>
      </c>
      <c r="E164" s="22"/>
      <c r="F164" s="19"/>
      <c r="G164" s="25"/>
    </row>
    <row r="165" spans="1:7" ht="17.100000000000001" customHeight="1" x14ac:dyDescent="0.2">
      <c r="A165" s="22"/>
      <c r="B165" s="288" t="s">
        <v>156</v>
      </c>
      <c r="C165" s="289"/>
      <c r="D165" s="2" t="s">
        <v>142</v>
      </c>
      <c r="E165" s="22"/>
      <c r="F165" s="22"/>
      <c r="G165" s="22"/>
    </row>
  </sheetData>
  <mergeCells count="14">
    <mergeCell ref="A1:H1"/>
    <mergeCell ref="A2:H2"/>
    <mergeCell ref="A3:H3"/>
    <mergeCell ref="B149:C149"/>
    <mergeCell ref="J2:N2"/>
    <mergeCell ref="B147:F147"/>
    <mergeCell ref="B164:C164"/>
    <mergeCell ref="B165:C165"/>
    <mergeCell ref="B150:C150"/>
    <mergeCell ref="B151:C151"/>
    <mergeCell ref="B152:C152"/>
    <mergeCell ref="B160:C160"/>
    <mergeCell ref="B162:C162"/>
    <mergeCell ref="B163:C16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448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76859</v>
      </c>
      <c r="F7" s="6">
        <v>927.84184800000003</v>
      </c>
      <c r="G7" s="7">
        <v>3.1477610000000003E-2</v>
      </c>
      <c r="H7" s="6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151986</v>
      </c>
      <c r="F8" s="6">
        <v>920.04725099999996</v>
      </c>
      <c r="G8" s="7">
        <v>3.1213173E-2</v>
      </c>
      <c r="H8" s="6"/>
    </row>
    <row r="9" spans="1:14" x14ac:dyDescent="0.2">
      <c r="A9" s="3">
        <v>3</v>
      </c>
      <c r="B9" s="4" t="s">
        <v>261</v>
      </c>
      <c r="C9" s="4" t="s">
        <v>262</v>
      </c>
      <c r="D9" s="4" t="s">
        <v>955</v>
      </c>
      <c r="E9" s="5">
        <v>446179</v>
      </c>
      <c r="F9" s="6">
        <v>882.98824100000002</v>
      </c>
      <c r="G9" s="7">
        <v>2.9955922999999999E-2</v>
      </c>
      <c r="H9" s="6"/>
    </row>
    <row r="10" spans="1:14" ht="25.5" x14ac:dyDescent="0.2">
      <c r="A10" s="3">
        <v>4</v>
      </c>
      <c r="B10" s="4" t="s">
        <v>217</v>
      </c>
      <c r="C10" s="4" t="s">
        <v>218</v>
      </c>
      <c r="D10" s="4" t="s">
        <v>946</v>
      </c>
      <c r="E10" s="5">
        <v>20969</v>
      </c>
      <c r="F10" s="6">
        <v>824.45914200000004</v>
      </c>
      <c r="G10" s="7">
        <v>2.7970287E-2</v>
      </c>
      <c r="H10" s="6"/>
    </row>
    <row r="11" spans="1:14" x14ac:dyDescent="0.2">
      <c r="A11" s="3">
        <v>5</v>
      </c>
      <c r="B11" s="4" t="s">
        <v>195</v>
      </c>
      <c r="C11" s="4" t="s">
        <v>196</v>
      </c>
      <c r="D11" s="4" t="s">
        <v>71</v>
      </c>
      <c r="E11" s="5">
        <v>114509</v>
      </c>
      <c r="F11" s="6">
        <v>727.30391350000002</v>
      </c>
      <c r="G11" s="7">
        <v>2.4674235999999999E-2</v>
      </c>
      <c r="H11" s="6"/>
    </row>
    <row r="12" spans="1:14" x14ac:dyDescent="0.2">
      <c r="A12" s="3">
        <v>6</v>
      </c>
      <c r="B12" s="4" t="s">
        <v>229</v>
      </c>
      <c r="C12" s="4" t="s">
        <v>230</v>
      </c>
      <c r="D12" s="4" t="s">
        <v>26</v>
      </c>
      <c r="E12" s="5">
        <v>78752</v>
      </c>
      <c r="F12" s="6">
        <v>702.31033600000001</v>
      </c>
      <c r="G12" s="7">
        <v>2.3826312999999998E-2</v>
      </c>
      <c r="H12" s="6"/>
    </row>
    <row r="13" spans="1:14" x14ac:dyDescent="0.2">
      <c r="A13" s="3">
        <v>7</v>
      </c>
      <c r="B13" s="4" t="s">
        <v>30</v>
      </c>
      <c r="C13" s="4" t="s">
        <v>31</v>
      </c>
      <c r="D13" s="4" t="s">
        <v>26</v>
      </c>
      <c r="E13" s="5">
        <v>40694</v>
      </c>
      <c r="F13" s="6">
        <v>697.06787299999996</v>
      </c>
      <c r="G13" s="7">
        <v>2.364846E-2</v>
      </c>
      <c r="H13" s="6"/>
    </row>
    <row r="14" spans="1:14" x14ac:dyDescent="0.2">
      <c r="A14" s="3">
        <v>8</v>
      </c>
      <c r="B14" s="4" t="s">
        <v>36</v>
      </c>
      <c r="C14" s="4" t="s">
        <v>37</v>
      </c>
      <c r="D14" s="4" t="s">
        <v>26</v>
      </c>
      <c r="E14" s="5">
        <v>51448</v>
      </c>
      <c r="F14" s="6">
        <v>686.77935200000002</v>
      </c>
      <c r="G14" s="7">
        <v>2.3299415E-2</v>
      </c>
      <c r="H14" s="6"/>
    </row>
    <row r="15" spans="1:14" x14ac:dyDescent="0.2">
      <c r="A15" s="3">
        <v>9</v>
      </c>
      <c r="B15" s="4" t="s">
        <v>207</v>
      </c>
      <c r="C15" s="4" t="s">
        <v>208</v>
      </c>
      <c r="D15" s="4" t="s">
        <v>948</v>
      </c>
      <c r="E15" s="5">
        <v>134532</v>
      </c>
      <c r="F15" s="6">
        <v>674.27438400000005</v>
      </c>
      <c r="G15" s="7">
        <v>2.2875176000000001E-2</v>
      </c>
      <c r="H15" s="6"/>
    </row>
    <row r="16" spans="1:14" ht="15" x14ac:dyDescent="0.2">
      <c r="A16" s="3">
        <v>10</v>
      </c>
      <c r="B16" s="4" t="s">
        <v>193</v>
      </c>
      <c r="C16" s="4" t="s">
        <v>194</v>
      </c>
      <c r="D16" s="4" t="s">
        <v>947</v>
      </c>
      <c r="E16" s="5">
        <v>121156</v>
      </c>
      <c r="F16" s="6">
        <v>671.02250600000002</v>
      </c>
      <c r="G16" s="7">
        <v>2.2764854000000001E-2</v>
      </c>
      <c r="H16" s="6"/>
      <c r="J16" s="192" t="s">
        <v>1141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942</v>
      </c>
      <c r="E17" s="5">
        <v>52435</v>
      </c>
      <c r="F17" s="6">
        <v>640.62461250000001</v>
      </c>
      <c r="G17" s="7">
        <v>2.1733586999999999E-2</v>
      </c>
      <c r="H17" s="6"/>
    </row>
    <row r="18" spans="1:8" x14ac:dyDescent="0.2">
      <c r="A18" s="3">
        <v>12</v>
      </c>
      <c r="B18" s="4" t="s">
        <v>166</v>
      </c>
      <c r="C18" s="4" t="s">
        <v>167</v>
      </c>
      <c r="D18" s="4" t="s">
        <v>82</v>
      </c>
      <c r="E18" s="5">
        <v>566165</v>
      </c>
      <c r="F18" s="6">
        <v>631.84014000000002</v>
      </c>
      <c r="G18" s="7">
        <v>2.1435567999999999E-2</v>
      </c>
      <c r="H18" s="6"/>
    </row>
    <row r="19" spans="1:8" x14ac:dyDescent="0.2">
      <c r="A19" s="3">
        <v>13</v>
      </c>
      <c r="B19" s="4" t="s">
        <v>236</v>
      </c>
      <c r="C19" s="4" t="s">
        <v>237</v>
      </c>
      <c r="D19" s="4" t="s">
        <v>947</v>
      </c>
      <c r="E19" s="5">
        <v>14600</v>
      </c>
      <c r="F19" s="6">
        <v>630.81489999999997</v>
      </c>
      <c r="G19" s="7">
        <v>2.1400786000000002E-2</v>
      </c>
      <c r="H19" s="6"/>
    </row>
    <row r="20" spans="1:8" x14ac:dyDescent="0.2">
      <c r="A20" s="3">
        <v>14</v>
      </c>
      <c r="B20" s="4" t="s">
        <v>209</v>
      </c>
      <c r="C20" s="4" t="s">
        <v>210</v>
      </c>
      <c r="D20" s="4" t="s">
        <v>934</v>
      </c>
      <c r="E20" s="5">
        <v>31521</v>
      </c>
      <c r="F20" s="6">
        <v>614.407332</v>
      </c>
      <c r="G20" s="7">
        <v>2.0844148999999999E-2</v>
      </c>
      <c r="H20" s="6"/>
    </row>
    <row r="21" spans="1:8" x14ac:dyDescent="0.2">
      <c r="A21" s="3">
        <v>15</v>
      </c>
      <c r="B21" s="4" t="s">
        <v>263</v>
      </c>
      <c r="C21" s="4" t="s">
        <v>264</v>
      </c>
      <c r="D21" s="4" t="s">
        <v>26</v>
      </c>
      <c r="E21" s="5">
        <v>89666</v>
      </c>
      <c r="F21" s="6">
        <v>605.33516599999996</v>
      </c>
      <c r="G21" s="7">
        <v>2.0536371000000001E-2</v>
      </c>
      <c r="H21" s="6"/>
    </row>
    <row r="22" spans="1:8" ht="25.5" x14ac:dyDescent="0.2">
      <c r="A22" s="3">
        <v>16</v>
      </c>
      <c r="B22" s="4" t="s">
        <v>313</v>
      </c>
      <c r="C22" s="4" t="s">
        <v>314</v>
      </c>
      <c r="D22" s="4" t="s">
        <v>71</v>
      </c>
      <c r="E22" s="5">
        <v>148880</v>
      </c>
      <c r="F22" s="6">
        <v>572.89023999999995</v>
      </c>
      <c r="G22" s="7">
        <v>1.9435655999999999E-2</v>
      </c>
      <c r="H22" s="6"/>
    </row>
    <row r="23" spans="1:8" x14ac:dyDescent="0.2">
      <c r="A23" s="3">
        <v>17</v>
      </c>
      <c r="B23" s="4" t="s">
        <v>168</v>
      </c>
      <c r="C23" s="4" t="s">
        <v>169</v>
      </c>
      <c r="D23" s="4" t="s">
        <v>944</v>
      </c>
      <c r="E23" s="5">
        <v>42900</v>
      </c>
      <c r="F23" s="6">
        <v>569.47604999999999</v>
      </c>
      <c r="G23" s="7">
        <v>1.9319828000000001E-2</v>
      </c>
      <c r="H23" s="6"/>
    </row>
    <row r="24" spans="1:8" x14ac:dyDescent="0.2">
      <c r="A24" s="3">
        <v>18</v>
      </c>
      <c r="B24" s="4" t="s">
        <v>231</v>
      </c>
      <c r="C24" s="4" t="s">
        <v>232</v>
      </c>
      <c r="D24" s="4" t="s">
        <v>233</v>
      </c>
      <c r="E24" s="5">
        <v>178406</v>
      </c>
      <c r="F24" s="6">
        <v>502.837311</v>
      </c>
      <c r="G24" s="7">
        <v>1.7059067000000001E-2</v>
      </c>
      <c r="H24" s="6"/>
    </row>
    <row r="25" spans="1:8" x14ac:dyDescent="0.2">
      <c r="A25" s="3">
        <v>19</v>
      </c>
      <c r="B25" s="4" t="s">
        <v>92</v>
      </c>
      <c r="C25" s="4" t="s">
        <v>93</v>
      </c>
      <c r="D25" s="4" t="s">
        <v>923</v>
      </c>
      <c r="E25" s="5">
        <v>108670</v>
      </c>
      <c r="F25" s="6">
        <v>495.31786</v>
      </c>
      <c r="G25" s="7">
        <v>1.6803965000000001E-2</v>
      </c>
      <c r="H25" s="6"/>
    </row>
    <row r="26" spans="1:8" x14ac:dyDescent="0.2">
      <c r="A26" s="3">
        <v>20</v>
      </c>
      <c r="B26" s="4" t="s">
        <v>178</v>
      </c>
      <c r="C26" s="4" t="s">
        <v>179</v>
      </c>
      <c r="D26" s="4" t="s">
        <v>934</v>
      </c>
      <c r="E26" s="5">
        <v>32420</v>
      </c>
      <c r="F26" s="6">
        <v>463.67084</v>
      </c>
      <c r="G26" s="7">
        <v>1.5730320999999998E-2</v>
      </c>
      <c r="H26" s="6"/>
    </row>
    <row r="27" spans="1:8" x14ac:dyDescent="0.2">
      <c r="A27" s="3">
        <v>21</v>
      </c>
      <c r="B27" s="4" t="s">
        <v>197</v>
      </c>
      <c r="C27" s="4" t="s">
        <v>198</v>
      </c>
      <c r="D27" s="4" t="s">
        <v>82</v>
      </c>
      <c r="E27" s="5">
        <v>64874</v>
      </c>
      <c r="F27" s="6">
        <v>455.67497600000002</v>
      </c>
      <c r="G27" s="7">
        <v>1.5459056000000001E-2</v>
      </c>
      <c r="H27" s="6"/>
    </row>
    <row r="28" spans="1:8" x14ac:dyDescent="0.2">
      <c r="A28" s="3">
        <v>22</v>
      </c>
      <c r="B28" s="4" t="s">
        <v>199</v>
      </c>
      <c r="C28" s="4" t="s">
        <v>200</v>
      </c>
      <c r="D28" s="4" t="s">
        <v>940</v>
      </c>
      <c r="E28" s="5">
        <v>24341</v>
      </c>
      <c r="F28" s="6">
        <v>454.11786649999999</v>
      </c>
      <c r="G28" s="7">
        <v>1.540623E-2</v>
      </c>
      <c r="H28" s="6"/>
    </row>
    <row r="29" spans="1:8" ht="25.5" x14ac:dyDescent="0.2">
      <c r="A29" s="3">
        <v>23</v>
      </c>
      <c r="B29" s="4" t="s">
        <v>158</v>
      </c>
      <c r="C29" s="4" t="s">
        <v>159</v>
      </c>
      <c r="D29" s="4" t="s">
        <v>941</v>
      </c>
      <c r="E29" s="5">
        <v>62196</v>
      </c>
      <c r="F29" s="6">
        <v>441.00073800000001</v>
      </c>
      <c r="G29" s="7">
        <v>1.4961222999999999E-2</v>
      </c>
      <c r="H29" s="6"/>
    </row>
    <row r="30" spans="1:8" ht="25.5" x14ac:dyDescent="0.2">
      <c r="A30" s="3">
        <v>24</v>
      </c>
      <c r="B30" s="4" t="s">
        <v>449</v>
      </c>
      <c r="C30" s="4" t="s">
        <v>450</v>
      </c>
      <c r="D30" s="4" t="s">
        <v>936</v>
      </c>
      <c r="E30" s="5">
        <v>22331</v>
      </c>
      <c r="F30" s="6">
        <v>427.91778749999997</v>
      </c>
      <c r="G30" s="7">
        <v>1.4517376E-2</v>
      </c>
      <c r="H30" s="6"/>
    </row>
    <row r="31" spans="1:8" x14ac:dyDescent="0.2">
      <c r="A31" s="3">
        <v>25</v>
      </c>
      <c r="B31" s="4" t="s">
        <v>203</v>
      </c>
      <c r="C31" s="4" t="s">
        <v>204</v>
      </c>
      <c r="D31" s="4" t="s">
        <v>82</v>
      </c>
      <c r="E31" s="5">
        <v>70489</v>
      </c>
      <c r="F31" s="6">
        <v>417.40061350000002</v>
      </c>
      <c r="G31" s="7">
        <v>1.4160574E-2</v>
      </c>
      <c r="H31" s="6"/>
    </row>
    <row r="32" spans="1:8" x14ac:dyDescent="0.2">
      <c r="A32" s="3">
        <v>26</v>
      </c>
      <c r="B32" s="4" t="s">
        <v>201</v>
      </c>
      <c r="C32" s="4" t="s">
        <v>202</v>
      </c>
      <c r="D32" s="4" t="s">
        <v>923</v>
      </c>
      <c r="E32" s="5">
        <v>37395</v>
      </c>
      <c r="F32" s="6">
        <v>406.27797750000002</v>
      </c>
      <c r="G32" s="7">
        <v>1.3783231999999999E-2</v>
      </c>
      <c r="H32" s="6"/>
    </row>
    <row r="33" spans="1:8" ht="25.5" x14ac:dyDescent="0.2">
      <c r="A33" s="3">
        <v>27</v>
      </c>
      <c r="B33" s="4" t="s">
        <v>42</v>
      </c>
      <c r="C33" s="4" t="s">
        <v>43</v>
      </c>
      <c r="D33" s="4" t="s">
        <v>935</v>
      </c>
      <c r="E33" s="5">
        <v>15321</v>
      </c>
      <c r="F33" s="6">
        <v>405.56219099999998</v>
      </c>
      <c r="G33" s="7">
        <v>1.3758948999999999E-2</v>
      </c>
      <c r="H33" s="6"/>
    </row>
    <row r="34" spans="1:8" x14ac:dyDescent="0.2">
      <c r="A34" s="3">
        <v>28</v>
      </c>
      <c r="B34" s="4" t="s">
        <v>265</v>
      </c>
      <c r="C34" s="4" t="s">
        <v>266</v>
      </c>
      <c r="D34" s="4" t="s">
        <v>942</v>
      </c>
      <c r="E34" s="5">
        <v>43772</v>
      </c>
      <c r="F34" s="6">
        <v>387.447858</v>
      </c>
      <c r="G34" s="7">
        <v>1.3144408999999999E-2</v>
      </c>
      <c r="H34" s="6"/>
    </row>
    <row r="35" spans="1:8" x14ac:dyDescent="0.2">
      <c r="A35" s="3">
        <v>29</v>
      </c>
      <c r="B35" s="4" t="s">
        <v>451</v>
      </c>
      <c r="C35" s="4" t="s">
        <v>452</v>
      </c>
      <c r="D35" s="4" t="s">
        <v>71</v>
      </c>
      <c r="E35" s="5">
        <v>39266</v>
      </c>
      <c r="F35" s="6">
        <v>369.787555</v>
      </c>
      <c r="G35" s="7">
        <v>1.2545272E-2</v>
      </c>
      <c r="H35" s="6"/>
    </row>
    <row r="36" spans="1:8" ht="25.5" x14ac:dyDescent="0.2">
      <c r="A36" s="3">
        <v>30</v>
      </c>
      <c r="B36" s="4" t="s">
        <v>170</v>
      </c>
      <c r="C36" s="4" t="s">
        <v>171</v>
      </c>
      <c r="D36" s="4" t="s">
        <v>945</v>
      </c>
      <c r="E36" s="5">
        <v>91812</v>
      </c>
      <c r="F36" s="6">
        <v>349.25284799999997</v>
      </c>
      <c r="G36" s="7">
        <v>1.1848618999999999E-2</v>
      </c>
      <c r="H36" s="6"/>
    </row>
    <row r="37" spans="1:8" x14ac:dyDescent="0.2">
      <c r="A37" s="3">
        <v>31</v>
      </c>
      <c r="B37" s="4" t="s">
        <v>269</v>
      </c>
      <c r="C37" s="4" t="s">
        <v>270</v>
      </c>
      <c r="D37" s="4" t="s">
        <v>26</v>
      </c>
      <c r="E37" s="5">
        <v>17215</v>
      </c>
      <c r="F37" s="6">
        <v>341.57142249999998</v>
      </c>
      <c r="G37" s="7">
        <v>1.1588022E-2</v>
      </c>
      <c r="H37" s="6"/>
    </row>
    <row r="38" spans="1:8" ht="25.5" x14ac:dyDescent="0.2">
      <c r="A38" s="3">
        <v>32</v>
      </c>
      <c r="B38" s="4" t="s">
        <v>180</v>
      </c>
      <c r="C38" s="4" t="s">
        <v>181</v>
      </c>
      <c r="D38" s="4" t="s">
        <v>941</v>
      </c>
      <c r="E38" s="5">
        <v>65640</v>
      </c>
      <c r="F38" s="6">
        <v>332.76197999999999</v>
      </c>
      <c r="G38" s="7">
        <v>1.1289156E-2</v>
      </c>
      <c r="H38" s="6"/>
    </row>
    <row r="39" spans="1:8" x14ac:dyDescent="0.2">
      <c r="A39" s="3">
        <v>33</v>
      </c>
      <c r="B39" s="4" t="s">
        <v>453</v>
      </c>
      <c r="C39" s="4" t="s">
        <v>454</v>
      </c>
      <c r="D39" s="4" t="s">
        <v>938</v>
      </c>
      <c r="E39" s="5">
        <v>47169</v>
      </c>
      <c r="F39" s="6">
        <v>331.45656300000002</v>
      </c>
      <c r="G39" s="7">
        <v>1.1244868999999999E-2</v>
      </c>
      <c r="H39" s="6"/>
    </row>
    <row r="40" spans="1:8" ht="25.5" x14ac:dyDescent="0.2">
      <c r="A40" s="3">
        <v>34</v>
      </c>
      <c r="B40" s="4" t="s">
        <v>248</v>
      </c>
      <c r="C40" s="4" t="s">
        <v>249</v>
      </c>
      <c r="D40" s="4" t="s">
        <v>950</v>
      </c>
      <c r="E40" s="5">
        <v>60329</v>
      </c>
      <c r="F40" s="6">
        <v>320.31682549999999</v>
      </c>
      <c r="G40" s="7">
        <v>1.0866947E-2</v>
      </c>
      <c r="H40" s="6"/>
    </row>
    <row r="41" spans="1:8" x14ac:dyDescent="0.2">
      <c r="A41" s="3">
        <v>35</v>
      </c>
      <c r="B41" s="4" t="s">
        <v>85</v>
      </c>
      <c r="C41" s="4" t="s">
        <v>86</v>
      </c>
      <c r="D41" s="4" t="s">
        <v>64</v>
      </c>
      <c r="E41" s="5">
        <v>20392</v>
      </c>
      <c r="F41" s="6">
        <v>319.12460399999998</v>
      </c>
      <c r="G41" s="7">
        <v>1.0826499999999999E-2</v>
      </c>
      <c r="H41" s="6"/>
    </row>
    <row r="42" spans="1:8" ht="25.5" x14ac:dyDescent="0.2">
      <c r="A42" s="3">
        <v>36</v>
      </c>
      <c r="B42" s="4" t="s">
        <v>215</v>
      </c>
      <c r="C42" s="4" t="s">
        <v>216</v>
      </c>
      <c r="D42" s="4" t="s">
        <v>945</v>
      </c>
      <c r="E42" s="5">
        <v>53835</v>
      </c>
      <c r="F42" s="6">
        <v>314.04647249999999</v>
      </c>
      <c r="G42" s="7">
        <v>1.0654221E-2</v>
      </c>
      <c r="H42" s="6"/>
    </row>
    <row r="43" spans="1:8" ht="25.5" x14ac:dyDescent="0.2">
      <c r="A43" s="3">
        <v>37</v>
      </c>
      <c r="B43" s="4" t="s">
        <v>184</v>
      </c>
      <c r="C43" s="4" t="s">
        <v>185</v>
      </c>
      <c r="D43" s="4" t="s">
        <v>935</v>
      </c>
      <c r="E43" s="5">
        <v>154145</v>
      </c>
      <c r="F43" s="6">
        <v>310.60217499999999</v>
      </c>
      <c r="G43" s="7">
        <v>1.0537371E-2</v>
      </c>
      <c r="H43" s="6"/>
    </row>
    <row r="44" spans="1:8" x14ac:dyDescent="0.2">
      <c r="A44" s="3">
        <v>38</v>
      </c>
      <c r="B44" s="4" t="s">
        <v>341</v>
      </c>
      <c r="C44" s="4" t="s">
        <v>342</v>
      </c>
      <c r="D44" s="4" t="s">
        <v>940</v>
      </c>
      <c r="E44" s="5">
        <v>7944</v>
      </c>
      <c r="F44" s="6">
        <v>302.80542000000003</v>
      </c>
      <c r="G44" s="7">
        <v>1.0272862000000001E-2</v>
      </c>
      <c r="H44" s="6"/>
    </row>
    <row r="45" spans="1:8" x14ac:dyDescent="0.2">
      <c r="A45" s="3">
        <v>39</v>
      </c>
      <c r="B45" s="4" t="s">
        <v>164</v>
      </c>
      <c r="C45" s="4" t="s">
        <v>165</v>
      </c>
      <c r="D45" s="4" t="s">
        <v>944</v>
      </c>
      <c r="E45" s="5">
        <v>63091</v>
      </c>
      <c r="F45" s="6">
        <v>300.7232515</v>
      </c>
      <c r="G45" s="7">
        <v>1.0202223E-2</v>
      </c>
      <c r="H45" s="6"/>
    </row>
    <row r="46" spans="1:8" x14ac:dyDescent="0.2">
      <c r="A46" s="3">
        <v>40</v>
      </c>
      <c r="B46" s="4" t="s">
        <v>213</v>
      </c>
      <c r="C46" s="4" t="s">
        <v>214</v>
      </c>
      <c r="D46" s="4" t="s">
        <v>64</v>
      </c>
      <c r="E46" s="5">
        <v>343241</v>
      </c>
      <c r="F46" s="6">
        <v>296.73184450000002</v>
      </c>
      <c r="G46" s="7">
        <v>1.0066812E-2</v>
      </c>
      <c r="H46" s="6"/>
    </row>
    <row r="47" spans="1:8" x14ac:dyDescent="0.2">
      <c r="A47" s="3">
        <v>41</v>
      </c>
      <c r="B47" s="4" t="s">
        <v>455</v>
      </c>
      <c r="C47" s="4" t="s">
        <v>456</v>
      </c>
      <c r="D47" s="4" t="s">
        <v>71</v>
      </c>
      <c r="E47" s="5">
        <v>25758</v>
      </c>
      <c r="F47" s="6">
        <v>292.701033</v>
      </c>
      <c r="G47" s="7">
        <v>9.9300640000000006E-3</v>
      </c>
      <c r="H47" s="6"/>
    </row>
    <row r="48" spans="1:8" x14ac:dyDescent="0.2">
      <c r="A48" s="3">
        <v>42</v>
      </c>
      <c r="B48" s="4" t="s">
        <v>32</v>
      </c>
      <c r="C48" s="4" t="s">
        <v>33</v>
      </c>
      <c r="D48" s="4" t="s">
        <v>26</v>
      </c>
      <c r="E48" s="5">
        <v>8669</v>
      </c>
      <c r="F48" s="6">
        <v>288.68636900000001</v>
      </c>
      <c r="G48" s="7">
        <v>9.7938639999999993E-3</v>
      </c>
      <c r="H48" s="6"/>
    </row>
    <row r="49" spans="1:8" x14ac:dyDescent="0.2">
      <c r="A49" s="3">
        <v>43</v>
      </c>
      <c r="B49" s="4" t="s">
        <v>457</v>
      </c>
      <c r="C49" s="4" t="s">
        <v>458</v>
      </c>
      <c r="D49" s="4" t="s">
        <v>26</v>
      </c>
      <c r="E49" s="5">
        <v>37025</v>
      </c>
      <c r="F49" s="6">
        <v>283.92621250000002</v>
      </c>
      <c r="G49" s="7">
        <v>9.6323729999999996E-3</v>
      </c>
      <c r="H49" s="6"/>
    </row>
    <row r="50" spans="1:8" x14ac:dyDescent="0.2">
      <c r="A50" s="3">
        <v>44</v>
      </c>
      <c r="B50" s="4" t="s">
        <v>459</v>
      </c>
      <c r="C50" s="4" t="s">
        <v>460</v>
      </c>
      <c r="D50" s="4" t="s">
        <v>26</v>
      </c>
      <c r="E50" s="5">
        <v>45600</v>
      </c>
      <c r="F50" s="6">
        <v>277.27080000000001</v>
      </c>
      <c r="G50" s="7">
        <v>9.4065840000000008E-3</v>
      </c>
      <c r="H50" s="6"/>
    </row>
    <row r="51" spans="1:8" x14ac:dyDescent="0.2">
      <c r="A51" s="3">
        <v>45</v>
      </c>
      <c r="B51" s="4" t="s">
        <v>205</v>
      </c>
      <c r="C51" s="4" t="s">
        <v>206</v>
      </c>
      <c r="D51" s="4" t="s">
        <v>64</v>
      </c>
      <c r="E51" s="5">
        <v>76646</v>
      </c>
      <c r="F51" s="6">
        <v>275.88727699999998</v>
      </c>
      <c r="G51" s="7">
        <v>9.3596470000000005E-3</v>
      </c>
      <c r="H51" s="6"/>
    </row>
    <row r="52" spans="1:8" x14ac:dyDescent="0.2">
      <c r="A52" s="3">
        <v>46</v>
      </c>
      <c r="B52" s="4" t="s">
        <v>267</v>
      </c>
      <c r="C52" s="4" t="s">
        <v>268</v>
      </c>
      <c r="D52" s="4" t="s">
        <v>82</v>
      </c>
      <c r="E52" s="5">
        <v>471010</v>
      </c>
      <c r="F52" s="6">
        <v>268.94671</v>
      </c>
      <c r="G52" s="7">
        <v>9.1241840000000005E-3</v>
      </c>
      <c r="H52" s="6"/>
    </row>
    <row r="53" spans="1:8" x14ac:dyDescent="0.2">
      <c r="A53" s="3">
        <v>47</v>
      </c>
      <c r="B53" s="4" t="s">
        <v>461</v>
      </c>
      <c r="C53" s="4" t="s">
        <v>462</v>
      </c>
      <c r="D53" s="4" t="s">
        <v>82</v>
      </c>
      <c r="E53" s="5">
        <v>25528</v>
      </c>
      <c r="F53" s="6">
        <v>264.52113600000001</v>
      </c>
      <c r="G53" s="7">
        <v>8.9740429999999993E-3</v>
      </c>
      <c r="H53" s="6"/>
    </row>
    <row r="54" spans="1:8" ht="25.5" x14ac:dyDescent="0.2">
      <c r="A54" s="3">
        <v>48</v>
      </c>
      <c r="B54" s="4" t="s">
        <v>162</v>
      </c>
      <c r="C54" s="4" t="s">
        <v>163</v>
      </c>
      <c r="D54" s="4" t="s">
        <v>943</v>
      </c>
      <c r="E54" s="5">
        <v>253152</v>
      </c>
      <c r="F54" s="6">
        <v>260.36683199999999</v>
      </c>
      <c r="G54" s="7">
        <v>8.8331060000000003E-3</v>
      </c>
      <c r="H54" s="6"/>
    </row>
    <row r="55" spans="1:8" ht="25.5" x14ac:dyDescent="0.2">
      <c r="A55" s="3">
        <v>49</v>
      </c>
      <c r="B55" s="4" t="s">
        <v>221</v>
      </c>
      <c r="C55" s="4" t="s">
        <v>222</v>
      </c>
      <c r="D55" s="4" t="s">
        <v>945</v>
      </c>
      <c r="E55" s="5">
        <v>15127</v>
      </c>
      <c r="F55" s="6">
        <v>260.01800300000002</v>
      </c>
      <c r="G55" s="7">
        <v>8.8212719999999998E-3</v>
      </c>
      <c r="H55" s="6"/>
    </row>
    <row r="56" spans="1:8" ht="51" x14ac:dyDescent="0.2">
      <c r="A56" s="3">
        <v>50</v>
      </c>
      <c r="B56" s="4" t="s">
        <v>238</v>
      </c>
      <c r="C56" s="4" t="s">
        <v>239</v>
      </c>
      <c r="D56" s="4" t="s">
        <v>939</v>
      </c>
      <c r="E56" s="5">
        <v>108094</v>
      </c>
      <c r="F56" s="6">
        <v>259.26345900000001</v>
      </c>
      <c r="G56" s="7">
        <v>8.7956739999999999E-3</v>
      </c>
      <c r="H56" s="6"/>
    </row>
    <row r="57" spans="1:8" ht="25.5" x14ac:dyDescent="0.2">
      <c r="A57" s="3">
        <v>51</v>
      </c>
      <c r="B57" s="4" t="s">
        <v>219</v>
      </c>
      <c r="C57" s="4" t="s">
        <v>220</v>
      </c>
      <c r="D57" s="4" t="s">
        <v>950</v>
      </c>
      <c r="E57" s="5">
        <v>63174</v>
      </c>
      <c r="F57" s="6">
        <v>257.84468099999998</v>
      </c>
      <c r="G57" s="7">
        <v>8.7475409999999993E-3</v>
      </c>
      <c r="H57" s="6"/>
    </row>
    <row r="58" spans="1:8" ht="25.5" x14ac:dyDescent="0.2">
      <c r="A58" s="3">
        <v>52</v>
      </c>
      <c r="B58" s="4" t="s">
        <v>256</v>
      </c>
      <c r="C58" s="4" t="s">
        <v>257</v>
      </c>
      <c r="D58" s="4" t="s">
        <v>954</v>
      </c>
      <c r="E58" s="5">
        <v>75410</v>
      </c>
      <c r="F58" s="6">
        <v>252.58579499999999</v>
      </c>
      <c r="G58" s="7">
        <v>8.5691299999999995E-3</v>
      </c>
      <c r="H58" s="6"/>
    </row>
    <row r="59" spans="1:8" x14ac:dyDescent="0.2">
      <c r="A59" s="3">
        <v>53</v>
      </c>
      <c r="B59" s="4" t="s">
        <v>463</v>
      </c>
      <c r="C59" s="4" t="s">
        <v>464</v>
      </c>
      <c r="D59" s="4" t="s">
        <v>952</v>
      </c>
      <c r="E59" s="5">
        <v>26884</v>
      </c>
      <c r="F59" s="6">
        <v>252.158478</v>
      </c>
      <c r="G59" s="7">
        <v>8.5546330000000007E-3</v>
      </c>
      <c r="H59" s="6"/>
    </row>
    <row r="60" spans="1:8" x14ac:dyDescent="0.2">
      <c r="A60" s="3">
        <v>54</v>
      </c>
      <c r="B60" s="4" t="s">
        <v>225</v>
      </c>
      <c r="C60" s="4" t="s">
        <v>226</v>
      </c>
      <c r="D60" s="4" t="s">
        <v>951</v>
      </c>
      <c r="E60" s="5">
        <v>79781</v>
      </c>
      <c r="F60" s="6">
        <v>250.15332549999999</v>
      </c>
      <c r="G60" s="7">
        <v>8.4866070000000002E-3</v>
      </c>
      <c r="H60" s="6"/>
    </row>
    <row r="61" spans="1:8" ht="25.5" x14ac:dyDescent="0.2">
      <c r="A61" s="3">
        <v>55</v>
      </c>
      <c r="B61" s="4" t="s">
        <v>172</v>
      </c>
      <c r="C61" s="4" t="s">
        <v>173</v>
      </c>
      <c r="D61" s="4" t="s">
        <v>71</v>
      </c>
      <c r="E61" s="5">
        <v>12284</v>
      </c>
      <c r="F61" s="6">
        <v>241.69384199999999</v>
      </c>
      <c r="G61" s="7">
        <v>8.1996129999999997E-3</v>
      </c>
      <c r="H61" s="6"/>
    </row>
    <row r="62" spans="1:8" x14ac:dyDescent="0.2">
      <c r="A62" s="3">
        <v>56</v>
      </c>
      <c r="B62" s="4" t="s">
        <v>244</v>
      </c>
      <c r="C62" s="4" t="s">
        <v>245</v>
      </c>
      <c r="D62" s="4" t="s">
        <v>13</v>
      </c>
      <c r="E62" s="5">
        <v>85308</v>
      </c>
      <c r="F62" s="6">
        <v>230.587524</v>
      </c>
      <c r="G62" s="7">
        <v>7.8228250000000003E-3</v>
      </c>
      <c r="H62" s="6"/>
    </row>
    <row r="63" spans="1:8" x14ac:dyDescent="0.2">
      <c r="A63" s="3">
        <v>57</v>
      </c>
      <c r="B63" s="4" t="s">
        <v>465</v>
      </c>
      <c r="C63" s="4" t="s">
        <v>466</v>
      </c>
      <c r="D63" s="4" t="s">
        <v>944</v>
      </c>
      <c r="E63" s="5">
        <v>342887</v>
      </c>
      <c r="F63" s="6">
        <v>221.33355850000001</v>
      </c>
      <c r="G63" s="7">
        <v>7.5088780000000001E-3</v>
      </c>
      <c r="H63" s="6"/>
    </row>
    <row r="64" spans="1:8" x14ac:dyDescent="0.2">
      <c r="A64" s="3">
        <v>58</v>
      </c>
      <c r="B64" s="4" t="s">
        <v>227</v>
      </c>
      <c r="C64" s="4" t="s">
        <v>228</v>
      </c>
      <c r="D64" s="4" t="s">
        <v>26</v>
      </c>
      <c r="E64" s="5">
        <v>21784</v>
      </c>
      <c r="F64" s="6">
        <v>220.91154399999999</v>
      </c>
      <c r="G64" s="7">
        <v>7.4945610000000003E-3</v>
      </c>
      <c r="H64" s="6"/>
    </row>
    <row r="65" spans="1:8" ht="25.5" x14ac:dyDescent="0.2">
      <c r="A65" s="3">
        <v>59</v>
      </c>
      <c r="B65" s="4" t="s">
        <v>186</v>
      </c>
      <c r="C65" s="4" t="s">
        <v>187</v>
      </c>
      <c r="D65" s="4" t="s">
        <v>946</v>
      </c>
      <c r="E65" s="5">
        <v>23134</v>
      </c>
      <c r="F65" s="6">
        <v>219.64576299999999</v>
      </c>
      <c r="G65" s="7">
        <v>7.4516189999999996E-3</v>
      </c>
      <c r="H65" s="6"/>
    </row>
    <row r="66" spans="1:8" ht="38.25" x14ac:dyDescent="0.2">
      <c r="A66" s="3">
        <v>60</v>
      </c>
      <c r="B66" s="4" t="s">
        <v>254</v>
      </c>
      <c r="C66" s="4" t="s">
        <v>255</v>
      </c>
      <c r="D66" s="4" t="s">
        <v>953</v>
      </c>
      <c r="E66" s="5">
        <v>28337</v>
      </c>
      <c r="F66" s="6">
        <v>197.02716100000001</v>
      </c>
      <c r="G66" s="7">
        <v>6.6842689999999996E-3</v>
      </c>
      <c r="H66" s="6"/>
    </row>
    <row r="67" spans="1:8" x14ac:dyDescent="0.2">
      <c r="A67" s="3">
        <v>61</v>
      </c>
      <c r="B67" s="4" t="s">
        <v>271</v>
      </c>
      <c r="C67" s="4" t="s">
        <v>272</v>
      </c>
      <c r="D67" s="4" t="s">
        <v>940</v>
      </c>
      <c r="E67" s="5">
        <v>31011</v>
      </c>
      <c r="F67" s="6">
        <v>193.446618</v>
      </c>
      <c r="G67" s="7">
        <v>6.5627960000000001E-3</v>
      </c>
      <c r="H67" s="6"/>
    </row>
    <row r="68" spans="1:8" x14ac:dyDescent="0.2">
      <c r="A68" s="3">
        <v>62</v>
      </c>
      <c r="B68" s="4" t="s">
        <v>234</v>
      </c>
      <c r="C68" s="4" t="s">
        <v>235</v>
      </c>
      <c r="D68" s="4" t="s">
        <v>952</v>
      </c>
      <c r="E68" s="5">
        <v>129053</v>
      </c>
      <c r="F68" s="6">
        <v>191.12749299999999</v>
      </c>
      <c r="G68" s="7">
        <v>6.484119E-3</v>
      </c>
      <c r="H68" s="6"/>
    </row>
    <row r="69" spans="1:8" x14ac:dyDescent="0.2">
      <c r="A69" s="3">
        <v>63</v>
      </c>
      <c r="B69" s="4" t="s">
        <v>176</v>
      </c>
      <c r="C69" s="4" t="s">
        <v>177</v>
      </c>
      <c r="D69" s="4" t="s">
        <v>944</v>
      </c>
      <c r="E69" s="5">
        <v>172816</v>
      </c>
      <c r="F69" s="6">
        <v>175.40824000000001</v>
      </c>
      <c r="G69" s="7">
        <v>5.950833E-3</v>
      </c>
      <c r="H69" s="6"/>
    </row>
    <row r="70" spans="1:8" x14ac:dyDescent="0.2">
      <c r="A70" s="3">
        <v>64</v>
      </c>
      <c r="B70" s="4" t="s">
        <v>223</v>
      </c>
      <c r="C70" s="4" t="s">
        <v>224</v>
      </c>
      <c r="D70" s="4" t="s">
        <v>71</v>
      </c>
      <c r="E70" s="5">
        <v>66104</v>
      </c>
      <c r="F70" s="6">
        <v>162.94636</v>
      </c>
      <c r="G70" s="7">
        <v>5.5280559999999999E-3</v>
      </c>
      <c r="H70" s="6"/>
    </row>
    <row r="71" spans="1:8" x14ac:dyDescent="0.2">
      <c r="A71" s="3">
        <v>65</v>
      </c>
      <c r="B71" s="4" t="s">
        <v>174</v>
      </c>
      <c r="C71" s="4" t="s">
        <v>175</v>
      </c>
      <c r="D71" s="4" t="s">
        <v>71</v>
      </c>
      <c r="E71" s="5">
        <v>25180</v>
      </c>
      <c r="F71" s="6">
        <v>159.81746000000001</v>
      </c>
      <c r="G71" s="7">
        <v>5.4219059999999998E-3</v>
      </c>
      <c r="H71" s="6"/>
    </row>
    <row r="72" spans="1:8" x14ac:dyDescent="0.2">
      <c r="A72" s="3">
        <v>66</v>
      </c>
      <c r="B72" s="4" t="s">
        <v>246</v>
      </c>
      <c r="C72" s="4" t="s">
        <v>247</v>
      </c>
      <c r="D72" s="4" t="s">
        <v>91</v>
      </c>
      <c r="E72" s="5">
        <v>20203</v>
      </c>
      <c r="F72" s="6">
        <v>158.71476799999999</v>
      </c>
      <c r="G72" s="7">
        <v>5.3844970000000002E-3</v>
      </c>
      <c r="H72" s="6"/>
    </row>
    <row r="73" spans="1:8" x14ac:dyDescent="0.2">
      <c r="A73" s="3">
        <v>67</v>
      </c>
      <c r="B73" s="4" t="s">
        <v>240</v>
      </c>
      <c r="C73" s="4" t="s">
        <v>241</v>
      </c>
      <c r="D73" s="4" t="s">
        <v>940</v>
      </c>
      <c r="E73" s="5">
        <v>27652</v>
      </c>
      <c r="F73" s="6">
        <v>144.77204599999999</v>
      </c>
      <c r="G73" s="7">
        <v>4.9114809999999997E-3</v>
      </c>
      <c r="H73" s="6"/>
    </row>
    <row r="74" spans="1:8" ht="25.5" x14ac:dyDescent="0.2">
      <c r="A74" s="3">
        <v>68</v>
      </c>
      <c r="B74" s="4" t="s">
        <v>277</v>
      </c>
      <c r="C74" s="4" t="s">
        <v>278</v>
      </c>
      <c r="D74" s="4" t="s">
        <v>946</v>
      </c>
      <c r="E74" s="5">
        <v>23384</v>
      </c>
      <c r="F74" s="6">
        <v>138.994496</v>
      </c>
      <c r="G74" s="7">
        <v>4.7154739999999999E-3</v>
      </c>
      <c r="H74" s="6"/>
    </row>
    <row r="75" spans="1:8" x14ac:dyDescent="0.2">
      <c r="A75" s="3">
        <v>69</v>
      </c>
      <c r="B75" s="4" t="s">
        <v>279</v>
      </c>
      <c r="C75" s="4" t="s">
        <v>280</v>
      </c>
      <c r="D75" s="4" t="s">
        <v>18</v>
      </c>
      <c r="E75" s="5">
        <v>64744</v>
      </c>
      <c r="F75" s="6">
        <v>138.681648</v>
      </c>
      <c r="G75" s="7">
        <v>4.7048610000000003E-3</v>
      </c>
      <c r="H75" s="6"/>
    </row>
    <row r="76" spans="1:8" ht="25.5" x14ac:dyDescent="0.2">
      <c r="A76" s="3">
        <v>70</v>
      </c>
      <c r="B76" s="4" t="s">
        <v>188</v>
      </c>
      <c r="C76" s="4" t="s">
        <v>189</v>
      </c>
      <c r="D76" s="4" t="s">
        <v>945</v>
      </c>
      <c r="E76" s="5">
        <v>3032</v>
      </c>
      <c r="F76" s="6">
        <v>134.52529200000001</v>
      </c>
      <c r="G76" s="7">
        <v>4.563854E-3</v>
      </c>
      <c r="H76" s="6"/>
    </row>
    <row r="77" spans="1:8" ht="25.5" x14ac:dyDescent="0.2">
      <c r="A77" s="3">
        <v>71</v>
      </c>
      <c r="B77" s="4" t="s">
        <v>281</v>
      </c>
      <c r="C77" s="4" t="s">
        <v>282</v>
      </c>
      <c r="D77" s="4" t="s">
        <v>945</v>
      </c>
      <c r="E77" s="5">
        <v>49569</v>
      </c>
      <c r="F77" s="6">
        <v>124.071207</v>
      </c>
      <c r="G77" s="7">
        <v>4.209193E-3</v>
      </c>
      <c r="H77" s="6"/>
    </row>
    <row r="78" spans="1:8" x14ac:dyDescent="0.2">
      <c r="A78" s="3">
        <v>72</v>
      </c>
      <c r="B78" s="4" t="s">
        <v>106</v>
      </c>
      <c r="C78" s="4" t="s">
        <v>107</v>
      </c>
      <c r="D78" s="4" t="s">
        <v>923</v>
      </c>
      <c r="E78" s="5">
        <v>161000</v>
      </c>
      <c r="F78" s="6">
        <v>122.199</v>
      </c>
      <c r="G78" s="7">
        <v>4.1456770000000004E-3</v>
      </c>
      <c r="H78" s="6"/>
    </row>
    <row r="79" spans="1:8" x14ac:dyDescent="0.2">
      <c r="A79" s="3">
        <v>73</v>
      </c>
      <c r="B79" s="4" t="s">
        <v>250</v>
      </c>
      <c r="C79" s="4" t="s">
        <v>251</v>
      </c>
      <c r="D79" s="4" t="s">
        <v>302</v>
      </c>
      <c r="E79" s="5">
        <v>13773</v>
      </c>
      <c r="F79" s="6">
        <v>89.503840499999995</v>
      </c>
      <c r="G79" s="7">
        <v>3.036473E-3</v>
      </c>
      <c r="H79" s="6"/>
    </row>
    <row r="80" spans="1:8" ht="25.5" x14ac:dyDescent="0.2">
      <c r="A80" s="3">
        <v>74</v>
      </c>
      <c r="B80" s="4" t="s">
        <v>258</v>
      </c>
      <c r="C80" s="4" t="s">
        <v>259</v>
      </c>
      <c r="D80" s="4" t="s">
        <v>946</v>
      </c>
      <c r="E80" s="5">
        <v>9154</v>
      </c>
      <c r="F80" s="6">
        <v>81.466023000000007</v>
      </c>
      <c r="G80" s="7">
        <v>2.7637849999999999E-3</v>
      </c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9">
        <v>27817.094262499999</v>
      </c>
      <c r="G81" s="10">
        <v>0.94371216000000002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113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114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115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116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117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118</v>
      </c>
      <c r="D98" s="1"/>
      <c r="E98" s="1"/>
      <c r="F98" s="9">
        <v>27817.094262499999</v>
      </c>
      <c r="G98" s="10">
        <v>0.94371216000000002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120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121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122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123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124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125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126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127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128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129</v>
      </c>
      <c r="D126" s="4"/>
      <c r="E126" s="8"/>
      <c r="F126" s="6">
        <v>1585.4665001000001</v>
      </c>
      <c r="G126" s="7">
        <v>5.3787934000000003E-2</v>
      </c>
      <c r="H126" s="6">
        <v>3.9343919198424624</v>
      </c>
    </row>
    <row r="127" spans="1:8" ht="17.100000000000001" customHeight="1" x14ac:dyDescent="0.2">
      <c r="A127" s="3">
        <v>2</v>
      </c>
      <c r="B127" s="4"/>
      <c r="C127" s="4" t="s">
        <v>130</v>
      </c>
      <c r="D127" s="4"/>
      <c r="E127" s="8"/>
      <c r="F127" s="6">
        <v>104.1326955</v>
      </c>
      <c r="G127" s="7">
        <v>3.5327660000000001E-3</v>
      </c>
      <c r="H127" s="6">
        <v>3.8</v>
      </c>
    </row>
    <row r="128" spans="1:8" ht="14.1" customHeight="1" x14ac:dyDescent="0.2">
      <c r="A128" s="1"/>
      <c r="B128" s="1"/>
      <c r="C128" s="2" t="s">
        <v>111</v>
      </c>
      <c r="D128" s="1"/>
      <c r="E128" s="1" t="s">
        <v>112</v>
      </c>
      <c r="F128" s="9">
        <v>1689.5991956</v>
      </c>
      <c r="G128" s="10">
        <v>5.7320700000000002E-2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131</v>
      </c>
      <c r="D130" s="1"/>
      <c r="E130" s="1"/>
      <c r="F130" s="9">
        <v>1689.5991956</v>
      </c>
      <c r="G130" s="10">
        <v>5.7320700000000002E-2</v>
      </c>
      <c r="H130" s="6"/>
    </row>
    <row r="131" spans="1:8" ht="14.1" customHeight="1" x14ac:dyDescent="0.2">
      <c r="A131" s="1"/>
      <c r="B131" s="1"/>
      <c r="C131" s="12"/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132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133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134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135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4" customHeight="1" x14ac:dyDescent="0.2">
      <c r="A141" s="1"/>
      <c r="B141" s="1"/>
      <c r="C141" s="2" t="s">
        <v>136</v>
      </c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14.1" customHeight="1" x14ac:dyDescent="0.2">
      <c r="A144" s="1"/>
      <c r="B144" s="4"/>
      <c r="C144" s="4"/>
      <c r="D144" s="2"/>
      <c r="E144" s="1"/>
      <c r="F144" s="4"/>
      <c r="G144" s="8"/>
      <c r="H144" s="6"/>
    </row>
    <row r="145" spans="1:8" ht="18" customHeight="1" x14ac:dyDescent="0.2">
      <c r="A145" s="8"/>
      <c r="B145" s="4"/>
      <c r="C145" s="4" t="s">
        <v>137</v>
      </c>
      <c r="D145" s="4"/>
      <c r="E145" s="8"/>
      <c r="F145" s="6">
        <v>-30.444867890000001</v>
      </c>
      <c r="G145" s="7">
        <v>-1.0328609999999999E-3</v>
      </c>
      <c r="H145" s="6"/>
    </row>
    <row r="146" spans="1:8" ht="14.1" customHeight="1" x14ac:dyDescent="0.2">
      <c r="A146" s="11"/>
      <c r="B146" s="11"/>
      <c r="C146" s="2" t="s">
        <v>138</v>
      </c>
      <c r="D146" s="15"/>
      <c r="E146" s="15"/>
      <c r="F146" s="9">
        <v>29476.248590210002</v>
      </c>
      <c r="G146" s="10">
        <v>0.99999999900000003</v>
      </c>
      <c r="H146" s="6"/>
    </row>
    <row r="147" spans="1:8" ht="14.1" customHeight="1" x14ac:dyDescent="0.2">
      <c r="A147" s="18"/>
      <c r="B147" s="297" t="s">
        <v>112</v>
      </c>
      <c r="C147" s="297"/>
      <c r="D147" s="297"/>
      <c r="E147" s="297"/>
      <c r="F147" s="297"/>
      <c r="G147" s="20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294" t="s">
        <v>140</v>
      </c>
      <c r="C149" s="295"/>
      <c r="D149" s="12" t="s">
        <v>112</v>
      </c>
      <c r="E149" s="21"/>
      <c r="F149" s="20"/>
      <c r="G149" s="20"/>
    </row>
    <row r="150" spans="1:8" ht="29.1" customHeight="1" x14ac:dyDescent="0.2">
      <c r="A150" s="18"/>
      <c r="B150" s="288" t="s">
        <v>141</v>
      </c>
      <c r="C150" s="289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288" t="s">
        <v>143</v>
      </c>
      <c r="C151" s="289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288" t="s">
        <v>144</v>
      </c>
      <c r="C152" s="289"/>
      <c r="D152" s="12" t="s">
        <v>112</v>
      </c>
      <c r="E152" s="21"/>
      <c r="F152" s="20"/>
      <c r="G152" s="20"/>
    </row>
    <row r="153" spans="1:8" ht="24" customHeight="1" x14ac:dyDescent="0.2">
      <c r="A153" s="22"/>
      <c r="B153" s="23" t="s">
        <v>112</v>
      </c>
      <c r="C153" s="23" t="s">
        <v>145</v>
      </c>
      <c r="D153" s="23" t="s">
        <v>146</v>
      </c>
      <c r="E153" s="22"/>
      <c r="F153" s="22"/>
      <c r="G153" s="22"/>
    </row>
    <row r="154" spans="1:8" ht="18" customHeight="1" x14ac:dyDescent="0.2">
      <c r="A154" s="22"/>
      <c r="B154" s="23" t="s">
        <v>147</v>
      </c>
      <c r="C154" s="23" t="s">
        <v>148</v>
      </c>
      <c r="D154" s="23" t="s">
        <v>149</v>
      </c>
      <c r="E154" s="22"/>
      <c r="F154" s="22"/>
      <c r="G154" s="22"/>
    </row>
    <row r="155" spans="1:8" ht="17.100000000000001" customHeight="1" x14ac:dyDescent="0.2">
      <c r="A155" s="22"/>
      <c r="B155" s="4" t="s">
        <v>150</v>
      </c>
      <c r="C155" s="24">
        <v>16.189699999999998</v>
      </c>
      <c r="D155" s="24">
        <v>16.332000000000001</v>
      </c>
      <c r="E155" s="22"/>
      <c r="F155" s="19"/>
      <c r="G155" s="25"/>
    </row>
    <row r="156" spans="1:8" ht="17.100000000000001" customHeight="1" x14ac:dyDescent="0.2">
      <c r="A156" s="22"/>
      <c r="B156" s="4" t="s">
        <v>1114</v>
      </c>
      <c r="C156" s="24">
        <v>16.189699999999998</v>
      </c>
      <c r="D156" s="24">
        <v>16.332000000000001</v>
      </c>
      <c r="E156" s="22"/>
      <c r="F156" s="19"/>
      <c r="G156" s="25"/>
    </row>
    <row r="157" spans="1:8" ht="17.100000000000001" customHeight="1" x14ac:dyDescent="0.2">
      <c r="A157" s="22"/>
      <c r="B157" s="4" t="s">
        <v>151</v>
      </c>
      <c r="C157" s="24">
        <v>15.7492</v>
      </c>
      <c r="D157" s="24">
        <v>15.8819</v>
      </c>
      <c r="E157" s="22"/>
      <c r="F157" s="19"/>
      <c r="G157" s="25"/>
    </row>
    <row r="158" spans="1:8" ht="17.100000000000001" customHeight="1" x14ac:dyDescent="0.2">
      <c r="A158" s="22"/>
      <c r="B158" s="4" t="s">
        <v>1115</v>
      </c>
      <c r="C158" s="24">
        <v>15.7492</v>
      </c>
      <c r="D158" s="24">
        <v>15.8819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288" t="s">
        <v>1116</v>
      </c>
      <c r="C160" s="289"/>
      <c r="D160" s="2" t="s">
        <v>142</v>
      </c>
      <c r="E160" s="22"/>
      <c r="F160" s="22"/>
      <c r="G160" s="22"/>
    </row>
    <row r="161" spans="1:15" ht="14.1" customHeight="1" x14ac:dyDescent="0.2">
      <c r="A161" s="22"/>
      <c r="B161" s="19"/>
      <c r="C161" s="19"/>
      <c r="D161" s="22"/>
      <c r="E161" s="22"/>
      <c r="F161" s="22"/>
      <c r="G161" s="22"/>
    </row>
    <row r="162" spans="1:15" ht="29.1" customHeight="1" x14ac:dyDescent="0.2">
      <c r="A162" s="22"/>
      <c r="B162" s="288" t="s">
        <v>153</v>
      </c>
      <c r="C162" s="289"/>
      <c r="D162" s="2" t="s">
        <v>142</v>
      </c>
      <c r="E162" s="22"/>
      <c r="F162" s="22"/>
      <c r="G162" s="22"/>
    </row>
    <row r="163" spans="1:15" ht="29.1" customHeight="1" x14ac:dyDescent="0.2">
      <c r="A163" s="22"/>
      <c r="B163" s="288" t="s">
        <v>154</v>
      </c>
      <c r="C163" s="289"/>
      <c r="D163" s="2" t="s">
        <v>142</v>
      </c>
      <c r="E163" s="22"/>
      <c r="F163" s="22"/>
      <c r="G163" s="22"/>
    </row>
    <row r="164" spans="1:15" ht="17.100000000000001" customHeight="1" x14ac:dyDescent="0.2">
      <c r="A164" s="22"/>
      <c r="B164" s="288" t="s">
        <v>155</v>
      </c>
      <c r="C164" s="289"/>
      <c r="D164" s="26">
        <v>0.35173075826828781</v>
      </c>
      <c r="E164" s="22"/>
      <c r="F164" s="19"/>
      <c r="G164" s="25"/>
    </row>
    <row r="165" spans="1:15" ht="17.100000000000001" customHeight="1" x14ac:dyDescent="0.2">
      <c r="A165" s="22"/>
      <c r="B165" s="288" t="s">
        <v>156</v>
      </c>
      <c r="C165" s="289"/>
      <c r="D165" s="2" t="s">
        <v>142</v>
      </c>
      <c r="E165" s="22"/>
      <c r="F165" s="22"/>
      <c r="G165" s="22"/>
      <c r="J165" s="66"/>
      <c r="K165" s="66"/>
      <c r="L165" s="66"/>
      <c r="M165" s="66"/>
      <c r="N165" s="66"/>
      <c r="O165" s="66"/>
    </row>
  </sheetData>
  <mergeCells count="14">
    <mergeCell ref="A1:H1"/>
    <mergeCell ref="A2:H2"/>
    <mergeCell ref="A3:H3"/>
    <mergeCell ref="B149:C149"/>
    <mergeCell ref="J2:N2"/>
    <mergeCell ref="B147:F147"/>
    <mergeCell ref="B164:C164"/>
    <mergeCell ref="B165:C165"/>
    <mergeCell ref="B150:C150"/>
    <mergeCell ref="B151:C151"/>
    <mergeCell ref="B152:C152"/>
    <mergeCell ref="B160:C160"/>
    <mergeCell ref="B162:C162"/>
    <mergeCell ref="B163:C16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467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84041</v>
      </c>
      <c r="F7" s="6">
        <v>1014.542952</v>
      </c>
      <c r="G7" s="7">
        <v>3.2195366000000003E-2</v>
      </c>
      <c r="H7" s="6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162335</v>
      </c>
      <c r="F8" s="6">
        <v>982.69492249999996</v>
      </c>
      <c r="G8" s="7">
        <v>3.1184705E-2</v>
      </c>
      <c r="H8" s="6"/>
    </row>
    <row r="9" spans="1:14" x14ac:dyDescent="0.2">
      <c r="A9" s="3">
        <v>3</v>
      </c>
      <c r="B9" s="4" t="s">
        <v>261</v>
      </c>
      <c r="C9" s="4" t="s">
        <v>262</v>
      </c>
      <c r="D9" s="4" t="s">
        <v>955</v>
      </c>
      <c r="E9" s="5">
        <v>479000</v>
      </c>
      <c r="F9" s="6">
        <v>947.94100000000003</v>
      </c>
      <c r="G9" s="7">
        <v>3.0081829000000001E-2</v>
      </c>
      <c r="H9" s="6"/>
    </row>
    <row r="10" spans="1:14" ht="25.5" x14ac:dyDescent="0.2">
      <c r="A10" s="3">
        <v>4</v>
      </c>
      <c r="B10" s="4" t="s">
        <v>217</v>
      </c>
      <c r="C10" s="4" t="s">
        <v>218</v>
      </c>
      <c r="D10" s="4" t="s">
        <v>946</v>
      </c>
      <c r="E10" s="5">
        <v>22704</v>
      </c>
      <c r="F10" s="6">
        <v>892.67587200000003</v>
      </c>
      <c r="G10" s="7">
        <v>2.8328052999999999E-2</v>
      </c>
      <c r="H10" s="6"/>
    </row>
    <row r="11" spans="1:14" x14ac:dyDescent="0.2">
      <c r="A11" s="3">
        <v>5</v>
      </c>
      <c r="B11" s="4" t="s">
        <v>195</v>
      </c>
      <c r="C11" s="4" t="s">
        <v>196</v>
      </c>
      <c r="D11" s="4" t="s">
        <v>71</v>
      </c>
      <c r="E11" s="5">
        <v>135633</v>
      </c>
      <c r="F11" s="6">
        <v>861.47299950000001</v>
      </c>
      <c r="G11" s="7">
        <v>2.7337864999999999E-2</v>
      </c>
      <c r="H11" s="6"/>
    </row>
    <row r="12" spans="1:14" x14ac:dyDescent="0.2">
      <c r="A12" s="3">
        <v>6</v>
      </c>
      <c r="B12" s="4" t="s">
        <v>229</v>
      </c>
      <c r="C12" s="4" t="s">
        <v>230</v>
      </c>
      <c r="D12" s="4" t="s">
        <v>26</v>
      </c>
      <c r="E12" s="5">
        <v>90886</v>
      </c>
      <c r="F12" s="6">
        <v>810.52134799999999</v>
      </c>
      <c r="G12" s="7">
        <v>2.5720973000000001E-2</v>
      </c>
      <c r="H12" s="6"/>
    </row>
    <row r="13" spans="1:14" x14ac:dyDescent="0.2">
      <c r="A13" s="3">
        <v>7</v>
      </c>
      <c r="B13" s="4" t="s">
        <v>30</v>
      </c>
      <c r="C13" s="4" t="s">
        <v>31</v>
      </c>
      <c r="D13" s="4" t="s">
        <v>26</v>
      </c>
      <c r="E13" s="5">
        <v>43750</v>
      </c>
      <c r="F13" s="6">
        <v>749.41562499999998</v>
      </c>
      <c r="G13" s="7">
        <v>2.3781851999999999E-2</v>
      </c>
      <c r="H13" s="6"/>
    </row>
    <row r="14" spans="1:14" x14ac:dyDescent="0.2">
      <c r="A14" s="3">
        <v>8</v>
      </c>
      <c r="B14" s="4" t="s">
        <v>36</v>
      </c>
      <c r="C14" s="4" t="s">
        <v>37</v>
      </c>
      <c r="D14" s="4" t="s">
        <v>26</v>
      </c>
      <c r="E14" s="5">
        <v>55216</v>
      </c>
      <c r="F14" s="6">
        <v>737.07838400000003</v>
      </c>
      <c r="G14" s="7">
        <v>2.3390344E-2</v>
      </c>
      <c r="H14" s="6"/>
    </row>
    <row r="15" spans="1:14" x14ac:dyDescent="0.2">
      <c r="A15" s="3">
        <v>9</v>
      </c>
      <c r="B15" s="4" t="s">
        <v>207</v>
      </c>
      <c r="C15" s="4" t="s">
        <v>208</v>
      </c>
      <c r="D15" s="4" t="s">
        <v>948</v>
      </c>
      <c r="E15" s="5">
        <v>143859</v>
      </c>
      <c r="F15" s="6">
        <v>721.02130799999998</v>
      </c>
      <c r="G15" s="7">
        <v>2.2880791000000001E-2</v>
      </c>
      <c r="H15" s="6"/>
    </row>
    <row r="16" spans="1:14" ht="15" x14ac:dyDescent="0.2">
      <c r="A16" s="3">
        <v>10</v>
      </c>
      <c r="B16" s="4" t="s">
        <v>193</v>
      </c>
      <c r="C16" s="4" t="s">
        <v>194</v>
      </c>
      <c r="D16" s="4" t="s">
        <v>947</v>
      </c>
      <c r="E16" s="5">
        <v>129586</v>
      </c>
      <c r="F16" s="6">
        <v>717.71206099999995</v>
      </c>
      <c r="G16" s="7">
        <v>2.2775775000000002E-2</v>
      </c>
      <c r="H16" s="6"/>
      <c r="J16" s="192" t="s">
        <v>1148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942</v>
      </c>
      <c r="E17" s="5">
        <v>56083</v>
      </c>
      <c r="F17" s="6">
        <v>685.1940525</v>
      </c>
      <c r="G17" s="7">
        <v>2.1743853E-2</v>
      </c>
      <c r="H17" s="6"/>
    </row>
    <row r="18" spans="1:8" x14ac:dyDescent="0.2">
      <c r="A18" s="3">
        <v>12</v>
      </c>
      <c r="B18" s="4" t="s">
        <v>236</v>
      </c>
      <c r="C18" s="4" t="s">
        <v>237</v>
      </c>
      <c r="D18" s="4" t="s">
        <v>947</v>
      </c>
      <c r="E18" s="5">
        <v>15854</v>
      </c>
      <c r="F18" s="6">
        <v>684.99585100000002</v>
      </c>
      <c r="G18" s="7">
        <v>2.1737564000000001E-2</v>
      </c>
      <c r="H18" s="6"/>
    </row>
    <row r="19" spans="1:8" x14ac:dyDescent="0.2">
      <c r="A19" s="3">
        <v>13</v>
      </c>
      <c r="B19" s="4" t="s">
        <v>166</v>
      </c>
      <c r="C19" s="4" t="s">
        <v>167</v>
      </c>
      <c r="D19" s="4" t="s">
        <v>82</v>
      </c>
      <c r="E19" s="5">
        <v>612949</v>
      </c>
      <c r="F19" s="6">
        <v>684.05108399999995</v>
      </c>
      <c r="G19" s="7">
        <v>2.1707582999999999E-2</v>
      </c>
      <c r="H19" s="6"/>
    </row>
    <row r="20" spans="1:8" x14ac:dyDescent="0.2">
      <c r="A20" s="3">
        <v>14</v>
      </c>
      <c r="B20" s="4" t="s">
        <v>263</v>
      </c>
      <c r="C20" s="4" t="s">
        <v>264</v>
      </c>
      <c r="D20" s="4" t="s">
        <v>26</v>
      </c>
      <c r="E20" s="5">
        <v>98456</v>
      </c>
      <c r="F20" s="6">
        <v>664.67645600000003</v>
      </c>
      <c r="G20" s="7">
        <v>2.1092751E-2</v>
      </c>
      <c r="H20" s="6"/>
    </row>
    <row r="21" spans="1:8" x14ac:dyDescent="0.2">
      <c r="A21" s="3">
        <v>15</v>
      </c>
      <c r="B21" s="4" t="s">
        <v>209</v>
      </c>
      <c r="C21" s="4" t="s">
        <v>210</v>
      </c>
      <c r="D21" s="4" t="s">
        <v>934</v>
      </c>
      <c r="E21" s="5">
        <v>33694</v>
      </c>
      <c r="F21" s="6">
        <v>656.76344800000004</v>
      </c>
      <c r="G21" s="7">
        <v>2.0841641000000001E-2</v>
      </c>
      <c r="H21" s="6"/>
    </row>
    <row r="22" spans="1:8" ht="25.5" x14ac:dyDescent="0.2">
      <c r="A22" s="3">
        <v>16</v>
      </c>
      <c r="B22" s="4" t="s">
        <v>313</v>
      </c>
      <c r="C22" s="4" t="s">
        <v>314</v>
      </c>
      <c r="D22" s="4" t="s">
        <v>71</v>
      </c>
      <c r="E22" s="5">
        <v>162191</v>
      </c>
      <c r="F22" s="6">
        <v>624.11096799999996</v>
      </c>
      <c r="G22" s="7">
        <v>1.9805451000000002E-2</v>
      </c>
      <c r="H22" s="6"/>
    </row>
    <row r="23" spans="1:8" x14ac:dyDescent="0.2">
      <c r="A23" s="3">
        <v>17</v>
      </c>
      <c r="B23" s="4" t="s">
        <v>168</v>
      </c>
      <c r="C23" s="4" t="s">
        <v>169</v>
      </c>
      <c r="D23" s="4" t="s">
        <v>944</v>
      </c>
      <c r="E23" s="5">
        <v>46040</v>
      </c>
      <c r="F23" s="6">
        <v>611.15797999999995</v>
      </c>
      <c r="G23" s="7">
        <v>1.9394403000000001E-2</v>
      </c>
      <c r="H23" s="6"/>
    </row>
    <row r="24" spans="1:8" x14ac:dyDescent="0.2">
      <c r="A24" s="3">
        <v>18</v>
      </c>
      <c r="B24" s="4" t="s">
        <v>231</v>
      </c>
      <c r="C24" s="4" t="s">
        <v>232</v>
      </c>
      <c r="D24" s="4" t="s">
        <v>233</v>
      </c>
      <c r="E24" s="5">
        <v>194334</v>
      </c>
      <c r="F24" s="6">
        <v>547.73037899999997</v>
      </c>
      <c r="G24" s="7">
        <v>1.7381600000000001E-2</v>
      </c>
      <c r="H24" s="6"/>
    </row>
    <row r="25" spans="1:8" x14ac:dyDescent="0.2">
      <c r="A25" s="3">
        <v>19</v>
      </c>
      <c r="B25" s="4" t="s">
        <v>92</v>
      </c>
      <c r="C25" s="4" t="s">
        <v>93</v>
      </c>
      <c r="D25" s="4" t="s">
        <v>923</v>
      </c>
      <c r="E25" s="5">
        <v>114200</v>
      </c>
      <c r="F25" s="6">
        <v>520.52359999999999</v>
      </c>
      <c r="G25" s="7">
        <v>1.6518224000000001E-2</v>
      </c>
      <c r="H25" s="6"/>
    </row>
    <row r="26" spans="1:8" x14ac:dyDescent="0.2">
      <c r="A26" s="3">
        <v>20</v>
      </c>
      <c r="B26" s="4" t="s">
        <v>178</v>
      </c>
      <c r="C26" s="4" t="s">
        <v>179</v>
      </c>
      <c r="D26" s="4" t="s">
        <v>934</v>
      </c>
      <c r="E26" s="5">
        <v>34737</v>
      </c>
      <c r="F26" s="6">
        <v>496.80857400000002</v>
      </c>
      <c r="G26" s="7">
        <v>1.5765655E-2</v>
      </c>
      <c r="H26" s="6"/>
    </row>
    <row r="27" spans="1:8" x14ac:dyDescent="0.2">
      <c r="A27" s="3">
        <v>21</v>
      </c>
      <c r="B27" s="4" t="s">
        <v>197</v>
      </c>
      <c r="C27" s="4" t="s">
        <v>198</v>
      </c>
      <c r="D27" s="4" t="s">
        <v>82</v>
      </c>
      <c r="E27" s="5">
        <v>69806</v>
      </c>
      <c r="F27" s="6">
        <v>490.31734399999999</v>
      </c>
      <c r="G27" s="7">
        <v>1.5559663E-2</v>
      </c>
      <c r="H27" s="6"/>
    </row>
    <row r="28" spans="1:8" x14ac:dyDescent="0.2">
      <c r="A28" s="3">
        <v>22</v>
      </c>
      <c r="B28" s="4" t="s">
        <v>199</v>
      </c>
      <c r="C28" s="4" t="s">
        <v>200</v>
      </c>
      <c r="D28" s="4" t="s">
        <v>940</v>
      </c>
      <c r="E28" s="5">
        <v>26014</v>
      </c>
      <c r="F28" s="6">
        <v>485.33019100000001</v>
      </c>
      <c r="G28" s="7">
        <v>1.5401401E-2</v>
      </c>
      <c r="H28" s="6"/>
    </row>
    <row r="29" spans="1:8" ht="25.5" x14ac:dyDescent="0.2">
      <c r="A29" s="3">
        <v>23</v>
      </c>
      <c r="B29" s="4" t="s">
        <v>158</v>
      </c>
      <c r="C29" s="4" t="s">
        <v>159</v>
      </c>
      <c r="D29" s="4" t="s">
        <v>941</v>
      </c>
      <c r="E29" s="5">
        <v>66434</v>
      </c>
      <c r="F29" s="6">
        <v>471.05027699999999</v>
      </c>
      <c r="G29" s="7">
        <v>1.4948243999999999E-2</v>
      </c>
      <c r="H29" s="6"/>
    </row>
    <row r="30" spans="1:8" ht="25.5" x14ac:dyDescent="0.2">
      <c r="A30" s="3">
        <v>24</v>
      </c>
      <c r="B30" s="4" t="s">
        <v>449</v>
      </c>
      <c r="C30" s="4" t="s">
        <v>450</v>
      </c>
      <c r="D30" s="4" t="s">
        <v>936</v>
      </c>
      <c r="E30" s="5">
        <v>23625</v>
      </c>
      <c r="F30" s="6">
        <v>452.71406250000001</v>
      </c>
      <c r="G30" s="7">
        <v>1.4366366E-2</v>
      </c>
      <c r="H30" s="6"/>
    </row>
    <row r="31" spans="1:8" x14ac:dyDescent="0.2">
      <c r="A31" s="3">
        <v>25</v>
      </c>
      <c r="B31" s="4" t="s">
        <v>203</v>
      </c>
      <c r="C31" s="4" t="s">
        <v>204</v>
      </c>
      <c r="D31" s="4" t="s">
        <v>82</v>
      </c>
      <c r="E31" s="5">
        <v>75393</v>
      </c>
      <c r="F31" s="6">
        <v>446.43964949999997</v>
      </c>
      <c r="G31" s="7">
        <v>1.4167254000000001E-2</v>
      </c>
      <c r="H31" s="6"/>
    </row>
    <row r="32" spans="1:8" ht="25.5" x14ac:dyDescent="0.2">
      <c r="A32" s="3">
        <v>26</v>
      </c>
      <c r="B32" s="4" t="s">
        <v>42</v>
      </c>
      <c r="C32" s="4" t="s">
        <v>43</v>
      </c>
      <c r="D32" s="4" t="s">
        <v>935</v>
      </c>
      <c r="E32" s="5">
        <v>16781</v>
      </c>
      <c r="F32" s="6">
        <v>444.20985100000001</v>
      </c>
      <c r="G32" s="7">
        <v>1.4096493999999999E-2</v>
      </c>
      <c r="H32" s="6"/>
    </row>
    <row r="33" spans="1:8" x14ac:dyDescent="0.2">
      <c r="A33" s="3">
        <v>27</v>
      </c>
      <c r="B33" s="4" t="s">
        <v>201</v>
      </c>
      <c r="C33" s="4" t="s">
        <v>202</v>
      </c>
      <c r="D33" s="4" t="s">
        <v>923</v>
      </c>
      <c r="E33" s="5">
        <v>40454</v>
      </c>
      <c r="F33" s="6">
        <v>439.51248299999997</v>
      </c>
      <c r="G33" s="7">
        <v>1.3947428E-2</v>
      </c>
      <c r="H33" s="6"/>
    </row>
    <row r="34" spans="1:8" x14ac:dyDescent="0.2">
      <c r="A34" s="3">
        <v>28</v>
      </c>
      <c r="B34" s="4" t="s">
        <v>265</v>
      </c>
      <c r="C34" s="4" t="s">
        <v>266</v>
      </c>
      <c r="D34" s="4" t="s">
        <v>942</v>
      </c>
      <c r="E34" s="5">
        <v>46872</v>
      </c>
      <c r="F34" s="6">
        <v>414.88750800000003</v>
      </c>
      <c r="G34" s="7">
        <v>1.3165982999999999E-2</v>
      </c>
      <c r="H34" s="6"/>
    </row>
    <row r="35" spans="1:8" x14ac:dyDescent="0.2">
      <c r="A35" s="3">
        <v>29</v>
      </c>
      <c r="B35" s="4" t="s">
        <v>451</v>
      </c>
      <c r="C35" s="4" t="s">
        <v>452</v>
      </c>
      <c r="D35" s="4" t="s">
        <v>71</v>
      </c>
      <c r="E35" s="5">
        <v>42388</v>
      </c>
      <c r="F35" s="6">
        <v>399.18898999999999</v>
      </c>
      <c r="G35" s="7">
        <v>1.2667807999999999E-2</v>
      </c>
      <c r="H35" s="6"/>
    </row>
    <row r="36" spans="1:8" x14ac:dyDescent="0.2">
      <c r="A36" s="3">
        <v>30</v>
      </c>
      <c r="B36" s="4" t="s">
        <v>269</v>
      </c>
      <c r="C36" s="4" t="s">
        <v>270</v>
      </c>
      <c r="D36" s="4" t="s">
        <v>26</v>
      </c>
      <c r="E36" s="5">
        <v>18641</v>
      </c>
      <c r="F36" s="6">
        <v>369.86540150000002</v>
      </c>
      <c r="G36" s="7">
        <v>1.1737258E-2</v>
      </c>
      <c r="H36" s="6"/>
    </row>
    <row r="37" spans="1:8" ht="25.5" x14ac:dyDescent="0.2">
      <c r="A37" s="3">
        <v>31</v>
      </c>
      <c r="B37" s="4" t="s">
        <v>170</v>
      </c>
      <c r="C37" s="4" t="s">
        <v>171</v>
      </c>
      <c r="D37" s="4" t="s">
        <v>945</v>
      </c>
      <c r="E37" s="5">
        <v>96348</v>
      </c>
      <c r="F37" s="6">
        <v>366.50779199999999</v>
      </c>
      <c r="G37" s="7">
        <v>1.1630708E-2</v>
      </c>
      <c r="H37" s="6"/>
    </row>
    <row r="38" spans="1:8" ht="25.5" x14ac:dyDescent="0.2">
      <c r="A38" s="3">
        <v>32</v>
      </c>
      <c r="B38" s="4" t="s">
        <v>180</v>
      </c>
      <c r="C38" s="4" t="s">
        <v>181</v>
      </c>
      <c r="D38" s="4" t="s">
        <v>941</v>
      </c>
      <c r="E38" s="5">
        <v>70561</v>
      </c>
      <c r="F38" s="6">
        <v>357.70898949999997</v>
      </c>
      <c r="G38" s="7">
        <v>1.1351488E-2</v>
      </c>
      <c r="H38" s="6"/>
    </row>
    <row r="39" spans="1:8" x14ac:dyDescent="0.2">
      <c r="A39" s="3">
        <v>33</v>
      </c>
      <c r="B39" s="4" t="s">
        <v>453</v>
      </c>
      <c r="C39" s="4" t="s">
        <v>454</v>
      </c>
      <c r="D39" s="4" t="s">
        <v>938</v>
      </c>
      <c r="E39" s="5">
        <v>50312</v>
      </c>
      <c r="F39" s="6">
        <v>353.54242399999998</v>
      </c>
      <c r="G39" s="7">
        <v>1.1219266E-2</v>
      </c>
      <c r="H39" s="6"/>
    </row>
    <row r="40" spans="1:8" ht="25.5" x14ac:dyDescent="0.2">
      <c r="A40" s="3">
        <v>34</v>
      </c>
      <c r="B40" s="4" t="s">
        <v>184</v>
      </c>
      <c r="C40" s="4" t="s">
        <v>185</v>
      </c>
      <c r="D40" s="4" t="s">
        <v>935</v>
      </c>
      <c r="E40" s="5">
        <v>174815</v>
      </c>
      <c r="F40" s="6">
        <v>352.25222500000001</v>
      </c>
      <c r="G40" s="7">
        <v>1.1178323E-2</v>
      </c>
      <c r="H40" s="6"/>
    </row>
    <row r="41" spans="1:8" ht="25.5" x14ac:dyDescent="0.2">
      <c r="A41" s="3">
        <v>35</v>
      </c>
      <c r="B41" s="4" t="s">
        <v>248</v>
      </c>
      <c r="C41" s="4" t="s">
        <v>249</v>
      </c>
      <c r="D41" s="4" t="s">
        <v>950</v>
      </c>
      <c r="E41" s="5">
        <v>65469</v>
      </c>
      <c r="F41" s="6">
        <v>347.60765550000002</v>
      </c>
      <c r="G41" s="7">
        <v>1.1030933E-2</v>
      </c>
      <c r="H41" s="6"/>
    </row>
    <row r="42" spans="1:8" ht="25.5" x14ac:dyDescent="0.2">
      <c r="A42" s="3">
        <v>36</v>
      </c>
      <c r="B42" s="4" t="s">
        <v>215</v>
      </c>
      <c r="C42" s="4" t="s">
        <v>216</v>
      </c>
      <c r="D42" s="4" t="s">
        <v>945</v>
      </c>
      <c r="E42" s="5">
        <v>58282</v>
      </c>
      <c r="F42" s="6">
        <v>339.98804699999999</v>
      </c>
      <c r="G42" s="7">
        <v>1.0789134000000001E-2</v>
      </c>
      <c r="H42" s="6"/>
    </row>
    <row r="43" spans="1:8" x14ac:dyDescent="0.2">
      <c r="A43" s="3">
        <v>37</v>
      </c>
      <c r="B43" s="4" t="s">
        <v>341</v>
      </c>
      <c r="C43" s="4" t="s">
        <v>342</v>
      </c>
      <c r="D43" s="4" t="s">
        <v>940</v>
      </c>
      <c r="E43" s="5">
        <v>8487</v>
      </c>
      <c r="F43" s="6">
        <v>323.50322249999999</v>
      </c>
      <c r="G43" s="7">
        <v>1.0266007000000001E-2</v>
      </c>
      <c r="H43" s="6"/>
    </row>
    <row r="44" spans="1:8" x14ac:dyDescent="0.2">
      <c r="A44" s="3">
        <v>38</v>
      </c>
      <c r="B44" s="4" t="s">
        <v>164</v>
      </c>
      <c r="C44" s="4" t="s">
        <v>165</v>
      </c>
      <c r="D44" s="4" t="s">
        <v>944</v>
      </c>
      <c r="E44" s="5">
        <v>67450</v>
      </c>
      <c r="F44" s="6">
        <v>321.50042500000001</v>
      </c>
      <c r="G44" s="7">
        <v>1.020245E-2</v>
      </c>
      <c r="H44" s="6"/>
    </row>
    <row r="45" spans="1:8" x14ac:dyDescent="0.2">
      <c r="A45" s="3">
        <v>39</v>
      </c>
      <c r="B45" s="4" t="s">
        <v>213</v>
      </c>
      <c r="C45" s="4" t="s">
        <v>214</v>
      </c>
      <c r="D45" s="4" t="s">
        <v>64</v>
      </c>
      <c r="E45" s="5">
        <v>369322</v>
      </c>
      <c r="F45" s="6">
        <v>319.27886899999999</v>
      </c>
      <c r="G45" s="7">
        <v>1.0131952E-2</v>
      </c>
      <c r="H45" s="6"/>
    </row>
    <row r="46" spans="1:8" x14ac:dyDescent="0.2">
      <c r="A46" s="3">
        <v>40</v>
      </c>
      <c r="B46" s="4" t="s">
        <v>455</v>
      </c>
      <c r="C46" s="4" t="s">
        <v>456</v>
      </c>
      <c r="D46" s="4" t="s">
        <v>71</v>
      </c>
      <c r="E46" s="5">
        <v>27538</v>
      </c>
      <c r="F46" s="6">
        <v>312.92806300000001</v>
      </c>
      <c r="G46" s="7">
        <v>9.9304159999999992E-3</v>
      </c>
      <c r="H46" s="6"/>
    </row>
    <row r="47" spans="1:8" x14ac:dyDescent="0.2">
      <c r="A47" s="3">
        <v>41</v>
      </c>
      <c r="B47" s="4" t="s">
        <v>461</v>
      </c>
      <c r="C47" s="4" t="s">
        <v>462</v>
      </c>
      <c r="D47" s="4" t="s">
        <v>82</v>
      </c>
      <c r="E47" s="5">
        <v>30109</v>
      </c>
      <c r="F47" s="6">
        <v>311.98945800000001</v>
      </c>
      <c r="G47" s="7">
        <v>9.9006300000000005E-3</v>
      </c>
      <c r="H47" s="6"/>
    </row>
    <row r="48" spans="1:8" x14ac:dyDescent="0.2">
      <c r="A48" s="3">
        <v>42</v>
      </c>
      <c r="B48" s="4" t="s">
        <v>457</v>
      </c>
      <c r="C48" s="4" t="s">
        <v>458</v>
      </c>
      <c r="D48" s="4" t="s">
        <v>26</v>
      </c>
      <c r="E48" s="5">
        <v>40294</v>
      </c>
      <c r="F48" s="6">
        <v>308.99453899999997</v>
      </c>
      <c r="G48" s="7">
        <v>9.8055899999999994E-3</v>
      </c>
      <c r="H48" s="6"/>
    </row>
    <row r="49" spans="1:8" x14ac:dyDescent="0.2">
      <c r="A49" s="3">
        <v>43</v>
      </c>
      <c r="B49" s="4" t="s">
        <v>32</v>
      </c>
      <c r="C49" s="4" t="s">
        <v>33</v>
      </c>
      <c r="D49" s="4" t="s">
        <v>26</v>
      </c>
      <c r="E49" s="5">
        <v>9264</v>
      </c>
      <c r="F49" s="6">
        <v>308.50046400000002</v>
      </c>
      <c r="G49" s="7">
        <v>9.7899110000000001E-3</v>
      </c>
      <c r="H49" s="6"/>
    </row>
    <row r="50" spans="1:8" x14ac:dyDescent="0.2">
      <c r="A50" s="3">
        <v>44</v>
      </c>
      <c r="B50" s="4" t="s">
        <v>459</v>
      </c>
      <c r="C50" s="4" t="s">
        <v>460</v>
      </c>
      <c r="D50" s="4" t="s">
        <v>26</v>
      </c>
      <c r="E50" s="5">
        <v>48745</v>
      </c>
      <c r="F50" s="6">
        <v>296.39397250000002</v>
      </c>
      <c r="G50" s="7">
        <v>9.4057250000000002E-3</v>
      </c>
      <c r="H50" s="6"/>
    </row>
    <row r="51" spans="1:8" x14ac:dyDescent="0.2">
      <c r="A51" s="3">
        <v>45</v>
      </c>
      <c r="B51" s="4" t="s">
        <v>463</v>
      </c>
      <c r="C51" s="4" t="s">
        <v>464</v>
      </c>
      <c r="D51" s="4" t="s">
        <v>952</v>
      </c>
      <c r="E51" s="5">
        <v>31437</v>
      </c>
      <c r="F51" s="6">
        <v>294.86334149999999</v>
      </c>
      <c r="G51" s="7">
        <v>9.357153E-3</v>
      </c>
      <c r="H51" s="6"/>
    </row>
    <row r="52" spans="1:8" x14ac:dyDescent="0.2">
      <c r="A52" s="3">
        <v>46</v>
      </c>
      <c r="B52" s="4" t="s">
        <v>205</v>
      </c>
      <c r="C52" s="4" t="s">
        <v>206</v>
      </c>
      <c r="D52" s="4" t="s">
        <v>64</v>
      </c>
      <c r="E52" s="5">
        <v>81720</v>
      </c>
      <c r="F52" s="6">
        <v>294.15114</v>
      </c>
      <c r="G52" s="7">
        <v>9.3345519999999994E-3</v>
      </c>
      <c r="H52" s="6"/>
    </row>
    <row r="53" spans="1:8" x14ac:dyDescent="0.2">
      <c r="A53" s="3">
        <v>47</v>
      </c>
      <c r="B53" s="4" t="s">
        <v>267</v>
      </c>
      <c r="C53" s="4" t="s">
        <v>268</v>
      </c>
      <c r="D53" s="4" t="s">
        <v>82</v>
      </c>
      <c r="E53" s="5">
        <v>503774</v>
      </c>
      <c r="F53" s="6">
        <v>287.65495399999998</v>
      </c>
      <c r="G53" s="7">
        <v>9.1284030000000002E-3</v>
      </c>
      <c r="H53" s="6"/>
    </row>
    <row r="54" spans="1:8" ht="25.5" x14ac:dyDescent="0.2">
      <c r="A54" s="3">
        <v>48</v>
      </c>
      <c r="B54" s="4" t="s">
        <v>221</v>
      </c>
      <c r="C54" s="4" t="s">
        <v>222</v>
      </c>
      <c r="D54" s="4" t="s">
        <v>945</v>
      </c>
      <c r="E54" s="5">
        <v>16433</v>
      </c>
      <c r="F54" s="6">
        <v>282.466837</v>
      </c>
      <c r="G54" s="7">
        <v>8.9637640000000008E-3</v>
      </c>
      <c r="H54" s="6"/>
    </row>
    <row r="55" spans="1:8" ht="25.5" x14ac:dyDescent="0.2">
      <c r="A55" s="3">
        <v>49</v>
      </c>
      <c r="B55" s="4" t="s">
        <v>162</v>
      </c>
      <c r="C55" s="4" t="s">
        <v>163</v>
      </c>
      <c r="D55" s="4" t="s">
        <v>943</v>
      </c>
      <c r="E55" s="5">
        <v>274546</v>
      </c>
      <c r="F55" s="6">
        <v>282.37056100000001</v>
      </c>
      <c r="G55" s="7">
        <v>8.9607079999999995E-3</v>
      </c>
      <c r="H55" s="6"/>
    </row>
    <row r="56" spans="1:8" ht="25.5" x14ac:dyDescent="0.2">
      <c r="A56" s="3">
        <v>50</v>
      </c>
      <c r="B56" s="4" t="s">
        <v>219</v>
      </c>
      <c r="C56" s="4" t="s">
        <v>220</v>
      </c>
      <c r="D56" s="4" t="s">
        <v>950</v>
      </c>
      <c r="E56" s="5">
        <v>68454</v>
      </c>
      <c r="F56" s="6">
        <v>279.39500099999998</v>
      </c>
      <c r="G56" s="7">
        <v>8.8662819999999996E-3</v>
      </c>
      <c r="H56" s="6"/>
    </row>
    <row r="57" spans="1:8" ht="51" x14ac:dyDescent="0.2">
      <c r="A57" s="3">
        <v>51</v>
      </c>
      <c r="B57" s="4" t="s">
        <v>238</v>
      </c>
      <c r="C57" s="4" t="s">
        <v>239</v>
      </c>
      <c r="D57" s="4" t="s">
        <v>939</v>
      </c>
      <c r="E57" s="5">
        <v>116365</v>
      </c>
      <c r="F57" s="6">
        <v>279.10145249999999</v>
      </c>
      <c r="G57" s="7">
        <v>8.8569670000000003E-3</v>
      </c>
      <c r="H57" s="6"/>
    </row>
    <row r="58" spans="1:8" ht="25.5" x14ac:dyDescent="0.2">
      <c r="A58" s="3">
        <v>52</v>
      </c>
      <c r="B58" s="4" t="s">
        <v>256</v>
      </c>
      <c r="C58" s="4" t="s">
        <v>257</v>
      </c>
      <c r="D58" s="4" t="s">
        <v>954</v>
      </c>
      <c r="E58" s="5">
        <v>81931</v>
      </c>
      <c r="F58" s="6">
        <v>274.4278845</v>
      </c>
      <c r="G58" s="7">
        <v>8.7086569999999999E-3</v>
      </c>
      <c r="H58" s="6"/>
    </row>
    <row r="59" spans="1:8" x14ac:dyDescent="0.2">
      <c r="A59" s="3">
        <v>53</v>
      </c>
      <c r="B59" s="4" t="s">
        <v>225</v>
      </c>
      <c r="C59" s="4" t="s">
        <v>226</v>
      </c>
      <c r="D59" s="4" t="s">
        <v>951</v>
      </c>
      <c r="E59" s="5">
        <v>86680</v>
      </c>
      <c r="F59" s="6">
        <v>271.78514000000001</v>
      </c>
      <c r="G59" s="7">
        <v>8.6247919999999992E-3</v>
      </c>
      <c r="H59" s="6"/>
    </row>
    <row r="60" spans="1:8" x14ac:dyDescent="0.2">
      <c r="A60" s="3">
        <v>54</v>
      </c>
      <c r="B60" s="4" t="s">
        <v>244</v>
      </c>
      <c r="C60" s="4" t="s">
        <v>245</v>
      </c>
      <c r="D60" s="4" t="s">
        <v>13</v>
      </c>
      <c r="E60" s="5">
        <v>91543</v>
      </c>
      <c r="F60" s="6">
        <v>247.440729</v>
      </c>
      <c r="G60" s="7">
        <v>7.8522499999999999E-3</v>
      </c>
      <c r="H60" s="6"/>
    </row>
    <row r="61" spans="1:8" x14ac:dyDescent="0.2">
      <c r="A61" s="3">
        <v>55</v>
      </c>
      <c r="B61" s="4" t="s">
        <v>227</v>
      </c>
      <c r="C61" s="4" t="s">
        <v>228</v>
      </c>
      <c r="D61" s="4" t="s">
        <v>26</v>
      </c>
      <c r="E61" s="5">
        <v>23852</v>
      </c>
      <c r="F61" s="6">
        <v>241.88313199999999</v>
      </c>
      <c r="G61" s="7">
        <v>7.6758859999999998E-3</v>
      </c>
      <c r="H61" s="6"/>
    </row>
    <row r="62" spans="1:8" ht="25.5" x14ac:dyDescent="0.2">
      <c r="A62" s="3">
        <v>56</v>
      </c>
      <c r="B62" s="4" t="s">
        <v>186</v>
      </c>
      <c r="C62" s="4" t="s">
        <v>187</v>
      </c>
      <c r="D62" s="4" t="s">
        <v>946</v>
      </c>
      <c r="E62" s="5">
        <v>24941</v>
      </c>
      <c r="F62" s="6">
        <v>236.8023245</v>
      </c>
      <c r="G62" s="7">
        <v>7.5146520000000001E-3</v>
      </c>
      <c r="H62" s="6"/>
    </row>
    <row r="63" spans="1:8" x14ac:dyDescent="0.2">
      <c r="A63" s="3">
        <v>57</v>
      </c>
      <c r="B63" s="4" t="s">
        <v>465</v>
      </c>
      <c r="C63" s="4" t="s">
        <v>466</v>
      </c>
      <c r="D63" s="4" t="s">
        <v>944</v>
      </c>
      <c r="E63" s="5">
        <v>363090</v>
      </c>
      <c r="F63" s="6">
        <v>234.374595</v>
      </c>
      <c r="G63" s="7">
        <v>7.4376110000000002E-3</v>
      </c>
      <c r="H63" s="6"/>
    </row>
    <row r="64" spans="1:8" x14ac:dyDescent="0.2">
      <c r="A64" s="3">
        <v>58</v>
      </c>
      <c r="B64" s="4" t="s">
        <v>223</v>
      </c>
      <c r="C64" s="4" t="s">
        <v>224</v>
      </c>
      <c r="D64" s="4" t="s">
        <v>71</v>
      </c>
      <c r="E64" s="5">
        <v>92539</v>
      </c>
      <c r="F64" s="6">
        <v>228.10863499999999</v>
      </c>
      <c r="G64" s="7">
        <v>7.2387679999999996E-3</v>
      </c>
      <c r="H64" s="6"/>
    </row>
    <row r="65" spans="1:8" ht="38.25" x14ac:dyDescent="0.2">
      <c r="A65" s="3">
        <v>59</v>
      </c>
      <c r="B65" s="4" t="s">
        <v>254</v>
      </c>
      <c r="C65" s="4" t="s">
        <v>255</v>
      </c>
      <c r="D65" s="4" t="s">
        <v>953</v>
      </c>
      <c r="E65" s="5">
        <v>30413</v>
      </c>
      <c r="F65" s="6">
        <v>211.461589</v>
      </c>
      <c r="G65" s="7">
        <v>6.7104929999999997E-3</v>
      </c>
      <c r="H65" s="6"/>
    </row>
    <row r="66" spans="1:8" x14ac:dyDescent="0.2">
      <c r="A66" s="3">
        <v>60</v>
      </c>
      <c r="B66" s="4" t="s">
        <v>271</v>
      </c>
      <c r="C66" s="4" t="s">
        <v>272</v>
      </c>
      <c r="D66" s="4" t="s">
        <v>940</v>
      </c>
      <c r="E66" s="5">
        <v>33763</v>
      </c>
      <c r="F66" s="6">
        <v>210.61359400000001</v>
      </c>
      <c r="G66" s="7">
        <v>6.6835829999999999E-3</v>
      </c>
      <c r="H66" s="6"/>
    </row>
    <row r="67" spans="1:8" x14ac:dyDescent="0.2">
      <c r="A67" s="3">
        <v>61</v>
      </c>
      <c r="B67" s="4" t="s">
        <v>234</v>
      </c>
      <c r="C67" s="4" t="s">
        <v>235</v>
      </c>
      <c r="D67" s="4" t="s">
        <v>952</v>
      </c>
      <c r="E67" s="5">
        <v>140250</v>
      </c>
      <c r="F67" s="6">
        <v>207.71025</v>
      </c>
      <c r="G67" s="7">
        <v>6.5914479999999998E-3</v>
      </c>
      <c r="H67" s="6"/>
    </row>
    <row r="68" spans="1:8" ht="25.5" x14ac:dyDescent="0.2">
      <c r="A68" s="3">
        <v>62</v>
      </c>
      <c r="B68" s="4" t="s">
        <v>172</v>
      </c>
      <c r="C68" s="4" t="s">
        <v>173</v>
      </c>
      <c r="D68" s="4" t="s">
        <v>71</v>
      </c>
      <c r="E68" s="5">
        <v>9707</v>
      </c>
      <c r="F68" s="6">
        <v>190.99007850000001</v>
      </c>
      <c r="G68" s="7">
        <v>6.0608529999999997E-3</v>
      </c>
      <c r="H68" s="6"/>
    </row>
    <row r="69" spans="1:8" x14ac:dyDescent="0.2">
      <c r="A69" s="3">
        <v>63</v>
      </c>
      <c r="B69" s="4" t="s">
        <v>246</v>
      </c>
      <c r="C69" s="4" t="s">
        <v>247</v>
      </c>
      <c r="D69" s="4" t="s">
        <v>91</v>
      </c>
      <c r="E69" s="5">
        <v>22179</v>
      </c>
      <c r="F69" s="6">
        <v>174.238224</v>
      </c>
      <c r="G69" s="7">
        <v>5.5292520000000001E-3</v>
      </c>
      <c r="H69" s="6"/>
    </row>
    <row r="70" spans="1:8" x14ac:dyDescent="0.2">
      <c r="A70" s="3">
        <v>64</v>
      </c>
      <c r="B70" s="4" t="s">
        <v>174</v>
      </c>
      <c r="C70" s="4" t="s">
        <v>175</v>
      </c>
      <c r="D70" s="4" t="s">
        <v>71</v>
      </c>
      <c r="E70" s="5">
        <v>27062</v>
      </c>
      <c r="F70" s="6">
        <v>171.76251400000001</v>
      </c>
      <c r="G70" s="7">
        <v>5.4506880000000004E-3</v>
      </c>
      <c r="H70" s="6"/>
    </row>
    <row r="71" spans="1:8" x14ac:dyDescent="0.2">
      <c r="A71" s="3">
        <v>65</v>
      </c>
      <c r="B71" s="4" t="s">
        <v>176</v>
      </c>
      <c r="C71" s="4" t="s">
        <v>177</v>
      </c>
      <c r="D71" s="4" t="s">
        <v>944</v>
      </c>
      <c r="E71" s="5">
        <v>154615</v>
      </c>
      <c r="F71" s="6">
        <v>156.934225</v>
      </c>
      <c r="G71" s="7">
        <v>4.9801289999999998E-3</v>
      </c>
      <c r="H71" s="6"/>
    </row>
    <row r="72" spans="1:8" x14ac:dyDescent="0.2">
      <c r="A72" s="3">
        <v>66</v>
      </c>
      <c r="B72" s="4" t="s">
        <v>240</v>
      </c>
      <c r="C72" s="4" t="s">
        <v>241</v>
      </c>
      <c r="D72" s="4" t="s">
        <v>940</v>
      </c>
      <c r="E72" s="5">
        <v>29548</v>
      </c>
      <c r="F72" s="6">
        <v>154.698554</v>
      </c>
      <c r="G72" s="7">
        <v>4.9091830000000001E-3</v>
      </c>
      <c r="H72" s="6"/>
    </row>
    <row r="73" spans="1:8" ht="25.5" x14ac:dyDescent="0.2">
      <c r="A73" s="3">
        <v>67</v>
      </c>
      <c r="B73" s="4" t="s">
        <v>277</v>
      </c>
      <c r="C73" s="4" t="s">
        <v>278</v>
      </c>
      <c r="D73" s="4" t="s">
        <v>946</v>
      </c>
      <c r="E73" s="5">
        <v>25075</v>
      </c>
      <c r="F73" s="6">
        <v>149.04580000000001</v>
      </c>
      <c r="G73" s="7">
        <v>4.7297989999999998E-3</v>
      </c>
      <c r="H73" s="6"/>
    </row>
    <row r="74" spans="1:8" x14ac:dyDescent="0.2">
      <c r="A74" s="3">
        <v>68</v>
      </c>
      <c r="B74" s="4" t="s">
        <v>279</v>
      </c>
      <c r="C74" s="4" t="s">
        <v>280</v>
      </c>
      <c r="D74" s="4" t="s">
        <v>18</v>
      </c>
      <c r="E74" s="5">
        <v>69201</v>
      </c>
      <c r="F74" s="6">
        <v>148.228542</v>
      </c>
      <c r="G74" s="7">
        <v>4.7038640000000003E-3</v>
      </c>
      <c r="H74" s="6"/>
    </row>
    <row r="75" spans="1:8" ht="25.5" x14ac:dyDescent="0.2">
      <c r="A75" s="3">
        <v>69</v>
      </c>
      <c r="B75" s="4" t="s">
        <v>188</v>
      </c>
      <c r="C75" s="4" t="s">
        <v>189</v>
      </c>
      <c r="D75" s="4" t="s">
        <v>945</v>
      </c>
      <c r="E75" s="5">
        <v>3290</v>
      </c>
      <c r="F75" s="6">
        <v>145.972365</v>
      </c>
      <c r="G75" s="7">
        <v>4.6322669999999998E-3</v>
      </c>
      <c r="H75" s="6"/>
    </row>
    <row r="76" spans="1:8" ht="25.5" x14ac:dyDescent="0.2">
      <c r="A76" s="3">
        <v>70</v>
      </c>
      <c r="B76" s="4" t="s">
        <v>281</v>
      </c>
      <c r="C76" s="4" t="s">
        <v>282</v>
      </c>
      <c r="D76" s="4" t="s">
        <v>945</v>
      </c>
      <c r="E76" s="5">
        <v>53264</v>
      </c>
      <c r="F76" s="6">
        <v>133.31979200000001</v>
      </c>
      <c r="G76" s="7">
        <v>4.230752E-3</v>
      </c>
      <c r="H76" s="6"/>
    </row>
    <row r="77" spans="1:8" x14ac:dyDescent="0.2">
      <c r="A77" s="3">
        <v>71</v>
      </c>
      <c r="B77" s="4" t="s">
        <v>106</v>
      </c>
      <c r="C77" s="4" t="s">
        <v>107</v>
      </c>
      <c r="D77" s="4" t="s">
        <v>923</v>
      </c>
      <c r="E77" s="5">
        <v>172875</v>
      </c>
      <c r="F77" s="6">
        <v>131.21212499999999</v>
      </c>
      <c r="G77" s="7">
        <v>4.1638669999999999E-3</v>
      </c>
      <c r="H77" s="6"/>
    </row>
    <row r="78" spans="1:8" x14ac:dyDescent="0.2">
      <c r="A78" s="3">
        <v>72</v>
      </c>
      <c r="B78" s="4" t="s">
        <v>250</v>
      </c>
      <c r="C78" s="4" t="s">
        <v>251</v>
      </c>
      <c r="D78" s="4" t="s">
        <v>302</v>
      </c>
      <c r="E78" s="5">
        <v>15493</v>
      </c>
      <c r="F78" s="6">
        <v>100.68126049999999</v>
      </c>
      <c r="G78" s="7">
        <v>3.1950049999999999E-3</v>
      </c>
      <c r="H78" s="6"/>
    </row>
    <row r="79" spans="1:8" ht="25.5" x14ac:dyDescent="0.2">
      <c r="A79" s="3">
        <v>73</v>
      </c>
      <c r="B79" s="4" t="s">
        <v>258</v>
      </c>
      <c r="C79" s="4" t="s">
        <v>259</v>
      </c>
      <c r="D79" s="4" t="s">
        <v>946</v>
      </c>
      <c r="E79" s="5">
        <v>9638</v>
      </c>
      <c r="F79" s="6">
        <v>85.773381000000001</v>
      </c>
      <c r="G79" s="7">
        <v>2.721921E-3</v>
      </c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9">
        <v>29752.768789000002</v>
      </c>
      <c r="G80" s="10">
        <v>0.94417025899999996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113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114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115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116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117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8" customHeight="1" x14ac:dyDescent="0.2">
      <c r="A97" s="1"/>
      <c r="B97" s="1"/>
      <c r="C97" s="2" t="s">
        <v>118</v>
      </c>
      <c r="D97" s="1"/>
      <c r="E97" s="1"/>
      <c r="F97" s="9">
        <v>29752.768789000002</v>
      </c>
      <c r="G97" s="10">
        <v>0.94417025899999996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119</v>
      </c>
      <c r="D99" s="1"/>
      <c r="E99" s="1"/>
      <c r="F99" s="12"/>
      <c r="G99" s="12"/>
      <c r="H99" s="6"/>
    </row>
    <row r="100" spans="1:8" ht="24" customHeight="1" x14ac:dyDescent="0.2">
      <c r="A100" s="1"/>
      <c r="B100" s="1"/>
      <c r="C100" s="2" t="s">
        <v>10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120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121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122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123</v>
      </c>
      <c r="D112" s="1"/>
      <c r="E112" s="1"/>
      <c r="F112" s="9">
        <v>0</v>
      </c>
      <c r="G112" s="10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124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125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127</v>
      </c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128</v>
      </c>
      <c r="D124" s="1"/>
      <c r="E124" s="1"/>
      <c r="F124" s="12"/>
      <c r="G124" s="12"/>
      <c r="H124" s="6"/>
    </row>
    <row r="125" spans="1:8" ht="17.100000000000001" customHeight="1" x14ac:dyDescent="0.2">
      <c r="A125" s="3">
        <v>1</v>
      </c>
      <c r="B125" s="4"/>
      <c r="C125" s="4" t="s">
        <v>129</v>
      </c>
      <c r="D125" s="4"/>
      <c r="E125" s="8"/>
      <c r="F125" s="6">
        <v>1670.6329595</v>
      </c>
      <c r="G125" s="7">
        <v>5.3015635999999998E-2</v>
      </c>
      <c r="H125" s="6">
        <v>3.9343919198424624</v>
      </c>
    </row>
    <row r="126" spans="1:8" ht="17.100000000000001" customHeight="1" x14ac:dyDescent="0.2">
      <c r="A126" s="3">
        <v>2</v>
      </c>
      <c r="B126" s="4"/>
      <c r="C126" s="4" t="s">
        <v>130</v>
      </c>
      <c r="D126" s="4"/>
      <c r="E126" s="8"/>
      <c r="F126" s="6">
        <v>109.7264041</v>
      </c>
      <c r="G126" s="7">
        <v>3.4820430000000002E-3</v>
      </c>
      <c r="H126" s="6">
        <v>3.8</v>
      </c>
    </row>
    <row r="127" spans="1:8" ht="14.1" customHeight="1" x14ac:dyDescent="0.2">
      <c r="A127" s="1"/>
      <c r="B127" s="1"/>
      <c r="C127" s="2" t="s">
        <v>111</v>
      </c>
      <c r="D127" s="1"/>
      <c r="E127" s="1" t="s">
        <v>112</v>
      </c>
      <c r="F127" s="9">
        <v>1780.3593636000001</v>
      </c>
      <c r="G127" s="10">
        <v>5.6497679000000002E-2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131</v>
      </c>
      <c r="D129" s="1"/>
      <c r="E129" s="1"/>
      <c r="F129" s="9">
        <v>1780.3593636000001</v>
      </c>
      <c r="G129" s="10">
        <v>5.6497679000000002E-2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132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133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134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135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111</v>
      </c>
      <c r="D137" s="1"/>
      <c r="E137" s="1" t="s">
        <v>112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136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111</v>
      </c>
      <c r="D141" s="1"/>
      <c r="E141" s="1" t="s">
        <v>112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137</v>
      </c>
      <c r="D144" s="4"/>
      <c r="E144" s="8"/>
      <c r="F144" s="6">
        <v>-21.048029410000002</v>
      </c>
      <c r="G144" s="7">
        <v>-6.6793500000000003E-4</v>
      </c>
      <c r="H144" s="6"/>
    </row>
    <row r="145" spans="1:8" ht="14.1" customHeight="1" x14ac:dyDescent="0.2">
      <c r="A145" s="11"/>
      <c r="B145" s="11"/>
      <c r="C145" s="2" t="s">
        <v>138</v>
      </c>
      <c r="D145" s="15"/>
      <c r="E145" s="15"/>
      <c r="F145" s="9">
        <v>31512.08012319</v>
      </c>
      <c r="G145" s="10">
        <v>1.000000003</v>
      </c>
      <c r="H145" s="6"/>
    </row>
    <row r="146" spans="1:8" ht="14.1" customHeight="1" x14ac:dyDescent="0.2">
      <c r="A146" s="18"/>
      <c r="B146" s="297" t="s">
        <v>112</v>
      </c>
      <c r="C146" s="297"/>
      <c r="D146" s="297"/>
      <c r="E146" s="297"/>
      <c r="F146" s="297"/>
      <c r="G146" s="20"/>
    </row>
    <row r="147" spans="1:8" ht="14.1" customHeight="1" x14ac:dyDescent="0.2">
      <c r="A147" s="18"/>
      <c r="B147" s="18"/>
      <c r="C147" s="18"/>
      <c r="D147" s="20"/>
      <c r="E147" s="20"/>
      <c r="F147" s="20"/>
      <c r="G147" s="20"/>
    </row>
    <row r="148" spans="1:8" ht="14.1" customHeight="1" x14ac:dyDescent="0.2">
      <c r="A148" s="18"/>
      <c r="B148" s="294" t="s">
        <v>140</v>
      </c>
      <c r="C148" s="295"/>
      <c r="D148" s="12" t="s">
        <v>112</v>
      </c>
      <c r="E148" s="21"/>
      <c r="F148" s="20"/>
      <c r="G148" s="20"/>
    </row>
    <row r="149" spans="1:8" ht="29.1" customHeight="1" x14ac:dyDescent="0.2">
      <c r="A149" s="18"/>
      <c r="B149" s="288" t="s">
        <v>141</v>
      </c>
      <c r="C149" s="289"/>
      <c r="D149" s="2" t="s">
        <v>142</v>
      </c>
      <c r="E149" s="21"/>
      <c r="F149" s="20"/>
      <c r="G149" s="20"/>
    </row>
    <row r="150" spans="1:8" ht="17.100000000000001" customHeight="1" x14ac:dyDescent="0.2">
      <c r="A150" s="18"/>
      <c r="B150" s="288" t="s">
        <v>143</v>
      </c>
      <c r="C150" s="289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288" t="s">
        <v>144</v>
      </c>
      <c r="C151" s="289"/>
      <c r="D151" s="12" t="s">
        <v>112</v>
      </c>
      <c r="E151" s="21"/>
      <c r="F151" s="20"/>
      <c r="G151" s="20"/>
    </row>
    <row r="152" spans="1:8" ht="24" customHeight="1" x14ac:dyDescent="0.2">
      <c r="A152" s="22"/>
      <c r="B152" s="23" t="s">
        <v>112</v>
      </c>
      <c r="C152" s="23" t="s">
        <v>145</v>
      </c>
      <c r="D152" s="23" t="s">
        <v>146</v>
      </c>
      <c r="E152" s="22"/>
      <c r="F152" s="22"/>
      <c r="G152" s="22"/>
    </row>
    <row r="153" spans="1:8" ht="18" customHeight="1" x14ac:dyDescent="0.2">
      <c r="A153" s="22"/>
      <c r="B153" s="23" t="s">
        <v>147</v>
      </c>
      <c r="C153" s="23" t="s">
        <v>148</v>
      </c>
      <c r="D153" s="23" t="s">
        <v>149</v>
      </c>
      <c r="E153" s="22"/>
      <c r="F153" s="22"/>
      <c r="G153" s="22"/>
    </row>
    <row r="154" spans="1:8" ht="17.100000000000001" customHeight="1" x14ac:dyDescent="0.2">
      <c r="A154" s="22"/>
      <c r="B154" s="4" t="s">
        <v>150</v>
      </c>
      <c r="C154" s="24">
        <v>16.5807</v>
      </c>
      <c r="D154" s="24">
        <v>16.7303</v>
      </c>
      <c r="E154" s="22"/>
      <c r="F154" s="19"/>
      <c r="G154" s="25"/>
    </row>
    <row r="155" spans="1:8" ht="17.100000000000001" customHeight="1" x14ac:dyDescent="0.2">
      <c r="A155" s="22"/>
      <c r="B155" s="4" t="s">
        <v>1114</v>
      </c>
      <c r="C155" s="24">
        <v>16.5807</v>
      </c>
      <c r="D155" s="24">
        <v>16.7303</v>
      </c>
      <c r="E155" s="22"/>
      <c r="F155" s="19"/>
      <c r="G155" s="25"/>
    </row>
    <row r="156" spans="1:8" ht="17.100000000000001" customHeight="1" x14ac:dyDescent="0.2">
      <c r="A156" s="22"/>
      <c r="B156" s="4" t="s">
        <v>151</v>
      </c>
      <c r="C156" s="24">
        <v>15.946199999999999</v>
      </c>
      <c r="D156" s="24">
        <v>16.079899999999999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1115</v>
      </c>
      <c r="C157" s="24">
        <v>15.946199999999999</v>
      </c>
      <c r="D157" s="24">
        <v>16.079899999999999</v>
      </c>
      <c r="E157" s="22"/>
      <c r="F157" s="19"/>
      <c r="G157" s="25"/>
    </row>
    <row r="158" spans="1:8" ht="14.1" customHeight="1" x14ac:dyDescent="0.2">
      <c r="A158" s="22"/>
      <c r="B158" s="22"/>
      <c r="C158" s="22"/>
      <c r="D158" s="22"/>
      <c r="E158" s="22"/>
      <c r="F158" s="22"/>
      <c r="G158" s="22"/>
    </row>
    <row r="159" spans="1:8" ht="17.100000000000001" customHeight="1" x14ac:dyDescent="0.2">
      <c r="A159" s="22"/>
      <c r="B159" s="288" t="s">
        <v>1116</v>
      </c>
      <c r="C159" s="289"/>
      <c r="D159" s="2" t="s">
        <v>142</v>
      </c>
      <c r="E159" s="22"/>
      <c r="F159" s="22"/>
      <c r="G159" s="22"/>
    </row>
    <row r="160" spans="1:8" ht="14.1" customHeight="1" x14ac:dyDescent="0.2">
      <c r="A160" s="22"/>
      <c r="B160" s="19"/>
      <c r="C160" s="19"/>
      <c r="D160" s="22"/>
      <c r="E160" s="22"/>
      <c r="F160" s="22"/>
      <c r="G160" s="22"/>
    </row>
    <row r="161" spans="1:15" ht="29.1" customHeight="1" x14ac:dyDescent="0.2">
      <c r="A161" s="22"/>
      <c r="B161" s="288" t="s">
        <v>153</v>
      </c>
      <c r="C161" s="289"/>
      <c r="D161" s="2" t="s">
        <v>142</v>
      </c>
      <c r="E161" s="22"/>
      <c r="F161" s="22"/>
      <c r="G161" s="22"/>
    </row>
    <row r="162" spans="1:15" ht="29.1" customHeight="1" x14ac:dyDescent="0.2">
      <c r="A162" s="22"/>
      <c r="B162" s="288" t="s">
        <v>154</v>
      </c>
      <c r="C162" s="289"/>
      <c r="D162" s="2" t="s">
        <v>142</v>
      </c>
      <c r="E162" s="22"/>
      <c r="F162" s="22"/>
      <c r="G162" s="22"/>
    </row>
    <row r="163" spans="1:15" ht="17.100000000000001" customHeight="1" x14ac:dyDescent="0.2">
      <c r="A163" s="22"/>
      <c r="B163" s="288" t="s">
        <v>155</v>
      </c>
      <c r="C163" s="289"/>
      <c r="D163" s="26">
        <v>0.31899669718306306</v>
      </c>
      <c r="E163" s="22"/>
      <c r="F163" s="19"/>
      <c r="G163" s="25"/>
    </row>
    <row r="164" spans="1:15" ht="17.100000000000001" customHeight="1" x14ac:dyDescent="0.2">
      <c r="A164" s="22"/>
      <c r="B164" s="288" t="s">
        <v>156</v>
      </c>
      <c r="C164" s="289"/>
      <c r="D164" s="2" t="s">
        <v>142</v>
      </c>
      <c r="E164" s="22"/>
      <c r="F164" s="22"/>
      <c r="G164" s="22"/>
    </row>
    <row r="165" spans="1:15" x14ac:dyDescent="0.2">
      <c r="J165" s="66"/>
      <c r="K165" s="66"/>
      <c r="L165" s="66"/>
      <c r="M165" s="66"/>
      <c r="N165" s="66"/>
      <c r="O165" s="66"/>
    </row>
  </sheetData>
  <mergeCells count="14">
    <mergeCell ref="A1:H1"/>
    <mergeCell ref="A2:H2"/>
    <mergeCell ref="A3:H3"/>
    <mergeCell ref="B148:C148"/>
    <mergeCell ref="J2:N2"/>
    <mergeCell ref="B146:F146"/>
    <mergeCell ref="B163:C163"/>
    <mergeCell ref="B164:C164"/>
    <mergeCell ref="B149:C149"/>
    <mergeCell ref="B150:C150"/>
    <mergeCell ref="B151:C151"/>
    <mergeCell ref="B159:C159"/>
    <mergeCell ref="B161:C161"/>
    <mergeCell ref="B162:C16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468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73643</v>
      </c>
      <c r="F7" s="6">
        <v>889.01829599999996</v>
      </c>
      <c r="G7" s="7">
        <v>3.1535251E-2</v>
      </c>
      <c r="H7" s="6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145167</v>
      </c>
      <c r="F8" s="6">
        <v>878.76843450000001</v>
      </c>
      <c r="G8" s="7">
        <v>3.1171668E-2</v>
      </c>
      <c r="H8" s="6"/>
    </row>
    <row r="9" spans="1:14" x14ac:dyDescent="0.2">
      <c r="A9" s="3">
        <v>3</v>
      </c>
      <c r="B9" s="4" t="s">
        <v>261</v>
      </c>
      <c r="C9" s="4" t="s">
        <v>262</v>
      </c>
      <c r="D9" s="4" t="s">
        <v>955</v>
      </c>
      <c r="E9" s="5">
        <v>426752</v>
      </c>
      <c r="F9" s="6">
        <v>844.54220799999996</v>
      </c>
      <c r="G9" s="7">
        <v>2.9957596E-2</v>
      </c>
      <c r="H9" s="6"/>
    </row>
    <row r="10" spans="1:14" ht="25.5" x14ac:dyDescent="0.2">
      <c r="A10" s="3">
        <v>4</v>
      </c>
      <c r="B10" s="4" t="s">
        <v>217</v>
      </c>
      <c r="C10" s="4" t="s">
        <v>218</v>
      </c>
      <c r="D10" s="4" t="s">
        <v>946</v>
      </c>
      <c r="E10" s="5">
        <v>20245</v>
      </c>
      <c r="F10" s="6">
        <v>795.99291000000005</v>
      </c>
      <c r="G10" s="7">
        <v>2.8235455E-2</v>
      </c>
      <c r="H10" s="6"/>
    </row>
    <row r="11" spans="1:14" x14ac:dyDescent="0.2">
      <c r="A11" s="3">
        <v>5</v>
      </c>
      <c r="B11" s="4" t="s">
        <v>195</v>
      </c>
      <c r="C11" s="4" t="s">
        <v>196</v>
      </c>
      <c r="D11" s="4" t="s">
        <v>71</v>
      </c>
      <c r="E11" s="5">
        <v>119696</v>
      </c>
      <c r="F11" s="6">
        <v>760.249144</v>
      </c>
      <c r="G11" s="7">
        <v>2.6967552999999998E-2</v>
      </c>
      <c r="H11" s="6"/>
    </row>
    <row r="12" spans="1:14" x14ac:dyDescent="0.2">
      <c r="A12" s="3">
        <v>6</v>
      </c>
      <c r="B12" s="4" t="s">
        <v>30</v>
      </c>
      <c r="C12" s="4" t="s">
        <v>31</v>
      </c>
      <c r="D12" s="4" t="s">
        <v>26</v>
      </c>
      <c r="E12" s="5">
        <v>39496</v>
      </c>
      <c r="F12" s="6">
        <v>676.54673200000002</v>
      </c>
      <c r="G12" s="7">
        <v>2.3998460999999999E-2</v>
      </c>
      <c r="H12" s="6"/>
    </row>
    <row r="13" spans="1:14" x14ac:dyDescent="0.2">
      <c r="A13" s="3">
        <v>7</v>
      </c>
      <c r="B13" s="4" t="s">
        <v>229</v>
      </c>
      <c r="C13" s="4" t="s">
        <v>230</v>
      </c>
      <c r="D13" s="4" t="s">
        <v>26</v>
      </c>
      <c r="E13" s="5">
        <v>75787</v>
      </c>
      <c r="F13" s="6">
        <v>675.86846600000001</v>
      </c>
      <c r="G13" s="7">
        <v>2.3974401999999999E-2</v>
      </c>
      <c r="H13" s="6"/>
    </row>
    <row r="14" spans="1:14" x14ac:dyDescent="0.2">
      <c r="A14" s="3">
        <v>8</v>
      </c>
      <c r="B14" s="4" t="s">
        <v>36</v>
      </c>
      <c r="C14" s="4" t="s">
        <v>37</v>
      </c>
      <c r="D14" s="4" t="s">
        <v>26</v>
      </c>
      <c r="E14" s="5">
        <v>48732</v>
      </c>
      <c r="F14" s="6">
        <v>650.52346799999998</v>
      </c>
      <c r="G14" s="7">
        <v>2.3075364000000001E-2</v>
      </c>
      <c r="H14" s="6"/>
    </row>
    <row r="15" spans="1:14" x14ac:dyDescent="0.2">
      <c r="A15" s="3">
        <v>9</v>
      </c>
      <c r="B15" s="4" t="s">
        <v>207</v>
      </c>
      <c r="C15" s="4" t="s">
        <v>208</v>
      </c>
      <c r="D15" s="4" t="s">
        <v>948</v>
      </c>
      <c r="E15" s="5">
        <v>128698</v>
      </c>
      <c r="F15" s="6">
        <v>645.03437599999995</v>
      </c>
      <c r="G15" s="7">
        <v>2.2880655E-2</v>
      </c>
      <c r="H15" s="6"/>
    </row>
    <row r="16" spans="1:14" ht="15" x14ac:dyDescent="0.2">
      <c r="A16" s="3">
        <v>10</v>
      </c>
      <c r="B16" s="4" t="s">
        <v>193</v>
      </c>
      <c r="C16" s="4" t="s">
        <v>194</v>
      </c>
      <c r="D16" s="4" t="s">
        <v>947</v>
      </c>
      <c r="E16" s="5">
        <v>115911</v>
      </c>
      <c r="F16" s="6">
        <v>641.97307350000005</v>
      </c>
      <c r="G16" s="7">
        <v>2.2772065000000001E-2</v>
      </c>
      <c r="H16" s="6"/>
      <c r="J16" s="192" t="s">
        <v>1148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942</v>
      </c>
      <c r="E17" s="5">
        <v>50165</v>
      </c>
      <c r="F17" s="6">
        <v>612.89088749999996</v>
      </c>
      <c r="G17" s="7">
        <v>2.1740461999999999E-2</v>
      </c>
      <c r="H17" s="6"/>
    </row>
    <row r="18" spans="1:8" x14ac:dyDescent="0.2">
      <c r="A18" s="3">
        <v>12</v>
      </c>
      <c r="B18" s="4" t="s">
        <v>166</v>
      </c>
      <c r="C18" s="4" t="s">
        <v>167</v>
      </c>
      <c r="D18" s="4" t="s">
        <v>82</v>
      </c>
      <c r="E18" s="5">
        <v>543584</v>
      </c>
      <c r="F18" s="6">
        <v>606.63974399999995</v>
      </c>
      <c r="G18" s="7">
        <v>2.1518721000000001E-2</v>
      </c>
      <c r="H18" s="6"/>
    </row>
    <row r="19" spans="1:8" x14ac:dyDescent="0.2">
      <c r="A19" s="3">
        <v>13</v>
      </c>
      <c r="B19" s="4" t="s">
        <v>236</v>
      </c>
      <c r="C19" s="4" t="s">
        <v>237</v>
      </c>
      <c r="D19" s="4" t="s">
        <v>947</v>
      </c>
      <c r="E19" s="5">
        <v>13964</v>
      </c>
      <c r="F19" s="6">
        <v>603.33556599999997</v>
      </c>
      <c r="G19" s="7">
        <v>2.1401514999999999E-2</v>
      </c>
      <c r="H19" s="6"/>
    </row>
    <row r="20" spans="1:8" x14ac:dyDescent="0.2">
      <c r="A20" s="3">
        <v>14</v>
      </c>
      <c r="B20" s="4" t="s">
        <v>263</v>
      </c>
      <c r="C20" s="4" t="s">
        <v>264</v>
      </c>
      <c r="D20" s="4" t="s">
        <v>26</v>
      </c>
      <c r="E20" s="5">
        <v>87229</v>
      </c>
      <c r="F20" s="6">
        <v>588.88297899999998</v>
      </c>
      <c r="G20" s="7">
        <v>2.0888852999999999E-2</v>
      </c>
      <c r="H20" s="6"/>
    </row>
    <row r="21" spans="1:8" ht="25.5" x14ac:dyDescent="0.2">
      <c r="A21" s="3">
        <v>15</v>
      </c>
      <c r="B21" s="4" t="s">
        <v>313</v>
      </c>
      <c r="C21" s="4" t="s">
        <v>314</v>
      </c>
      <c r="D21" s="4" t="s">
        <v>71</v>
      </c>
      <c r="E21" s="5">
        <v>152558</v>
      </c>
      <c r="F21" s="6">
        <v>587.043184</v>
      </c>
      <c r="G21" s="7">
        <v>2.0823591999999998E-2</v>
      </c>
      <c r="H21" s="6"/>
    </row>
    <row r="22" spans="1:8" x14ac:dyDescent="0.2">
      <c r="A22" s="3">
        <v>16</v>
      </c>
      <c r="B22" s="4" t="s">
        <v>209</v>
      </c>
      <c r="C22" s="4" t="s">
        <v>210</v>
      </c>
      <c r="D22" s="4" t="s">
        <v>934</v>
      </c>
      <c r="E22" s="5">
        <v>30086</v>
      </c>
      <c r="F22" s="6">
        <v>586.43631200000004</v>
      </c>
      <c r="G22" s="7">
        <v>2.0802065000000002E-2</v>
      </c>
      <c r="H22" s="6"/>
    </row>
    <row r="23" spans="1:8" x14ac:dyDescent="0.2">
      <c r="A23" s="3">
        <v>17</v>
      </c>
      <c r="B23" s="4" t="s">
        <v>168</v>
      </c>
      <c r="C23" s="4" t="s">
        <v>169</v>
      </c>
      <c r="D23" s="4" t="s">
        <v>944</v>
      </c>
      <c r="E23" s="5">
        <v>41227</v>
      </c>
      <c r="F23" s="6">
        <v>547.26781149999999</v>
      </c>
      <c r="G23" s="7">
        <v>1.9412680000000002E-2</v>
      </c>
      <c r="H23" s="6"/>
    </row>
    <row r="24" spans="1:8" x14ac:dyDescent="0.2">
      <c r="A24" s="3">
        <v>18</v>
      </c>
      <c r="B24" s="4" t="s">
        <v>92</v>
      </c>
      <c r="C24" s="4" t="s">
        <v>93</v>
      </c>
      <c r="D24" s="4" t="s">
        <v>923</v>
      </c>
      <c r="E24" s="5">
        <v>110331</v>
      </c>
      <c r="F24" s="6">
        <v>502.88869799999998</v>
      </c>
      <c r="G24" s="7">
        <v>1.7838465000000001E-2</v>
      </c>
      <c r="H24" s="6"/>
    </row>
    <row r="25" spans="1:8" x14ac:dyDescent="0.2">
      <c r="A25" s="3">
        <v>19</v>
      </c>
      <c r="B25" s="4" t="s">
        <v>231</v>
      </c>
      <c r="C25" s="4" t="s">
        <v>232</v>
      </c>
      <c r="D25" s="4" t="s">
        <v>233</v>
      </c>
      <c r="E25" s="5">
        <v>171020</v>
      </c>
      <c r="F25" s="6">
        <v>482.01987000000003</v>
      </c>
      <c r="G25" s="7">
        <v>1.7098206000000001E-2</v>
      </c>
      <c r="H25" s="6"/>
    </row>
    <row r="26" spans="1:8" x14ac:dyDescent="0.2">
      <c r="A26" s="3">
        <v>20</v>
      </c>
      <c r="B26" s="4" t="s">
        <v>201</v>
      </c>
      <c r="C26" s="4" t="s">
        <v>202</v>
      </c>
      <c r="D26" s="4" t="s">
        <v>923</v>
      </c>
      <c r="E26" s="5">
        <v>42208</v>
      </c>
      <c r="F26" s="6">
        <v>458.56881600000003</v>
      </c>
      <c r="G26" s="7">
        <v>1.6266349999999999E-2</v>
      </c>
      <c r="H26" s="6"/>
    </row>
    <row r="27" spans="1:8" x14ac:dyDescent="0.2">
      <c r="A27" s="3">
        <v>21</v>
      </c>
      <c r="B27" s="4" t="s">
        <v>178</v>
      </c>
      <c r="C27" s="4" t="s">
        <v>179</v>
      </c>
      <c r="D27" s="4" t="s">
        <v>934</v>
      </c>
      <c r="E27" s="5">
        <v>30957</v>
      </c>
      <c r="F27" s="6">
        <v>442.74701399999998</v>
      </c>
      <c r="G27" s="7">
        <v>1.5705119E-2</v>
      </c>
      <c r="H27" s="6"/>
    </row>
    <row r="28" spans="1:8" x14ac:dyDescent="0.2">
      <c r="A28" s="3">
        <v>22</v>
      </c>
      <c r="B28" s="4" t="s">
        <v>197</v>
      </c>
      <c r="C28" s="4" t="s">
        <v>198</v>
      </c>
      <c r="D28" s="4" t="s">
        <v>82</v>
      </c>
      <c r="E28" s="5">
        <v>62271</v>
      </c>
      <c r="F28" s="6">
        <v>437.391504</v>
      </c>
      <c r="G28" s="7">
        <v>1.5515149000000001E-2</v>
      </c>
      <c r="H28" s="6"/>
    </row>
    <row r="29" spans="1:8" x14ac:dyDescent="0.2">
      <c r="A29" s="3">
        <v>23</v>
      </c>
      <c r="B29" s="4" t="s">
        <v>199</v>
      </c>
      <c r="C29" s="4" t="s">
        <v>200</v>
      </c>
      <c r="D29" s="4" t="s">
        <v>940</v>
      </c>
      <c r="E29" s="5">
        <v>23267</v>
      </c>
      <c r="F29" s="6">
        <v>434.08078549999999</v>
      </c>
      <c r="G29" s="7">
        <v>1.5397711E-2</v>
      </c>
      <c r="H29" s="6"/>
    </row>
    <row r="30" spans="1:8" x14ac:dyDescent="0.2">
      <c r="A30" s="3">
        <v>24</v>
      </c>
      <c r="B30" s="4" t="s">
        <v>451</v>
      </c>
      <c r="C30" s="4" t="s">
        <v>452</v>
      </c>
      <c r="D30" s="4" t="s">
        <v>71</v>
      </c>
      <c r="E30" s="5">
        <v>45571</v>
      </c>
      <c r="F30" s="6">
        <v>429.16489250000001</v>
      </c>
      <c r="G30" s="7">
        <v>1.5223334E-2</v>
      </c>
      <c r="H30" s="6"/>
    </row>
    <row r="31" spans="1:8" ht="25.5" x14ac:dyDescent="0.2">
      <c r="A31" s="3">
        <v>25</v>
      </c>
      <c r="B31" s="4" t="s">
        <v>158</v>
      </c>
      <c r="C31" s="4" t="s">
        <v>159</v>
      </c>
      <c r="D31" s="4" t="s">
        <v>941</v>
      </c>
      <c r="E31" s="5">
        <v>59402</v>
      </c>
      <c r="F31" s="6">
        <v>421.18988100000001</v>
      </c>
      <c r="G31" s="7">
        <v>1.4940445E-2</v>
      </c>
      <c r="H31" s="6"/>
    </row>
    <row r="32" spans="1:8" ht="25.5" x14ac:dyDescent="0.2">
      <c r="A32" s="3">
        <v>26</v>
      </c>
      <c r="B32" s="4" t="s">
        <v>449</v>
      </c>
      <c r="C32" s="4" t="s">
        <v>450</v>
      </c>
      <c r="D32" s="4" t="s">
        <v>936</v>
      </c>
      <c r="E32" s="5">
        <v>21290</v>
      </c>
      <c r="F32" s="6">
        <v>407.96962500000001</v>
      </c>
      <c r="G32" s="7">
        <v>1.4471496E-2</v>
      </c>
      <c r="H32" s="6"/>
    </row>
    <row r="33" spans="1:8" x14ac:dyDescent="0.2">
      <c r="A33" s="3">
        <v>27</v>
      </c>
      <c r="B33" s="4" t="s">
        <v>453</v>
      </c>
      <c r="C33" s="4" t="s">
        <v>454</v>
      </c>
      <c r="D33" s="4" t="s">
        <v>938</v>
      </c>
      <c r="E33" s="5">
        <v>57816</v>
      </c>
      <c r="F33" s="6">
        <v>406.273032</v>
      </c>
      <c r="G33" s="7">
        <v>1.4411314E-2</v>
      </c>
      <c r="H33" s="6"/>
    </row>
    <row r="34" spans="1:8" x14ac:dyDescent="0.2">
      <c r="A34" s="3">
        <v>28</v>
      </c>
      <c r="B34" s="4" t="s">
        <v>203</v>
      </c>
      <c r="C34" s="4" t="s">
        <v>204</v>
      </c>
      <c r="D34" s="4" t="s">
        <v>82</v>
      </c>
      <c r="E34" s="5">
        <v>67437</v>
      </c>
      <c r="F34" s="6">
        <v>399.32819549999999</v>
      </c>
      <c r="G34" s="7">
        <v>1.4164967000000001E-2</v>
      </c>
      <c r="H34" s="6"/>
    </row>
    <row r="35" spans="1:8" ht="25.5" x14ac:dyDescent="0.2">
      <c r="A35" s="3">
        <v>29</v>
      </c>
      <c r="B35" s="4" t="s">
        <v>42</v>
      </c>
      <c r="C35" s="4" t="s">
        <v>43</v>
      </c>
      <c r="D35" s="4" t="s">
        <v>935</v>
      </c>
      <c r="E35" s="5">
        <v>14971</v>
      </c>
      <c r="F35" s="6">
        <v>396.29734100000002</v>
      </c>
      <c r="G35" s="7">
        <v>1.4057457000000001E-2</v>
      </c>
      <c r="H35" s="6"/>
    </row>
    <row r="36" spans="1:8" x14ac:dyDescent="0.2">
      <c r="A36" s="3">
        <v>30</v>
      </c>
      <c r="B36" s="4" t="s">
        <v>265</v>
      </c>
      <c r="C36" s="4" t="s">
        <v>266</v>
      </c>
      <c r="D36" s="4" t="s">
        <v>942</v>
      </c>
      <c r="E36" s="5">
        <v>41908</v>
      </c>
      <c r="F36" s="6">
        <v>370.94866200000001</v>
      </c>
      <c r="G36" s="7">
        <v>1.3158289E-2</v>
      </c>
      <c r="H36" s="6"/>
    </row>
    <row r="37" spans="1:8" x14ac:dyDescent="0.2">
      <c r="A37" s="3">
        <v>31</v>
      </c>
      <c r="B37" s="4" t="s">
        <v>269</v>
      </c>
      <c r="C37" s="4" t="s">
        <v>270</v>
      </c>
      <c r="D37" s="4" t="s">
        <v>26</v>
      </c>
      <c r="E37" s="5">
        <v>16547</v>
      </c>
      <c r="F37" s="6">
        <v>328.31730049999999</v>
      </c>
      <c r="G37" s="7">
        <v>1.1646069E-2</v>
      </c>
      <c r="H37" s="6"/>
    </row>
    <row r="38" spans="1:8" ht="25.5" x14ac:dyDescent="0.2">
      <c r="A38" s="3">
        <v>32</v>
      </c>
      <c r="B38" s="4" t="s">
        <v>170</v>
      </c>
      <c r="C38" s="4" t="s">
        <v>171</v>
      </c>
      <c r="D38" s="4" t="s">
        <v>945</v>
      </c>
      <c r="E38" s="5">
        <v>86287</v>
      </c>
      <c r="F38" s="6">
        <v>328.235748</v>
      </c>
      <c r="G38" s="7">
        <v>1.1643176E-2</v>
      </c>
      <c r="H38" s="6"/>
    </row>
    <row r="39" spans="1:8" ht="25.5" x14ac:dyDescent="0.2">
      <c r="A39" s="3">
        <v>33</v>
      </c>
      <c r="B39" s="4" t="s">
        <v>180</v>
      </c>
      <c r="C39" s="4" t="s">
        <v>181</v>
      </c>
      <c r="D39" s="4" t="s">
        <v>941</v>
      </c>
      <c r="E39" s="5">
        <v>62869</v>
      </c>
      <c r="F39" s="6">
        <v>318.71439550000002</v>
      </c>
      <c r="G39" s="7">
        <v>1.1305435000000001E-2</v>
      </c>
      <c r="H39" s="6"/>
    </row>
    <row r="40" spans="1:8" ht="25.5" x14ac:dyDescent="0.2">
      <c r="A40" s="3">
        <v>34</v>
      </c>
      <c r="B40" s="4" t="s">
        <v>248</v>
      </c>
      <c r="C40" s="4" t="s">
        <v>249</v>
      </c>
      <c r="D40" s="4" t="s">
        <v>950</v>
      </c>
      <c r="E40" s="5">
        <v>58166</v>
      </c>
      <c r="F40" s="6">
        <v>308.83237700000001</v>
      </c>
      <c r="G40" s="7">
        <v>1.09549E-2</v>
      </c>
      <c r="H40" s="6"/>
    </row>
    <row r="41" spans="1:8" ht="25.5" x14ac:dyDescent="0.2">
      <c r="A41" s="3">
        <v>35</v>
      </c>
      <c r="B41" s="4" t="s">
        <v>184</v>
      </c>
      <c r="C41" s="4" t="s">
        <v>185</v>
      </c>
      <c r="D41" s="4" t="s">
        <v>935</v>
      </c>
      <c r="E41" s="5">
        <v>151609</v>
      </c>
      <c r="F41" s="6">
        <v>305.49213500000002</v>
      </c>
      <c r="G41" s="7">
        <v>1.0836415E-2</v>
      </c>
      <c r="H41" s="6"/>
    </row>
    <row r="42" spans="1:8" ht="25.5" x14ac:dyDescent="0.2">
      <c r="A42" s="3">
        <v>36</v>
      </c>
      <c r="B42" s="4" t="s">
        <v>215</v>
      </c>
      <c r="C42" s="4" t="s">
        <v>216</v>
      </c>
      <c r="D42" s="4" t="s">
        <v>945</v>
      </c>
      <c r="E42" s="5">
        <v>51431</v>
      </c>
      <c r="F42" s="6">
        <v>300.0227385</v>
      </c>
      <c r="G42" s="7">
        <v>1.0642405000000001E-2</v>
      </c>
      <c r="H42" s="6"/>
    </row>
    <row r="43" spans="1:8" x14ac:dyDescent="0.2">
      <c r="A43" s="3">
        <v>37</v>
      </c>
      <c r="B43" s="4" t="s">
        <v>341</v>
      </c>
      <c r="C43" s="4" t="s">
        <v>342</v>
      </c>
      <c r="D43" s="4" t="s">
        <v>940</v>
      </c>
      <c r="E43" s="5">
        <v>7574</v>
      </c>
      <c r="F43" s="6">
        <v>288.70194500000002</v>
      </c>
      <c r="G43" s="7">
        <v>1.0240834000000001E-2</v>
      </c>
      <c r="H43" s="6"/>
    </row>
    <row r="44" spans="1:8" x14ac:dyDescent="0.2">
      <c r="A44" s="3">
        <v>38</v>
      </c>
      <c r="B44" s="4" t="s">
        <v>164</v>
      </c>
      <c r="C44" s="4" t="s">
        <v>165</v>
      </c>
      <c r="D44" s="4" t="s">
        <v>944</v>
      </c>
      <c r="E44" s="5">
        <v>60258</v>
      </c>
      <c r="F44" s="6">
        <v>287.21975700000002</v>
      </c>
      <c r="G44" s="7">
        <v>1.0188256999999999E-2</v>
      </c>
      <c r="H44" s="6"/>
    </row>
    <row r="45" spans="1:8" x14ac:dyDescent="0.2">
      <c r="A45" s="3">
        <v>39</v>
      </c>
      <c r="B45" s="4" t="s">
        <v>213</v>
      </c>
      <c r="C45" s="4" t="s">
        <v>214</v>
      </c>
      <c r="D45" s="4" t="s">
        <v>64</v>
      </c>
      <c r="E45" s="5">
        <v>329417</v>
      </c>
      <c r="F45" s="6">
        <v>284.78099650000001</v>
      </c>
      <c r="G45" s="7">
        <v>1.010175E-2</v>
      </c>
      <c r="H45" s="6"/>
    </row>
    <row r="46" spans="1:8" x14ac:dyDescent="0.2">
      <c r="A46" s="3">
        <v>40</v>
      </c>
      <c r="B46" s="4" t="s">
        <v>455</v>
      </c>
      <c r="C46" s="4" t="s">
        <v>456</v>
      </c>
      <c r="D46" s="4" t="s">
        <v>71</v>
      </c>
      <c r="E46" s="5">
        <v>24632</v>
      </c>
      <c r="F46" s="6">
        <v>279.905732</v>
      </c>
      <c r="G46" s="7">
        <v>9.9288139999999993E-3</v>
      </c>
      <c r="H46" s="6"/>
    </row>
    <row r="47" spans="1:8" x14ac:dyDescent="0.2">
      <c r="A47" s="3">
        <v>41</v>
      </c>
      <c r="B47" s="4" t="s">
        <v>32</v>
      </c>
      <c r="C47" s="4" t="s">
        <v>33</v>
      </c>
      <c r="D47" s="4" t="s">
        <v>26</v>
      </c>
      <c r="E47" s="5">
        <v>8287</v>
      </c>
      <c r="F47" s="6">
        <v>275.96538700000002</v>
      </c>
      <c r="G47" s="7">
        <v>9.7890419999999995E-3</v>
      </c>
      <c r="H47" s="6"/>
    </row>
    <row r="48" spans="1:8" x14ac:dyDescent="0.2">
      <c r="A48" s="3">
        <v>42</v>
      </c>
      <c r="B48" s="4" t="s">
        <v>461</v>
      </c>
      <c r="C48" s="4" t="s">
        <v>462</v>
      </c>
      <c r="D48" s="4" t="s">
        <v>82</v>
      </c>
      <c r="E48" s="5">
        <v>26475</v>
      </c>
      <c r="F48" s="6">
        <v>274.33395000000002</v>
      </c>
      <c r="G48" s="7">
        <v>9.7311719999999997E-3</v>
      </c>
      <c r="H48" s="6"/>
    </row>
    <row r="49" spans="1:8" x14ac:dyDescent="0.2">
      <c r="A49" s="3">
        <v>43</v>
      </c>
      <c r="B49" s="4" t="s">
        <v>457</v>
      </c>
      <c r="C49" s="4" t="s">
        <v>458</v>
      </c>
      <c r="D49" s="4" t="s">
        <v>26</v>
      </c>
      <c r="E49" s="5">
        <v>35318</v>
      </c>
      <c r="F49" s="6">
        <v>270.83608299999997</v>
      </c>
      <c r="G49" s="7">
        <v>9.6070960000000007E-3</v>
      </c>
      <c r="H49" s="6"/>
    </row>
    <row r="50" spans="1:8" x14ac:dyDescent="0.2">
      <c r="A50" s="3">
        <v>44</v>
      </c>
      <c r="B50" s="4" t="s">
        <v>463</v>
      </c>
      <c r="C50" s="4" t="s">
        <v>464</v>
      </c>
      <c r="D50" s="4" t="s">
        <v>952</v>
      </c>
      <c r="E50" s="5">
        <v>28480</v>
      </c>
      <c r="F50" s="6">
        <v>267.12815999999998</v>
      </c>
      <c r="G50" s="7">
        <v>9.4755680000000002E-3</v>
      </c>
      <c r="H50" s="6"/>
    </row>
    <row r="51" spans="1:8" x14ac:dyDescent="0.2">
      <c r="A51" s="3">
        <v>45</v>
      </c>
      <c r="B51" s="4" t="s">
        <v>459</v>
      </c>
      <c r="C51" s="4" t="s">
        <v>460</v>
      </c>
      <c r="D51" s="4" t="s">
        <v>26</v>
      </c>
      <c r="E51" s="5">
        <v>43600</v>
      </c>
      <c r="F51" s="6">
        <v>265.10980000000001</v>
      </c>
      <c r="G51" s="7">
        <v>9.4039729999999995E-3</v>
      </c>
      <c r="H51" s="6"/>
    </row>
    <row r="52" spans="1:8" x14ac:dyDescent="0.2">
      <c r="A52" s="3">
        <v>46</v>
      </c>
      <c r="B52" s="4" t="s">
        <v>267</v>
      </c>
      <c r="C52" s="4" t="s">
        <v>268</v>
      </c>
      <c r="D52" s="4" t="s">
        <v>82</v>
      </c>
      <c r="E52" s="5">
        <v>450454</v>
      </c>
      <c r="F52" s="6">
        <v>257.20923399999998</v>
      </c>
      <c r="G52" s="7">
        <v>9.1237239999999997E-3</v>
      </c>
      <c r="H52" s="6"/>
    </row>
    <row r="53" spans="1:8" ht="25.5" x14ac:dyDescent="0.2">
      <c r="A53" s="3">
        <v>47</v>
      </c>
      <c r="B53" s="4" t="s">
        <v>162</v>
      </c>
      <c r="C53" s="4" t="s">
        <v>163</v>
      </c>
      <c r="D53" s="4" t="s">
        <v>943</v>
      </c>
      <c r="E53" s="5">
        <v>243936</v>
      </c>
      <c r="F53" s="6">
        <v>250.88817599999999</v>
      </c>
      <c r="G53" s="7">
        <v>8.8995040000000008E-3</v>
      </c>
      <c r="H53" s="6"/>
    </row>
    <row r="54" spans="1:8" ht="51" x14ac:dyDescent="0.2">
      <c r="A54" s="3">
        <v>48</v>
      </c>
      <c r="B54" s="4" t="s">
        <v>238</v>
      </c>
      <c r="C54" s="4" t="s">
        <v>239</v>
      </c>
      <c r="D54" s="4" t="s">
        <v>939</v>
      </c>
      <c r="E54" s="5">
        <v>104294</v>
      </c>
      <c r="F54" s="6">
        <v>250.149159</v>
      </c>
      <c r="G54" s="7">
        <v>8.8732889999999995E-3</v>
      </c>
      <c r="H54" s="6"/>
    </row>
    <row r="55" spans="1:8" ht="25.5" x14ac:dyDescent="0.2">
      <c r="A55" s="3">
        <v>49</v>
      </c>
      <c r="B55" s="4" t="s">
        <v>221</v>
      </c>
      <c r="C55" s="4" t="s">
        <v>222</v>
      </c>
      <c r="D55" s="4" t="s">
        <v>945</v>
      </c>
      <c r="E55" s="5">
        <v>14493</v>
      </c>
      <c r="F55" s="6">
        <v>249.12017700000001</v>
      </c>
      <c r="G55" s="7">
        <v>8.8367889999999994E-3</v>
      </c>
      <c r="H55" s="6"/>
    </row>
    <row r="56" spans="1:8" ht="25.5" x14ac:dyDescent="0.2">
      <c r="A56" s="3">
        <v>50</v>
      </c>
      <c r="B56" s="4" t="s">
        <v>219</v>
      </c>
      <c r="C56" s="4" t="s">
        <v>220</v>
      </c>
      <c r="D56" s="4" t="s">
        <v>950</v>
      </c>
      <c r="E56" s="5">
        <v>60710</v>
      </c>
      <c r="F56" s="6">
        <v>247.78786500000001</v>
      </c>
      <c r="G56" s="7">
        <v>8.7895300000000003E-3</v>
      </c>
      <c r="H56" s="6"/>
    </row>
    <row r="57" spans="1:8" x14ac:dyDescent="0.2">
      <c r="A57" s="3">
        <v>51</v>
      </c>
      <c r="B57" s="4" t="s">
        <v>223</v>
      </c>
      <c r="C57" s="4" t="s">
        <v>224</v>
      </c>
      <c r="D57" s="4" t="s">
        <v>71</v>
      </c>
      <c r="E57" s="5">
        <v>98339</v>
      </c>
      <c r="F57" s="6">
        <v>242.40563499999999</v>
      </c>
      <c r="G57" s="7">
        <v>8.5986110000000008E-3</v>
      </c>
      <c r="H57" s="6"/>
    </row>
    <row r="58" spans="1:8" ht="25.5" x14ac:dyDescent="0.2">
      <c r="A58" s="3">
        <v>52</v>
      </c>
      <c r="B58" s="4" t="s">
        <v>256</v>
      </c>
      <c r="C58" s="4" t="s">
        <v>257</v>
      </c>
      <c r="D58" s="4" t="s">
        <v>954</v>
      </c>
      <c r="E58" s="5">
        <v>72207</v>
      </c>
      <c r="F58" s="6">
        <v>241.85734650000001</v>
      </c>
      <c r="G58" s="7">
        <v>8.5791619999999996E-3</v>
      </c>
      <c r="H58" s="6"/>
    </row>
    <row r="59" spans="1:8" x14ac:dyDescent="0.2">
      <c r="A59" s="3">
        <v>53</v>
      </c>
      <c r="B59" s="4" t="s">
        <v>225</v>
      </c>
      <c r="C59" s="4" t="s">
        <v>226</v>
      </c>
      <c r="D59" s="4" t="s">
        <v>951</v>
      </c>
      <c r="E59" s="5">
        <v>76500</v>
      </c>
      <c r="F59" s="6">
        <v>239.86574999999999</v>
      </c>
      <c r="G59" s="7">
        <v>8.5085160000000007E-3</v>
      </c>
      <c r="H59" s="6"/>
    </row>
    <row r="60" spans="1:8" x14ac:dyDescent="0.2">
      <c r="A60" s="3">
        <v>54</v>
      </c>
      <c r="B60" s="4" t="s">
        <v>244</v>
      </c>
      <c r="C60" s="4" t="s">
        <v>245</v>
      </c>
      <c r="D60" s="4" t="s">
        <v>13</v>
      </c>
      <c r="E60" s="5">
        <v>81590</v>
      </c>
      <c r="F60" s="6">
        <v>220.53776999999999</v>
      </c>
      <c r="G60" s="7">
        <v>7.8229140000000003E-3</v>
      </c>
      <c r="H60" s="6"/>
    </row>
    <row r="61" spans="1:8" x14ac:dyDescent="0.2">
      <c r="A61" s="3">
        <v>55</v>
      </c>
      <c r="B61" s="4" t="s">
        <v>227</v>
      </c>
      <c r="C61" s="4" t="s">
        <v>228</v>
      </c>
      <c r="D61" s="4" t="s">
        <v>26</v>
      </c>
      <c r="E61" s="5">
        <v>21572</v>
      </c>
      <c r="F61" s="6">
        <v>218.761652</v>
      </c>
      <c r="G61" s="7">
        <v>7.7599119999999999E-3</v>
      </c>
      <c r="H61" s="6"/>
    </row>
    <row r="62" spans="1:8" x14ac:dyDescent="0.2">
      <c r="A62" s="3">
        <v>56</v>
      </c>
      <c r="B62" s="4" t="s">
        <v>205</v>
      </c>
      <c r="C62" s="4" t="s">
        <v>206</v>
      </c>
      <c r="D62" s="4" t="s">
        <v>64</v>
      </c>
      <c r="E62" s="5">
        <v>53690</v>
      </c>
      <c r="F62" s="6">
        <v>193.25715500000001</v>
      </c>
      <c r="G62" s="7">
        <v>6.8552170000000003E-3</v>
      </c>
      <c r="H62" s="6"/>
    </row>
    <row r="63" spans="1:8" ht="38.25" x14ac:dyDescent="0.2">
      <c r="A63" s="3">
        <v>57</v>
      </c>
      <c r="B63" s="4" t="s">
        <v>254</v>
      </c>
      <c r="C63" s="4" t="s">
        <v>255</v>
      </c>
      <c r="D63" s="4" t="s">
        <v>953</v>
      </c>
      <c r="E63" s="5">
        <v>27300</v>
      </c>
      <c r="F63" s="6">
        <v>189.8169</v>
      </c>
      <c r="G63" s="7">
        <v>6.7331839999999997E-3</v>
      </c>
      <c r="H63" s="6"/>
    </row>
    <row r="64" spans="1:8" x14ac:dyDescent="0.2">
      <c r="A64" s="3">
        <v>58</v>
      </c>
      <c r="B64" s="4" t="s">
        <v>271</v>
      </c>
      <c r="C64" s="4" t="s">
        <v>272</v>
      </c>
      <c r="D64" s="4" t="s">
        <v>940</v>
      </c>
      <c r="E64" s="5">
        <v>29625</v>
      </c>
      <c r="F64" s="6">
        <v>184.80074999999999</v>
      </c>
      <c r="G64" s="7">
        <v>6.5552509999999998E-3</v>
      </c>
      <c r="H64" s="6"/>
    </row>
    <row r="65" spans="1:8" x14ac:dyDescent="0.2">
      <c r="A65" s="3">
        <v>59</v>
      </c>
      <c r="B65" s="4" t="s">
        <v>465</v>
      </c>
      <c r="C65" s="4" t="s">
        <v>466</v>
      </c>
      <c r="D65" s="4" t="s">
        <v>944</v>
      </c>
      <c r="E65" s="5">
        <v>284562</v>
      </c>
      <c r="F65" s="6">
        <v>183.68477100000001</v>
      </c>
      <c r="G65" s="7">
        <v>6.5156650000000003E-3</v>
      </c>
      <c r="H65" s="6"/>
    </row>
    <row r="66" spans="1:8" x14ac:dyDescent="0.2">
      <c r="A66" s="3">
        <v>60</v>
      </c>
      <c r="B66" s="4" t="s">
        <v>234</v>
      </c>
      <c r="C66" s="4" t="s">
        <v>235</v>
      </c>
      <c r="D66" s="4" t="s">
        <v>952</v>
      </c>
      <c r="E66" s="5">
        <v>123782</v>
      </c>
      <c r="F66" s="6">
        <v>183.32114200000001</v>
      </c>
      <c r="G66" s="7">
        <v>6.5027660000000001E-3</v>
      </c>
      <c r="H66" s="6"/>
    </row>
    <row r="67" spans="1:8" ht="25.5" x14ac:dyDescent="0.2">
      <c r="A67" s="3">
        <v>61</v>
      </c>
      <c r="B67" s="4" t="s">
        <v>172</v>
      </c>
      <c r="C67" s="4" t="s">
        <v>173</v>
      </c>
      <c r="D67" s="4" t="s">
        <v>71</v>
      </c>
      <c r="E67" s="5">
        <v>8392</v>
      </c>
      <c r="F67" s="6">
        <v>165.11679599999999</v>
      </c>
      <c r="G67" s="7">
        <v>5.8570219999999999E-3</v>
      </c>
      <c r="H67" s="6"/>
    </row>
    <row r="68" spans="1:8" ht="25.5" x14ac:dyDescent="0.2">
      <c r="A68" s="3">
        <v>62</v>
      </c>
      <c r="B68" s="4" t="s">
        <v>469</v>
      </c>
      <c r="C68" s="4" t="s">
        <v>470</v>
      </c>
      <c r="D68" s="4" t="s">
        <v>945</v>
      </c>
      <c r="E68" s="5">
        <v>40059</v>
      </c>
      <c r="F68" s="6">
        <v>159.43482</v>
      </c>
      <c r="G68" s="7">
        <v>5.6554709999999996E-3</v>
      </c>
      <c r="H68" s="6"/>
    </row>
    <row r="69" spans="1:8" x14ac:dyDescent="0.2">
      <c r="A69" s="3">
        <v>63</v>
      </c>
      <c r="B69" s="4" t="s">
        <v>246</v>
      </c>
      <c r="C69" s="4" t="s">
        <v>247</v>
      </c>
      <c r="D69" s="4" t="s">
        <v>91</v>
      </c>
      <c r="E69" s="5">
        <v>19778</v>
      </c>
      <c r="F69" s="6">
        <v>155.375968</v>
      </c>
      <c r="G69" s="7">
        <v>5.5114949999999999E-3</v>
      </c>
      <c r="H69" s="6"/>
    </row>
    <row r="70" spans="1:8" x14ac:dyDescent="0.2">
      <c r="A70" s="3">
        <v>64</v>
      </c>
      <c r="B70" s="4" t="s">
        <v>174</v>
      </c>
      <c r="C70" s="4" t="s">
        <v>175</v>
      </c>
      <c r="D70" s="4" t="s">
        <v>71</v>
      </c>
      <c r="E70" s="5">
        <v>24209</v>
      </c>
      <c r="F70" s="6">
        <v>153.65452300000001</v>
      </c>
      <c r="G70" s="7">
        <v>5.4504319999999998E-3</v>
      </c>
      <c r="H70" s="6"/>
    </row>
    <row r="71" spans="1:8" x14ac:dyDescent="0.2">
      <c r="A71" s="3">
        <v>65</v>
      </c>
      <c r="B71" s="4" t="s">
        <v>176</v>
      </c>
      <c r="C71" s="4" t="s">
        <v>177</v>
      </c>
      <c r="D71" s="4" t="s">
        <v>944</v>
      </c>
      <c r="E71" s="5">
        <v>138250</v>
      </c>
      <c r="F71" s="6">
        <v>140.32374999999999</v>
      </c>
      <c r="G71" s="7">
        <v>4.977563E-3</v>
      </c>
      <c r="H71" s="6"/>
    </row>
    <row r="72" spans="1:8" ht="25.5" x14ac:dyDescent="0.2">
      <c r="A72" s="3">
        <v>66</v>
      </c>
      <c r="B72" s="4" t="s">
        <v>277</v>
      </c>
      <c r="C72" s="4" t="s">
        <v>278</v>
      </c>
      <c r="D72" s="4" t="s">
        <v>946</v>
      </c>
      <c r="E72" s="5">
        <v>22459</v>
      </c>
      <c r="F72" s="6">
        <v>133.496296</v>
      </c>
      <c r="G72" s="7">
        <v>4.73538E-3</v>
      </c>
      <c r="H72" s="6"/>
    </row>
    <row r="73" spans="1:8" x14ac:dyDescent="0.2">
      <c r="A73" s="3">
        <v>67</v>
      </c>
      <c r="B73" s="4" t="s">
        <v>279</v>
      </c>
      <c r="C73" s="4" t="s">
        <v>280</v>
      </c>
      <c r="D73" s="4" t="s">
        <v>18</v>
      </c>
      <c r="E73" s="5">
        <v>61866</v>
      </c>
      <c r="F73" s="6">
        <v>132.51697200000001</v>
      </c>
      <c r="G73" s="7">
        <v>4.7006410000000002E-3</v>
      </c>
      <c r="H73" s="6"/>
    </row>
    <row r="74" spans="1:8" ht="25.5" x14ac:dyDescent="0.2">
      <c r="A74" s="3">
        <v>68</v>
      </c>
      <c r="B74" s="4" t="s">
        <v>188</v>
      </c>
      <c r="C74" s="4" t="s">
        <v>189</v>
      </c>
      <c r="D74" s="4" t="s">
        <v>945</v>
      </c>
      <c r="E74" s="5">
        <v>2928</v>
      </c>
      <c r="F74" s="6">
        <v>129.910968</v>
      </c>
      <c r="G74" s="7">
        <v>4.6082010000000001E-3</v>
      </c>
      <c r="H74" s="6"/>
    </row>
    <row r="75" spans="1:8" x14ac:dyDescent="0.2">
      <c r="A75" s="3">
        <v>69</v>
      </c>
      <c r="B75" s="4" t="s">
        <v>240</v>
      </c>
      <c r="C75" s="4" t="s">
        <v>241</v>
      </c>
      <c r="D75" s="4" t="s">
        <v>940</v>
      </c>
      <c r="E75" s="5">
        <v>24787</v>
      </c>
      <c r="F75" s="6">
        <v>129.77233849999999</v>
      </c>
      <c r="G75" s="7">
        <v>4.603284E-3</v>
      </c>
      <c r="H75" s="6"/>
    </row>
    <row r="76" spans="1:8" ht="25.5" x14ac:dyDescent="0.2">
      <c r="A76" s="3">
        <v>70</v>
      </c>
      <c r="B76" s="4" t="s">
        <v>281</v>
      </c>
      <c r="C76" s="4" t="s">
        <v>282</v>
      </c>
      <c r="D76" s="4" t="s">
        <v>945</v>
      </c>
      <c r="E76" s="5">
        <v>47700</v>
      </c>
      <c r="F76" s="6">
        <v>119.3931</v>
      </c>
      <c r="G76" s="7">
        <v>4.2351109999999997E-3</v>
      </c>
      <c r="H76" s="6"/>
    </row>
    <row r="77" spans="1:8" x14ac:dyDescent="0.2">
      <c r="A77" s="3">
        <v>71</v>
      </c>
      <c r="B77" s="4" t="s">
        <v>106</v>
      </c>
      <c r="C77" s="4" t="s">
        <v>107</v>
      </c>
      <c r="D77" s="4" t="s">
        <v>923</v>
      </c>
      <c r="E77" s="5">
        <v>154250</v>
      </c>
      <c r="F77" s="6">
        <v>117.07575</v>
      </c>
      <c r="G77" s="7">
        <v>4.1529100000000001E-3</v>
      </c>
      <c r="H77" s="6"/>
    </row>
    <row r="78" spans="1:8" x14ac:dyDescent="0.2">
      <c r="A78" s="3">
        <v>72</v>
      </c>
      <c r="B78" s="4" t="s">
        <v>250</v>
      </c>
      <c r="C78" s="4" t="s">
        <v>251</v>
      </c>
      <c r="D78" s="4" t="s">
        <v>302</v>
      </c>
      <c r="E78" s="5">
        <v>13264</v>
      </c>
      <c r="F78" s="6">
        <v>86.196104000000005</v>
      </c>
      <c r="G78" s="7">
        <v>3.0575480000000002E-3</v>
      </c>
      <c r="H78" s="6"/>
    </row>
    <row r="79" spans="1:8" ht="25.5" x14ac:dyDescent="0.2">
      <c r="A79" s="3">
        <v>73</v>
      </c>
      <c r="B79" s="4" t="s">
        <v>258</v>
      </c>
      <c r="C79" s="4" t="s">
        <v>259</v>
      </c>
      <c r="D79" s="4" t="s">
        <v>946</v>
      </c>
      <c r="E79" s="5">
        <v>8196</v>
      </c>
      <c r="F79" s="6">
        <v>72.940302000000003</v>
      </c>
      <c r="G79" s="7">
        <v>2.5873379999999998E-3</v>
      </c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9">
        <v>26612.149583499999</v>
      </c>
      <c r="G80" s="10">
        <v>0.94398599599999999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113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114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115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116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117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8" customHeight="1" x14ac:dyDescent="0.2">
      <c r="A97" s="1"/>
      <c r="B97" s="1"/>
      <c r="C97" s="2" t="s">
        <v>118</v>
      </c>
      <c r="D97" s="1"/>
      <c r="E97" s="1"/>
      <c r="F97" s="9">
        <v>26612.149583499999</v>
      </c>
      <c r="G97" s="10">
        <v>0.94398599599999999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119</v>
      </c>
      <c r="D99" s="1"/>
      <c r="E99" s="1"/>
      <c r="F99" s="12"/>
      <c r="G99" s="12"/>
      <c r="H99" s="6"/>
    </row>
    <row r="100" spans="1:8" ht="24" customHeight="1" x14ac:dyDescent="0.2">
      <c r="A100" s="1"/>
      <c r="B100" s="1"/>
      <c r="C100" s="2" t="s">
        <v>10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120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121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122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123</v>
      </c>
      <c r="D112" s="1"/>
      <c r="E112" s="1"/>
      <c r="F112" s="9">
        <v>0</v>
      </c>
      <c r="G112" s="10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124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125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127</v>
      </c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128</v>
      </c>
      <c r="D124" s="1"/>
      <c r="E124" s="1"/>
      <c r="F124" s="12"/>
      <c r="G124" s="12"/>
      <c r="H124" s="6"/>
    </row>
    <row r="125" spans="1:8" ht="17.100000000000001" customHeight="1" x14ac:dyDescent="0.2">
      <c r="A125" s="3">
        <v>1</v>
      </c>
      <c r="B125" s="4"/>
      <c r="C125" s="4" t="s">
        <v>129</v>
      </c>
      <c r="D125" s="4"/>
      <c r="E125" s="8"/>
      <c r="F125" s="6">
        <v>1505.4213846</v>
      </c>
      <c r="G125" s="7">
        <v>5.3400297999999999E-2</v>
      </c>
      <c r="H125" s="6">
        <v>3.9343919198424624</v>
      </c>
    </row>
    <row r="126" spans="1:8" ht="17.100000000000001" customHeight="1" x14ac:dyDescent="0.2">
      <c r="A126" s="3">
        <v>2</v>
      </c>
      <c r="B126" s="4"/>
      <c r="C126" s="4" t="s">
        <v>130</v>
      </c>
      <c r="D126" s="4"/>
      <c r="E126" s="8"/>
      <c r="F126" s="6">
        <v>98.875380000000007</v>
      </c>
      <c r="G126" s="7">
        <v>3.5073069999999999E-3</v>
      </c>
      <c r="H126" s="6">
        <v>3.8</v>
      </c>
    </row>
    <row r="127" spans="1:8" ht="14.1" customHeight="1" x14ac:dyDescent="0.2">
      <c r="A127" s="1"/>
      <c r="B127" s="1"/>
      <c r="C127" s="2" t="s">
        <v>111</v>
      </c>
      <c r="D127" s="1"/>
      <c r="E127" s="1" t="s">
        <v>112</v>
      </c>
      <c r="F127" s="9">
        <v>1604.2967646</v>
      </c>
      <c r="G127" s="10">
        <v>5.6907605E-2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131</v>
      </c>
      <c r="D129" s="1"/>
      <c r="E129" s="1"/>
      <c r="F129" s="9">
        <v>1604.2967646</v>
      </c>
      <c r="G129" s="10">
        <v>5.6907605E-2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132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133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134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135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111</v>
      </c>
      <c r="D137" s="1"/>
      <c r="E137" s="1" t="s">
        <v>112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136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111</v>
      </c>
      <c r="D141" s="1"/>
      <c r="E141" s="1" t="s">
        <v>112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137</v>
      </c>
      <c r="D144" s="4"/>
      <c r="E144" s="8"/>
      <c r="F144" s="6">
        <v>-25.19182271</v>
      </c>
      <c r="G144" s="7">
        <v>-8.9360399999999999E-4</v>
      </c>
      <c r="H144" s="6"/>
    </row>
    <row r="145" spans="1:8" ht="14.1" customHeight="1" x14ac:dyDescent="0.2">
      <c r="A145" s="11"/>
      <c r="B145" s="11"/>
      <c r="C145" s="2" t="s">
        <v>138</v>
      </c>
      <c r="D145" s="15"/>
      <c r="E145" s="15"/>
      <c r="F145" s="9">
        <v>28191.254525389999</v>
      </c>
      <c r="G145" s="10">
        <v>0.99999999699999997</v>
      </c>
      <c r="H145" s="6"/>
    </row>
    <row r="146" spans="1:8" ht="14.1" customHeight="1" x14ac:dyDescent="0.2">
      <c r="A146" s="18"/>
      <c r="B146" s="297" t="s">
        <v>112</v>
      </c>
      <c r="C146" s="297"/>
      <c r="D146" s="297"/>
      <c r="E146" s="297"/>
      <c r="F146" s="297"/>
      <c r="G146" s="20"/>
    </row>
    <row r="147" spans="1:8" ht="14.1" customHeight="1" x14ac:dyDescent="0.2">
      <c r="A147" s="18"/>
      <c r="B147" s="18"/>
      <c r="C147" s="18"/>
      <c r="D147" s="20"/>
      <c r="E147" s="20"/>
      <c r="F147" s="20"/>
      <c r="G147" s="20"/>
    </row>
    <row r="148" spans="1:8" ht="14.1" customHeight="1" x14ac:dyDescent="0.2">
      <c r="A148" s="18"/>
      <c r="B148" s="294" t="s">
        <v>140</v>
      </c>
      <c r="C148" s="295"/>
      <c r="D148" s="12" t="s">
        <v>112</v>
      </c>
      <c r="E148" s="21"/>
      <c r="F148" s="20"/>
      <c r="G148" s="20"/>
    </row>
    <row r="149" spans="1:8" ht="29.1" customHeight="1" x14ac:dyDescent="0.2">
      <c r="A149" s="18"/>
      <c r="B149" s="288" t="s">
        <v>141</v>
      </c>
      <c r="C149" s="289"/>
      <c r="D149" s="2" t="s">
        <v>142</v>
      </c>
      <c r="E149" s="21"/>
      <c r="F149" s="20"/>
      <c r="G149" s="20"/>
    </row>
    <row r="150" spans="1:8" ht="17.100000000000001" customHeight="1" x14ac:dyDescent="0.2">
      <c r="A150" s="18"/>
      <c r="B150" s="288" t="s">
        <v>143</v>
      </c>
      <c r="C150" s="289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288" t="s">
        <v>144</v>
      </c>
      <c r="C151" s="289"/>
      <c r="D151" s="12" t="s">
        <v>112</v>
      </c>
      <c r="E151" s="21"/>
      <c r="F151" s="20"/>
      <c r="G151" s="20"/>
    </row>
    <row r="152" spans="1:8" ht="24" customHeight="1" x14ac:dyDescent="0.2">
      <c r="A152" s="22"/>
      <c r="B152" s="23" t="s">
        <v>112</v>
      </c>
      <c r="C152" s="23" t="s">
        <v>145</v>
      </c>
      <c r="D152" s="23" t="s">
        <v>146</v>
      </c>
      <c r="E152" s="22"/>
      <c r="F152" s="22"/>
      <c r="G152" s="22"/>
    </row>
    <row r="153" spans="1:8" ht="18" customHeight="1" x14ac:dyDescent="0.2">
      <c r="A153" s="22"/>
      <c r="B153" s="23" t="s">
        <v>147</v>
      </c>
      <c r="C153" s="23" t="s">
        <v>148</v>
      </c>
      <c r="D153" s="23" t="s">
        <v>149</v>
      </c>
      <c r="E153" s="22"/>
      <c r="F153" s="22"/>
      <c r="G153" s="22"/>
    </row>
    <row r="154" spans="1:8" ht="17.100000000000001" customHeight="1" x14ac:dyDescent="0.2">
      <c r="A154" s="22"/>
      <c r="B154" s="4" t="s">
        <v>150</v>
      </c>
      <c r="C154" s="24">
        <v>18.422599999999999</v>
      </c>
      <c r="D154" s="24">
        <v>18.582699999999999</v>
      </c>
      <c r="E154" s="22"/>
      <c r="F154" s="19"/>
      <c r="G154" s="25"/>
    </row>
    <row r="155" spans="1:8" ht="17.100000000000001" customHeight="1" x14ac:dyDescent="0.2">
      <c r="A155" s="22"/>
      <c r="B155" s="4" t="s">
        <v>1114</v>
      </c>
      <c r="C155" s="24">
        <v>18.084399999999999</v>
      </c>
      <c r="D155" s="24">
        <v>18.241499999999998</v>
      </c>
      <c r="E155" s="22"/>
      <c r="F155" s="19"/>
      <c r="G155" s="25"/>
    </row>
    <row r="156" spans="1:8" ht="17.100000000000001" customHeight="1" x14ac:dyDescent="0.2">
      <c r="A156" s="22"/>
      <c r="B156" s="4" t="s">
        <v>151</v>
      </c>
      <c r="C156" s="24">
        <v>17.8658</v>
      </c>
      <c r="D156" s="24">
        <v>18.0122</v>
      </c>
      <c r="E156" s="22"/>
      <c r="F156" s="19"/>
      <c r="G156" s="25"/>
    </row>
    <row r="157" spans="1:8" ht="17.100000000000001" customHeight="1" x14ac:dyDescent="0.2">
      <c r="A157" s="22"/>
      <c r="B157" s="4" t="s">
        <v>1115</v>
      </c>
      <c r="C157" s="24">
        <v>17.529199999999999</v>
      </c>
      <c r="D157" s="24">
        <v>17.672799999999999</v>
      </c>
      <c r="E157" s="22"/>
      <c r="F157" s="19"/>
      <c r="G157" s="25"/>
    </row>
    <row r="158" spans="1:8" ht="14.1" customHeight="1" x14ac:dyDescent="0.2">
      <c r="A158" s="22"/>
      <c r="B158" s="22"/>
      <c r="C158" s="22"/>
      <c r="D158" s="22"/>
      <c r="E158" s="22"/>
      <c r="F158" s="22"/>
      <c r="G158" s="22"/>
    </row>
    <row r="159" spans="1:8" ht="17.100000000000001" customHeight="1" x14ac:dyDescent="0.2">
      <c r="A159" s="22"/>
      <c r="B159" s="288" t="s">
        <v>1116</v>
      </c>
      <c r="C159" s="289"/>
      <c r="D159" s="2" t="s">
        <v>142</v>
      </c>
      <c r="E159" s="22"/>
      <c r="F159" s="22"/>
      <c r="G159" s="22"/>
    </row>
    <row r="160" spans="1:8" ht="14.1" customHeight="1" x14ac:dyDescent="0.2">
      <c r="A160" s="22"/>
      <c r="B160" s="19"/>
      <c r="C160" s="19"/>
      <c r="D160" s="22"/>
      <c r="E160" s="22"/>
      <c r="F160" s="22"/>
      <c r="G160" s="22"/>
    </row>
    <row r="161" spans="1:15" ht="29.1" customHeight="1" x14ac:dyDescent="0.2">
      <c r="A161" s="22"/>
      <c r="B161" s="288" t="s">
        <v>153</v>
      </c>
      <c r="C161" s="289"/>
      <c r="D161" s="2" t="s">
        <v>142</v>
      </c>
      <c r="E161" s="22"/>
      <c r="F161" s="22"/>
      <c r="G161" s="22"/>
    </row>
    <row r="162" spans="1:15" ht="29.1" customHeight="1" x14ac:dyDescent="0.2">
      <c r="A162" s="22"/>
      <c r="B162" s="288" t="s">
        <v>154</v>
      </c>
      <c r="C162" s="289"/>
      <c r="D162" s="2" t="s">
        <v>142</v>
      </c>
      <c r="E162" s="22"/>
      <c r="F162" s="22"/>
      <c r="G162" s="22"/>
    </row>
    <row r="163" spans="1:15" ht="17.100000000000001" customHeight="1" x14ac:dyDescent="0.2">
      <c r="A163" s="22"/>
      <c r="B163" s="288" t="s">
        <v>155</v>
      </c>
      <c r="C163" s="289"/>
      <c r="D163" s="26">
        <v>0.32208681731041516</v>
      </c>
      <c r="E163" s="22"/>
      <c r="F163" s="19"/>
      <c r="G163" s="25"/>
    </row>
    <row r="164" spans="1:15" ht="17.100000000000001" customHeight="1" x14ac:dyDescent="0.2">
      <c r="A164" s="22"/>
      <c r="B164" s="288" t="s">
        <v>156</v>
      </c>
      <c r="C164" s="289"/>
      <c r="D164" s="2" t="s">
        <v>142</v>
      </c>
      <c r="E164" s="22"/>
      <c r="F164" s="22"/>
      <c r="G164" s="22"/>
      <c r="J164" s="66"/>
      <c r="K164" s="66"/>
      <c r="L164" s="66"/>
      <c r="M164" s="66"/>
      <c r="N164" s="66"/>
      <c r="O164" s="66"/>
    </row>
  </sheetData>
  <mergeCells count="14">
    <mergeCell ref="A1:H1"/>
    <mergeCell ref="A2:H2"/>
    <mergeCell ref="A3:H3"/>
    <mergeCell ref="B148:C148"/>
    <mergeCell ref="J2:N2"/>
    <mergeCell ref="B146:F146"/>
    <mergeCell ref="B163:C163"/>
    <mergeCell ref="B164:C164"/>
    <mergeCell ref="B149:C149"/>
    <mergeCell ref="B150:C150"/>
    <mergeCell ref="B151:C151"/>
    <mergeCell ref="B159:C159"/>
    <mergeCell ref="B161:C161"/>
    <mergeCell ref="B162:C16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471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55333</v>
      </c>
      <c r="F7" s="6">
        <v>667.97997599999997</v>
      </c>
      <c r="G7" s="7">
        <v>3.3246536E-2</v>
      </c>
      <c r="H7" s="6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103381</v>
      </c>
      <c r="F8" s="6">
        <v>625.81688350000002</v>
      </c>
      <c r="G8" s="7">
        <v>3.1148004999999999E-2</v>
      </c>
      <c r="H8" s="6"/>
    </row>
    <row r="9" spans="1:14" x14ac:dyDescent="0.2">
      <c r="A9" s="3">
        <v>3</v>
      </c>
      <c r="B9" s="4" t="s">
        <v>261</v>
      </c>
      <c r="C9" s="4" t="s">
        <v>262</v>
      </c>
      <c r="D9" s="4" t="s">
        <v>955</v>
      </c>
      <c r="E9" s="5">
        <v>304491</v>
      </c>
      <c r="F9" s="6">
        <v>602.58768899999995</v>
      </c>
      <c r="G9" s="7">
        <v>2.9991846999999999E-2</v>
      </c>
      <c r="H9" s="6"/>
    </row>
    <row r="10" spans="1:14" ht="25.5" x14ac:dyDescent="0.2">
      <c r="A10" s="3">
        <v>4</v>
      </c>
      <c r="B10" s="4" t="s">
        <v>217</v>
      </c>
      <c r="C10" s="4" t="s">
        <v>218</v>
      </c>
      <c r="D10" s="4" t="s">
        <v>946</v>
      </c>
      <c r="E10" s="5">
        <v>14492</v>
      </c>
      <c r="F10" s="6">
        <v>569.79645600000003</v>
      </c>
      <c r="G10" s="7">
        <v>2.8359769999999999E-2</v>
      </c>
      <c r="H10" s="6"/>
    </row>
    <row r="11" spans="1:14" x14ac:dyDescent="0.2">
      <c r="A11" s="3">
        <v>5</v>
      </c>
      <c r="B11" s="4" t="s">
        <v>195</v>
      </c>
      <c r="C11" s="4" t="s">
        <v>196</v>
      </c>
      <c r="D11" s="4" t="s">
        <v>71</v>
      </c>
      <c r="E11" s="5">
        <v>86795</v>
      </c>
      <c r="F11" s="6">
        <v>551.27844249999998</v>
      </c>
      <c r="G11" s="7">
        <v>2.7438095999999999E-2</v>
      </c>
      <c r="H11" s="6"/>
    </row>
    <row r="12" spans="1:14" x14ac:dyDescent="0.2">
      <c r="A12" s="3">
        <v>6</v>
      </c>
      <c r="B12" s="4" t="s">
        <v>229</v>
      </c>
      <c r="C12" s="4" t="s">
        <v>230</v>
      </c>
      <c r="D12" s="4" t="s">
        <v>26</v>
      </c>
      <c r="E12" s="5">
        <v>55178</v>
      </c>
      <c r="F12" s="6">
        <v>492.077404</v>
      </c>
      <c r="G12" s="7">
        <v>2.4491556000000001E-2</v>
      </c>
      <c r="H12" s="6"/>
    </row>
    <row r="13" spans="1:14" x14ac:dyDescent="0.2">
      <c r="A13" s="3">
        <v>7</v>
      </c>
      <c r="B13" s="4" t="s">
        <v>30</v>
      </c>
      <c r="C13" s="4" t="s">
        <v>31</v>
      </c>
      <c r="D13" s="4" t="s">
        <v>26</v>
      </c>
      <c r="E13" s="5">
        <v>28200</v>
      </c>
      <c r="F13" s="6">
        <v>483.05189999999999</v>
      </c>
      <c r="G13" s="7">
        <v>2.4042340999999998E-2</v>
      </c>
      <c r="H13" s="6"/>
    </row>
    <row r="14" spans="1:14" x14ac:dyDescent="0.2">
      <c r="A14" s="3">
        <v>8</v>
      </c>
      <c r="B14" s="4" t="s">
        <v>207</v>
      </c>
      <c r="C14" s="4" t="s">
        <v>208</v>
      </c>
      <c r="D14" s="4" t="s">
        <v>948</v>
      </c>
      <c r="E14" s="5">
        <v>91611</v>
      </c>
      <c r="F14" s="6">
        <v>459.15433200000001</v>
      </c>
      <c r="G14" s="7">
        <v>2.2852917E-2</v>
      </c>
      <c r="H14" s="6"/>
    </row>
    <row r="15" spans="1:14" x14ac:dyDescent="0.2">
      <c r="A15" s="3">
        <v>9</v>
      </c>
      <c r="B15" s="4" t="s">
        <v>193</v>
      </c>
      <c r="C15" s="4" t="s">
        <v>194</v>
      </c>
      <c r="D15" s="4" t="s">
        <v>947</v>
      </c>
      <c r="E15" s="5">
        <v>82518</v>
      </c>
      <c r="F15" s="6">
        <v>457.02594299999998</v>
      </c>
      <c r="G15" s="7">
        <v>2.2746982999999998E-2</v>
      </c>
      <c r="H15" s="6"/>
    </row>
    <row r="16" spans="1:14" ht="15" x14ac:dyDescent="0.2">
      <c r="A16" s="3">
        <v>10</v>
      </c>
      <c r="B16" s="4" t="s">
        <v>236</v>
      </c>
      <c r="C16" s="4" t="s">
        <v>237</v>
      </c>
      <c r="D16" s="4" t="s">
        <v>947</v>
      </c>
      <c r="E16" s="5">
        <v>10158</v>
      </c>
      <c r="F16" s="6">
        <v>438.89162700000003</v>
      </c>
      <c r="G16" s="7">
        <v>2.1844407E-2</v>
      </c>
      <c r="H16" s="6"/>
      <c r="J16" s="192" t="s">
        <v>1148</v>
      </c>
    </row>
    <row r="17" spans="1:8" x14ac:dyDescent="0.2">
      <c r="A17" s="3">
        <v>11</v>
      </c>
      <c r="B17" s="4" t="s">
        <v>263</v>
      </c>
      <c r="C17" s="4" t="s">
        <v>264</v>
      </c>
      <c r="D17" s="4" t="s">
        <v>26</v>
      </c>
      <c r="E17" s="5">
        <v>64998</v>
      </c>
      <c r="F17" s="6">
        <v>438.80149799999998</v>
      </c>
      <c r="G17" s="7">
        <v>2.1839921000000002E-2</v>
      </c>
      <c r="H17" s="6"/>
    </row>
    <row r="18" spans="1:8" x14ac:dyDescent="0.2">
      <c r="A18" s="3">
        <v>12</v>
      </c>
      <c r="B18" s="4" t="s">
        <v>160</v>
      </c>
      <c r="C18" s="4" t="s">
        <v>161</v>
      </c>
      <c r="D18" s="4" t="s">
        <v>942</v>
      </c>
      <c r="E18" s="5">
        <v>35713</v>
      </c>
      <c r="F18" s="6">
        <v>436.3235775</v>
      </c>
      <c r="G18" s="7">
        <v>2.1716590000000001E-2</v>
      </c>
      <c r="H18" s="6"/>
    </row>
    <row r="19" spans="1:8" x14ac:dyDescent="0.2">
      <c r="A19" s="3">
        <v>13</v>
      </c>
      <c r="B19" s="4" t="s">
        <v>166</v>
      </c>
      <c r="C19" s="4" t="s">
        <v>167</v>
      </c>
      <c r="D19" s="4" t="s">
        <v>82</v>
      </c>
      <c r="E19" s="5">
        <v>390579</v>
      </c>
      <c r="F19" s="6">
        <v>435.88616400000001</v>
      </c>
      <c r="G19" s="7">
        <v>2.1694819000000001E-2</v>
      </c>
      <c r="H19" s="6"/>
    </row>
    <row r="20" spans="1:8" x14ac:dyDescent="0.2">
      <c r="A20" s="3">
        <v>14</v>
      </c>
      <c r="B20" s="4" t="s">
        <v>36</v>
      </c>
      <c r="C20" s="4" t="s">
        <v>37</v>
      </c>
      <c r="D20" s="4" t="s">
        <v>26</v>
      </c>
      <c r="E20" s="5">
        <v>31667</v>
      </c>
      <c r="F20" s="6">
        <v>422.72278299999999</v>
      </c>
      <c r="G20" s="7">
        <v>2.1039655000000001E-2</v>
      </c>
      <c r="H20" s="6"/>
    </row>
    <row r="21" spans="1:8" x14ac:dyDescent="0.2">
      <c r="A21" s="3">
        <v>15</v>
      </c>
      <c r="B21" s="4" t="s">
        <v>209</v>
      </c>
      <c r="C21" s="4" t="s">
        <v>210</v>
      </c>
      <c r="D21" s="4" t="s">
        <v>934</v>
      </c>
      <c r="E21" s="5">
        <v>21424</v>
      </c>
      <c r="F21" s="6">
        <v>417.596608</v>
      </c>
      <c r="G21" s="7">
        <v>2.0784515999999999E-2</v>
      </c>
      <c r="H21" s="6"/>
    </row>
    <row r="22" spans="1:8" x14ac:dyDescent="0.2">
      <c r="A22" s="3">
        <v>16</v>
      </c>
      <c r="B22" s="4" t="s">
        <v>168</v>
      </c>
      <c r="C22" s="4" t="s">
        <v>169</v>
      </c>
      <c r="D22" s="4" t="s">
        <v>944</v>
      </c>
      <c r="E22" s="5">
        <v>29273</v>
      </c>
      <c r="F22" s="6">
        <v>388.58443849999998</v>
      </c>
      <c r="G22" s="7">
        <v>1.9340530000000002E-2</v>
      </c>
      <c r="H22" s="6"/>
    </row>
    <row r="23" spans="1:8" ht="25.5" x14ac:dyDescent="0.2">
      <c r="A23" s="3">
        <v>17</v>
      </c>
      <c r="B23" s="4" t="s">
        <v>313</v>
      </c>
      <c r="C23" s="4" t="s">
        <v>314</v>
      </c>
      <c r="D23" s="4" t="s">
        <v>71</v>
      </c>
      <c r="E23" s="5">
        <v>93616</v>
      </c>
      <c r="F23" s="6">
        <v>360.23436800000002</v>
      </c>
      <c r="G23" s="7">
        <v>1.7929496999999999E-2</v>
      </c>
      <c r="H23" s="6"/>
    </row>
    <row r="24" spans="1:8" x14ac:dyDescent="0.2">
      <c r="A24" s="3">
        <v>18</v>
      </c>
      <c r="B24" s="4" t="s">
        <v>231</v>
      </c>
      <c r="C24" s="4" t="s">
        <v>232</v>
      </c>
      <c r="D24" s="4" t="s">
        <v>233</v>
      </c>
      <c r="E24" s="5">
        <v>124748</v>
      </c>
      <c r="F24" s="6">
        <v>351.602238</v>
      </c>
      <c r="G24" s="7">
        <v>1.7499860999999999E-2</v>
      </c>
      <c r="H24" s="6"/>
    </row>
    <row r="25" spans="1:8" x14ac:dyDescent="0.2">
      <c r="A25" s="3">
        <v>19</v>
      </c>
      <c r="B25" s="4" t="s">
        <v>201</v>
      </c>
      <c r="C25" s="4" t="s">
        <v>202</v>
      </c>
      <c r="D25" s="4" t="s">
        <v>923</v>
      </c>
      <c r="E25" s="5">
        <v>30347</v>
      </c>
      <c r="F25" s="6">
        <v>329.70498149999997</v>
      </c>
      <c r="G25" s="7">
        <v>1.6409996E-2</v>
      </c>
      <c r="H25" s="6"/>
    </row>
    <row r="26" spans="1:8" x14ac:dyDescent="0.2">
      <c r="A26" s="3">
        <v>20</v>
      </c>
      <c r="B26" s="4" t="s">
        <v>178</v>
      </c>
      <c r="C26" s="4" t="s">
        <v>179</v>
      </c>
      <c r="D26" s="4" t="s">
        <v>934</v>
      </c>
      <c r="E26" s="5">
        <v>22068</v>
      </c>
      <c r="F26" s="6">
        <v>315.616536</v>
      </c>
      <c r="G26" s="7">
        <v>1.5708789000000001E-2</v>
      </c>
      <c r="H26" s="6"/>
    </row>
    <row r="27" spans="1:8" x14ac:dyDescent="0.2">
      <c r="A27" s="3">
        <v>21</v>
      </c>
      <c r="B27" s="4" t="s">
        <v>197</v>
      </c>
      <c r="C27" s="4" t="s">
        <v>198</v>
      </c>
      <c r="D27" s="4" t="s">
        <v>82</v>
      </c>
      <c r="E27" s="5">
        <v>44577</v>
      </c>
      <c r="F27" s="6">
        <v>313.10884800000002</v>
      </c>
      <c r="G27" s="7">
        <v>1.5583977000000001E-2</v>
      </c>
      <c r="H27" s="6"/>
    </row>
    <row r="28" spans="1:8" x14ac:dyDescent="0.2">
      <c r="A28" s="3">
        <v>22</v>
      </c>
      <c r="B28" s="4" t="s">
        <v>199</v>
      </c>
      <c r="C28" s="4" t="s">
        <v>200</v>
      </c>
      <c r="D28" s="4" t="s">
        <v>940</v>
      </c>
      <c r="E28" s="5">
        <v>16566</v>
      </c>
      <c r="F28" s="6">
        <v>309.063579</v>
      </c>
      <c r="G28" s="7">
        <v>1.5382636999999999E-2</v>
      </c>
      <c r="H28" s="6"/>
    </row>
    <row r="29" spans="1:8" x14ac:dyDescent="0.2">
      <c r="A29" s="3">
        <v>23</v>
      </c>
      <c r="B29" s="4" t="s">
        <v>451</v>
      </c>
      <c r="C29" s="4" t="s">
        <v>452</v>
      </c>
      <c r="D29" s="4" t="s">
        <v>71</v>
      </c>
      <c r="E29" s="5">
        <v>32500</v>
      </c>
      <c r="F29" s="6">
        <v>306.06875000000002</v>
      </c>
      <c r="G29" s="7">
        <v>1.5233579000000001E-2</v>
      </c>
      <c r="H29" s="6"/>
    </row>
    <row r="30" spans="1:8" ht="25.5" x14ac:dyDescent="0.2">
      <c r="A30" s="3">
        <v>24</v>
      </c>
      <c r="B30" s="4" t="s">
        <v>158</v>
      </c>
      <c r="C30" s="4" t="s">
        <v>159</v>
      </c>
      <c r="D30" s="4" t="s">
        <v>941</v>
      </c>
      <c r="E30" s="5">
        <v>42321</v>
      </c>
      <c r="F30" s="6">
        <v>300.07705049999998</v>
      </c>
      <c r="G30" s="7">
        <v>1.4935362000000001E-2</v>
      </c>
      <c r="H30" s="6"/>
    </row>
    <row r="31" spans="1:8" ht="25.5" x14ac:dyDescent="0.2">
      <c r="A31" s="3">
        <v>25</v>
      </c>
      <c r="B31" s="4" t="s">
        <v>449</v>
      </c>
      <c r="C31" s="4" t="s">
        <v>450</v>
      </c>
      <c r="D31" s="4" t="s">
        <v>936</v>
      </c>
      <c r="E31" s="5">
        <v>15644</v>
      </c>
      <c r="F31" s="6">
        <v>299.77814999999998</v>
      </c>
      <c r="G31" s="7">
        <v>1.4920485000000001E-2</v>
      </c>
      <c r="H31" s="6"/>
    </row>
    <row r="32" spans="1:8" x14ac:dyDescent="0.2">
      <c r="A32" s="3">
        <v>26</v>
      </c>
      <c r="B32" s="4" t="s">
        <v>453</v>
      </c>
      <c r="C32" s="4" t="s">
        <v>454</v>
      </c>
      <c r="D32" s="4" t="s">
        <v>938</v>
      </c>
      <c r="E32" s="5">
        <v>41893</v>
      </c>
      <c r="F32" s="6">
        <v>294.38211100000001</v>
      </c>
      <c r="G32" s="7">
        <v>1.4651914E-2</v>
      </c>
      <c r="H32" s="6"/>
    </row>
    <row r="33" spans="1:8" x14ac:dyDescent="0.2">
      <c r="A33" s="3">
        <v>27</v>
      </c>
      <c r="B33" s="4" t="s">
        <v>203</v>
      </c>
      <c r="C33" s="4" t="s">
        <v>204</v>
      </c>
      <c r="D33" s="4" t="s">
        <v>82</v>
      </c>
      <c r="E33" s="5">
        <v>48009</v>
      </c>
      <c r="F33" s="6">
        <v>284.28529350000002</v>
      </c>
      <c r="G33" s="7">
        <v>1.4149378000000001E-2</v>
      </c>
      <c r="H33" s="6"/>
    </row>
    <row r="34" spans="1:8" ht="25.5" x14ac:dyDescent="0.2">
      <c r="A34" s="3">
        <v>28</v>
      </c>
      <c r="B34" s="4" t="s">
        <v>42</v>
      </c>
      <c r="C34" s="4" t="s">
        <v>43</v>
      </c>
      <c r="D34" s="4" t="s">
        <v>935</v>
      </c>
      <c r="E34" s="5">
        <v>10728</v>
      </c>
      <c r="F34" s="6">
        <v>283.98088799999999</v>
      </c>
      <c r="G34" s="7">
        <v>1.4134226999999999E-2</v>
      </c>
      <c r="H34" s="6"/>
    </row>
    <row r="35" spans="1:8" x14ac:dyDescent="0.2">
      <c r="A35" s="3">
        <v>29</v>
      </c>
      <c r="B35" s="4" t="s">
        <v>265</v>
      </c>
      <c r="C35" s="4" t="s">
        <v>266</v>
      </c>
      <c r="D35" s="4" t="s">
        <v>942</v>
      </c>
      <c r="E35" s="5">
        <v>29851</v>
      </c>
      <c r="F35" s="6">
        <v>264.22612650000002</v>
      </c>
      <c r="G35" s="7">
        <v>1.3150998000000001E-2</v>
      </c>
      <c r="H35" s="6"/>
    </row>
    <row r="36" spans="1:8" ht="25.5" x14ac:dyDescent="0.2">
      <c r="A36" s="3">
        <v>30</v>
      </c>
      <c r="B36" s="4" t="s">
        <v>170</v>
      </c>
      <c r="C36" s="4" t="s">
        <v>171</v>
      </c>
      <c r="D36" s="4" t="s">
        <v>945</v>
      </c>
      <c r="E36" s="5">
        <v>62744</v>
      </c>
      <c r="F36" s="6">
        <v>238.67817600000001</v>
      </c>
      <c r="G36" s="7">
        <v>1.1879432000000001E-2</v>
      </c>
      <c r="H36" s="6"/>
    </row>
    <row r="37" spans="1:8" x14ac:dyDescent="0.2">
      <c r="A37" s="3">
        <v>31</v>
      </c>
      <c r="B37" s="4" t="s">
        <v>269</v>
      </c>
      <c r="C37" s="4" t="s">
        <v>270</v>
      </c>
      <c r="D37" s="4" t="s">
        <v>26</v>
      </c>
      <c r="E37" s="5">
        <v>11898</v>
      </c>
      <c r="F37" s="6">
        <v>236.07416699999999</v>
      </c>
      <c r="G37" s="7">
        <v>1.1749826E-2</v>
      </c>
      <c r="H37" s="6"/>
    </row>
    <row r="38" spans="1:8" ht="25.5" x14ac:dyDescent="0.2">
      <c r="A38" s="3">
        <v>32</v>
      </c>
      <c r="B38" s="4" t="s">
        <v>180</v>
      </c>
      <c r="C38" s="4" t="s">
        <v>181</v>
      </c>
      <c r="D38" s="4" t="s">
        <v>941</v>
      </c>
      <c r="E38" s="5">
        <v>44870</v>
      </c>
      <c r="F38" s="6">
        <v>227.46846500000001</v>
      </c>
      <c r="G38" s="7">
        <v>1.1321505000000001E-2</v>
      </c>
      <c r="H38" s="6"/>
    </row>
    <row r="39" spans="1:8" ht="25.5" x14ac:dyDescent="0.2">
      <c r="A39" s="3">
        <v>33</v>
      </c>
      <c r="B39" s="4" t="s">
        <v>184</v>
      </c>
      <c r="C39" s="4" t="s">
        <v>185</v>
      </c>
      <c r="D39" s="4" t="s">
        <v>935</v>
      </c>
      <c r="E39" s="5">
        <v>111054</v>
      </c>
      <c r="F39" s="6">
        <v>223.77381</v>
      </c>
      <c r="G39" s="7">
        <v>1.1137615E-2</v>
      </c>
      <c r="H39" s="6"/>
    </row>
    <row r="40" spans="1:8" ht="25.5" x14ac:dyDescent="0.2">
      <c r="A40" s="3">
        <v>34</v>
      </c>
      <c r="B40" s="4" t="s">
        <v>248</v>
      </c>
      <c r="C40" s="4" t="s">
        <v>249</v>
      </c>
      <c r="D40" s="4" t="s">
        <v>950</v>
      </c>
      <c r="E40" s="5">
        <v>41627</v>
      </c>
      <c r="F40" s="6">
        <v>221.01855649999999</v>
      </c>
      <c r="G40" s="7">
        <v>1.1000482000000001E-2</v>
      </c>
      <c r="H40" s="6"/>
    </row>
    <row r="41" spans="1:8" ht="25.5" x14ac:dyDescent="0.2">
      <c r="A41" s="3">
        <v>35</v>
      </c>
      <c r="B41" s="4" t="s">
        <v>215</v>
      </c>
      <c r="C41" s="4" t="s">
        <v>216</v>
      </c>
      <c r="D41" s="4" t="s">
        <v>945</v>
      </c>
      <c r="E41" s="5">
        <v>37335</v>
      </c>
      <c r="F41" s="6">
        <v>217.7937225</v>
      </c>
      <c r="G41" s="7">
        <v>1.0839975999999999E-2</v>
      </c>
      <c r="H41" s="6"/>
    </row>
    <row r="42" spans="1:8" ht="25.5" x14ac:dyDescent="0.2">
      <c r="A42" s="3">
        <v>36</v>
      </c>
      <c r="B42" s="4" t="s">
        <v>172</v>
      </c>
      <c r="C42" s="4" t="s">
        <v>173</v>
      </c>
      <c r="D42" s="4" t="s">
        <v>71</v>
      </c>
      <c r="E42" s="5">
        <v>10609</v>
      </c>
      <c r="F42" s="6">
        <v>208.7373795</v>
      </c>
      <c r="G42" s="7">
        <v>1.0389226E-2</v>
      </c>
      <c r="H42" s="6"/>
    </row>
    <row r="43" spans="1:8" x14ac:dyDescent="0.2">
      <c r="A43" s="3">
        <v>37</v>
      </c>
      <c r="B43" s="4" t="s">
        <v>341</v>
      </c>
      <c r="C43" s="4" t="s">
        <v>342</v>
      </c>
      <c r="D43" s="4" t="s">
        <v>940</v>
      </c>
      <c r="E43" s="5">
        <v>5394</v>
      </c>
      <c r="F43" s="6">
        <v>205.605795</v>
      </c>
      <c r="G43" s="7">
        <v>1.0233361E-2</v>
      </c>
      <c r="H43" s="6"/>
    </row>
    <row r="44" spans="1:8" x14ac:dyDescent="0.2">
      <c r="A44" s="3">
        <v>38</v>
      </c>
      <c r="B44" s="4" t="s">
        <v>164</v>
      </c>
      <c r="C44" s="4" t="s">
        <v>165</v>
      </c>
      <c r="D44" s="4" t="s">
        <v>944</v>
      </c>
      <c r="E44" s="5">
        <v>42900</v>
      </c>
      <c r="F44" s="6">
        <v>204.48285000000001</v>
      </c>
      <c r="G44" s="7">
        <v>1.0177469999999999E-2</v>
      </c>
      <c r="H44" s="6"/>
    </row>
    <row r="45" spans="1:8" x14ac:dyDescent="0.2">
      <c r="A45" s="3">
        <v>39</v>
      </c>
      <c r="B45" s="4" t="s">
        <v>213</v>
      </c>
      <c r="C45" s="4" t="s">
        <v>214</v>
      </c>
      <c r="D45" s="4" t="s">
        <v>64</v>
      </c>
      <c r="E45" s="5">
        <v>235040</v>
      </c>
      <c r="F45" s="6">
        <v>203.19208</v>
      </c>
      <c r="G45" s="7">
        <v>1.0113225999999999E-2</v>
      </c>
      <c r="H45" s="6"/>
    </row>
    <row r="46" spans="1:8" x14ac:dyDescent="0.2">
      <c r="A46" s="3">
        <v>40</v>
      </c>
      <c r="B46" s="4" t="s">
        <v>455</v>
      </c>
      <c r="C46" s="4" t="s">
        <v>456</v>
      </c>
      <c r="D46" s="4" t="s">
        <v>71</v>
      </c>
      <c r="E46" s="5">
        <v>17556</v>
      </c>
      <c r="F46" s="6">
        <v>199.49760599999999</v>
      </c>
      <c r="G46" s="7">
        <v>9.9293460000000004E-3</v>
      </c>
      <c r="H46" s="6"/>
    </row>
    <row r="47" spans="1:8" x14ac:dyDescent="0.2">
      <c r="A47" s="3">
        <v>41</v>
      </c>
      <c r="B47" s="4" t="s">
        <v>461</v>
      </c>
      <c r="C47" s="4" t="s">
        <v>462</v>
      </c>
      <c r="D47" s="4" t="s">
        <v>82</v>
      </c>
      <c r="E47" s="5">
        <v>19196</v>
      </c>
      <c r="F47" s="6">
        <v>198.908952</v>
      </c>
      <c r="G47" s="7">
        <v>9.9000479999999998E-3</v>
      </c>
      <c r="H47" s="6"/>
    </row>
    <row r="48" spans="1:8" x14ac:dyDescent="0.2">
      <c r="A48" s="3">
        <v>42</v>
      </c>
      <c r="B48" s="4" t="s">
        <v>457</v>
      </c>
      <c r="C48" s="4" t="s">
        <v>458</v>
      </c>
      <c r="D48" s="4" t="s">
        <v>26</v>
      </c>
      <c r="E48" s="5">
        <v>25628</v>
      </c>
      <c r="F48" s="6">
        <v>196.52831800000001</v>
      </c>
      <c r="G48" s="7">
        <v>9.7815590000000004E-3</v>
      </c>
      <c r="H48" s="6"/>
    </row>
    <row r="49" spans="1:8" x14ac:dyDescent="0.2">
      <c r="A49" s="3">
        <v>43</v>
      </c>
      <c r="B49" s="4" t="s">
        <v>32</v>
      </c>
      <c r="C49" s="4" t="s">
        <v>33</v>
      </c>
      <c r="D49" s="4" t="s">
        <v>26</v>
      </c>
      <c r="E49" s="5">
        <v>5900</v>
      </c>
      <c r="F49" s="6">
        <v>196.4759</v>
      </c>
      <c r="G49" s="7">
        <v>9.7789499999999998E-3</v>
      </c>
      <c r="H49" s="6"/>
    </row>
    <row r="50" spans="1:8" x14ac:dyDescent="0.2">
      <c r="A50" s="3">
        <v>44</v>
      </c>
      <c r="B50" s="4" t="s">
        <v>279</v>
      </c>
      <c r="C50" s="4" t="s">
        <v>280</v>
      </c>
      <c r="D50" s="4" t="s">
        <v>18</v>
      </c>
      <c r="E50" s="5">
        <v>88710</v>
      </c>
      <c r="F50" s="6">
        <v>190.01682</v>
      </c>
      <c r="G50" s="7">
        <v>9.4574710000000003E-3</v>
      </c>
      <c r="H50" s="6"/>
    </row>
    <row r="51" spans="1:8" x14ac:dyDescent="0.2">
      <c r="A51" s="3">
        <v>45</v>
      </c>
      <c r="B51" s="4" t="s">
        <v>459</v>
      </c>
      <c r="C51" s="4" t="s">
        <v>460</v>
      </c>
      <c r="D51" s="4" t="s">
        <v>26</v>
      </c>
      <c r="E51" s="5">
        <v>31081</v>
      </c>
      <c r="F51" s="6">
        <v>188.9880205</v>
      </c>
      <c r="G51" s="7">
        <v>9.4062659999999999E-3</v>
      </c>
      <c r="H51" s="6"/>
    </row>
    <row r="52" spans="1:8" x14ac:dyDescent="0.2">
      <c r="A52" s="3">
        <v>46</v>
      </c>
      <c r="B52" s="4" t="s">
        <v>463</v>
      </c>
      <c r="C52" s="4" t="s">
        <v>464</v>
      </c>
      <c r="D52" s="4" t="s">
        <v>952</v>
      </c>
      <c r="E52" s="5">
        <v>19644</v>
      </c>
      <c r="F52" s="6">
        <v>184.25089800000001</v>
      </c>
      <c r="G52" s="7">
        <v>9.1704909999999994E-3</v>
      </c>
      <c r="H52" s="6"/>
    </row>
    <row r="53" spans="1:8" x14ac:dyDescent="0.2">
      <c r="A53" s="3">
        <v>47</v>
      </c>
      <c r="B53" s="4" t="s">
        <v>92</v>
      </c>
      <c r="C53" s="4" t="s">
        <v>93</v>
      </c>
      <c r="D53" s="4" t="s">
        <v>923</v>
      </c>
      <c r="E53" s="5">
        <v>40384</v>
      </c>
      <c r="F53" s="6">
        <v>184.07027199999999</v>
      </c>
      <c r="G53" s="7">
        <v>9.1615010000000007E-3</v>
      </c>
      <c r="H53" s="6"/>
    </row>
    <row r="54" spans="1:8" x14ac:dyDescent="0.2">
      <c r="A54" s="3">
        <v>48</v>
      </c>
      <c r="B54" s="4" t="s">
        <v>267</v>
      </c>
      <c r="C54" s="4" t="s">
        <v>268</v>
      </c>
      <c r="D54" s="4" t="s">
        <v>82</v>
      </c>
      <c r="E54" s="5">
        <v>320700</v>
      </c>
      <c r="F54" s="6">
        <v>183.11969999999999</v>
      </c>
      <c r="G54" s="7">
        <v>9.114189E-3</v>
      </c>
      <c r="H54" s="6"/>
    </row>
    <row r="55" spans="1:8" ht="25.5" x14ac:dyDescent="0.2">
      <c r="A55" s="3">
        <v>49</v>
      </c>
      <c r="B55" s="4" t="s">
        <v>221</v>
      </c>
      <c r="C55" s="4" t="s">
        <v>222</v>
      </c>
      <c r="D55" s="4" t="s">
        <v>945</v>
      </c>
      <c r="E55" s="5">
        <v>10472</v>
      </c>
      <c r="F55" s="6">
        <v>180.003208</v>
      </c>
      <c r="G55" s="7">
        <v>8.9590759999999998E-3</v>
      </c>
      <c r="H55" s="6"/>
    </row>
    <row r="56" spans="1:8" ht="25.5" x14ac:dyDescent="0.2">
      <c r="A56" s="3">
        <v>50</v>
      </c>
      <c r="B56" s="4" t="s">
        <v>162</v>
      </c>
      <c r="C56" s="4" t="s">
        <v>163</v>
      </c>
      <c r="D56" s="4" t="s">
        <v>943</v>
      </c>
      <c r="E56" s="5">
        <v>174591</v>
      </c>
      <c r="F56" s="6">
        <v>179.5668435</v>
      </c>
      <c r="G56" s="7">
        <v>8.9373569999999999E-3</v>
      </c>
      <c r="H56" s="6"/>
    </row>
    <row r="57" spans="1:8" ht="51" x14ac:dyDescent="0.2">
      <c r="A57" s="3">
        <v>51</v>
      </c>
      <c r="B57" s="4" t="s">
        <v>238</v>
      </c>
      <c r="C57" s="4" t="s">
        <v>239</v>
      </c>
      <c r="D57" s="4" t="s">
        <v>939</v>
      </c>
      <c r="E57" s="5">
        <v>74468</v>
      </c>
      <c r="F57" s="6">
        <v>178.61149800000001</v>
      </c>
      <c r="G57" s="7">
        <v>8.8898080000000008E-3</v>
      </c>
      <c r="H57" s="6"/>
    </row>
    <row r="58" spans="1:8" ht="25.5" x14ac:dyDescent="0.2">
      <c r="A58" s="3">
        <v>52</v>
      </c>
      <c r="B58" s="4" t="s">
        <v>219</v>
      </c>
      <c r="C58" s="4" t="s">
        <v>220</v>
      </c>
      <c r="D58" s="4" t="s">
        <v>950</v>
      </c>
      <c r="E58" s="5">
        <v>43436</v>
      </c>
      <c r="F58" s="6">
        <v>177.28403399999999</v>
      </c>
      <c r="G58" s="7">
        <v>8.8237379999999994E-3</v>
      </c>
      <c r="H58" s="6"/>
    </row>
    <row r="59" spans="1:8" ht="25.5" x14ac:dyDescent="0.2">
      <c r="A59" s="3">
        <v>53</v>
      </c>
      <c r="B59" s="4" t="s">
        <v>256</v>
      </c>
      <c r="C59" s="4" t="s">
        <v>257</v>
      </c>
      <c r="D59" s="4" t="s">
        <v>954</v>
      </c>
      <c r="E59" s="5">
        <v>52168</v>
      </c>
      <c r="F59" s="6">
        <v>174.736716</v>
      </c>
      <c r="G59" s="7">
        <v>8.6969530000000003E-3</v>
      </c>
      <c r="H59" s="6"/>
    </row>
    <row r="60" spans="1:8" x14ac:dyDescent="0.2">
      <c r="A60" s="3">
        <v>54</v>
      </c>
      <c r="B60" s="4" t="s">
        <v>223</v>
      </c>
      <c r="C60" s="4" t="s">
        <v>224</v>
      </c>
      <c r="D60" s="4" t="s">
        <v>71</v>
      </c>
      <c r="E60" s="5">
        <v>70796</v>
      </c>
      <c r="F60" s="6">
        <v>174.51213999999999</v>
      </c>
      <c r="G60" s="7">
        <v>8.6857759999999992E-3</v>
      </c>
      <c r="H60" s="6"/>
    </row>
    <row r="61" spans="1:8" x14ac:dyDescent="0.2">
      <c r="A61" s="3">
        <v>55</v>
      </c>
      <c r="B61" s="4" t="s">
        <v>225</v>
      </c>
      <c r="C61" s="4" t="s">
        <v>226</v>
      </c>
      <c r="D61" s="4" t="s">
        <v>951</v>
      </c>
      <c r="E61" s="5">
        <v>55539</v>
      </c>
      <c r="F61" s="6">
        <v>174.14253450000001</v>
      </c>
      <c r="G61" s="7">
        <v>8.6673800000000006E-3</v>
      </c>
      <c r="H61" s="6"/>
    </row>
    <row r="62" spans="1:8" x14ac:dyDescent="0.2">
      <c r="A62" s="3">
        <v>56</v>
      </c>
      <c r="B62" s="4" t="s">
        <v>244</v>
      </c>
      <c r="C62" s="4" t="s">
        <v>245</v>
      </c>
      <c r="D62" s="4" t="s">
        <v>13</v>
      </c>
      <c r="E62" s="5">
        <v>58207</v>
      </c>
      <c r="F62" s="6">
        <v>157.33352099999999</v>
      </c>
      <c r="G62" s="7">
        <v>7.8307659999999994E-3</v>
      </c>
      <c r="H62" s="6"/>
    </row>
    <row r="63" spans="1:8" x14ac:dyDescent="0.2">
      <c r="A63" s="3">
        <v>57</v>
      </c>
      <c r="B63" s="4" t="s">
        <v>227</v>
      </c>
      <c r="C63" s="4" t="s">
        <v>228</v>
      </c>
      <c r="D63" s="4" t="s">
        <v>26</v>
      </c>
      <c r="E63" s="5">
        <v>15167</v>
      </c>
      <c r="F63" s="6">
        <v>153.808547</v>
      </c>
      <c r="G63" s="7">
        <v>7.6553209999999997E-3</v>
      </c>
      <c r="H63" s="6"/>
    </row>
    <row r="64" spans="1:8" x14ac:dyDescent="0.2">
      <c r="A64" s="3">
        <v>58</v>
      </c>
      <c r="B64" s="4" t="s">
        <v>205</v>
      </c>
      <c r="C64" s="4" t="s">
        <v>206</v>
      </c>
      <c r="D64" s="4" t="s">
        <v>64</v>
      </c>
      <c r="E64" s="5">
        <v>39951</v>
      </c>
      <c r="F64" s="6">
        <v>143.80362450000001</v>
      </c>
      <c r="G64" s="7">
        <v>7.1573590000000003E-3</v>
      </c>
      <c r="H64" s="6"/>
    </row>
    <row r="65" spans="1:8" x14ac:dyDescent="0.2">
      <c r="A65" s="3">
        <v>59</v>
      </c>
      <c r="B65" s="4" t="s">
        <v>465</v>
      </c>
      <c r="C65" s="4" t="s">
        <v>466</v>
      </c>
      <c r="D65" s="4" t="s">
        <v>944</v>
      </c>
      <c r="E65" s="5">
        <v>219877</v>
      </c>
      <c r="F65" s="6">
        <v>141.93060349999999</v>
      </c>
      <c r="G65" s="7">
        <v>7.064135E-3</v>
      </c>
      <c r="H65" s="6"/>
    </row>
    <row r="66" spans="1:8" ht="38.25" x14ac:dyDescent="0.2">
      <c r="A66" s="3">
        <v>60</v>
      </c>
      <c r="B66" s="4" t="s">
        <v>254</v>
      </c>
      <c r="C66" s="4" t="s">
        <v>255</v>
      </c>
      <c r="D66" s="4" t="s">
        <v>953</v>
      </c>
      <c r="E66" s="5">
        <v>19348</v>
      </c>
      <c r="F66" s="6">
        <v>134.526644</v>
      </c>
      <c r="G66" s="7">
        <v>6.695627E-3</v>
      </c>
      <c r="H66" s="6"/>
    </row>
    <row r="67" spans="1:8" x14ac:dyDescent="0.2">
      <c r="A67" s="3">
        <v>61</v>
      </c>
      <c r="B67" s="4" t="s">
        <v>271</v>
      </c>
      <c r="C67" s="4" t="s">
        <v>272</v>
      </c>
      <c r="D67" s="4" t="s">
        <v>940</v>
      </c>
      <c r="E67" s="5">
        <v>21471</v>
      </c>
      <c r="F67" s="6">
        <v>133.93609799999999</v>
      </c>
      <c r="G67" s="7">
        <v>6.6662350000000004E-3</v>
      </c>
      <c r="H67" s="6"/>
    </row>
    <row r="68" spans="1:8" x14ac:dyDescent="0.2">
      <c r="A68" s="3">
        <v>62</v>
      </c>
      <c r="B68" s="4" t="s">
        <v>234</v>
      </c>
      <c r="C68" s="4" t="s">
        <v>235</v>
      </c>
      <c r="D68" s="4" t="s">
        <v>952</v>
      </c>
      <c r="E68" s="5">
        <v>89345</v>
      </c>
      <c r="F68" s="6">
        <v>132.31994499999999</v>
      </c>
      <c r="G68" s="7">
        <v>6.5857959999999997E-3</v>
      </c>
      <c r="H68" s="6"/>
    </row>
    <row r="69" spans="1:8" ht="25.5" x14ac:dyDescent="0.2">
      <c r="A69" s="3">
        <v>63</v>
      </c>
      <c r="B69" s="4" t="s">
        <v>469</v>
      </c>
      <c r="C69" s="4" t="s">
        <v>470</v>
      </c>
      <c r="D69" s="4" t="s">
        <v>945</v>
      </c>
      <c r="E69" s="5">
        <v>29369</v>
      </c>
      <c r="F69" s="6">
        <v>116.88862</v>
      </c>
      <c r="G69" s="7">
        <v>5.8177519999999998E-3</v>
      </c>
      <c r="H69" s="6"/>
    </row>
    <row r="70" spans="1:8" x14ac:dyDescent="0.2">
      <c r="A70" s="3">
        <v>64</v>
      </c>
      <c r="B70" s="4" t="s">
        <v>246</v>
      </c>
      <c r="C70" s="4" t="s">
        <v>247</v>
      </c>
      <c r="D70" s="4" t="s">
        <v>91</v>
      </c>
      <c r="E70" s="5">
        <v>14169</v>
      </c>
      <c r="F70" s="6">
        <v>111.31166399999999</v>
      </c>
      <c r="G70" s="7">
        <v>5.5401770000000003E-3</v>
      </c>
      <c r="H70" s="6"/>
    </row>
    <row r="71" spans="1:8" x14ac:dyDescent="0.2">
      <c r="A71" s="3">
        <v>65</v>
      </c>
      <c r="B71" s="4" t="s">
        <v>174</v>
      </c>
      <c r="C71" s="4" t="s">
        <v>175</v>
      </c>
      <c r="D71" s="4" t="s">
        <v>71</v>
      </c>
      <c r="E71" s="5">
        <v>17279</v>
      </c>
      <c r="F71" s="6">
        <v>109.669813</v>
      </c>
      <c r="G71" s="7">
        <v>5.4584589999999997E-3</v>
      </c>
      <c r="H71" s="6"/>
    </row>
    <row r="72" spans="1:8" x14ac:dyDescent="0.2">
      <c r="A72" s="3">
        <v>66</v>
      </c>
      <c r="B72" s="4" t="s">
        <v>176</v>
      </c>
      <c r="C72" s="4" t="s">
        <v>177</v>
      </c>
      <c r="D72" s="4" t="s">
        <v>944</v>
      </c>
      <c r="E72" s="5">
        <v>98416</v>
      </c>
      <c r="F72" s="6">
        <v>99.892240000000001</v>
      </c>
      <c r="G72" s="7">
        <v>4.9718119999999999E-3</v>
      </c>
      <c r="H72" s="6"/>
    </row>
    <row r="73" spans="1:8" ht="25.5" x14ac:dyDescent="0.2">
      <c r="A73" s="3">
        <v>67</v>
      </c>
      <c r="B73" s="4" t="s">
        <v>277</v>
      </c>
      <c r="C73" s="4" t="s">
        <v>278</v>
      </c>
      <c r="D73" s="4" t="s">
        <v>946</v>
      </c>
      <c r="E73" s="5">
        <v>16020</v>
      </c>
      <c r="F73" s="6">
        <v>95.222880000000004</v>
      </c>
      <c r="G73" s="7">
        <v>4.7394100000000003E-3</v>
      </c>
      <c r="H73" s="6"/>
    </row>
    <row r="74" spans="1:8" ht="25.5" x14ac:dyDescent="0.2">
      <c r="A74" s="3">
        <v>68</v>
      </c>
      <c r="B74" s="4" t="s">
        <v>188</v>
      </c>
      <c r="C74" s="4" t="s">
        <v>189</v>
      </c>
      <c r="D74" s="4" t="s">
        <v>945</v>
      </c>
      <c r="E74" s="5">
        <v>2097</v>
      </c>
      <c r="F74" s="6">
        <v>93.040744500000002</v>
      </c>
      <c r="G74" s="7">
        <v>4.6308010000000004E-3</v>
      </c>
      <c r="H74" s="6"/>
    </row>
    <row r="75" spans="1:8" x14ac:dyDescent="0.2">
      <c r="A75" s="3">
        <v>69</v>
      </c>
      <c r="B75" s="4" t="s">
        <v>240</v>
      </c>
      <c r="C75" s="4" t="s">
        <v>241</v>
      </c>
      <c r="D75" s="4" t="s">
        <v>940</v>
      </c>
      <c r="E75" s="5">
        <v>17563</v>
      </c>
      <c r="F75" s="6">
        <v>91.951086500000002</v>
      </c>
      <c r="G75" s="7">
        <v>4.5765670000000001E-3</v>
      </c>
      <c r="H75" s="6"/>
    </row>
    <row r="76" spans="1:8" ht="25.5" x14ac:dyDescent="0.2">
      <c r="A76" s="3">
        <v>70</v>
      </c>
      <c r="B76" s="4" t="s">
        <v>281</v>
      </c>
      <c r="C76" s="4" t="s">
        <v>282</v>
      </c>
      <c r="D76" s="4" t="s">
        <v>945</v>
      </c>
      <c r="E76" s="5">
        <v>34046</v>
      </c>
      <c r="F76" s="6">
        <v>85.217138000000006</v>
      </c>
      <c r="G76" s="7">
        <v>4.241407E-3</v>
      </c>
      <c r="H76" s="6"/>
    </row>
    <row r="77" spans="1:8" x14ac:dyDescent="0.2">
      <c r="A77" s="3">
        <v>71</v>
      </c>
      <c r="B77" s="4" t="s">
        <v>106</v>
      </c>
      <c r="C77" s="4" t="s">
        <v>107</v>
      </c>
      <c r="D77" s="4" t="s">
        <v>923</v>
      </c>
      <c r="E77" s="5">
        <v>110125</v>
      </c>
      <c r="F77" s="6">
        <v>83.584874999999997</v>
      </c>
      <c r="G77" s="7">
        <v>4.1601659999999999E-3</v>
      </c>
      <c r="H77" s="6"/>
    </row>
    <row r="78" spans="1:8" x14ac:dyDescent="0.2">
      <c r="A78" s="3">
        <v>72</v>
      </c>
      <c r="B78" s="4" t="s">
        <v>250</v>
      </c>
      <c r="C78" s="4" t="s">
        <v>251</v>
      </c>
      <c r="D78" s="4" t="s">
        <v>302</v>
      </c>
      <c r="E78" s="5">
        <v>9457</v>
      </c>
      <c r="F78" s="6">
        <v>61.456314499999998</v>
      </c>
      <c r="G78" s="7">
        <v>3.0587890000000001E-3</v>
      </c>
      <c r="H78" s="6"/>
    </row>
    <row r="79" spans="1:8" ht="25.5" x14ac:dyDescent="0.2">
      <c r="A79" s="3">
        <v>73</v>
      </c>
      <c r="B79" s="4" t="s">
        <v>258</v>
      </c>
      <c r="C79" s="4" t="s">
        <v>259</v>
      </c>
      <c r="D79" s="4" t="s">
        <v>946</v>
      </c>
      <c r="E79" s="5">
        <v>6324</v>
      </c>
      <c r="F79" s="6">
        <v>56.280437999999997</v>
      </c>
      <c r="G79" s="7">
        <v>2.8011759999999998E-3</v>
      </c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9">
        <v>19049.417900500001</v>
      </c>
      <c r="G80" s="10">
        <v>0.94812297199999995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113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114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115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116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117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8" customHeight="1" x14ac:dyDescent="0.2">
      <c r="A97" s="1"/>
      <c r="B97" s="1"/>
      <c r="C97" s="2" t="s">
        <v>118</v>
      </c>
      <c r="D97" s="1"/>
      <c r="E97" s="1"/>
      <c r="F97" s="9">
        <v>19049.417900500001</v>
      </c>
      <c r="G97" s="10">
        <v>0.94812297199999995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119</v>
      </c>
      <c r="D99" s="1"/>
      <c r="E99" s="1"/>
      <c r="F99" s="12"/>
      <c r="G99" s="12"/>
      <c r="H99" s="6"/>
    </row>
    <row r="100" spans="1:8" ht="24" customHeight="1" x14ac:dyDescent="0.2">
      <c r="A100" s="1"/>
      <c r="B100" s="1"/>
      <c r="C100" s="2" t="s">
        <v>10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120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121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122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123</v>
      </c>
      <c r="D112" s="1"/>
      <c r="E112" s="1"/>
      <c r="F112" s="9">
        <v>0</v>
      </c>
      <c r="G112" s="10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124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125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127</v>
      </c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128</v>
      </c>
      <c r="D124" s="1"/>
      <c r="E124" s="1"/>
      <c r="F124" s="12"/>
      <c r="G124" s="12"/>
      <c r="H124" s="6"/>
    </row>
    <row r="125" spans="1:8" ht="17.100000000000001" customHeight="1" x14ac:dyDescent="0.2">
      <c r="A125" s="3">
        <v>1</v>
      </c>
      <c r="B125" s="4"/>
      <c r="C125" s="4" t="s">
        <v>129</v>
      </c>
      <c r="D125" s="4"/>
      <c r="E125" s="8"/>
      <c r="F125" s="6">
        <v>994.66535039999997</v>
      </c>
      <c r="G125" s="7">
        <v>4.950624E-2</v>
      </c>
      <c r="H125" s="6">
        <v>3.9343919198424624</v>
      </c>
    </row>
    <row r="126" spans="1:8" ht="17.100000000000001" customHeight="1" x14ac:dyDescent="0.2">
      <c r="A126" s="3">
        <v>2</v>
      </c>
      <c r="B126" s="4"/>
      <c r="C126" s="4" t="s">
        <v>130</v>
      </c>
      <c r="D126" s="4"/>
      <c r="E126" s="8"/>
      <c r="F126" s="6">
        <v>65.329162999999994</v>
      </c>
      <c r="G126" s="7">
        <v>3.251547E-3</v>
      </c>
      <c r="H126" s="6">
        <v>3.8</v>
      </c>
    </row>
    <row r="127" spans="1:8" ht="14.1" customHeight="1" x14ac:dyDescent="0.2">
      <c r="A127" s="1"/>
      <c r="B127" s="1"/>
      <c r="C127" s="2" t="s">
        <v>111</v>
      </c>
      <c r="D127" s="1"/>
      <c r="E127" s="1" t="s">
        <v>112</v>
      </c>
      <c r="F127" s="9">
        <v>1059.9945134</v>
      </c>
      <c r="G127" s="10">
        <v>5.2757787E-2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131</v>
      </c>
      <c r="D129" s="1"/>
      <c r="E129" s="1"/>
      <c r="F129" s="9">
        <v>1059.9945134</v>
      </c>
      <c r="G129" s="10">
        <v>5.2757787E-2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132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133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134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135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111</v>
      </c>
      <c r="D137" s="1"/>
      <c r="E137" s="1" t="s">
        <v>112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136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111</v>
      </c>
      <c r="D141" s="1"/>
      <c r="E141" s="1" t="s">
        <v>112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137</v>
      </c>
      <c r="D144" s="4"/>
      <c r="E144" s="8"/>
      <c r="F144" s="6">
        <v>-17.695842500000001</v>
      </c>
      <c r="G144" s="7">
        <v>-8.8075299999999996E-4</v>
      </c>
      <c r="H144" s="6"/>
    </row>
    <row r="145" spans="1:8" ht="14.1" customHeight="1" x14ac:dyDescent="0.2">
      <c r="A145" s="11"/>
      <c r="B145" s="11"/>
      <c r="C145" s="2" t="s">
        <v>138</v>
      </c>
      <c r="D145" s="15"/>
      <c r="E145" s="15"/>
      <c r="F145" s="9">
        <v>20091.7165714</v>
      </c>
      <c r="G145" s="10">
        <v>1.0000000060000001</v>
      </c>
      <c r="H145" s="6"/>
    </row>
    <row r="146" spans="1:8" ht="14.1" customHeight="1" x14ac:dyDescent="0.2">
      <c r="A146" s="18"/>
      <c r="B146" s="297" t="s">
        <v>112</v>
      </c>
      <c r="C146" s="297"/>
      <c r="D146" s="297"/>
      <c r="E146" s="297"/>
      <c r="F146" s="297"/>
      <c r="G146" s="20"/>
    </row>
    <row r="147" spans="1:8" ht="14.1" customHeight="1" x14ac:dyDescent="0.2">
      <c r="A147" s="18"/>
      <c r="B147" s="18"/>
      <c r="C147" s="18"/>
      <c r="D147" s="20"/>
      <c r="E147" s="20"/>
      <c r="F147" s="20"/>
      <c r="G147" s="20"/>
    </row>
    <row r="148" spans="1:8" ht="14.1" customHeight="1" x14ac:dyDescent="0.2">
      <c r="A148" s="18"/>
      <c r="B148" s="294" t="s">
        <v>140</v>
      </c>
      <c r="C148" s="295"/>
      <c r="D148" s="12" t="s">
        <v>112</v>
      </c>
      <c r="E148" s="21"/>
      <c r="F148" s="20"/>
      <c r="G148" s="20"/>
    </row>
    <row r="149" spans="1:8" ht="29.1" customHeight="1" x14ac:dyDescent="0.2">
      <c r="A149" s="18"/>
      <c r="B149" s="288" t="s">
        <v>141</v>
      </c>
      <c r="C149" s="289"/>
      <c r="D149" s="2" t="s">
        <v>142</v>
      </c>
      <c r="E149" s="21"/>
      <c r="F149" s="20"/>
      <c r="G149" s="20"/>
    </row>
    <row r="150" spans="1:8" ht="17.100000000000001" customHeight="1" x14ac:dyDescent="0.2">
      <c r="A150" s="18"/>
      <c r="B150" s="288" t="s">
        <v>143</v>
      </c>
      <c r="C150" s="289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288" t="s">
        <v>144</v>
      </c>
      <c r="C151" s="289"/>
      <c r="D151" s="12" t="s">
        <v>112</v>
      </c>
      <c r="E151" s="21"/>
      <c r="F151" s="20"/>
      <c r="G151" s="20"/>
    </row>
    <row r="152" spans="1:8" ht="24" customHeight="1" x14ac:dyDescent="0.2">
      <c r="A152" s="22"/>
      <c r="B152" s="23" t="s">
        <v>112</v>
      </c>
      <c r="C152" s="23" t="s">
        <v>145</v>
      </c>
      <c r="D152" s="23" t="s">
        <v>146</v>
      </c>
      <c r="E152" s="22"/>
      <c r="F152" s="22"/>
      <c r="G152" s="22"/>
    </row>
    <row r="153" spans="1:8" ht="18" customHeight="1" x14ac:dyDescent="0.2">
      <c r="A153" s="22"/>
      <c r="B153" s="23" t="s">
        <v>147</v>
      </c>
      <c r="C153" s="23" t="s">
        <v>148</v>
      </c>
      <c r="D153" s="23" t="s">
        <v>149</v>
      </c>
      <c r="E153" s="22"/>
      <c r="F153" s="22"/>
      <c r="G153" s="22"/>
    </row>
    <row r="154" spans="1:8" ht="17.100000000000001" customHeight="1" x14ac:dyDescent="0.2">
      <c r="A154" s="22"/>
      <c r="B154" s="4" t="s">
        <v>150</v>
      </c>
      <c r="C154" s="24">
        <v>18.885899999999999</v>
      </c>
      <c r="D154" s="24">
        <v>19.0762</v>
      </c>
      <c r="E154" s="22"/>
      <c r="F154" s="19"/>
      <c r="G154" s="25"/>
    </row>
    <row r="155" spans="1:8" ht="17.100000000000001" customHeight="1" x14ac:dyDescent="0.2">
      <c r="A155" s="22"/>
      <c r="B155" s="4" t="s">
        <v>1114</v>
      </c>
      <c r="C155" s="24">
        <v>18.212</v>
      </c>
      <c r="D155" s="24">
        <v>18.395499999999998</v>
      </c>
      <c r="E155" s="22"/>
      <c r="F155" s="19"/>
      <c r="G155" s="25"/>
    </row>
    <row r="156" spans="1:8" ht="17.100000000000001" customHeight="1" x14ac:dyDescent="0.2">
      <c r="A156" s="22"/>
      <c r="B156" s="4" t="s">
        <v>151</v>
      </c>
      <c r="C156" s="24">
        <v>18.308700000000002</v>
      </c>
      <c r="D156" s="24">
        <v>18.484000000000002</v>
      </c>
      <c r="E156" s="22"/>
      <c r="F156" s="19"/>
      <c r="G156" s="25"/>
    </row>
    <row r="157" spans="1:8" ht="17.100000000000001" customHeight="1" x14ac:dyDescent="0.2">
      <c r="A157" s="22"/>
      <c r="B157" s="4" t="s">
        <v>1115</v>
      </c>
      <c r="C157" s="24">
        <v>17.638400000000001</v>
      </c>
      <c r="D157" s="24">
        <v>17.807300000000001</v>
      </c>
      <c r="E157" s="22"/>
      <c r="F157" s="19"/>
      <c r="G157" s="25"/>
    </row>
    <row r="158" spans="1:8" ht="14.1" customHeight="1" x14ac:dyDescent="0.2">
      <c r="A158" s="22"/>
      <c r="B158" s="22"/>
      <c r="C158" s="22"/>
      <c r="D158" s="22"/>
      <c r="E158" s="22"/>
      <c r="F158" s="22"/>
      <c r="G158" s="22"/>
    </row>
    <row r="159" spans="1:8" ht="17.100000000000001" customHeight="1" x14ac:dyDescent="0.2">
      <c r="A159" s="22"/>
      <c r="B159" s="288" t="s">
        <v>1116</v>
      </c>
      <c r="C159" s="289"/>
      <c r="D159" s="2" t="s">
        <v>142</v>
      </c>
      <c r="E159" s="22"/>
      <c r="F159" s="22"/>
      <c r="G159" s="22"/>
    </row>
    <row r="160" spans="1:8" ht="14.1" customHeight="1" x14ac:dyDescent="0.2">
      <c r="A160" s="22"/>
      <c r="B160" s="19"/>
      <c r="C160" s="19"/>
      <c r="D160" s="22"/>
      <c r="E160" s="22"/>
      <c r="F160" s="22"/>
      <c r="G160" s="22"/>
    </row>
    <row r="161" spans="1:15" ht="29.1" customHeight="1" x14ac:dyDescent="0.2">
      <c r="A161" s="22"/>
      <c r="B161" s="288" t="s">
        <v>153</v>
      </c>
      <c r="C161" s="289"/>
      <c r="D161" s="2" t="s">
        <v>142</v>
      </c>
      <c r="E161" s="22"/>
      <c r="F161" s="22"/>
      <c r="G161" s="22"/>
    </row>
    <row r="162" spans="1:15" ht="29.1" customHeight="1" x14ac:dyDescent="0.2">
      <c r="A162" s="22"/>
      <c r="B162" s="288" t="s">
        <v>154</v>
      </c>
      <c r="C162" s="289"/>
      <c r="D162" s="2" t="s">
        <v>142</v>
      </c>
      <c r="E162" s="22"/>
      <c r="F162" s="22"/>
      <c r="G162" s="22"/>
    </row>
    <row r="163" spans="1:15" ht="17.100000000000001" customHeight="1" x14ac:dyDescent="0.2">
      <c r="A163" s="22"/>
      <c r="B163" s="288" t="s">
        <v>155</v>
      </c>
      <c r="C163" s="289"/>
      <c r="D163" s="26">
        <v>0.32284163202410782</v>
      </c>
      <c r="E163" s="22"/>
      <c r="F163" s="19"/>
      <c r="G163" s="25"/>
    </row>
    <row r="164" spans="1:15" ht="17.100000000000001" customHeight="1" x14ac:dyDescent="0.2">
      <c r="A164" s="22"/>
      <c r="B164" s="288" t="s">
        <v>156</v>
      </c>
      <c r="C164" s="289"/>
      <c r="D164" s="2" t="s">
        <v>142</v>
      </c>
      <c r="E164" s="22"/>
      <c r="F164" s="22"/>
      <c r="G164" s="22"/>
      <c r="J164" s="66"/>
      <c r="K164" s="66"/>
      <c r="L164" s="66"/>
      <c r="M164" s="66"/>
      <c r="N164" s="66"/>
      <c r="O164" s="66"/>
    </row>
  </sheetData>
  <mergeCells count="14">
    <mergeCell ref="A1:H1"/>
    <mergeCell ref="A2:H2"/>
    <mergeCell ref="A3:H3"/>
    <mergeCell ref="B148:C148"/>
    <mergeCell ref="J2:N2"/>
    <mergeCell ref="B146:F146"/>
    <mergeCell ref="B163:C163"/>
    <mergeCell ref="B164:C164"/>
    <mergeCell ref="B149:C149"/>
    <mergeCell ref="B150:C150"/>
    <mergeCell ref="B151:C151"/>
    <mergeCell ref="B159:C159"/>
    <mergeCell ref="B161:C161"/>
    <mergeCell ref="B162:C16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472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22067</v>
      </c>
      <c r="F7" s="6">
        <v>266.39282400000002</v>
      </c>
      <c r="G7" s="7">
        <v>3.5012097999999998E-2</v>
      </c>
      <c r="H7" s="6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39179</v>
      </c>
      <c r="F8" s="6">
        <v>237.17007649999999</v>
      </c>
      <c r="G8" s="7">
        <v>3.1171342000000001E-2</v>
      </c>
      <c r="H8" s="6"/>
    </row>
    <row r="9" spans="1:14" x14ac:dyDescent="0.2">
      <c r="A9" s="3">
        <v>3</v>
      </c>
      <c r="B9" s="4" t="s">
        <v>261</v>
      </c>
      <c r="C9" s="4" t="s">
        <v>262</v>
      </c>
      <c r="D9" s="4" t="s">
        <v>955</v>
      </c>
      <c r="E9" s="5">
        <v>115375</v>
      </c>
      <c r="F9" s="6">
        <v>228.327125</v>
      </c>
      <c r="G9" s="7">
        <v>3.0009109999999999E-2</v>
      </c>
      <c r="H9" s="6"/>
    </row>
    <row r="10" spans="1:14" ht="25.5" x14ac:dyDescent="0.2">
      <c r="A10" s="3">
        <v>4</v>
      </c>
      <c r="B10" s="4" t="s">
        <v>217</v>
      </c>
      <c r="C10" s="4" t="s">
        <v>218</v>
      </c>
      <c r="D10" s="4" t="s">
        <v>946</v>
      </c>
      <c r="E10" s="5">
        <v>5487</v>
      </c>
      <c r="F10" s="6">
        <v>215.737866</v>
      </c>
      <c r="G10" s="7">
        <v>2.8354500000000001E-2</v>
      </c>
      <c r="H10" s="6"/>
    </row>
    <row r="11" spans="1:14" x14ac:dyDescent="0.2">
      <c r="A11" s="3">
        <v>5</v>
      </c>
      <c r="B11" s="4" t="s">
        <v>195</v>
      </c>
      <c r="C11" s="4" t="s">
        <v>196</v>
      </c>
      <c r="D11" s="4" t="s">
        <v>71</v>
      </c>
      <c r="E11" s="5">
        <v>32456</v>
      </c>
      <c r="F11" s="6">
        <v>206.144284</v>
      </c>
      <c r="G11" s="7">
        <v>2.7093612E-2</v>
      </c>
      <c r="H11" s="6"/>
    </row>
    <row r="12" spans="1:14" x14ac:dyDescent="0.2">
      <c r="A12" s="3">
        <v>6</v>
      </c>
      <c r="B12" s="4" t="s">
        <v>229</v>
      </c>
      <c r="C12" s="4" t="s">
        <v>230</v>
      </c>
      <c r="D12" s="4" t="s">
        <v>26</v>
      </c>
      <c r="E12" s="5">
        <v>21271</v>
      </c>
      <c r="F12" s="6">
        <v>189.69477800000001</v>
      </c>
      <c r="G12" s="7">
        <v>2.4931648000000001E-2</v>
      </c>
      <c r="H12" s="6"/>
    </row>
    <row r="13" spans="1:14" x14ac:dyDescent="0.2">
      <c r="A13" s="3">
        <v>7</v>
      </c>
      <c r="B13" s="4" t="s">
        <v>30</v>
      </c>
      <c r="C13" s="4" t="s">
        <v>31</v>
      </c>
      <c r="D13" s="4" t="s">
        <v>26</v>
      </c>
      <c r="E13" s="5">
        <v>10555</v>
      </c>
      <c r="F13" s="6">
        <v>180.8018725</v>
      </c>
      <c r="G13" s="7">
        <v>2.3762849999999999E-2</v>
      </c>
      <c r="H13" s="6"/>
    </row>
    <row r="14" spans="1:14" x14ac:dyDescent="0.2">
      <c r="A14" s="3">
        <v>8</v>
      </c>
      <c r="B14" s="4" t="s">
        <v>207</v>
      </c>
      <c r="C14" s="4" t="s">
        <v>208</v>
      </c>
      <c r="D14" s="4" t="s">
        <v>948</v>
      </c>
      <c r="E14" s="5">
        <v>34698</v>
      </c>
      <c r="F14" s="6">
        <v>173.90637599999999</v>
      </c>
      <c r="G14" s="7">
        <v>2.2856573000000002E-2</v>
      </c>
      <c r="H14" s="6"/>
    </row>
    <row r="15" spans="1:14" x14ac:dyDescent="0.2">
      <c r="A15" s="3">
        <v>9</v>
      </c>
      <c r="B15" s="4" t="s">
        <v>193</v>
      </c>
      <c r="C15" s="4" t="s">
        <v>194</v>
      </c>
      <c r="D15" s="4" t="s">
        <v>947</v>
      </c>
      <c r="E15" s="5">
        <v>31217</v>
      </c>
      <c r="F15" s="6">
        <v>172.8953545</v>
      </c>
      <c r="G15" s="7">
        <v>2.2723693999999999E-2</v>
      </c>
      <c r="H15" s="6"/>
    </row>
    <row r="16" spans="1:14" ht="15" x14ac:dyDescent="0.2">
      <c r="A16" s="3">
        <v>10</v>
      </c>
      <c r="B16" s="4" t="s">
        <v>160</v>
      </c>
      <c r="C16" s="4" t="s">
        <v>161</v>
      </c>
      <c r="D16" s="4" t="s">
        <v>942</v>
      </c>
      <c r="E16" s="5">
        <v>13510</v>
      </c>
      <c r="F16" s="6">
        <v>165.058425</v>
      </c>
      <c r="G16" s="7">
        <v>2.1693684000000001E-2</v>
      </c>
      <c r="H16" s="6"/>
      <c r="J16" s="192" t="s">
        <v>1148</v>
      </c>
    </row>
    <row r="17" spans="1:8" x14ac:dyDescent="0.2">
      <c r="A17" s="3">
        <v>11</v>
      </c>
      <c r="B17" s="4" t="s">
        <v>236</v>
      </c>
      <c r="C17" s="4" t="s">
        <v>237</v>
      </c>
      <c r="D17" s="4" t="s">
        <v>947</v>
      </c>
      <c r="E17" s="5">
        <v>3812</v>
      </c>
      <c r="F17" s="6">
        <v>164.70317800000001</v>
      </c>
      <c r="G17" s="7">
        <v>2.1646993999999999E-2</v>
      </c>
      <c r="H17" s="6"/>
    </row>
    <row r="18" spans="1:8" x14ac:dyDescent="0.2">
      <c r="A18" s="3">
        <v>12</v>
      </c>
      <c r="B18" s="4" t="s">
        <v>451</v>
      </c>
      <c r="C18" s="4" t="s">
        <v>452</v>
      </c>
      <c r="D18" s="4" t="s">
        <v>71</v>
      </c>
      <c r="E18" s="5">
        <v>17407</v>
      </c>
      <c r="F18" s="6">
        <v>163.93042249999999</v>
      </c>
      <c r="G18" s="7">
        <v>2.1545430000000001E-2</v>
      </c>
      <c r="H18" s="6"/>
    </row>
    <row r="19" spans="1:8" x14ac:dyDescent="0.2">
      <c r="A19" s="3">
        <v>13</v>
      </c>
      <c r="B19" s="4" t="s">
        <v>166</v>
      </c>
      <c r="C19" s="4" t="s">
        <v>167</v>
      </c>
      <c r="D19" s="4" t="s">
        <v>82</v>
      </c>
      <c r="E19" s="5">
        <v>146354</v>
      </c>
      <c r="F19" s="6">
        <v>163.331064</v>
      </c>
      <c r="G19" s="7">
        <v>2.1466656000000001E-2</v>
      </c>
      <c r="H19" s="6"/>
    </row>
    <row r="20" spans="1:8" x14ac:dyDescent="0.2">
      <c r="A20" s="3">
        <v>14</v>
      </c>
      <c r="B20" s="4" t="s">
        <v>263</v>
      </c>
      <c r="C20" s="4" t="s">
        <v>264</v>
      </c>
      <c r="D20" s="4" t="s">
        <v>26</v>
      </c>
      <c r="E20" s="5">
        <v>24026</v>
      </c>
      <c r="F20" s="6">
        <v>162.19952599999999</v>
      </c>
      <c r="G20" s="7">
        <v>2.1317938000000002E-2</v>
      </c>
      <c r="H20" s="6"/>
    </row>
    <row r="21" spans="1:8" x14ac:dyDescent="0.2">
      <c r="A21" s="3">
        <v>15</v>
      </c>
      <c r="B21" s="4" t="s">
        <v>36</v>
      </c>
      <c r="C21" s="4" t="s">
        <v>37</v>
      </c>
      <c r="D21" s="4" t="s">
        <v>26</v>
      </c>
      <c r="E21" s="5">
        <v>12093</v>
      </c>
      <c r="F21" s="6">
        <v>161.42945700000001</v>
      </c>
      <c r="G21" s="7">
        <v>2.1216727000000001E-2</v>
      </c>
      <c r="H21" s="6"/>
    </row>
    <row r="22" spans="1:8" x14ac:dyDescent="0.2">
      <c r="A22" s="3">
        <v>16</v>
      </c>
      <c r="B22" s="4" t="s">
        <v>209</v>
      </c>
      <c r="C22" s="4" t="s">
        <v>210</v>
      </c>
      <c r="D22" s="4" t="s">
        <v>934</v>
      </c>
      <c r="E22" s="5">
        <v>8101</v>
      </c>
      <c r="F22" s="6">
        <v>157.90469200000001</v>
      </c>
      <c r="G22" s="7">
        <v>2.0753466000000002E-2</v>
      </c>
      <c r="H22" s="6"/>
    </row>
    <row r="23" spans="1:8" x14ac:dyDescent="0.2">
      <c r="A23" s="3">
        <v>17</v>
      </c>
      <c r="B23" s="4" t="s">
        <v>168</v>
      </c>
      <c r="C23" s="4" t="s">
        <v>169</v>
      </c>
      <c r="D23" s="4" t="s">
        <v>944</v>
      </c>
      <c r="E23" s="5">
        <v>11057</v>
      </c>
      <c r="F23" s="6">
        <v>146.77614650000001</v>
      </c>
      <c r="G23" s="7">
        <v>1.9290838000000001E-2</v>
      </c>
      <c r="H23" s="6"/>
    </row>
    <row r="24" spans="1:8" x14ac:dyDescent="0.2">
      <c r="A24" s="3">
        <v>18</v>
      </c>
      <c r="B24" s="4" t="s">
        <v>231</v>
      </c>
      <c r="C24" s="4" t="s">
        <v>232</v>
      </c>
      <c r="D24" s="4" t="s">
        <v>233</v>
      </c>
      <c r="E24" s="5">
        <v>46520</v>
      </c>
      <c r="F24" s="6">
        <v>131.11662000000001</v>
      </c>
      <c r="G24" s="7">
        <v>1.7232701E-2</v>
      </c>
      <c r="H24" s="6"/>
    </row>
    <row r="25" spans="1:8" x14ac:dyDescent="0.2">
      <c r="A25" s="3">
        <v>19</v>
      </c>
      <c r="B25" s="4" t="s">
        <v>201</v>
      </c>
      <c r="C25" s="4" t="s">
        <v>202</v>
      </c>
      <c r="D25" s="4" t="s">
        <v>923</v>
      </c>
      <c r="E25" s="5">
        <v>11320</v>
      </c>
      <c r="F25" s="6">
        <v>122.98614000000001</v>
      </c>
      <c r="G25" s="7">
        <v>1.6164108999999999E-2</v>
      </c>
      <c r="H25" s="6"/>
    </row>
    <row r="26" spans="1:8" x14ac:dyDescent="0.2">
      <c r="A26" s="3">
        <v>20</v>
      </c>
      <c r="B26" s="4" t="s">
        <v>178</v>
      </c>
      <c r="C26" s="4" t="s">
        <v>179</v>
      </c>
      <c r="D26" s="4" t="s">
        <v>934</v>
      </c>
      <c r="E26" s="5">
        <v>8355</v>
      </c>
      <c r="F26" s="6">
        <v>119.49321</v>
      </c>
      <c r="G26" s="7">
        <v>1.5705032000000001E-2</v>
      </c>
      <c r="H26" s="6"/>
    </row>
    <row r="27" spans="1:8" x14ac:dyDescent="0.2">
      <c r="A27" s="3">
        <v>21</v>
      </c>
      <c r="B27" s="4" t="s">
        <v>197</v>
      </c>
      <c r="C27" s="4" t="s">
        <v>198</v>
      </c>
      <c r="D27" s="4" t="s">
        <v>82</v>
      </c>
      <c r="E27" s="5">
        <v>16888</v>
      </c>
      <c r="F27" s="6">
        <v>118.621312</v>
      </c>
      <c r="G27" s="7">
        <v>1.5590438999999999E-2</v>
      </c>
      <c r="H27" s="6"/>
    </row>
    <row r="28" spans="1:8" x14ac:dyDescent="0.2">
      <c r="A28" s="3">
        <v>22</v>
      </c>
      <c r="B28" s="4" t="s">
        <v>199</v>
      </c>
      <c r="C28" s="4" t="s">
        <v>200</v>
      </c>
      <c r="D28" s="4" t="s">
        <v>940</v>
      </c>
      <c r="E28" s="5">
        <v>6266</v>
      </c>
      <c r="F28" s="6">
        <v>116.901629</v>
      </c>
      <c r="G28" s="7">
        <v>1.536442E-2</v>
      </c>
      <c r="H28" s="6"/>
    </row>
    <row r="29" spans="1:8" ht="25.5" x14ac:dyDescent="0.2">
      <c r="A29" s="3">
        <v>23</v>
      </c>
      <c r="B29" s="4" t="s">
        <v>449</v>
      </c>
      <c r="C29" s="4" t="s">
        <v>450</v>
      </c>
      <c r="D29" s="4" t="s">
        <v>936</v>
      </c>
      <c r="E29" s="5">
        <v>6054</v>
      </c>
      <c r="F29" s="6">
        <v>116.009775</v>
      </c>
      <c r="G29" s="7">
        <v>1.5247203000000001E-2</v>
      </c>
      <c r="H29" s="6"/>
    </row>
    <row r="30" spans="1:8" ht="25.5" x14ac:dyDescent="0.2">
      <c r="A30" s="3">
        <v>24</v>
      </c>
      <c r="B30" s="4" t="s">
        <v>158</v>
      </c>
      <c r="C30" s="4" t="s">
        <v>159</v>
      </c>
      <c r="D30" s="4" t="s">
        <v>941</v>
      </c>
      <c r="E30" s="5">
        <v>16028</v>
      </c>
      <c r="F30" s="6">
        <v>113.646534</v>
      </c>
      <c r="G30" s="7">
        <v>1.4936602E-2</v>
      </c>
      <c r="H30" s="6"/>
    </row>
    <row r="31" spans="1:8" x14ac:dyDescent="0.2">
      <c r="A31" s="3">
        <v>25</v>
      </c>
      <c r="B31" s="4" t="s">
        <v>453</v>
      </c>
      <c r="C31" s="4" t="s">
        <v>454</v>
      </c>
      <c r="D31" s="4" t="s">
        <v>938</v>
      </c>
      <c r="E31" s="5">
        <v>16083</v>
      </c>
      <c r="F31" s="6">
        <v>113.015241</v>
      </c>
      <c r="G31" s="7">
        <v>1.4853631000000001E-2</v>
      </c>
      <c r="H31" s="6"/>
    </row>
    <row r="32" spans="1:8" ht="25.5" x14ac:dyDescent="0.2">
      <c r="A32" s="3">
        <v>26</v>
      </c>
      <c r="B32" s="4" t="s">
        <v>42</v>
      </c>
      <c r="C32" s="4" t="s">
        <v>43</v>
      </c>
      <c r="D32" s="4" t="s">
        <v>935</v>
      </c>
      <c r="E32" s="5">
        <v>4064</v>
      </c>
      <c r="F32" s="6">
        <v>107.57814399999999</v>
      </c>
      <c r="G32" s="7">
        <v>1.4139031E-2</v>
      </c>
      <c r="H32" s="6"/>
    </row>
    <row r="33" spans="1:8" x14ac:dyDescent="0.2">
      <c r="A33" s="3">
        <v>27</v>
      </c>
      <c r="B33" s="4" t="s">
        <v>203</v>
      </c>
      <c r="C33" s="4" t="s">
        <v>204</v>
      </c>
      <c r="D33" s="4" t="s">
        <v>82</v>
      </c>
      <c r="E33" s="5">
        <v>18162</v>
      </c>
      <c r="F33" s="6">
        <v>107.546283</v>
      </c>
      <c r="G33" s="7">
        <v>1.4134844000000001E-2</v>
      </c>
      <c r="H33" s="6"/>
    </row>
    <row r="34" spans="1:8" x14ac:dyDescent="0.2">
      <c r="A34" s="3">
        <v>28</v>
      </c>
      <c r="B34" s="4" t="s">
        <v>32</v>
      </c>
      <c r="C34" s="4" t="s">
        <v>33</v>
      </c>
      <c r="D34" s="4" t="s">
        <v>26</v>
      </c>
      <c r="E34" s="5">
        <v>3165</v>
      </c>
      <c r="F34" s="6">
        <v>105.397665</v>
      </c>
      <c r="G34" s="7">
        <v>1.3852450000000001E-2</v>
      </c>
      <c r="H34" s="6"/>
    </row>
    <row r="35" spans="1:8" x14ac:dyDescent="0.2">
      <c r="A35" s="3">
        <v>29</v>
      </c>
      <c r="B35" s="4" t="s">
        <v>265</v>
      </c>
      <c r="C35" s="4" t="s">
        <v>266</v>
      </c>
      <c r="D35" s="4" t="s">
        <v>942</v>
      </c>
      <c r="E35" s="5">
        <v>11291</v>
      </c>
      <c r="F35" s="6">
        <v>99.942286499999994</v>
      </c>
      <c r="G35" s="7">
        <v>1.3135447999999999E-2</v>
      </c>
      <c r="H35" s="6"/>
    </row>
    <row r="36" spans="1:8" ht="25.5" x14ac:dyDescent="0.2">
      <c r="A36" s="3">
        <v>30</v>
      </c>
      <c r="B36" s="4" t="s">
        <v>170</v>
      </c>
      <c r="C36" s="4" t="s">
        <v>171</v>
      </c>
      <c r="D36" s="4" t="s">
        <v>945</v>
      </c>
      <c r="E36" s="5">
        <v>23516</v>
      </c>
      <c r="F36" s="6">
        <v>89.454864000000001</v>
      </c>
      <c r="G36" s="7">
        <v>1.1757083E-2</v>
      </c>
      <c r="H36" s="6"/>
    </row>
    <row r="37" spans="1:8" x14ac:dyDescent="0.2">
      <c r="A37" s="3">
        <v>31</v>
      </c>
      <c r="B37" s="4" t="s">
        <v>269</v>
      </c>
      <c r="C37" s="4" t="s">
        <v>270</v>
      </c>
      <c r="D37" s="4" t="s">
        <v>26</v>
      </c>
      <c r="E37" s="5">
        <v>4460</v>
      </c>
      <c r="F37" s="6">
        <v>88.493089999999995</v>
      </c>
      <c r="G37" s="7">
        <v>1.1630676E-2</v>
      </c>
      <c r="H37" s="6"/>
    </row>
    <row r="38" spans="1:8" ht="25.5" x14ac:dyDescent="0.2">
      <c r="A38" s="3">
        <v>32</v>
      </c>
      <c r="B38" s="4" t="s">
        <v>180</v>
      </c>
      <c r="C38" s="4" t="s">
        <v>181</v>
      </c>
      <c r="D38" s="4" t="s">
        <v>941</v>
      </c>
      <c r="E38" s="5">
        <v>16994</v>
      </c>
      <c r="F38" s="6">
        <v>86.151083</v>
      </c>
      <c r="G38" s="7">
        <v>1.1322865999999999E-2</v>
      </c>
      <c r="H38" s="6"/>
    </row>
    <row r="39" spans="1:8" ht="25.5" x14ac:dyDescent="0.2">
      <c r="A39" s="3">
        <v>33</v>
      </c>
      <c r="B39" s="4" t="s">
        <v>184</v>
      </c>
      <c r="C39" s="4" t="s">
        <v>185</v>
      </c>
      <c r="D39" s="4" t="s">
        <v>935</v>
      </c>
      <c r="E39" s="5">
        <v>42002</v>
      </c>
      <c r="F39" s="6">
        <v>84.634029999999996</v>
      </c>
      <c r="G39" s="7">
        <v>1.1123479E-2</v>
      </c>
      <c r="H39" s="6"/>
    </row>
    <row r="40" spans="1:8" ht="25.5" x14ac:dyDescent="0.2">
      <c r="A40" s="3">
        <v>34</v>
      </c>
      <c r="B40" s="4" t="s">
        <v>248</v>
      </c>
      <c r="C40" s="4" t="s">
        <v>249</v>
      </c>
      <c r="D40" s="4" t="s">
        <v>950</v>
      </c>
      <c r="E40" s="5">
        <v>15722</v>
      </c>
      <c r="F40" s="6">
        <v>83.475959000000003</v>
      </c>
      <c r="G40" s="7">
        <v>1.0971273E-2</v>
      </c>
      <c r="H40" s="6"/>
    </row>
    <row r="41" spans="1:8" ht="25.5" x14ac:dyDescent="0.2">
      <c r="A41" s="3">
        <v>35</v>
      </c>
      <c r="B41" s="4" t="s">
        <v>215</v>
      </c>
      <c r="C41" s="4" t="s">
        <v>216</v>
      </c>
      <c r="D41" s="4" t="s">
        <v>945</v>
      </c>
      <c r="E41" s="5">
        <v>13902</v>
      </c>
      <c r="F41" s="6">
        <v>81.097317000000004</v>
      </c>
      <c r="G41" s="7">
        <v>1.0658647E-2</v>
      </c>
      <c r="H41" s="6"/>
    </row>
    <row r="42" spans="1:8" ht="25.5" x14ac:dyDescent="0.2">
      <c r="A42" s="3">
        <v>36</v>
      </c>
      <c r="B42" s="4" t="s">
        <v>313</v>
      </c>
      <c r="C42" s="4" t="s">
        <v>314</v>
      </c>
      <c r="D42" s="4" t="s">
        <v>71</v>
      </c>
      <c r="E42" s="5">
        <v>20339</v>
      </c>
      <c r="F42" s="6">
        <v>78.264471999999998</v>
      </c>
      <c r="G42" s="7">
        <v>1.0286326E-2</v>
      </c>
      <c r="H42" s="6"/>
    </row>
    <row r="43" spans="1:8" ht="25.5" x14ac:dyDescent="0.2">
      <c r="A43" s="3">
        <v>37</v>
      </c>
      <c r="B43" s="4" t="s">
        <v>172</v>
      </c>
      <c r="C43" s="4" t="s">
        <v>173</v>
      </c>
      <c r="D43" s="4" t="s">
        <v>71</v>
      </c>
      <c r="E43" s="5">
        <v>3957</v>
      </c>
      <c r="F43" s="6">
        <v>77.855953499999998</v>
      </c>
      <c r="G43" s="7">
        <v>1.0232633999999999E-2</v>
      </c>
      <c r="H43" s="6"/>
    </row>
    <row r="44" spans="1:8" x14ac:dyDescent="0.2">
      <c r="A44" s="3">
        <v>38</v>
      </c>
      <c r="B44" s="4" t="s">
        <v>341</v>
      </c>
      <c r="C44" s="4" t="s">
        <v>342</v>
      </c>
      <c r="D44" s="4" t="s">
        <v>940</v>
      </c>
      <c r="E44" s="5">
        <v>2040</v>
      </c>
      <c r="F44" s="6">
        <v>77.759699999999995</v>
      </c>
      <c r="G44" s="7">
        <v>1.0219983E-2</v>
      </c>
      <c r="H44" s="6"/>
    </row>
    <row r="45" spans="1:8" x14ac:dyDescent="0.2">
      <c r="A45" s="3">
        <v>39</v>
      </c>
      <c r="B45" s="4" t="s">
        <v>164</v>
      </c>
      <c r="C45" s="4" t="s">
        <v>165</v>
      </c>
      <c r="D45" s="4" t="s">
        <v>944</v>
      </c>
      <c r="E45" s="5">
        <v>16224</v>
      </c>
      <c r="F45" s="6">
        <v>77.331695999999994</v>
      </c>
      <c r="G45" s="7">
        <v>1.0163731000000001E-2</v>
      </c>
      <c r="H45" s="6"/>
    </row>
    <row r="46" spans="1:8" x14ac:dyDescent="0.2">
      <c r="A46" s="3">
        <v>40</v>
      </c>
      <c r="B46" s="4" t="s">
        <v>213</v>
      </c>
      <c r="C46" s="4" t="s">
        <v>214</v>
      </c>
      <c r="D46" s="4" t="s">
        <v>64</v>
      </c>
      <c r="E46" s="5">
        <v>88984</v>
      </c>
      <c r="F46" s="6">
        <v>76.926668000000006</v>
      </c>
      <c r="G46" s="7">
        <v>1.0110498000000001E-2</v>
      </c>
      <c r="H46" s="6"/>
    </row>
    <row r="47" spans="1:8" x14ac:dyDescent="0.2">
      <c r="A47" s="3">
        <v>41</v>
      </c>
      <c r="B47" s="4" t="s">
        <v>455</v>
      </c>
      <c r="C47" s="4" t="s">
        <v>456</v>
      </c>
      <c r="D47" s="4" t="s">
        <v>71</v>
      </c>
      <c r="E47" s="5">
        <v>6647</v>
      </c>
      <c r="F47" s="6">
        <v>75.533184500000004</v>
      </c>
      <c r="G47" s="7">
        <v>9.9273520000000004E-3</v>
      </c>
      <c r="H47" s="6"/>
    </row>
    <row r="48" spans="1:8" x14ac:dyDescent="0.2">
      <c r="A48" s="3">
        <v>42</v>
      </c>
      <c r="B48" s="4" t="s">
        <v>461</v>
      </c>
      <c r="C48" s="4" t="s">
        <v>462</v>
      </c>
      <c r="D48" s="4" t="s">
        <v>82</v>
      </c>
      <c r="E48" s="5">
        <v>7194</v>
      </c>
      <c r="F48" s="6">
        <v>74.544228000000004</v>
      </c>
      <c r="G48" s="7">
        <v>9.7973729999999998E-3</v>
      </c>
      <c r="H48" s="6"/>
    </row>
    <row r="49" spans="1:8" x14ac:dyDescent="0.2">
      <c r="A49" s="3">
        <v>43</v>
      </c>
      <c r="B49" s="4" t="s">
        <v>457</v>
      </c>
      <c r="C49" s="4" t="s">
        <v>458</v>
      </c>
      <c r="D49" s="4" t="s">
        <v>26</v>
      </c>
      <c r="E49" s="5">
        <v>9582</v>
      </c>
      <c r="F49" s="6">
        <v>73.479567000000003</v>
      </c>
      <c r="G49" s="7">
        <v>9.6574439999999994E-3</v>
      </c>
      <c r="H49" s="6"/>
    </row>
    <row r="50" spans="1:8" x14ac:dyDescent="0.2">
      <c r="A50" s="3">
        <v>44</v>
      </c>
      <c r="B50" s="4" t="s">
        <v>279</v>
      </c>
      <c r="C50" s="4" t="s">
        <v>280</v>
      </c>
      <c r="D50" s="4" t="s">
        <v>18</v>
      </c>
      <c r="E50" s="5">
        <v>33567</v>
      </c>
      <c r="F50" s="6">
        <v>71.900514000000001</v>
      </c>
      <c r="G50" s="7">
        <v>9.4499089999999994E-3</v>
      </c>
      <c r="H50" s="6"/>
    </row>
    <row r="51" spans="1:8" x14ac:dyDescent="0.2">
      <c r="A51" s="3">
        <v>45</v>
      </c>
      <c r="B51" s="4" t="s">
        <v>459</v>
      </c>
      <c r="C51" s="4" t="s">
        <v>460</v>
      </c>
      <c r="D51" s="4" t="s">
        <v>26</v>
      </c>
      <c r="E51" s="5">
        <v>11770</v>
      </c>
      <c r="F51" s="6">
        <v>71.567485000000005</v>
      </c>
      <c r="G51" s="7">
        <v>9.4061379999999997E-3</v>
      </c>
      <c r="H51" s="6"/>
    </row>
    <row r="52" spans="1:8" x14ac:dyDescent="0.2">
      <c r="A52" s="3">
        <v>46</v>
      </c>
      <c r="B52" s="4" t="s">
        <v>267</v>
      </c>
      <c r="C52" s="4" t="s">
        <v>268</v>
      </c>
      <c r="D52" s="4" t="s">
        <v>82</v>
      </c>
      <c r="E52" s="5">
        <v>121452</v>
      </c>
      <c r="F52" s="6">
        <v>69.349091999999999</v>
      </c>
      <c r="G52" s="7">
        <v>9.1145740000000003E-3</v>
      </c>
      <c r="H52" s="6"/>
    </row>
    <row r="53" spans="1:8" x14ac:dyDescent="0.2">
      <c r="A53" s="3">
        <v>47</v>
      </c>
      <c r="B53" s="4" t="s">
        <v>463</v>
      </c>
      <c r="C53" s="4" t="s">
        <v>464</v>
      </c>
      <c r="D53" s="4" t="s">
        <v>952</v>
      </c>
      <c r="E53" s="5">
        <v>7374</v>
      </c>
      <c r="F53" s="6">
        <v>69.164433000000002</v>
      </c>
      <c r="G53" s="7">
        <v>9.0903040000000004E-3</v>
      </c>
      <c r="H53" s="6"/>
    </row>
    <row r="54" spans="1:8" ht="25.5" x14ac:dyDescent="0.2">
      <c r="A54" s="3">
        <v>48</v>
      </c>
      <c r="B54" s="4" t="s">
        <v>162</v>
      </c>
      <c r="C54" s="4" t="s">
        <v>163</v>
      </c>
      <c r="D54" s="4" t="s">
        <v>943</v>
      </c>
      <c r="E54" s="5">
        <v>65904</v>
      </c>
      <c r="F54" s="6">
        <v>67.782263999999998</v>
      </c>
      <c r="G54" s="7">
        <v>8.9086459999999992E-3</v>
      </c>
      <c r="H54" s="6"/>
    </row>
    <row r="55" spans="1:8" ht="51" x14ac:dyDescent="0.2">
      <c r="A55" s="3">
        <v>49</v>
      </c>
      <c r="B55" s="4" t="s">
        <v>238</v>
      </c>
      <c r="C55" s="4" t="s">
        <v>239</v>
      </c>
      <c r="D55" s="4" t="s">
        <v>939</v>
      </c>
      <c r="E55" s="5">
        <v>28232</v>
      </c>
      <c r="F55" s="6">
        <v>67.714451999999994</v>
      </c>
      <c r="G55" s="7">
        <v>8.8997329999999999E-3</v>
      </c>
      <c r="H55" s="6"/>
    </row>
    <row r="56" spans="1:8" ht="25.5" x14ac:dyDescent="0.2">
      <c r="A56" s="3">
        <v>50</v>
      </c>
      <c r="B56" s="4" t="s">
        <v>221</v>
      </c>
      <c r="C56" s="4" t="s">
        <v>222</v>
      </c>
      <c r="D56" s="4" t="s">
        <v>945</v>
      </c>
      <c r="E56" s="5">
        <v>3920</v>
      </c>
      <c r="F56" s="6">
        <v>67.380880000000005</v>
      </c>
      <c r="G56" s="7">
        <v>8.8558920000000006E-3</v>
      </c>
      <c r="H56" s="6"/>
    </row>
    <row r="57" spans="1:8" ht="25.5" x14ac:dyDescent="0.2">
      <c r="A57" s="3">
        <v>51</v>
      </c>
      <c r="B57" s="4" t="s">
        <v>219</v>
      </c>
      <c r="C57" s="4" t="s">
        <v>220</v>
      </c>
      <c r="D57" s="4" t="s">
        <v>950</v>
      </c>
      <c r="E57" s="5">
        <v>16397</v>
      </c>
      <c r="F57" s="6">
        <v>66.924355500000004</v>
      </c>
      <c r="G57" s="7">
        <v>8.7958900000000007E-3</v>
      </c>
      <c r="H57" s="6"/>
    </row>
    <row r="58" spans="1:8" ht="25.5" x14ac:dyDescent="0.2">
      <c r="A58" s="3">
        <v>52</v>
      </c>
      <c r="B58" s="4" t="s">
        <v>256</v>
      </c>
      <c r="C58" s="4" t="s">
        <v>257</v>
      </c>
      <c r="D58" s="4" t="s">
        <v>954</v>
      </c>
      <c r="E58" s="5">
        <v>19523</v>
      </c>
      <c r="F58" s="6">
        <v>65.392288500000006</v>
      </c>
      <c r="G58" s="7">
        <v>8.5945299999999995E-3</v>
      </c>
      <c r="H58" s="6"/>
    </row>
    <row r="59" spans="1:8" x14ac:dyDescent="0.2">
      <c r="A59" s="3">
        <v>53</v>
      </c>
      <c r="B59" s="4" t="s">
        <v>223</v>
      </c>
      <c r="C59" s="4" t="s">
        <v>224</v>
      </c>
      <c r="D59" s="4" t="s">
        <v>71</v>
      </c>
      <c r="E59" s="5">
        <v>26481</v>
      </c>
      <c r="F59" s="6">
        <v>65.275665000000004</v>
      </c>
      <c r="G59" s="7">
        <v>8.5792019999999993E-3</v>
      </c>
      <c r="H59" s="6"/>
    </row>
    <row r="60" spans="1:8" x14ac:dyDescent="0.2">
      <c r="A60" s="3">
        <v>54</v>
      </c>
      <c r="B60" s="4" t="s">
        <v>225</v>
      </c>
      <c r="C60" s="4" t="s">
        <v>226</v>
      </c>
      <c r="D60" s="4" t="s">
        <v>951</v>
      </c>
      <c r="E60" s="5">
        <v>20765</v>
      </c>
      <c r="F60" s="6">
        <v>65.108657500000007</v>
      </c>
      <c r="G60" s="7">
        <v>8.5572530000000008E-3</v>
      </c>
      <c r="H60" s="6"/>
    </row>
    <row r="61" spans="1:8" x14ac:dyDescent="0.2">
      <c r="A61" s="3">
        <v>55</v>
      </c>
      <c r="B61" s="4" t="s">
        <v>244</v>
      </c>
      <c r="C61" s="4" t="s">
        <v>245</v>
      </c>
      <c r="D61" s="4" t="s">
        <v>13</v>
      </c>
      <c r="E61" s="5">
        <v>22056</v>
      </c>
      <c r="F61" s="6">
        <v>59.617367999999999</v>
      </c>
      <c r="G61" s="7">
        <v>7.8355309999999997E-3</v>
      </c>
      <c r="H61" s="6"/>
    </row>
    <row r="62" spans="1:8" x14ac:dyDescent="0.2">
      <c r="A62" s="3">
        <v>56</v>
      </c>
      <c r="B62" s="4" t="s">
        <v>227</v>
      </c>
      <c r="C62" s="4" t="s">
        <v>228</v>
      </c>
      <c r="D62" s="4" t="s">
        <v>26</v>
      </c>
      <c r="E62" s="5">
        <v>5663</v>
      </c>
      <c r="F62" s="6">
        <v>57.428483</v>
      </c>
      <c r="G62" s="7">
        <v>7.5478450000000001E-3</v>
      </c>
      <c r="H62" s="6"/>
    </row>
    <row r="63" spans="1:8" ht="25.5" x14ac:dyDescent="0.2">
      <c r="A63" s="3">
        <v>57</v>
      </c>
      <c r="B63" s="4" t="s">
        <v>469</v>
      </c>
      <c r="C63" s="4" t="s">
        <v>470</v>
      </c>
      <c r="D63" s="4" t="s">
        <v>945</v>
      </c>
      <c r="E63" s="5">
        <v>14001</v>
      </c>
      <c r="F63" s="6">
        <v>55.723979999999997</v>
      </c>
      <c r="G63" s="7">
        <v>7.3238210000000003E-3</v>
      </c>
      <c r="H63" s="6"/>
    </row>
    <row r="64" spans="1:8" x14ac:dyDescent="0.2">
      <c r="A64" s="3">
        <v>58</v>
      </c>
      <c r="B64" s="4" t="s">
        <v>465</v>
      </c>
      <c r="C64" s="4" t="s">
        <v>466</v>
      </c>
      <c r="D64" s="4" t="s">
        <v>944</v>
      </c>
      <c r="E64" s="5">
        <v>83814</v>
      </c>
      <c r="F64" s="6">
        <v>54.101937</v>
      </c>
      <c r="G64" s="7">
        <v>7.110636E-3</v>
      </c>
      <c r="H64" s="6"/>
    </row>
    <row r="65" spans="1:8" x14ac:dyDescent="0.2">
      <c r="A65" s="3">
        <v>59</v>
      </c>
      <c r="B65" s="4" t="s">
        <v>205</v>
      </c>
      <c r="C65" s="4" t="s">
        <v>206</v>
      </c>
      <c r="D65" s="4" t="s">
        <v>64</v>
      </c>
      <c r="E65" s="5">
        <v>15004</v>
      </c>
      <c r="F65" s="6">
        <v>54.006898</v>
      </c>
      <c r="G65" s="7">
        <v>7.0981450000000001E-3</v>
      </c>
      <c r="H65" s="6"/>
    </row>
    <row r="66" spans="1:8" ht="38.25" x14ac:dyDescent="0.2">
      <c r="A66" s="3">
        <v>60</v>
      </c>
      <c r="B66" s="4" t="s">
        <v>254</v>
      </c>
      <c r="C66" s="4" t="s">
        <v>255</v>
      </c>
      <c r="D66" s="4" t="s">
        <v>953</v>
      </c>
      <c r="E66" s="5">
        <v>7412</v>
      </c>
      <c r="F66" s="6">
        <v>51.535635999999997</v>
      </c>
      <c r="G66" s="7">
        <v>6.7733460000000004E-3</v>
      </c>
      <c r="H66" s="6"/>
    </row>
    <row r="67" spans="1:8" x14ac:dyDescent="0.2">
      <c r="A67" s="3">
        <v>61</v>
      </c>
      <c r="B67" s="4" t="s">
        <v>271</v>
      </c>
      <c r="C67" s="4" t="s">
        <v>272</v>
      </c>
      <c r="D67" s="4" t="s">
        <v>940</v>
      </c>
      <c r="E67" s="5">
        <v>8028</v>
      </c>
      <c r="F67" s="6">
        <v>50.078664000000003</v>
      </c>
      <c r="G67" s="7">
        <v>6.5818550000000002E-3</v>
      </c>
      <c r="H67" s="6"/>
    </row>
    <row r="68" spans="1:8" x14ac:dyDescent="0.2">
      <c r="A68" s="3">
        <v>62</v>
      </c>
      <c r="B68" s="4" t="s">
        <v>92</v>
      </c>
      <c r="C68" s="4" t="s">
        <v>93</v>
      </c>
      <c r="D68" s="4" t="s">
        <v>923</v>
      </c>
      <c r="E68" s="5">
        <v>10971</v>
      </c>
      <c r="F68" s="6">
        <v>50.005817999999998</v>
      </c>
      <c r="G68" s="7">
        <v>6.5722810000000001E-3</v>
      </c>
      <c r="H68" s="6"/>
    </row>
    <row r="69" spans="1:8" x14ac:dyDescent="0.2">
      <c r="A69" s="3">
        <v>63</v>
      </c>
      <c r="B69" s="4" t="s">
        <v>234</v>
      </c>
      <c r="C69" s="4" t="s">
        <v>235</v>
      </c>
      <c r="D69" s="4" t="s">
        <v>952</v>
      </c>
      <c r="E69" s="5">
        <v>33456</v>
      </c>
      <c r="F69" s="6">
        <v>49.548335999999999</v>
      </c>
      <c r="G69" s="7">
        <v>6.512154E-3</v>
      </c>
      <c r="H69" s="6"/>
    </row>
    <row r="70" spans="1:8" x14ac:dyDescent="0.2">
      <c r="A70" s="3">
        <v>64</v>
      </c>
      <c r="B70" s="4" t="s">
        <v>246</v>
      </c>
      <c r="C70" s="4" t="s">
        <v>247</v>
      </c>
      <c r="D70" s="4" t="s">
        <v>91</v>
      </c>
      <c r="E70" s="5">
        <v>5369</v>
      </c>
      <c r="F70" s="6">
        <v>42.178863999999997</v>
      </c>
      <c r="G70" s="7">
        <v>5.543582E-3</v>
      </c>
      <c r="H70" s="6"/>
    </row>
    <row r="71" spans="1:8" x14ac:dyDescent="0.2">
      <c r="A71" s="3">
        <v>65</v>
      </c>
      <c r="B71" s="4" t="s">
        <v>174</v>
      </c>
      <c r="C71" s="4" t="s">
        <v>175</v>
      </c>
      <c r="D71" s="4" t="s">
        <v>71</v>
      </c>
      <c r="E71" s="5">
        <v>6547</v>
      </c>
      <c r="F71" s="6">
        <v>41.553809000000001</v>
      </c>
      <c r="G71" s="7">
        <v>5.4614310000000001E-3</v>
      </c>
      <c r="H71" s="6"/>
    </row>
    <row r="72" spans="1:8" x14ac:dyDescent="0.2">
      <c r="A72" s="3">
        <v>66</v>
      </c>
      <c r="B72" s="4" t="s">
        <v>176</v>
      </c>
      <c r="C72" s="4" t="s">
        <v>177</v>
      </c>
      <c r="D72" s="4" t="s">
        <v>944</v>
      </c>
      <c r="E72" s="5">
        <v>37239</v>
      </c>
      <c r="F72" s="6">
        <v>37.797584999999998</v>
      </c>
      <c r="G72" s="7">
        <v>4.9677489999999996E-3</v>
      </c>
      <c r="H72" s="6"/>
    </row>
    <row r="73" spans="1:8" ht="25.5" x14ac:dyDescent="0.2">
      <c r="A73" s="3">
        <v>67</v>
      </c>
      <c r="B73" s="4" t="s">
        <v>277</v>
      </c>
      <c r="C73" s="4" t="s">
        <v>278</v>
      </c>
      <c r="D73" s="4" t="s">
        <v>946</v>
      </c>
      <c r="E73" s="5">
        <v>6070</v>
      </c>
      <c r="F73" s="6">
        <v>36.080080000000002</v>
      </c>
      <c r="G73" s="7">
        <v>4.7420170000000003E-3</v>
      </c>
      <c r="H73" s="6"/>
    </row>
    <row r="74" spans="1:8" ht="25.5" x14ac:dyDescent="0.2">
      <c r="A74" s="3">
        <v>68</v>
      </c>
      <c r="B74" s="4" t="s">
        <v>188</v>
      </c>
      <c r="C74" s="4" t="s">
        <v>189</v>
      </c>
      <c r="D74" s="4" t="s">
        <v>945</v>
      </c>
      <c r="E74" s="5">
        <v>792</v>
      </c>
      <c r="F74" s="6">
        <v>35.139851999999998</v>
      </c>
      <c r="G74" s="7">
        <v>4.6184420000000004E-3</v>
      </c>
      <c r="H74" s="6"/>
    </row>
    <row r="75" spans="1:8" x14ac:dyDescent="0.2">
      <c r="A75" s="3">
        <v>69</v>
      </c>
      <c r="B75" s="4" t="s">
        <v>240</v>
      </c>
      <c r="C75" s="4" t="s">
        <v>241</v>
      </c>
      <c r="D75" s="4" t="s">
        <v>940</v>
      </c>
      <c r="E75" s="5">
        <v>6546</v>
      </c>
      <c r="F75" s="6">
        <v>34.271583</v>
      </c>
      <c r="G75" s="7">
        <v>4.5043260000000003E-3</v>
      </c>
      <c r="H75" s="6"/>
    </row>
    <row r="76" spans="1:8" ht="25.5" x14ac:dyDescent="0.2">
      <c r="A76" s="3">
        <v>70</v>
      </c>
      <c r="B76" s="4" t="s">
        <v>281</v>
      </c>
      <c r="C76" s="4" t="s">
        <v>282</v>
      </c>
      <c r="D76" s="4" t="s">
        <v>945</v>
      </c>
      <c r="E76" s="5">
        <v>12902</v>
      </c>
      <c r="F76" s="6">
        <v>32.293706</v>
      </c>
      <c r="G76" s="7">
        <v>4.2443730000000001E-3</v>
      </c>
      <c r="H76" s="6"/>
    </row>
    <row r="77" spans="1:8" x14ac:dyDescent="0.2">
      <c r="A77" s="3">
        <v>71</v>
      </c>
      <c r="B77" s="4" t="s">
        <v>106</v>
      </c>
      <c r="C77" s="4" t="s">
        <v>107</v>
      </c>
      <c r="D77" s="4" t="s">
        <v>923</v>
      </c>
      <c r="E77" s="5">
        <v>41500</v>
      </c>
      <c r="F77" s="6">
        <v>31.4985</v>
      </c>
      <c r="G77" s="7">
        <v>4.1398579999999997E-3</v>
      </c>
      <c r="H77" s="6"/>
    </row>
    <row r="78" spans="1:8" x14ac:dyDescent="0.2">
      <c r="A78" s="3">
        <v>72</v>
      </c>
      <c r="B78" s="4" t="s">
        <v>250</v>
      </c>
      <c r="C78" s="4" t="s">
        <v>251</v>
      </c>
      <c r="D78" s="4" t="s">
        <v>302</v>
      </c>
      <c r="E78" s="5">
        <v>3918</v>
      </c>
      <c r="F78" s="6">
        <v>25.461123000000001</v>
      </c>
      <c r="G78" s="7">
        <v>3.3463640000000001E-3</v>
      </c>
      <c r="H78" s="6"/>
    </row>
    <row r="79" spans="1:8" ht="25.5" x14ac:dyDescent="0.2">
      <c r="A79" s="3">
        <v>73</v>
      </c>
      <c r="B79" s="4" t="s">
        <v>258</v>
      </c>
      <c r="C79" s="4" t="s">
        <v>259</v>
      </c>
      <c r="D79" s="4" t="s">
        <v>946</v>
      </c>
      <c r="E79" s="5">
        <v>1852</v>
      </c>
      <c r="F79" s="6">
        <v>16.481874000000001</v>
      </c>
      <c r="G79" s="7">
        <v>2.1662180000000001E-3</v>
      </c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9">
        <v>7216.0243014999996</v>
      </c>
      <c r="G80" s="10">
        <v>0.94840447999999999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113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114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115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116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117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8" customHeight="1" x14ac:dyDescent="0.2">
      <c r="A97" s="1"/>
      <c r="B97" s="1"/>
      <c r="C97" s="2" t="s">
        <v>118</v>
      </c>
      <c r="D97" s="1"/>
      <c r="E97" s="1"/>
      <c r="F97" s="9">
        <v>7216.0243014999996</v>
      </c>
      <c r="G97" s="10">
        <v>0.94840447999999999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119</v>
      </c>
      <c r="D99" s="1"/>
      <c r="E99" s="1"/>
      <c r="F99" s="12"/>
      <c r="G99" s="12"/>
      <c r="H99" s="6"/>
    </row>
    <row r="100" spans="1:8" ht="24" customHeight="1" x14ac:dyDescent="0.2">
      <c r="A100" s="1"/>
      <c r="B100" s="1"/>
      <c r="C100" s="2" t="s">
        <v>10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120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121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122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123</v>
      </c>
      <c r="D112" s="1"/>
      <c r="E112" s="1"/>
      <c r="F112" s="9">
        <v>0</v>
      </c>
      <c r="G112" s="10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124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125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127</v>
      </c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128</v>
      </c>
      <c r="D124" s="1"/>
      <c r="E124" s="1"/>
      <c r="F124" s="12"/>
      <c r="G124" s="12"/>
      <c r="H124" s="6"/>
    </row>
    <row r="125" spans="1:8" ht="17.100000000000001" customHeight="1" x14ac:dyDescent="0.2">
      <c r="A125" s="3">
        <v>1</v>
      </c>
      <c r="B125" s="4"/>
      <c r="C125" s="4" t="s">
        <v>129</v>
      </c>
      <c r="D125" s="4"/>
      <c r="E125" s="8"/>
      <c r="F125" s="6">
        <v>376.7839578</v>
      </c>
      <c r="G125" s="7">
        <v>4.9520841000000003E-2</v>
      </c>
      <c r="H125" s="6">
        <v>3.9343919198424624</v>
      </c>
    </row>
    <row r="126" spans="1:8" ht="17.100000000000001" customHeight="1" x14ac:dyDescent="0.2">
      <c r="A126" s="3">
        <v>2</v>
      </c>
      <c r="B126" s="4"/>
      <c r="C126" s="4" t="s">
        <v>130</v>
      </c>
      <c r="D126" s="4"/>
      <c r="E126" s="8"/>
      <c r="F126" s="6">
        <v>24.746985299999999</v>
      </c>
      <c r="G126" s="7">
        <v>3.2525050000000002E-3</v>
      </c>
      <c r="H126" s="6">
        <v>3.8</v>
      </c>
    </row>
    <row r="127" spans="1:8" ht="14.1" customHeight="1" x14ac:dyDescent="0.2">
      <c r="A127" s="1"/>
      <c r="B127" s="1"/>
      <c r="C127" s="2" t="s">
        <v>111</v>
      </c>
      <c r="D127" s="1"/>
      <c r="E127" s="1" t="s">
        <v>112</v>
      </c>
      <c r="F127" s="9">
        <v>401.5309431</v>
      </c>
      <c r="G127" s="10">
        <v>5.2773345999999999E-2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131</v>
      </c>
      <c r="D129" s="1"/>
      <c r="E129" s="1"/>
      <c r="F129" s="9">
        <v>401.5309431</v>
      </c>
      <c r="G129" s="10">
        <v>5.2773345999999999E-2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132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133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134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135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111</v>
      </c>
      <c r="D137" s="1"/>
      <c r="E137" s="1" t="s">
        <v>112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136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111</v>
      </c>
      <c r="D141" s="1"/>
      <c r="E141" s="1" t="s">
        <v>112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137</v>
      </c>
      <c r="D144" s="4"/>
      <c r="E144" s="8"/>
      <c r="F144" s="6">
        <v>-8.9615803100000004</v>
      </c>
      <c r="G144" s="7">
        <v>-1.1778229999999999E-3</v>
      </c>
      <c r="H144" s="6"/>
    </row>
    <row r="145" spans="1:8" ht="14.1" customHeight="1" x14ac:dyDescent="0.2">
      <c r="A145" s="11"/>
      <c r="B145" s="11"/>
      <c r="C145" s="2" t="s">
        <v>138</v>
      </c>
      <c r="D145" s="15"/>
      <c r="E145" s="15"/>
      <c r="F145" s="9">
        <v>7608.5936838899997</v>
      </c>
      <c r="G145" s="10">
        <v>1.0000000060000001</v>
      </c>
      <c r="H145" s="6"/>
    </row>
    <row r="146" spans="1:8" ht="14.1" customHeight="1" x14ac:dyDescent="0.2">
      <c r="A146" s="18"/>
      <c r="B146" s="297" t="s">
        <v>112</v>
      </c>
      <c r="C146" s="297"/>
      <c r="D146" s="297"/>
      <c r="E146" s="297"/>
      <c r="F146" s="297"/>
      <c r="G146" s="20"/>
    </row>
    <row r="147" spans="1:8" ht="17.100000000000001" customHeight="1" x14ac:dyDescent="0.2">
      <c r="A147" s="18"/>
      <c r="B147" s="297" t="s">
        <v>139</v>
      </c>
      <c r="C147" s="297"/>
      <c r="D147" s="297"/>
      <c r="E147" s="297"/>
      <c r="F147" s="297"/>
      <c r="G147" s="20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294" t="s">
        <v>140</v>
      </c>
      <c r="C149" s="295"/>
      <c r="D149" s="12" t="s">
        <v>112</v>
      </c>
      <c r="E149" s="21"/>
      <c r="F149" s="20"/>
      <c r="G149" s="20"/>
    </row>
    <row r="150" spans="1:8" ht="29.1" customHeight="1" x14ac:dyDescent="0.2">
      <c r="A150" s="18"/>
      <c r="B150" s="288" t="s">
        <v>141</v>
      </c>
      <c r="C150" s="289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288" t="s">
        <v>143</v>
      </c>
      <c r="C151" s="289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288" t="s">
        <v>144</v>
      </c>
      <c r="C152" s="289"/>
      <c r="D152" s="12" t="s">
        <v>112</v>
      </c>
      <c r="E152" s="21"/>
      <c r="F152" s="20"/>
      <c r="G152" s="20"/>
    </row>
    <row r="153" spans="1:8" ht="24" customHeight="1" x14ac:dyDescent="0.2">
      <c r="A153" s="22"/>
      <c r="B153" s="23" t="s">
        <v>112</v>
      </c>
      <c r="C153" s="23" t="s">
        <v>145</v>
      </c>
      <c r="D153" s="23" t="s">
        <v>146</v>
      </c>
      <c r="E153" s="22"/>
      <c r="F153" s="22"/>
      <c r="G153" s="22"/>
    </row>
    <row r="154" spans="1:8" ht="18" customHeight="1" x14ac:dyDescent="0.2">
      <c r="A154" s="22"/>
      <c r="B154" s="23" t="s">
        <v>147</v>
      </c>
      <c r="C154" s="23" t="s">
        <v>148</v>
      </c>
      <c r="D154" s="23" t="s">
        <v>149</v>
      </c>
      <c r="E154" s="22"/>
      <c r="F154" s="22"/>
      <c r="G154" s="22"/>
    </row>
    <row r="155" spans="1:8" ht="17.100000000000001" customHeight="1" x14ac:dyDescent="0.2">
      <c r="A155" s="22"/>
      <c r="B155" s="4" t="s">
        <v>150</v>
      </c>
      <c r="C155" s="24">
        <v>19.020800000000001</v>
      </c>
      <c r="D155" s="24">
        <v>19.203399999999998</v>
      </c>
      <c r="E155" s="22"/>
      <c r="F155" s="19"/>
      <c r="G155" s="25"/>
    </row>
    <row r="156" spans="1:8" ht="17.100000000000001" customHeight="1" x14ac:dyDescent="0.2">
      <c r="A156" s="22"/>
      <c r="B156" s="4" t="s">
        <v>1114</v>
      </c>
      <c r="C156" s="24">
        <v>18.3445</v>
      </c>
      <c r="D156" s="24">
        <v>18.520600000000002</v>
      </c>
      <c r="E156" s="22"/>
      <c r="F156" s="19"/>
      <c r="G156" s="25"/>
    </row>
    <row r="157" spans="1:8" ht="17.100000000000001" customHeight="1" x14ac:dyDescent="0.2">
      <c r="A157" s="22"/>
      <c r="B157" s="4" t="s">
        <v>151</v>
      </c>
      <c r="C157" s="24">
        <v>18.612300000000001</v>
      </c>
      <c r="D157" s="24">
        <v>18.782399999999999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1115</v>
      </c>
      <c r="C158" s="24">
        <v>17.939299999999999</v>
      </c>
      <c r="D158" s="24">
        <v>18.103200000000001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288" t="s">
        <v>1116</v>
      </c>
      <c r="C160" s="289"/>
      <c r="D160" s="2" t="s">
        <v>142</v>
      </c>
      <c r="E160" s="22"/>
      <c r="F160" s="22"/>
      <c r="G160" s="22"/>
    </row>
    <row r="161" spans="1:15" ht="14.1" customHeight="1" x14ac:dyDescent="0.2">
      <c r="A161" s="22"/>
      <c r="B161" s="19"/>
      <c r="C161" s="19"/>
      <c r="D161" s="22"/>
      <c r="E161" s="22"/>
      <c r="F161" s="22"/>
      <c r="G161" s="22"/>
    </row>
    <row r="162" spans="1:15" ht="29.1" customHeight="1" x14ac:dyDescent="0.2">
      <c r="A162" s="22"/>
      <c r="B162" s="288" t="s">
        <v>153</v>
      </c>
      <c r="C162" s="289"/>
      <c r="D162" s="2" t="s">
        <v>142</v>
      </c>
      <c r="E162" s="22"/>
      <c r="F162" s="22"/>
      <c r="G162" s="22"/>
    </row>
    <row r="163" spans="1:15" ht="29.1" customHeight="1" x14ac:dyDescent="0.2">
      <c r="A163" s="22"/>
      <c r="B163" s="288" t="s">
        <v>154</v>
      </c>
      <c r="C163" s="289"/>
      <c r="D163" s="2" t="s">
        <v>142</v>
      </c>
      <c r="E163" s="22"/>
      <c r="F163" s="22"/>
      <c r="G163" s="22"/>
    </row>
    <row r="164" spans="1:15" ht="17.100000000000001" customHeight="1" x14ac:dyDescent="0.2">
      <c r="A164" s="22"/>
      <c r="B164" s="288" t="s">
        <v>155</v>
      </c>
      <c r="C164" s="289"/>
      <c r="D164" s="26">
        <v>0.33215215544789645</v>
      </c>
      <c r="E164" s="22"/>
      <c r="F164" s="19"/>
      <c r="G164" s="25"/>
      <c r="J164" s="66"/>
      <c r="K164" s="66"/>
      <c r="L164" s="66"/>
      <c r="M164" s="66"/>
      <c r="N164" s="66"/>
      <c r="O164" s="66"/>
    </row>
    <row r="165" spans="1:15" ht="17.100000000000001" customHeight="1" x14ac:dyDescent="0.2">
      <c r="A165" s="22"/>
      <c r="B165" s="288" t="s">
        <v>156</v>
      </c>
      <c r="C165" s="289"/>
      <c r="D165" s="2" t="s">
        <v>142</v>
      </c>
      <c r="E165" s="22"/>
      <c r="F165" s="22"/>
      <c r="G165" s="22"/>
    </row>
  </sheetData>
  <mergeCells count="15">
    <mergeCell ref="A1:H1"/>
    <mergeCell ref="A2:H2"/>
    <mergeCell ref="A3:H3"/>
    <mergeCell ref="J2:N2"/>
    <mergeCell ref="B149:C149"/>
    <mergeCell ref="B146:F146"/>
    <mergeCell ref="B147:F147"/>
    <mergeCell ref="B164:C164"/>
    <mergeCell ref="B165:C165"/>
    <mergeCell ref="B150:C150"/>
    <mergeCell ref="B151:C151"/>
    <mergeCell ref="B152:C152"/>
    <mergeCell ref="B160:C160"/>
    <mergeCell ref="B162:C162"/>
    <mergeCell ref="B163:C16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473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11268</v>
      </c>
      <c r="F7" s="6">
        <v>136.02729600000001</v>
      </c>
      <c r="G7" s="7">
        <v>3.4471829000000002E-2</v>
      </c>
      <c r="H7" s="6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20283</v>
      </c>
      <c r="F8" s="6">
        <v>122.7831405</v>
      </c>
      <c r="G8" s="7">
        <v>3.1115515E-2</v>
      </c>
      <c r="H8" s="6"/>
    </row>
    <row r="9" spans="1:14" x14ac:dyDescent="0.2">
      <c r="A9" s="3">
        <v>3</v>
      </c>
      <c r="B9" s="4" t="s">
        <v>261</v>
      </c>
      <c r="C9" s="4" t="s">
        <v>262</v>
      </c>
      <c r="D9" s="4" t="s">
        <v>955</v>
      </c>
      <c r="E9" s="5">
        <v>59516</v>
      </c>
      <c r="F9" s="6">
        <v>117.78216399999999</v>
      </c>
      <c r="G9" s="7">
        <v>2.9848175000000001E-2</v>
      </c>
      <c r="H9" s="6"/>
    </row>
    <row r="10" spans="1:14" ht="25.5" x14ac:dyDescent="0.2">
      <c r="A10" s="3">
        <v>4</v>
      </c>
      <c r="B10" s="4" t="s">
        <v>217</v>
      </c>
      <c r="C10" s="4" t="s">
        <v>218</v>
      </c>
      <c r="D10" s="4" t="s">
        <v>946</v>
      </c>
      <c r="E10" s="5">
        <v>2845</v>
      </c>
      <c r="F10" s="6">
        <v>111.85971000000001</v>
      </c>
      <c r="G10" s="7">
        <v>2.8347316000000001E-2</v>
      </c>
      <c r="H10" s="6"/>
    </row>
    <row r="11" spans="1:14" x14ac:dyDescent="0.2">
      <c r="A11" s="3">
        <v>5</v>
      </c>
      <c r="B11" s="4" t="s">
        <v>229</v>
      </c>
      <c r="C11" s="4" t="s">
        <v>230</v>
      </c>
      <c r="D11" s="4" t="s">
        <v>26</v>
      </c>
      <c r="E11" s="5">
        <v>12363</v>
      </c>
      <c r="F11" s="6">
        <v>110.25323400000001</v>
      </c>
      <c r="G11" s="7">
        <v>2.7940204999999999E-2</v>
      </c>
      <c r="H11" s="6"/>
    </row>
    <row r="12" spans="1:14" x14ac:dyDescent="0.2">
      <c r="A12" s="3">
        <v>6</v>
      </c>
      <c r="B12" s="4" t="s">
        <v>195</v>
      </c>
      <c r="C12" s="4" t="s">
        <v>196</v>
      </c>
      <c r="D12" s="4" t="s">
        <v>71</v>
      </c>
      <c r="E12" s="5">
        <v>17190</v>
      </c>
      <c r="F12" s="6">
        <v>109.18228499999999</v>
      </c>
      <c r="G12" s="7">
        <v>2.7668807E-2</v>
      </c>
      <c r="H12" s="6"/>
    </row>
    <row r="13" spans="1:14" x14ac:dyDescent="0.2">
      <c r="A13" s="3">
        <v>7</v>
      </c>
      <c r="B13" s="4" t="s">
        <v>36</v>
      </c>
      <c r="C13" s="4" t="s">
        <v>37</v>
      </c>
      <c r="D13" s="4" t="s">
        <v>26</v>
      </c>
      <c r="E13" s="5">
        <v>7409</v>
      </c>
      <c r="F13" s="6">
        <v>98.902741000000006</v>
      </c>
      <c r="G13" s="7">
        <v>2.5063781E-2</v>
      </c>
      <c r="H13" s="6"/>
    </row>
    <row r="14" spans="1:14" x14ac:dyDescent="0.2">
      <c r="A14" s="3">
        <v>8</v>
      </c>
      <c r="B14" s="4" t="s">
        <v>30</v>
      </c>
      <c r="C14" s="4" t="s">
        <v>31</v>
      </c>
      <c r="D14" s="4" t="s">
        <v>26</v>
      </c>
      <c r="E14" s="5">
        <v>5450</v>
      </c>
      <c r="F14" s="6">
        <v>93.355774999999994</v>
      </c>
      <c r="G14" s="7">
        <v>2.3658077E-2</v>
      </c>
      <c r="H14" s="6"/>
    </row>
    <row r="15" spans="1:14" x14ac:dyDescent="0.2">
      <c r="A15" s="3">
        <v>9</v>
      </c>
      <c r="B15" s="4" t="s">
        <v>207</v>
      </c>
      <c r="C15" s="4" t="s">
        <v>208</v>
      </c>
      <c r="D15" s="4" t="s">
        <v>948</v>
      </c>
      <c r="E15" s="5">
        <v>17981</v>
      </c>
      <c r="F15" s="6">
        <v>90.120772000000002</v>
      </c>
      <c r="G15" s="7">
        <v>2.2838267999999998E-2</v>
      </c>
      <c r="H15" s="6"/>
    </row>
    <row r="16" spans="1:14" ht="15" x14ac:dyDescent="0.2">
      <c r="A16" s="3">
        <v>10</v>
      </c>
      <c r="B16" s="4" t="s">
        <v>193</v>
      </c>
      <c r="C16" s="4" t="s">
        <v>194</v>
      </c>
      <c r="D16" s="4" t="s">
        <v>947</v>
      </c>
      <c r="E16" s="5">
        <v>16149</v>
      </c>
      <c r="F16" s="6">
        <v>89.441236500000002</v>
      </c>
      <c r="G16" s="7">
        <v>2.2666061000000001E-2</v>
      </c>
      <c r="H16" s="6"/>
      <c r="J16" s="192" t="s">
        <v>1148</v>
      </c>
    </row>
    <row r="17" spans="1:8" x14ac:dyDescent="0.2">
      <c r="A17" s="3">
        <v>11</v>
      </c>
      <c r="B17" s="4" t="s">
        <v>236</v>
      </c>
      <c r="C17" s="4" t="s">
        <v>237</v>
      </c>
      <c r="D17" s="4" t="s">
        <v>947</v>
      </c>
      <c r="E17" s="5">
        <v>2021</v>
      </c>
      <c r="F17" s="6">
        <v>87.320336499999996</v>
      </c>
      <c r="G17" s="7">
        <v>2.2128585999999999E-2</v>
      </c>
      <c r="H17" s="6"/>
    </row>
    <row r="18" spans="1:8" x14ac:dyDescent="0.2">
      <c r="A18" s="3">
        <v>12</v>
      </c>
      <c r="B18" s="4" t="s">
        <v>166</v>
      </c>
      <c r="C18" s="4" t="s">
        <v>167</v>
      </c>
      <c r="D18" s="4" t="s">
        <v>82</v>
      </c>
      <c r="E18" s="5">
        <v>77707</v>
      </c>
      <c r="F18" s="6">
        <v>86.721012000000002</v>
      </c>
      <c r="G18" s="7">
        <v>2.1976705999999999E-2</v>
      </c>
      <c r="H18" s="6"/>
    </row>
    <row r="19" spans="1:8" x14ac:dyDescent="0.2">
      <c r="A19" s="3">
        <v>13</v>
      </c>
      <c r="B19" s="4" t="s">
        <v>451</v>
      </c>
      <c r="C19" s="4" t="s">
        <v>452</v>
      </c>
      <c r="D19" s="4" t="s">
        <v>71</v>
      </c>
      <c r="E19" s="5">
        <v>9128</v>
      </c>
      <c r="F19" s="6">
        <v>85.962940000000003</v>
      </c>
      <c r="G19" s="7">
        <v>2.1784596E-2</v>
      </c>
      <c r="H19" s="6"/>
    </row>
    <row r="20" spans="1:8" x14ac:dyDescent="0.2">
      <c r="A20" s="3">
        <v>14</v>
      </c>
      <c r="B20" s="4" t="s">
        <v>160</v>
      </c>
      <c r="C20" s="4" t="s">
        <v>161</v>
      </c>
      <c r="D20" s="4" t="s">
        <v>942</v>
      </c>
      <c r="E20" s="5">
        <v>6988</v>
      </c>
      <c r="F20" s="6">
        <v>85.375889999999998</v>
      </c>
      <c r="G20" s="7">
        <v>2.1635827E-2</v>
      </c>
      <c r="H20" s="6"/>
    </row>
    <row r="21" spans="1:8" x14ac:dyDescent="0.2">
      <c r="A21" s="3">
        <v>15</v>
      </c>
      <c r="B21" s="4" t="s">
        <v>209</v>
      </c>
      <c r="C21" s="4" t="s">
        <v>210</v>
      </c>
      <c r="D21" s="4" t="s">
        <v>934</v>
      </c>
      <c r="E21" s="5">
        <v>4196</v>
      </c>
      <c r="F21" s="6">
        <v>81.788432</v>
      </c>
      <c r="G21" s="7">
        <v>2.0726699000000001E-2</v>
      </c>
      <c r="H21" s="6"/>
    </row>
    <row r="22" spans="1:8" ht="25.5" x14ac:dyDescent="0.2">
      <c r="A22" s="3">
        <v>16</v>
      </c>
      <c r="B22" s="4" t="s">
        <v>313</v>
      </c>
      <c r="C22" s="4" t="s">
        <v>314</v>
      </c>
      <c r="D22" s="4" t="s">
        <v>71</v>
      </c>
      <c r="E22" s="5">
        <v>20952</v>
      </c>
      <c r="F22" s="6">
        <v>80.623295999999996</v>
      </c>
      <c r="G22" s="7">
        <v>2.0431431999999999E-2</v>
      </c>
      <c r="H22" s="6"/>
    </row>
    <row r="23" spans="1:8" x14ac:dyDescent="0.2">
      <c r="A23" s="3">
        <v>17</v>
      </c>
      <c r="B23" s="4" t="s">
        <v>168</v>
      </c>
      <c r="C23" s="4" t="s">
        <v>169</v>
      </c>
      <c r="D23" s="4" t="s">
        <v>944</v>
      </c>
      <c r="E23" s="5">
        <v>5727</v>
      </c>
      <c r="F23" s="6">
        <v>76.023061499999997</v>
      </c>
      <c r="G23" s="7">
        <v>1.9265648E-2</v>
      </c>
      <c r="H23" s="6"/>
    </row>
    <row r="24" spans="1:8" x14ac:dyDescent="0.2">
      <c r="A24" s="3">
        <v>18</v>
      </c>
      <c r="B24" s="4" t="s">
        <v>231</v>
      </c>
      <c r="C24" s="4" t="s">
        <v>232</v>
      </c>
      <c r="D24" s="4" t="s">
        <v>233</v>
      </c>
      <c r="E24" s="5">
        <v>24683</v>
      </c>
      <c r="F24" s="6">
        <v>69.569035499999998</v>
      </c>
      <c r="G24" s="7">
        <v>1.7630078E-2</v>
      </c>
      <c r="H24" s="6"/>
    </row>
    <row r="25" spans="1:8" x14ac:dyDescent="0.2">
      <c r="A25" s="3">
        <v>19</v>
      </c>
      <c r="B25" s="4" t="s">
        <v>201</v>
      </c>
      <c r="C25" s="4" t="s">
        <v>202</v>
      </c>
      <c r="D25" s="4" t="s">
        <v>923</v>
      </c>
      <c r="E25" s="5">
        <v>6219</v>
      </c>
      <c r="F25" s="6">
        <v>67.566325500000005</v>
      </c>
      <c r="G25" s="7">
        <v>1.7122554000000002E-2</v>
      </c>
      <c r="H25" s="6"/>
    </row>
    <row r="26" spans="1:8" x14ac:dyDescent="0.2">
      <c r="A26" s="3">
        <v>20</v>
      </c>
      <c r="B26" s="4" t="s">
        <v>178</v>
      </c>
      <c r="C26" s="4" t="s">
        <v>179</v>
      </c>
      <c r="D26" s="4" t="s">
        <v>934</v>
      </c>
      <c r="E26" s="5">
        <v>4311</v>
      </c>
      <c r="F26" s="6">
        <v>61.655921999999997</v>
      </c>
      <c r="G26" s="7">
        <v>1.5624749E-2</v>
      </c>
      <c r="H26" s="6"/>
    </row>
    <row r="27" spans="1:8" x14ac:dyDescent="0.2">
      <c r="A27" s="3">
        <v>21</v>
      </c>
      <c r="B27" s="4" t="s">
        <v>197</v>
      </c>
      <c r="C27" s="4" t="s">
        <v>198</v>
      </c>
      <c r="D27" s="4" t="s">
        <v>82</v>
      </c>
      <c r="E27" s="5">
        <v>8757</v>
      </c>
      <c r="F27" s="6">
        <v>61.509168000000003</v>
      </c>
      <c r="G27" s="7">
        <v>1.5587559000000001E-2</v>
      </c>
      <c r="H27" s="6"/>
    </row>
    <row r="28" spans="1:8" x14ac:dyDescent="0.2">
      <c r="A28" s="3">
        <v>22</v>
      </c>
      <c r="B28" s="4" t="s">
        <v>199</v>
      </c>
      <c r="C28" s="4" t="s">
        <v>200</v>
      </c>
      <c r="D28" s="4" t="s">
        <v>940</v>
      </c>
      <c r="E28" s="5">
        <v>3246</v>
      </c>
      <c r="F28" s="6">
        <v>60.558999</v>
      </c>
      <c r="G28" s="7">
        <v>1.5346769E-2</v>
      </c>
      <c r="H28" s="6"/>
    </row>
    <row r="29" spans="1:8" ht="25.5" x14ac:dyDescent="0.2">
      <c r="A29" s="3">
        <v>23</v>
      </c>
      <c r="B29" s="4" t="s">
        <v>449</v>
      </c>
      <c r="C29" s="4" t="s">
        <v>450</v>
      </c>
      <c r="D29" s="4" t="s">
        <v>936</v>
      </c>
      <c r="E29" s="5">
        <v>3075</v>
      </c>
      <c r="F29" s="6">
        <v>58.924687499999997</v>
      </c>
      <c r="G29" s="7">
        <v>1.4932604E-2</v>
      </c>
      <c r="H29" s="6"/>
    </row>
    <row r="30" spans="1:8" ht="25.5" x14ac:dyDescent="0.2">
      <c r="A30" s="3">
        <v>24</v>
      </c>
      <c r="B30" s="4" t="s">
        <v>158</v>
      </c>
      <c r="C30" s="4" t="s">
        <v>159</v>
      </c>
      <c r="D30" s="4" t="s">
        <v>941</v>
      </c>
      <c r="E30" s="5">
        <v>8297</v>
      </c>
      <c r="F30" s="6">
        <v>58.8298785</v>
      </c>
      <c r="G30" s="7">
        <v>1.4908576999999999E-2</v>
      </c>
      <c r="H30" s="6"/>
    </row>
    <row r="31" spans="1:8" ht="25.5" x14ac:dyDescent="0.2">
      <c r="A31" s="3">
        <v>25</v>
      </c>
      <c r="B31" s="4" t="s">
        <v>42</v>
      </c>
      <c r="C31" s="4" t="s">
        <v>43</v>
      </c>
      <c r="D31" s="4" t="s">
        <v>935</v>
      </c>
      <c r="E31" s="5">
        <v>2108</v>
      </c>
      <c r="F31" s="6">
        <v>55.800868000000001</v>
      </c>
      <c r="G31" s="7">
        <v>1.4140969999999999E-2</v>
      </c>
      <c r="H31" s="6"/>
    </row>
    <row r="32" spans="1:8" x14ac:dyDescent="0.2">
      <c r="A32" s="3">
        <v>26</v>
      </c>
      <c r="B32" s="4" t="s">
        <v>203</v>
      </c>
      <c r="C32" s="4" t="s">
        <v>204</v>
      </c>
      <c r="D32" s="4" t="s">
        <v>82</v>
      </c>
      <c r="E32" s="5">
        <v>9395</v>
      </c>
      <c r="F32" s="6">
        <v>55.632492499999998</v>
      </c>
      <c r="G32" s="7">
        <v>1.4098301000000001E-2</v>
      </c>
      <c r="H32" s="6"/>
    </row>
    <row r="33" spans="1:8" x14ac:dyDescent="0.2">
      <c r="A33" s="3">
        <v>27</v>
      </c>
      <c r="B33" s="4" t="s">
        <v>265</v>
      </c>
      <c r="C33" s="4" t="s">
        <v>266</v>
      </c>
      <c r="D33" s="4" t="s">
        <v>942</v>
      </c>
      <c r="E33" s="5">
        <v>5849</v>
      </c>
      <c r="F33" s="6">
        <v>51.772423500000002</v>
      </c>
      <c r="G33" s="7">
        <v>1.3120088E-2</v>
      </c>
      <c r="H33" s="6"/>
    </row>
    <row r="34" spans="1:8" x14ac:dyDescent="0.2">
      <c r="A34" s="3">
        <v>28</v>
      </c>
      <c r="B34" s="4" t="s">
        <v>269</v>
      </c>
      <c r="C34" s="4" t="s">
        <v>270</v>
      </c>
      <c r="D34" s="4" t="s">
        <v>26</v>
      </c>
      <c r="E34" s="5">
        <v>2370</v>
      </c>
      <c r="F34" s="6">
        <v>47.024355</v>
      </c>
      <c r="G34" s="7">
        <v>1.191684E-2</v>
      </c>
      <c r="H34" s="6"/>
    </row>
    <row r="35" spans="1:8" ht="25.5" x14ac:dyDescent="0.2">
      <c r="A35" s="3">
        <v>29</v>
      </c>
      <c r="B35" s="4" t="s">
        <v>170</v>
      </c>
      <c r="C35" s="4" t="s">
        <v>171</v>
      </c>
      <c r="D35" s="4" t="s">
        <v>945</v>
      </c>
      <c r="E35" s="5">
        <v>12259</v>
      </c>
      <c r="F35" s="6">
        <v>46.633235999999997</v>
      </c>
      <c r="G35" s="7">
        <v>1.1817723E-2</v>
      </c>
      <c r="H35" s="6"/>
    </row>
    <row r="36" spans="1:8" x14ac:dyDescent="0.2">
      <c r="A36" s="3">
        <v>30</v>
      </c>
      <c r="B36" s="4" t="s">
        <v>463</v>
      </c>
      <c r="C36" s="4" t="s">
        <v>464</v>
      </c>
      <c r="D36" s="4" t="s">
        <v>952</v>
      </c>
      <c r="E36" s="5">
        <v>4863</v>
      </c>
      <c r="F36" s="6">
        <v>45.612508499999997</v>
      </c>
      <c r="G36" s="7">
        <v>1.1559052E-2</v>
      </c>
      <c r="H36" s="6"/>
    </row>
    <row r="37" spans="1:8" ht="25.5" x14ac:dyDescent="0.2">
      <c r="A37" s="3">
        <v>31</v>
      </c>
      <c r="B37" s="4" t="s">
        <v>172</v>
      </c>
      <c r="C37" s="4" t="s">
        <v>173</v>
      </c>
      <c r="D37" s="4" t="s">
        <v>71</v>
      </c>
      <c r="E37" s="5">
        <v>2300</v>
      </c>
      <c r="F37" s="6">
        <v>45.25365</v>
      </c>
      <c r="G37" s="7">
        <v>1.1468111E-2</v>
      </c>
      <c r="H37" s="6"/>
    </row>
    <row r="38" spans="1:8" ht="25.5" x14ac:dyDescent="0.2">
      <c r="A38" s="3">
        <v>32</v>
      </c>
      <c r="B38" s="4" t="s">
        <v>184</v>
      </c>
      <c r="C38" s="4" t="s">
        <v>185</v>
      </c>
      <c r="D38" s="4" t="s">
        <v>935</v>
      </c>
      <c r="E38" s="5">
        <v>22301</v>
      </c>
      <c r="F38" s="6">
        <v>44.936515</v>
      </c>
      <c r="G38" s="7">
        <v>1.1387743000000001E-2</v>
      </c>
      <c r="H38" s="6"/>
    </row>
    <row r="39" spans="1:8" ht="25.5" x14ac:dyDescent="0.2">
      <c r="A39" s="3">
        <v>33</v>
      </c>
      <c r="B39" s="4" t="s">
        <v>180</v>
      </c>
      <c r="C39" s="4" t="s">
        <v>181</v>
      </c>
      <c r="D39" s="4" t="s">
        <v>941</v>
      </c>
      <c r="E39" s="5">
        <v>8758</v>
      </c>
      <c r="F39" s="6">
        <v>44.398681000000003</v>
      </c>
      <c r="G39" s="7">
        <v>1.1251446E-2</v>
      </c>
      <c r="H39" s="6"/>
    </row>
    <row r="40" spans="1:8" ht="25.5" x14ac:dyDescent="0.2">
      <c r="A40" s="3">
        <v>34</v>
      </c>
      <c r="B40" s="4" t="s">
        <v>248</v>
      </c>
      <c r="C40" s="4" t="s">
        <v>249</v>
      </c>
      <c r="D40" s="4" t="s">
        <v>950</v>
      </c>
      <c r="E40" s="5">
        <v>8180</v>
      </c>
      <c r="F40" s="6">
        <v>43.431710000000002</v>
      </c>
      <c r="G40" s="7">
        <v>1.1006396999999999E-2</v>
      </c>
      <c r="H40" s="6"/>
    </row>
    <row r="41" spans="1:8" ht="25.5" x14ac:dyDescent="0.2">
      <c r="A41" s="3">
        <v>35</v>
      </c>
      <c r="B41" s="4" t="s">
        <v>215</v>
      </c>
      <c r="C41" s="4" t="s">
        <v>216</v>
      </c>
      <c r="D41" s="4" t="s">
        <v>945</v>
      </c>
      <c r="E41" s="5">
        <v>7372</v>
      </c>
      <c r="F41" s="6">
        <v>43.004562</v>
      </c>
      <c r="G41" s="7">
        <v>1.0898150000000001E-2</v>
      </c>
      <c r="H41" s="6"/>
    </row>
    <row r="42" spans="1:8" x14ac:dyDescent="0.2">
      <c r="A42" s="3">
        <v>36</v>
      </c>
      <c r="B42" s="4" t="s">
        <v>453</v>
      </c>
      <c r="C42" s="4" t="s">
        <v>454</v>
      </c>
      <c r="D42" s="4" t="s">
        <v>938</v>
      </c>
      <c r="E42" s="5">
        <v>6024</v>
      </c>
      <c r="F42" s="6">
        <v>42.330647999999997</v>
      </c>
      <c r="G42" s="7">
        <v>1.0727367999999999E-2</v>
      </c>
      <c r="H42" s="6"/>
    </row>
    <row r="43" spans="1:8" x14ac:dyDescent="0.2">
      <c r="A43" s="3">
        <v>37</v>
      </c>
      <c r="B43" s="4" t="s">
        <v>341</v>
      </c>
      <c r="C43" s="4" t="s">
        <v>342</v>
      </c>
      <c r="D43" s="4" t="s">
        <v>940</v>
      </c>
      <c r="E43" s="5">
        <v>1054</v>
      </c>
      <c r="F43" s="6">
        <v>40.175845000000002</v>
      </c>
      <c r="G43" s="7">
        <v>1.0181301E-2</v>
      </c>
      <c r="H43" s="6"/>
    </row>
    <row r="44" spans="1:8" x14ac:dyDescent="0.2">
      <c r="A44" s="3">
        <v>38</v>
      </c>
      <c r="B44" s="4" t="s">
        <v>164</v>
      </c>
      <c r="C44" s="4" t="s">
        <v>165</v>
      </c>
      <c r="D44" s="4" t="s">
        <v>944</v>
      </c>
      <c r="E44" s="5">
        <v>8404</v>
      </c>
      <c r="F44" s="6">
        <v>40.057665999999998</v>
      </c>
      <c r="G44" s="7">
        <v>1.0151352000000001E-2</v>
      </c>
      <c r="H44" s="6"/>
    </row>
    <row r="45" spans="1:8" x14ac:dyDescent="0.2">
      <c r="A45" s="3">
        <v>39</v>
      </c>
      <c r="B45" s="4" t="s">
        <v>455</v>
      </c>
      <c r="C45" s="4" t="s">
        <v>456</v>
      </c>
      <c r="D45" s="4" t="s">
        <v>71</v>
      </c>
      <c r="E45" s="5">
        <v>3449</v>
      </c>
      <c r="F45" s="6">
        <v>39.192711500000001</v>
      </c>
      <c r="G45" s="7">
        <v>9.9321570000000005E-3</v>
      </c>
      <c r="H45" s="6"/>
    </row>
    <row r="46" spans="1:8" x14ac:dyDescent="0.2">
      <c r="A46" s="3">
        <v>40</v>
      </c>
      <c r="B46" s="4" t="s">
        <v>461</v>
      </c>
      <c r="C46" s="4" t="s">
        <v>462</v>
      </c>
      <c r="D46" s="4" t="s">
        <v>82</v>
      </c>
      <c r="E46" s="5">
        <v>3781</v>
      </c>
      <c r="F46" s="6">
        <v>39.178722</v>
      </c>
      <c r="G46" s="7">
        <v>9.9286119999999999E-3</v>
      </c>
      <c r="H46" s="6"/>
    </row>
    <row r="47" spans="1:8" x14ac:dyDescent="0.2">
      <c r="A47" s="3">
        <v>41</v>
      </c>
      <c r="B47" s="4" t="s">
        <v>457</v>
      </c>
      <c r="C47" s="4" t="s">
        <v>458</v>
      </c>
      <c r="D47" s="4" t="s">
        <v>26</v>
      </c>
      <c r="E47" s="5">
        <v>5096</v>
      </c>
      <c r="F47" s="6">
        <v>39.078676000000002</v>
      </c>
      <c r="G47" s="7">
        <v>9.9032579999999999E-3</v>
      </c>
      <c r="H47" s="6"/>
    </row>
    <row r="48" spans="1:8" x14ac:dyDescent="0.2">
      <c r="A48" s="3">
        <v>42</v>
      </c>
      <c r="B48" s="4" t="s">
        <v>263</v>
      </c>
      <c r="C48" s="4" t="s">
        <v>264</v>
      </c>
      <c r="D48" s="4" t="s">
        <v>26</v>
      </c>
      <c r="E48" s="5">
        <v>5737</v>
      </c>
      <c r="F48" s="6">
        <v>38.730486999999997</v>
      </c>
      <c r="G48" s="7">
        <v>9.8150210000000002E-3</v>
      </c>
      <c r="H48" s="6"/>
    </row>
    <row r="49" spans="1:8" x14ac:dyDescent="0.2">
      <c r="A49" s="3">
        <v>43</v>
      </c>
      <c r="B49" s="4" t="s">
        <v>279</v>
      </c>
      <c r="C49" s="4" t="s">
        <v>280</v>
      </c>
      <c r="D49" s="4" t="s">
        <v>18</v>
      </c>
      <c r="E49" s="5">
        <v>17387</v>
      </c>
      <c r="F49" s="6">
        <v>37.242953999999997</v>
      </c>
      <c r="G49" s="7">
        <v>9.4380520000000006E-3</v>
      </c>
      <c r="H49" s="6"/>
    </row>
    <row r="50" spans="1:8" x14ac:dyDescent="0.2">
      <c r="A50" s="3">
        <v>44</v>
      </c>
      <c r="B50" s="4" t="s">
        <v>459</v>
      </c>
      <c r="C50" s="4" t="s">
        <v>460</v>
      </c>
      <c r="D50" s="4" t="s">
        <v>26</v>
      </c>
      <c r="E50" s="5">
        <v>6104</v>
      </c>
      <c r="F50" s="6">
        <v>37.115372000000001</v>
      </c>
      <c r="G50" s="7">
        <v>9.4057210000000006E-3</v>
      </c>
      <c r="H50" s="6"/>
    </row>
    <row r="51" spans="1:8" x14ac:dyDescent="0.2">
      <c r="A51" s="3">
        <v>45</v>
      </c>
      <c r="B51" s="4" t="s">
        <v>267</v>
      </c>
      <c r="C51" s="4" t="s">
        <v>268</v>
      </c>
      <c r="D51" s="4" t="s">
        <v>82</v>
      </c>
      <c r="E51" s="5">
        <v>62967</v>
      </c>
      <c r="F51" s="6">
        <v>35.954157000000002</v>
      </c>
      <c r="G51" s="7">
        <v>9.1114469999999999E-3</v>
      </c>
      <c r="H51" s="6"/>
    </row>
    <row r="52" spans="1:8" ht="25.5" x14ac:dyDescent="0.2">
      <c r="A52" s="3">
        <v>46</v>
      </c>
      <c r="B52" s="4" t="s">
        <v>221</v>
      </c>
      <c r="C52" s="4" t="s">
        <v>222</v>
      </c>
      <c r="D52" s="4" t="s">
        <v>945</v>
      </c>
      <c r="E52" s="5">
        <v>2084</v>
      </c>
      <c r="F52" s="6">
        <v>35.821876000000003</v>
      </c>
      <c r="G52" s="7">
        <v>9.0779250000000006E-3</v>
      </c>
      <c r="H52" s="6"/>
    </row>
    <row r="53" spans="1:8" ht="25.5" x14ac:dyDescent="0.2">
      <c r="A53" s="3">
        <v>47</v>
      </c>
      <c r="B53" s="4" t="s">
        <v>162</v>
      </c>
      <c r="C53" s="4" t="s">
        <v>163</v>
      </c>
      <c r="D53" s="4" t="s">
        <v>943</v>
      </c>
      <c r="E53" s="5">
        <v>34295</v>
      </c>
      <c r="F53" s="6">
        <v>35.2724075</v>
      </c>
      <c r="G53" s="7">
        <v>8.9386789999999997E-3</v>
      </c>
      <c r="H53" s="6"/>
    </row>
    <row r="54" spans="1:8" ht="51" x14ac:dyDescent="0.2">
      <c r="A54" s="3">
        <v>48</v>
      </c>
      <c r="B54" s="4" t="s">
        <v>238</v>
      </c>
      <c r="C54" s="4" t="s">
        <v>239</v>
      </c>
      <c r="D54" s="4" t="s">
        <v>939</v>
      </c>
      <c r="E54" s="5">
        <v>14626</v>
      </c>
      <c r="F54" s="6">
        <v>35.080461</v>
      </c>
      <c r="G54" s="7">
        <v>8.8900369999999999E-3</v>
      </c>
      <c r="H54" s="6"/>
    </row>
    <row r="55" spans="1:8" ht="25.5" x14ac:dyDescent="0.2">
      <c r="A55" s="3">
        <v>49</v>
      </c>
      <c r="B55" s="4" t="s">
        <v>219</v>
      </c>
      <c r="C55" s="4" t="s">
        <v>220</v>
      </c>
      <c r="D55" s="4" t="s">
        <v>950</v>
      </c>
      <c r="E55" s="5">
        <v>8568</v>
      </c>
      <c r="F55" s="6">
        <v>34.970292000000001</v>
      </c>
      <c r="G55" s="7">
        <v>8.8621180000000004E-3</v>
      </c>
      <c r="H55" s="6"/>
    </row>
    <row r="56" spans="1:8" ht="25.5" x14ac:dyDescent="0.2">
      <c r="A56" s="3">
        <v>50</v>
      </c>
      <c r="B56" s="4" t="s">
        <v>256</v>
      </c>
      <c r="C56" s="4" t="s">
        <v>257</v>
      </c>
      <c r="D56" s="4" t="s">
        <v>954</v>
      </c>
      <c r="E56" s="5">
        <v>10365</v>
      </c>
      <c r="F56" s="6">
        <v>34.717567500000001</v>
      </c>
      <c r="G56" s="7">
        <v>8.798073E-3</v>
      </c>
      <c r="H56" s="6"/>
    </row>
    <row r="57" spans="1:8" x14ac:dyDescent="0.2">
      <c r="A57" s="3">
        <v>51</v>
      </c>
      <c r="B57" s="4" t="s">
        <v>223</v>
      </c>
      <c r="C57" s="4" t="s">
        <v>224</v>
      </c>
      <c r="D57" s="4" t="s">
        <v>71</v>
      </c>
      <c r="E57" s="5">
        <v>14021</v>
      </c>
      <c r="F57" s="6">
        <v>34.561765000000001</v>
      </c>
      <c r="G57" s="7">
        <v>8.7585890000000007E-3</v>
      </c>
      <c r="H57" s="6"/>
    </row>
    <row r="58" spans="1:8" x14ac:dyDescent="0.2">
      <c r="A58" s="3">
        <v>52</v>
      </c>
      <c r="B58" s="4" t="s">
        <v>225</v>
      </c>
      <c r="C58" s="4" t="s">
        <v>226</v>
      </c>
      <c r="D58" s="4" t="s">
        <v>951</v>
      </c>
      <c r="E58" s="5">
        <v>11014</v>
      </c>
      <c r="F58" s="6">
        <v>34.534396999999998</v>
      </c>
      <c r="G58" s="7">
        <v>8.7516539999999993E-3</v>
      </c>
      <c r="H58" s="6"/>
    </row>
    <row r="59" spans="1:8" x14ac:dyDescent="0.2">
      <c r="A59" s="3">
        <v>53</v>
      </c>
      <c r="B59" s="4" t="s">
        <v>32</v>
      </c>
      <c r="C59" s="4" t="s">
        <v>33</v>
      </c>
      <c r="D59" s="4" t="s">
        <v>26</v>
      </c>
      <c r="E59" s="5">
        <v>1028</v>
      </c>
      <c r="F59" s="6">
        <v>34.233428000000004</v>
      </c>
      <c r="G59" s="7">
        <v>8.6753830000000001E-3</v>
      </c>
      <c r="H59" s="6"/>
    </row>
    <row r="60" spans="1:8" x14ac:dyDescent="0.2">
      <c r="A60" s="3">
        <v>54</v>
      </c>
      <c r="B60" s="4" t="s">
        <v>227</v>
      </c>
      <c r="C60" s="4" t="s">
        <v>228</v>
      </c>
      <c r="D60" s="4" t="s">
        <v>26</v>
      </c>
      <c r="E60" s="5">
        <v>3044</v>
      </c>
      <c r="F60" s="6">
        <v>30.869204</v>
      </c>
      <c r="G60" s="7">
        <v>7.8228259999999997E-3</v>
      </c>
      <c r="H60" s="6"/>
    </row>
    <row r="61" spans="1:8" x14ac:dyDescent="0.2">
      <c r="A61" s="3">
        <v>55</v>
      </c>
      <c r="B61" s="4" t="s">
        <v>244</v>
      </c>
      <c r="C61" s="4" t="s">
        <v>245</v>
      </c>
      <c r="D61" s="4" t="s">
        <v>13</v>
      </c>
      <c r="E61" s="5">
        <v>11386</v>
      </c>
      <c r="F61" s="6">
        <v>30.776357999999998</v>
      </c>
      <c r="G61" s="7">
        <v>7.7992970000000002E-3</v>
      </c>
      <c r="H61" s="6"/>
    </row>
    <row r="62" spans="1:8" x14ac:dyDescent="0.2">
      <c r="A62" s="3">
        <v>56</v>
      </c>
      <c r="B62" s="4" t="s">
        <v>205</v>
      </c>
      <c r="C62" s="4" t="s">
        <v>206</v>
      </c>
      <c r="D62" s="4" t="s">
        <v>64</v>
      </c>
      <c r="E62" s="5">
        <v>8109</v>
      </c>
      <c r="F62" s="6">
        <v>29.1883455</v>
      </c>
      <c r="G62" s="7">
        <v>7.3968660000000002E-3</v>
      </c>
      <c r="H62" s="6"/>
    </row>
    <row r="63" spans="1:8" ht="25.5" x14ac:dyDescent="0.2">
      <c r="A63" s="3">
        <v>57</v>
      </c>
      <c r="B63" s="4" t="s">
        <v>469</v>
      </c>
      <c r="C63" s="4" t="s">
        <v>470</v>
      </c>
      <c r="D63" s="4" t="s">
        <v>945</v>
      </c>
      <c r="E63" s="5">
        <v>7193</v>
      </c>
      <c r="F63" s="6">
        <v>28.628139999999998</v>
      </c>
      <c r="G63" s="7">
        <v>7.2548990000000004E-3</v>
      </c>
      <c r="H63" s="6"/>
    </row>
    <row r="64" spans="1:8" x14ac:dyDescent="0.2">
      <c r="A64" s="3">
        <v>58</v>
      </c>
      <c r="B64" s="4" t="s">
        <v>465</v>
      </c>
      <c r="C64" s="4" t="s">
        <v>466</v>
      </c>
      <c r="D64" s="4" t="s">
        <v>944</v>
      </c>
      <c r="E64" s="5">
        <v>42526</v>
      </c>
      <c r="F64" s="6">
        <v>27.450533</v>
      </c>
      <c r="G64" s="7">
        <v>6.956472E-3</v>
      </c>
      <c r="H64" s="6"/>
    </row>
    <row r="65" spans="1:8" ht="38.25" x14ac:dyDescent="0.2">
      <c r="A65" s="3">
        <v>59</v>
      </c>
      <c r="B65" s="4" t="s">
        <v>254</v>
      </c>
      <c r="C65" s="4" t="s">
        <v>255</v>
      </c>
      <c r="D65" s="4" t="s">
        <v>953</v>
      </c>
      <c r="E65" s="5">
        <v>3829</v>
      </c>
      <c r="F65" s="6">
        <v>26.623037</v>
      </c>
      <c r="G65" s="7">
        <v>6.7467689999999997E-3</v>
      </c>
      <c r="H65" s="6"/>
    </row>
    <row r="66" spans="1:8" x14ac:dyDescent="0.2">
      <c r="A66" s="3">
        <v>60</v>
      </c>
      <c r="B66" s="4" t="s">
        <v>271</v>
      </c>
      <c r="C66" s="4" t="s">
        <v>272</v>
      </c>
      <c r="D66" s="4" t="s">
        <v>940</v>
      </c>
      <c r="E66" s="5">
        <v>4265</v>
      </c>
      <c r="F66" s="6">
        <v>26.605070000000001</v>
      </c>
      <c r="G66" s="7">
        <v>6.7422159999999997E-3</v>
      </c>
      <c r="H66" s="6"/>
    </row>
    <row r="67" spans="1:8" x14ac:dyDescent="0.2">
      <c r="A67" s="3">
        <v>61</v>
      </c>
      <c r="B67" s="4" t="s">
        <v>92</v>
      </c>
      <c r="C67" s="4" t="s">
        <v>93</v>
      </c>
      <c r="D67" s="4" t="s">
        <v>923</v>
      </c>
      <c r="E67" s="5">
        <v>5816</v>
      </c>
      <c r="F67" s="6">
        <v>26.509328</v>
      </c>
      <c r="G67" s="7">
        <v>6.7179529999999996E-3</v>
      </c>
      <c r="H67" s="6"/>
    </row>
    <row r="68" spans="1:8" x14ac:dyDescent="0.2">
      <c r="A68" s="3">
        <v>62</v>
      </c>
      <c r="B68" s="4" t="s">
        <v>234</v>
      </c>
      <c r="C68" s="4" t="s">
        <v>235</v>
      </c>
      <c r="D68" s="4" t="s">
        <v>952</v>
      </c>
      <c r="E68" s="5">
        <v>17729</v>
      </c>
      <c r="F68" s="6">
        <v>26.256648999999999</v>
      </c>
      <c r="G68" s="7">
        <v>6.6539199999999998E-3</v>
      </c>
      <c r="H68" s="6"/>
    </row>
    <row r="69" spans="1:8" x14ac:dyDescent="0.2">
      <c r="A69" s="3">
        <v>63</v>
      </c>
      <c r="B69" s="4" t="s">
        <v>246</v>
      </c>
      <c r="C69" s="4" t="s">
        <v>247</v>
      </c>
      <c r="D69" s="4" t="s">
        <v>91</v>
      </c>
      <c r="E69" s="5">
        <v>2788</v>
      </c>
      <c r="F69" s="6">
        <v>21.902528</v>
      </c>
      <c r="G69" s="7">
        <v>5.5505049999999998E-3</v>
      </c>
      <c r="H69" s="6"/>
    </row>
    <row r="70" spans="1:8" x14ac:dyDescent="0.2">
      <c r="A70" s="3">
        <v>64</v>
      </c>
      <c r="B70" s="4" t="s">
        <v>174</v>
      </c>
      <c r="C70" s="4" t="s">
        <v>175</v>
      </c>
      <c r="D70" s="4" t="s">
        <v>71</v>
      </c>
      <c r="E70" s="5">
        <v>3383</v>
      </c>
      <c r="F70" s="6">
        <v>21.471900999999999</v>
      </c>
      <c r="G70" s="7">
        <v>5.4413760000000004E-3</v>
      </c>
      <c r="H70" s="6"/>
    </row>
    <row r="71" spans="1:8" x14ac:dyDescent="0.2">
      <c r="A71" s="3">
        <v>65</v>
      </c>
      <c r="B71" s="4" t="s">
        <v>176</v>
      </c>
      <c r="C71" s="4" t="s">
        <v>177</v>
      </c>
      <c r="D71" s="4" t="s">
        <v>944</v>
      </c>
      <c r="E71" s="5">
        <v>19285</v>
      </c>
      <c r="F71" s="6">
        <v>19.574275</v>
      </c>
      <c r="G71" s="7">
        <v>4.9604829999999999E-3</v>
      </c>
      <c r="H71" s="6"/>
    </row>
    <row r="72" spans="1:8" x14ac:dyDescent="0.2">
      <c r="A72" s="3">
        <v>66</v>
      </c>
      <c r="B72" s="4" t="s">
        <v>213</v>
      </c>
      <c r="C72" s="4" t="s">
        <v>214</v>
      </c>
      <c r="D72" s="4" t="s">
        <v>64</v>
      </c>
      <c r="E72" s="5">
        <v>21843</v>
      </c>
      <c r="F72" s="6">
        <v>18.883273500000001</v>
      </c>
      <c r="G72" s="7">
        <v>4.7853699999999997E-3</v>
      </c>
      <c r="H72" s="6"/>
    </row>
    <row r="73" spans="1:8" ht="25.5" x14ac:dyDescent="0.2">
      <c r="A73" s="3">
        <v>67</v>
      </c>
      <c r="B73" s="4" t="s">
        <v>277</v>
      </c>
      <c r="C73" s="4" t="s">
        <v>278</v>
      </c>
      <c r="D73" s="4" t="s">
        <v>946</v>
      </c>
      <c r="E73" s="5">
        <v>3145</v>
      </c>
      <c r="F73" s="6">
        <v>18.69388</v>
      </c>
      <c r="G73" s="7">
        <v>4.7373739999999999E-3</v>
      </c>
      <c r="H73" s="6"/>
    </row>
    <row r="74" spans="1:8" ht="25.5" x14ac:dyDescent="0.2">
      <c r="A74" s="3">
        <v>68</v>
      </c>
      <c r="B74" s="4" t="s">
        <v>188</v>
      </c>
      <c r="C74" s="4" t="s">
        <v>189</v>
      </c>
      <c r="D74" s="4" t="s">
        <v>945</v>
      </c>
      <c r="E74" s="5">
        <v>411</v>
      </c>
      <c r="F74" s="6">
        <v>18.235453499999998</v>
      </c>
      <c r="G74" s="7">
        <v>4.6212010000000001E-3</v>
      </c>
      <c r="H74" s="6"/>
    </row>
    <row r="75" spans="1:8" x14ac:dyDescent="0.2">
      <c r="A75" s="3">
        <v>69</v>
      </c>
      <c r="B75" s="4" t="s">
        <v>240</v>
      </c>
      <c r="C75" s="4" t="s">
        <v>241</v>
      </c>
      <c r="D75" s="4" t="s">
        <v>940</v>
      </c>
      <c r="E75" s="5">
        <v>3391</v>
      </c>
      <c r="F75" s="6">
        <v>17.753580500000002</v>
      </c>
      <c r="G75" s="7">
        <v>4.4990849999999999E-3</v>
      </c>
      <c r="H75" s="6"/>
    </row>
    <row r="76" spans="1:8" ht="25.5" x14ac:dyDescent="0.2">
      <c r="A76" s="3">
        <v>70</v>
      </c>
      <c r="B76" s="4" t="s">
        <v>281</v>
      </c>
      <c r="C76" s="4" t="s">
        <v>282</v>
      </c>
      <c r="D76" s="4" t="s">
        <v>945</v>
      </c>
      <c r="E76" s="5">
        <v>6683</v>
      </c>
      <c r="F76" s="6">
        <v>16.727549</v>
      </c>
      <c r="G76" s="7">
        <v>4.2390700000000002E-3</v>
      </c>
      <c r="H76" s="6"/>
    </row>
    <row r="77" spans="1:8" x14ac:dyDescent="0.2">
      <c r="A77" s="3">
        <v>71</v>
      </c>
      <c r="B77" s="4" t="s">
        <v>106</v>
      </c>
      <c r="C77" s="4" t="s">
        <v>107</v>
      </c>
      <c r="D77" s="4" t="s">
        <v>923</v>
      </c>
      <c r="E77" s="5">
        <v>21125</v>
      </c>
      <c r="F77" s="6">
        <v>16.033874999999998</v>
      </c>
      <c r="G77" s="7">
        <v>4.0632799999999998E-3</v>
      </c>
      <c r="H77" s="6"/>
    </row>
    <row r="78" spans="1:8" x14ac:dyDescent="0.2">
      <c r="A78" s="3">
        <v>72</v>
      </c>
      <c r="B78" s="4" t="s">
        <v>250</v>
      </c>
      <c r="C78" s="4" t="s">
        <v>251</v>
      </c>
      <c r="D78" s="4" t="s">
        <v>302</v>
      </c>
      <c r="E78" s="5">
        <v>2029</v>
      </c>
      <c r="F78" s="6">
        <v>13.185456500000001</v>
      </c>
      <c r="G78" s="7">
        <v>3.341438E-3</v>
      </c>
      <c r="H78" s="6"/>
    </row>
    <row r="79" spans="1:8" ht="25.5" x14ac:dyDescent="0.2">
      <c r="A79" s="3">
        <v>73</v>
      </c>
      <c r="B79" s="4" t="s">
        <v>258</v>
      </c>
      <c r="C79" s="4" t="s">
        <v>259</v>
      </c>
      <c r="D79" s="4" t="s">
        <v>946</v>
      </c>
      <c r="E79" s="5">
        <v>982</v>
      </c>
      <c r="F79" s="6">
        <v>8.7393090000000004</v>
      </c>
      <c r="G79" s="7">
        <v>2.2147019999999998E-3</v>
      </c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9">
        <v>3737.9955175</v>
      </c>
      <c r="G80" s="10">
        <v>0.94727708799999999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113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114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115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116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117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8" customHeight="1" x14ac:dyDescent="0.2">
      <c r="A97" s="1"/>
      <c r="B97" s="1"/>
      <c r="C97" s="2" t="s">
        <v>118</v>
      </c>
      <c r="D97" s="1"/>
      <c r="E97" s="1"/>
      <c r="F97" s="9">
        <v>3737.9955175</v>
      </c>
      <c r="G97" s="10">
        <v>0.94727708799999999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119</v>
      </c>
      <c r="D99" s="1"/>
      <c r="E99" s="1"/>
      <c r="F99" s="12"/>
      <c r="G99" s="12"/>
      <c r="H99" s="6"/>
    </row>
    <row r="100" spans="1:8" ht="24" customHeight="1" x14ac:dyDescent="0.2">
      <c r="A100" s="1"/>
      <c r="B100" s="1"/>
      <c r="C100" s="2" t="s">
        <v>10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120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121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122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123</v>
      </c>
      <c r="D112" s="1"/>
      <c r="E112" s="1"/>
      <c r="F112" s="9">
        <v>0</v>
      </c>
      <c r="G112" s="10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124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125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127</v>
      </c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128</v>
      </c>
      <c r="D124" s="1"/>
      <c r="E124" s="1"/>
      <c r="F124" s="12"/>
      <c r="G124" s="12"/>
      <c r="H124" s="6"/>
    </row>
    <row r="125" spans="1:8" ht="17.100000000000001" customHeight="1" x14ac:dyDescent="0.2">
      <c r="A125" s="3">
        <v>1</v>
      </c>
      <c r="B125" s="4"/>
      <c r="C125" s="4" t="s">
        <v>129</v>
      </c>
      <c r="D125" s="4"/>
      <c r="E125" s="8"/>
      <c r="F125" s="6">
        <v>199.9106539</v>
      </c>
      <c r="G125" s="7">
        <v>5.0661050999999999E-2</v>
      </c>
      <c r="H125" s="6">
        <v>3.9343919198424624</v>
      </c>
    </row>
    <row r="126" spans="1:8" ht="17.100000000000001" customHeight="1" x14ac:dyDescent="0.2">
      <c r="A126" s="3">
        <v>2</v>
      </c>
      <c r="B126" s="4"/>
      <c r="C126" s="4" t="s">
        <v>130</v>
      </c>
      <c r="D126" s="4"/>
      <c r="E126" s="8"/>
      <c r="F126" s="6">
        <v>13.1300545</v>
      </c>
      <c r="G126" s="7">
        <v>3.3273980000000001E-3</v>
      </c>
      <c r="H126" s="6">
        <v>3.8</v>
      </c>
    </row>
    <row r="127" spans="1:8" ht="14.1" customHeight="1" x14ac:dyDescent="0.2">
      <c r="A127" s="1"/>
      <c r="B127" s="1"/>
      <c r="C127" s="2" t="s">
        <v>111</v>
      </c>
      <c r="D127" s="1"/>
      <c r="E127" s="1" t="s">
        <v>112</v>
      </c>
      <c r="F127" s="9">
        <v>213.0407084</v>
      </c>
      <c r="G127" s="10">
        <v>5.3988449000000001E-2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131</v>
      </c>
      <c r="D129" s="1"/>
      <c r="E129" s="1"/>
      <c r="F129" s="9">
        <v>213.0407084</v>
      </c>
      <c r="G129" s="10">
        <v>5.3988449000000001E-2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132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133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134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135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111</v>
      </c>
      <c r="D137" s="1"/>
      <c r="E137" s="1" t="s">
        <v>112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136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111</v>
      </c>
      <c r="D141" s="1"/>
      <c r="E141" s="1" t="s">
        <v>112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137</v>
      </c>
      <c r="D144" s="4"/>
      <c r="E144" s="8"/>
      <c r="F144" s="6">
        <v>-4.9938544</v>
      </c>
      <c r="G144" s="7">
        <v>-1.2655349999999999E-3</v>
      </c>
      <c r="H144" s="6"/>
    </row>
    <row r="145" spans="1:8" ht="14.1" customHeight="1" x14ac:dyDescent="0.2">
      <c r="A145" s="11"/>
      <c r="B145" s="11"/>
      <c r="C145" s="2" t="s">
        <v>138</v>
      </c>
      <c r="D145" s="15"/>
      <c r="E145" s="15"/>
      <c r="F145" s="9">
        <v>3946.0423715000002</v>
      </c>
      <c r="G145" s="10">
        <v>1.0000000019999999</v>
      </c>
      <c r="H145" s="6"/>
    </row>
    <row r="146" spans="1:8" ht="14.1" customHeight="1" x14ac:dyDescent="0.2">
      <c r="A146" s="18"/>
      <c r="B146" s="297" t="s">
        <v>112</v>
      </c>
      <c r="C146" s="297"/>
      <c r="D146" s="297"/>
      <c r="E146" s="297"/>
      <c r="F146" s="297"/>
      <c r="G146" s="20"/>
    </row>
    <row r="147" spans="1:8" ht="14.1" customHeight="1" x14ac:dyDescent="0.2">
      <c r="A147" s="18"/>
      <c r="B147" s="18"/>
      <c r="C147" s="18"/>
      <c r="D147" s="20"/>
      <c r="E147" s="20"/>
      <c r="F147" s="20"/>
      <c r="G147" s="20"/>
    </row>
    <row r="148" spans="1:8" ht="14.1" customHeight="1" x14ac:dyDescent="0.2">
      <c r="A148" s="18"/>
      <c r="B148" s="294" t="s">
        <v>140</v>
      </c>
      <c r="C148" s="295"/>
      <c r="D148" s="12" t="s">
        <v>112</v>
      </c>
      <c r="E148" s="21"/>
      <c r="F148" s="20"/>
      <c r="G148" s="20"/>
    </row>
    <row r="149" spans="1:8" ht="29.1" customHeight="1" x14ac:dyDescent="0.2">
      <c r="A149" s="18"/>
      <c r="B149" s="288" t="s">
        <v>141</v>
      </c>
      <c r="C149" s="289"/>
      <c r="D149" s="2" t="s">
        <v>142</v>
      </c>
      <c r="E149" s="21"/>
      <c r="F149" s="20"/>
      <c r="G149" s="20"/>
    </row>
    <row r="150" spans="1:8" ht="17.100000000000001" customHeight="1" x14ac:dyDescent="0.2">
      <c r="A150" s="18"/>
      <c r="B150" s="288" t="s">
        <v>143</v>
      </c>
      <c r="C150" s="289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288" t="s">
        <v>144</v>
      </c>
      <c r="C151" s="289"/>
      <c r="D151" s="12" t="s">
        <v>112</v>
      </c>
      <c r="E151" s="21"/>
      <c r="F151" s="20"/>
      <c r="G151" s="20"/>
    </row>
    <row r="152" spans="1:8" ht="24" customHeight="1" x14ac:dyDescent="0.2">
      <c r="A152" s="22"/>
      <c r="B152" s="23" t="s">
        <v>112</v>
      </c>
      <c r="C152" s="23" t="s">
        <v>145</v>
      </c>
      <c r="D152" s="23" t="s">
        <v>146</v>
      </c>
      <c r="E152" s="22"/>
      <c r="F152" s="22"/>
      <c r="G152" s="22"/>
    </row>
    <row r="153" spans="1:8" ht="18" customHeight="1" x14ac:dyDescent="0.2">
      <c r="A153" s="22"/>
      <c r="B153" s="23" t="s">
        <v>147</v>
      </c>
      <c r="C153" s="23" t="s">
        <v>148</v>
      </c>
      <c r="D153" s="23" t="s">
        <v>149</v>
      </c>
      <c r="E153" s="22"/>
      <c r="F153" s="22"/>
      <c r="G153" s="22"/>
    </row>
    <row r="154" spans="1:8" ht="17.100000000000001" customHeight="1" x14ac:dyDescent="0.2">
      <c r="A154" s="22"/>
      <c r="B154" s="4" t="s">
        <v>150</v>
      </c>
      <c r="C154" s="24">
        <v>21.432200000000002</v>
      </c>
      <c r="D154" s="24">
        <v>21.6341</v>
      </c>
      <c r="E154" s="22"/>
      <c r="F154" s="19"/>
      <c r="G154" s="25"/>
    </row>
    <row r="155" spans="1:8" ht="17.100000000000001" customHeight="1" x14ac:dyDescent="0.2">
      <c r="A155" s="22"/>
      <c r="B155" s="4" t="s">
        <v>1114</v>
      </c>
      <c r="C155" s="24">
        <v>20.091999999999999</v>
      </c>
      <c r="D155" s="24">
        <v>20.281199999999998</v>
      </c>
      <c r="E155" s="22"/>
      <c r="F155" s="19"/>
      <c r="G155" s="25"/>
    </row>
    <row r="156" spans="1:8" ht="17.100000000000001" customHeight="1" x14ac:dyDescent="0.2">
      <c r="A156" s="22"/>
      <c r="B156" s="4" t="s">
        <v>151</v>
      </c>
      <c r="C156" s="24">
        <v>21.015499999999999</v>
      </c>
      <c r="D156" s="24">
        <v>21.203700000000001</v>
      </c>
      <c r="E156" s="22"/>
      <c r="F156" s="19"/>
      <c r="G156" s="25"/>
    </row>
    <row r="157" spans="1:8" ht="17.100000000000001" customHeight="1" x14ac:dyDescent="0.2">
      <c r="A157" s="22"/>
      <c r="B157" s="4" t="s">
        <v>1115</v>
      </c>
      <c r="C157" s="24">
        <v>19.6816</v>
      </c>
      <c r="D157" s="24">
        <v>19.857900000000001</v>
      </c>
      <c r="E157" s="22"/>
      <c r="F157" s="19"/>
      <c r="G157" s="25"/>
    </row>
    <row r="158" spans="1:8" ht="14.1" customHeight="1" x14ac:dyDescent="0.2">
      <c r="A158" s="22"/>
      <c r="B158" s="22"/>
      <c r="C158" s="22"/>
      <c r="D158" s="22"/>
      <c r="E158" s="22"/>
      <c r="F158" s="22"/>
      <c r="G158" s="22"/>
    </row>
    <row r="159" spans="1:8" ht="17.100000000000001" customHeight="1" x14ac:dyDescent="0.2">
      <c r="A159" s="22"/>
      <c r="B159" s="288" t="s">
        <v>1116</v>
      </c>
      <c r="C159" s="289"/>
      <c r="D159" s="2" t="s">
        <v>142</v>
      </c>
      <c r="E159" s="22"/>
      <c r="F159" s="22"/>
      <c r="G159" s="22"/>
    </row>
    <row r="160" spans="1:8" ht="14.1" customHeight="1" x14ac:dyDescent="0.2">
      <c r="A160" s="22"/>
      <c r="B160" s="19"/>
      <c r="C160" s="19"/>
      <c r="D160" s="22"/>
      <c r="E160" s="22"/>
      <c r="F160" s="22"/>
      <c r="G160" s="22"/>
    </row>
    <row r="161" spans="1:15" ht="29.1" customHeight="1" x14ac:dyDescent="0.2">
      <c r="A161" s="22"/>
      <c r="B161" s="288" t="s">
        <v>153</v>
      </c>
      <c r="C161" s="289"/>
      <c r="D161" s="2" t="s">
        <v>142</v>
      </c>
      <c r="E161" s="22"/>
      <c r="F161" s="22"/>
      <c r="G161" s="22"/>
    </row>
    <row r="162" spans="1:15" ht="29.1" customHeight="1" x14ac:dyDescent="0.2">
      <c r="A162" s="22"/>
      <c r="B162" s="288" t="s">
        <v>154</v>
      </c>
      <c r="C162" s="289"/>
      <c r="D162" s="2" t="s">
        <v>142</v>
      </c>
      <c r="E162" s="22"/>
      <c r="F162" s="22"/>
      <c r="G162" s="22"/>
      <c r="J162" s="66"/>
      <c r="K162" s="66"/>
      <c r="L162" s="66"/>
      <c r="M162" s="66"/>
      <c r="N162" s="66"/>
      <c r="O162" s="66"/>
    </row>
    <row r="163" spans="1:15" ht="17.100000000000001" customHeight="1" x14ac:dyDescent="0.2">
      <c r="A163" s="22"/>
      <c r="B163" s="288" t="s">
        <v>155</v>
      </c>
      <c r="C163" s="289"/>
      <c r="D163" s="26">
        <v>0.34166328033874438</v>
      </c>
      <c r="E163" s="22"/>
      <c r="F163" s="19"/>
      <c r="G163" s="25"/>
    </row>
    <row r="164" spans="1:15" ht="17.100000000000001" customHeight="1" x14ac:dyDescent="0.2">
      <c r="A164" s="22"/>
      <c r="B164" s="288" t="s">
        <v>156</v>
      </c>
      <c r="C164" s="289"/>
      <c r="D164" s="2" t="s">
        <v>142</v>
      </c>
      <c r="E164" s="22"/>
      <c r="F164" s="22"/>
      <c r="G164" s="22"/>
    </row>
  </sheetData>
  <mergeCells count="14">
    <mergeCell ref="A1:H1"/>
    <mergeCell ref="A2:H2"/>
    <mergeCell ref="A3:H3"/>
    <mergeCell ref="B148:C148"/>
    <mergeCell ref="J2:N2"/>
    <mergeCell ref="B146:F146"/>
    <mergeCell ref="B163:C163"/>
    <mergeCell ref="B164:C164"/>
    <mergeCell ref="B149:C149"/>
    <mergeCell ref="B150:C150"/>
    <mergeCell ref="B151:C151"/>
    <mergeCell ref="B159:C159"/>
    <mergeCell ref="B161:C161"/>
    <mergeCell ref="B162:C16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16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474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36</v>
      </c>
      <c r="C7" s="4" t="s">
        <v>37</v>
      </c>
      <c r="D7" s="4" t="s">
        <v>26</v>
      </c>
      <c r="E7" s="5">
        <v>37713</v>
      </c>
      <c r="F7" s="6">
        <v>503.430837</v>
      </c>
      <c r="G7" s="7">
        <v>3.6955969999999998E-2</v>
      </c>
      <c r="H7" s="6"/>
    </row>
    <row r="8" spans="1:14" ht="25.5" x14ac:dyDescent="0.2">
      <c r="A8" s="3">
        <v>2</v>
      </c>
      <c r="B8" s="4" t="s">
        <v>313</v>
      </c>
      <c r="C8" s="4" t="s">
        <v>314</v>
      </c>
      <c r="D8" s="4" t="s">
        <v>71</v>
      </c>
      <c r="E8" s="5">
        <v>109964</v>
      </c>
      <c r="F8" s="6">
        <v>423.14147200000002</v>
      </c>
      <c r="G8" s="7">
        <v>3.1062069000000001E-2</v>
      </c>
      <c r="H8" s="6"/>
    </row>
    <row r="9" spans="1:14" x14ac:dyDescent="0.2">
      <c r="A9" s="3">
        <v>3</v>
      </c>
      <c r="B9" s="4" t="s">
        <v>69</v>
      </c>
      <c r="C9" s="4" t="s">
        <v>70</v>
      </c>
      <c r="D9" s="4" t="s">
        <v>71</v>
      </c>
      <c r="E9" s="5">
        <v>69249</v>
      </c>
      <c r="F9" s="6">
        <v>419.19882150000001</v>
      </c>
      <c r="G9" s="7">
        <v>3.0772646000000001E-2</v>
      </c>
      <c r="H9" s="6"/>
    </row>
    <row r="10" spans="1:14" x14ac:dyDescent="0.2">
      <c r="A10" s="3">
        <v>4</v>
      </c>
      <c r="B10" s="4" t="s">
        <v>261</v>
      </c>
      <c r="C10" s="4" t="s">
        <v>262</v>
      </c>
      <c r="D10" s="4" t="s">
        <v>955</v>
      </c>
      <c r="E10" s="5">
        <v>202669</v>
      </c>
      <c r="F10" s="6">
        <v>401.081951</v>
      </c>
      <c r="G10" s="7">
        <v>2.9442718E-2</v>
      </c>
      <c r="H10" s="6"/>
    </row>
    <row r="11" spans="1:14" x14ac:dyDescent="0.2">
      <c r="A11" s="3">
        <v>5</v>
      </c>
      <c r="B11" s="4" t="s">
        <v>87</v>
      </c>
      <c r="C11" s="4" t="s">
        <v>88</v>
      </c>
      <c r="D11" s="4" t="s">
        <v>940</v>
      </c>
      <c r="E11" s="5">
        <v>16980</v>
      </c>
      <c r="F11" s="6">
        <v>391.83048000000002</v>
      </c>
      <c r="G11" s="7">
        <v>2.8763583999999998E-2</v>
      </c>
      <c r="H11" s="6"/>
    </row>
    <row r="12" spans="1:14" ht="25.5" x14ac:dyDescent="0.2">
      <c r="A12" s="3">
        <v>6</v>
      </c>
      <c r="B12" s="4" t="s">
        <v>217</v>
      </c>
      <c r="C12" s="4" t="s">
        <v>218</v>
      </c>
      <c r="D12" s="4" t="s">
        <v>946</v>
      </c>
      <c r="E12" s="5">
        <v>9882</v>
      </c>
      <c r="F12" s="6">
        <v>388.54047600000001</v>
      </c>
      <c r="G12" s="7">
        <v>2.8522071E-2</v>
      </c>
      <c r="H12" s="6"/>
    </row>
    <row r="13" spans="1:14" x14ac:dyDescent="0.2">
      <c r="A13" s="3">
        <v>7</v>
      </c>
      <c r="B13" s="4" t="s">
        <v>231</v>
      </c>
      <c r="C13" s="4" t="s">
        <v>232</v>
      </c>
      <c r="D13" s="4" t="s">
        <v>233</v>
      </c>
      <c r="E13" s="5">
        <v>127326</v>
      </c>
      <c r="F13" s="6">
        <v>358.86833100000001</v>
      </c>
      <c r="G13" s="7">
        <v>2.6343891000000001E-2</v>
      </c>
      <c r="H13" s="6"/>
    </row>
    <row r="14" spans="1:14" x14ac:dyDescent="0.2">
      <c r="A14" s="3">
        <v>8</v>
      </c>
      <c r="B14" s="4" t="s">
        <v>30</v>
      </c>
      <c r="C14" s="4" t="s">
        <v>31</v>
      </c>
      <c r="D14" s="4" t="s">
        <v>26</v>
      </c>
      <c r="E14" s="5">
        <v>19181</v>
      </c>
      <c r="F14" s="6">
        <v>328.56093950000002</v>
      </c>
      <c r="G14" s="7">
        <v>2.4119079000000002E-2</v>
      </c>
      <c r="H14" s="6"/>
    </row>
    <row r="15" spans="1:14" ht="25.5" x14ac:dyDescent="0.2">
      <c r="A15" s="3">
        <v>9</v>
      </c>
      <c r="B15" s="4" t="s">
        <v>449</v>
      </c>
      <c r="C15" s="4" t="s">
        <v>450</v>
      </c>
      <c r="D15" s="4" t="s">
        <v>936</v>
      </c>
      <c r="E15" s="5">
        <v>16976</v>
      </c>
      <c r="F15" s="6">
        <v>325.30259999999998</v>
      </c>
      <c r="G15" s="7">
        <v>2.3879890000000001E-2</v>
      </c>
      <c r="H15" s="6"/>
      <c r="J15" s="192" t="s">
        <v>1148</v>
      </c>
    </row>
    <row r="16" spans="1:14" x14ac:dyDescent="0.2">
      <c r="A16" s="3">
        <v>10</v>
      </c>
      <c r="B16" s="4" t="s">
        <v>191</v>
      </c>
      <c r="C16" s="4" t="s">
        <v>192</v>
      </c>
      <c r="D16" s="4" t="s">
        <v>26</v>
      </c>
      <c r="E16" s="5">
        <v>26141</v>
      </c>
      <c r="F16" s="6">
        <v>315.57415200000003</v>
      </c>
      <c r="G16" s="7">
        <v>2.3165742E-2</v>
      </c>
      <c r="H16" s="6"/>
    </row>
    <row r="17" spans="1:8" x14ac:dyDescent="0.2">
      <c r="A17" s="3">
        <v>11</v>
      </c>
      <c r="B17" s="4" t="s">
        <v>166</v>
      </c>
      <c r="C17" s="4" t="s">
        <v>167</v>
      </c>
      <c r="D17" s="4" t="s">
        <v>82</v>
      </c>
      <c r="E17" s="5">
        <v>281219</v>
      </c>
      <c r="F17" s="6">
        <v>313.84040399999998</v>
      </c>
      <c r="G17" s="7">
        <v>2.3038469999999998E-2</v>
      </c>
      <c r="H17" s="6"/>
    </row>
    <row r="18" spans="1:8" x14ac:dyDescent="0.2">
      <c r="A18" s="3">
        <v>12</v>
      </c>
      <c r="B18" s="4" t="s">
        <v>207</v>
      </c>
      <c r="C18" s="4" t="s">
        <v>208</v>
      </c>
      <c r="D18" s="4" t="s">
        <v>948</v>
      </c>
      <c r="E18" s="5">
        <v>61385</v>
      </c>
      <c r="F18" s="6">
        <v>307.66162000000003</v>
      </c>
      <c r="G18" s="7">
        <v>2.2584897E-2</v>
      </c>
      <c r="H18" s="6"/>
    </row>
    <row r="19" spans="1:8" x14ac:dyDescent="0.2">
      <c r="A19" s="3">
        <v>13</v>
      </c>
      <c r="B19" s="4" t="s">
        <v>160</v>
      </c>
      <c r="C19" s="4" t="s">
        <v>161</v>
      </c>
      <c r="D19" s="4" t="s">
        <v>942</v>
      </c>
      <c r="E19" s="5">
        <v>23695</v>
      </c>
      <c r="F19" s="6">
        <v>289.49366250000003</v>
      </c>
      <c r="G19" s="7">
        <v>2.1251218999999998E-2</v>
      </c>
      <c r="H19" s="6"/>
    </row>
    <row r="20" spans="1:8" x14ac:dyDescent="0.2">
      <c r="A20" s="3">
        <v>14</v>
      </c>
      <c r="B20" s="4" t="s">
        <v>209</v>
      </c>
      <c r="C20" s="4" t="s">
        <v>210</v>
      </c>
      <c r="D20" s="4" t="s">
        <v>934</v>
      </c>
      <c r="E20" s="5">
        <v>14203</v>
      </c>
      <c r="F20" s="6">
        <v>276.844876</v>
      </c>
      <c r="G20" s="7">
        <v>2.0322693999999999E-2</v>
      </c>
      <c r="H20" s="6"/>
    </row>
    <row r="21" spans="1:8" x14ac:dyDescent="0.2">
      <c r="A21" s="3">
        <v>15</v>
      </c>
      <c r="B21" s="4" t="s">
        <v>229</v>
      </c>
      <c r="C21" s="4" t="s">
        <v>230</v>
      </c>
      <c r="D21" s="4" t="s">
        <v>26</v>
      </c>
      <c r="E21" s="5">
        <v>30901</v>
      </c>
      <c r="F21" s="6">
        <v>275.57511799999997</v>
      </c>
      <c r="G21" s="7">
        <v>2.0229482999999999E-2</v>
      </c>
      <c r="H21" s="6"/>
    </row>
    <row r="22" spans="1:8" x14ac:dyDescent="0.2">
      <c r="A22" s="3">
        <v>16</v>
      </c>
      <c r="B22" s="4" t="s">
        <v>168</v>
      </c>
      <c r="C22" s="4" t="s">
        <v>169</v>
      </c>
      <c r="D22" s="4" t="s">
        <v>944</v>
      </c>
      <c r="E22" s="5">
        <v>19596</v>
      </c>
      <c r="F22" s="6">
        <v>260.12710199999998</v>
      </c>
      <c r="G22" s="7">
        <v>1.9095471999999999E-2</v>
      </c>
      <c r="H22" s="6"/>
    </row>
    <row r="23" spans="1:8" x14ac:dyDescent="0.2">
      <c r="A23" s="3">
        <v>17</v>
      </c>
      <c r="B23" s="4" t="s">
        <v>201</v>
      </c>
      <c r="C23" s="4" t="s">
        <v>202</v>
      </c>
      <c r="D23" s="4" t="s">
        <v>923</v>
      </c>
      <c r="E23" s="5">
        <v>21498</v>
      </c>
      <c r="F23" s="6">
        <v>233.565021</v>
      </c>
      <c r="G23" s="7">
        <v>1.7145595999999999E-2</v>
      </c>
      <c r="H23" s="6"/>
    </row>
    <row r="24" spans="1:8" x14ac:dyDescent="0.2">
      <c r="A24" s="3">
        <v>18</v>
      </c>
      <c r="B24" s="4" t="s">
        <v>459</v>
      </c>
      <c r="C24" s="4" t="s">
        <v>460</v>
      </c>
      <c r="D24" s="4" t="s">
        <v>26</v>
      </c>
      <c r="E24" s="5">
        <v>37660</v>
      </c>
      <c r="F24" s="6">
        <v>228.99162999999999</v>
      </c>
      <c r="G24" s="7">
        <v>1.6809872E-2</v>
      </c>
      <c r="H24" s="6"/>
    </row>
    <row r="25" spans="1:8" ht="25.5" x14ac:dyDescent="0.2">
      <c r="A25" s="3">
        <v>19</v>
      </c>
      <c r="B25" s="4" t="s">
        <v>184</v>
      </c>
      <c r="C25" s="4" t="s">
        <v>185</v>
      </c>
      <c r="D25" s="4" t="s">
        <v>935</v>
      </c>
      <c r="E25" s="5">
        <v>112163</v>
      </c>
      <c r="F25" s="6">
        <v>226.00844499999999</v>
      </c>
      <c r="G25" s="7">
        <v>1.6590880999999998E-2</v>
      </c>
      <c r="H25" s="6"/>
    </row>
    <row r="26" spans="1:8" x14ac:dyDescent="0.2">
      <c r="A26" s="3">
        <v>20</v>
      </c>
      <c r="B26" s="4" t="s">
        <v>193</v>
      </c>
      <c r="C26" s="4" t="s">
        <v>194</v>
      </c>
      <c r="D26" s="4" t="s">
        <v>947</v>
      </c>
      <c r="E26" s="5">
        <v>40028</v>
      </c>
      <c r="F26" s="6">
        <v>221.695078</v>
      </c>
      <c r="G26" s="7">
        <v>1.6274245E-2</v>
      </c>
      <c r="H26" s="6"/>
    </row>
    <row r="27" spans="1:8" x14ac:dyDescent="0.2">
      <c r="A27" s="3">
        <v>21</v>
      </c>
      <c r="B27" s="4" t="s">
        <v>197</v>
      </c>
      <c r="C27" s="4" t="s">
        <v>198</v>
      </c>
      <c r="D27" s="4" t="s">
        <v>82</v>
      </c>
      <c r="E27" s="5">
        <v>30235</v>
      </c>
      <c r="F27" s="6">
        <v>212.37064000000001</v>
      </c>
      <c r="G27" s="7">
        <v>1.5589754000000001E-2</v>
      </c>
      <c r="H27" s="6"/>
    </row>
    <row r="28" spans="1:8" x14ac:dyDescent="0.2">
      <c r="A28" s="3">
        <v>22</v>
      </c>
      <c r="B28" s="4" t="s">
        <v>178</v>
      </c>
      <c r="C28" s="4" t="s">
        <v>179</v>
      </c>
      <c r="D28" s="4" t="s">
        <v>934</v>
      </c>
      <c r="E28" s="5">
        <v>14772</v>
      </c>
      <c r="F28" s="6">
        <v>211.26914400000001</v>
      </c>
      <c r="G28" s="7">
        <v>1.5508895E-2</v>
      </c>
      <c r="H28" s="6"/>
    </row>
    <row r="29" spans="1:8" x14ac:dyDescent="0.2">
      <c r="A29" s="3">
        <v>23</v>
      </c>
      <c r="B29" s="4" t="s">
        <v>199</v>
      </c>
      <c r="C29" s="4" t="s">
        <v>200</v>
      </c>
      <c r="D29" s="4" t="s">
        <v>940</v>
      </c>
      <c r="E29" s="5">
        <v>11037</v>
      </c>
      <c r="F29" s="6">
        <v>205.9117905</v>
      </c>
      <c r="G29" s="7">
        <v>1.5115620999999999E-2</v>
      </c>
      <c r="H29" s="6"/>
    </row>
    <row r="30" spans="1:8" x14ac:dyDescent="0.2">
      <c r="A30" s="3">
        <v>24</v>
      </c>
      <c r="B30" s="4" t="s">
        <v>227</v>
      </c>
      <c r="C30" s="4" t="s">
        <v>228</v>
      </c>
      <c r="D30" s="4" t="s">
        <v>26</v>
      </c>
      <c r="E30" s="5">
        <v>20083</v>
      </c>
      <c r="F30" s="6">
        <v>203.66170299999999</v>
      </c>
      <c r="G30" s="7">
        <v>1.4950445999999999E-2</v>
      </c>
      <c r="H30" s="6"/>
    </row>
    <row r="31" spans="1:8" ht="25.5" x14ac:dyDescent="0.2">
      <c r="A31" s="3">
        <v>25</v>
      </c>
      <c r="B31" s="4" t="s">
        <v>158</v>
      </c>
      <c r="C31" s="4" t="s">
        <v>159</v>
      </c>
      <c r="D31" s="4" t="s">
        <v>941</v>
      </c>
      <c r="E31" s="5">
        <v>28411</v>
      </c>
      <c r="F31" s="6">
        <v>201.4481955</v>
      </c>
      <c r="G31" s="7">
        <v>1.4787956999999999E-2</v>
      </c>
      <c r="H31" s="6"/>
    </row>
    <row r="32" spans="1:8" x14ac:dyDescent="0.2">
      <c r="A32" s="3">
        <v>26</v>
      </c>
      <c r="B32" s="4" t="s">
        <v>453</v>
      </c>
      <c r="C32" s="4" t="s">
        <v>454</v>
      </c>
      <c r="D32" s="4" t="s">
        <v>938</v>
      </c>
      <c r="E32" s="5">
        <v>28411</v>
      </c>
      <c r="F32" s="6">
        <v>199.64409699999999</v>
      </c>
      <c r="G32" s="7">
        <v>1.4655520999999999E-2</v>
      </c>
      <c r="H32" s="6"/>
    </row>
    <row r="33" spans="1:8" x14ac:dyDescent="0.2">
      <c r="A33" s="3">
        <v>27</v>
      </c>
      <c r="B33" s="4" t="s">
        <v>451</v>
      </c>
      <c r="C33" s="4" t="s">
        <v>452</v>
      </c>
      <c r="D33" s="4" t="s">
        <v>71</v>
      </c>
      <c r="E33" s="5">
        <v>20160</v>
      </c>
      <c r="F33" s="6">
        <v>189.85679999999999</v>
      </c>
      <c r="G33" s="7">
        <v>1.3937053E-2</v>
      </c>
      <c r="H33" s="6"/>
    </row>
    <row r="34" spans="1:8" x14ac:dyDescent="0.2">
      <c r="A34" s="3">
        <v>28</v>
      </c>
      <c r="B34" s="4" t="s">
        <v>203</v>
      </c>
      <c r="C34" s="4" t="s">
        <v>204</v>
      </c>
      <c r="D34" s="4" t="s">
        <v>82</v>
      </c>
      <c r="E34" s="5">
        <v>31853</v>
      </c>
      <c r="F34" s="6">
        <v>188.61753949999999</v>
      </c>
      <c r="G34" s="7">
        <v>1.3846081E-2</v>
      </c>
      <c r="H34" s="6"/>
    </row>
    <row r="35" spans="1:8" ht="25.5" x14ac:dyDescent="0.2">
      <c r="A35" s="3">
        <v>29</v>
      </c>
      <c r="B35" s="4" t="s">
        <v>172</v>
      </c>
      <c r="C35" s="4" t="s">
        <v>173</v>
      </c>
      <c r="D35" s="4" t="s">
        <v>71</v>
      </c>
      <c r="E35" s="5">
        <v>9500</v>
      </c>
      <c r="F35" s="6">
        <v>186.91725</v>
      </c>
      <c r="G35" s="7">
        <v>1.3721265999999999E-2</v>
      </c>
      <c r="H35" s="6"/>
    </row>
    <row r="36" spans="1:8" x14ac:dyDescent="0.2">
      <c r="A36" s="3">
        <v>30</v>
      </c>
      <c r="B36" s="4" t="s">
        <v>461</v>
      </c>
      <c r="C36" s="4" t="s">
        <v>462</v>
      </c>
      <c r="D36" s="4" t="s">
        <v>82</v>
      </c>
      <c r="E36" s="5">
        <v>17966</v>
      </c>
      <c r="F36" s="6">
        <v>186.163692</v>
      </c>
      <c r="G36" s="7">
        <v>1.3665948000000001E-2</v>
      </c>
      <c r="H36" s="6"/>
    </row>
    <row r="37" spans="1:8" x14ac:dyDescent="0.2">
      <c r="A37" s="3">
        <v>31</v>
      </c>
      <c r="B37" s="4" t="s">
        <v>265</v>
      </c>
      <c r="C37" s="4" t="s">
        <v>266</v>
      </c>
      <c r="D37" s="4" t="s">
        <v>942</v>
      </c>
      <c r="E37" s="5">
        <v>19892</v>
      </c>
      <c r="F37" s="6">
        <v>176.074038</v>
      </c>
      <c r="G37" s="7">
        <v>1.2925284E-2</v>
      </c>
      <c r="H37" s="6"/>
    </row>
    <row r="38" spans="1:8" x14ac:dyDescent="0.2">
      <c r="A38" s="3">
        <v>32</v>
      </c>
      <c r="B38" s="4" t="s">
        <v>475</v>
      </c>
      <c r="C38" s="4" t="s">
        <v>476</v>
      </c>
      <c r="D38" s="4" t="s">
        <v>956</v>
      </c>
      <c r="E38" s="5">
        <v>20000</v>
      </c>
      <c r="F38" s="6">
        <v>172.57</v>
      </c>
      <c r="G38" s="7">
        <v>1.2668059000000001E-2</v>
      </c>
      <c r="H38" s="6"/>
    </row>
    <row r="39" spans="1:8" ht="25.5" x14ac:dyDescent="0.2">
      <c r="A39" s="3">
        <v>33</v>
      </c>
      <c r="B39" s="4" t="s">
        <v>477</v>
      </c>
      <c r="C39" s="4" t="s">
        <v>478</v>
      </c>
      <c r="D39" s="4" t="s">
        <v>945</v>
      </c>
      <c r="E39" s="5">
        <v>2436</v>
      </c>
      <c r="F39" s="6">
        <v>169.90978200000001</v>
      </c>
      <c r="G39" s="7">
        <v>1.2472777000000001E-2</v>
      </c>
      <c r="H39" s="6"/>
    </row>
    <row r="40" spans="1:8" ht="25.5" x14ac:dyDescent="0.2">
      <c r="A40" s="3">
        <v>34</v>
      </c>
      <c r="B40" s="4" t="s">
        <v>215</v>
      </c>
      <c r="C40" s="4" t="s">
        <v>216</v>
      </c>
      <c r="D40" s="4" t="s">
        <v>945</v>
      </c>
      <c r="E40" s="5">
        <v>27841</v>
      </c>
      <c r="F40" s="6">
        <v>162.41047349999999</v>
      </c>
      <c r="G40" s="7">
        <v>1.1922266000000001E-2</v>
      </c>
      <c r="H40" s="6"/>
    </row>
    <row r="41" spans="1:8" ht="25.5" x14ac:dyDescent="0.2">
      <c r="A41" s="3">
        <v>35</v>
      </c>
      <c r="B41" s="4" t="s">
        <v>248</v>
      </c>
      <c r="C41" s="4" t="s">
        <v>249</v>
      </c>
      <c r="D41" s="4" t="s">
        <v>950</v>
      </c>
      <c r="E41" s="5">
        <v>28703</v>
      </c>
      <c r="F41" s="6">
        <v>152.39857850000001</v>
      </c>
      <c r="G41" s="7">
        <v>1.1187311E-2</v>
      </c>
      <c r="H41" s="6"/>
    </row>
    <row r="42" spans="1:8" ht="25.5" x14ac:dyDescent="0.2">
      <c r="A42" s="3">
        <v>36</v>
      </c>
      <c r="B42" s="4" t="s">
        <v>180</v>
      </c>
      <c r="C42" s="4" t="s">
        <v>181</v>
      </c>
      <c r="D42" s="4" t="s">
        <v>941</v>
      </c>
      <c r="E42" s="5">
        <v>29888</v>
      </c>
      <c r="F42" s="6">
        <v>151.51721599999999</v>
      </c>
      <c r="G42" s="7">
        <v>1.1122610999999999E-2</v>
      </c>
      <c r="H42" s="6"/>
    </row>
    <row r="43" spans="1:8" x14ac:dyDescent="0.2">
      <c r="A43" s="3">
        <v>37</v>
      </c>
      <c r="B43" s="4" t="s">
        <v>457</v>
      </c>
      <c r="C43" s="4" t="s">
        <v>458</v>
      </c>
      <c r="D43" s="4" t="s">
        <v>26</v>
      </c>
      <c r="E43" s="5">
        <v>19126</v>
      </c>
      <c r="F43" s="6">
        <v>146.667731</v>
      </c>
      <c r="G43" s="7">
        <v>1.0766619E-2</v>
      </c>
      <c r="H43" s="6"/>
    </row>
    <row r="44" spans="1:8" x14ac:dyDescent="0.2">
      <c r="A44" s="3">
        <v>38</v>
      </c>
      <c r="B44" s="4" t="s">
        <v>164</v>
      </c>
      <c r="C44" s="4" t="s">
        <v>165</v>
      </c>
      <c r="D44" s="4" t="s">
        <v>944</v>
      </c>
      <c r="E44" s="5">
        <v>28472</v>
      </c>
      <c r="F44" s="6">
        <v>135.71178800000001</v>
      </c>
      <c r="G44" s="7">
        <v>9.9623630000000001E-3</v>
      </c>
      <c r="H44" s="6"/>
    </row>
    <row r="45" spans="1:8" ht="25.5" x14ac:dyDescent="0.2">
      <c r="A45" s="3">
        <v>39</v>
      </c>
      <c r="B45" s="4" t="s">
        <v>221</v>
      </c>
      <c r="C45" s="4" t="s">
        <v>222</v>
      </c>
      <c r="D45" s="4" t="s">
        <v>945</v>
      </c>
      <c r="E45" s="5">
        <v>7795</v>
      </c>
      <c r="F45" s="6">
        <v>133.98825500000001</v>
      </c>
      <c r="G45" s="7">
        <v>9.8358409999999997E-3</v>
      </c>
      <c r="H45" s="6"/>
    </row>
    <row r="46" spans="1:8" ht="25.5" x14ac:dyDescent="0.2">
      <c r="A46" s="3">
        <v>40</v>
      </c>
      <c r="B46" s="4" t="s">
        <v>170</v>
      </c>
      <c r="C46" s="4" t="s">
        <v>171</v>
      </c>
      <c r="D46" s="4" t="s">
        <v>945</v>
      </c>
      <c r="E46" s="5">
        <v>34871</v>
      </c>
      <c r="F46" s="6">
        <v>132.64928399999999</v>
      </c>
      <c r="G46" s="7">
        <v>9.7375499999999993E-3</v>
      </c>
      <c r="H46" s="6"/>
    </row>
    <row r="47" spans="1:8" x14ac:dyDescent="0.2">
      <c r="A47" s="3">
        <v>41</v>
      </c>
      <c r="B47" s="4" t="s">
        <v>463</v>
      </c>
      <c r="C47" s="4" t="s">
        <v>464</v>
      </c>
      <c r="D47" s="4" t="s">
        <v>952</v>
      </c>
      <c r="E47" s="5">
        <v>14087</v>
      </c>
      <c r="F47" s="6">
        <v>132.12901650000001</v>
      </c>
      <c r="G47" s="7">
        <v>9.6993579999999999E-3</v>
      </c>
      <c r="H47" s="6"/>
    </row>
    <row r="48" spans="1:8" x14ac:dyDescent="0.2">
      <c r="A48" s="3">
        <v>42</v>
      </c>
      <c r="B48" s="4" t="s">
        <v>479</v>
      </c>
      <c r="C48" s="4" t="s">
        <v>480</v>
      </c>
      <c r="D48" s="4" t="s">
        <v>71</v>
      </c>
      <c r="E48" s="5">
        <v>8109</v>
      </c>
      <c r="F48" s="6">
        <v>131.65366950000001</v>
      </c>
      <c r="G48" s="7">
        <v>9.6644639999999993E-3</v>
      </c>
      <c r="H48" s="6"/>
    </row>
    <row r="49" spans="1:8" x14ac:dyDescent="0.2">
      <c r="A49" s="3">
        <v>43</v>
      </c>
      <c r="B49" s="4" t="s">
        <v>32</v>
      </c>
      <c r="C49" s="4" t="s">
        <v>33</v>
      </c>
      <c r="D49" s="4" t="s">
        <v>26</v>
      </c>
      <c r="E49" s="5">
        <v>3931</v>
      </c>
      <c r="F49" s="6">
        <v>130.90623099999999</v>
      </c>
      <c r="G49" s="7">
        <v>9.6095950000000003E-3</v>
      </c>
      <c r="H49" s="6"/>
    </row>
    <row r="50" spans="1:8" x14ac:dyDescent="0.2">
      <c r="A50" s="3">
        <v>44</v>
      </c>
      <c r="B50" s="4" t="s">
        <v>279</v>
      </c>
      <c r="C50" s="4" t="s">
        <v>280</v>
      </c>
      <c r="D50" s="4" t="s">
        <v>18</v>
      </c>
      <c r="E50" s="5">
        <v>59366</v>
      </c>
      <c r="F50" s="6">
        <v>127.16197200000001</v>
      </c>
      <c r="G50" s="7">
        <v>9.3347359999999997E-3</v>
      </c>
      <c r="H50" s="6"/>
    </row>
    <row r="51" spans="1:8" x14ac:dyDescent="0.2">
      <c r="A51" s="3">
        <v>45</v>
      </c>
      <c r="B51" s="4" t="s">
        <v>223</v>
      </c>
      <c r="C51" s="4" t="s">
        <v>224</v>
      </c>
      <c r="D51" s="4" t="s">
        <v>71</v>
      </c>
      <c r="E51" s="5">
        <v>51244</v>
      </c>
      <c r="F51" s="6">
        <v>126.31646000000001</v>
      </c>
      <c r="G51" s="7">
        <v>9.2726679999999995E-3</v>
      </c>
      <c r="H51" s="6"/>
    </row>
    <row r="52" spans="1:8" ht="25.5" x14ac:dyDescent="0.2">
      <c r="A52" s="3">
        <v>46</v>
      </c>
      <c r="B52" s="4" t="s">
        <v>219</v>
      </c>
      <c r="C52" s="4" t="s">
        <v>220</v>
      </c>
      <c r="D52" s="4" t="s">
        <v>950</v>
      </c>
      <c r="E52" s="5">
        <v>30368</v>
      </c>
      <c r="F52" s="6">
        <v>123.94699199999999</v>
      </c>
      <c r="G52" s="7">
        <v>9.0987299999999993E-3</v>
      </c>
      <c r="H52" s="6"/>
    </row>
    <row r="53" spans="1:8" ht="25.5" x14ac:dyDescent="0.2">
      <c r="A53" s="3">
        <v>47</v>
      </c>
      <c r="B53" s="4" t="s">
        <v>256</v>
      </c>
      <c r="C53" s="4" t="s">
        <v>257</v>
      </c>
      <c r="D53" s="4" t="s">
        <v>954</v>
      </c>
      <c r="E53" s="5">
        <v>36994</v>
      </c>
      <c r="F53" s="6">
        <v>123.91140300000001</v>
      </c>
      <c r="G53" s="7">
        <v>9.0961170000000008E-3</v>
      </c>
      <c r="H53" s="6"/>
    </row>
    <row r="54" spans="1:8" ht="25.5" x14ac:dyDescent="0.2">
      <c r="A54" s="3">
        <v>48</v>
      </c>
      <c r="B54" s="4" t="s">
        <v>162</v>
      </c>
      <c r="C54" s="4" t="s">
        <v>163</v>
      </c>
      <c r="D54" s="4" t="s">
        <v>943</v>
      </c>
      <c r="E54" s="5">
        <v>119858</v>
      </c>
      <c r="F54" s="6">
        <v>123.27395300000001</v>
      </c>
      <c r="G54" s="7">
        <v>9.0493229999999997E-3</v>
      </c>
      <c r="H54" s="6"/>
    </row>
    <row r="55" spans="1:8" x14ac:dyDescent="0.2">
      <c r="A55" s="3">
        <v>49</v>
      </c>
      <c r="B55" s="4" t="s">
        <v>267</v>
      </c>
      <c r="C55" s="4" t="s">
        <v>268</v>
      </c>
      <c r="D55" s="4" t="s">
        <v>82</v>
      </c>
      <c r="E55" s="5">
        <v>214883</v>
      </c>
      <c r="F55" s="6">
        <v>122.698193</v>
      </c>
      <c r="G55" s="7">
        <v>9.0070580000000001E-3</v>
      </c>
      <c r="H55" s="6"/>
    </row>
    <row r="56" spans="1:8" ht="51" x14ac:dyDescent="0.2">
      <c r="A56" s="3">
        <v>50</v>
      </c>
      <c r="B56" s="4" t="s">
        <v>238</v>
      </c>
      <c r="C56" s="4" t="s">
        <v>239</v>
      </c>
      <c r="D56" s="4" t="s">
        <v>939</v>
      </c>
      <c r="E56" s="5">
        <v>50508</v>
      </c>
      <c r="F56" s="6">
        <v>121.143438</v>
      </c>
      <c r="G56" s="7">
        <v>8.8929260000000006E-3</v>
      </c>
      <c r="H56" s="6"/>
    </row>
    <row r="57" spans="1:8" x14ac:dyDescent="0.2">
      <c r="A57" s="3">
        <v>51</v>
      </c>
      <c r="B57" s="4" t="s">
        <v>481</v>
      </c>
      <c r="C57" s="4" t="s">
        <v>482</v>
      </c>
      <c r="D57" s="4" t="s">
        <v>13</v>
      </c>
      <c r="E57" s="5">
        <v>108924</v>
      </c>
      <c r="F57" s="6">
        <v>117.746844</v>
      </c>
      <c r="G57" s="7">
        <v>8.6435880000000007E-3</v>
      </c>
      <c r="H57" s="6"/>
    </row>
    <row r="58" spans="1:8" ht="25.5" x14ac:dyDescent="0.2">
      <c r="A58" s="3">
        <v>52</v>
      </c>
      <c r="B58" s="4" t="s">
        <v>469</v>
      </c>
      <c r="C58" s="4" t="s">
        <v>470</v>
      </c>
      <c r="D58" s="4" t="s">
        <v>945</v>
      </c>
      <c r="E58" s="5">
        <v>27833</v>
      </c>
      <c r="F58" s="6">
        <v>110.77534</v>
      </c>
      <c r="G58" s="7">
        <v>8.1318220000000004E-3</v>
      </c>
      <c r="H58" s="6"/>
    </row>
    <row r="59" spans="1:8" x14ac:dyDescent="0.2">
      <c r="A59" s="3">
        <v>53</v>
      </c>
      <c r="B59" s="4" t="s">
        <v>263</v>
      </c>
      <c r="C59" s="4" t="s">
        <v>264</v>
      </c>
      <c r="D59" s="4" t="s">
        <v>26</v>
      </c>
      <c r="E59" s="5">
        <v>15988</v>
      </c>
      <c r="F59" s="6">
        <v>107.934988</v>
      </c>
      <c r="G59" s="7">
        <v>7.9233169999999992E-3</v>
      </c>
      <c r="H59" s="6"/>
    </row>
    <row r="60" spans="1:8" x14ac:dyDescent="0.2">
      <c r="A60" s="3">
        <v>54</v>
      </c>
      <c r="B60" s="4" t="s">
        <v>244</v>
      </c>
      <c r="C60" s="4" t="s">
        <v>245</v>
      </c>
      <c r="D60" s="4" t="s">
        <v>13</v>
      </c>
      <c r="E60" s="5">
        <v>38906</v>
      </c>
      <c r="F60" s="6">
        <v>105.162918</v>
      </c>
      <c r="G60" s="7">
        <v>7.7198240000000001E-3</v>
      </c>
      <c r="H60" s="6"/>
    </row>
    <row r="61" spans="1:8" x14ac:dyDescent="0.2">
      <c r="A61" s="3">
        <v>55</v>
      </c>
      <c r="B61" s="4" t="s">
        <v>271</v>
      </c>
      <c r="C61" s="4" t="s">
        <v>272</v>
      </c>
      <c r="D61" s="4" t="s">
        <v>940</v>
      </c>
      <c r="E61" s="5">
        <v>16139</v>
      </c>
      <c r="F61" s="6">
        <v>100.675082</v>
      </c>
      <c r="G61" s="7">
        <v>7.3903800000000002E-3</v>
      </c>
      <c r="H61" s="6"/>
    </row>
    <row r="62" spans="1:8" ht="38.25" x14ac:dyDescent="0.2">
      <c r="A62" s="3">
        <v>56</v>
      </c>
      <c r="B62" s="4" t="s">
        <v>254</v>
      </c>
      <c r="C62" s="4" t="s">
        <v>255</v>
      </c>
      <c r="D62" s="4" t="s">
        <v>953</v>
      </c>
      <c r="E62" s="5">
        <v>12942</v>
      </c>
      <c r="F62" s="6">
        <v>89.985726</v>
      </c>
      <c r="G62" s="7">
        <v>6.6056930000000002E-3</v>
      </c>
      <c r="H62" s="6"/>
    </row>
    <row r="63" spans="1:8" ht="25.5" x14ac:dyDescent="0.2">
      <c r="A63" s="3">
        <v>57</v>
      </c>
      <c r="B63" s="4" t="s">
        <v>483</v>
      </c>
      <c r="C63" s="4" t="s">
        <v>484</v>
      </c>
      <c r="D63" s="4" t="s">
        <v>937</v>
      </c>
      <c r="E63" s="5">
        <v>103230</v>
      </c>
      <c r="F63" s="6">
        <v>89.964945</v>
      </c>
      <c r="G63" s="7">
        <v>6.6041679999999997E-3</v>
      </c>
      <c r="H63" s="6"/>
    </row>
    <row r="64" spans="1:8" ht="25.5" x14ac:dyDescent="0.2">
      <c r="A64" s="3">
        <v>58</v>
      </c>
      <c r="B64" s="4" t="s">
        <v>485</v>
      </c>
      <c r="C64" s="4" t="s">
        <v>486</v>
      </c>
      <c r="D64" s="4" t="s">
        <v>945</v>
      </c>
      <c r="E64" s="5">
        <v>2024</v>
      </c>
      <c r="F64" s="6">
        <v>88.770616000000004</v>
      </c>
      <c r="G64" s="7">
        <v>6.5164940000000003E-3</v>
      </c>
      <c r="H64" s="6"/>
    </row>
    <row r="65" spans="1:8" x14ac:dyDescent="0.2">
      <c r="A65" s="3">
        <v>59</v>
      </c>
      <c r="B65" s="4" t="s">
        <v>234</v>
      </c>
      <c r="C65" s="4" t="s">
        <v>235</v>
      </c>
      <c r="D65" s="4" t="s">
        <v>952</v>
      </c>
      <c r="E65" s="5">
        <v>54852</v>
      </c>
      <c r="F65" s="6">
        <v>81.235811999999996</v>
      </c>
      <c r="G65" s="7">
        <v>5.9633780000000001E-3</v>
      </c>
      <c r="H65" s="6"/>
    </row>
    <row r="66" spans="1:8" x14ac:dyDescent="0.2">
      <c r="A66" s="3">
        <v>60</v>
      </c>
      <c r="B66" s="4" t="s">
        <v>246</v>
      </c>
      <c r="C66" s="4" t="s">
        <v>247</v>
      </c>
      <c r="D66" s="4" t="s">
        <v>91</v>
      </c>
      <c r="E66" s="5">
        <v>9697</v>
      </c>
      <c r="F66" s="6">
        <v>76.179631999999998</v>
      </c>
      <c r="G66" s="7">
        <v>5.5922120000000001E-3</v>
      </c>
      <c r="H66" s="6"/>
    </row>
    <row r="67" spans="1:8" x14ac:dyDescent="0.2">
      <c r="A67" s="3">
        <v>61</v>
      </c>
      <c r="B67" s="4" t="s">
        <v>174</v>
      </c>
      <c r="C67" s="4" t="s">
        <v>175</v>
      </c>
      <c r="D67" s="4" t="s">
        <v>71</v>
      </c>
      <c r="E67" s="5">
        <v>11620</v>
      </c>
      <c r="F67" s="6">
        <v>73.752139999999997</v>
      </c>
      <c r="G67" s="7">
        <v>5.414014E-3</v>
      </c>
      <c r="H67" s="6"/>
    </row>
    <row r="68" spans="1:8" x14ac:dyDescent="0.2">
      <c r="A68" s="3">
        <v>62</v>
      </c>
      <c r="B68" s="4" t="s">
        <v>455</v>
      </c>
      <c r="C68" s="4" t="s">
        <v>456</v>
      </c>
      <c r="D68" s="4" t="s">
        <v>71</v>
      </c>
      <c r="E68" s="5">
        <v>6000</v>
      </c>
      <c r="F68" s="6">
        <v>68.180999999999997</v>
      </c>
      <c r="G68" s="7">
        <v>5.0050470000000003E-3</v>
      </c>
      <c r="H68" s="6"/>
    </row>
    <row r="69" spans="1:8" x14ac:dyDescent="0.2">
      <c r="A69" s="3">
        <v>63</v>
      </c>
      <c r="B69" s="4" t="s">
        <v>240</v>
      </c>
      <c r="C69" s="4" t="s">
        <v>241</v>
      </c>
      <c r="D69" s="4" t="s">
        <v>940</v>
      </c>
      <c r="E69" s="5">
        <v>12874</v>
      </c>
      <c r="F69" s="6">
        <v>67.401826999999997</v>
      </c>
      <c r="G69" s="7">
        <v>4.9478489999999998E-3</v>
      </c>
      <c r="H69" s="6"/>
    </row>
    <row r="70" spans="1:8" x14ac:dyDescent="0.2">
      <c r="A70" s="3">
        <v>64</v>
      </c>
      <c r="B70" s="4" t="s">
        <v>176</v>
      </c>
      <c r="C70" s="4" t="s">
        <v>177</v>
      </c>
      <c r="D70" s="4" t="s">
        <v>944</v>
      </c>
      <c r="E70" s="5">
        <v>65833</v>
      </c>
      <c r="F70" s="6">
        <v>66.820494999999994</v>
      </c>
      <c r="G70" s="7">
        <v>4.9051750000000003E-3</v>
      </c>
      <c r="H70" s="6"/>
    </row>
    <row r="71" spans="1:8" ht="25.5" x14ac:dyDescent="0.2">
      <c r="A71" s="3">
        <v>65</v>
      </c>
      <c r="B71" s="4" t="s">
        <v>277</v>
      </c>
      <c r="C71" s="4" t="s">
        <v>278</v>
      </c>
      <c r="D71" s="4" t="s">
        <v>946</v>
      </c>
      <c r="E71" s="5">
        <v>10835</v>
      </c>
      <c r="F71" s="6">
        <v>64.403239999999997</v>
      </c>
      <c r="G71" s="7">
        <v>4.7277279999999996E-3</v>
      </c>
      <c r="H71" s="6"/>
    </row>
    <row r="72" spans="1:8" ht="25.5" x14ac:dyDescent="0.2">
      <c r="A72" s="3">
        <v>66</v>
      </c>
      <c r="B72" s="4" t="s">
        <v>188</v>
      </c>
      <c r="C72" s="4" t="s">
        <v>189</v>
      </c>
      <c r="D72" s="4" t="s">
        <v>945</v>
      </c>
      <c r="E72" s="5">
        <v>1438</v>
      </c>
      <c r="F72" s="6">
        <v>63.801903000000003</v>
      </c>
      <c r="G72" s="7">
        <v>4.6835849999999997E-3</v>
      </c>
      <c r="H72" s="6"/>
    </row>
    <row r="73" spans="1:8" ht="25.5" x14ac:dyDescent="0.2">
      <c r="A73" s="3">
        <v>67</v>
      </c>
      <c r="B73" s="4" t="s">
        <v>281</v>
      </c>
      <c r="C73" s="4" t="s">
        <v>282</v>
      </c>
      <c r="D73" s="4" t="s">
        <v>945</v>
      </c>
      <c r="E73" s="5">
        <v>23079</v>
      </c>
      <c r="F73" s="6">
        <v>57.766736999999999</v>
      </c>
      <c r="G73" s="7">
        <v>4.2405539999999997E-3</v>
      </c>
      <c r="H73" s="6"/>
    </row>
    <row r="74" spans="1:8" x14ac:dyDescent="0.2">
      <c r="A74" s="3">
        <v>68</v>
      </c>
      <c r="B74" s="4" t="s">
        <v>106</v>
      </c>
      <c r="C74" s="4" t="s">
        <v>107</v>
      </c>
      <c r="D74" s="4" t="s">
        <v>923</v>
      </c>
      <c r="E74" s="5">
        <v>72875</v>
      </c>
      <c r="F74" s="6">
        <v>55.312125000000002</v>
      </c>
      <c r="G74" s="7">
        <v>4.0603660000000001E-3</v>
      </c>
      <c r="H74" s="6"/>
    </row>
    <row r="75" spans="1:8" x14ac:dyDescent="0.2">
      <c r="A75" s="3">
        <v>69</v>
      </c>
      <c r="B75" s="4" t="s">
        <v>269</v>
      </c>
      <c r="C75" s="4" t="s">
        <v>270</v>
      </c>
      <c r="D75" s="4" t="s">
        <v>26</v>
      </c>
      <c r="E75" s="5">
        <v>2395</v>
      </c>
      <c r="F75" s="6">
        <v>47.5203925</v>
      </c>
      <c r="G75" s="7">
        <v>3.4883879999999998E-3</v>
      </c>
      <c r="H75" s="6"/>
    </row>
    <row r="76" spans="1:8" x14ac:dyDescent="0.2">
      <c r="A76" s="3">
        <v>70</v>
      </c>
      <c r="B76" s="4" t="s">
        <v>250</v>
      </c>
      <c r="C76" s="4" t="s">
        <v>251</v>
      </c>
      <c r="D76" s="4" t="s">
        <v>302</v>
      </c>
      <c r="E76" s="5">
        <v>7010</v>
      </c>
      <c r="F76" s="6">
        <v>45.554485</v>
      </c>
      <c r="G76" s="7">
        <v>3.3440739999999998E-3</v>
      </c>
      <c r="H76" s="6"/>
    </row>
    <row r="77" spans="1:8" x14ac:dyDescent="0.2">
      <c r="A77" s="3">
        <v>71</v>
      </c>
      <c r="B77" s="4" t="s">
        <v>213</v>
      </c>
      <c r="C77" s="4" t="s">
        <v>214</v>
      </c>
      <c r="D77" s="4" t="s">
        <v>64</v>
      </c>
      <c r="E77" s="5">
        <v>47153</v>
      </c>
      <c r="F77" s="6">
        <v>40.763768499999998</v>
      </c>
      <c r="G77" s="7">
        <v>2.992396E-3</v>
      </c>
      <c r="H77" s="6"/>
    </row>
    <row r="78" spans="1:8" x14ac:dyDescent="0.2">
      <c r="A78" s="3">
        <v>72</v>
      </c>
      <c r="B78" s="4" t="s">
        <v>195</v>
      </c>
      <c r="C78" s="4" t="s">
        <v>196</v>
      </c>
      <c r="D78" s="4" t="s">
        <v>71</v>
      </c>
      <c r="E78" s="5">
        <v>4611</v>
      </c>
      <c r="F78" s="6">
        <v>29.286766499999999</v>
      </c>
      <c r="G78" s="7">
        <v>2.1498899999999998E-3</v>
      </c>
      <c r="H78" s="6"/>
    </row>
    <row r="79" spans="1:8" ht="14.1" customHeight="1" x14ac:dyDescent="0.2">
      <c r="A79" s="1"/>
      <c r="B79" s="1"/>
      <c r="C79" s="2" t="s">
        <v>111</v>
      </c>
      <c r="D79" s="1"/>
      <c r="E79" s="1" t="s">
        <v>112</v>
      </c>
      <c r="F79" s="9">
        <v>12921.2291245</v>
      </c>
      <c r="G79" s="10">
        <v>0.94852462900000001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113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114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115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116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111</v>
      </c>
      <c r="D91" s="1"/>
      <c r="E91" s="1" t="s">
        <v>112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117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8" customHeight="1" x14ac:dyDescent="0.2">
      <c r="A96" s="1"/>
      <c r="B96" s="1"/>
      <c r="C96" s="2" t="s">
        <v>118</v>
      </c>
      <c r="D96" s="1"/>
      <c r="E96" s="1"/>
      <c r="F96" s="9">
        <v>12921.2291245</v>
      </c>
      <c r="G96" s="10">
        <v>0.94852462900000001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119</v>
      </c>
      <c r="D98" s="1"/>
      <c r="E98" s="1"/>
      <c r="F98" s="12"/>
      <c r="G98" s="12"/>
      <c r="H98" s="6"/>
    </row>
    <row r="99" spans="1:8" ht="24" customHeight="1" x14ac:dyDescent="0.2">
      <c r="A99" s="1"/>
      <c r="B99" s="1"/>
      <c r="C99" s="2" t="s">
        <v>10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120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121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122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111</v>
      </c>
      <c r="D109" s="1"/>
      <c r="E109" s="1" t="s">
        <v>112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123</v>
      </c>
      <c r="D111" s="1"/>
      <c r="E111" s="1"/>
      <c r="F111" s="9">
        <v>0</v>
      </c>
      <c r="G111" s="10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124</v>
      </c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125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111</v>
      </c>
      <c r="D115" s="1"/>
      <c r="E115" s="1" t="s">
        <v>112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126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127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128</v>
      </c>
      <c r="D123" s="1"/>
      <c r="E123" s="1"/>
      <c r="F123" s="12"/>
      <c r="G123" s="12"/>
      <c r="H123" s="6"/>
    </row>
    <row r="124" spans="1:8" ht="17.100000000000001" customHeight="1" x14ac:dyDescent="0.2">
      <c r="A124" s="3">
        <v>1</v>
      </c>
      <c r="B124" s="4"/>
      <c r="C124" s="4" t="s">
        <v>129</v>
      </c>
      <c r="D124" s="4"/>
      <c r="E124" s="8"/>
      <c r="F124" s="6">
        <v>667.58122109999999</v>
      </c>
      <c r="G124" s="7">
        <v>4.9005960000000001E-2</v>
      </c>
      <c r="H124" s="6">
        <v>3.9343919198424624</v>
      </c>
    </row>
    <row r="125" spans="1:8" ht="17.100000000000001" customHeight="1" x14ac:dyDescent="0.2">
      <c r="A125" s="3">
        <v>2</v>
      </c>
      <c r="B125" s="4"/>
      <c r="C125" s="4" t="s">
        <v>130</v>
      </c>
      <c r="D125" s="4"/>
      <c r="E125" s="8"/>
      <c r="F125" s="6">
        <v>43.846443700000002</v>
      </c>
      <c r="G125" s="7">
        <v>3.2186900000000002E-3</v>
      </c>
      <c r="H125" s="6">
        <v>3.8</v>
      </c>
    </row>
    <row r="126" spans="1:8" ht="14.1" customHeight="1" x14ac:dyDescent="0.2">
      <c r="A126" s="1"/>
      <c r="B126" s="1"/>
      <c r="C126" s="2" t="s">
        <v>111</v>
      </c>
      <c r="D126" s="1"/>
      <c r="E126" s="1" t="s">
        <v>112</v>
      </c>
      <c r="F126" s="9">
        <v>711.4276648</v>
      </c>
      <c r="G126" s="10">
        <v>5.2224649999999997E-2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131</v>
      </c>
      <c r="D128" s="1"/>
      <c r="E128" s="1"/>
      <c r="F128" s="9">
        <v>711.4276648</v>
      </c>
      <c r="G128" s="10">
        <v>5.2224649999999997E-2</v>
      </c>
      <c r="H128" s="6"/>
    </row>
    <row r="129" spans="1:8" ht="14.1" customHeight="1" x14ac:dyDescent="0.2">
      <c r="A129" s="1"/>
      <c r="B129" s="1"/>
      <c r="C129" s="12"/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132</v>
      </c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133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111</v>
      </c>
      <c r="D132" s="1"/>
      <c r="E132" s="1" t="s">
        <v>112</v>
      </c>
      <c r="F132" s="13">
        <v>0</v>
      </c>
      <c r="G132" s="14">
        <v>0</v>
      </c>
      <c r="H132" s="6"/>
    </row>
    <row r="133" spans="1:8" ht="14.1" customHeight="1" x14ac:dyDescent="0.2">
      <c r="A133" s="1"/>
      <c r="B133" s="1"/>
      <c r="C133" s="11"/>
      <c r="D133" s="1"/>
      <c r="E133" s="1"/>
      <c r="F133" s="12"/>
      <c r="G133" s="12"/>
      <c r="H133" s="6"/>
    </row>
    <row r="134" spans="1:8" ht="14.1" customHeight="1" x14ac:dyDescent="0.2">
      <c r="A134" s="1"/>
      <c r="B134" s="1"/>
      <c r="C134" s="2" t="s">
        <v>134</v>
      </c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135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111</v>
      </c>
      <c r="D136" s="1"/>
      <c r="E136" s="1" t="s">
        <v>112</v>
      </c>
      <c r="F136" s="13">
        <v>0</v>
      </c>
      <c r="G136" s="14">
        <v>0</v>
      </c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24" customHeight="1" x14ac:dyDescent="0.2">
      <c r="A139" s="1"/>
      <c r="B139" s="1"/>
      <c r="C139" s="2" t="s">
        <v>136</v>
      </c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2" t="s">
        <v>111</v>
      </c>
      <c r="D140" s="1"/>
      <c r="E140" s="1" t="s">
        <v>112</v>
      </c>
      <c r="F140" s="13">
        <v>0</v>
      </c>
      <c r="G140" s="14">
        <v>0</v>
      </c>
      <c r="H140" s="6"/>
    </row>
    <row r="141" spans="1:8" ht="14.1" customHeight="1" x14ac:dyDescent="0.2">
      <c r="A141" s="1"/>
      <c r="B141" s="1"/>
      <c r="C141" s="11"/>
      <c r="D141" s="1"/>
      <c r="E141" s="1"/>
      <c r="F141" s="12"/>
      <c r="G141" s="12"/>
      <c r="H141" s="6"/>
    </row>
    <row r="142" spans="1:8" ht="14.1" customHeight="1" x14ac:dyDescent="0.2">
      <c r="A142" s="1"/>
      <c r="B142" s="4"/>
      <c r="C142" s="4"/>
      <c r="D142" s="2"/>
      <c r="E142" s="1"/>
      <c r="F142" s="4"/>
      <c r="G142" s="8"/>
      <c r="H142" s="6"/>
    </row>
    <row r="143" spans="1:8" ht="18" customHeight="1" x14ac:dyDescent="0.2">
      <c r="A143" s="8"/>
      <c r="B143" s="4"/>
      <c r="C143" s="4" t="s">
        <v>137</v>
      </c>
      <c r="D143" s="4"/>
      <c r="E143" s="8"/>
      <c r="F143" s="6">
        <v>-10.207052389999999</v>
      </c>
      <c r="G143" s="7">
        <v>-7.4928199999999999E-4</v>
      </c>
      <c r="H143" s="6"/>
    </row>
    <row r="144" spans="1:8" ht="14.1" customHeight="1" x14ac:dyDescent="0.2">
      <c r="A144" s="11"/>
      <c r="B144" s="11"/>
      <c r="C144" s="2" t="s">
        <v>138</v>
      </c>
      <c r="D144" s="15"/>
      <c r="E144" s="15"/>
      <c r="F144" s="9">
        <v>13622.449736910001</v>
      </c>
      <c r="G144" s="10">
        <v>0.99999999699999997</v>
      </c>
      <c r="H144" s="6"/>
    </row>
    <row r="145" spans="1:15" ht="14.1" customHeight="1" x14ac:dyDescent="0.2">
      <c r="A145" s="18"/>
      <c r="B145" s="297" t="s">
        <v>112</v>
      </c>
      <c r="C145" s="297"/>
      <c r="D145" s="297"/>
      <c r="E145" s="297"/>
      <c r="F145" s="297"/>
      <c r="G145" s="20"/>
    </row>
    <row r="146" spans="1:15" ht="14.1" customHeight="1" x14ac:dyDescent="0.2">
      <c r="A146" s="18"/>
      <c r="B146" s="18"/>
      <c r="C146" s="18"/>
      <c r="D146" s="20"/>
      <c r="E146" s="20"/>
      <c r="F146" s="20"/>
      <c r="G146" s="20"/>
    </row>
    <row r="147" spans="1:15" ht="14.1" customHeight="1" x14ac:dyDescent="0.2">
      <c r="A147" s="18"/>
      <c r="B147" s="294" t="s">
        <v>140</v>
      </c>
      <c r="C147" s="295"/>
      <c r="D147" s="12" t="s">
        <v>112</v>
      </c>
      <c r="E147" s="21"/>
      <c r="F147" s="20"/>
      <c r="G147" s="20"/>
    </row>
    <row r="148" spans="1:15" ht="29.1" customHeight="1" x14ac:dyDescent="0.2">
      <c r="A148" s="18"/>
      <c r="B148" s="288" t="s">
        <v>141</v>
      </c>
      <c r="C148" s="289"/>
      <c r="D148" s="2" t="s">
        <v>142</v>
      </c>
      <c r="E148" s="21"/>
      <c r="F148" s="20"/>
      <c r="G148" s="20"/>
    </row>
    <row r="149" spans="1:15" ht="17.100000000000001" customHeight="1" x14ac:dyDescent="0.2">
      <c r="A149" s="18"/>
      <c r="B149" s="288" t="s">
        <v>143</v>
      </c>
      <c r="C149" s="289"/>
      <c r="D149" s="2" t="s">
        <v>142</v>
      </c>
      <c r="E149" s="21"/>
      <c r="F149" s="20"/>
      <c r="G149" s="20"/>
    </row>
    <row r="150" spans="1:15" ht="17.100000000000001" customHeight="1" x14ac:dyDescent="0.2">
      <c r="A150" s="18"/>
      <c r="B150" s="288" t="s">
        <v>144</v>
      </c>
      <c r="C150" s="289"/>
      <c r="D150" s="12" t="s">
        <v>112</v>
      </c>
      <c r="E150" s="21"/>
      <c r="F150" s="20"/>
      <c r="G150" s="20"/>
    </row>
    <row r="151" spans="1:15" ht="24" customHeight="1" x14ac:dyDescent="0.2">
      <c r="A151" s="22"/>
      <c r="B151" s="23" t="s">
        <v>112</v>
      </c>
      <c r="C151" s="23" t="s">
        <v>145</v>
      </c>
      <c r="D151" s="23" t="s">
        <v>146</v>
      </c>
      <c r="E151" s="22"/>
      <c r="F151" s="22"/>
      <c r="G151" s="22"/>
    </row>
    <row r="152" spans="1:15" ht="18" customHeight="1" x14ac:dyDescent="0.2">
      <c r="A152" s="22"/>
      <c r="B152" s="23" t="s">
        <v>147</v>
      </c>
      <c r="C152" s="23" t="s">
        <v>148</v>
      </c>
      <c r="D152" s="23" t="s">
        <v>149</v>
      </c>
      <c r="E152" s="22"/>
      <c r="F152" s="22"/>
      <c r="G152" s="22"/>
    </row>
    <row r="153" spans="1:15" ht="17.100000000000001" customHeight="1" x14ac:dyDescent="0.2">
      <c r="A153" s="22"/>
      <c r="B153" s="4" t="s">
        <v>150</v>
      </c>
      <c r="C153" s="24">
        <v>20.986599999999999</v>
      </c>
      <c r="D153" s="24">
        <v>21.4682</v>
      </c>
      <c r="E153" s="22"/>
      <c r="F153" s="19"/>
      <c r="G153" s="25"/>
    </row>
    <row r="154" spans="1:15" ht="17.100000000000001" customHeight="1" x14ac:dyDescent="0.2">
      <c r="A154" s="22"/>
      <c r="B154" s="4" t="s">
        <v>1114</v>
      </c>
      <c r="C154" s="24">
        <v>19.698</v>
      </c>
      <c r="D154" s="24">
        <v>20.149999999999999</v>
      </c>
      <c r="E154" s="22"/>
      <c r="F154" s="19"/>
      <c r="G154" s="25"/>
    </row>
    <row r="155" spans="1:15" ht="17.100000000000001" customHeight="1" x14ac:dyDescent="0.2">
      <c r="A155" s="22"/>
      <c r="B155" s="4" t="s">
        <v>151</v>
      </c>
      <c r="C155" s="24">
        <v>20.645600000000002</v>
      </c>
      <c r="D155" s="24">
        <v>21.112100000000002</v>
      </c>
      <c r="E155" s="22"/>
      <c r="F155" s="19"/>
      <c r="G155" s="25"/>
    </row>
    <row r="156" spans="1:15" ht="17.100000000000001" customHeight="1" x14ac:dyDescent="0.2">
      <c r="A156" s="22"/>
      <c r="B156" s="4" t="s">
        <v>1115</v>
      </c>
      <c r="C156" s="24">
        <v>19.361699999999999</v>
      </c>
      <c r="D156" s="24">
        <v>19.799199999999999</v>
      </c>
      <c r="E156" s="22"/>
      <c r="F156" s="19"/>
      <c r="G156" s="25"/>
      <c r="J156" s="66"/>
      <c r="K156" s="66"/>
      <c r="L156" s="66"/>
      <c r="M156" s="66"/>
      <c r="N156" s="66"/>
      <c r="O156" s="66"/>
    </row>
    <row r="157" spans="1:15" ht="14.1" customHeight="1" x14ac:dyDescent="0.2">
      <c r="A157" s="22"/>
      <c r="B157" s="22"/>
      <c r="C157" s="22"/>
      <c r="D157" s="22"/>
      <c r="E157" s="22"/>
      <c r="F157" s="22"/>
      <c r="G157" s="22"/>
    </row>
    <row r="158" spans="1:15" ht="17.100000000000001" customHeight="1" x14ac:dyDescent="0.2">
      <c r="A158" s="22"/>
      <c r="B158" s="288" t="s">
        <v>1116</v>
      </c>
      <c r="C158" s="289"/>
      <c r="D158" s="2" t="s">
        <v>142</v>
      </c>
      <c r="E158" s="22"/>
      <c r="F158" s="22"/>
      <c r="G158" s="22"/>
    </row>
    <row r="159" spans="1:15" ht="14.1" customHeight="1" x14ac:dyDescent="0.2">
      <c r="A159" s="22"/>
      <c r="B159" s="19"/>
      <c r="C159" s="19"/>
      <c r="D159" s="22"/>
      <c r="E159" s="22"/>
      <c r="F159" s="22"/>
      <c r="G159" s="22"/>
    </row>
    <row r="160" spans="1:15" ht="29.1" customHeight="1" x14ac:dyDescent="0.2">
      <c r="A160" s="22"/>
      <c r="B160" s="288" t="s">
        <v>153</v>
      </c>
      <c r="C160" s="289"/>
      <c r="D160" s="2" t="s">
        <v>142</v>
      </c>
      <c r="E160" s="22"/>
      <c r="F160" s="22"/>
      <c r="G160" s="22"/>
    </row>
    <row r="161" spans="1:7" ht="29.1" customHeight="1" x14ac:dyDescent="0.2">
      <c r="A161" s="22"/>
      <c r="B161" s="288" t="s">
        <v>154</v>
      </c>
      <c r="C161" s="289"/>
      <c r="D161" s="2" t="s">
        <v>142</v>
      </c>
      <c r="E161" s="22"/>
      <c r="F161" s="22"/>
      <c r="G161" s="22"/>
    </row>
    <row r="162" spans="1:7" ht="17.100000000000001" customHeight="1" x14ac:dyDescent="0.2">
      <c r="A162" s="22"/>
      <c r="B162" s="288" t="s">
        <v>155</v>
      </c>
      <c r="C162" s="289"/>
      <c r="D162" s="26">
        <v>0.47710943772689851</v>
      </c>
      <c r="E162" s="22"/>
      <c r="F162" s="19"/>
      <c r="G162" s="25"/>
    </row>
    <row r="163" spans="1:7" ht="17.100000000000001" customHeight="1" x14ac:dyDescent="0.2">
      <c r="A163" s="22"/>
      <c r="B163" s="288" t="s">
        <v>156</v>
      </c>
      <c r="C163" s="289"/>
      <c r="D163" s="2" t="s">
        <v>142</v>
      </c>
      <c r="E163" s="22"/>
      <c r="F163" s="22"/>
      <c r="G163" s="22"/>
    </row>
  </sheetData>
  <mergeCells count="14">
    <mergeCell ref="A1:H1"/>
    <mergeCell ref="A2:H2"/>
    <mergeCell ref="A3:H3"/>
    <mergeCell ref="B147:C147"/>
    <mergeCell ref="J2:N2"/>
    <mergeCell ref="B145:F145"/>
    <mergeCell ref="B162:C162"/>
    <mergeCell ref="B163:C163"/>
    <mergeCell ref="B148:C148"/>
    <mergeCell ref="B149:C149"/>
    <mergeCell ref="B150:C150"/>
    <mergeCell ref="B158:C158"/>
    <mergeCell ref="B160:C160"/>
    <mergeCell ref="B161:C16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487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36</v>
      </c>
      <c r="C7" s="4" t="s">
        <v>37</v>
      </c>
      <c r="D7" s="4" t="s">
        <v>26</v>
      </c>
      <c r="E7" s="5">
        <v>10313</v>
      </c>
      <c r="F7" s="6">
        <v>137.668237</v>
      </c>
      <c r="G7" s="7">
        <v>3.8341194000000002E-2</v>
      </c>
      <c r="H7" s="6"/>
    </row>
    <row r="8" spans="1:14" x14ac:dyDescent="0.2">
      <c r="A8" s="3">
        <v>2</v>
      </c>
      <c r="B8" s="4" t="s">
        <v>191</v>
      </c>
      <c r="C8" s="4" t="s">
        <v>192</v>
      </c>
      <c r="D8" s="4" t="s">
        <v>26</v>
      </c>
      <c r="E8" s="5">
        <v>10697</v>
      </c>
      <c r="F8" s="6">
        <v>129.134184</v>
      </c>
      <c r="G8" s="7">
        <v>3.5964424000000002E-2</v>
      </c>
      <c r="H8" s="6"/>
    </row>
    <row r="9" spans="1:14" x14ac:dyDescent="0.2">
      <c r="A9" s="3">
        <v>3</v>
      </c>
      <c r="B9" s="4" t="s">
        <v>69</v>
      </c>
      <c r="C9" s="4" t="s">
        <v>70</v>
      </c>
      <c r="D9" s="4" t="s">
        <v>71</v>
      </c>
      <c r="E9" s="5">
        <v>19114</v>
      </c>
      <c r="F9" s="6">
        <v>115.706599</v>
      </c>
      <c r="G9" s="7">
        <v>3.2224783999999999E-2</v>
      </c>
      <c r="H9" s="6"/>
    </row>
    <row r="10" spans="1:14" x14ac:dyDescent="0.2">
      <c r="A10" s="3">
        <v>4</v>
      </c>
      <c r="B10" s="4" t="s">
        <v>195</v>
      </c>
      <c r="C10" s="4" t="s">
        <v>196</v>
      </c>
      <c r="D10" s="4" t="s">
        <v>71</v>
      </c>
      <c r="E10" s="5">
        <v>17758</v>
      </c>
      <c r="F10" s="6">
        <v>112.78993699999999</v>
      </c>
      <c r="G10" s="7">
        <v>3.1412480999999999E-2</v>
      </c>
      <c r="H10" s="6"/>
    </row>
    <row r="11" spans="1:14" x14ac:dyDescent="0.2">
      <c r="A11" s="3">
        <v>5</v>
      </c>
      <c r="B11" s="4" t="s">
        <v>229</v>
      </c>
      <c r="C11" s="4" t="s">
        <v>230</v>
      </c>
      <c r="D11" s="4" t="s">
        <v>26</v>
      </c>
      <c r="E11" s="5">
        <v>12494</v>
      </c>
      <c r="F11" s="6">
        <v>111.421492</v>
      </c>
      <c r="G11" s="7">
        <v>3.1031362999999999E-2</v>
      </c>
      <c r="H11" s="6"/>
    </row>
    <row r="12" spans="1:14" x14ac:dyDescent="0.2">
      <c r="A12" s="3">
        <v>6</v>
      </c>
      <c r="B12" s="4" t="s">
        <v>261</v>
      </c>
      <c r="C12" s="4" t="s">
        <v>262</v>
      </c>
      <c r="D12" s="4" t="s">
        <v>955</v>
      </c>
      <c r="E12" s="5">
        <v>54959</v>
      </c>
      <c r="F12" s="6">
        <v>108.76386100000001</v>
      </c>
      <c r="G12" s="7">
        <v>3.0291202E-2</v>
      </c>
      <c r="H12" s="6"/>
    </row>
    <row r="13" spans="1:14" ht="25.5" x14ac:dyDescent="0.2">
      <c r="A13" s="3">
        <v>7</v>
      </c>
      <c r="B13" s="4" t="s">
        <v>313</v>
      </c>
      <c r="C13" s="4" t="s">
        <v>314</v>
      </c>
      <c r="D13" s="4" t="s">
        <v>71</v>
      </c>
      <c r="E13" s="5">
        <v>27823</v>
      </c>
      <c r="F13" s="6">
        <v>107.062904</v>
      </c>
      <c r="G13" s="7">
        <v>2.9817478000000001E-2</v>
      </c>
      <c r="H13" s="6"/>
    </row>
    <row r="14" spans="1:14" x14ac:dyDescent="0.2">
      <c r="A14" s="3">
        <v>8</v>
      </c>
      <c r="B14" s="4" t="s">
        <v>166</v>
      </c>
      <c r="C14" s="4" t="s">
        <v>167</v>
      </c>
      <c r="D14" s="4" t="s">
        <v>82</v>
      </c>
      <c r="E14" s="5">
        <v>91263</v>
      </c>
      <c r="F14" s="6">
        <v>101.849508</v>
      </c>
      <c r="G14" s="7">
        <v>2.8365524999999999E-2</v>
      </c>
      <c r="H14" s="6"/>
    </row>
    <row r="15" spans="1:14" ht="25.5" x14ac:dyDescent="0.2">
      <c r="A15" s="3">
        <v>9</v>
      </c>
      <c r="B15" s="4" t="s">
        <v>217</v>
      </c>
      <c r="C15" s="4" t="s">
        <v>218</v>
      </c>
      <c r="D15" s="4" t="s">
        <v>946</v>
      </c>
      <c r="E15" s="5">
        <v>2544</v>
      </c>
      <c r="F15" s="6">
        <v>100.024992</v>
      </c>
      <c r="G15" s="7">
        <v>2.7857389E-2</v>
      </c>
      <c r="H15" s="6"/>
    </row>
    <row r="16" spans="1:14" ht="15" x14ac:dyDescent="0.2">
      <c r="A16" s="3">
        <v>10</v>
      </c>
      <c r="B16" s="4" t="s">
        <v>263</v>
      </c>
      <c r="C16" s="4" t="s">
        <v>264</v>
      </c>
      <c r="D16" s="4" t="s">
        <v>26</v>
      </c>
      <c r="E16" s="5">
        <v>14341</v>
      </c>
      <c r="F16" s="6">
        <v>96.816091</v>
      </c>
      <c r="G16" s="7">
        <v>2.6963695999999999E-2</v>
      </c>
      <c r="H16" s="6"/>
      <c r="J16" s="192" t="s">
        <v>1145</v>
      </c>
    </row>
    <row r="17" spans="1:8" x14ac:dyDescent="0.2">
      <c r="A17" s="3">
        <v>11</v>
      </c>
      <c r="B17" s="4" t="s">
        <v>236</v>
      </c>
      <c r="C17" s="4" t="s">
        <v>237</v>
      </c>
      <c r="D17" s="4" t="s">
        <v>947</v>
      </c>
      <c r="E17" s="5">
        <v>2123</v>
      </c>
      <c r="F17" s="6">
        <v>91.727399500000004</v>
      </c>
      <c r="G17" s="7">
        <v>2.5546474E-2</v>
      </c>
      <c r="H17" s="6"/>
    </row>
    <row r="18" spans="1:8" x14ac:dyDescent="0.2">
      <c r="A18" s="3">
        <v>12</v>
      </c>
      <c r="B18" s="4" t="s">
        <v>207</v>
      </c>
      <c r="C18" s="4" t="s">
        <v>208</v>
      </c>
      <c r="D18" s="4" t="s">
        <v>948</v>
      </c>
      <c r="E18" s="5">
        <v>16846</v>
      </c>
      <c r="F18" s="6">
        <v>84.432152000000002</v>
      </c>
      <c r="G18" s="7">
        <v>2.3514716000000001E-2</v>
      </c>
      <c r="H18" s="6"/>
    </row>
    <row r="19" spans="1:8" x14ac:dyDescent="0.2">
      <c r="A19" s="3">
        <v>13</v>
      </c>
      <c r="B19" s="4" t="s">
        <v>193</v>
      </c>
      <c r="C19" s="4" t="s">
        <v>194</v>
      </c>
      <c r="D19" s="4" t="s">
        <v>947</v>
      </c>
      <c r="E19" s="5">
        <v>13845</v>
      </c>
      <c r="F19" s="6">
        <v>76.680532499999998</v>
      </c>
      <c r="G19" s="7">
        <v>2.1355856999999999E-2</v>
      </c>
      <c r="H19" s="6"/>
    </row>
    <row r="20" spans="1:8" x14ac:dyDescent="0.2">
      <c r="A20" s="3">
        <v>14</v>
      </c>
      <c r="B20" s="4" t="s">
        <v>201</v>
      </c>
      <c r="C20" s="4" t="s">
        <v>202</v>
      </c>
      <c r="D20" s="4" t="s">
        <v>923</v>
      </c>
      <c r="E20" s="5">
        <v>6936</v>
      </c>
      <c r="F20" s="6">
        <v>75.356172000000001</v>
      </c>
      <c r="G20" s="7">
        <v>2.0987017E-2</v>
      </c>
      <c r="H20" s="6"/>
    </row>
    <row r="21" spans="1:8" ht="25.5" x14ac:dyDescent="0.2">
      <c r="A21" s="3">
        <v>15</v>
      </c>
      <c r="B21" s="4" t="s">
        <v>215</v>
      </c>
      <c r="C21" s="4" t="s">
        <v>216</v>
      </c>
      <c r="D21" s="4" t="s">
        <v>945</v>
      </c>
      <c r="E21" s="5">
        <v>12470</v>
      </c>
      <c r="F21" s="6">
        <v>72.743745000000004</v>
      </c>
      <c r="G21" s="7">
        <v>2.0259445000000001E-2</v>
      </c>
      <c r="H21" s="6"/>
    </row>
    <row r="22" spans="1:8" x14ac:dyDescent="0.2">
      <c r="A22" s="3">
        <v>16</v>
      </c>
      <c r="B22" s="4" t="s">
        <v>209</v>
      </c>
      <c r="C22" s="4" t="s">
        <v>210</v>
      </c>
      <c r="D22" s="4" t="s">
        <v>934</v>
      </c>
      <c r="E22" s="5">
        <v>3633</v>
      </c>
      <c r="F22" s="6">
        <v>70.814436000000001</v>
      </c>
      <c r="G22" s="7">
        <v>1.9722124000000001E-2</v>
      </c>
      <c r="H22" s="6"/>
    </row>
    <row r="23" spans="1:8" ht="25.5" x14ac:dyDescent="0.2">
      <c r="A23" s="3">
        <v>17</v>
      </c>
      <c r="B23" s="4" t="s">
        <v>256</v>
      </c>
      <c r="C23" s="4" t="s">
        <v>257</v>
      </c>
      <c r="D23" s="4" t="s">
        <v>954</v>
      </c>
      <c r="E23" s="5">
        <v>20978</v>
      </c>
      <c r="F23" s="6">
        <v>70.265810999999999</v>
      </c>
      <c r="G23" s="7">
        <v>1.9569329999999999E-2</v>
      </c>
      <c r="H23" s="6"/>
    </row>
    <row r="24" spans="1:8" x14ac:dyDescent="0.2">
      <c r="A24" s="3">
        <v>18</v>
      </c>
      <c r="B24" s="4" t="s">
        <v>231</v>
      </c>
      <c r="C24" s="4" t="s">
        <v>232</v>
      </c>
      <c r="D24" s="4" t="s">
        <v>233</v>
      </c>
      <c r="E24" s="5">
        <v>24416</v>
      </c>
      <c r="F24" s="6">
        <v>68.816496000000001</v>
      </c>
      <c r="G24" s="7">
        <v>1.9165689E-2</v>
      </c>
      <c r="H24" s="6"/>
    </row>
    <row r="25" spans="1:8" x14ac:dyDescent="0.2">
      <c r="A25" s="3">
        <v>19</v>
      </c>
      <c r="B25" s="4" t="s">
        <v>168</v>
      </c>
      <c r="C25" s="4" t="s">
        <v>169</v>
      </c>
      <c r="D25" s="4" t="s">
        <v>944</v>
      </c>
      <c r="E25" s="5">
        <v>5119</v>
      </c>
      <c r="F25" s="6">
        <v>67.952165500000007</v>
      </c>
      <c r="G25" s="7">
        <v>1.8924969E-2</v>
      </c>
      <c r="H25" s="6"/>
    </row>
    <row r="26" spans="1:8" x14ac:dyDescent="0.2">
      <c r="A26" s="3">
        <v>20</v>
      </c>
      <c r="B26" s="4" t="s">
        <v>30</v>
      </c>
      <c r="C26" s="4" t="s">
        <v>31</v>
      </c>
      <c r="D26" s="4" t="s">
        <v>26</v>
      </c>
      <c r="E26" s="5">
        <v>3892</v>
      </c>
      <c r="F26" s="6">
        <v>66.668013999999999</v>
      </c>
      <c r="G26" s="7">
        <v>1.8567328000000001E-2</v>
      </c>
      <c r="H26" s="6"/>
    </row>
    <row r="27" spans="1:8" x14ac:dyDescent="0.2">
      <c r="A27" s="3">
        <v>21</v>
      </c>
      <c r="B27" s="4" t="s">
        <v>197</v>
      </c>
      <c r="C27" s="4" t="s">
        <v>198</v>
      </c>
      <c r="D27" s="4" t="s">
        <v>82</v>
      </c>
      <c r="E27" s="5">
        <v>9248</v>
      </c>
      <c r="F27" s="6">
        <v>64.957952000000006</v>
      </c>
      <c r="G27" s="7">
        <v>1.8091067999999998E-2</v>
      </c>
      <c r="H27" s="6"/>
    </row>
    <row r="28" spans="1:8" x14ac:dyDescent="0.2">
      <c r="A28" s="3">
        <v>22</v>
      </c>
      <c r="B28" s="4" t="s">
        <v>451</v>
      </c>
      <c r="C28" s="4" t="s">
        <v>452</v>
      </c>
      <c r="D28" s="4" t="s">
        <v>71</v>
      </c>
      <c r="E28" s="5">
        <v>6741</v>
      </c>
      <c r="F28" s="6">
        <v>63.4833675</v>
      </c>
      <c r="G28" s="7">
        <v>1.7680390000000001E-2</v>
      </c>
      <c r="H28" s="6"/>
    </row>
    <row r="29" spans="1:8" x14ac:dyDescent="0.2">
      <c r="A29" s="3">
        <v>23</v>
      </c>
      <c r="B29" s="4" t="s">
        <v>203</v>
      </c>
      <c r="C29" s="4" t="s">
        <v>204</v>
      </c>
      <c r="D29" s="4" t="s">
        <v>82</v>
      </c>
      <c r="E29" s="5">
        <v>10566</v>
      </c>
      <c r="F29" s="6">
        <v>62.566569000000001</v>
      </c>
      <c r="G29" s="7">
        <v>1.7425058E-2</v>
      </c>
      <c r="H29" s="6"/>
    </row>
    <row r="30" spans="1:8" ht="25.5" x14ac:dyDescent="0.2">
      <c r="A30" s="3">
        <v>24</v>
      </c>
      <c r="B30" s="4" t="s">
        <v>42</v>
      </c>
      <c r="C30" s="4" t="s">
        <v>43</v>
      </c>
      <c r="D30" s="4" t="s">
        <v>935</v>
      </c>
      <c r="E30" s="5">
        <v>2327</v>
      </c>
      <c r="F30" s="6">
        <v>61.598016999999999</v>
      </c>
      <c r="G30" s="7">
        <v>1.7155311999999999E-2</v>
      </c>
      <c r="H30" s="6"/>
    </row>
    <row r="31" spans="1:8" x14ac:dyDescent="0.2">
      <c r="A31" s="3">
        <v>25</v>
      </c>
      <c r="B31" s="4" t="s">
        <v>213</v>
      </c>
      <c r="C31" s="4" t="s">
        <v>214</v>
      </c>
      <c r="D31" s="4" t="s">
        <v>64</v>
      </c>
      <c r="E31" s="5">
        <v>70325</v>
      </c>
      <c r="F31" s="6">
        <v>60.795962500000002</v>
      </c>
      <c r="G31" s="7">
        <v>1.6931936000000002E-2</v>
      </c>
      <c r="H31" s="6"/>
    </row>
    <row r="32" spans="1:8" x14ac:dyDescent="0.2">
      <c r="A32" s="3">
        <v>26</v>
      </c>
      <c r="B32" s="4" t="s">
        <v>92</v>
      </c>
      <c r="C32" s="4" t="s">
        <v>93</v>
      </c>
      <c r="D32" s="4" t="s">
        <v>923</v>
      </c>
      <c r="E32" s="5">
        <v>13250</v>
      </c>
      <c r="F32" s="6">
        <v>60.393500000000003</v>
      </c>
      <c r="G32" s="7">
        <v>1.6819849000000001E-2</v>
      </c>
      <c r="H32" s="6"/>
    </row>
    <row r="33" spans="1:8" ht="25.5" x14ac:dyDescent="0.2">
      <c r="A33" s="3">
        <v>27</v>
      </c>
      <c r="B33" s="4" t="s">
        <v>221</v>
      </c>
      <c r="C33" s="4" t="s">
        <v>222</v>
      </c>
      <c r="D33" s="4" t="s">
        <v>945</v>
      </c>
      <c r="E33" s="5">
        <v>3496</v>
      </c>
      <c r="F33" s="6">
        <v>60.092744000000003</v>
      </c>
      <c r="G33" s="7">
        <v>1.6736087E-2</v>
      </c>
      <c r="H33" s="6"/>
    </row>
    <row r="34" spans="1:8" x14ac:dyDescent="0.2">
      <c r="A34" s="3">
        <v>28</v>
      </c>
      <c r="B34" s="4" t="s">
        <v>178</v>
      </c>
      <c r="C34" s="4" t="s">
        <v>179</v>
      </c>
      <c r="D34" s="4" t="s">
        <v>934</v>
      </c>
      <c r="E34" s="5">
        <v>4118</v>
      </c>
      <c r="F34" s="6">
        <v>58.895636000000003</v>
      </c>
      <c r="G34" s="7">
        <v>1.6402686999999999E-2</v>
      </c>
      <c r="H34" s="6"/>
    </row>
    <row r="35" spans="1:8" x14ac:dyDescent="0.2">
      <c r="A35" s="3">
        <v>29</v>
      </c>
      <c r="B35" s="4" t="s">
        <v>463</v>
      </c>
      <c r="C35" s="4" t="s">
        <v>464</v>
      </c>
      <c r="D35" s="4" t="s">
        <v>952</v>
      </c>
      <c r="E35" s="5">
        <v>6215</v>
      </c>
      <c r="F35" s="6">
        <v>58.293592500000003</v>
      </c>
      <c r="G35" s="7">
        <v>1.6235014999999998E-2</v>
      </c>
      <c r="H35" s="6"/>
    </row>
    <row r="36" spans="1:8" ht="25.5" x14ac:dyDescent="0.2">
      <c r="A36" s="3">
        <v>30</v>
      </c>
      <c r="B36" s="4" t="s">
        <v>449</v>
      </c>
      <c r="C36" s="4" t="s">
        <v>450</v>
      </c>
      <c r="D36" s="4" t="s">
        <v>936</v>
      </c>
      <c r="E36" s="5">
        <v>2999</v>
      </c>
      <c r="F36" s="6">
        <v>57.468337499999997</v>
      </c>
      <c r="G36" s="7">
        <v>1.6005177999999998E-2</v>
      </c>
      <c r="H36" s="6"/>
    </row>
    <row r="37" spans="1:8" ht="25.5" x14ac:dyDescent="0.2">
      <c r="A37" s="3">
        <v>31</v>
      </c>
      <c r="B37" s="4" t="s">
        <v>158</v>
      </c>
      <c r="C37" s="4" t="s">
        <v>159</v>
      </c>
      <c r="D37" s="4" t="s">
        <v>941</v>
      </c>
      <c r="E37" s="5">
        <v>7830</v>
      </c>
      <c r="F37" s="6">
        <v>55.518614999999997</v>
      </c>
      <c r="G37" s="7">
        <v>1.5462172E-2</v>
      </c>
      <c r="H37" s="6"/>
    </row>
    <row r="38" spans="1:8" x14ac:dyDescent="0.2">
      <c r="A38" s="3">
        <v>32</v>
      </c>
      <c r="B38" s="4" t="s">
        <v>265</v>
      </c>
      <c r="C38" s="4" t="s">
        <v>266</v>
      </c>
      <c r="D38" s="4" t="s">
        <v>942</v>
      </c>
      <c r="E38" s="5">
        <v>6040</v>
      </c>
      <c r="F38" s="6">
        <v>53.463059999999999</v>
      </c>
      <c r="G38" s="7">
        <v>1.4889691E-2</v>
      </c>
      <c r="H38" s="6"/>
    </row>
    <row r="39" spans="1:8" x14ac:dyDescent="0.2">
      <c r="A39" s="3">
        <v>33</v>
      </c>
      <c r="B39" s="4" t="s">
        <v>205</v>
      </c>
      <c r="C39" s="4" t="s">
        <v>206</v>
      </c>
      <c r="D39" s="4" t="s">
        <v>64</v>
      </c>
      <c r="E39" s="5">
        <v>14751</v>
      </c>
      <c r="F39" s="6">
        <v>53.096224499999998</v>
      </c>
      <c r="G39" s="7">
        <v>1.4787526E-2</v>
      </c>
      <c r="H39" s="6"/>
    </row>
    <row r="40" spans="1:8" ht="25.5" x14ac:dyDescent="0.2">
      <c r="A40" s="3">
        <v>34</v>
      </c>
      <c r="B40" s="4" t="s">
        <v>170</v>
      </c>
      <c r="C40" s="4" t="s">
        <v>171</v>
      </c>
      <c r="D40" s="4" t="s">
        <v>945</v>
      </c>
      <c r="E40" s="5">
        <v>13550</v>
      </c>
      <c r="F40" s="6">
        <v>51.544199999999996</v>
      </c>
      <c r="G40" s="7">
        <v>1.4355280999999999E-2</v>
      </c>
      <c r="H40" s="6"/>
    </row>
    <row r="41" spans="1:8" ht="25.5" x14ac:dyDescent="0.2">
      <c r="A41" s="3">
        <v>35</v>
      </c>
      <c r="B41" s="4" t="s">
        <v>162</v>
      </c>
      <c r="C41" s="4" t="s">
        <v>163</v>
      </c>
      <c r="D41" s="4" t="s">
        <v>943</v>
      </c>
      <c r="E41" s="5">
        <v>49629</v>
      </c>
      <c r="F41" s="6">
        <v>51.043426500000002</v>
      </c>
      <c r="G41" s="7">
        <v>1.4215813000000001E-2</v>
      </c>
      <c r="H41" s="6"/>
    </row>
    <row r="42" spans="1:8" ht="25.5" x14ac:dyDescent="0.2">
      <c r="A42" s="3">
        <v>36</v>
      </c>
      <c r="B42" s="4" t="s">
        <v>248</v>
      </c>
      <c r="C42" s="4" t="s">
        <v>249</v>
      </c>
      <c r="D42" s="4" t="s">
        <v>950</v>
      </c>
      <c r="E42" s="5">
        <v>9101</v>
      </c>
      <c r="F42" s="6">
        <v>48.321759499999999</v>
      </c>
      <c r="G42" s="7">
        <v>1.3457817E-2</v>
      </c>
      <c r="H42" s="6"/>
    </row>
    <row r="43" spans="1:8" x14ac:dyDescent="0.2">
      <c r="A43" s="3">
        <v>37</v>
      </c>
      <c r="B43" s="4" t="s">
        <v>461</v>
      </c>
      <c r="C43" s="4" t="s">
        <v>462</v>
      </c>
      <c r="D43" s="4" t="s">
        <v>82</v>
      </c>
      <c r="E43" s="5">
        <v>4638</v>
      </c>
      <c r="F43" s="6">
        <v>48.058956000000002</v>
      </c>
      <c r="G43" s="7">
        <v>1.3384625000000001E-2</v>
      </c>
      <c r="H43" s="6"/>
    </row>
    <row r="44" spans="1:8" x14ac:dyDescent="0.2">
      <c r="A44" s="3">
        <v>38</v>
      </c>
      <c r="B44" s="4" t="s">
        <v>225</v>
      </c>
      <c r="C44" s="4" t="s">
        <v>226</v>
      </c>
      <c r="D44" s="4" t="s">
        <v>951</v>
      </c>
      <c r="E44" s="5">
        <v>14444</v>
      </c>
      <c r="F44" s="6">
        <v>45.289161999999997</v>
      </c>
      <c r="G44" s="7">
        <v>1.2613226E-2</v>
      </c>
      <c r="H44" s="6"/>
    </row>
    <row r="45" spans="1:8" x14ac:dyDescent="0.2">
      <c r="A45" s="3">
        <v>39</v>
      </c>
      <c r="B45" s="4" t="s">
        <v>341</v>
      </c>
      <c r="C45" s="4" t="s">
        <v>342</v>
      </c>
      <c r="D45" s="4" t="s">
        <v>940</v>
      </c>
      <c r="E45" s="5">
        <v>1151</v>
      </c>
      <c r="F45" s="6">
        <v>43.873242500000003</v>
      </c>
      <c r="G45" s="7">
        <v>1.2218886E-2</v>
      </c>
      <c r="H45" s="6"/>
    </row>
    <row r="46" spans="1:8" x14ac:dyDescent="0.2">
      <c r="A46" s="3">
        <v>40</v>
      </c>
      <c r="B46" s="4" t="s">
        <v>160</v>
      </c>
      <c r="C46" s="4" t="s">
        <v>161</v>
      </c>
      <c r="D46" s="4" t="s">
        <v>942</v>
      </c>
      <c r="E46" s="5">
        <v>3553</v>
      </c>
      <c r="F46" s="6">
        <v>43.408777499999999</v>
      </c>
      <c r="G46" s="7">
        <v>1.2089531000000001E-2</v>
      </c>
      <c r="H46" s="6"/>
    </row>
    <row r="47" spans="1:8" ht="51" x14ac:dyDescent="0.2">
      <c r="A47" s="3">
        <v>41</v>
      </c>
      <c r="B47" s="4" t="s">
        <v>238</v>
      </c>
      <c r="C47" s="4" t="s">
        <v>239</v>
      </c>
      <c r="D47" s="4" t="s">
        <v>939</v>
      </c>
      <c r="E47" s="5">
        <v>17679</v>
      </c>
      <c r="F47" s="6">
        <v>42.403081499999999</v>
      </c>
      <c r="G47" s="7">
        <v>1.1809439999999999E-2</v>
      </c>
      <c r="H47" s="6"/>
    </row>
    <row r="48" spans="1:8" x14ac:dyDescent="0.2">
      <c r="A48" s="3">
        <v>42</v>
      </c>
      <c r="B48" s="4" t="s">
        <v>453</v>
      </c>
      <c r="C48" s="4" t="s">
        <v>454</v>
      </c>
      <c r="D48" s="4" t="s">
        <v>938</v>
      </c>
      <c r="E48" s="5">
        <v>5730</v>
      </c>
      <c r="F48" s="6">
        <v>40.264710000000001</v>
      </c>
      <c r="G48" s="7">
        <v>1.1213894E-2</v>
      </c>
      <c r="H48" s="6"/>
    </row>
    <row r="49" spans="1:8" x14ac:dyDescent="0.2">
      <c r="A49" s="3">
        <v>43</v>
      </c>
      <c r="B49" s="4" t="s">
        <v>269</v>
      </c>
      <c r="C49" s="4" t="s">
        <v>270</v>
      </c>
      <c r="D49" s="4" t="s">
        <v>26</v>
      </c>
      <c r="E49" s="5">
        <v>1901</v>
      </c>
      <c r="F49" s="6">
        <v>37.718691499999998</v>
      </c>
      <c r="G49" s="7">
        <v>1.0504817E-2</v>
      </c>
      <c r="H49" s="6"/>
    </row>
    <row r="50" spans="1:8" x14ac:dyDescent="0.2">
      <c r="A50" s="3">
        <v>44</v>
      </c>
      <c r="B50" s="4" t="s">
        <v>164</v>
      </c>
      <c r="C50" s="4" t="s">
        <v>165</v>
      </c>
      <c r="D50" s="4" t="s">
        <v>944</v>
      </c>
      <c r="E50" s="5">
        <v>7638</v>
      </c>
      <c r="F50" s="6">
        <v>36.406526999999997</v>
      </c>
      <c r="G50" s="7">
        <v>1.0139374E-2</v>
      </c>
      <c r="H50" s="6"/>
    </row>
    <row r="51" spans="1:8" x14ac:dyDescent="0.2">
      <c r="A51" s="3">
        <v>45</v>
      </c>
      <c r="B51" s="4" t="s">
        <v>271</v>
      </c>
      <c r="C51" s="4" t="s">
        <v>272</v>
      </c>
      <c r="D51" s="4" t="s">
        <v>940</v>
      </c>
      <c r="E51" s="5">
        <v>5643</v>
      </c>
      <c r="F51" s="6">
        <v>35.201034</v>
      </c>
      <c r="G51" s="7">
        <v>9.8036389999999994E-3</v>
      </c>
      <c r="H51" s="6"/>
    </row>
    <row r="52" spans="1:8" ht="25.5" x14ac:dyDescent="0.2">
      <c r="A52" s="3">
        <v>46</v>
      </c>
      <c r="B52" s="4" t="s">
        <v>184</v>
      </c>
      <c r="C52" s="4" t="s">
        <v>185</v>
      </c>
      <c r="D52" s="4" t="s">
        <v>935</v>
      </c>
      <c r="E52" s="5">
        <v>17243</v>
      </c>
      <c r="F52" s="6">
        <v>34.744644999999998</v>
      </c>
      <c r="G52" s="7">
        <v>9.6765329999999993E-3</v>
      </c>
      <c r="H52" s="6"/>
    </row>
    <row r="53" spans="1:8" x14ac:dyDescent="0.2">
      <c r="A53" s="3">
        <v>47</v>
      </c>
      <c r="B53" s="4" t="s">
        <v>227</v>
      </c>
      <c r="C53" s="4" t="s">
        <v>228</v>
      </c>
      <c r="D53" s="4" t="s">
        <v>26</v>
      </c>
      <c r="E53" s="5">
        <v>3361</v>
      </c>
      <c r="F53" s="6">
        <v>34.083900999999997</v>
      </c>
      <c r="G53" s="7">
        <v>9.4925129999999993E-3</v>
      </c>
      <c r="H53" s="6"/>
    </row>
    <row r="54" spans="1:8" x14ac:dyDescent="0.2">
      <c r="A54" s="3">
        <v>48</v>
      </c>
      <c r="B54" s="4" t="s">
        <v>267</v>
      </c>
      <c r="C54" s="4" t="s">
        <v>268</v>
      </c>
      <c r="D54" s="4" t="s">
        <v>82</v>
      </c>
      <c r="E54" s="5">
        <v>59081</v>
      </c>
      <c r="F54" s="6">
        <v>33.735250999999998</v>
      </c>
      <c r="G54" s="7">
        <v>9.3954120000000006E-3</v>
      </c>
      <c r="H54" s="6"/>
    </row>
    <row r="55" spans="1:8" ht="25.5" x14ac:dyDescent="0.2">
      <c r="A55" s="3">
        <v>49</v>
      </c>
      <c r="B55" s="4" t="s">
        <v>469</v>
      </c>
      <c r="C55" s="4" t="s">
        <v>470</v>
      </c>
      <c r="D55" s="4" t="s">
        <v>945</v>
      </c>
      <c r="E55" s="5">
        <v>7830</v>
      </c>
      <c r="F55" s="6">
        <v>31.163399999999999</v>
      </c>
      <c r="G55" s="7">
        <v>8.6791400000000001E-3</v>
      </c>
      <c r="H55" s="6"/>
    </row>
    <row r="56" spans="1:8" x14ac:dyDescent="0.2">
      <c r="A56" s="3">
        <v>50</v>
      </c>
      <c r="B56" s="4" t="s">
        <v>246</v>
      </c>
      <c r="C56" s="4" t="s">
        <v>247</v>
      </c>
      <c r="D56" s="4" t="s">
        <v>91</v>
      </c>
      <c r="E56" s="5">
        <v>3908</v>
      </c>
      <c r="F56" s="6">
        <v>30.701248</v>
      </c>
      <c r="G56" s="7">
        <v>8.550429E-3</v>
      </c>
      <c r="H56" s="6"/>
    </row>
    <row r="57" spans="1:8" x14ac:dyDescent="0.2">
      <c r="A57" s="3">
        <v>51</v>
      </c>
      <c r="B57" s="4" t="s">
        <v>457</v>
      </c>
      <c r="C57" s="4" t="s">
        <v>458</v>
      </c>
      <c r="D57" s="4" t="s">
        <v>26</v>
      </c>
      <c r="E57" s="5">
        <v>3895</v>
      </c>
      <c r="F57" s="6">
        <v>29.868807499999999</v>
      </c>
      <c r="G57" s="7">
        <v>8.3185910000000002E-3</v>
      </c>
      <c r="H57" s="6"/>
    </row>
    <row r="58" spans="1:8" ht="25.5" x14ac:dyDescent="0.2">
      <c r="A58" s="3">
        <v>52</v>
      </c>
      <c r="B58" s="4" t="s">
        <v>188</v>
      </c>
      <c r="C58" s="4" t="s">
        <v>189</v>
      </c>
      <c r="D58" s="4" t="s">
        <v>945</v>
      </c>
      <c r="E58" s="5">
        <v>596</v>
      </c>
      <c r="F58" s="6">
        <v>26.443625999999998</v>
      </c>
      <c r="G58" s="7">
        <v>7.3646629999999996E-3</v>
      </c>
      <c r="H58" s="6"/>
    </row>
    <row r="59" spans="1:8" x14ac:dyDescent="0.2">
      <c r="A59" s="3">
        <v>53</v>
      </c>
      <c r="B59" s="4" t="s">
        <v>174</v>
      </c>
      <c r="C59" s="4" t="s">
        <v>175</v>
      </c>
      <c r="D59" s="4" t="s">
        <v>71</v>
      </c>
      <c r="E59" s="5">
        <v>4052</v>
      </c>
      <c r="F59" s="6">
        <v>25.718043999999999</v>
      </c>
      <c r="G59" s="7">
        <v>7.162585E-3</v>
      </c>
      <c r="H59" s="6"/>
    </row>
    <row r="60" spans="1:8" x14ac:dyDescent="0.2">
      <c r="A60" s="3">
        <v>54</v>
      </c>
      <c r="B60" s="4" t="s">
        <v>234</v>
      </c>
      <c r="C60" s="4" t="s">
        <v>235</v>
      </c>
      <c r="D60" s="4" t="s">
        <v>952</v>
      </c>
      <c r="E60" s="5">
        <v>15875</v>
      </c>
      <c r="F60" s="6">
        <v>23.510874999999999</v>
      </c>
      <c r="G60" s="7">
        <v>6.5478790000000004E-3</v>
      </c>
      <c r="H60" s="6"/>
    </row>
    <row r="61" spans="1:8" ht="25.5" x14ac:dyDescent="0.2">
      <c r="A61" s="3">
        <v>55</v>
      </c>
      <c r="B61" s="4" t="s">
        <v>258</v>
      </c>
      <c r="C61" s="4" t="s">
        <v>259</v>
      </c>
      <c r="D61" s="4" t="s">
        <v>946</v>
      </c>
      <c r="E61" s="5">
        <v>2348</v>
      </c>
      <c r="F61" s="6">
        <v>20.896025999999999</v>
      </c>
      <c r="G61" s="7">
        <v>5.8196330000000003E-3</v>
      </c>
      <c r="H61" s="6"/>
    </row>
    <row r="62" spans="1:8" x14ac:dyDescent="0.2">
      <c r="A62" s="3">
        <v>56</v>
      </c>
      <c r="B62" s="4" t="s">
        <v>176</v>
      </c>
      <c r="C62" s="4" t="s">
        <v>177</v>
      </c>
      <c r="D62" s="4" t="s">
        <v>944</v>
      </c>
      <c r="E62" s="5">
        <v>18314</v>
      </c>
      <c r="F62" s="6">
        <v>18.588709999999999</v>
      </c>
      <c r="G62" s="7">
        <v>5.177035E-3</v>
      </c>
      <c r="H62" s="6"/>
    </row>
    <row r="63" spans="1:8" x14ac:dyDescent="0.2">
      <c r="A63" s="3">
        <v>57</v>
      </c>
      <c r="B63" s="4" t="s">
        <v>279</v>
      </c>
      <c r="C63" s="4" t="s">
        <v>280</v>
      </c>
      <c r="D63" s="4" t="s">
        <v>18</v>
      </c>
      <c r="E63" s="5">
        <v>8216</v>
      </c>
      <c r="F63" s="6">
        <v>17.598672000000001</v>
      </c>
      <c r="G63" s="7">
        <v>4.9013060000000002E-3</v>
      </c>
      <c r="H63" s="6"/>
    </row>
    <row r="64" spans="1:8" x14ac:dyDescent="0.2">
      <c r="A64" s="3">
        <v>58</v>
      </c>
      <c r="B64" s="4" t="s">
        <v>106</v>
      </c>
      <c r="C64" s="4" t="s">
        <v>107</v>
      </c>
      <c r="D64" s="4" t="s">
        <v>923</v>
      </c>
      <c r="E64" s="5">
        <v>22875</v>
      </c>
      <c r="F64" s="6">
        <v>17.362124999999999</v>
      </c>
      <c r="G64" s="7">
        <v>4.8354260000000003E-3</v>
      </c>
      <c r="H64" s="6"/>
    </row>
    <row r="65" spans="1:8" x14ac:dyDescent="0.2">
      <c r="A65" s="3">
        <v>59</v>
      </c>
      <c r="B65" s="4" t="s">
        <v>250</v>
      </c>
      <c r="C65" s="4" t="s">
        <v>251</v>
      </c>
      <c r="D65" s="4" t="s">
        <v>302</v>
      </c>
      <c r="E65" s="5">
        <v>2232</v>
      </c>
      <c r="F65" s="6">
        <v>14.504652</v>
      </c>
      <c r="G65" s="7">
        <v>4.0396080000000001E-3</v>
      </c>
      <c r="H65" s="6"/>
    </row>
    <row r="66" spans="1:8" ht="14.1" customHeight="1" x14ac:dyDescent="0.2">
      <c r="A66" s="1"/>
      <c r="B66" s="1"/>
      <c r="C66" s="2" t="s">
        <v>111</v>
      </c>
      <c r="D66" s="1"/>
      <c r="E66" s="1" t="s">
        <v>112</v>
      </c>
      <c r="F66" s="9">
        <v>3519.7718565</v>
      </c>
      <c r="G66" s="10">
        <v>0.98027154999999999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113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111</v>
      </c>
      <c r="D69" s="1"/>
      <c r="E69" s="1" t="s">
        <v>112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114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115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116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117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8" customHeight="1" x14ac:dyDescent="0.2">
      <c r="A83" s="1"/>
      <c r="B83" s="1"/>
      <c r="C83" s="2" t="s">
        <v>118</v>
      </c>
      <c r="D83" s="1"/>
      <c r="E83" s="1"/>
      <c r="F83" s="9">
        <v>3519.7718565</v>
      </c>
      <c r="G83" s="10">
        <v>0.98027154999999999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119</v>
      </c>
      <c r="D85" s="1"/>
      <c r="E85" s="1"/>
      <c r="F85" s="12"/>
      <c r="G85" s="12"/>
      <c r="H85" s="6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120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121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122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123</v>
      </c>
      <c r="D98" s="1"/>
      <c r="E98" s="1"/>
      <c r="F98" s="9">
        <v>0</v>
      </c>
      <c r="G98" s="10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124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125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126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127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128</v>
      </c>
      <c r="D110" s="1"/>
      <c r="E110" s="1"/>
      <c r="F110" s="12"/>
      <c r="G110" s="12"/>
      <c r="H110" s="6"/>
    </row>
    <row r="111" spans="1:8" ht="17.100000000000001" customHeight="1" x14ac:dyDescent="0.2">
      <c r="A111" s="3">
        <v>1</v>
      </c>
      <c r="B111" s="4"/>
      <c r="C111" s="4" t="s">
        <v>129</v>
      </c>
      <c r="D111" s="4"/>
      <c r="E111" s="8"/>
      <c r="F111" s="6">
        <v>92.853073699999996</v>
      </c>
      <c r="G111" s="7">
        <v>2.5859979000000002E-2</v>
      </c>
      <c r="H111" s="6">
        <v>3.9343919198424624</v>
      </c>
    </row>
    <row r="112" spans="1:8" ht="17.100000000000001" customHeight="1" x14ac:dyDescent="0.2">
      <c r="A112" s="3">
        <v>2</v>
      </c>
      <c r="B112" s="4"/>
      <c r="C112" s="4" t="s">
        <v>130</v>
      </c>
      <c r="D112" s="4"/>
      <c r="E112" s="8"/>
      <c r="F112" s="6">
        <v>6.0985347000000001</v>
      </c>
      <c r="G112" s="7">
        <v>1.6984680000000001E-3</v>
      </c>
      <c r="H112" s="6">
        <v>3.8</v>
      </c>
    </row>
    <row r="113" spans="1:8" ht="14.1" customHeight="1" x14ac:dyDescent="0.2">
      <c r="A113" s="1"/>
      <c r="B113" s="1"/>
      <c r="C113" s="2" t="s">
        <v>111</v>
      </c>
      <c r="D113" s="1"/>
      <c r="E113" s="1" t="s">
        <v>112</v>
      </c>
      <c r="F113" s="9">
        <v>98.951608399999998</v>
      </c>
      <c r="G113" s="10">
        <v>2.7558447E-2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131</v>
      </c>
      <c r="D115" s="1"/>
      <c r="E115" s="1"/>
      <c r="F115" s="9">
        <v>98.951608399999998</v>
      </c>
      <c r="G115" s="10">
        <v>2.7558447E-2</v>
      </c>
      <c r="H115" s="6"/>
    </row>
    <row r="116" spans="1:8" ht="14.1" customHeight="1" x14ac:dyDescent="0.2">
      <c r="A116" s="1"/>
      <c r="B116" s="1"/>
      <c r="C116" s="12"/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132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133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134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135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136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111</v>
      </c>
      <c r="D127" s="1"/>
      <c r="E127" s="1" t="s">
        <v>112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4"/>
      <c r="C129" s="4"/>
      <c r="D129" s="2"/>
      <c r="E129" s="1"/>
      <c r="F129" s="4"/>
      <c r="G129" s="8"/>
      <c r="H129" s="6"/>
    </row>
    <row r="130" spans="1:8" ht="18" customHeight="1" x14ac:dyDescent="0.2">
      <c r="A130" s="8"/>
      <c r="B130" s="4"/>
      <c r="C130" s="4" t="s">
        <v>137</v>
      </c>
      <c r="D130" s="4"/>
      <c r="E130" s="8"/>
      <c r="F130" s="6">
        <v>-28.114458819999999</v>
      </c>
      <c r="G130" s="7">
        <v>-7.829997E-3</v>
      </c>
      <c r="H130" s="6"/>
    </row>
    <row r="131" spans="1:8" ht="14.1" customHeight="1" x14ac:dyDescent="0.2">
      <c r="A131" s="11"/>
      <c r="B131" s="11"/>
      <c r="C131" s="2" t="s">
        <v>138</v>
      </c>
      <c r="D131" s="15"/>
      <c r="E131" s="15"/>
      <c r="F131" s="9">
        <v>3590.6090060800002</v>
      </c>
      <c r="G131" s="10">
        <v>1</v>
      </c>
      <c r="H131" s="6"/>
    </row>
    <row r="132" spans="1:8" ht="14.1" customHeight="1" x14ac:dyDescent="0.2">
      <c r="A132" s="18"/>
      <c r="B132" s="297" t="s">
        <v>112</v>
      </c>
      <c r="C132" s="297"/>
      <c r="D132" s="297"/>
      <c r="E132" s="297"/>
      <c r="F132" s="297"/>
      <c r="G132" s="20"/>
    </row>
    <row r="133" spans="1:8" ht="14.1" customHeight="1" x14ac:dyDescent="0.2">
      <c r="A133" s="18"/>
      <c r="B133" s="18"/>
      <c r="C133" s="18"/>
      <c r="D133" s="20"/>
      <c r="E133" s="20"/>
      <c r="F133" s="20"/>
      <c r="G133" s="20"/>
    </row>
    <row r="134" spans="1:8" ht="14.1" customHeight="1" x14ac:dyDescent="0.2">
      <c r="A134" s="18"/>
      <c r="B134" s="294" t="s">
        <v>140</v>
      </c>
      <c r="C134" s="295"/>
      <c r="D134" s="12" t="s">
        <v>112</v>
      </c>
      <c r="E134" s="21"/>
      <c r="F134" s="20"/>
      <c r="G134" s="20"/>
    </row>
    <row r="135" spans="1:8" ht="29.1" customHeight="1" x14ac:dyDescent="0.2">
      <c r="A135" s="18"/>
      <c r="B135" s="288" t="s">
        <v>141</v>
      </c>
      <c r="C135" s="289"/>
      <c r="D135" s="2" t="s">
        <v>142</v>
      </c>
      <c r="E135" s="21"/>
      <c r="F135" s="20"/>
      <c r="G135" s="20"/>
    </row>
    <row r="136" spans="1:8" ht="17.100000000000001" customHeight="1" x14ac:dyDescent="0.2">
      <c r="A136" s="18"/>
      <c r="B136" s="288" t="s">
        <v>143</v>
      </c>
      <c r="C136" s="289"/>
      <c r="D136" s="2" t="s">
        <v>142</v>
      </c>
      <c r="E136" s="21"/>
      <c r="F136" s="20"/>
      <c r="G136" s="20"/>
    </row>
    <row r="137" spans="1:8" ht="17.100000000000001" customHeight="1" x14ac:dyDescent="0.2">
      <c r="A137" s="18"/>
      <c r="B137" s="288" t="s">
        <v>144</v>
      </c>
      <c r="C137" s="289"/>
      <c r="D137" s="12" t="s">
        <v>112</v>
      </c>
      <c r="E137" s="21"/>
      <c r="F137" s="20"/>
      <c r="G137" s="20"/>
    </row>
    <row r="138" spans="1:8" ht="24" customHeight="1" x14ac:dyDescent="0.2">
      <c r="A138" s="22"/>
      <c r="B138" s="23" t="s">
        <v>112</v>
      </c>
      <c r="C138" s="23" t="s">
        <v>145</v>
      </c>
      <c r="D138" s="23" t="s">
        <v>146</v>
      </c>
      <c r="E138" s="22"/>
      <c r="F138" s="22"/>
      <c r="G138" s="22"/>
    </row>
    <row r="139" spans="1:8" ht="18" customHeight="1" x14ac:dyDescent="0.2">
      <c r="A139" s="22"/>
      <c r="B139" s="23" t="s">
        <v>147</v>
      </c>
      <c r="C139" s="23" t="s">
        <v>148</v>
      </c>
      <c r="D139" s="23" t="s">
        <v>149</v>
      </c>
      <c r="E139" s="22"/>
      <c r="F139" s="22"/>
      <c r="G139" s="22"/>
    </row>
    <row r="140" spans="1:8" ht="17.100000000000001" customHeight="1" x14ac:dyDescent="0.2">
      <c r="A140" s="22"/>
      <c r="B140" s="4" t="s">
        <v>150</v>
      </c>
      <c r="C140" s="24">
        <v>15.937900000000001</v>
      </c>
      <c r="D140" s="24">
        <v>16.049299999999999</v>
      </c>
      <c r="E140" s="22"/>
      <c r="F140" s="19"/>
      <c r="G140" s="25"/>
    </row>
    <row r="141" spans="1:8" ht="17.100000000000001" customHeight="1" x14ac:dyDescent="0.2">
      <c r="A141" s="22"/>
      <c r="B141" s="4" t="s">
        <v>1114</v>
      </c>
      <c r="C141" s="24">
        <v>15.937900000000001</v>
      </c>
      <c r="D141" s="24">
        <v>16.049299999999999</v>
      </c>
      <c r="E141" s="22"/>
      <c r="F141" s="19"/>
      <c r="G141" s="25"/>
    </row>
    <row r="142" spans="1:8" ht="17.100000000000001" customHeight="1" x14ac:dyDescent="0.2">
      <c r="A142" s="22"/>
      <c r="B142" s="4" t="s">
        <v>151</v>
      </c>
      <c r="C142" s="24">
        <v>15.5418</v>
      </c>
      <c r="D142" s="24">
        <v>15.645300000000001</v>
      </c>
      <c r="E142" s="22"/>
      <c r="F142" s="19"/>
      <c r="G142" s="25"/>
    </row>
    <row r="143" spans="1:8" ht="17.100000000000001" customHeight="1" x14ac:dyDescent="0.2">
      <c r="A143" s="22"/>
      <c r="B143" s="4" t="s">
        <v>1115</v>
      </c>
      <c r="C143" s="24">
        <v>15.5419</v>
      </c>
      <c r="D143" s="24">
        <v>15.6454</v>
      </c>
      <c r="E143" s="22"/>
      <c r="F143" s="19"/>
      <c r="G143" s="25"/>
    </row>
    <row r="144" spans="1:8" ht="14.1" customHeight="1" x14ac:dyDescent="0.2">
      <c r="A144" s="22"/>
      <c r="B144" s="22"/>
      <c r="C144" s="22"/>
      <c r="D144" s="22"/>
      <c r="E144" s="22"/>
      <c r="F144" s="22"/>
      <c r="G144" s="22"/>
    </row>
    <row r="145" spans="1:15" ht="17.100000000000001" customHeight="1" x14ac:dyDescent="0.2">
      <c r="A145" s="22"/>
      <c r="B145" s="288" t="s">
        <v>1116</v>
      </c>
      <c r="C145" s="289"/>
      <c r="D145" s="2" t="s">
        <v>142</v>
      </c>
      <c r="E145" s="22"/>
      <c r="F145" s="22"/>
      <c r="G145" s="22"/>
    </row>
    <row r="146" spans="1:15" ht="14.1" customHeight="1" x14ac:dyDescent="0.2">
      <c r="A146" s="22"/>
      <c r="B146" s="19"/>
      <c r="C146" s="19"/>
      <c r="D146" s="22"/>
      <c r="E146" s="22"/>
      <c r="F146" s="22"/>
      <c r="G146" s="22"/>
    </row>
    <row r="147" spans="1:15" ht="29.1" customHeight="1" x14ac:dyDescent="0.2">
      <c r="A147" s="22"/>
      <c r="B147" s="288" t="s">
        <v>153</v>
      </c>
      <c r="C147" s="289"/>
      <c r="D147" s="2" t="s">
        <v>142</v>
      </c>
      <c r="E147" s="22"/>
      <c r="F147" s="22"/>
      <c r="G147" s="22"/>
    </row>
    <row r="148" spans="1:15" ht="29.1" customHeight="1" x14ac:dyDescent="0.2">
      <c r="A148" s="22"/>
      <c r="B148" s="288" t="s">
        <v>154</v>
      </c>
      <c r="C148" s="289"/>
      <c r="D148" s="2" t="s">
        <v>142</v>
      </c>
      <c r="E148" s="22"/>
      <c r="F148" s="22"/>
      <c r="G148" s="22"/>
    </row>
    <row r="149" spans="1:15" ht="17.100000000000001" customHeight="1" x14ac:dyDescent="0.2">
      <c r="A149" s="22"/>
      <c r="B149" s="288" t="s">
        <v>155</v>
      </c>
      <c r="C149" s="289"/>
      <c r="D149" s="26">
        <v>0.22789007695548419</v>
      </c>
      <c r="E149" s="22"/>
      <c r="F149" s="19"/>
      <c r="G149" s="25"/>
    </row>
    <row r="150" spans="1:15" ht="17.100000000000001" customHeight="1" x14ac:dyDescent="0.2">
      <c r="A150" s="22"/>
      <c r="B150" s="288" t="s">
        <v>156</v>
      </c>
      <c r="C150" s="289"/>
      <c r="D150" s="2" t="s">
        <v>142</v>
      </c>
      <c r="E150" s="22"/>
      <c r="F150" s="22"/>
      <c r="G150" s="22"/>
    </row>
    <row r="155" spans="1:15" x14ac:dyDescent="0.2">
      <c r="J155" s="66"/>
      <c r="K155" s="66"/>
      <c r="L155" s="66"/>
      <c r="M155" s="66"/>
      <c r="N155" s="66"/>
      <c r="O155" s="66"/>
    </row>
  </sheetData>
  <mergeCells count="14">
    <mergeCell ref="A1:H1"/>
    <mergeCell ref="A2:H2"/>
    <mergeCell ref="A3:H3"/>
    <mergeCell ref="B134:C134"/>
    <mergeCell ref="J2:N2"/>
    <mergeCell ref="B132:F132"/>
    <mergeCell ref="B149:C149"/>
    <mergeCell ref="B150:C150"/>
    <mergeCell ref="B135:C135"/>
    <mergeCell ref="B136:C136"/>
    <mergeCell ref="B137:C137"/>
    <mergeCell ref="B145:C145"/>
    <mergeCell ref="B147:C147"/>
    <mergeCell ref="B148:C14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488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191</v>
      </c>
      <c r="C7" s="4" t="s">
        <v>192</v>
      </c>
      <c r="D7" s="4" t="s">
        <v>26</v>
      </c>
      <c r="E7" s="5">
        <v>6774</v>
      </c>
      <c r="F7" s="6">
        <v>81.775728000000001</v>
      </c>
      <c r="G7" s="7">
        <v>3.5769139999999998E-2</v>
      </c>
      <c r="H7" s="6"/>
    </row>
    <row r="8" spans="1:14" x14ac:dyDescent="0.2">
      <c r="A8" s="3">
        <v>2</v>
      </c>
      <c r="B8" s="4" t="s">
        <v>36</v>
      </c>
      <c r="C8" s="4" t="s">
        <v>37</v>
      </c>
      <c r="D8" s="4" t="s">
        <v>26</v>
      </c>
      <c r="E8" s="5">
        <v>5966</v>
      </c>
      <c r="F8" s="6">
        <v>79.640134000000003</v>
      </c>
      <c r="G8" s="7">
        <v>3.4835019000000002E-2</v>
      </c>
      <c r="H8" s="6"/>
    </row>
    <row r="9" spans="1:14" x14ac:dyDescent="0.2">
      <c r="A9" s="3">
        <v>3</v>
      </c>
      <c r="B9" s="4" t="s">
        <v>195</v>
      </c>
      <c r="C9" s="4" t="s">
        <v>196</v>
      </c>
      <c r="D9" s="4" t="s">
        <v>71</v>
      </c>
      <c r="E9" s="5">
        <v>11929</v>
      </c>
      <c r="F9" s="6">
        <v>75.7670435</v>
      </c>
      <c r="G9" s="7">
        <v>3.3140909000000003E-2</v>
      </c>
      <c r="H9" s="6"/>
    </row>
    <row r="10" spans="1:14" x14ac:dyDescent="0.2">
      <c r="A10" s="3">
        <v>4</v>
      </c>
      <c r="B10" s="4" t="s">
        <v>69</v>
      </c>
      <c r="C10" s="4" t="s">
        <v>70</v>
      </c>
      <c r="D10" s="4" t="s">
        <v>71</v>
      </c>
      <c r="E10" s="5">
        <v>12315</v>
      </c>
      <c r="F10" s="6">
        <v>74.548852499999995</v>
      </c>
      <c r="G10" s="7">
        <v>3.2608065999999998E-2</v>
      </c>
      <c r="H10" s="6"/>
    </row>
    <row r="11" spans="1:14" x14ac:dyDescent="0.2">
      <c r="A11" s="3">
        <v>5</v>
      </c>
      <c r="B11" s="4" t="s">
        <v>229</v>
      </c>
      <c r="C11" s="4" t="s">
        <v>230</v>
      </c>
      <c r="D11" s="4" t="s">
        <v>26</v>
      </c>
      <c r="E11" s="5">
        <v>8079</v>
      </c>
      <c r="F11" s="6">
        <v>72.048522000000006</v>
      </c>
      <c r="G11" s="7">
        <v>3.1514408000000001E-2</v>
      </c>
      <c r="H11" s="6"/>
    </row>
    <row r="12" spans="1:14" ht="25.5" x14ac:dyDescent="0.2">
      <c r="A12" s="3">
        <v>6</v>
      </c>
      <c r="B12" s="4" t="s">
        <v>217</v>
      </c>
      <c r="C12" s="4" t="s">
        <v>218</v>
      </c>
      <c r="D12" s="4" t="s">
        <v>946</v>
      </c>
      <c r="E12" s="5">
        <v>1808</v>
      </c>
      <c r="F12" s="6">
        <v>71.086944000000003</v>
      </c>
      <c r="G12" s="7">
        <v>3.1093808000000001E-2</v>
      </c>
      <c r="H12" s="6"/>
    </row>
    <row r="13" spans="1:14" x14ac:dyDescent="0.2">
      <c r="A13" s="3">
        <v>7</v>
      </c>
      <c r="B13" s="4" t="s">
        <v>261</v>
      </c>
      <c r="C13" s="4" t="s">
        <v>262</v>
      </c>
      <c r="D13" s="4" t="s">
        <v>955</v>
      </c>
      <c r="E13" s="5">
        <v>35443</v>
      </c>
      <c r="F13" s="6">
        <v>70.141696999999994</v>
      </c>
      <c r="G13" s="7">
        <v>3.0680352000000001E-2</v>
      </c>
      <c r="H13" s="6"/>
    </row>
    <row r="14" spans="1:14" ht="25.5" x14ac:dyDescent="0.2">
      <c r="A14" s="3">
        <v>8</v>
      </c>
      <c r="B14" s="4" t="s">
        <v>313</v>
      </c>
      <c r="C14" s="4" t="s">
        <v>314</v>
      </c>
      <c r="D14" s="4" t="s">
        <v>71</v>
      </c>
      <c r="E14" s="5">
        <v>17793</v>
      </c>
      <c r="F14" s="6">
        <v>68.467464000000007</v>
      </c>
      <c r="G14" s="7">
        <v>2.9948033999999998E-2</v>
      </c>
      <c r="H14" s="6"/>
    </row>
    <row r="15" spans="1:14" x14ac:dyDescent="0.2">
      <c r="A15" s="3">
        <v>9</v>
      </c>
      <c r="B15" s="4" t="s">
        <v>166</v>
      </c>
      <c r="C15" s="4" t="s">
        <v>167</v>
      </c>
      <c r="D15" s="4" t="s">
        <v>82</v>
      </c>
      <c r="E15" s="5">
        <v>59758</v>
      </c>
      <c r="F15" s="6">
        <v>66.689927999999995</v>
      </c>
      <c r="G15" s="7">
        <v>2.917053E-2</v>
      </c>
      <c r="H15" s="6"/>
    </row>
    <row r="16" spans="1:14" ht="15" x14ac:dyDescent="0.2">
      <c r="A16" s="3">
        <v>10</v>
      </c>
      <c r="B16" s="4" t="s">
        <v>263</v>
      </c>
      <c r="C16" s="4" t="s">
        <v>264</v>
      </c>
      <c r="D16" s="4" t="s">
        <v>26</v>
      </c>
      <c r="E16" s="5">
        <v>8948</v>
      </c>
      <c r="F16" s="6">
        <v>60.407947999999998</v>
      </c>
      <c r="G16" s="7">
        <v>2.6422759000000001E-2</v>
      </c>
      <c r="H16" s="6"/>
      <c r="J16" s="192" t="s">
        <v>1145</v>
      </c>
    </row>
    <row r="17" spans="1:8" x14ac:dyDescent="0.2">
      <c r="A17" s="3">
        <v>11</v>
      </c>
      <c r="B17" s="4" t="s">
        <v>236</v>
      </c>
      <c r="C17" s="4" t="s">
        <v>237</v>
      </c>
      <c r="D17" s="4" t="s">
        <v>947</v>
      </c>
      <c r="E17" s="5">
        <v>1308</v>
      </c>
      <c r="F17" s="6">
        <v>56.514102000000001</v>
      </c>
      <c r="G17" s="7">
        <v>2.471957E-2</v>
      </c>
      <c r="H17" s="6"/>
    </row>
    <row r="18" spans="1:8" x14ac:dyDescent="0.2">
      <c r="A18" s="3">
        <v>12</v>
      </c>
      <c r="B18" s="4" t="s">
        <v>207</v>
      </c>
      <c r="C18" s="4" t="s">
        <v>208</v>
      </c>
      <c r="D18" s="4" t="s">
        <v>948</v>
      </c>
      <c r="E18" s="5">
        <v>10907</v>
      </c>
      <c r="F18" s="6">
        <v>54.665883999999998</v>
      </c>
      <c r="G18" s="7">
        <v>2.3911149E-2</v>
      </c>
      <c r="H18" s="6"/>
    </row>
    <row r="19" spans="1:8" x14ac:dyDescent="0.2">
      <c r="A19" s="3">
        <v>13</v>
      </c>
      <c r="B19" s="4" t="s">
        <v>193</v>
      </c>
      <c r="C19" s="4" t="s">
        <v>194</v>
      </c>
      <c r="D19" s="4" t="s">
        <v>947</v>
      </c>
      <c r="E19" s="5">
        <v>8856</v>
      </c>
      <c r="F19" s="6">
        <v>49.048955999999997</v>
      </c>
      <c r="G19" s="7">
        <v>2.1454274999999998E-2</v>
      </c>
      <c r="H19" s="6"/>
    </row>
    <row r="20" spans="1:8" x14ac:dyDescent="0.2">
      <c r="A20" s="3">
        <v>14</v>
      </c>
      <c r="B20" s="4" t="s">
        <v>201</v>
      </c>
      <c r="C20" s="4" t="s">
        <v>202</v>
      </c>
      <c r="D20" s="4" t="s">
        <v>923</v>
      </c>
      <c r="E20" s="5">
        <v>4329</v>
      </c>
      <c r="F20" s="6">
        <v>47.032420500000001</v>
      </c>
      <c r="G20" s="7">
        <v>2.0572231999999999E-2</v>
      </c>
      <c r="H20" s="6"/>
    </row>
    <row r="21" spans="1:8" x14ac:dyDescent="0.2">
      <c r="A21" s="3">
        <v>15</v>
      </c>
      <c r="B21" s="4" t="s">
        <v>209</v>
      </c>
      <c r="C21" s="4" t="s">
        <v>210</v>
      </c>
      <c r="D21" s="4" t="s">
        <v>934</v>
      </c>
      <c r="E21" s="5">
        <v>2381</v>
      </c>
      <c r="F21" s="6">
        <v>46.410451999999999</v>
      </c>
      <c r="G21" s="7">
        <v>2.0300179000000002E-2</v>
      </c>
      <c r="H21" s="6"/>
    </row>
    <row r="22" spans="1:8" x14ac:dyDescent="0.2">
      <c r="A22" s="3">
        <v>16</v>
      </c>
      <c r="B22" s="4" t="s">
        <v>168</v>
      </c>
      <c r="C22" s="4" t="s">
        <v>169</v>
      </c>
      <c r="D22" s="4" t="s">
        <v>944</v>
      </c>
      <c r="E22" s="5">
        <v>3450</v>
      </c>
      <c r="F22" s="6">
        <v>45.797024999999998</v>
      </c>
      <c r="G22" s="7">
        <v>2.0031863E-2</v>
      </c>
      <c r="H22" s="6"/>
    </row>
    <row r="23" spans="1:8" x14ac:dyDescent="0.2">
      <c r="A23" s="3">
        <v>17</v>
      </c>
      <c r="B23" s="4" t="s">
        <v>231</v>
      </c>
      <c r="C23" s="4" t="s">
        <v>232</v>
      </c>
      <c r="D23" s="4" t="s">
        <v>233</v>
      </c>
      <c r="E23" s="5">
        <v>15930</v>
      </c>
      <c r="F23" s="6">
        <v>44.898705</v>
      </c>
      <c r="G23" s="7">
        <v>1.9638933000000001E-2</v>
      </c>
      <c r="H23" s="6"/>
    </row>
    <row r="24" spans="1:8" x14ac:dyDescent="0.2">
      <c r="A24" s="3">
        <v>18</v>
      </c>
      <c r="B24" s="4" t="s">
        <v>451</v>
      </c>
      <c r="C24" s="4" t="s">
        <v>452</v>
      </c>
      <c r="D24" s="4" t="s">
        <v>71</v>
      </c>
      <c r="E24" s="5">
        <v>4578</v>
      </c>
      <c r="F24" s="6">
        <v>43.113315</v>
      </c>
      <c r="G24" s="7">
        <v>1.8857993999999999E-2</v>
      </c>
      <c r="H24" s="6"/>
    </row>
    <row r="25" spans="1:8" x14ac:dyDescent="0.2">
      <c r="A25" s="3">
        <v>19</v>
      </c>
      <c r="B25" s="4" t="s">
        <v>160</v>
      </c>
      <c r="C25" s="4" t="s">
        <v>161</v>
      </c>
      <c r="D25" s="4" t="s">
        <v>942</v>
      </c>
      <c r="E25" s="5">
        <v>3437</v>
      </c>
      <c r="F25" s="6">
        <v>41.991547500000003</v>
      </c>
      <c r="G25" s="7">
        <v>1.8367326999999999E-2</v>
      </c>
      <c r="H25" s="6"/>
    </row>
    <row r="26" spans="1:8" ht="25.5" x14ac:dyDescent="0.2">
      <c r="A26" s="3">
        <v>20</v>
      </c>
      <c r="B26" s="4" t="s">
        <v>215</v>
      </c>
      <c r="C26" s="4" t="s">
        <v>216</v>
      </c>
      <c r="D26" s="4" t="s">
        <v>945</v>
      </c>
      <c r="E26" s="5">
        <v>7139</v>
      </c>
      <c r="F26" s="6">
        <v>41.645356499999998</v>
      </c>
      <c r="G26" s="7">
        <v>1.8215901E-2</v>
      </c>
      <c r="H26" s="6"/>
    </row>
    <row r="27" spans="1:8" x14ac:dyDescent="0.2">
      <c r="A27" s="3">
        <v>21</v>
      </c>
      <c r="B27" s="4" t="s">
        <v>197</v>
      </c>
      <c r="C27" s="4" t="s">
        <v>198</v>
      </c>
      <c r="D27" s="4" t="s">
        <v>82</v>
      </c>
      <c r="E27" s="5">
        <v>5830</v>
      </c>
      <c r="F27" s="6">
        <v>40.949919999999999</v>
      </c>
      <c r="G27" s="7">
        <v>1.7911712999999999E-2</v>
      </c>
      <c r="H27" s="6"/>
    </row>
    <row r="28" spans="1:8" x14ac:dyDescent="0.2">
      <c r="A28" s="3">
        <v>22</v>
      </c>
      <c r="B28" s="4" t="s">
        <v>30</v>
      </c>
      <c r="C28" s="4" t="s">
        <v>31</v>
      </c>
      <c r="D28" s="4" t="s">
        <v>26</v>
      </c>
      <c r="E28" s="5">
        <v>2365</v>
      </c>
      <c r="F28" s="6">
        <v>40.511267500000002</v>
      </c>
      <c r="G28" s="7">
        <v>1.7719843999999998E-2</v>
      </c>
      <c r="H28" s="6"/>
    </row>
    <row r="29" spans="1:8" ht="25.5" x14ac:dyDescent="0.2">
      <c r="A29" s="3">
        <v>23</v>
      </c>
      <c r="B29" s="4" t="s">
        <v>42</v>
      </c>
      <c r="C29" s="4" t="s">
        <v>43</v>
      </c>
      <c r="D29" s="4" t="s">
        <v>935</v>
      </c>
      <c r="E29" s="5">
        <v>1515</v>
      </c>
      <c r="F29" s="6">
        <v>40.103565000000003</v>
      </c>
      <c r="G29" s="7">
        <v>1.7541513000000002E-2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934</v>
      </c>
      <c r="E30" s="5">
        <v>2656</v>
      </c>
      <c r="F30" s="6">
        <v>37.986111999999999</v>
      </c>
      <c r="G30" s="7">
        <v>1.6615327999999999E-2</v>
      </c>
      <c r="H30" s="6"/>
    </row>
    <row r="31" spans="1:8" ht="25.5" x14ac:dyDescent="0.2">
      <c r="A31" s="3">
        <v>25</v>
      </c>
      <c r="B31" s="4" t="s">
        <v>449</v>
      </c>
      <c r="C31" s="4" t="s">
        <v>450</v>
      </c>
      <c r="D31" s="4" t="s">
        <v>936</v>
      </c>
      <c r="E31" s="5">
        <v>1942</v>
      </c>
      <c r="F31" s="6">
        <v>37.213574999999999</v>
      </c>
      <c r="G31" s="7">
        <v>1.6277415999999999E-2</v>
      </c>
      <c r="H31" s="6"/>
    </row>
    <row r="32" spans="1:8" ht="25.5" x14ac:dyDescent="0.2">
      <c r="A32" s="3">
        <v>26</v>
      </c>
      <c r="B32" s="4" t="s">
        <v>158</v>
      </c>
      <c r="C32" s="4" t="s">
        <v>159</v>
      </c>
      <c r="D32" s="4" t="s">
        <v>941</v>
      </c>
      <c r="E32" s="5">
        <v>5082</v>
      </c>
      <c r="F32" s="6">
        <v>36.033920999999999</v>
      </c>
      <c r="G32" s="7">
        <v>1.5761429E-2</v>
      </c>
      <c r="H32" s="6"/>
    </row>
    <row r="33" spans="1:8" x14ac:dyDescent="0.2">
      <c r="A33" s="3">
        <v>27</v>
      </c>
      <c r="B33" s="4" t="s">
        <v>92</v>
      </c>
      <c r="C33" s="4" t="s">
        <v>93</v>
      </c>
      <c r="D33" s="4" t="s">
        <v>923</v>
      </c>
      <c r="E33" s="5">
        <v>7883</v>
      </c>
      <c r="F33" s="6">
        <v>35.930714000000002</v>
      </c>
      <c r="G33" s="7">
        <v>1.5716285999999999E-2</v>
      </c>
      <c r="H33" s="6"/>
    </row>
    <row r="34" spans="1:8" x14ac:dyDescent="0.2">
      <c r="A34" s="3">
        <v>28</v>
      </c>
      <c r="B34" s="4" t="s">
        <v>463</v>
      </c>
      <c r="C34" s="4" t="s">
        <v>464</v>
      </c>
      <c r="D34" s="4" t="s">
        <v>952</v>
      </c>
      <c r="E34" s="5">
        <v>3820</v>
      </c>
      <c r="F34" s="6">
        <v>35.829689999999999</v>
      </c>
      <c r="G34" s="7">
        <v>1.5672096999999999E-2</v>
      </c>
      <c r="H34" s="6"/>
    </row>
    <row r="35" spans="1:8" x14ac:dyDescent="0.2">
      <c r="A35" s="3">
        <v>29</v>
      </c>
      <c r="B35" s="4" t="s">
        <v>203</v>
      </c>
      <c r="C35" s="4" t="s">
        <v>204</v>
      </c>
      <c r="D35" s="4" t="s">
        <v>82</v>
      </c>
      <c r="E35" s="5">
        <v>6030</v>
      </c>
      <c r="F35" s="6">
        <v>35.706645000000002</v>
      </c>
      <c r="G35" s="7">
        <v>1.5618277E-2</v>
      </c>
      <c r="H35" s="6"/>
    </row>
    <row r="36" spans="1:8" x14ac:dyDescent="0.2">
      <c r="A36" s="3">
        <v>30</v>
      </c>
      <c r="B36" s="4" t="s">
        <v>213</v>
      </c>
      <c r="C36" s="4" t="s">
        <v>214</v>
      </c>
      <c r="D36" s="4" t="s">
        <v>64</v>
      </c>
      <c r="E36" s="5">
        <v>40346</v>
      </c>
      <c r="F36" s="6">
        <v>34.879117000000001</v>
      </c>
      <c r="G36" s="7">
        <v>1.5256311999999999E-2</v>
      </c>
      <c r="H36" s="6"/>
    </row>
    <row r="37" spans="1:8" x14ac:dyDescent="0.2">
      <c r="A37" s="3">
        <v>31</v>
      </c>
      <c r="B37" s="4" t="s">
        <v>461</v>
      </c>
      <c r="C37" s="4" t="s">
        <v>462</v>
      </c>
      <c r="D37" s="4" t="s">
        <v>82</v>
      </c>
      <c r="E37" s="5">
        <v>3328</v>
      </c>
      <c r="F37" s="6">
        <v>34.484735999999998</v>
      </c>
      <c r="G37" s="7">
        <v>1.5083806999999999E-2</v>
      </c>
      <c r="H37" s="6"/>
    </row>
    <row r="38" spans="1:8" x14ac:dyDescent="0.2">
      <c r="A38" s="3">
        <v>32</v>
      </c>
      <c r="B38" s="4" t="s">
        <v>265</v>
      </c>
      <c r="C38" s="4" t="s">
        <v>266</v>
      </c>
      <c r="D38" s="4" t="s">
        <v>942</v>
      </c>
      <c r="E38" s="5">
        <v>3807</v>
      </c>
      <c r="F38" s="6">
        <v>33.697660499999998</v>
      </c>
      <c r="G38" s="7">
        <v>1.4739535999999999E-2</v>
      </c>
      <c r="H38" s="6"/>
    </row>
    <row r="39" spans="1:8" ht="25.5" x14ac:dyDescent="0.2">
      <c r="A39" s="3">
        <v>33</v>
      </c>
      <c r="B39" s="4" t="s">
        <v>256</v>
      </c>
      <c r="C39" s="4" t="s">
        <v>257</v>
      </c>
      <c r="D39" s="4" t="s">
        <v>954</v>
      </c>
      <c r="E39" s="5">
        <v>10050</v>
      </c>
      <c r="F39" s="6">
        <v>33.662475000000001</v>
      </c>
      <c r="G39" s="7">
        <v>1.4724146E-2</v>
      </c>
      <c r="H39" s="6"/>
    </row>
    <row r="40" spans="1:8" x14ac:dyDescent="0.2">
      <c r="A40" s="3">
        <v>34</v>
      </c>
      <c r="B40" s="4" t="s">
        <v>269</v>
      </c>
      <c r="C40" s="4" t="s">
        <v>270</v>
      </c>
      <c r="D40" s="4" t="s">
        <v>26</v>
      </c>
      <c r="E40" s="5">
        <v>1619</v>
      </c>
      <c r="F40" s="6">
        <v>32.123388499999997</v>
      </c>
      <c r="G40" s="7">
        <v>1.4050941000000001E-2</v>
      </c>
      <c r="H40" s="6"/>
    </row>
    <row r="41" spans="1:8" ht="25.5" x14ac:dyDescent="0.2">
      <c r="A41" s="3">
        <v>35</v>
      </c>
      <c r="B41" s="4" t="s">
        <v>162</v>
      </c>
      <c r="C41" s="4" t="s">
        <v>163</v>
      </c>
      <c r="D41" s="4" t="s">
        <v>943</v>
      </c>
      <c r="E41" s="5">
        <v>31221</v>
      </c>
      <c r="F41" s="6">
        <v>32.110798500000001</v>
      </c>
      <c r="G41" s="7">
        <v>1.4045435E-2</v>
      </c>
      <c r="H41" s="6"/>
    </row>
    <row r="42" spans="1:8" ht="25.5" x14ac:dyDescent="0.2">
      <c r="A42" s="3">
        <v>36</v>
      </c>
      <c r="B42" s="4" t="s">
        <v>221</v>
      </c>
      <c r="C42" s="4" t="s">
        <v>222</v>
      </c>
      <c r="D42" s="4" t="s">
        <v>945</v>
      </c>
      <c r="E42" s="5">
        <v>1815</v>
      </c>
      <c r="F42" s="6">
        <v>31.198035000000001</v>
      </c>
      <c r="G42" s="7">
        <v>1.3646187000000001E-2</v>
      </c>
      <c r="H42" s="6"/>
    </row>
    <row r="43" spans="1:8" x14ac:dyDescent="0.2">
      <c r="A43" s="3">
        <v>37</v>
      </c>
      <c r="B43" s="4" t="s">
        <v>453</v>
      </c>
      <c r="C43" s="4" t="s">
        <v>454</v>
      </c>
      <c r="D43" s="4" t="s">
        <v>938</v>
      </c>
      <c r="E43" s="5">
        <v>4425</v>
      </c>
      <c r="F43" s="6">
        <v>31.094474999999999</v>
      </c>
      <c r="G43" s="7">
        <v>1.3600889E-2</v>
      </c>
      <c r="H43" s="6"/>
    </row>
    <row r="44" spans="1:8" x14ac:dyDescent="0.2">
      <c r="A44" s="3">
        <v>38</v>
      </c>
      <c r="B44" s="4" t="s">
        <v>225</v>
      </c>
      <c r="C44" s="4" t="s">
        <v>226</v>
      </c>
      <c r="D44" s="4" t="s">
        <v>951</v>
      </c>
      <c r="E44" s="5">
        <v>9664</v>
      </c>
      <c r="F44" s="6">
        <v>30.301472</v>
      </c>
      <c r="G44" s="7">
        <v>1.3254024999999999E-2</v>
      </c>
      <c r="H44" s="6"/>
    </row>
    <row r="45" spans="1:8" ht="25.5" x14ac:dyDescent="0.2">
      <c r="A45" s="3">
        <v>39</v>
      </c>
      <c r="B45" s="4" t="s">
        <v>248</v>
      </c>
      <c r="C45" s="4" t="s">
        <v>249</v>
      </c>
      <c r="D45" s="4" t="s">
        <v>950</v>
      </c>
      <c r="E45" s="5">
        <v>5379</v>
      </c>
      <c r="F45" s="6">
        <v>28.559800500000001</v>
      </c>
      <c r="G45" s="7">
        <v>1.2492209000000001E-2</v>
      </c>
      <c r="H45" s="6"/>
    </row>
    <row r="46" spans="1:8" x14ac:dyDescent="0.2">
      <c r="A46" s="3">
        <v>40</v>
      </c>
      <c r="B46" s="4" t="s">
        <v>205</v>
      </c>
      <c r="C46" s="4" t="s">
        <v>206</v>
      </c>
      <c r="D46" s="4" t="s">
        <v>64</v>
      </c>
      <c r="E46" s="5">
        <v>7838</v>
      </c>
      <c r="F46" s="6">
        <v>28.212880999999999</v>
      </c>
      <c r="G46" s="7">
        <v>1.2340465E-2</v>
      </c>
      <c r="H46" s="6"/>
    </row>
    <row r="47" spans="1:8" ht="25.5" x14ac:dyDescent="0.2">
      <c r="A47" s="3">
        <v>41</v>
      </c>
      <c r="B47" s="4" t="s">
        <v>170</v>
      </c>
      <c r="C47" s="4" t="s">
        <v>171</v>
      </c>
      <c r="D47" s="4" t="s">
        <v>945</v>
      </c>
      <c r="E47" s="5">
        <v>7291</v>
      </c>
      <c r="F47" s="6">
        <v>27.734964000000002</v>
      </c>
      <c r="G47" s="7">
        <v>1.2131421E-2</v>
      </c>
      <c r="H47" s="6"/>
    </row>
    <row r="48" spans="1:8" x14ac:dyDescent="0.2">
      <c r="A48" s="3">
        <v>42</v>
      </c>
      <c r="B48" s="4" t="s">
        <v>341</v>
      </c>
      <c r="C48" s="4" t="s">
        <v>342</v>
      </c>
      <c r="D48" s="4" t="s">
        <v>940</v>
      </c>
      <c r="E48" s="5">
        <v>700</v>
      </c>
      <c r="F48" s="6">
        <v>26.68225</v>
      </c>
      <c r="G48" s="7">
        <v>1.1670958E-2</v>
      </c>
      <c r="H48" s="6"/>
    </row>
    <row r="49" spans="1:8" x14ac:dyDescent="0.2">
      <c r="A49" s="3">
        <v>43</v>
      </c>
      <c r="B49" s="4" t="s">
        <v>271</v>
      </c>
      <c r="C49" s="4" t="s">
        <v>272</v>
      </c>
      <c r="D49" s="4" t="s">
        <v>940</v>
      </c>
      <c r="E49" s="5">
        <v>4161</v>
      </c>
      <c r="F49" s="6">
        <v>25.956318</v>
      </c>
      <c r="G49" s="7">
        <v>1.1353432E-2</v>
      </c>
      <c r="H49" s="6"/>
    </row>
    <row r="50" spans="1:8" x14ac:dyDescent="0.2">
      <c r="A50" s="3">
        <v>44</v>
      </c>
      <c r="B50" s="4" t="s">
        <v>234</v>
      </c>
      <c r="C50" s="4" t="s">
        <v>235</v>
      </c>
      <c r="D50" s="4" t="s">
        <v>952</v>
      </c>
      <c r="E50" s="5">
        <v>17427</v>
      </c>
      <c r="F50" s="6">
        <v>25.809387000000001</v>
      </c>
      <c r="G50" s="7">
        <v>1.1289164000000001E-2</v>
      </c>
      <c r="H50" s="6"/>
    </row>
    <row r="51" spans="1:8" ht="51" x14ac:dyDescent="0.2">
      <c r="A51" s="3">
        <v>45</v>
      </c>
      <c r="B51" s="4" t="s">
        <v>238</v>
      </c>
      <c r="C51" s="4" t="s">
        <v>239</v>
      </c>
      <c r="D51" s="4" t="s">
        <v>939</v>
      </c>
      <c r="E51" s="5">
        <v>10454</v>
      </c>
      <c r="F51" s="6">
        <v>25.073919</v>
      </c>
      <c r="G51" s="7">
        <v>1.0967466E-2</v>
      </c>
      <c r="H51" s="6"/>
    </row>
    <row r="52" spans="1:8" x14ac:dyDescent="0.2">
      <c r="A52" s="3">
        <v>46</v>
      </c>
      <c r="B52" s="4" t="s">
        <v>164</v>
      </c>
      <c r="C52" s="4" t="s">
        <v>165</v>
      </c>
      <c r="D52" s="4" t="s">
        <v>944</v>
      </c>
      <c r="E52" s="5">
        <v>4776</v>
      </c>
      <c r="F52" s="6">
        <v>22.764804000000002</v>
      </c>
      <c r="G52" s="7">
        <v>9.9574469999999995E-3</v>
      </c>
      <c r="H52" s="6"/>
    </row>
    <row r="53" spans="1:8" x14ac:dyDescent="0.2">
      <c r="A53" s="3">
        <v>47</v>
      </c>
      <c r="B53" s="4" t="s">
        <v>227</v>
      </c>
      <c r="C53" s="4" t="s">
        <v>228</v>
      </c>
      <c r="D53" s="4" t="s">
        <v>26</v>
      </c>
      <c r="E53" s="5">
        <v>2237</v>
      </c>
      <c r="F53" s="6">
        <v>22.685417000000001</v>
      </c>
      <c r="G53" s="7">
        <v>9.9227220000000001E-3</v>
      </c>
      <c r="H53" s="6"/>
    </row>
    <row r="54" spans="1:8" x14ac:dyDescent="0.2">
      <c r="A54" s="3">
        <v>48</v>
      </c>
      <c r="B54" s="4" t="s">
        <v>267</v>
      </c>
      <c r="C54" s="4" t="s">
        <v>268</v>
      </c>
      <c r="D54" s="4" t="s">
        <v>82</v>
      </c>
      <c r="E54" s="5">
        <v>38221</v>
      </c>
      <c r="F54" s="6">
        <v>21.824190999999999</v>
      </c>
      <c r="G54" s="7">
        <v>9.5460179999999999E-3</v>
      </c>
      <c r="H54" s="6"/>
    </row>
    <row r="55" spans="1:8" ht="25.5" x14ac:dyDescent="0.2">
      <c r="A55" s="3">
        <v>49</v>
      </c>
      <c r="B55" s="4" t="s">
        <v>184</v>
      </c>
      <c r="C55" s="4" t="s">
        <v>185</v>
      </c>
      <c r="D55" s="4" t="s">
        <v>935</v>
      </c>
      <c r="E55" s="5">
        <v>10628</v>
      </c>
      <c r="F55" s="6">
        <v>21.415420000000001</v>
      </c>
      <c r="G55" s="7">
        <v>9.3672189999999995E-3</v>
      </c>
      <c r="H55" s="6"/>
    </row>
    <row r="56" spans="1:8" ht="25.5" x14ac:dyDescent="0.2">
      <c r="A56" s="3">
        <v>50</v>
      </c>
      <c r="B56" s="4" t="s">
        <v>188</v>
      </c>
      <c r="C56" s="4" t="s">
        <v>189</v>
      </c>
      <c r="D56" s="4" t="s">
        <v>945</v>
      </c>
      <c r="E56" s="5">
        <v>472</v>
      </c>
      <c r="F56" s="6">
        <v>20.941932000000001</v>
      </c>
      <c r="G56" s="7">
        <v>9.1601129999999992E-3</v>
      </c>
      <c r="H56" s="6"/>
    </row>
    <row r="57" spans="1:8" x14ac:dyDescent="0.2">
      <c r="A57" s="3">
        <v>51</v>
      </c>
      <c r="B57" s="4" t="s">
        <v>246</v>
      </c>
      <c r="C57" s="4" t="s">
        <v>247</v>
      </c>
      <c r="D57" s="4" t="s">
        <v>91</v>
      </c>
      <c r="E57" s="5">
        <v>2336</v>
      </c>
      <c r="F57" s="6">
        <v>18.351616</v>
      </c>
      <c r="G57" s="7">
        <v>8.0270949999999997E-3</v>
      </c>
      <c r="H57" s="6"/>
    </row>
    <row r="58" spans="1:8" ht="25.5" x14ac:dyDescent="0.2">
      <c r="A58" s="3">
        <v>52</v>
      </c>
      <c r="B58" s="4" t="s">
        <v>469</v>
      </c>
      <c r="C58" s="4" t="s">
        <v>470</v>
      </c>
      <c r="D58" s="4" t="s">
        <v>945</v>
      </c>
      <c r="E58" s="5">
        <v>4476</v>
      </c>
      <c r="F58" s="6">
        <v>17.81448</v>
      </c>
      <c r="G58" s="7">
        <v>7.792149E-3</v>
      </c>
      <c r="H58" s="6"/>
    </row>
    <row r="59" spans="1:8" x14ac:dyDescent="0.2">
      <c r="A59" s="3">
        <v>53</v>
      </c>
      <c r="B59" s="4" t="s">
        <v>457</v>
      </c>
      <c r="C59" s="4" t="s">
        <v>458</v>
      </c>
      <c r="D59" s="4" t="s">
        <v>26</v>
      </c>
      <c r="E59" s="5">
        <v>2300</v>
      </c>
      <c r="F59" s="6">
        <v>17.637550000000001</v>
      </c>
      <c r="G59" s="7">
        <v>7.7147580000000004E-3</v>
      </c>
      <c r="H59" s="6"/>
    </row>
    <row r="60" spans="1:8" x14ac:dyDescent="0.2">
      <c r="A60" s="3">
        <v>54</v>
      </c>
      <c r="B60" s="4" t="s">
        <v>174</v>
      </c>
      <c r="C60" s="4" t="s">
        <v>175</v>
      </c>
      <c r="D60" s="4" t="s">
        <v>71</v>
      </c>
      <c r="E60" s="5">
        <v>2393</v>
      </c>
      <c r="F60" s="6">
        <v>15.188371</v>
      </c>
      <c r="G60" s="7">
        <v>6.6434739999999999E-3</v>
      </c>
      <c r="H60" s="6"/>
    </row>
    <row r="61" spans="1:8" ht="25.5" x14ac:dyDescent="0.2">
      <c r="A61" s="3">
        <v>55</v>
      </c>
      <c r="B61" s="4" t="s">
        <v>277</v>
      </c>
      <c r="C61" s="4" t="s">
        <v>278</v>
      </c>
      <c r="D61" s="4" t="s">
        <v>946</v>
      </c>
      <c r="E61" s="5">
        <v>2245</v>
      </c>
      <c r="F61" s="6">
        <v>13.344279999999999</v>
      </c>
      <c r="G61" s="7">
        <v>5.8368589999999998E-3</v>
      </c>
      <c r="H61" s="6"/>
    </row>
    <row r="62" spans="1:8" x14ac:dyDescent="0.2">
      <c r="A62" s="3">
        <v>56</v>
      </c>
      <c r="B62" s="4" t="s">
        <v>176</v>
      </c>
      <c r="C62" s="4" t="s">
        <v>177</v>
      </c>
      <c r="D62" s="4" t="s">
        <v>944</v>
      </c>
      <c r="E62" s="5">
        <v>11831</v>
      </c>
      <c r="F62" s="6">
        <v>12.008464999999999</v>
      </c>
      <c r="G62" s="7">
        <v>5.2525669999999997E-3</v>
      </c>
      <c r="H62" s="6"/>
    </row>
    <row r="63" spans="1:8" x14ac:dyDescent="0.2">
      <c r="A63" s="3">
        <v>57</v>
      </c>
      <c r="B63" s="4" t="s">
        <v>279</v>
      </c>
      <c r="C63" s="4" t="s">
        <v>280</v>
      </c>
      <c r="D63" s="4" t="s">
        <v>18</v>
      </c>
      <c r="E63" s="5">
        <v>5306</v>
      </c>
      <c r="F63" s="6">
        <v>11.365451999999999</v>
      </c>
      <c r="G63" s="7">
        <v>4.9713090000000001E-3</v>
      </c>
      <c r="H63" s="6"/>
    </row>
    <row r="64" spans="1:8" x14ac:dyDescent="0.2">
      <c r="A64" s="3">
        <v>58</v>
      </c>
      <c r="B64" s="4" t="s">
        <v>106</v>
      </c>
      <c r="C64" s="4" t="s">
        <v>107</v>
      </c>
      <c r="D64" s="4" t="s">
        <v>923</v>
      </c>
      <c r="E64" s="5">
        <v>14375</v>
      </c>
      <c r="F64" s="6">
        <v>10.910625</v>
      </c>
      <c r="G64" s="7">
        <v>4.7723660000000001E-3</v>
      </c>
      <c r="H64" s="6"/>
    </row>
    <row r="65" spans="1:8" x14ac:dyDescent="0.2">
      <c r="A65" s="3">
        <v>59</v>
      </c>
      <c r="B65" s="4" t="s">
        <v>250</v>
      </c>
      <c r="C65" s="4" t="s">
        <v>251</v>
      </c>
      <c r="D65" s="4" t="s">
        <v>302</v>
      </c>
      <c r="E65" s="5">
        <v>1566</v>
      </c>
      <c r="F65" s="6">
        <v>10.176651</v>
      </c>
      <c r="G65" s="7">
        <v>4.4513210000000003E-3</v>
      </c>
      <c r="H65" s="6"/>
    </row>
    <row r="66" spans="1:8" ht="25.5" x14ac:dyDescent="0.2">
      <c r="A66" s="3">
        <v>60</v>
      </c>
      <c r="B66" s="4" t="s">
        <v>258</v>
      </c>
      <c r="C66" s="4" t="s">
        <v>259</v>
      </c>
      <c r="D66" s="4" t="s">
        <v>946</v>
      </c>
      <c r="E66" s="5">
        <v>1125</v>
      </c>
      <c r="F66" s="6">
        <v>10.0119375</v>
      </c>
      <c r="G66" s="7">
        <v>4.3792750000000002E-3</v>
      </c>
      <c r="H66" s="6"/>
    </row>
    <row r="67" spans="1:8" x14ac:dyDescent="0.2">
      <c r="A67" s="3">
        <v>61</v>
      </c>
      <c r="B67" s="4" t="s">
        <v>223</v>
      </c>
      <c r="C67" s="4" t="s">
        <v>224</v>
      </c>
      <c r="D67" s="4" t="s">
        <v>71</v>
      </c>
      <c r="E67" s="5">
        <v>2084</v>
      </c>
      <c r="F67" s="6">
        <v>5.13706</v>
      </c>
      <c r="G67" s="7">
        <v>2.2469769999999998E-3</v>
      </c>
      <c r="H67" s="6"/>
    </row>
    <row r="68" spans="1:8" ht="14.1" customHeight="1" x14ac:dyDescent="0.2">
      <c r="A68" s="1"/>
      <c r="B68" s="1"/>
      <c r="C68" s="2" t="s">
        <v>111</v>
      </c>
      <c r="D68" s="1"/>
      <c r="E68" s="1" t="s">
        <v>112</v>
      </c>
      <c r="F68" s="9">
        <v>2265.1173625000001</v>
      </c>
      <c r="G68" s="10">
        <v>0.99077441300000002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113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114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115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116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117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8" customHeight="1" x14ac:dyDescent="0.2">
      <c r="A85" s="1"/>
      <c r="B85" s="1"/>
      <c r="C85" s="2" t="s">
        <v>118</v>
      </c>
      <c r="D85" s="1"/>
      <c r="E85" s="1"/>
      <c r="F85" s="9">
        <v>2265.1173625000001</v>
      </c>
      <c r="G85" s="10">
        <v>0.99077441300000002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119</v>
      </c>
      <c r="D87" s="1"/>
      <c r="E87" s="1"/>
      <c r="F87" s="12"/>
      <c r="G87" s="12"/>
      <c r="H87" s="6"/>
    </row>
    <row r="88" spans="1:8" ht="24" customHeight="1" x14ac:dyDescent="0.2">
      <c r="A88" s="1"/>
      <c r="B88" s="1"/>
      <c r="C88" s="2" t="s">
        <v>10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120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121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122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123</v>
      </c>
      <c r="D100" s="1"/>
      <c r="E100" s="1"/>
      <c r="F100" s="9">
        <v>0</v>
      </c>
      <c r="G100" s="10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124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125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126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127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128</v>
      </c>
      <c r="D112" s="1"/>
      <c r="E112" s="1"/>
      <c r="F112" s="12"/>
      <c r="G112" s="12"/>
      <c r="H112" s="6"/>
    </row>
    <row r="113" spans="1:8" ht="17.100000000000001" customHeight="1" x14ac:dyDescent="0.2">
      <c r="A113" s="3">
        <v>1</v>
      </c>
      <c r="B113" s="4"/>
      <c r="C113" s="4" t="s">
        <v>129</v>
      </c>
      <c r="D113" s="4"/>
      <c r="E113" s="8"/>
      <c r="F113" s="6">
        <v>32.391325700000003</v>
      </c>
      <c r="G113" s="7">
        <v>1.4168139E-2</v>
      </c>
      <c r="H113" s="6">
        <v>3.9343919198424624</v>
      </c>
    </row>
    <row r="114" spans="1:8" ht="17.100000000000001" customHeight="1" x14ac:dyDescent="0.2">
      <c r="A114" s="3">
        <v>2</v>
      </c>
      <c r="B114" s="4"/>
      <c r="C114" s="4" t="s">
        <v>130</v>
      </c>
      <c r="D114" s="4"/>
      <c r="E114" s="8"/>
      <c r="F114" s="6">
        <v>2.1274432999999999</v>
      </c>
      <c r="G114" s="7">
        <v>9.3055500000000001E-4</v>
      </c>
      <c r="H114" s="6">
        <v>3.8</v>
      </c>
    </row>
    <row r="115" spans="1:8" ht="14.1" customHeight="1" x14ac:dyDescent="0.2">
      <c r="A115" s="1"/>
      <c r="B115" s="1"/>
      <c r="C115" s="2" t="s">
        <v>111</v>
      </c>
      <c r="D115" s="1"/>
      <c r="E115" s="1" t="s">
        <v>112</v>
      </c>
      <c r="F115" s="9">
        <v>34.518768999999999</v>
      </c>
      <c r="G115" s="10">
        <v>1.5098693999999999E-2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131</v>
      </c>
      <c r="D117" s="1"/>
      <c r="E117" s="1"/>
      <c r="F117" s="9">
        <v>34.518768999999999</v>
      </c>
      <c r="G117" s="10">
        <v>1.5098693999999999E-2</v>
      </c>
      <c r="H117" s="6"/>
    </row>
    <row r="118" spans="1:8" ht="14.1" customHeight="1" x14ac:dyDescent="0.2">
      <c r="A118" s="1"/>
      <c r="B118" s="1"/>
      <c r="C118" s="12"/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132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133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134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135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111</v>
      </c>
      <c r="D125" s="1"/>
      <c r="E125" s="1" t="s">
        <v>112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24" customHeight="1" x14ac:dyDescent="0.2">
      <c r="A128" s="1"/>
      <c r="B128" s="1"/>
      <c r="C128" s="2" t="s">
        <v>136</v>
      </c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111</v>
      </c>
      <c r="D129" s="1"/>
      <c r="E129" s="1" t="s">
        <v>112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4"/>
      <c r="C131" s="4"/>
      <c r="D131" s="2"/>
      <c r="E131" s="1"/>
      <c r="F131" s="4"/>
      <c r="G131" s="8"/>
      <c r="H131" s="6"/>
    </row>
    <row r="132" spans="1:8" ht="18" customHeight="1" x14ac:dyDescent="0.2">
      <c r="A132" s="8"/>
      <c r="B132" s="4"/>
      <c r="C132" s="4" t="s">
        <v>137</v>
      </c>
      <c r="D132" s="4"/>
      <c r="E132" s="8"/>
      <c r="F132" s="6">
        <v>-13.427153909999999</v>
      </c>
      <c r="G132" s="7">
        <v>-5.8731089999999996E-3</v>
      </c>
      <c r="H132" s="6"/>
    </row>
    <row r="133" spans="1:8" ht="14.1" customHeight="1" x14ac:dyDescent="0.2">
      <c r="A133" s="11"/>
      <c r="B133" s="11"/>
      <c r="C133" s="2" t="s">
        <v>138</v>
      </c>
      <c r="D133" s="15"/>
      <c r="E133" s="15"/>
      <c r="F133" s="9">
        <v>2286.2089775899999</v>
      </c>
      <c r="G133" s="10">
        <v>0.99999999799999995</v>
      </c>
      <c r="H133" s="6"/>
    </row>
    <row r="134" spans="1:8" ht="14.1" customHeight="1" x14ac:dyDescent="0.2">
      <c r="A134" s="18"/>
      <c r="B134" s="297" t="s">
        <v>112</v>
      </c>
      <c r="C134" s="297"/>
      <c r="D134" s="297"/>
      <c r="E134" s="297"/>
      <c r="F134" s="297"/>
      <c r="G134" s="20"/>
    </row>
    <row r="135" spans="1:8" ht="14.1" customHeight="1" x14ac:dyDescent="0.2">
      <c r="A135" s="18"/>
      <c r="B135" s="18"/>
      <c r="C135" s="18"/>
      <c r="D135" s="20"/>
      <c r="E135" s="20"/>
      <c r="F135" s="20"/>
      <c r="G135" s="20"/>
    </row>
    <row r="136" spans="1:8" ht="14.1" customHeight="1" x14ac:dyDescent="0.2">
      <c r="A136" s="18"/>
      <c r="B136" s="294" t="s">
        <v>140</v>
      </c>
      <c r="C136" s="295"/>
      <c r="D136" s="12" t="s">
        <v>112</v>
      </c>
      <c r="E136" s="21"/>
      <c r="F136" s="20"/>
      <c r="G136" s="20"/>
    </row>
    <row r="137" spans="1:8" ht="29.1" customHeight="1" x14ac:dyDescent="0.2">
      <c r="A137" s="18"/>
      <c r="B137" s="288" t="s">
        <v>141</v>
      </c>
      <c r="C137" s="289"/>
      <c r="D137" s="2" t="s">
        <v>142</v>
      </c>
      <c r="E137" s="21"/>
      <c r="F137" s="20"/>
      <c r="G137" s="20"/>
    </row>
    <row r="138" spans="1:8" ht="17.100000000000001" customHeight="1" x14ac:dyDescent="0.2">
      <c r="A138" s="18"/>
      <c r="B138" s="288" t="s">
        <v>143</v>
      </c>
      <c r="C138" s="289"/>
      <c r="D138" s="2" t="s">
        <v>142</v>
      </c>
      <c r="E138" s="21"/>
      <c r="F138" s="20"/>
      <c r="G138" s="20"/>
    </row>
    <row r="139" spans="1:8" ht="17.100000000000001" customHeight="1" x14ac:dyDescent="0.2">
      <c r="A139" s="18"/>
      <c r="B139" s="288" t="s">
        <v>144</v>
      </c>
      <c r="C139" s="289"/>
      <c r="D139" s="12" t="s">
        <v>112</v>
      </c>
      <c r="E139" s="21"/>
      <c r="F139" s="20"/>
      <c r="G139" s="20"/>
    </row>
    <row r="140" spans="1:8" ht="24" customHeight="1" x14ac:dyDescent="0.2">
      <c r="A140" s="22"/>
      <c r="B140" s="23" t="s">
        <v>112</v>
      </c>
      <c r="C140" s="23" t="s">
        <v>145</v>
      </c>
      <c r="D140" s="23" t="s">
        <v>146</v>
      </c>
      <c r="E140" s="22"/>
      <c r="F140" s="22"/>
      <c r="G140" s="22"/>
    </row>
    <row r="141" spans="1:8" ht="18" customHeight="1" x14ac:dyDescent="0.2">
      <c r="A141" s="22"/>
      <c r="B141" s="23" t="s">
        <v>147</v>
      </c>
      <c r="C141" s="23" t="s">
        <v>148</v>
      </c>
      <c r="D141" s="23" t="s">
        <v>149</v>
      </c>
      <c r="E141" s="22"/>
      <c r="F141" s="22"/>
      <c r="G141" s="22"/>
    </row>
    <row r="142" spans="1:8" ht="17.100000000000001" customHeight="1" x14ac:dyDescent="0.2">
      <c r="A142" s="22"/>
      <c r="B142" s="4" t="s">
        <v>150</v>
      </c>
      <c r="C142" s="24">
        <v>18.252099999999999</v>
      </c>
      <c r="D142" s="24">
        <v>18.348199999999999</v>
      </c>
      <c r="E142" s="22"/>
      <c r="F142" s="19"/>
      <c r="G142" s="25"/>
    </row>
    <row r="143" spans="1:8" ht="17.100000000000001" customHeight="1" x14ac:dyDescent="0.2">
      <c r="A143" s="22"/>
      <c r="B143" s="4" t="s">
        <v>1114</v>
      </c>
      <c r="C143" s="24">
        <v>17.625299999999999</v>
      </c>
      <c r="D143" s="24">
        <v>17.7181</v>
      </c>
      <c r="E143" s="22"/>
      <c r="F143" s="19"/>
      <c r="G143" s="25"/>
    </row>
    <row r="144" spans="1:8" ht="17.100000000000001" customHeight="1" x14ac:dyDescent="0.2">
      <c r="A144" s="22"/>
      <c r="B144" s="4" t="s">
        <v>151</v>
      </c>
      <c r="C144" s="24">
        <v>18.0274</v>
      </c>
      <c r="D144" s="24">
        <v>18.1205</v>
      </c>
      <c r="E144" s="22"/>
      <c r="F144" s="19"/>
      <c r="G144" s="25"/>
    </row>
    <row r="145" spans="1:15" ht="17.100000000000001" customHeight="1" x14ac:dyDescent="0.2">
      <c r="A145" s="22"/>
      <c r="B145" s="4" t="s">
        <v>1115</v>
      </c>
      <c r="C145" s="24">
        <v>17.401900000000001</v>
      </c>
      <c r="D145" s="24">
        <v>17.491800000000001</v>
      </c>
      <c r="E145" s="22"/>
      <c r="F145" s="19"/>
      <c r="G145" s="25"/>
    </row>
    <row r="146" spans="1:15" ht="14.1" customHeight="1" x14ac:dyDescent="0.2">
      <c r="A146" s="22"/>
      <c r="B146" s="22"/>
      <c r="C146" s="22"/>
      <c r="D146" s="22"/>
      <c r="E146" s="22"/>
      <c r="F146" s="22"/>
      <c r="G146" s="22"/>
    </row>
    <row r="147" spans="1:15" ht="17.100000000000001" customHeight="1" x14ac:dyDescent="0.2">
      <c r="A147" s="22"/>
      <c r="B147" s="288" t="s">
        <v>1116</v>
      </c>
      <c r="C147" s="289"/>
      <c r="D147" s="2" t="s">
        <v>142</v>
      </c>
      <c r="E147" s="22"/>
      <c r="F147" s="22"/>
      <c r="G147" s="22"/>
    </row>
    <row r="148" spans="1:15" ht="14.1" customHeight="1" x14ac:dyDescent="0.2">
      <c r="A148" s="22"/>
      <c r="B148" s="19"/>
      <c r="C148" s="19"/>
      <c r="D148" s="22"/>
      <c r="E148" s="22"/>
      <c r="F148" s="22"/>
      <c r="G148" s="22"/>
    </row>
    <row r="149" spans="1:15" ht="29.1" customHeight="1" x14ac:dyDescent="0.2">
      <c r="A149" s="22"/>
      <c r="B149" s="288" t="s">
        <v>153</v>
      </c>
      <c r="C149" s="289"/>
      <c r="D149" s="2" t="s">
        <v>142</v>
      </c>
      <c r="E149" s="22"/>
      <c r="F149" s="22"/>
      <c r="G149" s="22"/>
    </row>
    <row r="150" spans="1:15" ht="29.1" customHeight="1" x14ac:dyDescent="0.2">
      <c r="A150" s="22"/>
      <c r="B150" s="288" t="s">
        <v>154</v>
      </c>
      <c r="C150" s="289"/>
      <c r="D150" s="2" t="s">
        <v>142</v>
      </c>
      <c r="E150" s="22"/>
      <c r="F150" s="22"/>
      <c r="G150" s="22"/>
    </row>
    <row r="151" spans="1:15" ht="17.100000000000001" customHeight="1" x14ac:dyDescent="0.2">
      <c r="A151" s="22"/>
      <c r="B151" s="288" t="s">
        <v>155</v>
      </c>
      <c r="C151" s="289"/>
      <c r="D151" s="26">
        <v>0.26948465459683157</v>
      </c>
      <c r="E151" s="22"/>
      <c r="F151" s="19"/>
      <c r="G151" s="25"/>
    </row>
    <row r="152" spans="1:15" ht="17.100000000000001" customHeight="1" x14ac:dyDescent="0.2">
      <c r="A152" s="22"/>
      <c r="B152" s="288" t="s">
        <v>156</v>
      </c>
      <c r="C152" s="289"/>
      <c r="D152" s="2" t="s">
        <v>142</v>
      </c>
      <c r="E152" s="22"/>
      <c r="F152" s="22"/>
      <c r="G152" s="22"/>
    </row>
    <row r="155" spans="1:15" x14ac:dyDescent="0.2">
      <c r="J155" s="66"/>
      <c r="K155" s="66"/>
      <c r="L155" s="66"/>
      <c r="M155" s="66"/>
      <c r="N155" s="66"/>
      <c r="O155" s="66"/>
    </row>
  </sheetData>
  <mergeCells count="14">
    <mergeCell ref="A1:H1"/>
    <mergeCell ref="A2:H2"/>
    <mergeCell ref="A3:H3"/>
    <mergeCell ref="B136:C136"/>
    <mergeCell ref="J2:N2"/>
    <mergeCell ref="B134:F134"/>
    <mergeCell ref="B151:C151"/>
    <mergeCell ref="B152:C152"/>
    <mergeCell ref="B137:C137"/>
    <mergeCell ref="B138:C138"/>
    <mergeCell ref="B139:C139"/>
    <mergeCell ref="B147:C147"/>
    <mergeCell ref="B149:C149"/>
    <mergeCell ref="B150:C15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13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489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5610</v>
      </c>
      <c r="F7" s="6">
        <v>156.53302500000001</v>
      </c>
      <c r="G7" s="7">
        <v>9.0786014999999998E-2</v>
      </c>
      <c r="H7" s="6"/>
    </row>
    <row r="8" spans="1:14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19709</v>
      </c>
      <c r="F8" s="6">
        <v>146.49699699999999</v>
      </c>
      <c r="G8" s="7">
        <v>8.4965319999999997E-2</v>
      </c>
      <c r="H8" s="6"/>
    </row>
    <row r="9" spans="1:14" x14ac:dyDescent="0.2">
      <c r="A9" s="3">
        <v>3</v>
      </c>
      <c r="B9" s="4" t="s">
        <v>380</v>
      </c>
      <c r="C9" s="4" t="s">
        <v>381</v>
      </c>
      <c r="D9" s="4" t="s">
        <v>947</v>
      </c>
      <c r="E9" s="5">
        <v>8300</v>
      </c>
      <c r="F9" s="6">
        <v>130.10665</v>
      </c>
      <c r="G9" s="7">
        <v>7.5459248000000007E-2</v>
      </c>
      <c r="H9" s="6"/>
    </row>
    <row r="10" spans="1:14" x14ac:dyDescent="0.2">
      <c r="A10" s="3">
        <v>4</v>
      </c>
      <c r="B10" s="4" t="s">
        <v>349</v>
      </c>
      <c r="C10" s="4" t="s">
        <v>350</v>
      </c>
      <c r="D10" s="4" t="s">
        <v>18</v>
      </c>
      <c r="E10" s="5">
        <v>7350</v>
      </c>
      <c r="F10" s="6">
        <v>101.7681</v>
      </c>
      <c r="G10" s="7">
        <v>5.9023457000000001E-2</v>
      </c>
      <c r="H10" s="6"/>
    </row>
    <row r="11" spans="1:14" x14ac:dyDescent="0.2">
      <c r="A11" s="3">
        <v>5</v>
      </c>
      <c r="B11" s="4" t="s">
        <v>296</v>
      </c>
      <c r="C11" s="4" t="s">
        <v>297</v>
      </c>
      <c r="D11" s="4" t="s">
        <v>956</v>
      </c>
      <c r="E11" s="5">
        <v>7963</v>
      </c>
      <c r="F11" s="6">
        <v>86.283086499999996</v>
      </c>
      <c r="G11" s="7">
        <v>5.0042459999999997E-2</v>
      </c>
      <c r="H11" s="6"/>
    </row>
    <row r="12" spans="1:14" x14ac:dyDescent="0.2">
      <c r="A12" s="3">
        <v>6</v>
      </c>
      <c r="B12" s="4" t="s">
        <v>48</v>
      </c>
      <c r="C12" s="4" t="s">
        <v>49</v>
      </c>
      <c r="D12" s="4" t="s">
        <v>18</v>
      </c>
      <c r="E12" s="5">
        <v>16051</v>
      </c>
      <c r="F12" s="6">
        <v>79.661113</v>
      </c>
      <c r="G12" s="7">
        <v>4.6201847999999997E-2</v>
      </c>
      <c r="H12" s="6"/>
    </row>
    <row r="13" spans="1:14" ht="25.5" x14ac:dyDescent="0.2">
      <c r="A13" s="3">
        <v>7</v>
      </c>
      <c r="B13" s="4" t="s">
        <v>382</v>
      </c>
      <c r="C13" s="4" t="s">
        <v>383</v>
      </c>
      <c r="D13" s="4" t="s">
        <v>82</v>
      </c>
      <c r="E13" s="5">
        <v>3376</v>
      </c>
      <c r="F13" s="6">
        <v>75.274671999999995</v>
      </c>
      <c r="G13" s="7">
        <v>4.3657799999999997E-2</v>
      </c>
      <c r="H13" s="6"/>
    </row>
    <row r="14" spans="1:14" x14ac:dyDescent="0.2">
      <c r="A14" s="3">
        <v>8</v>
      </c>
      <c r="B14" s="4" t="s">
        <v>294</v>
      </c>
      <c r="C14" s="4" t="s">
        <v>295</v>
      </c>
      <c r="D14" s="4" t="s">
        <v>18</v>
      </c>
      <c r="E14" s="5">
        <v>8341</v>
      </c>
      <c r="F14" s="6">
        <v>60.772525999999999</v>
      </c>
      <c r="G14" s="7">
        <v>3.5246845999999998E-2</v>
      </c>
      <c r="H14" s="6"/>
    </row>
    <row r="15" spans="1:14" ht="25.5" x14ac:dyDescent="0.2">
      <c r="A15" s="3">
        <v>9</v>
      </c>
      <c r="B15" s="4" t="s">
        <v>217</v>
      </c>
      <c r="C15" s="4" t="s">
        <v>218</v>
      </c>
      <c r="D15" s="4" t="s">
        <v>946</v>
      </c>
      <c r="E15" s="5">
        <v>1505</v>
      </c>
      <c r="F15" s="6">
        <v>59.173589999999997</v>
      </c>
      <c r="G15" s="7">
        <v>3.4319494999999998E-2</v>
      </c>
      <c r="H15" s="6"/>
      <c r="J15" s="192" t="s">
        <v>1145</v>
      </c>
    </row>
    <row r="16" spans="1:14" x14ac:dyDescent="0.2">
      <c r="A16" s="3">
        <v>10</v>
      </c>
      <c r="B16" s="4" t="s">
        <v>14</v>
      </c>
      <c r="C16" s="4" t="s">
        <v>15</v>
      </c>
      <c r="D16" s="4" t="s">
        <v>64</v>
      </c>
      <c r="E16" s="5">
        <v>3340</v>
      </c>
      <c r="F16" s="6">
        <v>56.591290000000001</v>
      </c>
      <c r="G16" s="7">
        <v>3.2821812999999998E-2</v>
      </c>
      <c r="H16" s="6"/>
    </row>
    <row r="17" spans="1:8" x14ac:dyDescent="0.2">
      <c r="A17" s="3">
        <v>11</v>
      </c>
      <c r="B17" s="4" t="s">
        <v>19</v>
      </c>
      <c r="C17" s="4" t="s">
        <v>20</v>
      </c>
      <c r="D17" s="4" t="s">
        <v>21</v>
      </c>
      <c r="E17" s="5">
        <v>6757</v>
      </c>
      <c r="F17" s="6">
        <v>49.934229999999999</v>
      </c>
      <c r="G17" s="7">
        <v>2.8960851999999999E-2</v>
      </c>
      <c r="H17" s="6"/>
    </row>
    <row r="18" spans="1:8" ht="25.5" x14ac:dyDescent="0.2">
      <c r="A18" s="3">
        <v>12</v>
      </c>
      <c r="B18" s="4" t="s">
        <v>22</v>
      </c>
      <c r="C18" s="4" t="s">
        <v>23</v>
      </c>
      <c r="D18" s="4" t="s">
        <v>935</v>
      </c>
      <c r="E18" s="5">
        <v>746</v>
      </c>
      <c r="F18" s="6">
        <v>49.461665000000004</v>
      </c>
      <c r="G18" s="7">
        <v>2.8686774000000002E-2</v>
      </c>
      <c r="H18" s="6"/>
    </row>
    <row r="19" spans="1:8" x14ac:dyDescent="0.2">
      <c r="A19" s="3">
        <v>13</v>
      </c>
      <c r="B19" s="4" t="s">
        <v>424</v>
      </c>
      <c r="C19" s="4" t="s">
        <v>425</v>
      </c>
      <c r="D19" s="4" t="s">
        <v>959</v>
      </c>
      <c r="E19" s="5">
        <v>9000</v>
      </c>
      <c r="F19" s="6">
        <v>39.384</v>
      </c>
      <c r="G19" s="7">
        <v>2.284193E-2</v>
      </c>
      <c r="H19" s="6"/>
    </row>
    <row r="20" spans="1:8" x14ac:dyDescent="0.2">
      <c r="A20" s="3">
        <v>14</v>
      </c>
      <c r="B20" s="4" t="s">
        <v>231</v>
      </c>
      <c r="C20" s="4" t="s">
        <v>232</v>
      </c>
      <c r="D20" s="4" t="s">
        <v>233</v>
      </c>
      <c r="E20" s="5">
        <v>13359</v>
      </c>
      <c r="F20" s="6">
        <v>37.652341499999999</v>
      </c>
      <c r="G20" s="7">
        <v>2.1837603000000001E-2</v>
      </c>
      <c r="H20" s="6"/>
    </row>
    <row r="21" spans="1:8" ht="25.5" x14ac:dyDescent="0.2">
      <c r="A21" s="3">
        <v>15</v>
      </c>
      <c r="B21" s="4" t="s">
        <v>339</v>
      </c>
      <c r="C21" s="4" t="s">
        <v>340</v>
      </c>
      <c r="D21" s="4" t="s">
        <v>957</v>
      </c>
      <c r="E21" s="5">
        <v>4000</v>
      </c>
      <c r="F21" s="6">
        <v>35.781999999999996</v>
      </c>
      <c r="G21" s="7">
        <v>2.0752842000000001E-2</v>
      </c>
      <c r="H21" s="6"/>
    </row>
    <row r="22" spans="1:8" x14ac:dyDescent="0.2">
      <c r="A22" s="3">
        <v>16</v>
      </c>
      <c r="B22" s="4" t="s">
        <v>386</v>
      </c>
      <c r="C22" s="4" t="s">
        <v>387</v>
      </c>
      <c r="D22" s="4" t="s">
        <v>933</v>
      </c>
      <c r="E22" s="5">
        <v>3200</v>
      </c>
      <c r="F22" s="6">
        <v>35.375999999999998</v>
      </c>
      <c r="G22" s="7">
        <v>2.0517371E-2</v>
      </c>
      <c r="H22" s="6"/>
    </row>
    <row r="23" spans="1:8" x14ac:dyDescent="0.2">
      <c r="A23" s="3">
        <v>17</v>
      </c>
      <c r="B23" s="4" t="s">
        <v>444</v>
      </c>
      <c r="C23" s="4" t="s">
        <v>445</v>
      </c>
      <c r="D23" s="4" t="s">
        <v>71</v>
      </c>
      <c r="E23" s="5">
        <v>1421</v>
      </c>
      <c r="F23" s="6">
        <v>34.931021999999999</v>
      </c>
      <c r="G23" s="7">
        <v>2.0259292000000002E-2</v>
      </c>
      <c r="H23" s="6"/>
    </row>
    <row r="24" spans="1:8" x14ac:dyDescent="0.2">
      <c r="A24" s="3">
        <v>18</v>
      </c>
      <c r="B24" s="4" t="s">
        <v>384</v>
      </c>
      <c r="C24" s="4" t="s">
        <v>385</v>
      </c>
      <c r="D24" s="4" t="s">
        <v>947</v>
      </c>
      <c r="E24" s="5">
        <v>960</v>
      </c>
      <c r="F24" s="6">
        <v>34.048319999999997</v>
      </c>
      <c r="G24" s="7">
        <v>1.9747343000000001E-2</v>
      </c>
      <c r="H24" s="6"/>
    </row>
    <row r="25" spans="1:8" x14ac:dyDescent="0.2">
      <c r="A25" s="3">
        <v>19</v>
      </c>
      <c r="B25" s="4" t="s">
        <v>400</v>
      </c>
      <c r="C25" s="4" t="s">
        <v>401</v>
      </c>
      <c r="D25" s="4" t="s">
        <v>960</v>
      </c>
      <c r="E25" s="5">
        <v>12606</v>
      </c>
      <c r="F25" s="6">
        <v>32.718873000000002</v>
      </c>
      <c r="G25" s="7">
        <v>1.897629E-2</v>
      </c>
      <c r="H25" s="6"/>
    </row>
    <row r="26" spans="1:8" x14ac:dyDescent="0.2">
      <c r="A26" s="3">
        <v>20</v>
      </c>
      <c r="B26" s="4" t="s">
        <v>303</v>
      </c>
      <c r="C26" s="4" t="s">
        <v>304</v>
      </c>
      <c r="D26" s="4" t="s">
        <v>91</v>
      </c>
      <c r="E26" s="5">
        <v>6000</v>
      </c>
      <c r="F26" s="6">
        <v>32.402999999999999</v>
      </c>
      <c r="G26" s="7">
        <v>1.8793089999999998E-2</v>
      </c>
      <c r="H26" s="6"/>
    </row>
    <row r="27" spans="1:8" x14ac:dyDescent="0.2">
      <c r="A27" s="3">
        <v>21</v>
      </c>
      <c r="B27" s="4" t="s">
        <v>394</v>
      </c>
      <c r="C27" s="4" t="s">
        <v>395</v>
      </c>
      <c r="D27" s="4" t="s">
        <v>947</v>
      </c>
      <c r="E27" s="5">
        <v>3000</v>
      </c>
      <c r="F27" s="6">
        <v>32.377499999999998</v>
      </c>
      <c r="G27" s="7">
        <v>1.8778301000000001E-2</v>
      </c>
      <c r="H27" s="6"/>
    </row>
    <row r="28" spans="1:8" x14ac:dyDescent="0.2">
      <c r="A28" s="3">
        <v>22</v>
      </c>
      <c r="B28" s="4" t="s">
        <v>290</v>
      </c>
      <c r="C28" s="4" t="s">
        <v>291</v>
      </c>
      <c r="D28" s="4" t="s">
        <v>18</v>
      </c>
      <c r="E28" s="5">
        <v>25574</v>
      </c>
      <c r="F28" s="6">
        <v>28.873045999999999</v>
      </c>
      <c r="G28" s="7">
        <v>1.6745788000000001E-2</v>
      </c>
      <c r="H28" s="6"/>
    </row>
    <row r="29" spans="1:8" x14ac:dyDescent="0.2">
      <c r="A29" s="3">
        <v>23</v>
      </c>
      <c r="B29" s="4" t="s">
        <v>87</v>
      </c>
      <c r="C29" s="4" t="s">
        <v>88</v>
      </c>
      <c r="D29" s="4" t="s">
        <v>940</v>
      </c>
      <c r="E29" s="5">
        <v>1240</v>
      </c>
      <c r="F29" s="6">
        <v>28.614239999999999</v>
      </c>
      <c r="G29" s="7">
        <v>1.6595684999999999E-2</v>
      </c>
      <c r="H29" s="6"/>
    </row>
    <row r="30" spans="1:8" x14ac:dyDescent="0.2">
      <c r="A30" s="3">
        <v>24</v>
      </c>
      <c r="B30" s="4" t="s">
        <v>407</v>
      </c>
      <c r="C30" s="4" t="s">
        <v>408</v>
      </c>
      <c r="D30" s="4" t="s">
        <v>18</v>
      </c>
      <c r="E30" s="5">
        <v>1570</v>
      </c>
      <c r="F30" s="6">
        <v>28.114775000000002</v>
      </c>
      <c r="G30" s="7">
        <v>1.6306006000000001E-2</v>
      </c>
      <c r="H30" s="6"/>
    </row>
    <row r="31" spans="1:8" ht="25.5" x14ac:dyDescent="0.2">
      <c r="A31" s="3">
        <v>25</v>
      </c>
      <c r="B31" s="4" t="s">
        <v>158</v>
      </c>
      <c r="C31" s="4" t="s">
        <v>159</v>
      </c>
      <c r="D31" s="4" t="s">
        <v>941</v>
      </c>
      <c r="E31" s="5">
        <v>3500</v>
      </c>
      <c r="F31" s="6">
        <v>24.816749999999999</v>
      </c>
      <c r="G31" s="7">
        <v>1.4393217E-2</v>
      </c>
      <c r="H31" s="6"/>
    </row>
    <row r="32" spans="1:8" ht="25.5" x14ac:dyDescent="0.2">
      <c r="A32" s="3">
        <v>26</v>
      </c>
      <c r="B32" s="4" t="s">
        <v>388</v>
      </c>
      <c r="C32" s="4" t="s">
        <v>389</v>
      </c>
      <c r="D32" s="4" t="s">
        <v>945</v>
      </c>
      <c r="E32" s="5">
        <v>2650</v>
      </c>
      <c r="F32" s="6">
        <v>24.609224999999999</v>
      </c>
      <c r="G32" s="7">
        <v>1.4272857E-2</v>
      </c>
      <c r="H32" s="6"/>
    </row>
    <row r="33" spans="1:8" x14ac:dyDescent="0.2">
      <c r="A33" s="3">
        <v>27</v>
      </c>
      <c r="B33" s="4" t="s">
        <v>288</v>
      </c>
      <c r="C33" s="4" t="s">
        <v>289</v>
      </c>
      <c r="D33" s="4" t="s">
        <v>18</v>
      </c>
      <c r="E33" s="5">
        <v>25000</v>
      </c>
      <c r="F33" s="6">
        <v>24</v>
      </c>
      <c r="G33" s="7">
        <v>1.3919519E-2</v>
      </c>
      <c r="H33" s="6"/>
    </row>
    <row r="34" spans="1:8" x14ac:dyDescent="0.2">
      <c r="A34" s="3">
        <v>28</v>
      </c>
      <c r="B34" s="4" t="s">
        <v>50</v>
      </c>
      <c r="C34" s="4" t="s">
        <v>51</v>
      </c>
      <c r="D34" s="4" t="s">
        <v>938</v>
      </c>
      <c r="E34" s="5">
        <v>3551</v>
      </c>
      <c r="F34" s="6">
        <v>22.953664</v>
      </c>
      <c r="G34" s="7">
        <v>1.3312665E-2</v>
      </c>
      <c r="H34" s="6"/>
    </row>
    <row r="35" spans="1:8" x14ac:dyDescent="0.2">
      <c r="A35" s="3">
        <v>29</v>
      </c>
      <c r="B35" s="4" t="s">
        <v>40</v>
      </c>
      <c r="C35" s="4" t="s">
        <v>41</v>
      </c>
      <c r="D35" s="4" t="s">
        <v>13</v>
      </c>
      <c r="E35" s="5">
        <v>5912</v>
      </c>
      <c r="F35" s="6">
        <v>21.436912</v>
      </c>
      <c r="G35" s="7">
        <v>1.2432979E-2</v>
      </c>
      <c r="H35" s="6"/>
    </row>
    <row r="36" spans="1:8" ht="25.5" x14ac:dyDescent="0.2">
      <c r="A36" s="3">
        <v>30</v>
      </c>
      <c r="B36" s="4" t="s">
        <v>490</v>
      </c>
      <c r="C36" s="4" t="s">
        <v>491</v>
      </c>
      <c r="D36" s="4" t="s">
        <v>935</v>
      </c>
      <c r="E36" s="5">
        <v>1871</v>
      </c>
      <c r="F36" s="6">
        <v>20.357415499999998</v>
      </c>
      <c r="G36" s="7">
        <v>1.1806893000000001E-2</v>
      </c>
      <c r="H36" s="6"/>
    </row>
    <row r="37" spans="1:8" x14ac:dyDescent="0.2">
      <c r="A37" s="3">
        <v>31</v>
      </c>
      <c r="B37" s="4" t="s">
        <v>492</v>
      </c>
      <c r="C37" s="4" t="s">
        <v>493</v>
      </c>
      <c r="D37" s="4" t="s">
        <v>302</v>
      </c>
      <c r="E37" s="5">
        <v>7000</v>
      </c>
      <c r="F37" s="6">
        <v>19.984999999999999</v>
      </c>
      <c r="G37" s="7">
        <v>1.1590899E-2</v>
      </c>
      <c r="H37" s="6"/>
    </row>
    <row r="38" spans="1:8" ht="25.5" x14ac:dyDescent="0.2">
      <c r="A38" s="3">
        <v>32</v>
      </c>
      <c r="B38" s="4" t="s">
        <v>357</v>
      </c>
      <c r="C38" s="4" t="s">
        <v>358</v>
      </c>
      <c r="D38" s="4" t="s">
        <v>950</v>
      </c>
      <c r="E38" s="5">
        <v>2272</v>
      </c>
      <c r="F38" s="6">
        <v>18.715599999999998</v>
      </c>
      <c r="G38" s="7">
        <v>1.0854673E-2</v>
      </c>
      <c r="H38" s="6"/>
    </row>
    <row r="39" spans="1:8" ht="25.5" x14ac:dyDescent="0.2">
      <c r="A39" s="3">
        <v>33</v>
      </c>
      <c r="B39" s="4" t="s">
        <v>494</v>
      </c>
      <c r="C39" s="4" t="s">
        <v>495</v>
      </c>
      <c r="D39" s="4" t="s">
        <v>945</v>
      </c>
      <c r="E39" s="5">
        <v>1814</v>
      </c>
      <c r="F39" s="6">
        <v>17.798967999999999</v>
      </c>
      <c r="G39" s="7">
        <v>1.0323044E-2</v>
      </c>
      <c r="H39" s="6"/>
    </row>
    <row r="40" spans="1:8" x14ac:dyDescent="0.2">
      <c r="A40" s="3">
        <v>34</v>
      </c>
      <c r="B40" s="4" t="s">
        <v>390</v>
      </c>
      <c r="C40" s="4" t="s">
        <v>391</v>
      </c>
      <c r="D40" s="4" t="s">
        <v>960</v>
      </c>
      <c r="E40" s="5">
        <v>788</v>
      </c>
      <c r="F40" s="6">
        <v>17.610617999999999</v>
      </c>
      <c r="G40" s="7">
        <v>1.0213804999999999E-2</v>
      </c>
      <c r="H40" s="6"/>
    </row>
    <row r="41" spans="1:8" ht="25.5" x14ac:dyDescent="0.2">
      <c r="A41" s="3">
        <v>35</v>
      </c>
      <c r="B41" s="4" t="s">
        <v>325</v>
      </c>
      <c r="C41" s="4" t="s">
        <v>326</v>
      </c>
      <c r="D41" s="4" t="s">
        <v>945</v>
      </c>
      <c r="E41" s="5">
        <v>462</v>
      </c>
      <c r="F41" s="6">
        <v>14.792547000000001</v>
      </c>
      <c r="G41" s="7">
        <v>8.5793810000000005E-3</v>
      </c>
      <c r="H41" s="6"/>
    </row>
    <row r="42" spans="1:8" x14ac:dyDescent="0.2">
      <c r="A42" s="3">
        <v>36</v>
      </c>
      <c r="B42" s="4" t="s">
        <v>392</v>
      </c>
      <c r="C42" s="4" t="s">
        <v>393</v>
      </c>
      <c r="D42" s="4" t="s">
        <v>947</v>
      </c>
      <c r="E42" s="5">
        <v>2582</v>
      </c>
      <c r="F42" s="6">
        <v>13.137216</v>
      </c>
      <c r="G42" s="7">
        <v>7.6193220000000004E-3</v>
      </c>
      <c r="H42" s="6"/>
    </row>
    <row r="43" spans="1:8" ht="25.5" x14ac:dyDescent="0.2">
      <c r="A43" s="3">
        <v>27</v>
      </c>
      <c r="B43" s="4" t="s">
        <v>409</v>
      </c>
      <c r="C43" s="4" t="s">
        <v>926</v>
      </c>
      <c r="D43" s="4" t="s">
        <v>21</v>
      </c>
      <c r="E43" s="5">
        <v>482</v>
      </c>
      <c r="F43" s="6">
        <v>1.653019</v>
      </c>
      <c r="G43" s="7">
        <v>9.5871800000000001E-4</v>
      </c>
      <c r="H43" s="6"/>
    </row>
    <row r="44" spans="1:8" ht="14.1" customHeight="1" x14ac:dyDescent="0.2">
      <c r="A44" s="1"/>
      <c r="B44" s="1"/>
      <c r="C44" s="2" t="s">
        <v>111</v>
      </c>
      <c r="D44" s="1"/>
      <c r="E44" s="1" t="s">
        <v>112</v>
      </c>
      <c r="F44" s="9">
        <v>1694.1989964999996</v>
      </c>
      <c r="G44" s="10">
        <v>0.98260144099999991</v>
      </c>
      <c r="H44" s="6"/>
    </row>
    <row r="45" spans="1:8" ht="14.1" customHeight="1" x14ac:dyDescent="0.2">
      <c r="A45" s="1"/>
      <c r="B45" s="1"/>
      <c r="C45" s="11"/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113</v>
      </c>
      <c r="D46" s="1"/>
      <c r="E46" s="1"/>
      <c r="F46" s="1"/>
      <c r="G46" s="1"/>
      <c r="H46" s="6"/>
    </row>
    <row r="47" spans="1:8" ht="14.1" customHeight="1" x14ac:dyDescent="0.2">
      <c r="A47" s="1"/>
      <c r="B47" s="1"/>
      <c r="C47" s="2" t="s">
        <v>111</v>
      </c>
      <c r="D47" s="1"/>
      <c r="E47" s="1" t="s">
        <v>112</v>
      </c>
      <c r="F47" s="13">
        <v>0</v>
      </c>
      <c r="G47" s="14">
        <v>0</v>
      </c>
      <c r="H47" s="6"/>
    </row>
    <row r="48" spans="1:8" ht="14.1" customHeight="1" x14ac:dyDescent="0.2">
      <c r="A48" s="1"/>
      <c r="B48" s="1"/>
      <c r="C48" s="11"/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114</v>
      </c>
      <c r="D49" s="1"/>
      <c r="E49" s="1"/>
      <c r="F49" s="1"/>
      <c r="G49" s="1"/>
      <c r="H49" s="6"/>
    </row>
    <row r="50" spans="1:8" ht="14.1" customHeight="1" x14ac:dyDescent="0.2">
      <c r="A50" s="1"/>
      <c r="B50" s="1"/>
      <c r="C50" s="2" t="s">
        <v>111</v>
      </c>
      <c r="D50" s="1"/>
      <c r="E50" s="1" t="s">
        <v>112</v>
      </c>
      <c r="F50" s="13">
        <v>0</v>
      </c>
      <c r="G50" s="14">
        <v>0</v>
      </c>
      <c r="H50" s="6"/>
    </row>
    <row r="51" spans="1:8" ht="14.1" customHeight="1" x14ac:dyDescent="0.2">
      <c r="A51" s="1"/>
      <c r="B51" s="1"/>
      <c r="C51" s="11"/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115</v>
      </c>
      <c r="D52" s="1"/>
      <c r="E52" s="1"/>
      <c r="F52" s="1"/>
      <c r="G52" s="1"/>
      <c r="H52" s="6"/>
    </row>
    <row r="53" spans="1:8" ht="14.1" customHeight="1" x14ac:dyDescent="0.2">
      <c r="A53" s="1"/>
      <c r="B53" s="1"/>
      <c r="C53" s="2" t="s">
        <v>111</v>
      </c>
      <c r="D53" s="1"/>
      <c r="E53" s="1" t="s">
        <v>112</v>
      </c>
      <c r="F53" s="9">
        <v>0</v>
      </c>
      <c r="G53" s="10">
        <v>0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116</v>
      </c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111</v>
      </c>
      <c r="D56" s="1"/>
      <c r="E56" s="1" t="s">
        <v>112</v>
      </c>
      <c r="F56" s="13">
        <v>0</v>
      </c>
      <c r="G56" s="14">
        <v>0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117</v>
      </c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111</v>
      </c>
      <c r="D59" s="1"/>
      <c r="E59" s="1" t="s">
        <v>112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8" customHeight="1" x14ac:dyDescent="0.2">
      <c r="A61" s="1"/>
      <c r="B61" s="1"/>
      <c r="C61" s="2" t="s">
        <v>118</v>
      </c>
      <c r="D61" s="1"/>
      <c r="E61" s="1"/>
      <c r="F61" s="9">
        <v>1694.1989965</v>
      </c>
      <c r="G61" s="10">
        <v>0.98260144100000002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119</v>
      </c>
      <c r="D63" s="1"/>
      <c r="E63" s="1"/>
      <c r="F63" s="12"/>
      <c r="G63" s="12"/>
      <c r="H63" s="6"/>
    </row>
    <row r="64" spans="1:8" ht="24" customHeight="1" x14ac:dyDescent="0.2">
      <c r="A64" s="1"/>
      <c r="B64" s="1"/>
      <c r="C64" s="2" t="s">
        <v>10</v>
      </c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111</v>
      </c>
      <c r="D65" s="1"/>
      <c r="E65" s="1" t="s">
        <v>112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120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111</v>
      </c>
      <c r="D68" s="1"/>
      <c r="E68" s="1" t="s">
        <v>112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121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122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123</v>
      </c>
      <c r="D76" s="1"/>
      <c r="E76" s="1"/>
      <c r="F76" s="9">
        <v>0</v>
      </c>
      <c r="G76" s="10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124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125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126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127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128</v>
      </c>
      <c r="D88" s="1"/>
      <c r="E88" s="1"/>
      <c r="F88" s="12"/>
      <c r="G88" s="12"/>
      <c r="H88" s="6"/>
    </row>
    <row r="89" spans="1:8" ht="17.100000000000001" customHeight="1" x14ac:dyDescent="0.2">
      <c r="A89" s="3">
        <v>1</v>
      </c>
      <c r="B89" s="4"/>
      <c r="C89" s="4" t="s">
        <v>129</v>
      </c>
      <c r="D89" s="4"/>
      <c r="E89" s="8"/>
      <c r="F89" s="6">
        <v>9.7575447000000004</v>
      </c>
      <c r="G89" s="7">
        <v>5.6591799999999998E-3</v>
      </c>
      <c r="H89" s="6">
        <v>3.9343919198424624</v>
      </c>
    </row>
    <row r="90" spans="1:8" ht="17.100000000000001" customHeight="1" x14ac:dyDescent="0.2">
      <c r="A90" s="3">
        <v>2</v>
      </c>
      <c r="B90" s="4"/>
      <c r="C90" s="4" t="s">
        <v>130</v>
      </c>
      <c r="D90" s="4"/>
      <c r="E90" s="8"/>
      <c r="F90" s="6">
        <v>0.64088270000000003</v>
      </c>
      <c r="G90" s="7">
        <v>3.7169900000000002E-4</v>
      </c>
      <c r="H90" s="6">
        <v>3.8</v>
      </c>
    </row>
    <row r="91" spans="1:8" ht="14.1" customHeight="1" x14ac:dyDescent="0.2">
      <c r="A91" s="1"/>
      <c r="B91" s="1"/>
      <c r="C91" s="2" t="s">
        <v>111</v>
      </c>
      <c r="D91" s="1"/>
      <c r="E91" s="1" t="s">
        <v>112</v>
      </c>
      <c r="F91" s="9">
        <v>10.398427399999999</v>
      </c>
      <c r="G91" s="10">
        <v>6.0308790000000003E-3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131</v>
      </c>
      <c r="D93" s="1"/>
      <c r="E93" s="1"/>
      <c r="F93" s="9">
        <v>10.398427399999999</v>
      </c>
      <c r="G93" s="10">
        <v>6.0308790000000003E-3</v>
      </c>
      <c r="H93" s="6"/>
    </row>
    <row r="94" spans="1:8" ht="14.1" customHeight="1" x14ac:dyDescent="0.2">
      <c r="A94" s="1"/>
      <c r="B94" s="1"/>
      <c r="C94" s="12"/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132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133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134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135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136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4"/>
      <c r="C107" s="4"/>
      <c r="D107" s="2"/>
      <c r="E107" s="1"/>
      <c r="F107" s="4"/>
      <c r="G107" s="8"/>
      <c r="H107" s="6"/>
    </row>
    <row r="108" spans="1:8" ht="18" customHeight="1" x14ac:dyDescent="0.2">
      <c r="A108" s="8"/>
      <c r="B108" s="4"/>
      <c r="C108" s="4" t="s">
        <v>137</v>
      </c>
      <c r="D108" s="4"/>
      <c r="E108" s="8"/>
      <c r="F108" s="6">
        <v>19.60012609</v>
      </c>
      <c r="G108" s="7">
        <v>1.136768E-2</v>
      </c>
      <c r="H108" s="6"/>
    </row>
    <row r="109" spans="1:8" ht="14.1" customHeight="1" x14ac:dyDescent="0.2">
      <c r="A109" s="11"/>
      <c r="B109" s="11"/>
      <c r="C109" s="2" t="s">
        <v>138</v>
      </c>
      <c r="D109" s="15"/>
      <c r="E109" s="15"/>
      <c r="F109" s="9">
        <v>1724.19754999</v>
      </c>
      <c r="G109" s="10">
        <v>1</v>
      </c>
      <c r="H109" s="6"/>
    </row>
    <row r="110" spans="1:8" ht="14.1" customHeight="1" x14ac:dyDescent="0.2">
      <c r="A110" s="18"/>
      <c r="B110" s="297" t="s">
        <v>112</v>
      </c>
      <c r="C110" s="297"/>
      <c r="D110" s="297"/>
      <c r="E110" s="297"/>
      <c r="F110" s="297"/>
      <c r="G110" s="20"/>
    </row>
    <row r="111" spans="1:8" ht="14.1" customHeight="1" x14ac:dyDescent="0.2">
      <c r="A111" s="18"/>
      <c r="B111" s="18"/>
      <c r="C111" s="18"/>
      <c r="D111" s="20"/>
      <c r="E111" s="20"/>
      <c r="F111" s="20"/>
      <c r="G111" s="20"/>
    </row>
    <row r="112" spans="1:8" ht="14.1" customHeight="1" x14ac:dyDescent="0.2">
      <c r="A112" s="18"/>
      <c r="B112" s="294" t="s">
        <v>140</v>
      </c>
      <c r="C112" s="295"/>
      <c r="D112" s="12" t="s">
        <v>112</v>
      </c>
      <c r="E112" s="21"/>
      <c r="F112" s="20"/>
      <c r="G112" s="20"/>
    </row>
    <row r="113" spans="1:7" ht="29.1" customHeight="1" x14ac:dyDescent="0.2">
      <c r="A113" s="18"/>
      <c r="B113" s="288" t="s">
        <v>141</v>
      </c>
      <c r="C113" s="289"/>
      <c r="D113" s="2" t="s">
        <v>142</v>
      </c>
      <c r="E113" s="21"/>
      <c r="F113" s="20"/>
      <c r="G113" s="20"/>
    </row>
    <row r="114" spans="1:7" ht="17.100000000000001" customHeight="1" x14ac:dyDescent="0.2">
      <c r="A114" s="18"/>
      <c r="B114" s="288" t="s">
        <v>143</v>
      </c>
      <c r="C114" s="289"/>
      <c r="D114" s="2" t="s">
        <v>142</v>
      </c>
      <c r="E114" s="21"/>
      <c r="F114" s="20"/>
      <c r="G114" s="20"/>
    </row>
    <row r="115" spans="1:7" ht="17.100000000000001" customHeight="1" x14ac:dyDescent="0.2">
      <c r="A115" s="18"/>
      <c r="B115" s="288" t="s">
        <v>144</v>
      </c>
      <c r="C115" s="289"/>
      <c r="D115" s="12" t="s">
        <v>112</v>
      </c>
      <c r="E115" s="21"/>
      <c r="F115" s="20"/>
      <c r="G115" s="20"/>
    </row>
    <row r="116" spans="1:7" ht="24" customHeight="1" x14ac:dyDescent="0.2">
      <c r="A116" s="22"/>
      <c r="B116" s="23" t="s">
        <v>112</v>
      </c>
      <c r="C116" s="23" t="s">
        <v>145</v>
      </c>
      <c r="D116" s="23" t="s">
        <v>146</v>
      </c>
      <c r="E116" s="22"/>
      <c r="F116" s="22"/>
      <c r="G116" s="22"/>
    </row>
    <row r="117" spans="1:7" ht="18" customHeight="1" x14ac:dyDescent="0.2">
      <c r="A117" s="22"/>
      <c r="B117" s="23" t="s">
        <v>147</v>
      </c>
      <c r="C117" s="23" t="s">
        <v>148</v>
      </c>
      <c r="D117" s="23" t="s">
        <v>149</v>
      </c>
      <c r="E117" s="22"/>
      <c r="F117" s="22"/>
      <c r="G117" s="22"/>
    </row>
    <row r="118" spans="1:7" ht="17.100000000000001" customHeight="1" x14ac:dyDescent="0.2">
      <c r="A118" s="22"/>
      <c r="B118" s="4" t="s">
        <v>150</v>
      </c>
      <c r="C118" s="24">
        <v>22.0868</v>
      </c>
      <c r="D118" s="24">
        <v>21.791699999999999</v>
      </c>
      <c r="E118" s="22"/>
      <c r="F118" s="19"/>
      <c r="G118" s="25"/>
    </row>
    <row r="119" spans="1:7" ht="17.100000000000001" customHeight="1" x14ac:dyDescent="0.2">
      <c r="A119" s="22"/>
      <c r="B119" s="4" t="s">
        <v>1114</v>
      </c>
      <c r="C119" s="24">
        <v>18.399100000000001</v>
      </c>
      <c r="D119" s="24">
        <v>18.153300000000002</v>
      </c>
      <c r="E119" s="22"/>
      <c r="F119" s="19"/>
      <c r="G119" s="25"/>
    </row>
    <row r="120" spans="1:7" ht="17.100000000000001" customHeight="1" x14ac:dyDescent="0.2">
      <c r="A120" s="22"/>
      <c r="B120" s="4" t="s">
        <v>151</v>
      </c>
      <c r="C120" s="24">
        <v>21.5655</v>
      </c>
      <c r="D120" s="24">
        <v>21.2712</v>
      </c>
      <c r="E120" s="22"/>
      <c r="F120" s="19"/>
      <c r="G120" s="25"/>
    </row>
    <row r="121" spans="1:7" ht="17.100000000000001" customHeight="1" x14ac:dyDescent="0.2">
      <c r="A121" s="22"/>
      <c r="B121" s="4" t="s">
        <v>1115</v>
      </c>
      <c r="C121" s="24">
        <v>17.903700000000001</v>
      </c>
      <c r="D121" s="24">
        <v>17.659300000000002</v>
      </c>
      <c r="E121" s="22"/>
      <c r="F121" s="19"/>
      <c r="G121" s="25"/>
    </row>
    <row r="122" spans="1:7" ht="14.1" customHeight="1" x14ac:dyDescent="0.2">
      <c r="A122" s="22"/>
      <c r="B122" s="22"/>
      <c r="C122" s="22"/>
      <c r="D122" s="22"/>
      <c r="E122" s="22"/>
      <c r="F122" s="22"/>
      <c r="G122" s="22"/>
    </row>
    <row r="123" spans="1:7" ht="17.100000000000001" customHeight="1" x14ac:dyDescent="0.2">
      <c r="A123" s="22"/>
      <c r="B123" s="288" t="s">
        <v>1116</v>
      </c>
      <c r="C123" s="289"/>
      <c r="D123" s="2" t="s">
        <v>142</v>
      </c>
      <c r="E123" s="22"/>
      <c r="F123" s="22"/>
      <c r="G123" s="22"/>
    </row>
    <row r="124" spans="1:7" ht="14.1" customHeight="1" x14ac:dyDescent="0.2">
      <c r="A124" s="22"/>
      <c r="B124" s="19"/>
      <c r="C124" s="19"/>
      <c r="D124" s="22"/>
      <c r="E124" s="22"/>
      <c r="F124" s="22"/>
      <c r="G124" s="22"/>
    </row>
    <row r="125" spans="1:7" ht="29.1" customHeight="1" x14ac:dyDescent="0.2">
      <c r="A125" s="22"/>
      <c r="B125" s="288" t="s">
        <v>153</v>
      </c>
      <c r="C125" s="289"/>
      <c r="D125" s="2" t="s">
        <v>142</v>
      </c>
      <c r="E125" s="22"/>
      <c r="F125" s="22"/>
      <c r="G125" s="22"/>
    </row>
    <row r="126" spans="1:7" ht="29.1" customHeight="1" x14ac:dyDescent="0.2">
      <c r="A126" s="22"/>
      <c r="B126" s="288" t="s">
        <v>154</v>
      </c>
      <c r="C126" s="289"/>
      <c r="D126" s="2" t="s">
        <v>142</v>
      </c>
      <c r="E126" s="22"/>
      <c r="F126" s="22"/>
      <c r="G126" s="22"/>
    </row>
    <row r="127" spans="1:7" ht="17.100000000000001" customHeight="1" x14ac:dyDescent="0.2">
      <c r="A127" s="22"/>
      <c r="B127" s="288" t="s">
        <v>155</v>
      </c>
      <c r="C127" s="289"/>
      <c r="D127" s="26">
        <v>0.18023373285267971</v>
      </c>
      <c r="E127" s="22"/>
      <c r="F127" s="19"/>
      <c r="G127" s="25"/>
    </row>
    <row r="128" spans="1:7" ht="17.100000000000001" customHeight="1" x14ac:dyDescent="0.2">
      <c r="A128" s="22"/>
      <c r="B128" s="288" t="s">
        <v>156</v>
      </c>
      <c r="C128" s="289"/>
      <c r="D128" s="2" t="s">
        <v>142</v>
      </c>
      <c r="E128" s="22"/>
      <c r="F128" s="22"/>
      <c r="G128" s="22"/>
    </row>
    <row r="130" spans="10:15" x14ac:dyDescent="0.2">
      <c r="J130" s="66"/>
      <c r="K130" s="66"/>
      <c r="L130" s="66"/>
      <c r="M130" s="66"/>
      <c r="N130" s="66"/>
      <c r="O130" s="66"/>
    </row>
  </sheetData>
  <mergeCells count="14">
    <mergeCell ref="A1:H1"/>
    <mergeCell ref="A2:H2"/>
    <mergeCell ref="A3:H3"/>
    <mergeCell ref="B112:C112"/>
    <mergeCell ref="J2:N2"/>
    <mergeCell ref="B110:F110"/>
    <mergeCell ref="B127:C127"/>
    <mergeCell ref="B128:C128"/>
    <mergeCell ref="B113:C113"/>
    <mergeCell ref="B114:C114"/>
    <mergeCell ref="B115:C115"/>
    <mergeCell ref="B123:C123"/>
    <mergeCell ref="B125:C125"/>
    <mergeCell ref="B126:C12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12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496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3744</v>
      </c>
      <c r="F7" s="6">
        <v>104.46696</v>
      </c>
      <c r="G7" s="7">
        <v>9.1873997999999998E-2</v>
      </c>
      <c r="H7" s="6"/>
    </row>
    <row r="8" spans="1:14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13152</v>
      </c>
      <c r="F8" s="6">
        <v>97.758815999999996</v>
      </c>
      <c r="G8" s="7">
        <v>8.5974487000000002E-2</v>
      </c>
      <c r="H8" s="6"/>
    </row>
    <row r="9" spans="1:14" x14ac:dyDescent="0.2">
      <c r="A9" s="3">
        <v>3</v>
      </c>
      <c r="B9" s="4" t="s">
        <v>380</v>
      </c>
      <c r="C9" s="4" t="s">
        <v>381</v>
      </c>
      <c r="D9" s="4" t="s">
        <v>947</v>
      </c>
      <c r="E9" s="5">
        <v>5779</v>
      </c>
      <c r="F9" s="6">
        <v>90.588714499999995</v>
      </c>
      <c r="G9" s="7">
        <v>7.9668704000000007E-2</v>
      </c>
      <c r="H9" s="6"/>
    </row>
    <row r="10" spans="1:14" x14ac:dyDescent="0.2">
      <c r="A10" s="3">
        <v>4</v>
      </c>
      <c r="B10" s="4" t="s">
        <v>349</v>
      </c>
      <c r="C10" s="4" t="s">
        <v>350</v>
      </c>
      <c r="D10" s="4" t="s">
        <v>18</v>
      </c>
      <c r="E10" s="5">
        <v>4906</v>
      </c>
      <c r="F10" s="6">
        <v>67.928476000000003</v>
      </c>
      <c r="G10" s="7">
        <v>5.9740043E-2</v>
      </c>
      <c r="H10" s="6"/>
    </row>
    <row r="11" spans="1:14" x14ac:dyDescent="0.2">
      <c r="A11" s="3">
        <v>5</v>
      </c>
      <c r="B11" s="4" t="s">
        <v>296</v>
      </c>
      <c r="C11" s="4" t="s">
        <v>297</v>
      </c>
      <c r="D11" s="4" t="s">
        <v>956</v>
      </c>
      <c r="E11" s="5">
        <v>5389</v>
      </c>
      <c r="F11" s="6">
        <v>58.392509500000003</v>
      </c>
      <c r="G11" s="7">
        <v>5.1353588999999998E-2</v>
      </c>
      <c r="H11" s="6"/>
    </row>
    <row r="12" spans="1:14" x14ac:dyDescent="0.2">
      <c r="A12" s="3">
        <v>6</v>
      </c>
      <c r="B12" s="4" t="s">
        <v>48</v>
      </c>
      <c r="C12" s="4" t="s">
        <v>49</v>
      </c>
      <c r="D12" s="4" t="s">
        <v>18</v>
      </c>
      <c r="E12" s="5">
        <v>11261</v>
      </c>
      <c r="F12" s="6">
        <v>55.888342999999999</v>
      </c>
      <c r="G12" s="7">
        <v>4.9151287000000002E-2</v>
      </c>
      <c r="H12" s="6"/>
    </row>
    <row r="13" spans="1:14" ht="25.5" x14ac:dyDescent="0.2">
      <c r="A13" s="3">
        <v>7</v>
      </c>
      <c r="B13" s="4" t="s">
        <v>382</v>
      </c>
      <c r="C13" s="4" t="s">
        <v>383</v>
      </c>
      <c r="D13" s="4" t="s">
        <v>82</v>
      </c>
      <c r="E13" s="5">
        <v>2230</v>
      </c>
      <c r="F13" s="6">
        <v>49.72231</v>
      </c>
      <c r="G13" s="7">
        <v>4.3728537999999997E-2</v>
      </c>
      <c r="H13" s="6"/>
    </row>
    <row r="14" spans="1:14" x14ac:dyDescent="0.2">
      <c r="A14" s="3">
        <v>8</v>
      </c>
      <c r="B14" s="4" t="s">
        <v>294</v>
      </c>
      <c r="C14" s="4" t="s">
        <v>295</v>
      </c>
      <c r="D14" s="4" t="s">
        <v>18</v>
      </c>
      <c r="E14" s="5">
        <v>5335</v>
      </c>
      <c r="F14" s="6">
        <v>38.870809999999999</v>
      </c>
      <c r="G14" s="7">
        <v>3.4185131000000001E-2</v>
      </c>
      <c r="H14" s="6"/>
    </row>
    <row r="15" spans="1:14" ht="15" x14ac:dyDescent="0.2">
      <c r="A15" s="3">
        <v>9</v>
      </c>
      <c r="B15" s="4" t="s">
        <v>14</v>
      </c>
      <c r="C15" s="4" t="s">
        <v>15</v>
      </c>
      <c r="D15" s="4" t="s">
        <v>64</v>
      </c>
      <c r="E15" s="5">
        <v>2233</v>
      </c>
      <c r="F15" s="6">
        <v>37.834835499999997</v>
      </c>
      <c r="G15" s="7">
        <v>3.3274037999999999E-2</v>
      </c>
      <c r="H15" s="6"/>
      <c r="J15" s="192" t="s">
        <v>1145</v>
      </c>
    </row>
    <row r="16" spans="1:14" x14ac:dyDescent="0.2">
      <c r="A16" s="3">
        <v>10</v>
      </c>
      <c r="B16" s="4" t="s">
        <v>19</v>
      </c>
      <c r="C16" s="4" t="s">
        <v>20</v>
      </c>
      <c r="D16" s="4" t="s">
        <v>21</v>
      </c>
      <c r="E16" s="5">
        <v>4570</v>
      </c>
      <c r="F16" s="6">
        <v>33.772300000000001</v>
      </c>
      <c r="G16" s="7">
        <v>2.9701221E-2</v>
      </c>
      <c r="H16" s="6"/>
    </row>
    <row r="17" spans="1:8" ht="25.5" x14ac:dyDescent="0.2">
      <c r="A17" s="3">
        <v>11</v>
      </c>
      <c r="B17" s="4" t="s">
        <v>22</v>
      </c>
      <c r="C17" s="4" t="s">
        <v>23</v>
      </c>
      <c r="D17" s="4" t="s">
        <v>935</v>
      </c>
      <c r="E17" s="5">
        <v>501</v>
      </c>
      <c r="F17" s="6">
        <v>33.217552499999996</v>
      </c>
      <c r="G17" s="7">
        <v>2.9213345000000002E-2</v>
      </c>
      <c r="H17" s="6"/>
    </row>
    <row r="18" spans="1:8" x14ac:dyDescent="0.2">
      <c r="A18" s="3">
        <v>12</v>
      </c>
      <c r="B18" s="4" t="s">
        <v>424</v>
      </c>
      <c r="C18" s="4" t="s">
        <v>425</v>
      </c>
      <c r="D18" s="4" t="s">
        <v>959</v>
      </c>
      <c r="E18" s="5">
        <v>7590</v>
      </c>
      <c r="F18" s="6">
        <v>33.213839999999998</v>
      </c>
      <c r="G18" s="7">
        <v>2.9210079999999999E-2</v>
      </c>
      <c r="H18" s="6"/>
    </row>
    <row r="19" spans="1:8" x14ac:dyDescent="0.2">
      <c r="A19" s="3">
        <v>13</v>
      </c>
      <c r="B19" s="4" t="s">
        <v>384</v>
      </c>
      <c r="C19" s="4" t="s">
        <v>385</v>
      </c>
      <c r="D19" s="4" t="s">
        <v>947</v>
      </c>
      <c r="E19" s="5">
        <v>672</v>
      </c>
      <c r="F19" s="6">
        <v>23.833824</v>
      </c>
      <c r="G19" s="7">
        <v>2.0960777E-2</v>
      </c>
      <c r="H19" s="6"/>
    </row>
    <row r="20" spans="1:8" x14ac:dyDescent="0.2">
      <c r="A20" s="3">
        <v>14</v>
      </c>
      <c r="B20" s="4" t="s">
        <v>444</v>
      </c>
      <c r="C20" s="4" t="s">
        <v>445</v>
      </c>
      <c r="D20" s="4" t="s">
        <v>71</v>
      </c>
      <c r="E20" s="5">
        <v>959</v>
      </c>
      <c r="F20" s="6">
        <v>23.574138000000001</v>
      </c>
      <c r="G20" s="7">
        <v>2.0732395000000001E-2</v>
      </c>
      <c r="H20" s="6"/>
    </row>
    <row r="21" spans="1:8" x14ac:dyDescent="0.2">
      <c r="A21" s="3">
        <v>15</v>
      </c>
      <c r="B21" s="4" t="s">
        <v>400</v>
      </c>
      <c r="C21" s="4" t="s">
        <v>401</v>
      </c>
      <c r="D21" s="4" t="s">
        <v>960</v>
      </c>
      <c r="E21" s="5">
        <v>8677</v>
      </c>
      <c r="F21" s="6">
        <v>22.5211535</v>
      </c>
      <c r="G21" s="7">
        <v>1.9806343000000001E-2</v>
      </c>
      <c r="H21" s="6"/>
    </row>
    <row r="22" spans="1:8" x14ac:dyDescent="0.2">
      <c r="A22" s="3">
        <v>16</v>
      </c>
      <c r="B22" s="4" t="s">
        <v>407</v>
      </c>
      <c r="C22" s="4" t="s">
        <v>408</v>
      </c>
      <c r="D22" s="4" t="s">
        <v>18</v>
      </c>
      <c r="E22" s="5">
        <v>1213</v>
      </c>
      <c r="F22" s="6">
        <v>21.721797500000001</v>
      </c>
      <c r="G22" s="7">
        <v>1.9103345000000001E-2</v>
      </c>
      <c r="H22" s="6"/>
    </row>
    <row r="23" spans="1:8" ht="25.5" x14ac:dyDescent="0.2">
      <c r="A23" s="3">
        <v>17</v>
      </c>
      <c r="B23" s="4" t="s">
        <v>217</v>
      </c>
      <c r="C23" s="4" t="s">
        <v>218</v>
      </c>
      <c r="D23" s="4" t="s">
        <v>946</v>
      </c>
      <c r="E23" s="5">
        <v>526</v>
      </c>
      <c r="F23" s="6">
        <v>20.681267999999999</v>
      </c>
      <c r="G23" s="7">
        <v>1.8188246000000002E-2</v>
      </c>
      <c r="H23" s="6"/>
    </row>
    <row r="24" spans="1:8" x14ac:dyDescent="0.2">
      <c r="A24" s="3">
        <v>18</v>
      </c>
      <c r="B24" s="4" t="s">
        <v>303</v>
      </c>
      <c r="C24" s="4" t="s">
        <v>304</v>
      </c>
      <c r="D24" s="4" t="s">
        <v>91</v>
      </c>
      <c r="E24" s="5">
        <v>3810</v>
      </c>
      <c r="F24" s="6">
        <v>20.575904999999999</v>
      </c>
      <c r="G24" s="7">
        <v>1.8095584000000001E-2</v>
      </c>
      <c r="H24" s="6"/>
    </row>
    <row r="25" spans="1:8" x14ac:dyDescent="0.2">
      <c r="A25" s="3">
        <v>19</v>
      </c>
      <c r="B25" s="4" t="s">
        <v>386</v>
      </c>
      <c r="C25" s="4" t="s">
        <v>387</v>
      </c>
      <c r="D25" s="4" t="s">
        <v>933</v>
      </c>
      <c r="E25" s="5">
        <v>1859</v>
      </c>
      <c r="F25" s="6">
        <v>20.551245000000002</v>
      </c>
      <c r="G25" s="7">
        <v>1.8073896999999998E-2</v>
      </c>
      <c r="H25" s="6"/>
    </row>
    <row r="26" spans="1:8" x14ac:dyDescent="0.2">
      <c r="A26" s="3">
        <v>20</v>
      </c>
      <c r="B26" s="4" t="s">
        <v>394</v>
      </c>
      <c r="C26" s="4" t="s">
        <v>395</v>
      </c>
      <c r="D26" s="4" t="s">
        <v>947</v>
      </c>
      <c r="E26" s="5">
        <v>1859</v>
      </c>
      <c r="F26" s="6">
        <v>20.063257499999999</v>
      </c>
      <c r="G26" s="7">
        <v>1.7644733999999999E-2</v>
      </c>
      <c r="H26" s="6"/>
    </row>
    <row r="27" spans="1:8" x14ac:dyDescent="0.2">
      <c r="A27" s="3">
        <v>21</v>
      </c>
      <c r="B27" s="4" t="s">
        <v>288</v>
      </c>
      <c r="C27" s="4" t="s">
        <v>289</v>
      </c>
      <c r="D27" s="4" t="s">
        <v>18</v>
      </c>
      <c r="E27" s="5">
        <v>20799</v>
      </c>
      <c r="F27" s="6">
        <v>19.967040000000001</v>
      </c>
      <c r="G27" s="7">
        <v>1.7560115000000001E-2</v>
      </c>
      <c r="H27" s="6"/>
    </row>
    <row r="28" spans="1:8" ht="25.5" x14ac:dyDescent="0.2">
      <c r="A28" s="3">
        <v>22</v>
      </c>
      <c r="B28" s="4" t="s">
        <v>158</v>
      </c>
      <c r="C28" s="4" t="s">
        <v>159</v>
      </c>
      <c r="D28" s="4" t="s">
        <v>941</v>
      </c>
      <c r="E28" s="5">
        <v>2788</v>
      </c>
      <c r="F28" s="6">
        <v>19.768314</v>
      </c>
      <c r="G28" s="7">
        <v>1.7385344E-2</v>
      </c>
      <c r="H28" s="6"/>
    </row>
    <row r="29" spans="1:8" x14ac:dyDescent="0.2">
      <c r="A29" s="3">
        <v>23</v>
      </c>
      <c r="B29" s="4" t="s">
        <v>87</v>
      </c>
      <c r="C29" s="4" t="s">
        <v>88</v>
      </c>
      <c r="D29" s="4" t="s">
        <v>940</v>
      </c>
      <c r="E29" s="5">
        <v>827</v>
      </c>
      <c r="F29" s="6">
        <v>19.083852</v>
      </c>
      <c r="G29" s="7">
        <v>1.6783389999999999E-2</v>
      </c>
      <c r="H29" s="6"/>
    </row>
    <row r="30" spans="1:8" ht="25.5" x14ac:dyDescent="0.2">
      <c r="A30" s="3">
        <v>24</v>
      </c>
      <c r="B30" s="4" t="s">
        <v>339</v>
      </c>
      <c r="C30" s="4" t="s">
        <v>340</v>
      </c>
      <c r="D30" s="4" t="s">
        <v>957</v>
      </c>
      <c r="E30" s="5">
        <v>2059</v>
      </c>
      <c r="F30" s="6">
        <v>18.418784500000001</v>
      </c>
      <c r="G30" s="7">
        <v>1.6198493000000001E-2</v>
      </c>
      <c r="H30" s="6"/>
    </row>
    <row r="31" spans="1:8" x14ac:dyDescent="0.2">
      <c r="A31" s="3">
        <v>25</v>
      </c>
      <c r="B31" s="4" t="s">
        <v>231</v>
      </c>
      <c r="C31" s="4" t="s">
        <v>232</v>
      </c>
      <c r="D31" s="4" t="s">
        <v>233</v>
      </c>
      <c r="E31" s="5">
        <v>5791</v>
      </c>
      <c r="F31" s="6">
        <v>16.3219335</v>
      </c>
      <c r="G31" s="7">
        <v>1.4354407E-2</v>
      </c>
      <c r="H31" s="6"/>
    </row>
    <row r="32" spans="1:8" x14ac:dyDescent="0.2">
      <c r="A32" s="3">
        <v>26</v>
      </c>
      <c r="B32" s="4" t="s">
        <v>50</v>
      </c>
      <c r="C32" s="4" t="s">
        <v>51</v>
      </c>
      <c r="D32" s="4" t="s">
        <v>938</v>
      </c>
      <c r="E32" s="5">
        <v>2372</v>
      </c>
      <c r="F32" s="6">
        <v>15.332608</v>
      </c>
      <c r="G32" s="7">
        <v>1.3484339999999999E-2</v>
      </c>
      <c r="H32" s="6"/>
    </row>
    <row r="33" spans="1:8" x14ac:dyDescent="0.2">
      <c r="A33" s="3">
        <v>27</v>
      </c>
      <c r="B33" s="4" t="s">
        <v>40</v>
      </c>
      <c r="C33" s="4" t="s">
        <v>41</v>
      </c>
      <c r="D33" s="4" t="s">
        <v>13</v>
      </c>
      <c r="E33" s="5">
        <v>3989</v>
      </c>
      <c r="F33" s="6">
        <v>14.464114</v>
      </c>
      <c r="G33" s="7">
        <v>1.2720538E-2</v>
      </c>
      <c r="H33" s="6"/>
    </row>
    <row r="34" spans="1:8" ht="25.5" x14ac:dyDescent="0.2">
      <c r="A34" s="3">
        <v>28</v>
      </c>
      <c r="B34" s="4" t="s">
        <v>490</v>
      </c>
      <c r="C34" s="4" t="s">
        <v>491</v>
      </c>
      <c r="D34" s="4" t="s">
        <v>935</v>
      </c>
      <c r="E34" s="5">
        <v>1266</v>
      </c>
      <c r="F34" s="6">
        <v>13.774713</v>
      </c>
      <c r="G34" s="7">
        <v>1.2114241E-2</v>
      </c>
      <c r="H34" s="6"/>
    </row>
    <row r="35" spans="1:8" x14ac:dyDescent="0.2">
      <c r="A35" s="3">
        <v>29</v>
      </c>
      <c r="B35" s="4" t="s">
        <v>290</v>
      </c>
      <c r="C35" s="4" t="s">
        <v>291</v>
      </c>
      <c r="D35" s="4" t="s">
        <v>18</v>
      </c>
      <c r="E35" s="5">
        <v>12176</v>
      </c>
      <c r="F35" s="6">
        <v>13.746703999999999</v>
      </c>
      <c r="G35" s="7">
        <v>1.2089608999999999E-2</v>
      </c>
      <c r="H35" s="6"/>
    </row>
    <row r="36" spans="1:8" x14ac:dyDescent="0.2">
      <c r="A36" s="3">
        <v>30</v>
      </c>
      <c r="B36" s="4" t="s">
        <v>492</v>
      </c>
      <c r="C36" s="4" t="s">
        <v>493</v>
      </c>
      <c r="D36" s="4" t="s">
        <v>302</v>
      </c>
      <c r="E36" s="5">
        <v>4646</v>
      </c>
      <c r="F36" s="6">
        <v>13.264329999999999</v>
      </c>
      <c r="G36" s="7">
        <v>1.1665382E-2</v>
      </c>
      <c r="H36" s="6"/>
    </row>
    <row r="37" spans="1:8" ht="25.5" x14ac:dyDescent="0.2">
      <c r="A37" s="3">
        <v>31</v>
      </c>
      <c r="B37" s="4" t="s">
        <v>357</v>
      </c>
      <c r="C37" s="4" t="s">
        <v>358</v>
      </c>
      <c r="D37" s="4" t="s">
        <v>950</v>
      </c>
      <c r="E37" s="5">
        <v>1535</v>
      </c>
      <c r="F37" s="6">
        <v>12.644562499999999</v>
      </c>
      <c r="G37" s="7">
        <v>1.1120325E-2</v>
      </c>
      <c r="H37" s="6"/>
    </row>
    <row r="38" spans="1:8" ht="25.5" x14ac:dyDescent="0.2">
      <c r="A38" s="3">
        <v>32</v>
      </c>
      <c r="B38" s="4" t="s">
        <v>494</v>
      </c>
      <c r="C38" s="4" t="s">
        <v>495</v>
      </c>
      <c r="D38" s="4" t="s">
        <v>945</v>
      </c>
      <c r="E38" s="5">
        <v>1213</v>
      </c>
      <c r="F38" s="6">
        <v>11.901956</v>
      </c>
      <c r="G38" s="7">
        <v>1.0467236E-2</v>
      </c>
      <c r="H38" s="6"/>
    </row>
    <row r="39" spans="1:8" x14ac:dyDescent="0.2">
      <c r="A39" s="3">
        <v>33</v>
      </c>
      <c r="B39" s="4" t="s">
        <v>390</v>
      </c>
      <c r="C39" s="4" t="s">
        <v>391</v>
      </c>
      <c r="D39" s="4" t="s">
        <v>960</v>
      </c>
      <c r="E39" s="5">
        <v>517</v>
      </c>
      <c r="F39" s="6">
        <v>11.5541745</v>
      </c>
      <c r="G39" s="7">
        <v>1.0161376999999999E-2</v>
      </c>
      <c r="H39" s="6"/>
    </row>
    <row r="40" spans="1:8" ht="25.5" x14ac:dyDescent="0.2">
      <c r="A40" s="3">
        <v>34</v>
      </c>
      <c r="B40" s="4" t="s">
        <v>325</v>
      </c>
      <c r="C40" s="4" t="s">
        <v>326</v>
      </c>
      <c r="D40" s="4" t="s">
        <v>945</v>
      </c>
      <c r="E40" s="5">
        <v>311</v>
      </c>
      <c r="F40" s="6">
        <v>9.9577535000000008</v>
      </c>
      <c r="G40" s="7">
        <v>8.7573970000000001E-3</v>
      </c>
      <c r="H40" s="6"/>
    </row>
    <row r="41" spans="1:8" x14ac:dyDescent="0.2">
      <c r="A41" s="3">
        <v>35</v>
      </c>
      <c r="B41" s="4" t="s">
        <v>392</v>
      </c>
      <c r="C41" s="4" t="s">
        <v>393</v>
      </c>
      <c r="D41" s="4" t="s">
        <v>947</v>
      </c>
      <c r="E41" s="5">
        <v>1742</v>
      </c>
      <c r="F41" s="6">
        <v>8.8632960000000001</v>
      </c>
      <c r="G41" s="7">
        <v>7.7948710000000001E-3</v>
      </c>
      <c r="H41" s="6"/>
    </row>
    <row r="42" spans="1:8" ht="25.5" x14ac:dyDescent="0.2">
      <c r="A42" s="3">
        <v>36</v>
      </c>
      <c r="B42" s="4" t="s">
        <v>409</v>
      </c>
      <c r="C42" s="4" t="s">
        <v>926</v>
      </c>
      <c r="D42" s="4" t="s">
        <v>21</v>
      </c>
      <c r="E42" s="5">
        <v>327</v>
      </c>
      <c r="F42" s="6">
        <v>1.1214465</v>
      </c>
      <c r="G42" s="7">
        <v>9.862619999999999E-4</v>
      </c>
      <c r="H42" s="6"/>
    </row>
    <row r="43" spans="1:8" ht="14.1" customHeight="1" x14ac:dyDescent="0.2">
      <c r="A43" s="1"/>
      <c r="B43" s="1"/>
      <c r="C43" s="2" t="s">
        <v>111</v>
      </c>
      <c r="D43" s="1"/>
      <c r="E43" s="1" t="s">
        <v>112</v>
      </c>
      <c r="F43" s="9">
        <v>1095.3636375000001</v>
      </c>
      <c r="G43" s="10">
        <v>0.96332310899999973</v>
      </c>
      <c r="H43" s="6"/>
    </row>
    <row r="44" spans="1:8" ht="14.1" customHeight="1" x14ac:dyDescent="0.2">
      <c r="A44" s="1"/>
      <c r="B44" s="1"/>
      <c r="C44" s="11"/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113</v>
      </c>
      <c r="D45" s="1"/>
      <c r="E45" s="1"/>
      <c r="F45" s="1"/>
      <c r="G45" s="1"/>
      <c r="H45" s="6"/>
    </row>
    <row r="46" spans="1:8" ht="14.1" customHeight="1" x14ac:dyDescent="0.2">
      <c r="A46" s="1"/>
      <c r="B46" s="1"/>
      <c r="C46" s="2" t="s">
        <v>111</v>
      </c>
      <c r="D46" s="1"/>
      <c r="E46" s="1" t="s">
        <v>112</v>
      </c>
      <c r="F46" s="13">
        <v>0</v>
      </c>
      <c r="G46" s="14">
        <v>0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114</v>
      </c>
      <c r="D48" s="1"/>
      <c r="E48" s="1"/>
      <c r="F48" s="1"/>
      <c r="G48" s="1"/>
      <c r="H48" s="6"/>
    </row>
    <row r="49" spans="1:8" ht="14.1" customHeight="1" x14ac:dyDescent="0.2">
      <c r="A49" s="1"/>
      <c r="B49" s="1"/>
      <c r="C49" s="2" t="s">
        <v>111</v>
      </c>
      <c r="D49" s="1"/>
      <c r="E49" s="1" t="s">
        <v>112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115</v>
      </c>
      <c r="D51" s="1"/>
      <c r="E51" s="1"/>
      <c r="F51" s="1"/>
      <c r="G51" s="1"/>
      <c r="H51" s="6"/>
    </row>
    <row r="52" spans="1:8" ht="14.1" customHeight="1" x14ac:dyDescent="0.2">
      <c r="A52" s="1"/>
      <c r="B52" s="1"/>
      <c r="C52" s="2" t="s">
        <v>111</v>
      </c>
      <c r="D52" s="1"/>
      <c r="E52" s="1" t="s">
        <v>112</v>
      </c>
      <c r="F52" s="9">
        <v>0</v>
      </c>
      <c r="G52" s="10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116</v>
      </c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111</v>
      </c>
      <c r="D55" s="1"/>
      <c r="E55" s="1" t="s">
        <v>112</v>
      </c>
      <c r="F55" s="13">
        <v>0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117</v>
      </c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111</v>
      </c>
      <c r="D58" s="1"/>
      <c r="E58" s="1" t="s">
        <v>112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8" customHeight="1" x14ac:dyDescent="0.2">
      <c r="A60" s="1"/>
      <c r="B60" s="1"/>
      <c r="C60" s="2" t="s">
        <v>118</v>
      </c>
      <c r="D60" s="1"/>
      <c r="E60" s="1"/>
      <c r="F60" s="9">
        <v>1095.3636375000001</v>
      </c>
      <c r="G60" s="10">
        <v>0.96332310899999996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119</v>
      </c>
      <c r="D62" s="1"/>
      <c r="E62" s="1"/>
      <c r="F62" s="12"/>
      <c r="G62" s="12"/>
      <c r="H62" s="6"/>
    </row>
    <row r="63" spans="1:8" ht="24" customHeight="1" x14ac:dyDescent="0.2">
      <c r="A63" s="1"/>
      <c r="B63" s="1"/>
      <c r="C63" s="2" t="s">
        <v>10</v>
      </c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111</v>
      </c>
      <c r="D64" s="1"/>
      <c r="E64" s="1" t="s">
        <v>112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120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111</v>
      </c>
      <c r="D67" s="1"/>
      <c r="E67" s="1" t="s">
        <v>112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121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122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111</v>
      </c>
      <c r="D73" s="1"/>
      <c r="E73" s="1" t="s">
        <v>112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123</v>
      </c>
      <c r="D75" s="1"/>
      <c r="E75" s="1"/>
      <c r="F75" s="9">
        <v>0</v>
      </c>
      <c r="G75" s="10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124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125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126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127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128</v>
      </c>
      <c r="D87" s="1"/>
      <c r="E87" s="1"/>
      <c r="F87" s="12"/>
      <c r="G87" s="12"/>
      <c r="H87" s="6"/>
    </row>
    <row r="88" spans="1:8" ht="17.100000000000001" customHeight="1" x14ac:dyDescent="0.2">
      <c r="A88" s="3">
        <v>1</v>
      </c>
      <c r="B88" s="4"/>
      <c r="C88" s="4" t="s">
        <v>129</v>
      </c>
      <c r="D88" s="4"/>
      <c r="E88" s="8"/>
      <c r="F88" s="6">
        <v>25.365197500000001</v>
      </c>
      <c r="G88" s="7">
        <v>2.2307552000000001E-2</v>
      </c>
      <c r="H88" s="6">
        <v>3.9343919198424624</v>
      </c>
    </row>
    <row r="89" spans="1:8" ht="17.100000000000001" customHeight="1" x14ac:dyDescent="0.2">
      <c r="A89" s="3">
        <v>2</v>
      </c>
      <c r="B89" s="4"/>
      <c r="C89" s="4" t="s">
        <v>130</v>
      </c>
      <c r="D89" s="4"/>
      <c r="E89" s="8"/>
      <c r="F89" s="6">
        <v>1.6659719</v>
      </c>
      <c r="G89" s="7">
        <v>1.465147E-3</v>
      </c>
      <c r="H89" s="6">
        <v>3.8</v>
      </c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9">
        <v>27.0311694</v>
      </c>
      <c r="G90" s="10">
        <v>2.3772699000000001E-2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131</v>
      </c>
      <c r="D92" s="1"/>
      <c r="E92" s="1"/>
      <c r="F92" s="9">
        <v>27.0311694</v>
      </c>
      <c r="G92" s="10">
        <v>2.3772699000000001E-2</v>
      </c>
      <c r="H92" s="6"/>
    </row>
    <row r="93" spans="1:8" ht="14.1" customHeight="1" x14ac:dyDescent="0.2">
      <c r="A93" s="1"/>
      <c r="B93" s="1"/>
      <c r="C93" s="12"/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132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133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134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135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24" customHeight="1" x14ac:dyDescent="0.2">
      <c r="A103" s="1"/>
      <c r="B103" s="1"/>
      <c r="C103" s="2" t="s">
        <v>136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4"/>
      <c r="C106" s="4"/>
      <c r="D106" s="2"/>
      <c r="E106" s="1"/>
      <c r="F106" s="4"/>
      <c r="G106" s="8"/>
      <c r="H106" s="6"/>
    </row>
    <row r="107" spans="1:8" ht="18" customHeight="1" x14ac:dyDescent="0.2">
      <c r="A107" s="8"/>
      <c r="B107" s="4"/>
      <c r="C107" s="4" t="s">
        <v>137</v>
      </c>
      <c r="D107" s="4"/>
      <c r="E107" s="8"/>
      <c r="F107" s="6">
        <v>14.672943289999999</v>
      </c>
      <c r="G107" s="7">
        <v>1.2904194000000001E-2</v>
      </c>
      <c r="H107" s="6"/>
    </row>
    <row r="108" spans="1:8" ht="14.1" customHeight="1" x14ac:dyDescent="0.2">
      <c r="A108" s="11"/>
      <c r="B108" s="11"/>
      <c r="C108" s="2" t="s">
        <v>138</v>
      </c>
      <c r="D108" s="15"/>
      <c r="E108" s="15"/>
      <c r="F108" s="9">
        <v>1137.06775019</v>
      </c>
      <c r="G108" s="10">
        <v>1.0000000019999999</v>
      </c>
      <c r="H108" s="6"/>
    </row>
    <row r="109" spans="1:8" ht="14.1" customHeight="1" x14ac:dyDescent="0.2">
      <c r="A109" s="18"/>
      <c r="B109" s="297" t="s">
        <v>112</v>
      </c>
      <c r="C109" s="297"/>
      <c r="D109" s="297"/>
      <c r="E109" s="297"/>
      <c r="F109" s="297"/>
      <c r="G109" s="20"/>
    </row>
    <row r="110" spans="1:8" ht="14.1" customHeight="1" x14ac:dyDescent="0.2">
      <c r="A110" s="18"/>
      <c r="B110" s="18"/>
      <c r="C110" s="18"/>
      <c r="D110" s="20"/>
      <c r="E110" s="20"/>
      <c r="F110" s="20"/>
      <c r="G110" s="20"/>
    </row>
    <row r="111" spans="1:8" ht="14.1" customHeight="1" x14ac:dyDescent="0.2">
      <c r="A111" s="18"/>
      <c r="B111" s="294" t="s">
        <v>140</v>
      </c>
      <c r="C111" s="295"/>
      <c r="D111" s="12" t="s">
        <v>112</v>
      </c>
      <c r="E111" s="21"/>
      <c r="F111" s="20"/>
      <c r="G111" s="20"/>
    </row>
    <row r="112" spans="1:8" ht="29.1" customHeight="1" x14ac:dyDescent="0.2">
      <c r="A112" s="18"/>
      <c r="B112" s="288" t="s">
        <v>141</v>
      </c>
      <c r="C112" s="289"/>
      <c r="D112" s="2" t="s">
        <v>142</v>
      </c>
      <c r="E112" s="21"/>
      <c r="F112" s="20"/>
      <c r="G112" s="20"/>
    </row>
    <row r="113" spans="1:15" ht="17.100000000000001" customHeight="1" x14ac:dyDescent="0.2">
      <c r="A113" s="18"/>
      <c r="B113" s="288" t="s">
        <v>143</v>
      </c>
      <c r="C113" s="289"/>
      <c r="D113" s="2" t="s">
        <v>142</v>
      </c>
      <c r="E113" s="21"/>
      <c r="F113" s="20"/>
      <c r="G113" s="20"/>
    </row>
    <row r="114" spans="1:15" ht="17.100000000000001" customHeight="1" x14ac:dyDescent="0.2">
      <c r="A114" s="18"/>
      <c r="B114" s="288" t="s">
        <v>144</v>
      </c>
      <c r="C114" s="289"/>
      <c r="D114" s="12" t="s">
        <v>112</v>
      </c>
      <c r="E114" s="21"/>
      <c r="F114" s="20"/>
      <c r="G114" s="20"/>
    </row>
    <row r="115" spans="1:15" ht="24" customHeight="1" x14ac:dyDescent="0.2">
      <c r="A115" s="22"/>
      <c r="B115" s="23" t="s">
        <v>112</v>
      </c>
      <c r="C115" s="23" t="s">
        <v>145</v>
      </c>
      <c r="D115" s="23" t="s">
        <v>146</v>
      </c>
      <c r="E115" s="22"/>
      <c r="F115" s="22"/>
      <c r="G115" s="22"/>
    </row>
    <row r="116" spans="1:15" ht="18" customHeight="1" x14ac:dyDescent="0.2">
      <c r="A116" s="22"/>
      <c r="B116" s="23" t="s">
        <v>147</v>
      </c>
      <c r="C116" s="23" t="s">
        <v>148</v>
      </c>
      <c r="D116" s="23" t="s">
        <v>149</v>
      </c>
      <c r="E116" s="22"/>
      <c r="F116" s="22"/>
      <c r="G116" s="22"/>
    </row>
    <row r="117" spans="1:15" ht="17.100000000000001" customHeight="1" x14ac:dyDescent="0.2">
      <c r="A117" s="22"/>
      <c r="B117" s="4" t="s">
        <v>150</v>
      </c>
      <c r="C117" s="24">
        <v>24.056899999999999</v>
      </c>
      <c r="D117" s="24">
        <v>23.727399999999999</v>
      </c>
      <c r="E117" s="22"/>
      <c r="F117" s="19"/>
      <c r="G117" s="25"/>
    </row>
    <row r="118" spans="1:15" ht="17.100000000000001" customHeight="1" x14ac:dyDescent="0.2">
      <c r="A118" s="22"/>
      <c r="B118" s="4" t="s">
        <v>1114</v>
      </c>
      <c r="C118" s="24">
        <v>19.491800000000001</v>
      </c>
      <c r="D118" s="24">
        <v>19.224799999999998</v>
      </c>
      <c r="E118" s="22"/>
      <c r="F118" s="19"/>
      <c r="G118" s="25"/>
    </row>
    <row r="119" spans="1:15" ht="17.100000000000001" customHeight="1" x14ac:dyDescent="0.2">
      <c r="A119" s="22"/>
      <c r="B119" s="4" t="s">
        <v>151</v>
      </c>
      <c r="C119" s="24">
        <v>23.498899999999999</v>
      </c>
      <c r="D119" s="24">
        <v>23.1737</v>
      </c>
      <c r="E119" s="22"/>
      <c r="F119" s="19"/>
      <c r="G119" s="25"/>
    </row>
    <row r="120" spans="1:15" ht="17.100000000000001" customHeight="1" x14ac:dyDescent="0.2">
      <c r="A120" s="22"/>
      <c r="B120" s="4" t="s">
        <v>1115</v>
      </c>
      <c r="C120" s="24">
        <v>18.9666</v>
      </c>
      <c r="D120" s="24">
        <v>18.7041</v>
      </c>
      <c r="E120" s="22"/>
      <c r="F120" s="19"/>
      <c r="G120" s="25"/>
    </row>
    <row r="121" spans="1:15" ht="14.1" customHeight="1" x14ac:dyDescent="0.2">
      <c r="A121" s="22"/>
      <c r="B121" s="22"/>
      <c r="C121" s="22"/>
      <c r="D121" s="22"/>
      <c r="E121" s="22"/>
      <c r="F121" s="22"/>
      <c r="G121" s="22"/>
    </row>
    <row r="122" spans="1:15" ht="17.100000000000001" customHeight="1" x14ac:dyDescent="0.2">
      <c r="A122" s="22"/>
      <c r="B122" s="288" t="s">
        <v>1116</v>
      </c>
      <c r="C122" s="289"/>
      <c r="D122" s="2" t="s">
        <v>142</v>
      </c>
      <c r="E122" s="22"/>
      <c r="F122" s="22"/>
      <c r="G122" s="22"/>
    </row>
    <row r="123" spans="1:15" ht="14.1" customHeight="1" x14ac:dyDescent="0.2">
      <c r="A123" s="22"/>
      <c r="B123" s="19"/>
      <c r="C123" s="19"/>
      <c r="D123" s="22"/>
      <c r="E123" s="22"/>
      <c r="F123" s="22"/>
      <c r="G123" s="22"/>
    </row>
    <row r="124" spans="1:15" ht="29.1" customHeight="1" x14ac:dyDescent="0.2">
      <c r="A124" s="22"/>
      <c r="B124" s="288" t="s">
        <v>153</v>
      </c>
      <c r="C124" s="289"/>
      <c r="D124" s="2" t="s">
        <v>142</v>
      </c>
      <c r="E124" s="22"/>
      <c r="F124" s="22"/>
      <c r="G124" s="22"/>
    </row>
    <row r="125" spans="1:15" ht="29.1" customHeight="1" x14ac:dyDescent="0.2">
      <c r="A125" s="22"/>
      <c r="B125" s="288" t="s">
        <v>154</v>
      </c>
      <c r="C125" s="289"/>
      <c r="D125" s="2" t="s">
        <v>142</v>
      </c>
      <c r="E125" s="22"/>
      <c r="F125" s="22"/>
      <c r="G125" s="22"/>
    </row>
    <row r="126" spans="1:15" ht="17.100000000000001" customHeight="1" x14ac:dyDescent="0.2">
      <c r="A126" s="22"/>
      <c r="B126" s="288" t="s">
        <v>155</v>
      </c>
      <c r="C126" s="289"/>
      <c r="D126" s="26">
        <v>0.18989891812471502</v>
      </c>
      <c r="E126" s="22"/>
      <c r="F126" s="19"/>
      <c r="G126" s="25"/>
    </row>
    <row r="127" spans="1:15" ht="17.100000000000001" customHeight="1" x14ac:dyDescent="0.2">
      <c r="A127" s="22"/>
      <c r="B127" s="288" t="s">
        <v>156</v>
      </c>
      <c r="C127" s="289"/>
      <c r="D127" s="2" t="s">
        <v>142</v>
      </c>
      <c r="E127" s="22"/>
      <c r="F127" s="22"/>
      <c r="G127" s="22"/>
      <c r="J127" s="66"/>
      <c r="K127" s="66"/>
      <c r="L127" s="66"/>
      <c r="M127" s="66"/>
      <c r="N127" s="66"/>
      <c r="O127" s="66"/>
    </row>
  </sheetData>
  <mergeCells count="14">
    <mergeCell ref="A1:H1"/>
    <mergeCell ref="A2:H2"/>
    <mergeCell ref="A3:H3"/>
    <mergeCell ref="B111:C111"/>
    <mergeCell ref="J2:N2"/>
    <mergeCell ref="B109:F109"/>
    <mergeCell ref="B126:C126"/>
    <mergeCell ref="B127:C127"/>
    <mergeCell ref="B112:C112"/>
    <mergeCell ref="B113:C113"/>
    <mergeCell ref="B114:C114"/>
    <mergeCell ref="B122:C122"/>
    <mergeCell ref="B124:C124"/>
    <mergeCell ref="B125:C12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497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209</v>
      </c>
      <c r="C7" s="4" t="s">
        <v>210</v>
      </c>
      <c r="D7" s="4" t="s">
        <v>934</v>
      </c>
      <c r="E7" s="5">
        <v>17493</v>
      </c>
      <c r="F7" s="6">
        <v>340.97355599999997</v>
      </c>
      <c r="G7" s="7">
        <v>4.4703021000000003E-2</v>
      </c>
      <c r="H7" s="6"/>
    </row>
    <row r="8" spans="1:14" x14ac:dyDescent="0.2">
      <c r="A8" s="3">
        <v>2</v>
      </c>
      <c r="B8" s="4" t="s">
        <v>195</v>
      </c>
      <c r="C8" s="4" t="s">
        <v>196</v>
      </c>
      <c r="D8" s="4" t="s">
        <v>71</v>
      </c>
      <c r="E8" s="5">
        <v>42158</v>
      </c>
      <c r="F8" s="6">
        <v>267.76653700000003</v>
      </c>
      <c r="G8" s="7">
        <v>3.5105283000000001E-2</v>
      </c>
      <c r="H8" s="6"/>
    </row>
    <row r="9" spans="1:14" x14ac:dyDescent="0.2">
      <c r="A9" s="3">
        <v>3</v>
      </c>
      <c r="B9" s="4" t="s">
        <v>191</v>
      </c>
      <c r="C9" s="4" t="s">
        <v>192</v>
      </c>
      <c r="D9" s="4" t="s">
        <v>26</v>
      </c>
      <c r="E9" s="5">
        <v>21893</v>
      </c>
      <c r="F9" s="6">
        <v>264.29229600000002</v>
      </c>
      <c r="G9" s="7">
        <v>3.4649795999999997E-2</v>
      </c>
      <c r="H9" s="6"/>
    </row>
    <row r="10" spans="1:14" x14ac:dyDescent="0.2">
      <c r="A10" s="3">
        <v>4</v>
      </c>
      <c r="B10" s="4" t="s">
        <v>69</v>
      </c>
      <c r="C10" s="4" t="s">
        <v>70</v>
      </c>
      <c r="D10" s="4" t="s">
        <v>71</v>
      </c>
      <c r="E10" s="5">
        <v>40250</v>
      </c>
      <c r="F10" s="6">
        <v>243.65337500000001</v>
      </c>
      <c r="G10" s="7">
        <v>3.1943948999999999E-2</v>
      </c>
      <c r="H10" s="6"/>
    </row>
    <row r="11" spans="1:14" ht="25.5" x14ac:dyDescent="0.2">
      <c r="A11" s="3">
        <v>5</v>
      </c>
      <c r="B11" s="4" t="s">
        <v>217</v>
      </c>
      <c r="C11" s="4" t="s">
        <v>218</v>
      </c>
      <c r="D11" s="4" t="s">
        <v>946</v>
      </c>
      <c r="E11" s="5">
        <v>6170</v>
      </c>
      <c r="F11" s="6">
        <v>242.59206</v>
      </c>
      <c r="G11" s="7">
        <v>3.1804806999999997E-2</v>
      </c>
      <c r="H11" s="6"/>
    </row>
    <row r="12" spans="1:14" x14ac:dyDescent="0.2">
      <c r="A12" s="3">
        <v>6</v>
      </c>
      <c r="B12" s="4" t="s">
        <v>229</v>
      </c>
      <c r="C12" s="4" t="s">
        <v>230</v>
      </c>
      <c r="D12" s="4" t="s">
        <v>26</v>
      </c>
      <c r="E12" s="5">
        <v>26027</v>
      </c>
      <c r="F12" s="6">
        <v>232.10878600000001</v>
      </c>
      <c r="G12" s="7">
        <v>3.0430407E-2</v>
      </c>
      <c r="H12" s="6"/>
    </row>
    <row r="13" spans="1:14" x14ac:dyDescent="0.2">
      <c r="A13" s="3">
        <v>7</v>
      </c>
      <c r="B13" s="4" t="s">
        <v>261</v>
      </c>
      <c r="C13" s="4" t="s">
        <v>262</v>
      </c>
      <c r="D13" s="4" t="s">
        <v>955</v>
      </c>
      <c r="E13" s="5">
        <v>115517</v>
      </c>
      <c r="F13" s="6">
        <v>228.60814300000001</v>
      </c>
      <c r="G13" s="7">
        <v>2.9971457999999999E-2</v>
      </c>
      <c r="H13" s="6"/>
    </row>
    <row r="14" spans="1:14" x14ac:dyDescent="0.2">
      <c r="A14" s="3">
        <v>8</v>
      </c>
      <c r="B14" s="4" t="s">
        <v>166</v>
      </c>
      <c r="C14" s="4" t="s">
        <v>167</v>
      </c>
      <c r="D14" s="4" t="s">
        <v>82</v>
      </c>
      <c r="E14" s="5">
        <v>192978</v>
      </c>
      <c r="F14" s="6">
        <v>215.36344800000001</v>
      </c>
      <c r="G14" s="7">
        <v>2.8235025E-2</v>
      </c>
      <c r="H14" s="6"/>
    </row>
    <row r="15" spans="1:14" ht="15" x14ac:dyDescent="0.2">
      <c r="A15" s="3">
        <v>9</v>
      </c>
      <c r="B15" s="4" t="s">
        <v>193</v>
      </c>
      <c r="C15" s="4" t="s">
        <v>194</v>
      </c>
      <c r="D15" s="4" t="s">
        <v>947</v>
      </c>
      <c r="E15" s="5">
        <v>37699</v>
      </c>
      <c r="F15" s="6">
        <v>208.79591149999999</v>
      </c>
      <c r="G15" s="7">
        <v>2.7373993999999999E-2</v>
      </c>
      <c r="H15" s="6"/>
      <c r="J15" s="192" t="s">
        <v>1149</v>
      </c>
    </row>
    <row r="16" spans="1:14" x14ac:dyDescent="0.2">
      <c r="A16" s="3">
        <v>10</v>
      </c>
      <c r="B16" s="4" t="s">
        <v>231</v>
      </c>
      <c r="C16" s="4" t="s">
        <v>232</v>
      </c>
      <c r="D16" s="4" t="s">
        <v>233</v>
      </c>
      <c r="E16" s="5">
        <v>72529</v>
      </c>
      <c r="F16" s="6">
        <v>204.42298650000001</v>
      </c>
      <c r="G16" s="7">
        <v>2.6800686000000001E-2</v>
      </c>
      <c r="H16" s="6"/>
    </row>
    <row r="17" spans="1:8" x14ac:dyDescent="0.2">
      <c r="A17" s="3">
        <v>11</v>
      </c>
      <c r="B17" s="4" t="s">
        <v>92</v>
      </c>
      <c r="C17" s="4" t="s">
        <v>93</v>
      </c>
      <c r="D17" s="4" t="s">
        <v>923</v>
      </c>
      <c r="E17" s="5">
        <v>40332</v>
      </c>
      <c r="F17" s="6">
        <v>183.83325600000001</v>
      </c>
      <c r="G17" s="7">
        <v>2.4101287999999998E-2</v>
      </c>
      <c r="H17" s="6"/>
    </row>
    <row r="18" spans="1:8" x14ac:dyDescent="0.2">
      <c r="A18" s="3">
        <v>12</v>
      </c>
      <c r="B18" s="4" t="s">
        <v>207</v>
      </c>
      <c r="C18" s="4" t="s">
        <v>208</v>
      </c>
      <c r="D18" s="4" t="s">
        <v>948</v>
      </c>
      <c r="E18" s="5">
        <v>35423</v>
      </c>
      <c r="F18" s="6">
        <v>177.540076</v>
      </c>
      <c r="G18" s="7">
        <v>2.3276227E-2</v>
      </c>
      <c r="H18" s="6"/>
    </row>
    <row r="19" spans="1:8" ht="25.5" x14ac:dyDescent="0.2">
      <c r="A19" s="3">
        <v>13</v>
      </c>
      <c r="B19" s="4" t="s">
        <v>449</v>
      </c>
      <c r="C19" s="4" t="s">
        <v>450</v>
      </c>
      <c r="D19" s="4" t="s">
        <v>936</v>
      </c>
      <c r="E19" s="5">
        <v>9062</v>
      </c>
      <c r="F19" s="6">
        <v>173.650575</v>
      </c>
      <c r="G19" s="7">
        <v>2.2766297000000001E-2</v>
      </c>
      <c r="H19" s="6"/>
    </row>
    <row r="20" spans="1:8" x14ac:dyDescent="0.2">
      <c r="A20" s="3">
        <v>14</v>
      </c>
      <c r="B20" s="4" t="s">
        <v>30</v>
      </c>
      <c r="C20" s="4" t="s">
        <v>31</v>
      </c>
      <c r="D20" s="4" t="s">
        <v>26</v>
      </c>
      <c r="E20" s="5">
        <v>10116</v>
      </c>
      <c r="F20" s="6">
        <v>173.28202200000001</v>
      </c>
      <c r="G20" s="7">
        <v>2.2717978999999999E-2</v>
      </c>
      <c r="H20" s="6"/>
    </row>
    <row r="21" spans="1:8" x14ac:dyDescent="0.2">
      <c r="A21" s="3">
        <v>15</v>
      </c>
      <c r="B21" s="4" t="s">
        <v>36</v>
      </c>
      <c r="C21" s="4" t="s">
        <v>37</v>
      </c>
      <c r="D21" s="4" t="s">
        <v>26</v>
      </c>
      <c r="E21" s="5">
        <v>12434</v>
      </c>
      <c r="F21" s="6">
        <v>165.98146600000001</v>
      </c>
      <c r="G21" s="7">
        <v>2.1760846E-2</v>
      </c>
      <c r="H21" s="6"/>
    </row>
    <row r="22" spans="1:8" ht="25.5" x14ac:dyDescent="0.2">
      <c r="A22" s="3">
        <v>16</v>
      </c>
      <c r="B22" s="4" t="s">
        <v>170</v>
      </c>
      <c r="C22" s="4" t="s">
        <v>171</v>
      </c>
      <c r="D22" s="4" t="s">
        <v>945</v>
      </c>
      <c r="E22" s="5">
        <v>42854</v>
      </c>
      <c r="F22" s="6">
        <v>163.016616</v>
      </c>
      <c r="G22" s="7">
        <v>2.1372142E-2</v>
      </c>
      <c r="H22" s="6"/>
    </row>
    <row r="23" spans="1:8" x14ac:dyDescent="0.2">
      <c r="A23" s="3">
        <v>17</v>
      </c>
      <c r="B23" s="4" t="s">
        <v>205</v>
      </c>
      <c r="C23" s="4" t="s">
        <v>206</v>
      </c>
      <c r="D23" s="4" t="s">
        <v>64</v>
      </c>
      <c r="E23" s="5">
        <v>44883</v>
      </c>
      <c r="F23" s="6">
        <v>161.55635849999999</v>
      </c>
      <c r="G23" s="7">
        <v>2.1180695999999999E-2</v>
      </c>
      <c r="H23" s="6"/>
    </row>
    <row r="24" spans="1:8" x14ac:dyDescent="0.2">
      <c r="A24" s="3">
        <v>18</v>
      </c>
      <c r="B24" s="4" t="s">
        <v>168</v>
      </c>
      <c r="C24" s="4" t="s">
        <v>169</v>
      </c>
      <c r="D24" s="4" t="s">
        <v>944</v>
      </c>
      <c r="E24" s="5">
        <v>11420</v>
      </c>
      <c r="F24" s="6">
        <v>151.59478999999999</v>
      </c>
      <c r="G24" s="7">
        <v>1.9874693999999998E-2</v>
      </c>
      <c r="H24" s="6"/>
    </row>
    <row r="25" spans="1:8" x14ac:dyDescent="0.2">
      <c r="A25" s="3">
        <v>19</v>
      </c>
      <c r="B25" s="4" t="s">
        <v>197</v>
      </c>
      <c r="C25" s="4" t="s">
        <v>198</v>
      </c>
      <c r="D25" s="4" t="s">
        <v>82</v>
      </c>
      <c r="E25" s="5">
        <v>20855</v>
      </c>
      <c r="F25" s="6">
        <v>146.48552000000001</v>
      </c>
      <c r="G25" s="7">
        <v>1.9204848E-2</v>
      </c>
      <c r="H25" s="6"/>
    </row>
    <row r="26" spans="1:8" ht="25.5" x14ac:dyDescent="0.2">
      <c r="A26" s="3">
        <v>20</v>
      </c>
      <c r="B26" s="4" t="s">
        <v>42</v>
      </c>
      <c r="C26" s="4" t="s">
        <v>43</v>
      </c>
      <c r="D26" s="4" t="s">
        <v>935</v>
      </c>
      <c r="E26" s="5">
        <v>5414</v>
      </c>
      <c r="F26" s="6">
        <v>143.31399400000001</v>
      </c>
      <c r="G26" s="7">
        <v>1.8789047999999999E-2</v>
      </c>
      <c r="H26" s="6"/>
    </row>
    <row r="27" spans="1:8" x14ac:dyDescent="0.2">
      <c r="A27" s="3">
        <v>21</v>
      </c>
      <c r="B27" s="4" t="s">
        <v>178</v>
      </c>
      <c r="C27" s="4" t="s">
        <v>179</v>
      </c>
      <c r="D27" s="4" t="s">
        <v>934</v>
      </c>
      <c r="E27" s="5">
        <v>8551</v>
      </c>
      <c r="F27" s="6">
        <v>122.296402</v>
      </c>
      <c r="G27" s="7">
        <v>1.6033556000000001E-2</v>
      </c>
      <c r="H27" s="6"/>
    </row>
    <row r="28" spans="1:8" x14ac:dyDescent="0.2">
      <c r="A28" s="3">
        <v>22</v>
      </c>
      <c r="B28" s="4" t="s">
        <v>225</v>
      </c>
      <c r="C28" s="4" t="s">
        <v>226</v>
      </c>
      <c r="D28" s="4" t="s">
        <v>951</v>
      </c>
      <c r="E28" s="5">
        <v>38459</v>
      </c>
      <c r="F28" s="6">
        <v>120.5881945</v>
      </c>
      <c r="G28" s="7">
        <v>1.5809602999999998E-2</v>
      </c>
      <c r="H28" s="6"/>
    </row>
    <row r="29" spans="1:8" x14ac:dyDescent="0.2">
      <c r="A29" s="3">
        <v>23</v>
      </c>
      <c r="B29" s="4" t="s">
        <v>203</v>
      </c>
      <c r="C29" s="4" t="s">
        <v>204</v>
      </c>
      <c r="D29" s="4" t="s">
        <v>82</v>
      </c>
      <c r="E29" s="5">
        <v>19955</v>
      </c>
      <c r="F29" s="6">
        <v>118.1635325</v>
      </c>
      <c r="G29" s="7">
        <v>1.549172E-2</v>
      </c>
      <c r="H29" s="6"/>
    </row>
    <row r="30" spans="1:8" ht="25.5" x14ac:dyDescent="0.2">
      <c r="A30" s="3">
        <v>24</v>
      </c>
      <c r="B30" s="4" t="s">
        <v>158</v>
      </c>
      <c r="C30" s="4" t="s">
        <v>159</v>
      </c>
      <c r="D30" s="4" t="s">
        <v>941</v>
      </c>
      <c r="E30" s="5">
        <v>16350</v>
      </c>
      <c r="F30" s="6">
        <v>115.929675</v>
      </c>
      <c r="G30" s="7">
        <v>1.5198852000000001E-2</v>
      </c>
      <c r="H30" s="6"/>
    </row>
    <row r="31" spans="1:8" ht="25.5" x14ac:dyDescent="0.2">
      <c r="A31" s="3">
        <v>25</v>
      </c>
      <c r="B31" s="4" t="s">
        <v>256</v>
      </c>
      <c r="C31" s="4" t="s">
        <v>257</v>
      </c>
      <c r="D31" s="4" t="s">
        <v>954</v>
      </c>
      <c r="E31" s="5">
        <v>33525</v>
      </c>
      <c r="F31" s="6">
        <v>112.2919875</v>
      </c>
      <c r="G31" s="7">
        <v>1.4721936999999999E-2</v>
      </c>
      <c r="H31" s="6"/>
    </row>
    <row r="32" spans="1:8" ht="25.5" x14ac:dyDescent="0.2">
      <c r="A32" s="3">
        <v>26</v>
      </c>
      <c r="B32" s="4" t="s">
        <v>248</v>
      </c>
      <c r="C32" s="4" t="s">
        <v>249</v>
      </c>
      <c r="D32" s="4" t="s">
        <v>950</v>
      </c>
      <c r="E32" s="5">
        <v>21059</v>
      </c>
      <c r="F32" s="6">
        <v>111.8127605</v>
      </c>
      <c r="G32" s="7">
        <v>1.4659108000000001E-2</v>
      </c>
      <c r="H32" s="6"/>
    </row>
    <row r="33" spans="1:8" x14ac:dyDescent="0.2">
      <c r="A33" s="3">
        <v>27</v>
      </c>
      <c r="B33" s="4" t="s">
        <v>182</v>
      </c>
      <c r="C33" s="4" t="s">
        <v>183</v>
      </c>
      <c r="D33" s="4" t="s">
        <v>944</v>
      </c>
      <c r="E33" s="5">
        <v>65797</v>
      </c>
      <c r="F33" s="6">
        <v>111.6246105</v>
      </c>
      <c r="G33" s="7">
        <v>1.4634441E-2</v>
      </c>
      <c r="H33" s="6"/>
    </row>
    <row r="34" spans="1:8" ht="25.5" x14ac:dyDescent="0.2">
      <c r="A34" s="3">
        <v>28</v>
      </c>
      <c r="B34" s="4" t="s">
        <v>162</v>
      </c>
      <c r="C34" s="4" t="s">
        <v>163</v>
      </c>
      <c r="D34" s="4" t="s">
        <v>943</v>
      </c>
      <c r="E34" s="5">
        <v>107569</v>
      </c>
      <c r="F34" s="6">
        <v>110.6347165</v>
      </c>
      <c r="G34" s="7">
        <v>1.4504662E-2</v>
      </c>
      <c r="H34" s="6"/>
    </row>
    <row r="35" spans="1:8" ht="25.5" x14ac:dyDescent="0.2">
      <c r="A35" s="3">
        <v>29</v>
      </c>
      <c r="B35" s="4" t="s">
        <v>184</v>
      </c>
      <c r="C35" s="4" t="s">
        <v>185</v>
      </c>
      <c r="D35" s="4" t="s">
        <v>935</v>
      </c>
      <c r="E35" s="5">
        <v>54769</v>
      </c>
      <c r="F35" s="6">
        <v>110.35953499999999</v>
      </c>
      <c r="G35" s="7">
        <v>1.4468584E-2</v>
      </c>
      <c r="H35" s="6"/>
    </row>
    <row r="36" spans="1:8" x14ac:dyDescent="0.2">
      <c r="A36" s="3">
        <v>30</v>
      </c>
      <c r="B36" s="4" t="s">
        <v>234</v>
      </c>
      <c r="C36" s="4" t="s">
        <v>235</v>
      </c>
      <c r="D36" s="4" t="s">
        <v>952</v>
      </c>
      <c r="E36" s="5">
        <v>73868</v>
      </c>
      <c r="F36" s="6">
        <v>109.39850800000001</v>
      </c>
      <c r="G36" s="7">
        <v>1.4342590000000001E-2</v>
      </c>
      <c r="H36" s="6"/>
    </row>
    <row r="37" spans="1:8" x14ac:dyDescent="0.2">
      <c r="A37" s="3">
        <v>31</v>
      </c>
      <c r="B37" s="4" t="s">
        <v>265</v>
      </c>
      <c r="C37" s="4" t="s">
        <v>266</v>
      </c>
      <c r="D37" s="4" t="s">
        <v>942</v>
      </c>
      <c r="E37" s="5">
        <v>12295</v>
      </c>
      <c r="F37" s="6">
        <v>108.8291925</v>
      </c>
      <c r="G37" s="7">
        <v>1.426795E-2</v>
      </c>
      <c r="H37" s="6"/>
    </row>
    <row r="38" spans="1:8" x14ac:dyDescent="0.2">
      <c r="A38" s="3">
        <v>32</v>
      </c>
      <c r="B38" s="4" t="s">
        <v>451</v>
      </c>
      <c r="C38" s="4" t="s">
        <v>452</v>
      </c>
      <c r="D38" s="4" t="s">
        <v>71</v>
      </c>
      <c r="E38" s="5">
        <v>11132</v>
      </c>
      <c r="F38" s="6">
        <v>104.83561</v>
      </c>
      <c r="G38" s="7">
        <v>1.3744375E-2</v>
      </c>
      <c r="H38" s="6"/>
    </row>
    <row r="39" spans="1:8" x14ac:dyDescent="0.2">
      <c r="A39" s="3">
        <v>33</v>
      </c>
      <c r="B39" s="4" t="s">
        <v>74</v>
      </c>
      <c r="C39" s="4" t="s">
        <v>75</v>
      </c>
      <c r="D39" s="4" t="s">
        <v>71</v>
      </c>
      <c r="E39" s="5">
        <v>2817</v>
      </c>
      <c r="F39" s="6">
        <v>104.50224900000001</v>
      </c>
      <c r="G39" s="7">
        <v>1.370067E-2</v>
      </c>
      <c r="H39" s="6"/>
    </row>
    <row r="40" spans="1:8" ht="25.5" x14ac:dyDescent="0.2">
      <c r="A40" s="3">
        <v>34</v>
      </c>
      <c r="B40" s="4" t="s">
        <v>172</v>
      </c>
      <c r="C40" s="4" t="s">
        <v>173</v>
      </c>
      <c r="D40" s="4" t="s">
        <v>71</v>
      </c>
      <c r="E40" s="5">
        <v>5046</v>
      </c>
      <c r="F40" s="6">
        <v>99.282572999999999</v>
      </c>
      <c r="G40" s="7">
        <v>1.3016349999999999E-2</v>
      </c>
      <c r="H40" s="6"/>
    </row>
    <row r="41" spans="1:8" ht="25.5" x14ac:dyDescent="0.2">
      <c r="A41" s="3">
        <v>35</v>
      </c>
      <c r="B41" s="4" t="s">
        <v>180</v>
      </c>
      <c r="C41" s="4" t="s">
        <v>181</v>
      </c>
      <c r="D41" s="4" t="s">
        <v>941</v>
      </c>
      <c r="E41" s="5">
        <v>19323</v>
      </c>
      <c r="F41" s="6">
        <v>97.957948500000001</v>
      </c>
      <c r="G41" s="7">
        <v>1.2842686000000001E-2</v>
      </c>
      <c r="H41" s="6"/>
    </row>
    <row r="42" spans="1:8" x14ac:dyDescent="0.2">
      <c r="A42" s="3">
        <v>36</v>
      </c>
      <c r="B42" s="4" t="s">
        <v>463</v>
      </c>
      <c r="C42" s="4" t="s">
        <v>464</v>
      </c>
      <c r="D42" s="4" t="s">
        <v>952</v>
      </c>
      <c r="E42" s="5">
        <v>10328</v>
      </c>
      <c r="F42" s="6">
        <v>96.871476000000001</v>
      </c>
      <c r="G42" s="7">
        <v>1.2700245000000001E-2</v>
      </c>
      <c r="H42" s="6"/>
    </row>
    <row r="43" spans="1:8" x14ac:dyDescent="0.2">
      <c r="A43" s="3">
        <v>37</v>
      </c>
      <c r="B43" s="4" t="s">
        <v>271</v>
      </c>
      <c r="C43" s="4" t="s">
        <v>272</v>
      </c>
      <c r="D43" s="4" t="s">
        <v>940</v>
      </c>
      <c r="E43" s="5">
        <v>14616</v>
      </c>
      <c r="F43" s="6">
        <v>91.174608000000006</v>
      </c>
      <c r="G43" s="7">
        <v>1.1953362E-2</v>
      </c>
      <c r="H43" s="6"/>
    </row>
    <row r="44" spans="1:8" x14ac:dyDescent="0.2">
      <c r="A44" s="3">
        <v>38</v>
      </c>
      <c r="B44" s="4" t="s">
        <v>213</v>
      </c>
      <c r="C44" s="4" t="s">
        <v>214</v>
      </c>
      <c r="D44" s="4" t="s">
        <v>64</v>
      </c>
      <c r="E44" s="5">
        <v>104608</v>
      </c>
      <c r="F44" s="6">
        <v>90.433616000000001</v>
      </c>
      <c r="G44" s="7">
        <v>1.1856215E-2</v>
      </c>
      <c r="H44" s="6"/>
    </row>
    <row r="45" spans="1:8" x14ac:dyDescent="0.2">
      <c r="A45" s="3">
        <v>39</v>
      </c>
      <c r="B45" s="4" t="s">
        <v>164</v>
      </c>
      <c r="C45" s="4" t="s">
        <v>165</v>
      </c>
      <c r="D45" s="4" t="s">
        <v>944</v>
      </c>
      <c r="E45" s="5">
        <v>17730</v>
      </c>
      <c r="F45" s="6">
        <v>84.510045000000005</v>
      </c>
      <c r="G45" s="7">
        <v>1.1079611E-2</v>
      </c>
      <c r="H45" s="6"/>
    </row>
    <row r="46" spans="1:8" ht="51" x14ac:dyDescent="0.2">
      <c r="A46" s="3">
        <v>40</v>
      </c>
      <c r="B46" s="4" t="s">
        <v>238</v>
      </c>
      <c r="C46" s="4" t="s">
        <v>239</v>
      </c>
      <c r="D46" s="4" t="s">
        <v>939</v>
      </c>
      <c r="E46" s="5">
        <v>33472</v>
      </c>
      <c r="F46" s="6">
        <v>80.282591999999994</v>
      </c>
      <c r="G46" s="7">
        <v>1.0525375E-2</v>
      </c>
      <c r="H46" s="6"/>
    </row>
    <row r="47" spans="1:8" x14ac:dyDescent="0.2">
      <c r="A47" s="3">
        <v>41</v>
      </c>
      <c r="B47" s="4" t="s">
        <v>269</v>
      </c>
      <c r="C47" s="4" t="s">
        <v>270</v>
      </c>
      <c r="D47" s="4" t="s">
        <v>26</v>
      </c>
      <c r="E47" s="5">
        <v>3837</v>
      </c>
      <c r="F47" s="6">
        <v>76.131835499999994</v>
      </c>
      <c r="G47" s="7">
        <v>9.9811940000000005E-3</v>
      </c>
      <c r="H47" s="6"/>
    </row>
    <row r="48" spans="1:8" ht="25.5" x14ac:dyDescent="0.2">
      <c r="A48" s="3">
        <v>42</v>
      </c>
      <c r="B48" s="4" t="s">
        <v>219</v>
      </c>
      <c r="C48" s="4" t="s">
        <v>220</v>
      </c>
      <c r="D48" s="4" t="s">
        <v>950</v>
      </c>
      <c r="E48" s="5">
        <v>18519</v>
      </c>
      <c r="F48" s="6">
        <v>75.585298499999993</v>
      </c>
      <c r="G48" s="7">
        <v>9.9095399999999997E-3</v>
      </c>
      <c r="H48" s="6"/>
    </row>
    <row r="49" spans="1:8" x14ac:dyDescent="0.2">
      <c r="A49" s="3">
        <v>43</v>
      </c>
      <c r="B49" s="4" t="s">
        <v>267</v>
      </c>
      <c r="C49" s="4" t="s">
        <v>268</v>
      </c>
      <c r="D49" s="4" t="s">
        <v>82</v>
      </c>
      <c r="E49" s="5">
        <v>124593</v>
      </c>
      <c r="F49" s="6">
        <v>71.142602999999994</v>
      </c>
      <c r="G49" s="7">
        <v>9.3270850000000006E-3</v>
      </c>
      <c r="H49" s="6"/>
    </row>
    <row r="50" spans="1:8" ht="25.5" x14ac:dyDescent="0.2">
      <c r="A50" s="3">
        <v>44</v>
      </c>
      <c r="B50" s="4" t="s">
        <v>469</v>
      </c>
      <c r="C50" s="4" t="s">
        <v>470</v>
      </c>
      <c r="D50" s="4" t="s">
        <v>945</v>
      </c>
      <c r="E50" s="5">
        <v>16923</v>
      </c>
      <c r="F50" s="6">
        <v>67.353539999999995</v>
      </c>
      <c r="G50" s="7">
        <v>8.8303229999999993E-3</v>
      </c>
      <c r="H50" s="6"/>
    </row>
    <row r="51" spans="1:8" x14ac:dyDescent="0.2">
      <c r="A51" s="3">
        <v>45</v>
      </c>
      <c r="B51" s="4" t="s">
        <v>227</v>
      </c>
      <c r="C51" s="4" t="s">
        <v>228</v>
      </c>
      <c r="D51" s="4" t="s">
        <v>26</v>
      </c>
      <c r="E51" s="5">
        <v>6630</v>
      </c>
      <c r="F51" s="6">
        <v>67.234830000000002</v>
      </c>
      <c r="G51" s="7">
        <v>8.8147599999999996E-3</v>
      </c>
      <c r="H51" s="6"/>
    </row>
    <row r="52" spans="1:8" x14ac:dyDescent="0.2">
      <c r="A52" s="3">
        <v>46</v>
      </c>
      <c r="B52" s="4" t="s">
        <v>242</v>
      </c>
      <c r="C52" s="4" t="s">
        <v>243</v>
      </c>
      <c r="D52" s="4" t="s">
        <v>949</v>
      </c>
      <c r="E52" s="5">
        <v>26477</v>
      </c>
      <c r="F52" s="6">
        <v>66.960333000000006</v>
      </c>
      <c r="G52" s="7">
        <v>8.7787720000000007E-3</v>
      </c>
      <c r="H52" s="6"/>
    </row>
    <row r="53" spans="1:8" x14ac:dyDescent="0.2">
      <c r="A53" s="3">
        <v>47</v>
      </c>
      <c r="B53" s="4" t="s">
        <v>279</v>
      </c>
      <c r="C53" s="4" t="s">
        <v>280</v>
      </c>
      <c r="D53" s="4" t="s">
        <v>18</v>
      </c>
      <c r="E53" s="5">
        <v>31204</v>
      </c>
      <c r="F53" s="6">
        <v>66.838967999999994</v>
      </c>
      <c r="G53" s="7">
        <v>8.7628610000000003E-3</v>
      </c>
      <c r="H53" s="6"/>
    </row>
    <row r="54" spans="1:8" x14ac:dyDescent="0.2">
      <c r="A54" s="3">
        <v>48</v>
      </c>
      <c r="B54" s="4" t="s">
        <v>174</v>
      </c>
      <c r="C54" s="4" t="s">
        <v>175</v>
      </c>
      <c r="D54" s="4" t="s">
        <v>71</v>
      </c>
      <c r="E54" s="5">
        <v>9272</v>
      </c>
      <c r="F54" s="6">
        <v>58.849384000000001</v>
      </c>
      <c r="G54" s="7">
        <v>7.7153940000000004E-3</v>
      </c>
      <c r="H54" s="6"/>
    </row>
    <row r="55" spans="1:8" x14ac:dyDescent="0.2">
      <c r="A55" s="3">
        <v>49</v>
      </c>
      <c r="B55" s="4" t="s">
        <v>252</v>
      </c>
      <c r="C55" s="4" t="s">
        <v>253</v>
      </c>
      <c r="D55" s="4" t="s">
        <v>91</v>
      </c>
      <c r="E55" s="5">
        <v>23492</v>
      </c>
      <c r="F55" s="6">
        <v>58.154446</v>
      </c>
      <c r="G55" s="7">
        <v>7.6242849999999997E-3</v>
      </c>
      <c r="H55" s="6"/>
    </row>
    <row r="56" spans="1:8" x14ac:dyDescent="0.2">
      <c r="A56" s="3">
        <v>50</v>
      </c>
      <c r="B56" s="4" t="s">
        <v>240</v>
      </c>
      <c r="C56" s="4" t="s">
        <v>241</v>
      </c>
      <c r="D56" s="4" t="s">
        <v>940</v>
      </c>
      <c r="E56" s="5">
        <v>10808</v>
      </c>
      <c r="F56" s="6">
        <v>56.585284000000001</v>
      </c>
      <c r="G56" s="7">
        <v>7.4185609999999997E-3</v>
      </c>
      <c r="H56" s="6"/>
    </row>
    <row r="57" spans="1:8" x14ac:dyDescent="0.2">
      <c r="A57" s="3">
        <v>51</v>
      </c>
      <c r="B57" s="4" t="s">
        <v>246</v>
      </c>
      <c r="C57" s="4" t="s">
        <v>247</v>
      </c>
      <c r="D57" s="4" t="s">
        <v>91</v>
      </c>
      <c r="E57" s="5">
        <v>7165</v>
      </c>
      <c r="F57" s="6">
        <v>56.288240000000002</v>
      </c>
      <c r="G57" s="7">
        <v>7.3796169999999998E-3</v>
      </c>
      <c r="H57" s="6"/>
    </row>
    <row r="58" spans="1:8" x14ac:dyDescent="0.2">
      <c r="A58" s="3">
        <v>52</v>
      </c>
      <c r="B58" s="4" t="s">
        <v>94</v>
      </c>
      <c r="C58" s="4" t="s">
        <v>95</v>
      </c>
      <c r="D58" s="4" t="s">
        <v>64</v>
      </c>
      <c r="E58" s="5">
        <v>39491</v>
      </c>
      <c r="F58" s="6">
        <v>54.438343500000002</v>
      </c>
      <c r="G58" s="7">
        <v>7.1370879999999998E-3</v>
      </c>
      <c r="H58" s="6"/>
    </row>
    <row r="59" spans="1:8" x14ac:dyDescent="0.2">
      <c r="A59" s="3">
        <v>53</v>
      </c>
      <c r="B59" s="4" t="s">
        <v>223</v>
      </c>
      <c r="C59" s="4" t="s">
        <v>224</v>
      </c>
      <c r="D59" s="4" t="s">
        <v>71</v>
      </c>
      <c r="E59" s="5">
        <v>20113</v>
      </c>
      <c r="F59" s="6">
        <v>49.578544999999998</v>
      </c>
      <c r="G59" s="7">
        <v>6.4999489999999997E-3</v>
      </c>
      <c r="H59" s="6"/>
    </row>
    <row r="60" spans="1:8" ht="25.5" x14ac:dyDescent="0.2">
      <c r="A60" s="3">
        <v>54</v>
      </c>
      <c r="B60" s="4" t="s">
        <v>188</v>
      </c>
      <c r="C60" s="4" t="s">
        <v>189</v>
      </c>
      <c r="D60" s="4" t="s">
        <v>945</v>
      </c>
      <c r="E60" s="5">
        <v>1052</v>
      </c>
      <c r="F60" s="6">
        <v>46.675662000000003</v>
      </c>
      <c r="G60" s="7">
        <v>6.1193690000000004E-3</v>
      </c>
      <c r="H60" s="6"/>
    </row>
    <row r="61" spans="1:8" x14ac:dyDescent="0.2">
      <c r="A61" s="3">
        <v>55</v>
      </c>
      <c r="B61" s="4" t="s">
        <v>176</v>
      </c>
      <c r="C61" s="4" t="s">
        <v>177</v>
      </c>
      <c r="D61" s="4" t="s">
        <v>944</v>
      </c>
      <c r="E61" s="5">
        <v>38161</v>
      </c>
      <c r="F61" s="6">
        <v>38.733415000000001</v>
      </c>
      <c r="G61" s="7">
        <v>5.0781079999999996E-3</v>
      </c>
      <c r="H61" s="6"/>
    </row>
    <row r="62" spans="1:8" x14ac:dyDescent="0.2">
      <c r="A62" s="3">
        <v>56</v>
      </c>
      <c r="B62" s="4" t="s">
        <v>275</v>
      </c>
      <c r="C62" s="4" t="s">
        <v>276</v>
      </c>
      <c r="D62" s="4" t="s">
        <v>29</v>
      </c>
      <c r="E62" s="5">
        <v>40010</v>
      </c>
      <c r="F62" s="6">
        <v>36.909224999999999</v>
      </c>
      <c r="G62" s="7">
        <v>4.8389499999999998E-3</v>
      </c>
      <c r="H62" s="6"/>
    </row>
    <row r="63" spans="1:8" x14ac:dyDescent="0.2">
      <c r="A63" s="3">
        <v>57</v>
      </c>
      <c r="B63" s="4" t="s">
        <v>106</v>
      </c>
      <c r="C63" s="4" t="s">
        <v>107</v>
      </c>
      <c r="D63" s="4" t="s">
        <v>923</v>
      </c>
      <c r="E63" s="5">
        <v>45125</v>
      </c>
      <c r="F63" s="6">
        <v>34.249875000000003</v>
      </c>
      <c r="G63" s="7">
        <v>4.4902980000000002E-3</v>
      </c>
      <c r="H63" s="6"/>
    </row>
    <row r="64" spans="1:8" ht="25.5" x14ac:dyDescent="0.2">
      <c r="A64" s="3">
        <v>58</v>
      </c>
      <c r="B64" s="4" t="s">
        <v>258</v>
      </c>
      <c r="C64" s="4" t="s">
        <v>259</v>
      </c>
      <c r="D64" s="4" t="s">
        <v>946</v>
      </c>
      <c r="E64" s="5">
        <v>3563</v>
      </c>
      <c r="F64" s="6">
        <v>31.708918499999999</v>
      </c>
      <c r="G64" s="7">
        <v>4.1571680000000001E-3</v>
      </c>
      <c r="H64" s="6"/>
    </row>
    <row r="65" spans="1:8" x14ac:dyDescent="0.2">
      <c r="A65" s="3">
        <v>59</v>
      </c>
      <c r="B65" s="4" t="s">
        <v>250</v>
      </c>
      <c r="C65" s="4" t="s">
        <v>251</v>
      </c>
      <c r="D65" s="4" t="s">
        <v>302</v>
      </c>
      <c r="E65" s="5">
        <v>4284</v>
      </c>
      <c r="F65" s="6">
        <v>27.839573999999999</v>
      </c>
      <c r="G65" s="7">
        <v>3.6498809999999998E-3</v>
      </c>
      <c r="H65" s="6"/>
    </row>
    <row r="66" spans="1:8" x14ac:dyDescent="0.2">
      <c r="A66" s="3">
        <v>60</v>
      </c>
      <c r="B66" s="4" t="s">
        <v>211</v>
      </c>
      <c r="C66" s="4" t="s">
        <v>212</v>
      </c>
      <c r="D66" s="4" t="s">
        <v>949</v>
      </c>
      <c r="E66" s="5">
        <v>1280</v>
      </c>
      <c r="F66" s="6">
        <v>21.510400000000001</v>
      </c>
      <c r="G66" s="7">
        <v>2.8201010000000002E-3</v>
      </c>
      <c r="H66" s="6"/>
    </row>
    <row r="67" spans="1:8" ht="14.1" customHeight="1" x14ac:dyDescent="0.2">
      <c r="A67" s="1"/>
      <c r="B67" s="1"/>
      <c r="C67" s="2" t="s">
        <v>111</v>
      </c>
      <c r="D67" s="1"/>
      <c r="E67" s="1" t="s">
        <v>112</v>
      </c>
      <c r="F67" s="9">
        <v>7253.3803244999999</v>
      </c>
      <c r="G67" s="10">
        <v>0.95094768699999999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113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114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111</v>
      </c>
      <c r="D73" s="1"/>
      <c r="E73" s="1" t="s">
        <v>112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115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111</v>
      </c>
      <c r="D76" s="1"/>
      <c r="E76" s="1" t="s">
        <v>112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116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117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8" customHeight="1" x14ac:dyDescent="0.2">
      <c r="A84" s="1"/>
      <c r="B84" s="1"/>
      <c r="C84" s="2" t="s">
        <v>118</v>
      </c>
      <c r="D84" s="1"/>
      <c r="E84" s="1"/>
      <c r="F84" s="9">
        <v>7253.3803244999999</v>
      </c>
      <c r="G84" s="10">
        <v>0.95094768699999999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119</v>
      </c>
      <c r="D86" s="1"/>
      <c r="E86" s="1"/>
      <c r="F86" s="12"/>
      <c r="G86" s="12"/>
      <c r="H86" s="6"/>
    </row>
    <row r="87" spans="1:8" ht="24" customHeight="1" x14ac:dyDescent="0.2">
      <c r="A87" s="1"/>
      <c r="B87" s="1"/>
      <c r="C87" s="2" t="s">
        <v>10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120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111</v>
      </c>
      <c r="D91" s="1"/>
      <c r="E91" s="1" t="s">
        <v>112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121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122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123</v>
      </c>
      <c r="D99" s="1"/>
      <c r="E99" s="1"/>
      <c r="F99" s="9">
        <v>0</v>
      </c>
      <c r="G99" s="10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124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125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126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127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111</v>
      </c>
      <c r="D109" s="1"/>
      <c r="E109" s="1" t="s">
        <v>112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128</v>
      </c>
      <c r="D111" s="1"/>
      <c r="E111" s="1"/>
      <c r="F111" s="12"/>
      <c r="G111" s="12"/>
      <c r="H111" s="6"/>
    </row>
    <row r="112" spans="1:8" ht="17.100000000000001" customHeight="1" x14ac:dyDescent="0.2">
      <c r="A112" s="3">
        <v>1</v>
      </c>
      <c r="B112" s="4"/>
      <c r="C112" s="4" t="s">
        <v>129</v>
      </c>
      <c r="D112" s="4"/>
      <c r="E112" s="8"/>
      <c r="F112" s="6">
        <v>370.16429829999998</v>
      </c>
      <c r="G112" s="7">
        <v>4.8530047E-2</v>
      </c>
      <c r="H112" s="6">
        <v>3.9343919198424624</v>
      </c>
    </row>
    <row r="113" spans="1:8" ht="17.100000000000001" customHeight="1" x14ac:dyDescent="0.2">
      <c r="A113" s="3">
        <v>2</v>
      </c>
      <c r="B113" s="4"/>
      <c r="C113" s="4" t="s">
        <v>130</v>
      </c>
      <c r="D113" s="4"/>
      <c r="E113" s="8"/>
      <c r="F113" s="6">
        <v>24.3122249</v>
      </c>
      <c r="G113" s="7">
        <v>3.187432E-3</v>
      </c>
      <c r="H113" s="6">
        <v>3.8</v>
      </c>
    </row>
    <row r="114" spans="1:8" ht="14.1" customHeight="1" x14ac:dyDescent="0.2">
      <c r="A114" s="1"/>
      <c r="B114" s="1"/>
      <c r="C114" s="2" t="s">
        <v>111</v>
      </c>
      <c r="D114" s="1"/>
      <c r="E114" s="1" t="s">
        <v>112</v>
      </c>
      <c r="F114" s="9">
        <v>394.47652319999997</v>
      </c>
      <c r="G114" s="10">
        <v>5.1717478999999997E-2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131</v>
      </c>
      <c r="D116" s="1"/>
      <c r="E116" s="1"/>
      <c r="F116" s="9">
        <v>394.47652319999997</v>
      </c>
      <c r="G116" s="10">
        <v>5.1717478999999997E-2</v>
      </c>
      <c r="H116" s="6"/>
    </row>
    <row r="117" spans="1:8" ht="14.1" customHeight="1" x14ac:dyDescent="0.2">
      <c r="A117" s="1"/>
      <c r="B117" s="1"/>
      <c r="C117" s="12"/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132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133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134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135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111</v>
      </c>
      <c r="D124" s="1"/>
      <c r="E124" s="1" t="s">
        <v>112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24" customHeight="1" x14ac:dyDescent="0.2">
      <c r="A127" s="1"/>
      <c r="B127" s="1"/>
      <c r="C127" s="2" t="s">
        <v>136</v>
      </c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111</v>
      </c>
      <c r="D128" s="1"/>
      <c r="E128" s="1" t="s">
        <v>112</v>
      </c>
      <c r="F128" s="13">
        <v>0</v>
      </c>
      <c r="G128" s="14">
        <v>0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4"/>
      <c r="C130" s="4"/>
      <c r="D130" s="2"/>
      <c r="E130" s="1"/>
      <c r="F130" s="4"/>
      <c r="G130" s="8"/>
      <c r="H130" s="6"/>
    </row>
    <row r="131" spans="1:8" ht="18" customHeight="1" x14ac:dyDescent="0.2">
      <c r="A131" s="8"/>
      <c r="B131" s="4"/>
      <c r="C131" s="4" t="s">
        <v>137</v>
      </c>
      <c r="D131" s="4"/>
      <c r="E131" s="8"/>
      <c r="F131" s="6">
        <v>-20.328652999999999</v>
      </c>
      <c r="G131" s="7">
        <v>-2.6651689999999998E-3</v>
      </c>
      <c r="H131" s="6"/>
    </row>
    <row r="132" spans="1:8" ht="14.1" customHeight="1" x14ac:dyDescent="0.2">
      <c r="A132" s="11"/>
      <c r="B132" s="11"/>
      <c r="C132" s="2" t="s">
        <v>138</v>
      </c>
      <c r="D132" s="15"/>
      <c r="E132" s="15"/>
      <c r="F132" s="9">
        <v>7627.5281947000003</v>
      </c>
      <c r="G132" s="10">
        <v>0.99999999699999997</v>
      </c>
      <c r="H132" s="6"/>
    </row>
    <row r="133" spans="1:8" ht="14.1" customHeight="1" x14ac:dyDescent="0.2">
      <c r="A133" s="16"/>
      <c r="B133" s="16"/>
      <c r="C133" s="16"/>
      <c r="D133" s="17"/>
      <c r="E133" s="17"/>
      <c r="F133" s="17"/>
      <c r="G133" s="17"/>
    </row>
    <row r="134" spans="1:8" ht="14.1" customHeight="1" x14ac:dyDescent="0.2">
      <c r="A134" s="18"/>
      <c r="B134" s="18"/>
      <c r="C134" s="18"/>
      <c r="D134" s="20"/>
      <c r="E134" s="20"/>
      <c r="F134" s="20"/>
      <c r="G134" s="20"/>
    </row>
    <row r="135" spans="1:8" ht="14.1" customHeight="1" x14ac:dyDescent="0.2">
      <c r="A135" s="18"/>
      <c r="B135" s="294" t="s">
        <v>140</v>
      </c>
      <c r="C135" s="295"/>
      <c r="D135" s="12" t="s">
        <v>112</v>
      </c>
      <c r="E135" s="21"/>
      <c r="F135" s="20"/>
      <c r="G135" s="20"/>
    </row>
    <row r="136" spans="1:8" ht="29.1" customHeight="1" x14ac:dyDescent="0.2">
      <c r="A136" s="18"/>
      <c r="B136" s="288" t="s">
        <v>141</v>
      </c>
      <c r="C136" s="289"/>
      <c r="D136" s="2" t="s">
        <v>142</v>
      </c>
      <c r="E136" s="21"/>
      <c r="F136" s="20"/>
      <c r="G136" s="20"/>
    </row>
    <row r="137" spans="1:8" ht="17.100000000000001" customHeight="1" x14ac:dyDescent="0.2">
      <c r="A137" s="18"/>
      <c r="B137" s="288" t="s">
        <v>143</v>
      </c>
      <c r="C137" s="289"/>
      <c r="D137" s="2" t="s">
        <v>142</v>
      </c>
      <c r="E137" s="21"/>
      <c r="F137" s="20"/>
      <c r="G137" s="20"/>
    </row>
    <row r="138" spans="1:8" ht="17.100000000000001" customHeight="1" x14ac:dyDescent="0.2">
      <c r="A138" s="18"/>
      <c r="B138" s="288" t="s">
        <v>144</v>
      </c>
      <c r="C138" s="289"/>
      <c r="D138" s="12" t="s">
        <v>112</v>
      </c>
      <c r="E138" s="21"/>
      <c r="F138" s="20"/>
      <c r="G138" s="20"/>
    </row>
    <row r="139" spans="1:8" ht="24" customHeight="1" x14ac:dyDescent="0.2">
      <c r="A139" s="22"/>
      <c r="B139" s="23" t="s">
        <v>112</v>
      </c>
      <c r="C139" s="23" t="s">
        <v>145</v>
      </c>
      <c r="D139" s="23" t="s">
        <v>146</v>
      </c>
      <c r="E139" s="22"/>
      <c r="F139" s="22"/>
      <c r="G139" s="22"/>
    </row>
    <row r="140" spans="1:8" ht="18" customHeight="1" x14ac:dyDescent="0.2">
      <c r="A140" s="22"/>
      <c r="B140" s="23" t="s">
        <v>147</v>
      </c>
      <c r="C140" s="23" t="s">
        <v>148</v>
      </c>
      <c r="D140" s="23" t="s">
        <v>149</v>
      </c>
      <c r="E140" s="22"/>
      <c r="F140" s="22"/>
      <c r="G140" s="22"/>
    </row>
    <row r="141" spans="1:8" ht="17.100000000000001" customHeight="1" x14ac:dyDescent="0.2">
      <c r="A141" s="22"/>
      <c r="B141" s="4" t="s">
        <v>150</v>
      </c>
      <c r="C141" s="24">
        <v>19.085999999999999</v>
      </c>
      <c r="D141" s="24">
        <v>19.3383</v>
      </c>
      <c r="E141" s="22"/>
      <c r="F141" s="19"/>
      <c r="G141" s="25"/>
    </row>
    <row r="142" spans="1:8" ht="17.100000000000001" customHeight="1" x14ac:dyDescent="0.2">
      <c r="A142" s="22"/>
      <c r="B142" s="4" t="s">
        <v>1114</v>
      </c>
      <c r="C142" s="24">
        <v>17.579599999999999</v>
      </c>
      <c r="D142" s="24">
        <v>17.811900000000001</v>
      </c>
      <c r="E142" s="22"/>
      <c r="F142" s="19"/>
      <c r="G142" s="25"/>
    </row>
    <row r="143" spans="1:8" ht="17.100000000000001" customHeight="1" x14ac:dyDescent="0.2">
      <c r="A143" s="22"/>
      <c r="B143" s="4" t="s">
        <v>151</v>
      </c>
      <c r="C143" s="24">
        <v>18.642600000000002</v>
      </c>
      <c r="D143" s="24">
        <v>18.886399999999998</v>
      </c>
      <c r="E143" s="22"/>
      <c r="F143" s="19"/>
      <c r="G143" s="25"/>
    </row>
    <row r="144" spans="1:8" ht="17.100000000000001" customHeight="1" x14ac:dyDescent="0.2">
      <c r="A144" s="22"/>
      <c r="B144" s="4" t="s">
        <v>1115</v>
      </c>
      <c r="C144" s="24">
        <v>17.155100000000001</v>
      </c>
      <c r="D144" s="24">
        <v>17.3794</v>
      </c>
      <c r="E144" s="22"/>
      <c r="F144" s="19"/>
      <c r="G144" s="25"/>
    </row>
    <row r="145" spans="1:15" ht="14.1" customHeight="1" x14ac:dyDescent="0.2">
      <c r="A145" s="22"/>
      <c r="B145" s="22"/>
      <c r="C145" s="22"/>
      <c r="D145" s="22"/>
      <c r="E145" s="22"/>
      <c r="F145" s="22"/>
      <c r="G145" s="22"/>
    </row>
    <row r="146" spans="1:15" ht="17.100000000000001" customHeight="1" x14ac:dyDescent="0.2">
      <c r="A146" s="22"/>
      <c r="B146" s="288" t="s">
        <v>1116</v>
      </c>
      <c r="C146" s="289"/>
      <c r="D146" s="2" t="s">
        <v>142</v>
      </c>
      <c r="E146" s="22"/>
      <c r="F146" s="22"/>
      <c r="G146" s="22"/>
    </row>
    <row r="147" spans="1:15" ht="14.1" customHeight="1" x14ac:dyDescent="0.2">
      <c r="A147" s="22"/>
      <c r="B147" s="19"/>
      <c r="C147" s="19"/>
      <c r="D147" s="22"/>
      <c r="E147" s="22"/>
      <c r="F147" s="22"/>
      <c r="G147" s="22"/>
    </row>
    <row r="148" spans="1:15" ht="29.1" customHeight="1" x14ac:dyDescent="0.2">
      <c r="A148" s="22"/>
      <c r="B148" s="288" t="s">
        <v>153</v>
      </c>
      <c r="C148" s="289"/>
      <c r="D148" s="2" t="s">
        <v>142</v>
      </c>
      <c r="E148" s="22"/>
      <c r="F148" s="22"/>
      <c r="G148" s="22"/>
    </row>
    <row r="149" spans="1:15" ht="29.1" customHeight="1" x14ac:dyDescent="0.2">
      <c r="A149" s="22"/>
      <c r="B149" s="288" t="s">
        <v>154</v>
      </c>
      <c r="C149" s="289"/>
      <c r="D149" s="2" t="s">
        <v>142</v>
      </c>
      <c r="E149" s="22"/>
      <c r="F149" s="22"/>
      <c r="G149" s="22"/>
    </row>
    <row r="150" spans="1:15" ht="17.100000000000001" customHeight="1" x14ac:dyDescent="0.2">
      <c r="A150" s="22"/>
      <c r="B150" s="288" t="s">
        <v>155</v>
      </c>
      <c r="C150" s="289"/>
      <c r="D150" s="26">
        <v>0.24717911094057951</v>
      </c>
      <c r="E150" s="22"/>
      <c r="F150" s="19"/>
      <c r="G150" s="25"/>
    </row>
    <row r="151" spans="1:15" ht="17.100000000000001" customHeight="1" x14ac:dyDescent="0.2">
      <c r="A151" s="22"/>
      <c r="B151" s="288" t="s">
        <v>156</v>
      </c>
      <c r="C151" s="289"/>
      <c r="D151" s="2" t="s">
        <v>142</v>
      </c>
      <c r="E151" s="22"/>
      <c r="F151" s="22"/>
      <c r="G151" s="22"/>
    </row>
    <row r="156" spans="1:15" x14ac:dyDescent="0.2">
      <c r="J156" s="66"/>
      <c r="K156" s="66"/>
      <c r="L156" s="66"/>
      <c r="M156" s="66"/>
      <c r="N156" s="66"/>
      <c r="O156" s="66"/>
    </row>
  </sheetData>
  <mergeCells count="13">
    <mergeCell ref="A1:H1"/>
    <mergeCell ref="A2:H2"/>
    <mergeCell ref="A3:H3"/>
    <mergeCell ref="B135:C135"/>
    <mergeCell ref="B150:C150"/>
    <mergeCell ref="J2:N2"/>
    <mergeCell ref="B151:C151"/>
    <mergeCell ref="B136:C136"/>
    <mergeCell ref="B137:C137"/>
    <mergeCell ref="B138:C138"/>
    <mergeCell ref="B146:C146"/>
    <mergeCell ref="B148:C148"/>
    <mergeCell ref="B149:C149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498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209</v>
      </c>
      <c r="C7" s="4" t="s">
        <v>210</v>
      </c>
      <c r="D7" s="4" t="s">
        <v>934</v>
      </c>
      <c r="E7" s="5">
        <v>8437</v>
      </c>
      <c r="F7" s="6">
        <v>164.454004</v>
      </c>
      <c r="G7" s="7">
        <v>4.4936772999999999E-2</v>
      </c>
      <c r="H7" s="6"/>
    </row>
    <row r="8" spans="1:14" x14ac:dyDescent="0.2">
      <c r="A8" s="3">
        <v>2</v>
      </c>
      <c r="B8" s="4" t="s">
        <v>191</v>
      </c>
      <c r="C8" s="4" t="s">
        <v>192</v>
      </c>
      <c r="D8" s="4" t="s">
        <v>26</v>
      </c>
      <c r="E8" s="5">
        <v>11885</v>
      </c>
      <c r="F8" s="6">
        <v>143.47572</v>
      </c>
      <c r="G8" s="7">
        <v>3.9204493E-2</v>
      </c>
      <c r="H8" s="6"/>
    </row>
    <row r="9" spans="1:14" x14ac:dyDescent="0.2">
      <c r="A9" s="3">
        <v>3</v>
      </c>
      <c r="B9" s="4" t="s">
        <v>195</v>
      </c>
      <c r="C9" s="4" t="s">
        <v>196</v>
      </c>
      <c r="D9" s="4" t="s">
        <v>71</v>
      </c>
      <c r="E9" s="5">
        <v>20331</v>
      </c>
      <c r="F9" s="6">
        <v>129.13234650000001</v>
      </c>
      <c r="G9" s="7">
        <v>3.5285191E-2</v>
      </c>
      <c r="H9" s="6"/>
    </row>
    <row r="10" spans="1:14" x14ac:dyDescent="0.2">
      <c r="A10" s="3">
        <v>4</v>
      </c>
      <c r="B10" s="4" t="s">
        <v>69</v>
      </c>
      <c r="C10" s="4" t="s">
        <v>70</v>
      </c>
      <c r="D10" s="4" t="s">
        <v>71</v>
      </c>
      <c r="E10" s="5">
        <v>19433</v>
      </c>
      <c r="F10" s="6">
        <v>117.6376655</v>
      </c>
      <c r="G10" s="7">
        <v>3.2144289E-2</v>
      </c>
      <c r="H10" s="6"/>
    </row>
    <row r="11" spans="1:14" ht="25.5" x14ac:dyDescent="0.2">
      <c r="A11" s="3">
        <v>5</v>
      </c>
      <c r="B11" s="4" t="s">
        <v>217</v>
      </c>
      <c r="C11" s="4" t="s">
        <v>218</v>
      </c>
      <c r="D11" s="4" t="s">
        <v>946</v>
      </c>
      <c r="E11" s="5">
        <v>2944</v>
      </c>
      <c r="F11" s="6">
        <v>115.75219199999999</v>
      </c>
      <c r="G11" s="7">
        <v>3.1629087E-2</v>
      </c>
      <c r="H11" s="6"/>
    </row>
    <row r="12" spans="1:14" x14ac:dyDescent="0.2">
      <c r="A12" s="3">
        <v>6</v>
      </c>
      <c r="B12" s="4" t="s">
        <v>261</v>
      </c>
      <c r="C12" s="4" t="s">
        <v>262</v>
      </c>
      <c r="D12" s="4" t="s">
        <v>955</v>
      </c>
      <c r="E12" s="5">
        <v>55680</v>
      </c>
      <c r="F12" s="6">
        <v>110.19072</v>
      </c>
      <c r="G12" s="7">
        <v>3.0109423999999999E-2</v>
      </c>
      <c r="H12" s="6"/>
    </row>
    <row r="13" spans="1:14" x14ac:dyDescent="0.2">
      <c r="A13" s="3">
        <v>7</v>
      </c>
      <c r="B13" s="4" t="s">
        <v>193</v>
      </c>
      <c r="C13" s="4" t="s">
        <v>194</v>
      </c>
      <c r="D13" s="4" t="s">
        <v>947</v>
      </c>
      <c r="E13" s="5">
        <v>19582</v>
      </c>
      <c r="F13" s="6">
        <v>108.45490700000001</v>
      </c>
      <c r="G13" s="7">
        <v>2.9635116E-2</v>
      </c>
      <c r="H13" s="6"/>
    </row>
    <row r="14" spans="1:14" x14ac:dyDescent="0.2">
      <c r="A14" s="3">
        <v>8</v>
      </c>
      <c r="B14" s="4" t="s">
        <v>229</v>
      </c>
      <c r="C14" s="4" t="s">
        <v>230</v>
      </c>
      <c r="D14" s="4" t="s">
        <v>26</v>
      </c>
      <c r="E14" s="5">
        <v>11868</v>
      </c>
      <c r="F14" s="6">
        <v>105.838824</v>
      </c>
      <c r="G14" s="7">
        <v>2.8920276000000002E-2</v>
      </c>
      <c r="H14" s="6"/>
    </row>
    <row r="15" spans="1:14" ht="15" x14ac:dyDescent="0.2">
      <c r="A15" s="3">
        <v>9</v>
      </c>
      <c r="B15" s="4" t="s">
        <v>231</v>
      </c>
      <c r="C15" s="4" t="s">
        <v>232</v>
      </c>
      <c r="D15" s="4" t="s">
        <v>233</v>
      </c>
      <c r="E15" s="5">
        <v>35324</v>
      </c>
      <c r="F15" s="6">
        <v>99.560693999999998</v>
      </c>
      <c r="G15" s="7">
        <v>2.7204788000000001E-2</v>
      </c>
      <c r="H15" s="6"/>
      <c r="J15" s="192" t="s">
        <v>1149</v>
      </c>
    </row>
    <row r="16" spans="1:14" x14ac:dyDescent="0.2">
      <c r="A16" s="3">
        <v>10</v>
      </c>
      <c r="B16" s="4" t="s">
        <v>166</v>
      </c>
      <c r="C16" s="4" t="s">
        <v>167</v>
      </c>
      <c r="D16" s="4" t="s">
        <v>82</v>
      </c>
      <c r="E16" s="5">
        <v>88789</v>
      </c>
      <c r="F16" s="6">
        <v>99.088524000000007</v>
      </c>
      <c r="G16" s="7">
        <v>2.7075768E-2</v>
      </c>
      <c r="H16" s="6"/>
    </row>
    <row r="17" spans="1:8" x14ac:dyDescent="0.2">
      <c r="A17" s="3">
        <v>11</v>
      </c>
      <c r="B17" s="4" t="s">
        <v>207</v>
      </c>
      <c r="C17" s="4" t="s">
        <v>208</v>
      </c>
      <c r="D17" s="4" t="s">
        <v>948</v>
      </c>
      <c r="E17" s="5">
        <v>17365</v>
      </c>
      <c r="F17" s="6">
        <v>87.033379999999994</v>
      </c>
      <c r="G17" s="7">
        <v>2.3781720999999999E-2</v>
      </c>
      <c r="H17" s="6"/>
    </row>
    <row r="18" spans="1:8" x14ac:dyDescent="0.2">
      <c r="A18" s="3">
        <v>12</v>
      </c>
      <c r="B18" s="4" t="s">
        <v>92</v>
      </c>
      <c r="C18" s="4" t="s">
        <v>93</v>
      </c>
      <c r="D18" s="4" t="s">
        <v>923</v>
      </c>
      <c r="E18" s="5">
        <v>18429</v>
      </c>
      <c r="F18" s="6">
        <v>83.999381999999997</v>
      </c>
      <c r="G18" s="7">
        <v>2.2952686E-2</v>
      </c>
      <c r="H18" s="6"/>
    </row>
    <row r="19" spans="1:8" ht="25.5" x14ac:dyDescent="0.2">
      <c r="A19" s="3">
        <v>13</v>
      </c>
      <c r="B19" s="4" t="s">
        <v>449</v>
      </c>
      <c r="C19" s="4" t="s">
        <v>450</v>
      </c>
      <c r="D19" s="4" t="s">
        <v>936</v>
      </c>
      <c r="E19" s="5">
        <v>4362</v>
      </c>
      <c r="F19" s="6">
        <v>83.586825000000005</v>
      </c>
      <c r="G19" s="7">
        <v>2.2839956000000002E-2</v>
      </c>
      <c r="H19" s="6"/>
    </row>
    <row r="20" spans="1:8" x14ac:dyDescent="0.2">
      <c r="A20" s="3">
        <v>14</v>
      </c>
      <c r="B20" s="4" t="s">
        <v>30</v>
      </c>
      <c r="C20" s="4" t="s">
        <v>31</v>
      </c>
      <c r="D20" s="4" t="s">
        <v>26</v>
      </c>
      <c r="E20" s="5">
        <v>4869</v>
      </c>
      <c r="F20" s="6">
        <v>83.403535500000004</v>
      </c>
      <c r="G20" s="7">
        <v>2.2789871999999999E-2</v>
      </c>
      <c r="H20" s="6"/>
    </row>
    <row r="21" spans="1:8" x14ac:dyDescent="0.2">
      <c r="A21" s="3">
        <v>15</v>
      </c>
      <c r="B21" s="4" t="s">
        <v>36</v>
      </c>
      <c r="C21" s="4" t="s">
        <v>37</v>
      </c>
      <c r="D21" s="4" t="s">
        <v>26</v>
      </c>
      <c r="E21" s="5">
        <v>5766</v>
      </c>
      <c r="F21" s="6">
        <v>76.970333999999994</v>
      </c>
      <c r="G21" s="7">
        <v>2.1032011E-2</v>
      </c>
      <c r="H21" s="6"/>
    </row>
    <row r="22" spans="1:8" ht="25.5" x14ac:dyDescent="0.2">
      <c r="A22" s="3">
        <v>16</v>
      </c>
      <c r="B22" s="4" t="s">
        <v>170</v>
      </c>
      <c r="C22" s="4" t="s">
        <v>171</v>
      </c>
      <c r="D22" s="4" t="s">
        <v>945</v>
      </c>
      <c r="E22" s="5">
        <v>20115</v>
      </c>
      <c r="F22" s="6">
        <v>76.51746</v>
      </c>
      <c r="G22" s="7">
        <v>2.0908263999999999E-2</v>
      </c>
      <c r="H22" s="6"/>
    </row>
    <row r="23" spans="1:8" x14ac:dyDescent="0.2">
      <c r="A23" s="3">
        <v>17</v>
      </c>
      <c r="B23" s="4" t="s">
        <v>168</v>
      </c>
      <c r="C23" s="4" t="s">
        <v>169</v>
      </c>
      <c r="D23" s="4" t="s">
        <v>944</v>
      </c>
      <c r="E23" s="5">
        <v>5601</v>
      </c>
      <c r="F23" s="6">
        <v>74.350474500000004</v>
      </c>
      <c r="G23" s="7">
        <v>2.0316139E-2</v>
      </c>
      <c r="H23" s="6"/>
    </row>
    <row r="24" spans="1:8" x14ac:dyDescent="0.2">
      <c r="A24" s="3">
        <v>18</v>
      </c>
      <c r="B24" s="4" t="s">
        <v>197</v>
      </c>
      <c r="C24" s="4" t="s">
        <v>198</v>
      </c>
      <c r="D24" s="4" t="s">
        <v>82</v>
      </c>
      <c r="E24" s="5">
        <v>10174</v>
      </c>
      <c r="F24" s="6">
        <v>71.462175999999999</v>
      </c>
      <c r="G24" s="7">
        <v>1.9526915999999998E-2</v>
      </c>
      <c r="H24" s="6"/>
    </row>
    <row r="25" spans="1:8" ht="25.5" x14ac:dyDescent="0.2">
      <c r="A25" s="3">
        <v>19</v>
      </c>
      <c r="B25" s="4" t="s">
        <v>42</v>
      </c>
      <c r="C25" s="4" t="s">
        <v>43</v>
      </c>
      <c r="D25" s="4" t="s">
        <v>935</v>
      </c>
      <c r="E25" s="5">
        <v>2480</v>
      </c>
      <c r="F25" s="6">
        <v>65.648079999999993</v>
      </c>
      <c r="G25" s="7">
        <v>1.7938223999999999E-2</v>
      </c>
      <c r="H25" s="6"/>
    </row>
    <row r="26" spans="1:8" x14ac:dyDescent="0.2">
      <c r="A26" s="3">
        <v>20</v>
      </c>
      <c r="B26" s="4" t="s">
        <v>205</v>
      </c>
      <c r="C26" s="4" t="s">
        <v>206</v>
      </c>
      <c r="D26" s="4" t="s">
        <v>64</v>
      </c>
      <c r="E26" s="5">
        <v>17176</v>
      </c>
      <c r="F26" s="6">
        <v>61.825012000000001</v>
      </c>
      <c r="G26" s="7">
        <v>1.6893577999999999E-2</v>
      </c>
      <c r="H26" s="6"/>
    </row>
    <row r="27" spans="1:8" x14ac:dyDescent="0.2">
      <c r="A27" s="3">
        <v>21</v>
      </c>
      <c r="B27" s="4" t="s">
        <v>242</v>
      </c>
      <c r="C27" s="4" t="s">
        <v>243</v>
      </c>
      <c r="D27" s="4" t="s">
        <v>949</v>
      </c>
      <c r="E27" s="5">
        <v>23991</v>
      </c>
      <c r="F27" s="6">
        <v>60.673239000000002</v>
      </c>
      <c r="G27" s="7">
        <v>1.6578857999999998E-2</v>
      </c>
      <c r="H27" s="6"/>
    </row>
    <row r="28" spans="1:8" x14ac:dyDescent="0.2">
      <c r="A28" s="3">
        <v>22</v>
      </c>
      <c r="B28" s="4" t="s">
        <v>178</v>
      </c>
      <c r="C28" s="4" t="s">
        <v>179</v>
      </c>
      <c r="D28" s="4" t="s">
        <v>934</v>
      </c>
      <c r="E28" s="5">
        <v>4114</v>
      </c>
      <c r="F28" s="6">
        <v>58.838428</v>
      </c>
      <c r="G28" s="7">
        <v>1.6077498999999999E-2</v>
      </c>
      <c r="H28" s="6"/>
    </row>
    <row r="29" spans="1:8" x14ac:dyDescent="0.2">
      <c r="A29" s="3">
        <v>23</v>
      </c>
      <c r="B29" s="4" t="s">
        <v>234</v>
      </c>
      <c r="C29" s="4" t="s">
        <v>235</v>
      </c>
      <c r="D29" s="4" t="s">
        <v>952</v>
      </c>
      <c r="E29" s="5">
        <v>38110</v>
      </c>
      <c r="F29" s="6">
        <v>56.440910000000002</v>
      </c>
      <c r="G29" s="7">
        <v>1.5422381000000001E-2</v>
      </c>
      <c r="H29" s="6"/>
    </row>
    <row r="30" spans="1:8" x14ac:dyDescent="0.2">
      <c r="A30" s="3">
        <v>24</v>
      </c>
      <c r="B30" s="4" t="s">
        <v>269</v>
      </c>
      <c r="C30" s="4" t="s">
        <v>270</v>
      </c>
      <c r="D30" s="4" t="s">
        <v>26</v>
      </c>
      <c r="E30" s="5">
        <v>2835</v>
      </c>
      <c r="F30" s="6">
        <v>56.250652500000001</v>
      </c>
      <c r="G30" s="7">
        <v>1.5370394000000001E-2</v>
      </c>
      <c r="H30" s="6"/>
    </row>
    <row r="31" spans="1:8" ht="25.5" x14ac:dyDescent="0.2">
      <c r="A31" s="3">
        <v>25</v>
      </c>
      <c r="B31" s="4" t="s">
        <v>184</v>
      </c>
      <c r="C31" s="4" t="s">
        <v>185</v>
      </c>
      <c r="D31" s="4" t="s">
        <v>935</v>
      </c>
      <c r="E31" s="5">
        <v>27913</v>
      </c>
      <c r="F31" s="6">
        <v>56.244695</v>
      </c>
      <c r="G31" s="7">
        <v>1.5368766000000001E-2</v>
      </c>
      <c r="H31" s="6"/>
    </row>
    <row r="32" spans="1:8" x14ac:dyDescent="0.2">
      <c r="A32" s="3">
        <v>26</v>
      </c>
      <c r="B32" s="4" t="s">
        <v>225</v>
      </c>
      <c r="C32" s="4" t="s">
        <v>226</v>
      </c>
      <c r="D32" s="4" t="s">
        <v>951</v>
      </c>
      <c r="E32" s="5">
        <v>17911</v>
      </c>
      <c r="F32" s="6">
        <v>56.159940499999998</v>
      </c>
      <c r="G32" s="7">
        <v>1.5345607000000001E-2</v>
      </c>
      <c r="H32" s="6"/>
    </row>
    <row r="33" spans="1:8" ht="25.5" x14ac:dyDescent="0.2">
      <c r="A33" s="3">
        <v>27</v>
      </c>
      <c r="B33" s="4" t="s">
        <v>158</v>
      </c>
      <c r="C33" s="4" t="s">
        <v>159</v>
      </c>
      <c r="D33" s="4" t="s">
        <v>941</v>
      </c>
      <c r="E33" s="5">
        <v>7893</v>
      </c>
      <c r="F33" s="6">
        <v>55.9653165</v>
      </c>
      <c r="G33" s="7">
        <v>1.5292426E-2</v>
      </c>
      <c r="H33" s="6"/>
    </row>
    <row r="34" spans="1:8" x14ac:dyDescent="0.2">
      <c r="A34" s="3">
        <v>28</v>
      </c>
      <c r="B34" s="4" t="s">
        <v>203</v>
      </c>
      <c r="C34" s="4" t="s">
        <v>204</v>
      </c>
      <c r="D34" s="4" t="s">
        <v>82</v>
      </c>
      <c r="E34" s="5">
        <v>9438</v>
      </c>
      <c r="F34" s="6">
        <v>55.887117000000003</v>
      </c>
      <c r="G34" s="7">
        <v>1.5271058000000001E-2</v>
      </c>
      <c r="H34" s="6"/>
    </row>
    <row r="35" spans="1:8" ht="25.5" x14ac:dyDescent="0.2">
      <c r="A35" s="3">
        <v>29</v>
      </c>
      <c r="B35" s="4" t="s">
        <v>256</v>
      </c>
      <c r="C35" s="4" t="s">
        <v>257</v>
      </c>
      <c r="D35" s="4" t="s">
        <v>954</v>
      </c>
      <c r="E35" s="5">
        <v>16295</v>
      </c>
      <c r="F35" s="6">
        <v>54.580102500000002</v>
      </c>
      <c r="G35" s="7">
        <v>1.4913918999999999E-2</v>
      </c>
      <c r="H35" s="6"/>
    </row>
    <row r="36" spans="1:8" x14ac:dyDescent="0.2">
      <c r="A36" s="3">
        <v>30</v>
      </c>
      <c r="B36" s="4" t="s">
        <v>451</v>
      </c>
      <c r="C36" s="4" t="s">
        <v>452</v>
      </c>
      <c r="D36" s="4" t="s">
        <v>71</v>
      </c>
      <c r="E36" s="5">
        <v>5646</v>
      </c>
      <c r="F36" s="6">
        <v>53.171205</v>
      </c>
      <c r="G36" s="7">
        <v>1.4528940000000001E-2</v>
      </c>
      <c r="H36" s="6"/>
    </row>
    <row r="37" spans="1:8" x14ac:dyDescent="0.2">
      <c r="A37" s="3">
        <v>31</v>
      </c>
      <c r="B37" s="4" t="s">
        <v>182</v>
      </c>
      <c r="C37" s="4" t="s">
        <v>183</v>
      </c>
      <c r="D37" s="4" t="s">
        <v>944</v>
      </c>
      <c r="E37" s="5">
        <v>31256</v>
      </c>
      <c r="F37" s="6">
        <v>53.025804000000001</v>
      </c>
      <c r="G37" s="7">
        <v>1.4489208999999999E-2</v>
      </c>
      <c r="H37" s="6"/>
    </row>
    <row r="38" spans="1:8" x14ac:dyDescent="0.2">
      <c r="A38" s="3">
        <v>32</v>
      </c>
      <c r="B38" s="4" t="s">
        <v>265</v>
      </c>
      <c r="C38" s="4" t="s">
        <v>266</v>
      </c>
      <c r="D38" s="4" t="s">
        <v>942</v>
      </c>
      <c r="E38" s="5">
        <v>5920</v>
      </c>
      <c r="F38" s="6">
        <v>52.400880000000001</v>
      </c>
      <c r="G38" s="7">
        <v>1.431845E-2</v>
      </c>
      <c r="H38" s="6"/>
    </row>
    <row r="39" spans="1:8" ht="25.5" x14ac:dyDescent="0.2">
      <c r="A39" s="3">
        <v>33</v>
      </c>
      <c r="B39" s="4" t="s">
        <v>248</v>
      </c>
      <c r="C39" s="4" t="s">
        <v>249</v>
      </c>
      <c r="D39" s="4" t="s">
        <v>950</v>
      </c>
      <c r="E39" s="5">
        <v>9605</v>
      </c>
      <c r="F39" s="6">
        <v>50.997747500000003</v>
      </c>
      <c r="G39" s="7">
        <v>1.3935046E-2</v>
      </c>
      <c r="H39" s="6"/>
    </row>
    <row r="40" spans="1:8" x14ac:dyDescent="0.2">
      <c r="A40" s="3">
        <v>34</v>
      </c>
      <c r="B40" s="4" t="s">
        <v>74</v>
      </c>
      <c r="C40" s="4" t="s">
        <v>75</v>
      </c>
      <c r="D40" s="4" t="s">
        <v>71</v>
      </c>
      <c r="E40" s="5">
        <v>1355</v>
      </c>
      <c r="F40" s="6">
        <v>50.266435000000001</v>
      </c>
      <c r="G40" s="7">
        <v>1.3735216999999999E-2</v>
      </c>
      <c r="H40" s="6"/>
    </row>
    <row r="41" spans="1:8" ht="25.5" x14ac:dyDescent="0.2">
      <c r="A41" s="3">
        <v>35</v>
      </c>
      <c r="B41" s="4" t="s">
        <v>162</v>
      </c>
      <c r="C41" s="4" t="s">
        <v>163</v>
      </c>
      <c r="D41" s="4" t="s">
        <v>943</v>
      </c>
      <c r="E41" s="5">
        <v>44513</v>
      </c>
      <c r="F41" s="6">
        <v>45.781620500000002</v>
      </c>
      <c r="G41" s="7">
        <v>1.2509749000000001E-2</v>
      </c>
      <c r="H41" s="6"/>
    </row>
    <row r="42" spans="1:8" ht="25.5" x14ac:dyDescent="0.2">
      <c r="A42" s="3">
        <v>36</v>
      </c>
      <c r="B42" s="4" t="s">
        <v>180</v>
      </c>
      <c r="C42" s="4" t="s">
        <v>181</v>
      </c>
      <c r="D42" s="4" t="s">
        <v>941</v>
      </c>
      <c r="E42" s="5">
        <v>8864</v>
      </c>
      <c r="F42" s="6">
        <v>44.936048</v>
      </c>
      <c r="G42" s="7">
        <v>1.2278697999999999E-2</v>
      </c>
      <c r="H42" s="6"/>
    </row>
    <row r="43" spans="1:8" x14ac:dyDescent="0.2">
      <c r="A43" s="3">
        <v>37</v>
      </c>
      <c r="B43" s="4" t="s">
        <v>463</v>
      </c>
      <c r="C43" s="4" t="s">
        <v>464</v>
      </c>
      <c r="D43" s="4" t="s">
        <v>952</v>
      </c>
      <c r="E43" s="5">
        <v>4775</v>
      </c>
      <c r="F43" s="6">
        <v>44.787112499999999</v>
      </c>
      <c r="G43" s="7">
        <v>1.2238001E-2</v>
      </c>
      <c r="H43" s="6"/>
    </row>
    <row r="44" spans="1:8" x14ac:dyDescent="0.2">
      <c r="A44" s="3">
        <v>38</v>
      </c>
      <c r="B44" s="4" t="s">
        <v>213</v>
      </c>
      <c r="C44" s="4" t="s">
        <v>214</v>
      </c>
      <c r="D44" s="4" t="s">
        <v>64</v>
      </c>
      <c r="E44" s="5">
        <v>50158</v>
      </c>
      <c r="F44" s="6">
        <v>43.361590999999997</v>
      </c>
      <c r="G44" s="7">
        <v>1.184848E-2</v>
      </c>
      <c r="H44" s="6"/>
    </row>
    <row r="45" spans="1:8" x14ac:dyDescent="0.2">
      <c r="A45" s="3">
        <v>39</v>
      </c>
      <c r="B45" s="4" t="s">
        <v>271</v>
      </c>
      <c r="C45" s="4" t="s">
        <v>272</v>
      </c>
      <c r="D45" s="4" t="s">
        <v>940</v>
      </c>
      <c r="E45" s="5">
        <v>6770</v>
      </c>
      <c r="F45" s="6">
        <v>42.231259999999999</v>
      </c>
      <c r="G45" s="7">
        <v>1.1539618999999999E-2</v>
      </c>
      <c r="H45" s="6"/>
    </row>
    <row r="46" spans="1:8" x14ac:dyDescent="0.2">
      <c r="A46" s="3">
        <v>40</v>
      </c>
      <c r="B46" s="4" t="s">
        <v>164</v>
      </c>
      <c r="C46" s="4" t="s">
        <v>165</v>
      </c>
      <c r="D46" s="4" t="s">
        <v>944</v>
      </c>
      <c r="E46" s="5">
        <v>8650</v>
      </c>
      <c r="F46" s="6">
        <v>41.230224999999997</v>
      </c>
      <c r="G46" s="7">
        <v>1.1266088E-2</v>
      </c>
      <c r="H46" s="6"/>
    </row>
    <row r="47" spans="1:8" ht="25.5" x14ac:dyDescent="0.2">
      <c r="A47" s="3">
        <v>41</v>
      </c>
      <c r="B47" s="4" t="s">
        <v>172</v>
      </c>
      <c r="C47" s="4" t="s">
        <v>173</v>
      </c>
      <c r="D47" s="4" t="s">
        <v>71</v>
      </c>
      <c r="E47" s="5">
        <v>2075</v>
      </c>
      <c r="F47" s="6">
        <v>40.826662499999998</v>
      </c>
      <c r="G47" s="7">
        <v>1.1155814999999999E-2</v>
      </c>
      <c r="H47" s="6"/>
    </row>
    <row r="48" spans="1:8" ht="51" x14ac:dyDescent="0.2">
      <c r="A48" s="3">
        <v>42</v>
      </c>
      <c r="B48" s="4" t="s">
        <v>238</v>
      </c>
      <c r="C48" s="4" t="s">
        <v>239</v>
      </c>
      <c r="D48" s="4" t="s">
        <v>939</v>
      </c>
      <c r="E48" s="5">
        <v>15720</v>
      </c>
      <c r="F48" s="6">
        <v>37.704419999999999</v>
      </c>
      <c r="G48" s="7">
        <v>1.0302667999999999E-2</v>
      </c>
      <c r="H48" s="6"/>
    </row>
    <row r="49" spans="1:8" x14ac:dyDescent="0.2">
      <c r="A49" s="3">
        <v>43</v>
      </c>
      <c r="B49" s="4" t="s">
        <v>174</v>
      </c>
      <c r="C49" s="4" t="s">
        <v>175</v>
      </c>
      <c r="D49" s="4" t="s">
        <v>71</v>
      </c>
      <c r="E49" s="5">
        <v>5918</v>
      </c>
      <c r="F49" s="6">
        <v>37.561546</v>
      </c>
      <c r="G49" s="7">
        <v>1.0263628E-2</v>
      </c>
      <c r="H49" s="6"/>
    </row>
    <row r="50" spans="1:8" ht="25.5" x14ac:dyDescent="0.2">
      <c r="A50" s="3">
        <v>44</v>
      </c>
      <c r="B50" s="4" t="s">
        <v>219</v>
      </c>
      <c r="C50" s="4" t="s">
        <v>220</v>
      </c>
      <c r="D50" s="4" t="s">
        <v>950</v>
      </c>
      <c r="E50" s="5">
        <v>8921</v>
      </c>
      <c r="F50" s="6">
        <v>36.411061500000002</v>
      </c>
      <c r="G50" s="7">
        <v>9.9492599999999997E-3</v>
      </c>
      <c r="H50" s="6"/>
    </row>
    <row r="51" spans="1:8" x14ac:dyDescent="0.2">
      <c r="A51" s="3">
        <v>45</v>
      </c>
      <c r="B51" s="4" t="s">
        <v>227</v>
      </c>
      <c r="C51" s="4" t="s">
        <v>228</v>
      </c>
      <c r="D51" s="4" t="s">
        <v>26</v>
      </c>
      <c r="E51" s="5">
        <v>3399</v>
      </c>
      <c r="F51" s="6">
        <v>34.469259000000001</v>
      </c>
      <c r="G51" s="7">
        <v>9.4186649999999997E-3</v>
      </c>
      <c r="H51" s="6"/>
    </row>
    <row r="52" spans="1:8" x14ac:dyDescent="0.2">
      <c r="A52" s="3">
        <v>46</v>
      </c>
      <c r="B52" s="4" t="s">
        <v>267</v>
      </c>
      <c r="C52" s="4" t="s">
        <v>268</v>
      </c>
      <c r="D52" s="4" t="s">
        <v>82</v>
      </c>
      <c r="E52" s="5">
        <v>60160</v>
      </c>
      <c r="F52" s="6">
        <v>34.35136</v>
      </c>
      <c r="G52" s="7">
        <v>9.3864499999999993E-3</v>
      </c>
      <c r="H52" s="6"/>
    </row>
    <row r="53" spans="1:8" x14ac:dyDescent="0.2">
      <c r="A53" s="3">
        <v>47</v>
      </c>
      <c r="B53" s="4" t="s">
        <v>279</v>
      </c>
      <c r="C53" s="4" t="s">
        <v>280</v>
      </c>
      <c r="D53" s="4" t="s">
        <v>18</v>
      </c>
      <c r="E53" s="5">
        <v>15024</v>
      </c>
      <c r="F53" s="6">
        <v>32.181407999999998</v>
      </c>
      <c r="G53" s="7">
        <v>8.7935140000000005E-3</v>
      </c>
      <c r="H53" s="6"/>
    </row>
    <row r="54" spans="1:8" ht="25.5" x14ac:dyDescent="0.2">
      <c r="A54" s="3">
        <v>48</v>
      </c>
      <c r="B54" s="4" t="s">
        <v>469</v>
      </c>
      <c r="C54" s="4" t="s">
        <v>470</v>
      </c>
      <c r="D54" s="4" t="s">
        <v>945</v>
      </c>
      <c r="E54" s="5">
        <v>7802</v>
      </c>
      <c r="F54" s="6">
        <v>31.051960000000001</v>
      </c>
      <c r="G54" s="7">
        <v>8.4848939999999998E-3</v>
      </c>
      <c r="H54" s="6"/>
    </row>
    <row r="55" spans="1:8" x14ac:dyDescent="0.2">
      <c r="A55" s="3">
        <v>49</v>
      </c>
      <c r="B55" s="4" t="s">
        <v>211</v>
      </c>
      <c r="C55" s="4" t="s">
        <v>212</v>
      </c>
      <c r="D55" s="4" t="s">
        <v>949</v>
      </c>
      <c r="E55" s="5">
        <v>1773</v>
      </c>
      <c r="F55" s="6">
        <v>29.795265000000001</v>
      </c>
      <c r="G55" s="7">
        <v>8.1415050000000003E-3</v>
      </c>
      <c r="H55" s="6"/>
    </row>
    <row r="56" spans="1:8" x14ac:dyDescent="0.2">
      <c r="A56" s="3">
        <v>50</v>
      </c>
      <c r="B56" s="4" t="s">
        <v>252</v>
      </c>
      <c r="C56" s="4" t="s">
        <v>253</v>
      </c>
      <c r="D56" s="4" t="s">
        <v>91</v>
      </c>
      <c r="E56" s="5">
        <v>12025</v>
      </c>
      <c r="F56" s="6">
        <v>29.767887500000001</v>
      </c>
      <c r="G56" s="7">
        <v>8.1340240000000001E-3</v>
      </c>
      <c r="H56" s="6"/>
    </row>
    <row r="57" spans="1:8" x14ac:dyDescent="0.2">
      <c r="A57" s="3">
        <v>51</v>
      </c>
      <c r="B57" s="4" t="s">
        <v>240</v>
      </c>
      <c r="C57" s="4" t="s">
        <v>241</v>
      </c>
      <c r="D57" s="4" t="s">
        <v>940</v>
      </c>
      <c r="E57" s="5">
        <v>5084</v>
      </c>
      <c r="F57" s="6">
        <v>26.617281999999999</v>
      </c>
      <c r="G57" s="7">
        <v>7.2731260000000004E-3</v>
      </c>
      <c r="H57" s="6"/>
    </row>
    <row r="58" spans="1:8" x14ac:dyDescent="0.2">
      <c r="A58" s="3">
        <v>52</v>
      </c>
      <c r="B58" s="4" t="s">
        <v>246</v>
      </c>
      <c r="C58" s="4" t="s">
        <v>247</v>
      </c>
      <c r="D58" s="4" t="s">
        <v>91</v>
      </c>
      <c r="E58" s="5">
        <v>3248</v>
      </c>
      <c r="F58" s="6">
        <v>25.516287999999999</v>
      </c>
      <c r="G58" s="7">
        <v>6.9722819999999998E-3</v>
      </c>
      <c r="H58" s="6"/>
    </row>
    <row r="59" spans="1:8" x14ac:dyDescent="0.2">
      <c r="A59" s="3">
        <v>53</v>
      </c>
      <c r="B59" s="4" t="s">
        <v>94</v>
      </c>
      <c r="C59" s="4" t="s">
        <v>95</v>
      </c>
      <c r="D59" s="4" t="s">
        <v>64</v>
      </c>
      <c r="E59" s="5">
        <v>15969</v>
      </c>
      <c r="F59" s="6">
        <v>22.0132665</v>
      </c>
      <c r="G59" s="7">
        <v>6.0150869999999997E-3</v>
      </c>
      <c r="H59" s="6"/>
    </row>
    <row r="60" spans="1:8" ht="25.5" x14ac:dyDescent="0.2">
      <c r="A60" s="3">
        <v>54</v>
      </c>
      <c r="B60" s="4" t="s">
        <v>188</v>
      </c>
      <c r="C60" s="4" t="s">
        <v>189</v>
      </c>
      <c r="D60" s="4" t="s">
        <v>945</v>
      </c>
      <c r="E60" s="5">
        <v>482</v>
      </c>
      <c r="F60" s="6">
        <v>21.385617</v>
      </c>
      <c r="G60" s="7">
        <v>5.8435830000000003E-3</v>
      </c>
      <c r="H60" s="6"/>
    </row>
    <row r="61" spans="1:8" x14ac:dyDescent="0.2">
      <c r="A61" s="3">
        <v>55</v>
      </c>
      <c r="B61" s="4" t="s">
        <v>250</v>
      </c>
      <c r="C61" s="4" t="s">
        <v>251</v>
      </c>
      <c r="D61" s="4" t="s">
        <v>302</v>
      </c>
      <c r="E61" s="5">
        <v>3231</v>
      </c>
      <c r="F61" s="6">
        <v>20.996653500000001</v>
      </c>
      <c r="G61" s="7">
        <v>5.7372990000000004E-3</v>
      </c>
      <c r="H61" s="6"/>
    </row>
    <row r="62" spans="1:8" x14ac:dyDescent="0.2">
      <c r="A62" s="3">
        <v>56</v>
      </c>
      <c r="B62" s="4" t="s">
        <v>176</v>
      </c>
      <c r="C62" s="4" t="s">
        <v>177</v>
      </c>
      <c r="D62" s="4" t="s">
        <v>944</v>
      </c>
      <c r="E62" s="5">
        <v>18377</v>
      </c>
      <c r="F62" s="6">
        <v>18.652654999999999</v>
      </c>
      <c r="G62" s="7">
        <v>5.0968059999999997E-3</v>
      </c>
      <c r="H62" s="6"/>
    </row>
    <row r="63" spans="1:8" x14ac:dyDescent="0.2">
      <c r="A63" s="3">
        <v>57</v>
      </c>
      <c r="B63" s="4" t="s">
        <v>106</v>
      </c>
      <c r="C63" s="4" t="s">
        <v>107</v>
      </c>
      <c r="D63" s="4" t="s">
        <v>923</v>
      </c>
      <c r="E63" s="5">
        <v>21625</v>
      </c>
      <c r="F63" s="6">
        <v>16.413374999999998</v>
      </c>
      <c r="G63" s="7">
        <v>4.4849260000000002E-3</v>
      </c>
      <c r="H63" s="6"/>
    </row>
    <row r="64" spans="1:8" ht="25.5" x14ac:dyDescent="0.2">
      <c r="A64" s="3">
        <v>58</v>
      </c>
      <c r="B64" s="4" t="s">
        <v>258</v>
      </c>
      <c r="C64" s="4" t="s">
        <v>259</v>
      </c>
      <c r="D64" s="4" t="s">
        <v>946</v>
      </c>
      <c r="E64" s="5">
        <v>1745</v>
      </c>
      <c r="F64" s="6">
        <v>15.5296275</v>
      </c>
      <c r="G64" s="7">
        <v>4.2434439999999999E-3</v>
      </c>
      <c r="H64" s="6"/>
    </row>
    <row r="65" spans="1:8" ht="14.1" customHeight="1" x14ac:dyDescent="0.2">
      <c r="A65" s="1"/>
      <c r="B65" s="1"/>
      <c r="C65" s="2" t="s">
        <v>111</v>
      </c>
      <c r="D65" s="1"/>
      <c r="E65" s="1" t="s">
        <v>112</v>
      </c>
      <c r="F65" s="9">
        <v>3502.8581795</v>
      </c>
      <c r="G65" s="10">
        <v>0.95714995300000005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113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111</v>
      </c>
      <c r="D68" s="1"/>
      <c r="E68" s="1" t="s">
        <v>112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114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115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116</v>
      </c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117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8" customHeight="1" x14ac:dyDescent="0.2">
      <c r="A82" s="1"/>
      <c r="B82" s="1"/>
      <c r="C82" s="2" t="s">
        <v>118</v>
      </c>
      <c r="D82" s="1"/>
      <c r="E82" s="1"/>
      <c r="F82" s="9">
        <v>3502.8581795</v>
      </c>
      <c r="G82" s="10">
        <v>0.95714995300000005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119</v>
      </c>
      <c r="D84" s="1"/>
      <c r="E84" s="1"/>
      <c r="F84" s="12"/>
      <c r="G84" s="12"/>
      <c r="H84" s="6"/>
    </row>
    <row r="85" spans="1:8" ht="24" customHeight="1" x14ac:dyDescent="0.2">
      <c r="A85" s="1"/>
      <c r="B85" s="1"/>
      <c r="C85" s="2" t="s">
        <v>10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120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121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122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123</v>
      </c>
      <c r="D97" s="1"/>
      <c r="E97" s="1"/>
      <c r="F97" s="9">
        <v>0</v>
      </c>
      <c r="G97" s="10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124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125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127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128</v>
      </c>
      <c r="D109" s="1"/>
      <c r="E109" s="1"/>
      <c r="F109" s="12"/>
      <c r="G109" s="12"/>
      <c r="H109" s="6"/>
    </row>
    <row r="110" spans="1:8" ht="17.100000000000001" customHeight="1" x14ac:dyDescent="0.2">
      <c r="A110" s="3">
        <v>1</v>
      </c>
      <c r="B110" s="4"/>
      <c r="C110" s="4" t="s">
        <v>129</v>
      </c>
      <c r="D110" s="4"/>
      <c r="E110" s="8"/>
      <c r="F110" s="6">
        <v>155.6918532</v>
      </c>
      <c r="G110" s="7">
        <v>4.2542530000000002E-2</v>
      </c>
      <c r="H110" s="6">
        <v>3.9343919198424624</v>
      </c>
    </row>
    <row r="111" spans="1:8" ht="17.100000000000001" customHeight="1" x14ac:dyDescent="0.2">
      <c r="A111" s="3">
        <v>2</v>
      </c>
      <c r="B111" s="4"/>
      <c r="C111" s="4" t="s">
        <v>130</v>
      </c>
      <c r="D111" s="4"/>
      <c r="E111" s="8"/>
      <c r="F111" s="6">
        <v>10.225760899999999</v>
      </c>
      <c r="G111" s="7">
        <v>2.7941720000000001E-3</v>
      </c>
      <c r="H111" s="6">
        <v>3.8</v>
      </c>
    </row>
    <row r="112" spans="1:8" ht="14.1" customHeight="1" x14ac:dyDescent="0.2">
      <c r="A112" s="1"/>
      <c r="B112" s="1"/>
      <c r="C112" s="2" t="s">
        <v>111</v>
      </c>
      <c r="D112" s="1"/>
      <c r="E112" s="1" t="s">
        <v>112</v>
      </c>
      <c r="F112" s="9">
        <v>165.91761410000001</v>
      </c>
      <c r="G112" s="10">
        <v>4.5336702E-2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131</v>
      </c>
      <c r="D114" s="1"/>
      <c r="E114" s="1"/>
      <c r="F114" s="9">
        <v>165.91761410000001</v>
      </c>
      <c r="G114" s="10">
        <v>4.5336702E-2</v>
      </c>
      <c r="H114" s="6"/>
    </row>
    <row r="115" spans="1:8" ht="14.1" customHeight="1" x14ac:dyDescent="0.2">
      <c r="A115" s="1"/>
      <c r="B115" s="1"/>
      <c r="C115" s="12"/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132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133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134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135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24" customHeight="1" x14ac:dyDescent="0.2">
      <c r="A125" s="1"/>
      <c r="B125" s="1"/>
      <c r="C125" s="2" t="s">
        <v>136</v>
      </c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111</v>
      </c>
      <c r="D126" s="1"/>
      <c r="E126" s="1" t="s">
        <v>112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4"/>
      <c r="C128" s="4"/>
      <c r="D128" s="2"/>
      <c r="E128" s="1"/>
      <c r="F128" s="4"/>
      <c r="G128" s="8"/>
      <c r="H128" s="6"/>
    </row>
    <row r="129" spans="1:8" ht="18" customHeight="1" x14ac:dyDescent="0.2">
      <c r="A129" s="8"/>
      <c r="B129" s="4"/>
      <c r="C129" s="4" t="s">
        <v>137</v>
      </c>
      <c r="D129" s="4"/>
      <c r="E129" s="8"/>
      <c r="F129" s="6">
        <v>-9.1003289899999995</v>
      </c>
      <c r="G129" s="7">
        <v>-2.4866490000000001E-3</v>
      </c>
      <c r="H129" s="6"/>
    </row>
    <row r="130" spans="1:8" ht="14.1" customHeight="1" x14ac:dyDescent="0.2">
      <c r="A130" s="11"/>
      <c r="B130" s="11"/>
      <c r="C130" s="2" t="s">
        <v>138</v>
      </c>
      <c r="D130" s="15"/>
      <c r="E130" s="15"/>
      <c r="F130" s="9">
        <v>3659.6754646099998</v>
      </c>
      <c r="G130" s="10">
        <v>1.0000000060000001</v>
      </c>
      <c r="H130" s="6"/>
    </row>
    <row r="131" spans="1:8" ht="14.1" customHeight="1" x14ac:dyDescent="0.2">
      <c r="A131" s="18"/>
      <c r="B131" s="297" t="s">
        <v>112</v>
      </c>
      <c r="C131" s="297"/>
      <c r="D131" s="297"/>
      <c r="E131" s="297"/>
      <c r="F131" s="297"/>
      <c r="G131" s="20"/>
    </row>
    <row r="132" spans="1:8" ht="14.1" customHeight="1" x14ac:dyDescent="0.2">
      <c r="A132" s="18"/>
      <c r="B132" s="18"/>
      <c r="C132" s="18"/>
      <c r="D132" s="20"/>
      <c r="E132" s="20"/>
      <c r="F132" s="20"/>
      <c r="G132" s="20"/>
    </row>
    <row r="133" spans="1:8" ht="14.1" customHeight="1" x14ac:dyDescent="0.2">
      <c r="A133" s="18"/>
      <c r="B133" s="294" t="s">
        <v>140</v>
      </c>
      <c r="C133" s="295"/>
      <c r="D133" s="12" t="s">
        <v>112</v>
      </c>
      <c r="E133" s="21"/>
      <c r="F133" s="20"/>
      <c r="G133" s="20"/>
    </row>
    <row r="134" spans="1:8" ht="29.1" customHeight="1" x14ac:dyDescent="0.2">
      <c r="A134" s="18"/>
      <c r="B134" s="288" t="s">
        <v>141</v>
      </c>
      <c r="C134" s="289"/>
      <c r="D134" s="2" t="s">
        <v>142</v>
      </c>
      <c r="E134" s="21"/>
      <c r="F134" s="20"/>
      <c r="G134" s="20"/>
    </row>
    <row r="135" spans="1:8" ht="17.100000000000001" customHeight="1" x14ac:dyDescent="0.2">
      <c r="A135" s="18"/>
      <c r="B135" s="288" t="s">
        <v>143</v>
      </c>
      <c r="C135" s="289"/>
      <c r="D135" s="2" t="s">
        <v>142</v>
      </c>
      <c r="E135" s="21"/>
      <c r="F135" s="20"/>
      <c r="G135" s="20"/>
    </row>
    <row r="136" spans="1:8" ht="17.100000000000001" customHeight="1" x14ac:dyDescent="0.2">
      <c r="A136" s="18"/>
      <c r="B136" s="288" t="s">
        <v>144</v>
      </c>
      <c r="C136" s="289"/>
      <c r="D136" s="12" t="s">
        <v>112</v>
      </c>
      <c r="E136" s="21"/>
      <c r="F136" s="20"/>
      <c r="G136" s="20"/>
    </row>
    <row r="137" spans="1:8" ht="24" customHeight="1" x14ac:dyDescent="0.2">
      <c r="A137" s="22"/>
      <c r="B137" s="23" t="s">
        <v>112</v>
      </c>
      <c r="C137" s="23" t="s">
        <v>145</v>
      </c>
      <c r="D137" s="23" t="s">
        <v>146</v>
      </c>
      <c r="E137" s="22"/>
      <c r="F137" s="22"/>
      <c r="G137" s="22"/>
    </row>
    <row r="138" spans="1:8" ht="18" customHeight="1" x14ac:dyDescent="0.2">
      <c r="A138" s="22"/>
      <c r="B138" s="23" t="s">
        <v>147</v>
      </c>
      <c r="C138" s="23" t="s">
        <v>148</v>
      </c>
      <c r="D138" s="23" t="s">
        <v>149</v>
      </c>
      <c r="E138" s="22"/>
      <c r="F138" s="22"/>
      <c r="G138" s="22"/>
    </row>
    <row r="139" spans="1:8" ht="17.100000000000001" customHeight="1" x14ac:dyDescent="0.2">
      <c r="A139" s="22"/>
      <c r="B139" s="4" t="s">
        <v>150</v>
      </c>
      <c r="C139" s="24">
        <v>16.446400000000001</v>
      </c>
      <c r="D139" s="24">
        <v>16.623100000000001</v>
      </c>
      <c r="E139" s="22"/>
      <c r="F139" s="19"/>
      <c r="G139" s="25"/>
    </row>
    <row r="140" spans="1:8" ht="17.100000000000001" customHeight="1" x14ac:dyDescent="0.2">
      <c r="A140" s="22"/>
      <c r="B140" s="4" t="s">
        <v>1114</v>
      </c>
      <c r="C140" s="24">
        <v>16.446400000000001</v>
      </c>
      <c r="D140" s="24">
        <v>16.623100000000001</v>
      </c>
      <c r="E140" s="22"/>
      <c r="F140" s="19"/>
      <c r="G140" s="25"/>
    </row>
    <row r="141" spans="1:8" ht="17.100000000000001" customHeight="1" x14ac:dyDescent="0.2">
      <c r="A141" s="22"/>
      <c r="B141" s="4" t="s">
        <v>151</v>
      </c>
      <c r="C141" s="24">
        <v>16.142800000000001</v>
      </c>
      <c r="D141" s="24">
        <v>16.314800000000002</v>
      </c>
      <c r="E141" s="22"/>
      <c r="F141" s="19"/>
      <c r="G141" s="25"/>
    </row>
    <row r="142" spans="1:8" ht="17.100000000000001" customHeight="1" x14ac:dyDescent="0.2">
      <c r="A142" s="22"/>
      <c r="B142" s="4" t="s">
        <v>1115</v>
      </c>
      <c r="C142" s="24">
        <v>16.142600000000002</v>
      </c>
      <c r="D142" s="24">
        <v>16.314599999999999</v>
      </c>
      <c r="E142" s="22"/>
      <c r="F142" s="19"/>
      <c r="G142" s="25"/>
    </row>
    <row r="143" spans="1:8" ht="14.1" customHeight="1" x14ac:dyDescent="0.2">
      <c r="A143" s="22"/>
      <c r="B143" s="22"/>
      <c r="C143" s="22"/>
      <c r="D143" s="22"/>
      <c r="E143" s="22"/>
      <c r="F143" s="22"/>
      <c r="G143" s="22"/>
    </row>
    <row r="144" spans="1:8" ht="17.100000000000001" customHeight="1" x14ac:dyDescent="0.2">
      <c r="A144" s="22"/>
      <c r="B144" s="288" t="s">
        <v>1116</v>
      </c>
      <c r="C144" s="289"/>
      <c r="D144" s="2" t="s">
        <v>142</v>
      </c>
      <c r="E144" s="22"/>
      <c r="F144" s="22"/>
      <c r="G144" s="22"/>
    </row>
    <row r="145" spans="1:15" ht="14.1" customHeight="1" x14ac:dyDescent="0.2">
      <c r="A145" s="22"/>
      <c r="B145" s="19"/>
      <c r="C145" s="19"/>
      <c r="D145" s="22"/>
      <c r="E145" s="22"/>
      <c r="F145" s="22"/>
      <c r="G145" s="22"/>
    </row>
    <row r="146" spans="1:15" ht="29.1" customHeight="1" x14ac:dyDescent="0.2">
      <c r="A146" s="22"/>
      <c r="B146" s="288" t="s">
        <v>153</v>
      </c>
      <c r="C146" s="289"/>
      <c r="D146" s="2" t="s">
        <v>142</v>
      </c>
      <c r="E146" s="22"/>
      <c r="F146" s="22"/>
      <c r="G146" s="22"/>
    </row>
    <row r="147" spans="1:15" ht="29.1" customHeight="1" x14ac:dyDescent="0.2">
      <c r="A147" s="22"/>
      <c r="B147" s="288" t="s">
        <v>154</v>
      </c>
      <c r="C147" s="289"/>
      <c r="D147" s="2" t="s">
        <v>142</v>
      </c>
      <c r="E147" s="22"/>
      <c r="F147" s="22"/>
      <c r="G147" s="22"/>
    </row>
    <row r="148" spans="1:15" ht="17.100000000000001" customHeight="1" x14ac:dyDescent="0.2">
      <c r="A148" s="22"/>
      <c r="B148" s="288" t="s">
        <v>155</v>
      </c>
      <c r="C148" s="289"/>
      <c r="D148" s="26">
        <v>0.23832534047756432</v>
      </c>
      <c r="E148" s="22"/>
      <c r="F148" s="19"/>
      <c r="G148" s="25"/>
    </row>
    <row r="149" spans="1:15" ht="17.100000000000001" customHeight="1" x14ac:dyDescent="0.2">
      <c r="A149" s="22"/>
      <c r="B149" s="288" t="s">
        <v>156</v>
      </c>
      <c r="C149" s="289"/>
      <c r="D149" s="2" t="s">
        <v>142</v>
      </c>
      <c r="E149" s="22"/>
      <c r="F149" s="22"/>
      <c r="G149" s="22"/>
    </row>
    <row r="155" spans="1:15" x14ac:dyDescent="0.2">
      <c r="J155" s="66"/>
      <c r="K155" s="66"/>
      <c r="L155" s="66"/>
      <c r="M155" s="66"/>
      <c r="N155" s="66"/>
      <c r="O155" s="66"/>
    </row>
  </sheetData>
  <mergeCells count="14">
    <mergeCell ref="A1:H1"/>
    <mergeCell ref="A2:H2"/>
    <mergeCell ref="A3:H3"/>
    <mergeCell ref="B133:C133"/>
    <mergeCell ref="J2:N2"/>
    <mergeCell ref="B131:F131"/>
    <mergeCell ref="B148:C148"/>
    <mergeCell ref="B149:C149"/>
    <mergeCell ref="B134:C134"/>
    <mergeCell ref="B135:C135"/>
    <mergeCell ref="B136:C136"/>
    <mergeCell ref="B144:C144"/>
    <mergeCell ref="B146:C146"/>
    <mergeCell ref="B147:C14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499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209</v>
      </c>
      <c r="C7" s="4" t="s">
        <v>210</v>
      </c>
      <c r="D7" s="4" t="s">
        <v>934</v>
      </c>
      <c r="E7" s="5">
        <v>8070</v>
      </c>
      <c r="F7" s="6">
        <v>157.30044000000001</v>
      </c>
      <c r="G7" s="7">
        <v>4.3057778999999997E-2</v>
      </c>
      <c r="H7" s="6"/>
    </row>
    <row r="8" spans="1:14" x14ac:dyDescent="0.2">
      <c r="A8" s="3">
        <v>2</v>
      </c>
      <c r="B8" s="4" t="s">
        <v>191</v>
      </c>
      <c r="C8" s="4" t="s">
        <v>192</v>
      </c>
      <c r="D8" s="4" t="s">
        <v>26</v>
      </c>
      <c r="E8" s="5">
        <v>11088</v>
      </c>
      <c r="F8" s="6">
        <v>133.85433599999999</v>
      </c>
      <c r="G8" s="7">
        <v>3.6639887000000003E-2</v>
      </c>
      <c r="H8" s="6"/>
    </row>
    <row r="9" spans="1:14" x14ac:dyDescent="0.2">
      <c r="A9" s="3">
        <v>3</v>
      </c>
      <c r="B9" s="4" t="s">
        <v>195</v>
      </c>
      <c r="C9" s="4" t="s">
        <v>196</v>
      </c>
      <c r="D9" s="4" t="s">
        <v>71</v>
      </c>
      <c r="E9" s="5">
        <v>18995</v>
      </c>
      <c r="F9" s="6">
        <v>120.6467425</v>
      </c>
      <c r="G9" s="7">
        <v>3.3024578999999998E-2</v>
      </c>
      <c r="H9" s="6"/>
    </row>
    <row r="10" spans="1:14" x14ac:dyDescent="0.2">
      <c r="A10" s="3">
        <v>4</v>
      </c>
      <c r="B10" s="4" t="s">
        <v>69</v>
      </c>
      <c r="C10" s="4" t="s">
        <v>70</v>
      </c>
      <c r="D10" s="4" t="s">
        <v>71</v>
      </c>
      <c r="E10" s="5">
        <v>19239</v>
      </c>
      <c r="F10" s="6">
        <v>116.4632865</v>
      </c>
      <c r="G10" s="7">
        <v>3.1879443E-2</v>
      </c>
      <c r="H10" s="6"/>
    </row>
    <row r="11" spans="1:14" ht="25.5" x14ac:dyDescent="0.2">
      <c r="A11" s="3">
        <v>5</v>
      </c>
      <c r="B11" s="4" t="s">
        <v>217</v>
      </c>
      <c r="C11" s="4" t="s">
        <v>218</v>
      </c>
      <c r="D11" s="4" t="s">
        <v>946</v>
      </c>
      <c r="E11" s="5">
        <v>2837</v>
      </c>
      <c r="F11" s="6">
        <v>111.54516599999999</v>
      </c>
      <c r="G11" s="7">
        <v>3.0533207999999999E-2</v>
      </c>
      <c r="H11" s="6"/>
    </row>
    <row r="12" spans="1:14" x14ac:dyDescent="0.2">
      <c r="A12" s="3">
        <v>6</v>
      </c>
      <c r="B12" s="4" t="s">
        <v>229</v>
      </c>
      <c r="C12" s="4" t="s">
        <v>230</v>
      </c>
      <c r="D12" s="4" t="s">
        <v>26</v>
      </c>
      <c r="E12" s="5">
        <v>12498</v>
      </c>
      <c r="F12" s="6">
        <v>111.45716400000001</v>
      </c>
      <c r="G12" s="7">
        <v>3.0509120000000001E-2</v>
      </c>
      <c r="H12" s="6"/>
    </row>
    <row r="13" spans="1:14" x14ac:dyDescent="0.2">
      <c r="A13" s="3">
        <v>7</v>
      </c>
      <c r="B13" s="4" t="s">
        <v>261</v>
      </c>
      <c r="C13" s="4" t="s">
        <v>262</v>
      </c>
      <c r="D13" s="4" t="s">
        <v>955</v>
      </c>
      <c r="E13" s="5">
        <v>55513</v>
      </c>
      <c r="F13" s="6">
        <v>109.86022699999999</v>
      </c>
      <c r="G13" s="7">
        <v>3.0071990999999999E-2</v>
      </c>
      <c r="H13" s="6"/>
    </row>
    <row r="14" spans="1:14" x14ac:dyDescent="0.2">
      <c r="A14" s="3">
        <v>8</v>
      </c>
      <c r="B14" s="4" t="s">
        <v>166</v>
      </c>
      <c r="C14" s="4" t="s">
        <v>167</v>
      </c>
      <c r="D14" s="4" t="s">
        <v>82</v>
      </c>
      <c r="E14" s="5">
        <v>96084</v>
      </c>
      <c r="F14" s="6">
        <v>107.229744</v>
      </c>
      <c r="G14" s="7">
        <v>2.9351950000000002E-2</v>
      </c>
      <c r="H14" s="6"/>
    </row>
    <row r="15" spans="1:14" ht="15" x14ac:dyDescent="0.2">
      <c r="A15" s="3">
        <v>9</v>
      </c>
      <c r="B15" s="4" t="s">
        <v>207</v>
      </c>
      <c r="C15" s="4" t="s">
        <v>208</v>
      </c>
      <c r="D15" s="4" t="s">
        <v>948</v>
      </c>
      <c r="E15" s="5">
        <v>19524</v>
      </c>
      <c r="F15" s="6">
        <v>97.854287999999997</v>
      </c>
      <c r="G15" s="7">
        <v>2.6785610000000001E-2</v>
      </c>
      <c r="H15" s="6"/>
      <c r="J15" s="192" t="s">
        <v>1149</v>
      </c>
    </row>
    <row r="16" spans="1:14" x14ac:dyDescent="0.2">
      <c r="A16" s="3">
        <v>10</v>
      </c>
      <c r="B16" s="4" t="s">
        <v>236</v>
      </c>
      <c r="C16" s="4" t="s">
        <v>237</v>
      </c>
      <c r="D16" s="4" t="s">
        <v>947</v>
      </c>
      <c r="E16" s="5">
        <v>2026</v>
      </c>
      <c r="F16" s="6">
        <v>87.536368999999993</v>
      </c>
      <c r="G16" s="7">
        <v>2.3961290999999999E-2</v>
      </c>
      <c r="H16" s="6"/>
    </row>
    <row r="17" spans="1:8" x14ac:dyDescent="0.2">
      <c r="A17" s="3">
        <v>11</v>
      </c>
      <c r="B17" s="4" t="s">
        <v>36</v>
      </c>
      <c r="C17" s="4" t="s">
        <v>37</v>
      </c>
      <c r="D17" s="4" t="s">
        <v>26</v>
      </c>
      <c r="E17" s="5">
        <v>6458</v>
      </c>
      <c r="F17" s="6">
        <v>86.207841999999999</v>
      </c>
      <c r="G17" s="7">
        <v>2.3597633999999999E-2</v>
      </c>
      <c r="H17" s="6"/>
    </row>
    <row r="18" spans="1:8" x14ac:dyDescent="0.2">
      <c r="A18" s="3">
        <v>12</v>
      </c>
      <c r="B18" s="4" t="s">
        <v>231</v>
      </c>
      <c r="C18" s="4" t="s">
        <v>232</v>
      </c>
      <c r="D18" s="4" t="s">
        <v>233</v>
      </c>
      <c r="E18" s="5">
        <v>30513</v>
      </c>
      <c r="F18" s="6">
        <v>86.000890499999997</v>
      </c>
      <c r="G18" s="7">
        <v>2.3540985E-2</v>
      </c>
      <c r="H18" s="6"/>
    </row>
    <row r="19" spans="1:8" x14ac:dyDescent="0.2">
      <c r="A19" s="3">
        <v>13</v>
      </c>
      <c r="B19" s="4" t="s">
        <v>30</v>
      </c>
      <c r="C19" s="4" t="s">
        <v>31</v>
      </c>
      <c r="D19" s="4" t="s">
        <v>26</v>
      </c>
      <c r="E19" s="5">
        <v>4628</v>
      </c>
      <c r="F19" s="6">
        <v>79.275326000000007</v>
      </c>
      <c r="G19" s="7">
        <v>2.1699999000000001E-2</v>
      </c>
      <c r="H19" s="6"/>
    </row>
    <row r="20" spans="1:8" x14ac:dyDescent="0.2">
      <c r="A20" s="3">
        <v>14</v>
      </c>
      <c r="B20" s="4" t="s">
        <v>193</v>
      </c>
      <c r="C20" s="4" t="s">
        <v>194</v>
      </c>
      <c r="D20" s="4" t="s">
        <v>947</v>
      </c>
      <c r="E20" s="5">
        <v>14311</v>
      </c>
      <c r="F20" s="6">
        <v>79.261473499999994</v>
      </c>
      <c r="G20" s="7">
        <v>2.1696208000000002E-2</v>
      </c>
      <c r="H20" s="6"/>
    </row>
    <row r="21" spans="1:8" x14ac:dyDescent="0.2">
      <c r="A21" s="3">
        <v>15</v>
      </c>
      <c r="B21" s="4" t="s">
        <v>92</v>
      </c>
      <c r="C21" s="4" t="s">
        <v>93</v>
      </c>
      <c r="D21" s="4" t="s">
        <v>923</v>
      </c>
      <c r="E21" s="5">
        <v>16682</v>
      </c>
      <c r="F21" s="6">
        <v>76.036556000000004</v>
      </c>
      <c r="G21" s="7">
        <v>2.0813452E-2</v>
      </c>
      <c r="H21" s="6"/>
    </row>
    <row r="22" spans="1:8" x14ac:dyDescent="0.2">
      <c r="A22" s="3">
        <v>16</v>
      </c>
      <c r="B22" s="4" t="s">
        <v>168</v>
      </c>
      <c r="C22" s="4" t="s">
        <v>169</v>
      </c>
      <c r="D22" s="4" t="s">
        <v>944</v>
      </c>
      <c r="E22" s="5">
        <v>5601</v>
      </c>
      <c r="F22" s="6">
        <v>74.350474500000004</v>
      </c>
      <c r="G22" s="7">
        <v>2.0351922000000001E-2</v>
      </c>
      <c r="H22" s="6"/>
    </row>
    <row r="23" spans="1:8" ht="25.5" x14ac:dyDescent="0.2">
      <c r="A23" s="3">
        <v>17</v>
      </c>
      <c r="B23" s="4" t="s">
        <v>449</v>
      </c>
      <c r="C23" s="4" t="s">
        <v>450</v>
      </c>
      <c r="D23" s="4" t="s">
        <v>936</v>
      </c>
      <c r="E23" s="5">
        <v>3793</v>
      </c>
      <c r="F23" s="6">
        <v>72.683362500000001</v>
      </c>
      <c r="G23" s="7">
        <v>1.9895584000000001E-2</v>
      </c>
      <c r="H23" s="6"/>
    </row>
    <row r="24" spans="1:8" ht="25.5" x14ac:dyDescent="0.2">
      <c r="A24" s="3">
        <v>18</v>
      </c>
      <c r="B24" s="4" t="s">
        <v>170</v>
      </c>
      <c r="C24" s="4" t="s">
        <v>171</v>
      </c>
      <c r="D24" s="4" t="s">
        <v>945</v>
      </c>
      <c r="E24" s="5">
        <v>17579</v>
      </c>
      <c r="F24" s="6">
        <v>66.870515999999995</v>
      </c>
      <c r="G24" s="7">
        <v>1.8304436E-2</v>
      </c>
      <c r="H24" s="6"/>
    </row>
    <row r="25" spans="1:8" ht="25.5" x14ac:dyDescent="0.2">
      <c r="A25" s="3">
        <v>19</v>
      </c>
      <c r="B25" s="4" t="s">
        <v>215</v>
      </c>
      <c r="C25" s="4" t="s">
        <v>216</v>
      </c>
      <c r="D25" s="4" t="s">
        <v>945</v>
      </c>
      <c r="E25" s="5">
        <v>11402</v>
      </c>
      <c r="F25" s="6">
        <v>66.513566999999995</v>
      </c>
      <c r="G25" s="7">
        <v>1.8206729000000001E-2</v>
      </c>
      <c r="H25" s="6"/>
    </row>
    <row r="26" spans="1:8" x14ac:dyDescent="0.2">
      <c r="A26" s="3">
        <v>20</v>
      </c>
      <c r="B26" s="4" t="s">
        <v>197</v>
      </c>
      <c r="C26" s="4" t="s">
        <v>198</v>
      </c>
      <c r="D26" s="4" t="s">
        <v>82</v>
      </c>
      <c r="E26" s="5">
        <v>9017</v>
      </c>
      <c r="F26" s="6">
        <v>63.335408000000001</v>
      </c>
      <c r="G26" s="7">
        <v>1.7336773E-2</v>
      </c>
      <c r="H26" s="6"/>
    </row>
    <row r="27" spans="1:8" ht="25.5" x14ac:dyDescent="0.2">
      <c r="A27" s="3">
        <v>21</v>
      </c>
      <c r="B27" s="4" t="s">
        <v>42</v>
      </c>
      <c r="C27" s="4" t="s">
        <v>43</v>
      </c>
      <c r="D27" s="4" t="s">
        <v>935</v>
      </c>
      <c r="E27" s="5">
        <v>2325</v>
      </c>
      <c r="F27" s="6">
        <v>61.545074999999997</v>
      </c>
      <c r="G27" s="7">
        <v>1.6846705999999999E-2</v>
      </c>
      <c r="H27" s="6"/>
    </row>
    <row r="28" spans="1:8" x14ac:dyDescent="0.2">
      <c r="A28" s="3">
        <v>22</v>
      </c>
      <c r="B28" s="4" t="s">
        <v>205</v>
      </c>
      <c r="C28" s="4" t="s">
        <v>206</v>
      </c>
      <c r="D28" s="4" t="s">
        <v>64</v>
      </c>
      <c r="E28" s="5">
        <v>16845</v>
      </c>
      <c r="F28" s="6">
        <v>60.633577500000001</v>
      </c>
      <c r="G28" s="7">
        <v>1.6597201999999998E-2</v>
      </c>
      <c r="H28" s="6"/>
    </row>
    <row r="29" spans="1:8" x14ac:dyDescent="0.2">
      <c r="A29" s="3">
        <v>23</v>
      </c>
      <c r="B29" s="4" t="s">
        <v>203</v>
      </c>
      <c r="C29" s="4" t="s">
        <v>204</v>
      </c>
      <c r="D29" s="4" t="s">
        <v>82</v>
      </c>
      <c r="E29" s="5">
        <v>10108</v>
      </c>
      <c r="F29" s="6">
        <v>59.854522000000003</v>
      </c>
      <c r="G29" s="7">
        <v>1.6383952E-2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934</v>
      </c>
      <c r="E30" s="5">
        <v>4116</v>
      </c>
      <c r="F30" s="6">
        <v>58.867032000000002</v>
      </c>
      <c r="G30" s="7">
        <v>1.6113645999999999E-2</v>
      </c>
      <c r="H30" s="6"/>
    </row>
    <row r="31" spans="1:8" x14ac:dyDescent="0.2">
      <c r="A31" s="3">
        <v>25</v>
      </c>
      <c r="B31" s="4" t="s">
        <v>225</v>
      </c>
      <c r="C31" s="4" t="s">
        <v>226</v>
      </c>
      <c r="D31" s="4" t="s">
        <v>951</v>
      </c>
      <c r="E31" s="5">
        <v>18738</v>
      </c>
      <c r="F31" s="6">
        <v>58.752999000000003</v>
      </c>
      <c r="G31" s="7">
        <v>1.6082432000000001E-2</v>
      </c>
      <c r="H31" s="6"/>
    </row>
    <row r="32" spans="1:8" ht="25.5" x14ac:dyDescent="0.2">
      <c r="A32" s="3">
        <v>26</v>
      </c>
      <c r="B32" s="4" t="s">
        <v>256</v>
      </c>
      <c r="C32" s="4" t="s">
        <v>257</v>
      </c>
      <c r="D32" s="4" t="s">
        <v>954</v>
      </c>
      <c r="E32" s="5">
        <v>17156</v>
      </c>
      <c r="F32" s="6">
        <v>57.464022</v>
      </c>
      <c r="G32" s="7">
        <v>1.5729600999999999E-2</v>
      </c>
      <c r="H32" s="6"/>
    </row>
    <row r="33" spans="1:8" x14ac:dyDescent="0.2">
      <c r="A33" s="3">
        <v>27</v>
      </c>
      <c r="B33" s="4" t="s">
        <v>182</v>
      </c>
      <c r="C33" s="4" t="s">
        <v>183</v>
      </c>
      <c r="D33" s="4" t="s">
        <v>944</v>
      </c>
      <c r="E33" s="5">
        <v>33431</v>
      </c>
      <c r="F33" s="6">
        <v>56.715691499999998</v>
      </c>
      <c r="G33" s="7">
        <v>1.5524761E-2</v>
      </c>
      <c r="H33" s="6"/>
    </row>
    <row r="34" spans="1:8" ht="25.5" x14ac:dyDescent="0.2">
      <c r="A34" s="3">
        <v>28</v>
      </c>
      <c r="B34" s="4" t="s">
        <v>158</v>
      </c>
      <c r="C34" s="4" t="s">
        <v>159</v>
      </c>
      <c r="D34" s="4" t="s">
        <v>941</v>
      </c>
      <c r="E34" s="5">
        <v>7853</v>
      </c>
      <c r="F34" s="6">
        <v>55.681696500000001</v>
      </c>
      <c r="G34" s="7">
        <v>1.5241726000000001E-2</v>
      </c>
      <c r="H34" s="6"/>
    </row>
    <row r="35" spans="1:8" x14ac:dyDescent="0.2">
      <c r="A35" s="3">
        <v>29</v>
      </c>
      <c r="B35" s="4" t="s">
        <v>265</v>
      </c>
      <c r="C35" s="4" t="s">
        <v>266</v>
      </c>
      <c r="D35" s="4" t="s">
        <v>942</v>
      </c>
      <c r="E35" s="5">
        <v>6046</v>
      </c>
      <c r="F35" s="6">
        <v>53.516168999999998</v>
      </c>
      <c r="G35" s="7">
        <v>1.4648957000000001E-2</v>
      </c>
      <c r="H35" s="6"/>
    </row>
    <row r="36" spans="1:8" x14ac:dyDescent="0.2">
      <c r="A36" s="3">
        <v>30</v>
      </c>
      <c r="B36" s="4" t="s">
        <v>451</v>
      </c>
      <c r="C36" s="4" t="s">
        <v>452</v>
      </c>
      <c r="D36" s="4" t="s">
        <v>71</v>
      </c>
      <c r="E36" s="5">
        <v>5377</v>
      </c>
      <c r="F36" s="6">
        <v>50.637897500000001</v>
      </c>
      <c r="G36" s="7">
        <v>1.3861089E-2</v>
      </c>
      <c r="H36" s="6"/>
    </row>
    <row r="37" spans="1:8" x14ac:dyDescent="0.2">
      <c r="A37" s="3">
        <v>31</v>
      </c>
      <c r="B37" s="4" t="s">
        <v>74</v>
      </c>
      <c r="C37" s="4" t="s">
        <v>75</v>
      </c>
      <c r="D37" s="4" t="s">
        <v>71</v>
      </c>
      <c r="E37" s="5">
        <v>1353</v>
      </c>
      <c r="F37" s="6">
        <v>50.192241000000003</v>
      </c>
      <c r="G37" s="7">
        <v>1.3739100000000001E-2</v>
      </c>
      <c r="H37" s="6"/>
    </row>
    <row r="38" spans="1:8" ht="25.5" x14ac:dyDescent="0.2">
      <c r="A38" s="3">
        <v>32</v>
      </c>
      <c r="B38" s="4" t="s">
        <v>180</v>
      </c>
      <c r="C38" s="4" t="s">
        <v>181</v>
      </c>
      <c r="D38" s="4" t="s">
        <v>941</v>
      </c>
      <c r="E38" s="5">
        <v>9854</v>
      </c>
      <c r="F38" s="6">
        <v>49.954853</v>
      </c>
      <c r="G38" s="7">
        <v>1.367412E-2</v>
      </c>
      <c r="H38" s="6"/>
    </row>
    <row r="39" spans="1:8" ht="25.5" x14ac:dyDescent="0.2">
      <c r="A39" s="3">
        <v>33</v>
      </c>
      <c r="B39" s="4" t="s">
        <v>248</v>
      </c>
      <c r="C39" s="4" t="s">
        <v>249</v>
      </c>
      <c r="D39" s="4" t="s">
        <v>950</v>
      </c>
      <c r="E39" s="5">
        <v>9162</v>
      </c>
      <c r="F39" s="6">
        <v>48.645639000000003</v>
      </c>
      <c r="G39" s="7">
        <v>1.3315749E-2</v>
      </c>
      <c r="H39" s="6"/>
    </row>
    <row r="40" spans="1:8" x14ac:dyDescent="0.2">
      <c r="A40" s="3">
        <v>34</v>
      </c>
      <c r="B40" s="4" t="s">
        <v>213</v>
      </c>
      <c r="C40" s="4" t="s">
        <v>214</v>
      </c>
      <c r="D40" s="4" t="s">
        <v>64</v>
      </c>
      <c r="E40" s="5">
        <v>51989</v>
      </c>
      <c r="F40" s="6">
        <v>44.944490500000001</v>
      </c>
      <c r="G40" s="7">
        <v>1.2302634999999999E-2</v>
      </c>
      <c r="H40" s="6"/>
    </row>
    <row r="41" spans="1:8" ht="25.5" x14ac:dyDescent="0.2">
      <c r="A41" s="3">
        <v>35</v>
      </c>
      <c r="B41" s="4" t="s">
        <v>162</v>
      </c>
      <c r="C41" s="4" t="s">
        <v>163</v>
      </c>
      <c r="D41" s="4" t="s">
        <v>943</v>
      </c>
      <c r="E41" s="5">
        <v>43509</v>
      </c>
      <c r="F41" s="6">
        <v>44.7490065</v>
      </c>
      <c r="G41" s="7">
        <v>1.2249126000000001E-2</v>
      </c>
      <c r="H41" s="6"/>
    </row>
    <row r="42" spans="1:8" x14ac:dyDescent="0.2">
      <c r="A42" s="3">
        <v>36</v>
      </c>
      <c r="B42" s="4" t="s">
        <v>271</v>
      </c>
      <c r="C42" s="4" t="s">
        <v>272</v>
      </c>
      <c r="D42" s="4" t="s">
        <v>940</v>
      </c>
      <c r="E42" s="5">
        <v>7135</v>
      </c>
      <c r="F42" s="6">
        <v>44.508130000000001</v>
      </c>
      <c r="G42" s="7">
        <v>1.218319E-2</v>
      </c>
      <c r="H42" s="6"/>
    </row>
    <row r="43" spans="1:8" ht="25.5" x14ac:dyDescent="0.2">
      <c r="A43" s="3">
        <v>37</v>
      </c>
      <c r="B43" s="4" t="s">
        <v>172</v>
      </c>
      <c r="C43" s="4" t="s">
        <v>173</v>
      </c>
      <c r="D43" s="4" t="s">
        <v>71</v>
      </c>
      <c r="E43" s="5">
        <v>2262</v>
      </c>
      <c r="F43" s="6">
        <v>44.505980999999998</v>
      </c>
      <c r="G43" s="7">
        <v>1.2182602000000001E-2</v>
      </c>
      <c r="H43" s="6"/>
    </row>
    <row r="44" spans="1:8" x14ac:dyDescent="0.2">
      <c r="A44" s="3">
        <v>38</v>
      </c>
      <c r="B44" s="4" t="s">
        <v>463</v>
      </c>
      <c r="C44" s="4" t="s">
        <v>464</v>
      </c>
      <c r="D44" s="4" t="s">
        <v>952</v>
      </c>
      <c r="E44" s="5">
        <v>4552</v>
      </c>
      <c r="F44" s="6">
        <v>42.695484</v>
      </c>
      <c r="G44" s="7">
        <v>1.1687016E-2</v>
      </c>
      <c r="H44" s="6"/>
    </row>
    <row r="45" spans="1:8" x14ac:dyDescent="0.2">
      <c r="A45" s="3">
        <v>39</v>
      </c>
      <c r="B45" s="4" t="s">
        <v>160</v>
      </c>
      <c r="C45" s="4" t="s">
        <v>161</v>
      </c>
      <c r="D45" s="4" t="s">
        <v>942</v>
      </c>
      <c r="E45" s="5">
        <v>3490</v>
      </c>
      <c r="F45" s="6">
        <v>42.639074999999998</v>
      </c>
      <c r="G45" s="7">
        <v>1.1671575E-2</v>
      </c>
      <c r="H45" s="6"/>
    </row>
    <row r="46" spans="1:8" x14ac:dyDescent="0.2">
      <c r="A46" s="3">
        <v>40</v>
      </c>
      <c r="B46" s="4" t="s">
        <v>164</v>
      </c>
      <c r="C46" s="4" t="s">
        <v>165</v>
      </c>
      <c r="D46" s="4" t="s">
        <v>944</v>
      </c>
      <c r="E46" s="5">
        <v>8543</v>
      </c>
      <c r="F46" s="6">
        <v>40.720209500000003</v>
      </c>
      <c r="G46" s="7">
        <v>1.1146325E-2</v>
      </c>
      <c r="H46" s="6"/>
    </row>
    <row r="47" spans="1:8" x14ac:dyDescent="0.2">
      <c r="A47" s="3">
        <v>41</v>
      </c>
      <c r="B47" s="4" t="s">
        <v>174</v>
      </c>
      <c r="C47" s="4" t="s">
        <v>175</v>
      </c>
      <c r="D47" s="4" t="s">
        <v>71</v>
      </c>
      <c r="E47" s="5">
        <v>6322</v>
      </c>
      <c r="F47" s="6">
        <v>40.125734000000001</v>
      </c>
      <c r="G47" s="7">
        <v>1.0983599E-2</v>
      </c>
      <c r="H47" s="6"/>
    </row>
    <row r="48" spans="1:8" ht="51" x14ac:dyDescent="0.2">
      <c r="A48" s="3">
        <v>42</v>
      </c>
      <c r="B48" s="4" t="s">
        <v>238</v>
      </c>
      <c r="C48" s="4" t="s">
        <v>239</v>
      </c>
      <c r="D48" s="4" t="s">
        <v>939</v>
      </c>
      <c r="E48" s="5">
        <v>16461</v>
      </c>
      <c r="F48" s="6">
        <v>39.481708500000003</v>
      </c>
      <c r="G48" s="7">
        <v>1.0807310000000001E-2</v>
      </c>
      <c r="H48" s="6"/>
    </row>
    <row r="49" spans="1:8" x14ac:dyDescent="0.2">
      <c r="A49" s="3">
        <v>43</v>
      </c>
      <c r="B49" s="4" t="s">
        <v>234</v>
      </c>
      <c r="C49" s="4" t="s">
        <v>235</v>
      </c>
      <c r="D49" s="4" t="s">
        <v>952</v>
      </c>
      <c r="E49" s="5">
        <v>26084</v>
      </c>
      <c r="F49" s="6">
        <v>38.630403999999999</v>
      </c>
      <c r="G49" s="7">
        <v>1.0574283E-2</v>
      </c>
      <c r="H49" s="6"/>
    </row>
    <row r="50" spans="1:8" ht="25.5" x14ac:dyDescent="0.2">
      <c r="A50" s="3">
        <v>44</v>
      </c>
      <c r="B50" s="4" t="s">
        <v>219</v>
      </c>
      <c r="C50" s="4" t="s">
        <v>220</v>
      </c>
      <c r="D50" s="4" t="s">
        <v>950</v>
      </c>
      <c r="E50" s="5">
        <v>8877</v>
      </c>
      <c r="F50" s="6">
        <v>36.231475500000002</v>
      </c>
      <c r="G50" s="7">
        <v>9.9176260000000006E-3</v>
      </c>
      <c r="H50" s="6"/>
    </row>
    <row r="51" spans="1:8" x14ac:dyDescent="0.2">
      <c r="A51" s="3">
        <v>45</v>
      </c>
      <c r="B51" s="4" t="s">
        <v>267</v>
      </c>
      <c r="C51" s="4" t="s">
        <v>268</v>
      </c>
      <c r="D51" s="4" t="s">
        <v>82</v>
      </c>
      <c r="E51" s="5">
        <v>59662</v>
      </c>
      <c r="F51" s="6">
        <v>34.067002000000002</v>
      </c>
      <c r="G51" s="7">
        <v>9.325145E-3</v>
      </c>
      <c r="H51" s="6"/>
    </row>
    <row r="52" spans="1:8" ht="25.5" x14ac:dyDescent="0.2">
      <c r="A52" s="3">
        <v>46</v>
      </c>
      <c r="B52" s="4" t="s">
        <v>221</v>
      </c>
      <c r="C52" s="4" t="s">
        <v>222</v>
      </c>
      <c r="D52" s="4" t="s">
        <v>945</v>
      </c>
      <c r="E52" s="5">
        <v>1976</v>
      </c>
      <c r="F52" s="6">
        <v>33.965463999999997</v>
      </c>
      <c r="G52" s="7">
        <v>9.2973510000000006E-3</v>
      </c>
      <c r="H52" s="6"/>
    </row>
    <row r="53" spans="1:8" ht="25.5" x14ac:dyDescent="0.2">
      <c r="A53" s="3">
        <v>47</v>
      </c>
      <c r="B53" s="4" t="s">
        <v>184</v>
      </c>
      <c r="C53" s="4" t="s">
        <v>185</v>
      </c>
      <c r="D53" s="4" t="s">
        <v>935</v>
      </c>
      <c r="E53" s="5">
        <v>16531</v>
      </c>
      <c r="F53" s="6">
        <v>33.309964999999998</v>
      </c>
      <c r="G53" s="7">
        <v>9.1179220000000005E-3</v>
      </c>
      <c r="H53" s="6"/>
    </row>
    <row r="54" spans="1:8" x14ac:dyDescent="0.2">
      <c r="A54" s="3">
        <v>48</v>
      </c>
      <c r="B54" s="4" t="s">
        <v>227</v>
      </c>
      <c r="C54" s="4" t="s">
        <v>228</v>
      </c>
      <c r="D54" s="4" t="s">
        <v>26</v>
      </c>
      <c r="E54" s="5">
        <v>3232</v>
      </c>
      <c r="F54" s="6">
        <v>32.775711999999999</v>
      </c>
      <c r="G54" s="7">
        <v>8.9716810000000004E-3</v>
      </c>
      <c r="H54" s="6"/>
    </row>
    <row r="55" spans="1:8" x14ac:dyDescent="0.2">
      <c r="A55" s="3">
        <v>49</v>
      </c>
      <c r="B55" s="4" t="s">
        <v>279</v>
      </c>
      <c r="C55" s="4" t="s">
        <v>280</v>
      </c>
      <c r="D55" s="4" t="s">
        <v>18</v>
      </c>
      <c r="E55" s="5">
        <v>14960</v>
      </c>
      <c r="F55" s="6">
        <v>32.044319999999999</v>
      </c>
      <c r="G55" s="7">
        <v>8.7714769999999997E-3</v>
      </c>
      <c r="H55" s="6"/>
    </row>
    <row r="56" spans="1:8" ht="25.5" x14ac:dyDescent="0.2">
      <c r="A56" s="3">
        <v>50</v>
      </c>
      <c r="B56" s="4" t="s">
        <v>469</v>
      </c>
      <c r="C56" s="4" t="s">
        <v>470</v>
      </c>
      <c r="D56" s="4" t="s">
        <v>945</v>
      </c>
      <c r="E56" s="5">
        <v>7914</v>
      </c>
      <c r="F56" s="6">
        <v>31.497720000000001</v>
      </c>
      <c r="G56" s="7">
        <v>8.6218570000000001E-3</v>
      </c>
      <c r="H56" s="6"/>
    </row>
    <row r="57" spans="1:8" x14ac:dyDescent="0.2">
      <c r="A57" s="3">
        <v>51</v>
      </c>
      <c r="B57" s="4" t="s">
        <v>246</v>
      </c>
      <c r="C57" s="4" t="s">
        <v>247</v>
      </c>
      <c r="D57" s="4" t="s">
        <v>91</v>
      </c>
      <c r="E57" s="5">
        <v>3629</v>
      </c>
      <c r="F57" s="6">
        <v>28.509423999999999</v>
      </c>
      <c r="G57" s="7">
        <v>7.8038719999999999E-3</v>
      </c>
      <c r="H57" s="6"/>
    </row>
    <row r="58" spans="1:8" x14ac:dyDescent="0.2">
      <c r="A58" s="3">
        <v>52</v>
      </c>
      <c r="B58" s="4" t="s">
        <v>240</v>
      </c>
      <c r="C58" s="4" t="s">
        <v>241</v>
      </c>
      <c r="D58" s="4" t="s">
        <v>940</v>
      </c>
      <c r="E58" s="5">
        <v>5294</v>
      </c>
      <c r="F58" s="6">
        <v>27.716736999999998</v>
      </c>
      <c r="G58" s="7">
        <v>7.5868899999999998E-3</v>
      </c>
      <c r="H58" s="6"/>
    </row>
    <row r="59" spans="1:8" ht="25.5" x14ac:dyDescent="0.2">
      <c r="A59" s="3">
        <v>53</v>
      </c>
      <c r="B59" s="4" t="s">
        <v>188</v>
      </c>
      <c r="C59" s="4" t="s">
        <v>189</v>
      </c>
      <c r="D59" s="4" t="s">
        <v>945</v>
      </c>
      <c r="E59" s="5">
        <v>536</v>
      </c>
      <c r="F59" s="6">
        <v>23.781516</v>
      </c>
      <c r="G59" s="7">
        <v>6.5097039999999998E-3</v>
      </c>
      <c r="H59" s="6"/>
    </row>
    <row r="60" spans="1:8" x14ac:dyDescent="0.2">
      <c r="A60" s="3">
        <v>54</v>
      </c>
      <c r="B60" s="4" t="s">
        <v>94</v>
      </c>
      <c r="C60" s="4" t="s">
        <v>95</v>
      </c>
      <c r="D60" s="4" t="s">
        <v>64</v>
      </c>
      <c r="E60" s="5">
        <v>15361</v>
      </c>
      <c r="F60" s="6">
        <v>21.175138499999999</v>
      </c>
      <c r="G60" s="7">
        <v>5.7962609999999996E-3</v>
      </c>
      <c r="H60" s="6"/>
    </row>
    <row r="61" spans="1:8" x14ac:dyDescent="0.2">
      <c r="A61" s="3">
        <v>55</v>
      </c>
      <c r="B61" s="4" t="s">
        <v>176</v>
      </c>
      <c r="C61" s="4" t="s">
        <v>177</v>
      </c>
      <c r="D61" s="4" t="s">
        <v>944</v>
      </c>
      <c r="E61" s="5">
        <v>18334</v>
      </c>
      <c r="F61" s="6">
        <v>18.609010000000001</v>
      </c>
      <c r="G61" s="7">
        <v>5.093836E-3</v>
      </c>
      <c r="H61" s="6"/>
    </row>
    <row r="62" spans="1:8" x14ac:dyDescent="0.2">
      <c r="A62" s="3">
        <v>56</v>
      </c>
      <c r="B62" s="4" t="s">
        <v>223</v>
      </c>
      <c r="C62" s="4" t="s">
        <v>224</v>
      </c>
      <c r="D62" s="4" t="s">
        <v>71</v>
      </c>
      <c r="E62" s="5">
        <v>7251</v>
      </c>
      <c r="F62" s="6">
        <v>17.873715000000001</v>
      </c>
      <c r="G62" s="7">
        <v>4.8925640000000003E-3</v>
      </c>
      <c r="H62" s="6"/>
    </row>
    <row r="63" spans="1:8" ht="25.5" x14ac:dyDescent="0.2">
      <c r="A63" s="3">
        <v>57</v>
      </c>
      <c r="B63" s="4" t="s">
        <v>258</v>
      </c>
      <c r="C63" s="4" t="s">
        <v>259</v>
      </c>
      <c r="D63" s="4" t="s">
        <v>946</v>
      </c>
      <c r="E63" s="5">
        <v>1926</v>
      </c>
      <c r="F63" s="6">
        <v>17.140436999999999</v>
      </c>
      <c r="G63" s="7">
        <v>4.6918439999999997E-3</v>
      </c>
      <c r="H63" s="6"/>
    </row>
    <row r="64" spans="1:8" x14ac:dyDescent="0.2">
      <c r="A64" s="3">
        <v>58</v>
      </c>
      <c r="B64" s="4" t="s">
        <v>106</v>
      </c>
      <c r="C64" s="4" t="s">
        <v>107</v>
      </c>
      <c r="D64" s="4" t="s">
        <v>923</v>
      </c>
      <c r="E64" s="5">
        <v>21625</v>
      </c>
      <c r="F64" s="6">
        <v>16.413374999999998</v>
      </c>
      <c r="G64" s="7">
        <v>4.4928260000000001E-3</v>
      </c>
      <c r="H64" s="6"/>
    </row>
    <row r="65" spans="1:8" x14ac:dyDescent="0.2">
      <c r="A65" s="3">
        <v>59</v>
      </c>
      <c r="B65" s="4" t="s">
        <v>250</v>
      </c>
      <c r="C65" s="4" t="s">
        <v>251</v>
      </c>
      <c r="D65" s="4" t="s">
        <v>302</v>
      </c>
      <c r="E65" s="5">
        <v>2169</v>
      </c>
      <c r="F65" s="6">
        <v>14.0952465</v>
      </c>
      <c r="G65" s="7">
        <v>3.8582859999999998E-3</v>
      </c>
      <c r="H65" s="6"/>
    </row>
    <row r="66" spans="1:8" x14ac:dyDescent="0.2">
      <c r="A66" s="3">
        <v>60</v>
      </c>
      <c r="B66" s="4" t="s">
        <v>252</v>
      </c>
      <c r="C66" s="4" t="s">
        <v>253</v>
      </c>
      <c r="D66" s="4" t="s">
        <v>91</v>
      </c>
      <c r="E66" s="5">
        <v>4206</v>
      </c>
      <c r="F66" s="6">
        <v>10.411953</v>
      </c>
      <c r="G66" s="7">
        <v>2.8500589999999998E-3</v>
      </c>
      <c r="H66" s="6"/>
    </row>
    <row r="67" spans="1:8" x14ac:dyDescent="0.2">
      <c r="A67" s="3">
        <v>61</v>
      </c>
      <c r="B67" s="4" t="s">
        <v>201</v>
      </c>
      <c r="C67" s="4" t="s">
        <v>202</v>
      </c>
      <c r="D67" s="4" t="s">
        <v>923</v>
      </c>
      <c r="E67" s="5">
        <v>771</v>
      </c>
      <c r="F67" s="6">
        <v>8.3765295000000002</v>
      </c>
      <c r="G67" s="7">
        <v>2.2929040000000001E-3</v>
      </c>
      <c r="H67" s="6"/>
    </row>
    <row r="68" spans="1:8" ht="14.1" customHeight="1" x14ac:dyDescent="0.2">
      <c r="A68" s="1"/>
      <c r="B68" s="1"/>
      <c r="C68" s="2" t="s">
        <v>111</v>
      </c>
      <c r="D68" s="1"/>
      <c r="E68" s="1" t="s">
        <v>112</v>
      </c>
      <c r="F68" s="9">
        <v>3487.7395569999999</v>
      </c>
      <c r="G68" s="10">
        <v>0.95469738699999995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113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114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115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116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117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8" customHeight="1" x14ac:dyDescent="0.2">
      <c r="A85" s="1"/>
      <c r="B85" s="1"/>
      <c r="C85" s="2" t="s">
        <v>118</v>
      </c>
      <c r="D85" s="1"/>
      <c r="E85" s="1"/>
      <c r="F85" s="9">
        <v>3487.7395569999999</v>
      </c>
      <c r="G85" s="10">
        <v>0.95469738699999995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119</v>
      </c>
      <c r="D87" s="1"/>
      <c r="E87" s="1"/>
      <c r="F87" s="12"/>
      <c r="G87" s="12"/>
      <c r="H87" s="6"/>
    </row>
    <row r="88" spans="1:8" ht="24" customHeight="1" x14ac:dyDescent="0.2">
      <c r="A88" s="1"/>
      <c r="B88" s="1"/>
      <c r="C88" s="2" t="s">
        <v>10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120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121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122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123</v>
      </c>
      <c r="D100" s="1"/>
      <c r="E100" s="1"/>
      <c r="F100" s="9">
        <v>0</v>
      </c>
      <c r="G100" s="10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124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125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126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127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128</v>
      </c>
      <c r="D112" s="1"/>
      <c r="E112" s="1"/>
      <c r="F112" s="12"/>
      <c r="G112" s="12"/>
      <c r="H112" s="6"/>
    </row>
    <row r="113" spans="1:8" ht="17.100000000000001" customHeight="1" x14ac:dyDescent="0.2">
      <c r="A113" s="3">
        <v>1</v>
      </c>
      <c r="B113" s="4"/>
      <c r="C113" s="4" t="s">
        <v>129</v>
      </c>
      <c r="D113" s="4"/>
      <c r="E113" s="8"/>
      <c r="F113" s="6">
        <v>160.09722859999999</v>
      </c>
      <c r="G113" s="7">
        <v>4.3823343000000001E-2</v>
      </c>
      <c r="H113" s="6">
        <v>3.9343919198424624</v>
      </c>
    </row>
    <row r="114" spans="1:8" ht="17.100000000000001" customHeight="1" x14ac:dyDescent="0.2">
      <c r="A114" s="3">
        <v>2</v>
      </c>
      <c r="B114" s="4"/>
      <c r="C114" s="4" t="s">
        <v>130</v>
      </c>
      <c r="D114" s="4"/>
      <c r="E114" s="8"/>
      <c r="F114" s="6">
        <v>10.515103</v>
      </c>
      <c r="G114" s="7">
        <v>2.878294E-3</v>
      </c>
      <c r="H114" s="6">
        <v>3.8</v>
      </c>
    </row>
    <row r="115" spans="1:8" ht="14.1" customHeight="1" x14ac:dyDescent="0.2">
      <c r="A115" s="1"/>
      <c r="B115" s="1"/>
      <c r="C115" s="2" t="s">
        <v>111</v>
      </c>
      <c r="D115" s="1"/>
      <c r="E115" s="1" t="s">
        <v>112</v>
      </c>
      <c r="F115" s="9">
        <v>170.6123316</v>
      </c>
      <c r="G115" s="10">
        <v>4.6701636999999997E-2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131</v>
      </c>
      <c r="D117" s="1"/>
      <c r="E117" s="1"/>
      <c r="F117" s="9">
        <v>170.6123316</v>
      </c>
      <c r="G117" s="10">
        <v>4.6701636999999997E-2</v>
      </c>
      <c r="H117" s="6"/>
    </row>
    <row r="118" spans="1:8" ht="14.1" customHeight="1" x14ac:dyDescent="0.2">
      <c r="A118" s="1"/>
      <c r="B118" s="1"/>
      <c r="C118" s="12"/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132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133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134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135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111</v>
      </c>
      <c r="D125" s="1"/>
      <c r="E125" s="1" t="s">
        <v>112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24" customHeight="1" x14ac:dyDescent="0.2">
      <c r="A128" s="1"/>
      <c r="B128" s="1"/>
      <c r="C128" s="2" t="s">
        <v>136</v>
      </c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111</v>
      </c>
      <c r="D129" s="1"/>
      <c r="E129" s="1" t="s">
        <v>112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4"/>
      <c r="C131" s="4"/>
      <c r="D131" s="2"/>
      <c r="E131" s="1"/>
      <c r="F131" s="4"/>
      <c r="G131" s="8"/>
      <c r="H131" s="6"/>
    </row>
    <row r="132" spans="1:8" ht="18" customHeight="1" x14ac:dyDescent="0.2">
      <c r="A132" s="8"/>
      <c r="B132" s="4"/>
      <c r="C132" s="4" t="s">
        <v>137</v>
      </c>
      <c r="D132" s="4"/>
      <c r="E132" s="8"/>
      <c r="F132" s="6">
        <v>-5.1109743099999996</v>
      </c>
      <c r="G132" s="7">
        <v>-1.3990249999999999E-3</v>
      </c>
      <c r="H132" s="6"/>
    </row>
    <row r="133" spans="1:8" ht="14.1" customHeight="1" x14ac:dyDescent="0.2">
      <c r="A133" s="11"/>
      <c r="B133" s="11"/>
      <c r="C133" s="2" t="s">
        <v>138</v>
      </c>
      <c r="D133" s="15"/>
      <c r="E133" s="15"/>
      <c r="F133" s="9">
        <v>3653.2409142900001</v>
      </c>
      <c r="G133" s="10">
        <v>0.99999999900000003</v>
      </c>
      <c r="H133" s="6"/>
    </row>
    <row r="134" spans="1:8" ht="14.1" customHeight="1" x14ac:dyDescent="0.2">
      <c r="A134" s="18"/>
      <c r="B134" s="297" t="s">
        <v>112</v>
      </c>
      <c r="C134" s="297"/>
      <c r="D134" s="297"/>
      <c r="E134" s="297"/>
      <c r="F134" s="297"/>
      <c r="G134" s="20"/>
    </row>
    <row r="135" spans="1:8" ht="14.1" customHeight="1" x14ac:dyDescent="0.2">
      <c r="A135" s="18"/>
      <c r="B135" s="18"/>
      <c r="C135" s="18"/>
      <c r="D135" s="20"/>
      <c r="E135" s="20"/>
      <c r="F135" s="20"/>
      <c r="G135" s="20"/>
    </row>
    <row r="136" spans="1:8" ht="14.1" customHeight="1" x14ac:dyDescent="0.2">
      <c r="A136" s="18"/>
      <c r="B136" s="294" t="s">
        <v>140</v>
      </c>
      <c r="C136" s="295"/>
      <c r="D136" s="12" t="s">
        <v>112</v>
      </c>
      <c r="E136" s="21"/>
      <c r="F136" s="20"/>
      <c r="G136" s="20"/>
    </row>
    <row r="137" spans="1:8" ht="29.1" customHeight="1" x14ac:dyDescent="0.2">
      <c r="A137" s="18"/>
      <c r="B137" s="288" t="s">
        <v>141</v>
      </c>
      <c r="C137" s="289"/>
      <c r="D137" s="2" t="s">
        <v>142</v>
      </c>
      <c r="E137" s="21"/>
      <c r="F137" s="20"/>
      <c r="G137" s="20"/>
    </row>
    <row r="138" spans="1:8" ht="17.100000000000001" customHeight="1" x14ac:dyDescent="0.2">
      <c r="A138" s="18"/>
      <c r="B138" s="288" t="s">
        <v>143</v>
      </c>
      <c r="C138" s="289"/>
      <c r="D138" s="2" t="s">
        <v>142</v>
      </c>
      <c r="E138" s="21"/>
      <c r="F138" s="20"/>
      <c r="G138" s="20"/>
    </row>
    <row r="139" spans="1:8" ht="17.100000000000001" customHeight="1" x14ac:dyDescent="0.2">
      <c r="A139" s="18"/>
      <c r="B139" s="288" t="s">
        <v>144</v>
      </c>
      <c r="C139" s="289"/>
      <c r="D139" s="12" t="s">
        <v>112</v>
      </c>
      <c r="E139" s="21"/>
      <c r="F139" s="20"/>
      <c r="G139" s="20"/>
    </row>
    <row r="140" spans="1:8" ht="24" customHeight="1" x14ac:dyDescent="0.2">
      <c r="A140" s="22"/>
      <c r="B140" s="23" t="s">
        <v>112</v>
      </c>
      <c r="C140" s="23" t="s">
        <v>145</v>
      </c>
      <c r="D140" s="23" t="s">
        <v>146</v>
      </c>
      <c r="E140" s="22"/>
      <c r="F140" s="22"/>
      <c r="G140" s="22"/>
    </row>
    <row r="141" spans="1:8" ht="18" customHeight="1" x14ac:dyDescent="0.2">
      <c r="A141" s="22"/>
      <c r="B141" s="23" t="s">
        <v>147</v>
      </c>
      <c r="C141" s="23" t="s">
        <v>148</v>
      </c>
      <c r="D141" s="23" t="s">
        <v>149</v>
      </c>
      <c r="E141" s="22"/>
      <c r="F141" s="22"/>
      <c r="G141" s="22"/>
    </row>
    <row r="142" spans="1:8" ht="17.100000000000001" customHeight="1" x14ac:dyDescent="0.2">
      <c r="A142" s="22"/>
      <c r="B142" s="4" t="s">
        <v>150</v>
      </c>
      <c r="C142" s="24">
        <v>16.328499999999998</v>
      </c>
      <c r="D142" s="24">
        <v>16.471900000000002</v>
      </c>
      <c r="E142" s="22"/>
      <c r="F142" s="19"/>
      <c r="G142" s="25"/>
    </row>
    <row r="143" spans="1:8" ht="17.100000000000001" customHeight="1" x14ac:dyDescent="0.2">
      <c r="A143" s="22"/>
      <c r="B143" s="4" t="s">
        <v>1114</v>
      </c>
      <c r="C143" s="24">
        <v>16.328499999999998</v>
      </c>
      <c r="D143" s="24">
        <v>16.471900000000002</v>
      </c>
      <c r="E143" s="22"/>
      <c r="F143" s="19"/>
      <c r="G143" s="25"/>
    </row>
    <row r="144" spans="1:8" ht="17.100000000000001" customHeight="1" x14ac:dyDescent="0.2">
      <c r="A144" s="22"/>
      <c r="B144" s="4" t="s">
        <v>151</v>
      </c>
      <c r="C144" s="24">
        <v>15.9953</v>
      </c>
      <c r="D144" s="24">
        <v>16.133299999999998</v>
      </c>
      <c r="E144" s="22"/>
      <c r="F144" s="19"/>
      <c r="G144" s="25"/>
    </row>
    <row r="145" spans="1:15" ht="17.100000000000001" customHeight="1" x14ac:dyDescent="0.2">
      <c r="A145" s="22"/>
      <c r="B145" s="4" t="s">
        <v>1115</v>
      </c>
      <c r="C145" s="24">
        <v>15.9953</v>
      </c>
      <c r="D145" s="24">
        <v>16.133299999999998</v>
      </c>
      <c r="E145" s="22"/>
      <c r="F145" s="19"/>
      <c r="G145" s="25"/>
    </row>
    <row r="146" spans="1:15" ht="14.1" customHeight="1" x14ac:dyDescent="0.2">
      <c r="A146" s="22"/>
      <c r="B146" s="22"/>
      <c r="C146" s="22"/>
      <c r="D146" s="22"/>
      <c r="E146" s="22"/>
      <c r="F146" s="22"/>
      <c r="G146" s="22"/>
    </row>
    <row r="147" spans="1:15" ht="17.100000000000001" customHeight="1" x14ac:dyDescent="0.2">
      <c r="A147" s="22"/>
      <c r="B147" s="288" t="s">
        <v>1116</v>
      </c>
      <c r="C147" s="289"/>
      <c r="D147" s="2" t="s">
        <v>142</v>
      </c>
      <c r="E147" s="22"/>
      <c r="F147" s="22"/>
      <c r="G147" s="22"/>
    </row>
    <row r="148" spans="1:15" ht="14.1" customHeight="1" x14ac:dyDescent="0.2">
      <c r="A148" s="22"/>
      <c r="B148" s="19"/>
      <c r="C148" s="19"/>
      <c r="D148" s="22"/>
      <c r="E148" s="22"/>
      <c r="F148" s="22"/>
      <c r="G148" s="22"/>
    </row>
    <row r="149" spans="1:15" ht="29.1" customHeight="1" x14ac:dyDescent="0.2">
      <c r="A149" s="22"/>
      <c r="B149" s="288" t="s">
        <v>153</v>
      </c>
      <c r="C149" s="289"/>
      <c r="D149" s="2" t="s">
        <v>142</v>
      </c>
      <c r="E149" s="22"/>
      <c r="F149" s="22"/>
      <c r="G149" s="22"/>
    </row>
    <row r="150" spans="1:15" ht="29.1" customHeight="1" x14ac:dyDescent="0.2">
      <c r="A150" s="22"/>
      <c r="B150" s="288" t="s">
        <v>154</v>
      </c>
      <c r="C150" s="289"/>
      <c r="D150" s="2" t="s">
        <v>142</v>
      </c>
      <c r="E150" s="22"/>
      <c r="F150" s="22"/>
      <c r="G150" s="22"/>
    </row>
    <row r="151" spans="1:15" ht="17.100000000000001" customHeight="1" x14ac:dyDescent="0.2">
      <c r="A151" s="22"/>
      <c r="B151" s="288" t="s">
        <v>155</v>
      </c>
      <c r="C151" s="289"/>
      <c r="D151" s="26">
        <v>0.24601617938972659</v>
      </c>
      <c r="E151" s="22"/>
      <c r="F151" s="19"/>
      <c r="G151" s="25"/>
    </row>
    <row r="152" spans="1:15" ht="17.100000000000001" customHeight="1" x14ac:dyDescent="0.2">
      <c r="A152" s="22"/>
      <c r="B152" s="288" t="s">
        <v>156</v>
      </c>
      <c r="C152" s="289"/>
      <c r="D152" s="2" t="s">
        <v>142</v>
      </c>
      <c r="E152" s="22"/>
      <c r="F152" s="22"/>
      <c r="G152" s="22"/>
    </row>
    <row r="156" spans="1:15" x14ac:dyDescent="0.2">
      <c r="J156" s="66"/>
      <c r="K156" s="66"/>
      <c r="L156" s="66"/>
      <c r="M156" s="66"/>
      <c r="N156" s="66"/>
      <c r="O156" s="66"/>
    </row>
  </sheetData>
  <mergeCells count="14">
    <mergeCell ref="A1:H1"/>
    <mergeCell ref="A2:H2"/>
    <mergeCell ref="A3:H3"/>
    <mergeCell ref="B136:C136"/>
    <mergeCell ref="J2:N2"/>
    <mergeCell ref="B134:F134"/>
    <mergeCell ref="B151:C151"/>
    <mergeCell ref="B152:C152"/>
    <mergeCell ref="B137:C137"/>
    <mergeCell ref="B138:C138"/>
    <mergeCell ref="B139:C139"/>
    <mergeCell ref="B147:C147"/>
    <mergeCell ref="B149:C149"/>
    <mergeCell ref="B150:C15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O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500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209</v>
      </c>
      <c r="C7" s="4" t="s">
        <v>210</v>
      </c>
      <c r="D7" s="4" t="s">
        <v>934</v>
      </c>
      <c r="E7" s="5">
        <v>6933</v>
      </c>
      <c r="F7" s="6">
        <v>135.138036</v>
      </c>
      <c r="G7" s="7">
        <v>3.532598E-2</v>
      </c>
      <c r="H7" s="6"/>
    </row>
    <row r="8" spans="1:14" x14ac:dyDescent="0.2">
      <c r="A8" s="3">
        <v>2</v>
      </c>
      <c r="B8" s="4" t="s">
        <v>191</v>
      </c>
      <c r="C8" s="4" t="s">
        <v>192</v>
      </c>
      <c r="D8" s="4" t="s">
        <v>26</v>
      </c>
      <c r="E8" s="5">
        <v>10738</v>
      </c>
      <c r="F8" s="6">
        <v>129.62913599999999</v>
      </c>
      <c r="G8" s="7">
        <v>3.3885917000000002E-2</v>
      </c>
      <c r="H8" s="6"/>
    </row>
    <row r="9" spans="1:14" x14ac:dyDescent="0.2">
      <c r="A9" s="3">
        <v>3</v>
      </c>
      <c r="B9" s="4" t="s">
        <v>195</v>
      </c>
      <c r="C9" s="4" t="s">
        <v>196</v>
      </c>
      <c r="D9" s="4" t="s">
        <v>71</v>
      </c>
      <c r="E9" s="5">
        <v>19265</v>
      </c>
      <c r="F9" s="6">
        <v>122.3616475</v>
      </c>
      <c r="G9" s="7">
        <v>3.1986146999999999E-2</v>
      </c>
      <c r="H9" s="6"/>
    </row>
    <row r="10" spans="1:14" x14ac:dyDescent="0.2">
      <c r="A10" s="3">
        <v>4</v>
      </c>
      <c r="B10" s="4" t="s">
        <v>69</v>
      </c>
      <c r="C10" s="4" t="s">
        <v>70</v>
      </c>
      <c r="D10" s="4" t="s">
        <v>71</v>
      </c>
      <c r="E10" s="5">
        <v>20107</v>
      </c>
      <c r="F10" s="6">
        <v>121.7177245</v>
      </c>
      <c r="G10" s="7">
        <v>3.1817822000000003E-2</v>
      </c>
      <c r="H10" s="6"/>
    </row>
    <row r="11" spans="1:14" x14ac:dyDescent="0.2">
      <c r="A11" s="3">
        <v>5</v>
      </c>
      <c r="B11" s="4" t="s">
        <v>229</v>
      </c>
      <c r="C11" s="4" t="s">
        <v>230</v>
      </c>
      <c r="D11" s="4" t="s">
        <v>26</v>
      </c>
      <c r="E11" s="5">
        <v>13066</v>
      </c>
      <c r="F11" s="6">
        <v>116.522588</v>
      </c>
      <c r="G11" s="7">
        <v>3.0459778E-2</v>
      </c>
      <c r="H11" s="6"/>
    </row>
    <row r="12" spans="1:14" x14ac:dyDescent="0.2">
      <c r="A12" s="3">
        <v>6</v>
      </c>
      <c r="B12" s="4" t="s">
        <v>261</v>
      </c>
      <c r="C12" s="4" t="s">
        <v>262</v>
      </c>
      <c r="D12" s="4" t="s">
        <v>955</v>
      </c>
      <c r="E12" s="5">
        <v>58340</v>
      </c>
      <c r="F12" s="6">
        <v>115.45486</v>
      </c>
      <c r="G12" s="7">
        <v>3.0180667000000001E-2</v>
      </c>
      <c r="H12" s="6"/>
    </row>
    <row r="13" spans="1:14" x14ac:dyDescent="0.2">
      <c r="A13" s="3">
        <v>7</v>
      </c>
      <c r="B13" s="4" t="s">
        <v>166</v>
      </c>
      <c r="C13" s="4" t="s">
        <v>167</v>
      </c>
      <c r="D13" s="4" t="s">
        <v>82</v>
      </c>
      <c r="E13" s="5">
        <v>94613</v>
      </c>
      <c r="F13" s="6">
        <v>105.58810800000001</v>
      </c>
      <c r="G13" s="7">
        <v>2.7601433000000002E-2</v>
      </c>
      <c r="H13" s="6"/>
    </row>
    <row r="14" spans="1:14" ht="25.5" x14ac:dyDescent="0.2">
      <c r="A14" s="3">
        <v>8</v>
      </c>
      <c r="B14" s="4" t="s">
        <v>217</v>
      </c>
      <c r="C14" s="4" t="s">
        <v>218</v>
      </c>
      <c r="D14" s="4" t="s">
        <v>946</v>
      </c>
      <c r="E14" s="5">
        <v>2670</v>
      </c>
      <c r="F14" s="6">
        <v>104.97906</v>
      </c>
      <c r="G14" s="7">
        <v>2.7442224000000001E-2</v>
      </c>
      <c r="H14" s="6"/>
    </row>
    <row r="15" spans="1:14" ht="15" x14ac:dyDescent="0.2">
      <c r="A15" s="3">
        <v>9</v>
      </c>
      <c r="B15" s="4" t="s">
        <v>236</v>
      </c>
      <c r="C15" s="4" t="s">
        <v>237</v>
      </c>
      <c r="D15" s="4" t="s">
        <v>947</v>
      </c>
      <c r="E15" s="5">
        <v>2353</v>
      </c>
      <c r="F15" s="6">
        <v>101.6648945</v>
      </c>
      <c r="G15" s="7">
        <v>2.6575879E-2</v>
      </c>
      <c r="H15" s="6"/>
      <c r="J15" s="192" t="s">
        <v>1149</v>
      </c>
    </row>
    <row r="16" spans="1:14" x14ac:dyDescent="0.2">
      <c r="A16" s="3">
        <v>10</v>
      </c>
      <c r="B16" s="4" t="s">
        <v>207</v>
      </c>
      <c r="C16" s="4" t="s">
        <v>208</v>
      </c>
      <c r="D16" s="4" t="s">
        <v>948</v>
      </c>
      <c r="E16" s="5">
        <v>19759</v>
      </c>
      <c r="F16" s="6">
        <v>99.032107999999994</v>
      </c>
      <c r="G16" s="7">
        <v>2.5887651000000001E-2</v>
      </c>
      <c r="H16" s="6"/>
    </row>
    <row r="17" spans="1:8" x14ac:dyDescent="0.2">
      <c r="A17" s="3">
        <v>11</v>
      </c>
      <c r="B17" s="4" t="s">
        <v>231</v>
      </c>
      <c r="C17" s="4" t="s">
        <v>232</v>
      </c>
      <c r="D17" s="4" t="s">
        <v>233</v>
      </c>
      <c r="E17" s="5">
        <v>32339</v>
      </c>
      <c r="F17" s="6">
        <v>91.147471499999995</v>
      </c>
      <c r="G17" s="7">
        <v>2.3826554E-2</v>
      </c>
      <c r="H17" s="6"/>
    </row>
    <row r="18" spans="1:8" x14ac:dyDescent="0.2">
      <c r="A18" s="3">
        <v>12</v>
      </c>
      <c r="B18" s="4" t="s">
        <v>36</v>
      </c>
      <c r="C18" s="4" t="s">
        <v>37</v>
      </c>
      <c r="D18" s="4" t="s">
        <v>26</v>
      </c>
      <c r="E18" s="5">
        <v>6666</v>
      </c>
      <c r="F18" s="6">
        <v>88.984433999999993</v>
      </c>
      <c r="G18" s="7">
        <v>2.3261121999999999E-2</v>
      </c>
      <c r="H18" s="6"/>
    </row>
    <row r="19" spans="1:8" x14ac:dyDescent="0.2">
      <c r="A19" s="3">
        <v>13</v>
      </c>
      <c r="B19" s="4" t="s">
        <v>193</v>
      </c>
      <c r="C19" s="4" t="s">
        <v>194</v>
      </c>
      <c r="D19" s="4" t="s">
        <v>947</v>
      </c>
      <c r="E19" s="5">
        <v>14987</v>
      </c>
      <c r="F19" s="6">
        <v>83.005499499999999</v>
      </c>
      <c r="G19" s="7">
        <v>2.1698189E-2</v>
      </c>
      <c r="H19" s="6"/>
    </row>
    <row r="20" spans="1:8" x14ac:dyDescent="0.2">
      <c r="A20" s="3">
        <v>14</v>
      </c>
      <c r="B20" s="4" t="s">
        <v>92</v>
      </c>
      <c r="C20" s="4" t="s">
        <v>93</v>
      </c>
      <c r="D20" s="4" t="s">
        <v>923</v>
      </c>
      <c r="E20" s="5">
        <v>17357</v>
      </c>
      <c r="F20" s="6">
        <v>79.113206000000005</v>
      </c>
      <c r="G20" s="7">
        <v>2.0680718000000001E-2</v>
      </c>
      <c r="H20" s="6"/>
    </row>
    <row r="21" spans="1:8" x14ac:dyDescent="0.2">
      <c r="A21" s="3">
        <v>15</v>
      </c>
      <c r="B21" s="4" t="s">
        <v>168</v>
      </c>
      <c r="C21" s="4" t="s">
        <v>169</v>
      </c>
      <c r="D21" s="4" t="s">
        <v>944</v>
      </c>
      <c r="E21" s="5">
        <v>5792</v>
      </c>
      <c r="F21" s="6">
        <v>76.885903999999996</v>
      </c>
      <c r="G21" s="7">
        <v>2.0098485999999999E-2</v>
      </c>
      <c r="H21" s="6"/>
    </row>
    <row r="22" spans="1:8" ht="25.5" x14ac:dyDescent="0.2">
      <c r="A22" s="3">
        <v>16</v>
      </c>
      <c r="B22" s="4" t="s">
        <v>449</v>
      </c>
      <c r="C22" s="4" t="s">
        <v>450</v>
      </c>
      <c r="D22" s="4" t="s">
        <v>936</v>
      </c>
      <c r="E22" s="5">
        <v>3981</v>
      </c>
      <c r="F22" s="6">
        <v>76.285912499999995</v>
      </c>
      <c r="G22" s="7">
        <v>1.9941644000000001E-2</v>
      </c>
      <c r="H22" s="6"/>
    </row>
    <row r="23" spans="1:8" x14ac:dyDescent="0.2">
      <c r="A23" s="3">
        <v>17</v>
      </c>
      <c r="B23" s="4" t="s">
        <v>201</v>
      </c>
      <c r="C23" s="4" t="s">
        <v>202</v>
      </c>
      <c r="D23" s="4" t="s">
        <v>923</v>
      </c>
      <c r="E23" s="5">
        <v>6553</v>
      </c>
      <c r="F23" s="6">
        <v>71.195068500000005</v>
      </c>
      <c r="G23" s="7">
        <v>1.8610864000000001E-2</v>
      </c>
      <c r="H23" s="6"/>
    </row>
    <row r="24" spans="1:8" x14ac:dyDescent="0.2">
      <c r="A24" s="3">
        <v>18</v>
      </c>
      <c r="B24" s="4" t="s">
        <v>205</v>
      </c>
      <c r="C24" s="4" t="s">
        <v>206</v>
      </c>
      <c r="D24" s="4" t="s">
        <v>64</v>
      </c>
      <c r="E24" s="5">
        <v>19575</v>
      </c>
      <c r="F24" s="6">
        <v>70.460212499999997</v>
      </c>
      <c r="G24" s="7">
        <v>1.8418767999999999E-2</v>
      </c>
      <c r="H24" s="6"/>
    </row>
    <row r="25" spans="1:8" ht="25.5" x14ac:dyDescent="0.2">
      <c r="A25" s="3">
        <v>19</v>
      </c>
      <c r="B25" s="4" t="s">
        <v>170</v>
      </c>
      <c r="C25" s="4" t="s">
        <v>171</v>
      </c>
      <c r="D25" s="4" t="s">
        <v>945</v>
      </c>
      <c r="E25" s="5">
        <v>17769</v>
      </c>
      <c r="F25" s="6">
        <v>67.593276000000003</v>
      </c>
      <c r="G25" s="7">
        <v>1.7669331E-2</v>
      </c>
      <c r="H25" s="6"/>
    </row>
    <row r="26" spans="1:8" x14ac:dyDescent="0.2">
      <c r="A26" s="3">
        <v>20</v>
      </c>
      <c r="B26" s="4" t="s">
        <v>197</v>
      </c>
      <c r="C26" s="4" t="s">
        <v>198</v>
      </c>
      <c r="D26" s="4" t="s">
        <v>82</v>
      </c>
      <c r="E26" s="5">
        <v>9477</v>
      </c>
      <c r="F26" s="6">
        <v>66.566447999999994</v>
      </c>
      <c r="G26" s="7">
        <v>1.7400912000000001E-2</v>
      </c>
      <c r="H26" s="6"/>
    </row>
    <row r="27" spans="1:8" ht="25.5" x14ac:dyDescent="0.2">
      <c r="A27" s="3">
        <v>21</v>
      </c>
      <c r="B27" s="4" t="s">
        <v>215</v>
      </c>
      <c r="C27" s="4" t="s">
        <v>216</v>
      </c>
      <c r="D27" s="4" t="s">
        <v>945</v>
      </c>
      <c r="E27" s="5">
        <v>11300</v>
      </c>
      <c r="F27" s="6">
        <v>65.918549999999996</v>
      </c>
      <c r="G27" s="7">
        <v>1.7231547E-2</v>
      </c>
      <c r="H27" s="6"/>
    </row>
    <row r="28" spans="1:8" x14ac:dyDescent="0.2">
      <c r="A28" s="3">
        <v>22</v>
      </c>
      <c r="B28" s="4" t="s">
        <v>263</v>
      </c>
      <c r="C28" s="4" t="s">
        <v>264</v>
      </c>
      <c r="D28" s="4" t="s">
        <v>26</v>
      </c>
      <c r="E28" s="5">
        <v>9335</v>
      </c>
      <c r="F28" s="6">
        <v>63.020584999999997</v>
      </c>
      <c r="G28" s="7">
        <v>1.6473999999999999E-2</v>
      </c>
      <c r="H28" s="6"/>
    </row>
    <row r="29" spans="1:8" x14ac:dyDescent="0.2">
      <c r="A29" s="3">
        <v>23</v>
      </c>
      <c r="B29" s="4" t="s">
        <v>178</v>
      </c>
      <c r="C29" s="4" t="s">
        <v>179</v>
      </c>
      <c r="D29" s="4" t="s">
        <v>934</v>
      </c>
      <c r="E29" s="5">
        <v>4288</v>
      </c>
      <c r="F29" s="6">
        <v>61.326976000000002</v>
      </c>
      <c r="G29" s="7">
        <v>1.6031278999999999E-2</v>
      </c>
      <c r="H29" s="6"/>
    </row>
    <row r="30" spans="1:8" ht="25.5" x14ac:dyDescent="0.2">
      <c r="A30" s="3">
        <v>24</v>
      </c>
      <c r="B30" s="4" t="s">
        <v>42</v>
      </c>
      <c r="C30" s="4" t="s">
        <v>43</v>
      </c>
      <c r="D30" s="4" t="s">
        <v>935</v>
      </c>
      <c r="E30" s="5">
        <v>2267</v>
      </c>
      <c r="F30" s="6">
        <v>60.009757</v>
      </c>
      <c r="G30" s="7">
        <v>1.5686948999999999E-2</v>
      </c>
      <c r="H30" s="6"/>
    </row>
    <row r="31" spans="1:8" x14ac:dyDescent="0.2">
      <c r="A31" s="3">
        <v>25</v>
      </c>
      <c r="B31" s="4" t="s">
        <v>203</v>
      </c>
      <c r="C31" s="4" t="s">
        <v>204</v>
      </c>
      <c r="D31" s="4" t="s">
        <v>82</v>
      </c>
      <c r="E31" s="5">
        <v>10036</v>
      </c>
      <c r="F31" s="6">
        <v>59.428173999999999</v>
      </c>
      <c r="G31" s="7">
        <v>1.5534918999999999E-2</v>
      </c>
      <c r="H31" s="6"/>
    </row>
    <row r="32" spans="1:8" x14ac:dyDescent="0.2">
      <c r="A32" s="3">
        <v>26</v>
      </c>
      <c r="B32" s="4" t="s">
        <v>225</v>
      </c>
      <c r="C32" s="4" t="s">
        <v>226</v>
      </c>
      <c r="D32" s="4" t="s">
        <v>951</v>
      </c>
      <c r="E32" s="5">
        <v>18670</v>
      </c>
      <c r="F32" s="6">
        <v>58.539785000000002</v>
      </c>
      <c r="G32" s="7">
        <v>1.5302689E-2</v>
      </c>
      <c r="H32" s="6"/>
    </row>
    <row r="33" spans="1:8" ht="25.5" x14ac:dyDescent="0.2">
      <c r="A33" s="3">
        <v>27</v>
      </c>
      <c r="B33" s="4" t="s">
        <v>158</v>
      </c>
      <c r="C33" s="4" t="s">
        <v>159</v>
      </c>
      <c r="D33" s="4" t="s">
        <v>941</v>
      </c>
      <c r="E33" s="5">
        <v>8218</v>
      </c>
      <c r="F33" s="6">
        <v>58.269728999999998</v>
      </c>
      <c r="G33" s="7">
        <v>1.5232094E-2</v>
      </c>
      <c r="H33" s="6"/>
    </row>
    <row r="34" spans="1:8" x14ac:dyDescent="0.2">
      <c r="A34" s="3">
        <v>28</v>
      </c>
      <c r="B34" s="4" t="s">
        <v>269</v>
      </c>
      <c r="C34" s="4" t="s">
        <v>270</v>
      </c>
      <c r="D34" s="4" t="s">
        <v>26</v>
      </c>
      <c r="E34" s="5">
        <v>2911</v>
      </c>
      <c r="F34" s="6">
        <v>57.758606499999999</v>
      </c>
      <c r="G34" s="7">
        <v>1.5098482999999999E-2</v>
      </c>
      <c r="H34" s="6"/>
    </row>
    <row r="35" spans="1:8" ht="25.5" x14ac:dyDescent="0.2">
      <c r="A35" s="3">
        <v>29</v>
      </c>
      <c r="B35" s="4" t="s">
        <v>256</v>
      </c>
      <c r="C35" s="4" t="s">
        <v>257</v>
      </c>
      <c r="D35" s="4" t="s">
        <v>954</v>
      </c>
      <c r="E35" s="5">
        <v>16931</v>
      </c>
      <c r="F35" s="6">
        <v>56.710384500000004</v>
      </c>
      <c r="G35" s="7">
        <v>1.4824471000000001E-2</v>
      </c>
      <c r="H35" s="6"/>
    </row>
    <row r="36" spans="1:8" x14ac:dyDescent="0.2">
      <c r="A36" s="3">
        <v>30</v>
      </c>
      <c r="B36" s="4" t="s">
        <v>182</v>
      </c>
      <c r="C36" s="4" t="s">
        <v>183</v>
      </c>
      <c r="D36" s="4" t="s">
        <v>944</v>
      </c>
      <c r="E36" s="5">
        <v>32152</v>
      </c>
      <c r="F36" s="6">
        <v>54.545867999999999</v>
      </c>
      <c r="G36" s="7">
        <v>1.4258652E-2</v>
      </c>
      <c r="H36" s="6"/>
    </row>
    <row r="37" spans="1:8" x14ac:dyDescent="0.2">
      <c r="A37" s="3">
        <v>31</v>
      </c>
      <c r="B37" s="4" t="s">
        <v>265</v>
      </c>
      <c r="C37" s="4" t="s">
        <v>266</v>
      </c>
      <c r="D37" s="4" t="s">
        <v>942</v>
      </c>
      <c r="E37" s="5">
        <v>6153</v>
      </c>
      <c r="F37" s="6">
        <v>54.463279499999999</v>
      </c>
      <c r="G37" s="7">
        <v>1.4237062999999999E-2</v>
      </c>
      <c r="H37" s="6"/>
    </row>
    <row r="38" spans="1:8" x14ac:dyDescent="0.2">
      <c r="A38" s="3">
        <v>32</v>
      </c>
      <c r="B38" s="4" t="s">
        <v>451</v>
      </c>
      <c r="C38" s="4" t="s">
        <v>452</v>
      </c>
      <c r="D38" s="4" t="s">
        <v>71</v>
      </c>
      <c r="E38" s="5">
        <v>5611</v>
      </c>
      <c r="F38" s="6">
        <v>52.841592499999997</v>
      </c>
      <c r="G38" s="7">
        <v>1.3813143E-2</v>
      </c>
      <c r="H38" s="6"/>
    </row>
    <row r="39" spans="1:8" x14ac:dyDescent="0.2">
      <c r="A39" s="3">
        <v>33</v>
      </c>
      <c r="B39" s="4" t="s">
        <v>74</v>
      </c>
      <c r="C39" s="4" t="s">
        <v>75</v>
      </c>
      <c r="D39" s="4" t="s">
        <v>71</v>
      </c>
      <c r="E39" s="5">
        <v>1416</v>
      </c>
      <c r="F39" s="6">
        <v>52.529352000000003</v>
      </c>
      <c r="G39" s="7">
        <v>1.3731521999999999E-2</v>
      </c>
      <c r="H39" s="6"/>
    </row>
    <row r="40" spans="1:8" ht="25.5" x14ac:dyDescent="0.2">
      <c r="A40" s="3">
        <v>34</v>
      </c>
      <c r="B40" s="4" t="s">
        <v>248</v>
      </c>
      <c r="C40" s="4" t="s">
        <v>249</v>
      </c>
      <c r="D40" s="4" t="s">
        <v>950</v>
      </c>
      <c r="E40" s="5">
        <v>9643</v>
      </c>
      <c r="F40" s="6">
        <v>51.1995085</v>
      </c>
      <c r="G40" s="7">
        <v>1.3383892E-2</v>
      </c>
      <c r="H40" s="6"/>
    </row>
    <row r="41" spans="1:8" ht="25.5" x14ac:dyDescent="0.2">
      <c r="A41" s="3">
        <v>35</v>
      </c>
      <c r="B41" s="4" t="s">
        <v>180</v>
      </c>
      <c r="C41" s="4" t="s">
        <v>181</v>
      </c>
      <c r="D41" s="4" t="s">
        <v>941</v>
      </c>
      <c r="E41" s="5">
        <v>9975</v>
      </c>
      <c r="F41" s="6">
        <v>50.568262500000003</v>
      </c>
      <c r="G41" s="7">
        <v>1.3218880000000001E-2</v>
      </c>
      <c r="H41" s="6"/>
    </row>
    <row r="42" spans="1:8" ht="25.5" x14ac:dyDescent="0.2">
      <c r="A42" s="3">
        <v>36</v>
      </c>
      <c r="B42" s="4" t="s">
        <v>162</v>
      </c>
      <c r="C42" s="4" t="s">
        <v>163</v>
      </c>
      <c r="D42" s="4" t="s">
        <v>943</v>
      </c>
      <c r="E42" s="5">
        <v>44136</v>
      </c>
      <c r="F42" s="6">
        <v>45.393875999999999</v>
      </c>
      <c r="G42" s="7">
        <v>1.1866260999999999E-2</v>
      </c>
      <c r="H42" s="6"/>
    </row>
    <row r="43" spans="1:8" x14ac:dyDescent="0.2">
      <c r="A43" s="3">
        <v>37</v>
      </c>
      <c r="B43" s="4" t="s">
        <v>85</v>
      </c>
      <c r="C43" s="4" t="s">
        <v>86</v>
      </c>
      <c r="D43" s="4" t="s">
        <v>64</v>
      </c>
      <c r="E43" s="5">
        <v>2890</v>
      </c>
      <c r="F43" s="6">
        <v>45.227055</v>
      </c>
      <c r="G43" s="7">
        <v>1.1822653000000001E-2</v>
      </c>
      <c r="H43" s="6"/>
    </row>
    <row r="44" spans="1:8" ht="25.5" x14ac:dyDescent="0.2">
      <c r="A44" s="3">
        <v>38</v>
      </c>
      <c r="B44" s="4" t="s">
        <v>172</v>
      </c>
      <c r="C44" s="4" t="s">
        <v>173</v>
      </c>
      <c r="D44" s="4" t="s">
        <v>71</v>
      </c>
      <c r="E44" s="5">
        <v>2285</v>
      </c>
      <c r="F44" s="6">
        <v>44.958517499999999</v>
      </c>
      <c r="G44" s="7">
        <v>1.1752455E-2</v>
      </c>
      <c r="H44" s="6"/>
    </row>
    <row r="45" spans="1:8" x14ac:dyDescent="0.2">
      <c r="A45" s="3">
        <v>39</v>
      </c>
      <c r="B45" s="4" t="s">
        <v>160</v>
      </c>
      <c r="C45" s="4" t="s">
        <v>161</v>
      </c>
      <c r="D45" s="4" t="s">
        <v>942</v>
      </c>
      <c r="E45" s="5">
        <v>3655</v>
      </c>
      <c r="F45" s="6">
        <v>44.654962500000003</v>
      </c>
      <c r="G45" s="7">
        <v>1.1673104E-2</v>
      </c>
      <c r="H45" s="6"/>
    </row>
    <row r="46" spans="1:8" x14ac:dyDescent="0.2">
      <c r="A46" s="3">
        <v>40</v>
      </c>
      <c r="B46" s="4" t="s">
        <v>271</v>
      </c>
      <c r="C46" s="4" t="s">
        <v>272</v>
      </c>
      <c r="D46" s="4" t="s">
        <v>940</v>
      </c>
      <c r="E46" s="5">
        <v>7112</v>
      </c>
      <c r="F46" s="6">
        <v>44.364655999999997</v>
      </c>
      <c r="G46" s="7">
        <v>1.1597216E-2</v>
      </c>
      <c r="H46" s="6"/>
    </row>
    <row r="47" spans="1:8" x14ac:dyDescent="0.2">
      <c r="A47" s="3">
        <v>41</v>
      </c>
      <c r="B47" s="4" t="s">
        <v>164</v>
      </c>
      <c r="C47" s="4" t="s">
        <v>165</v>
      </c>
      <c r="D47" s="4" t="s">
        <v>944</v>
      </c>
      <c r="E47" s="5">
        <v>8975</v>
      </c>
      <c r="F47" s="6">
        <v>42.779337499999997</v>
      </c>
      <c r="G47" s="7">
        <v>1.1182803E-2</v>
      </c>
      <c r="H47" s="6"/>
    </row>
    <row r="48" spans="1:8" x14ac:dyDescent="0.2">
      <c r="A48" s="3">
        <v>42</v>
      </c>
      <c r="B48" s="4" t="s">
        <v>213</v>
      </c>
      <c r="C48" s="4" t="s">
        <v>214</v>
      </c>
      <c r="D48" s="4" t="s">
        <v>64</v>
      </c>
      <c r="E48" s="5">
        <v>48779</v>
      </c>
      <c r="F48" s="6">
        <v>42.169445500000002</v>
      </c>
      <c r="G48" s="7">
        <v>1.1023373E-2</v>
      </c>
      <c r="H48" s="6"/>
    </row>
    <row r="49" spans="1:8" x14ac:dyDescent="0.2">
      <c r="A49" s="3">
        <v>43</v>
      </c>
      <c r="B49" s="4" t="s">
        <v>234</v>
      </c>
      <c r="C49" s="4" t="s">
        <v>235</v>
      </c>
      <c r="D49" s="4" t="s">
        <v>952</v>
      </c>
      <c r="E49" s="5">
        <v>27958</v>
      </c>
      <c r="F49" s="6">
        <v>41.405797999999997</v>
      </c>
      <c r="G49" s="7">
        <v>1.0823751E-2</v>
      </c>
      <c r="H49" s="6"/>
    </row>
    <row r="50" spans="1:8" ht="51" x14ac:dyDescent="0.2">
      <c r="A50" s="3">
        <v>44</v>
      </c>
      <c r="B50" s="4" t="s">
        <v>238</v>
      </c>
      <c r="C50" s="4" t="s">
        <v>239</v>
      </c>
      <c r="D50" s="4" t="s">
        <v>939</v>
      </c>
      <c r="E50" s="5">
        <v>17050</v>
      </c>
      <c r="F50" s="6">
        <v>40.894424999999998</v>
      </c>
      <c r="G50" s="7">
        <v>1.0690074000000001E-2</v>
      </c>
      <c r="H50" s="6"/>
    </row>
    <row r="51" spans="1:8" x14ac:dyDescent="0.2">
      <c r="A51" s="3">
        <v>45</v>
      </c>
      <c r="B51" s="4" t="s">
        <v>174</v>
      </c>
      <c r="C51" s="4" t="s">
        <v>175</v>
      </c>
      <c r="D51" s="4" t="s">
        <v>71</v>
      </c>
      <c r="E51" s="5">
        <v>6426</v>
      </c>
      <c r="F51" s="6">
        <v>40.785822000000003</v>
      </c>
      <c r="G51" s="7">
        <v>1.0661685000000001E-2</v>
      </c>
      <c r="H51" s="6"/>
    </row>
    <row r="52" spans="1:8" ht="25.5" x14ac:dyDescent="0.2">
      <c r="A52" s="3">
        <v>46</v>
      </c>
      <c r="B52" s="4" t="s">
        <v>219</v>
      </c>
      <c r="C52" s="4" t="s">
        <v>220</v>
      </c>
      <c r="D52" s="4" t="s">
        <v>950</v>
      </c>
      <c r="E52" s="5">
        <v>9296</v>
      </c>
      <c r="F52" s="6">
        <v>37.941623999999997</v>
      </c>
      <c r="G52" s="7">
        <v>9.9181930000000005E-3</v>
      </c>
      <c r="H52" s="6"/>
    </row>
    <row r="53" spans="1:8" x14ac:dyDescent="0.2">
      <c r="A53" s="3">
        <v>47</v>
      </c>
      <c r="B53" s="4" t="s">
        <v>267</v>
      </c>
      <c r="C53" s="4" t="s">
        <v>268</v>
      </c>
      <c r="D53" s="4" t="s">
        <v>82</v>
      </c>
      <c r="E53" s="5">
        <v>62770</v>
      </c>
      <c r="F53" s="6">
        <v>35.841670000000001</v>
      </c>
      <c r="G53" s="7">
        <v>9.3692510000000003E-3</v>
      </c>
      <c r="H53" s="6"/>
    </row>
    <row r="54" spans="1:8" x14ac:dyDescent="0.2">
      <c r="A54" s="3">
        <v>48</v>
      </c>
      <c r="B54" s="4" t="s">
        <v>227</v>
      </c>
      <c r="C54" s="4" t="s">
        <v>228</v>
      </c>
      <c r="D54" s="4" t="s">
        <v>26</v>
      </c>
      <c r="E54" s="5">
        <v>3352</v>
      </c>
      <c r="F54" s="6">
        <v>33.992632</v>
      </c>
      <c r="G54" s="7">
        <v>8.8859000000000004E-3</v>
      </c>
      <c r="H54" s="6"/>
    </row>
    <row r="55" spans="1:8" x14ac:dyDescent="0.2">
      <c r="A55" s="3">
        <v>49</v>
      </c>
      <c r="B55" s="4" t="s">
        <v>279</v>
      </c>
      <c r="C55" s="4" t="s">
        <v>280</v>
      </c>
      <c r="D55" s="4" t="s">
        <v>18</v>
      </c>
      <c r="E55" s="5">
        <v>15756</v>
      </c>
      <c r="F55" s="6">
        <v>33.749352000000002</v>
      </c>
      <c r="G55" s="7">
        <v>8.8223050000000008E-3</v>
      </c>
      <c r="H55" s="6"/>
    </row>
    <row r="56" spans="1:8" ht="25.5" x14ac:dyDescent="0.2">
      <c r="A56" s="3">
        <v>50</v>
      </c>
      <c r="B56" s="4" t="s">
        <v>184</v>
      </c>
      <c r="C56" s="4" t="s">
        <v>185</v>
      </c>
      <c r="D56" s="4" t="s">
        <v>935</v>
      </c>
      <c r="E56" s="5">
        <v>16405</v>
      </c>
      <c r="F56" s="6">
        <v>33.056075</v>
      </c>
      <c r="G56" s="7">
        <v>8.641078E-3</v>
      </c>
      <c r="H56" s="6"/>
    </row>
    <row r="57" spans="1:8" ht="25.5" x14ac:dyDescent="0.2">
      <c r="A57" s="3">
        <v>51</v>
      </c>
      <c r="B57" s="4" t="s">
        <v>469</v>
      </c>
      <c r="C57" s="4" t="s">
        <v>470</v>
      </c>
      <c r="D57" s="4" t="s">
        <v>945</v>
      </c>
      <c r="E57" s="5">
        <v>8154</v>
      </c>
      <c r="F57" s="6">
        <v>32.452919999999999</v>
      </c>
      <c r="G57" s="7">
        <v>8.4834090000000008E-3</v>
      </c>
      <c r="H57" s="6"/>
    </row>
    <row r="58" spans="1:8" x14ac:dyDescent="0.2">
      <c r="A58" s="3">
        <v>52</v>
      </c>
      <c r="B58" s="4" t="s">
        <v>223</v>
      </c>
      <c r="C58" s="4" t="s">
        <v>224</v>
      </c>
      <c r="D58" s="4" t="s">
        <v>71</v>
      </c>
      <c r="E58" s="5">
        <v>12795</v>
      </c>
      <c r="F58" s="6">
        <v>31.539674999999999</v>
      </c>
      <c r="G58" s="7">
        <v>8.2446810000000002E-3</v>
      </c>
      <c r="H58" s="6"/>
    </row>
    <row r="59" spans="1:8" ht="25.5" x14ac:dyDescent="0.2">
      <c r="A59" s="3">
        <v>53</v>
      </c>
      <c r="B59" s="4" t="s">
        <v>221</v>
      </c>
      <c r="C59" s="4" t="s">
        <v>222</v>
      </c>
      <c r="D59" s="4" t="s">
        <v>945</v>
      </c>
      <c r="E59" s="5">
        <v>1825</v>
      </c>
      <c r="F59" s="6">
        <v>31.369924999999999</v>
      </c>
      <c r="G59" s="7">
        <v>8.2003070000000004E-3</v>
      </c>
      <c r="H59" s="6"/>
    </row>
    <row r="60" spans="1:8" x14ac:dyDescent="0.2">
      <c r="A60" s="3">
        <v>54</v>
      </c>
      <c r="B60" s="4" t="s">
        <v>240</v>
      </c>
      <c r="C60" s="4" t="s">
        <v>241</v>
      </c>
      <c r="D60" s="4" t="s">
        <v>940</v>
      </c>
      <c r="E60" s="5">
        <v>5781</v>
      </c>
      <c r="F60" s="6">
        <v>30.2664255</v>
      </c>
      <c r="G60" s="7">
        <v>7.9118450000000007E-3</v>
      </c>
      <c r="H60" s="6"/>
    </row>
    <row r="61" spans="1:8" x14ac:dyDescent="0.2">
      <c r="A61" s="3">
        <v>55</v>
      </c>
      <c r="B61" s="4" t="s">
        <v>242</v>
      </c>
      <c r="C61" s="4" t="s">
        <v>243</v>
      </c>
      <c r="D61" s="4" t="s">
        <v>949</v>
      </c>
      <c r="E61" s="5">
        <v>11833</v>
      </c>
      <c r="F61" s="6">
        <v>29.925657000000001</v>
      </c>
      <c r="G61" s="7">
        <v>7.8227660000000001E-3</v>
      </c>
      <c r="H61" s="6"/>
    </row>
    <row r="62" spans="1:8" x14ac:dyDescent="0.2">
      <c r="A62" s="3">
        <v>56</v>
      </c>
      <c r="B62" s="4" t="s">
        <v>252</v>
      </c>
      <c r="C62" s="4" t="s">
        <v>253</v>
      </c>
      <c r="D62" s="4" t="s">
        <v>91</v>
      </c>
      <c r="E62" s="5">
        <v>10387</v>
      </c>
      <c r="F62" s="6">
        <v>25.7130185</v>
      </c>
      <c r="G62" s="7">
        <v>6.7215540000000002E-3</v>
      </c>
      <c r="H62" s="6"/>
    </row>
    <row r="63" spans="1:8" ht="25.5" x14ac:dyDescent="0.2">
      <c r="A63" s="3">
        <v>57</v>
      </c>
      <c r="B63" s="4" t="s">
        <v>188</v>
      </c>
      <c r="C63" s="4" t="s">
        <v>189</v>
      </c>
      <c r="D63" s="4" t="s">
        <v>945</v>
      </c>
      <c r="E63" s="5">
        <v>546</v>
      </c>
      <c r="F63" s="6">
        <v>24.225200999999998</v>
      </c>
      <c r="G63" s="7">
        <v>6.3326279999999999E-3</v>
      </c>
      <c r="H63" s="6"/>
    </row>
    <row r="64" spans="1:8" x14ac:dyDescent="0.2">
      <c r="A64" s="3">
        <v>58</v>
      </c>
      <c r="B64" s="4" t="s">
        <v>94</v>
      </c>
      <c r="C64" s="4" t="s">
        <v>95</v>
      </c>
      <c r="D64" s="4" t="s">
        <v>64</v>
      </c>
      <c r="E64" s="5">
        <v>15702</v>
      </c>
      <c r="F64" s="6">
        <v>21.645206999999999</v>
      </c>
      <c r="G64" s="7">
        <v>5.6582009999999999E-3</v>
      </c>
      <c r="H64" s="6"/>
    </row>
    <row r="65" spans="1:8" x14ac:dyDescent="0.2">
      <c r="A65" s="3">
        <v>59</v>
      </c>
      <c r="B65" s="4" t="s">
        <v>176</v>
      </c>
      <c r="C65" s="4" t="s">
        <v>177</v>
      </c>
      <c r="D65" s="4" t="s">
        <v>944</v>
      </c>
      <c r="E65" s="5">
        <v>19188</v>
      </c>
      <c r="F65" s="6">
        <v>19.475819999999999</v>
      </c>
      <c r="G65" s="7">
        <v>5.0911089999999999E-3</v>
      </c>
      <c r="H65" s="6"/>
    </row>
    <row r="66" spans="1:8" x14ac:dyDescent="0.2">
      <c r="A66" s="3">
        <v>60</v>
      </c>
      <c r="B66" s="4" t="s">
        <v>106</v>
      </c>
      <c r="C66" s="4" t="s">
        <v>107</v>
      </c>
      <c r="D66" s="4" t="s">
        <v>923</v>
      </c>
      <c r="E66" s="5">
        <v>22625</v>
      </c>
      <c r="F66" s="6">
        <v>17.172374999999999</v>
      </c>
      <c r="G66" s="7">
        <v>4.4889730000000003E-3</v>
      </c>
      <c r="H66" s="6"/>
    </row>
    <row r="67" spans="1:8" ht="25.5" x14ac:dyDescent="0.2">
      <c r="A67" s="3">
        <v>61</v>
      </c>
      <c r="B67" s="4" t="s">
        <v>258</v>
      </c>
      <c r="C67" s="4" t="s">
        <v>259</v>
      </c>
      <c r="D67" s="4" t="s">
        <v>946</v>
      </c>
      <c r="E67" s="5">
        <v>1792</v>
      </c>
      <c r="F67" s="6">
        <v>15.947903999999999</v>
      </c>
      <c r="G67" s="7">
        <v>4.1688879999999999E-3</v>
      </c>
      <c r="H67" s="6"/>
    </row>
    <row r="68" spans="1:8" x14ac:dyDescent="0.2">
      <c r="A68" s="3">
        <v>62</v>
      </c>
      <c r="B68" s="4" t="s">
        <v>250</v>
      </c>
      <c r="C68" s="4" t="s">
        <v>251</v>
      </c>
      <c r="D68" s="4" t="s">
        <v>302</v>
      </c>
      <c r="E68" s="5">
        <v>2142</v>
      </c>
      <c r="F68" s="6">
        <v>13.919786999999999</v>
      </c>
      <c r="G68" s="7">
        <v>3.6387250000000002E-3</v>
      </c>
      <c r="H68" s="6"/>
    </row>
    <row r="69" spans="1:8" ht="14.1" customHeight="1" x14ac:dyDescent="0.2">
      <c r="A69" s="1"/>
      <c r="B69" s="1"/>
      <c r="C69" s="2" t="s">
        <v>111</v>
      </c>
      <c r="D69" s="1"/>
      <c r="E69" s="1" t="s">
        <v>112</v>
      </c>
      <c r="F69" s="9">
        <v>3681.3251679999998</v>
      </c>
      <c r="G69" s="10">
        <v>0.96232285699999998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113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114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115</v>
      </c>
      <c r="D77" s="1"/>
      <c r="E77" s="1"/>
      <c r="F77" s="1"/>
      <c r="G77" s="1"/>
      <c r="H77" s="6"/>
    </row>
    <row r="78" spans="1:8" ht="14.1" customHeight="1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116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117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8" customHeight="1" x14ac:dyDescent="0.2">
      <c r="A86" s="1"/>
      <c r="B86" s="1"/>
      <c r="C86" s="2" t="s">
        <v>118</v>
      </c>
      <c r="D86" s="1"/>
      <c r="E86" s="1"/>
      <c r="F86" s="9">
        <v>3681.3251679999998</v>
      </c>
      <c r="G86" s="10">
        <v>0.96232285699999998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119</v>
      </c>
      <c r="D88" s="1"/>
      <c r="E88" s="1"/>
      <c r="F88" s="12"/>
      <c r="G88" s="12"/>
      <c r="H88" s="6"/>
    </row>
    <row r="89" spans="1:8" ht="24" customHeight="1" x14ac:dyDescent="0.2">
      <c r="A89" s="1"/>
      <c r="B89" s="1"/>
      <c r="C89" s="2" t="s">
        <v>10</v>
      </c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120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121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122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123</v>
      </c>
      <c r="D101" s="1"/>
      <c r="E101" s="1"/>
      <c r="F101" s="9">
        <v>0</v>
      </c>
      <c r="G101" s="10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124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125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126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127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128</v>
      </c>
      <c r="D113" s="1"/>
      <c r="E113" s="1"/>
      <c r="F113" s="12"/>
      <c r="G113" s="12"/>
      <c r="H113" s="6"/>
    </row>
    <row r="114" spans="1:8" ht="17.100000000000001" customHeight="1" x14ac:dyDescent="0.2">
      <c r="A114" s="3">
        <v>1</v>
      </c>
      <c r="B114" s="4"/>
      <c r="C114" s="4" t="s">
        <v>129</v>
      </c>
      <c r="D114" s="4"/>
      <c r="E114" s="8"/>
      <c r="F114" s="6">
        <v>153.05040740000001</v>
      </c>
      <c r="G114" s="7">
        <v>4.0008393000000003E-2</v>
      </c>
      <c r="H114" s="6">
        <v>3.9343919198424624</v>
      </c>
    </row>
    <row r="115" spans="1:8" ht="17.100000000000001" customHeight="1" x14ac:dyDescent="0.2">
      <c r="A115" s="3">
        <v>2</v>
      </c>
      <c r="B115" s="4"/>
      <c r="C115" s="4" t="s">
        <v>130</v>
      </c>
      <c r="D115" s="4"/>
      <c r="E115" s="8"/>
      <c r="F115" s="6">
        <v>10.0522727</v>
      </c>
      <c r="G115" s="7">
        <v>2.6277309999999999E-3</v>
      </c>
      <c r="H115" s="6">
        <v>3.8</v>
      </c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9">
        <v>163.10268009999999</v>
      </c>
      <c r="G116" s="10">
        <v>4.2636123999999997E-2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131</v>
      </c>
      <c r="D118" s="1"/>
      <c r="E118" s="1"/>
      <c r="F118" s="9">
        <v>163.10268009999999</v>
      </c>
      <c r="G118" s="10">
        <v>4.2636123999999997E-2</v>
      </c>
      <c r="H118" s="6"/>
    </row>
    <row r="119" spans="1:8" ht="14.1" customHeight="1" x14ac:dyDescent="0.2">
      <c r="A119" s="1"/>
      <c r="B119" s="1"/>
      <c r="C119" s="12"/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132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133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134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135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111</v>
      </c>
      <c r="D126" s="1"/>
      <c r="E126" s="1" t="s">
        <v>112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24" customHeight="1" x14ac:dyDescent="0.2">
      <c r="A129" s="1"/>
      <c r="B129" s="1"/>
      <c r="C129" s="2" t="s">
        <v>136</v>
      </c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111</v>
      </c>
      <c r="D130" s="1"/>
      <c r="E130" s="1" t="s">
        <v>112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4"/>
      <c r="C132" s="4"/>
      <c r="D132" s="2"/>
      <c r="E132" s="1"/>
      <c r="F132" s="4"/>
      <c r="G132" s="8"/>
      <c r="H132" s="6"/>
    </row>
    <row r="133" spans="1:8" ht="18" customHeight="1" x14ac:dyDescent="0.2">
      <c r="A133" s="8"/>
      <c r="B133" s="4"/>
      <c r="C133" s="4" t="s">
        <v>137</v>
      </c>
      <c r="D133" s="4"/>
      <c r="E133" s="8"/>
      <c r="F133" s="6">
        <v>-18.970345009999999</v>
      </c>
      <c r="G133" s="7">
        <v>-4.9589739999999997E-3</v>
      </c>
      <c r="H133" s="6"/>
    </row>
    <row r="134" spans="1:8" ht="14.1" customHeight="1" x14ac:dyDescent="0.2">
      <c r="A134" s="11"/>
      <c r="B134" s="11"/>
      <c r="C134" s="2" t="s">
        <v>138</v>
      </c>
      <c r="D134" s="15"/>
      <c r="E134" s="15"/>
      <c r="F134" s="9">
        <v>3825.45750309</v>
      </c>
      <c r="G134" s="10">
        <v>1.0000000069999999</v>
      </c>
      <c r="H134" s="6"/>
    </row>
    <row r="135" spans="1:8" ht="14.1" customHeight="1" x14ac:dyDescent="0.2">
      <c r="A135" s="18"/>
      <c r="B135" s="297" t="s">
        <v>112</v>
      </c>
      <c r="C135" s="297"/>
      <c r="D135" s="297"/>
      <c r="E135" s="297"/>
      <c r="F135" s="297"/>
      <c r="G135" s="20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294" t="s">
        <v>140</v>
      </c>
      <c r="C137" s="295"/>
      <c r="D137" s="12" t="s">
        <v>112</v>
      </c>
      <c r="E137" s="21"/>
      <c r="F137" s="20"/>
      <c r="G137" s="20"/>
    </row>
    <row r="138" spans="1:8" ht="29.1" customHeight="1" x14ac:dyDescent="0.2">
      <c r="A138" s="18"/>
      <c r="B138" s="288" t="s">
        <v>141</v>
      </c>
      <c r="C138" s="289"/>
      <c r="D138" s="2" t="s">
        <v>142</v>
      </c>
      <c r="E138" s="21"/>
      <c r="F138" s="20"/>
      <c r="G138" s="20"/>
    </row>
    <row r="139" spans="1:8" ht="17.100000000000001" customHeight="1" x14ac:dyDescent="0.2">
      <c r="A139" s="18"/>
      <c r="B139" s="288" t="s">
        <v>143</v>
      </c>
      <c r="C139" s="289"/>
      <c r="D139" s="2" t="s">
        <v>142</v>
      </c>
      <c r="E139" s="21"/>
      <c r="F139" s="20"/>
      <c r="G139" s="20"/>
    </row>
    <row r="140" spans="1:8" ht="17.100000000000001" customHeight="1" x14ac:dyDescent="0.2">
      <c r="A140" s="18"/>
      <c r="B140" s="288" t="s">
        <v>144</v>
      </c>
      <c r="C140" s="289"/>
      <c r="D140" s="12" t="s">
        <v>112</v>
      </c>
      <c r="E140" s="21"/>
      <c r="F140" s="20"/>
      <c r="G140" s="20"/>
    </row>
    <row r="141" spans="1:8" ht="24" customHeight="1" x14ac:dyDescent="0.2">
      <c r="A141" s="22"/>
      <c r="B141" s="23" t="s">
        <v>112</v>
      </c>
      <c r="C141" s="23" t="s">
        <v>145</v>
      </c>
      <c r="D141" s="23" t="s">
        <v>146</v>
      </c>
      <c r="E141" s="22"/>
      <c r="F141" s="22"/>
      <c r="G141" s="22"/>
    </row>
    <row r="142" spans="1:8" ht="18" customHeight="1" x14ac:dyDescent="0.2">
      <c r="A142" s="22"/>
      <c r="B142" s="23" t="s">
        <v>147</v>
      </c>
      <c r="C142" s="23" t="s">
        <v>148</v>
      </c>
      <c r="D142" s="23" t="s">
        <v>149</v>
      </c>
      <c r="E142" s="22"/>
      <c r="F142" s="22"/>
      <c r="G142" s="22"/>
    </row>
    <row r="143" spans="1:8" ht="17.100000000000001" customHeight="1" x14ac:dyDescent="0.2">
      <c r="A143" s="22"/>
      <c r="B143" s="4" t="s">
        <v>150</v>
      </c>
      <c r="C143" s="24">
        <v>15.5823</v>
      </c>
      <c r="D143" s="24">
        <v>15.7196</v>
      </c>
      <c r="E143" s="22"/>
      <c r="F143" s="19"/>
      <c r="G143" s="25"/>
    </row>
    <row r="144" spans="1:8" ht="17.100000000000001" customHeight="1" x14ac:dyDescent="0.2">
      <c r="A144" s="22"/>
      <c r="B144" s="4" t="s">
        <v>1114</v>
      </c>
      <c r="C144" s="24">
        <v>15.5823</v>
      </c>
      <c r="D144" s="24">
        <v>15.7196</v>
      </c>
      <c r="E144" s="22"/>
      <c r="F144" s="19"/>
      <c r="G144" s="25"/>
    </row>
    <row r="145" spans="1:15" ht="17.100000000000001" customHeight="1" x14ac:dyDescent="0.2">
      <c r="A145" s="22"/>
      <c r="B145" s="4" t="s">
        <v>151</v>
      </c>
      <c r="C145" s="24">
        <v>14.9871</v>
      </c>
      <c r="D145" s="24">
        <v>15.116899999999999</v>
      </c>
      <c r="E145" s="22"/>
      <c r="F145" s="19"/>
      <c r="G145" s="25"/>
    </row>
    <row r="146" spans="1:15" ht="17.100000000000001" customHeight="1" x14ac:dyDescent="0.2">
      <c r="A146" s="22"/>
      <c r="B146" s="4" t="s">
        <v>1115</v>
      </c>
      <c r="C146" s="24">
        <v>14.987</v>
      </c>
      <c r="D146" s="24">
        <v>15.116899999999999</v>
      </c>
      <c r="E146" s="22"/>
      <c r="F146" s="19"/>
      <c r="G146" s="25"/>
    </row>
    <row r="147" spans="1:15" ht="14.1" customHeight="1" x14ac:dyDescent="0.2">
      <c r="A147" s="22"/>
      <c r="B147" s="22"/>
      <c r="C147" s="22"/>
      <c r="D147" s="22"/>
      <c r="E147" s="22"/>
      <c r="F147" s="22"/>
      <c r="G147" s="22"/>
    </row>
    <row r="148" spans="1:15" ht="17.100000000000001" customHeight="1" x14ac:dyDescent="0.2">
      <c r="A148" s="22"/>
      <c r="B148" s="288" t="s">
        <v>1116</v>
      </c>
      <c r="C148" s="289"/>
      <c r="D148" s="2" t="s">
        <v>142</v>
      </c>
      <c r="E148" s="22"/>
      <c r="F148" s="22"/>
      <c r="G148" s="22"/>
    </row>
    <row r="149" spans="1:15" ht="14.1" customHeight="1" x14ac:dyDescent="0.2">
      <c r="A149" s="22"/>
      <c r="B149" s="19"/>
      <c r="C149" s="19"/>
      <c r="D149" s="22"/>
      <c r="E149" s="22"/>
      <c r="F149" s="22"/>
      <c r="G149" s="22"/>
    </row>
    <row r="150" spans="1:15" ht="29.1" customHeight="1" x14ac:dyDescent="0.2">
      <c r="A150" s="22"/>
      <c r="B150" s="288" t="s">
        <v>153</v>
      </c>
      <c r="C150" s="289"/>
      <c r="D150" s="2" t="s">
        <v>142</v>
      </c>
      <c r="E150" s="22"/>
      <c r="F150" s="22"/>
      <c r="G150" s="22"/>
    </row>
    <row r="151" spans="1:15" ht="29.1" customHeight="1" x14ac:dyDescent="0.2">
      <c r="A151" s="22"/>
      <c r="B151" s="288" t="s">
        <v>154</v>
      </c>
      <c r="C151" s="289"/>
      <c r="D151" s="2" t="s">
        <v>142</v>
      </c>
      <c r="E151" s="22"/>
      <c r="F151" s="22"/>
      <c r="G151" s="22"/>
    </row>
    <row r="152" spans="1:15" ht="17.100000000000001" customHeight="1" x14ac:dyDescent="0.2">
      <c r="A152" s="22"/>
      <c r="B152" s="288" t="s">
        <v>155</v>
      </c>
      <c r="C152" s="289"/>
      <c r="D152" s="26">
        <v>0.24842763669185483</v>
      </c>
      <c r="E152" s="22"/>
      <c r="F152" s="19"/>
      <c r="G152" s="25"/>
    </row>
    <row r="153" spans="1:15" ht="17.100000000000001" customHeight="1" x14ac:dyDescent="0.2">
      <c r="A153" s="22"/>
      <c r="B153" s="288" t="s">
        <v>156</v>
      </c>
      <c r="C153" s="289"/>
      <c r="D153" s="2" t="s">
        <v>142</v>
      </c>
      <c r="E153" s="22"/>
      <c r="F153" s="22"/>
      <c r="G153" s="22"/>
    </row>
    <row r="158" spans="1:15" x14ac:dyDescent="0.2">
      <c r="J158" s="66"/>
      <c r="K158" s="66"/>
      <c r="L158" s="66"/>
      <c r="M158" s="66"/>
      <c r="N158" s="66"/>
      <c r="O158" s="66"/>
    </row>
  </sheetData>
  <mergeCells count="14">
    <mergeCell ref="A1:H1"/>
    <mergeCell ref="A2:H2"/>
    <mergeCell ref="A3:H3"/>
    <mergeCell ref="B137:C137"/>
    <mergeCell ref="J2:N2"/>
    <mergeCell ref="B135:F135"/>
    <mergeCell ref="B152:C152"/>
    <mergeCell ref="B153:C153"/>
    <mergeCell ref="B138:C138"/>
    <mergeCell ref="B139:C139"/>
    <mergeCell ref="B140:C140"/>
    <mergeCell ref="B148:C148"/>
    <mergeCell ref="B150:C150"/>
    <mergeCell ref="B151:C15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501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193</v>
      </c>
      <c r="C7" s="4" t="s">
        <v>194</v>
      </c>
      <c r="D7" s="4" t="s">
        <v>947</v>
      </c>
      <c r="E7" s="5">
        <v>1220030</v>
      </c>
      <c r="F7" s="6">
        <v>6757.1361550000001</v>
      </c>
      <c r="G7" s="7">
        <v>3.3786280000000002E-2</v>
      </c>
      <c r="H7" s="6"/>
    </row>
    <row r="8" spans="1:14" x14ac:dyDescent="0.2">
      <c r="A8" s="3">
        <v>2</v>
      </c>
      <c r="B8" s="4" t="s">
        <v>203</v>
      </c>
      <c r="C8" s="4" t="s">
        <v>204</v>
      </c>
      <c r="D8" s="4" t="s">
        <v>82</v>
      </c>
      <c r="E8" s="5">
        <v>1046412</v>
      </c>
      <c r="F8" s="6">
        <v>6196.3286580000004</v>
      </c>
      <c r="G8" s="7">
        <v>3.0982193000000002E-2</v>
      </c>
      <c r="H8" s="6"/>
    </row>
    <row r="9" spans="1:14" x14ac:dyDescent="0.2">
      <c r="A9" s="3">
        <v>3</v>
      </c>
      <c r="B9" s="4" t="s">
        <v>178</v>
      </c>
      <c r="C9" s="4" t="s">
        <v>179</v>
      </c>
      <c r="D9" s="4" t="s">
        <v>934</v>
      </c>
      <c r="E9" s="5">
        <v>382347</v>
      </c>
      <c r="F9" s="6">
        <v>5468.3267939999996</v>
      </c>
      <c r="G9" s="7">
        <v>2.7342119000000002E-2</v>
      </c>
      <c r="H9" s="6"/>
    </row>
    <row r="10" spans="1:14" x14ac:dyDescent="0.2">
      <c r="A10" s="3">
        <v>4</v>
      </c>
      <c r="B10" s="4" t="s">
        <v>36</v>
      </c>
      <c r="C10" s="4" t="s">
        <v>37</v>
      </c>
      <c r="D10" s="4" t="s">
        <v>26</v>
      </c>
      <c r="E10" s="5">
        <v>372310</v>
      </c>
      <c r="F10" s="6">
        <v>4969.9661900000001</v>
      </c>
      <c r="G10" s="7">
        <v>2.4850272E-2</v>
      </c>
      <c r="H10" s="6"/>
    </row>
    <row r="11" spans="1:14" x14ac:dyDescent="0.2">
      <c r="A11" s="3">
        <v>5</v>
      </c>
      <c r="B11" s="4" t="s">
        <v>199</v>
      </c>
      <c r="C11" s="4" t="s">
        <v>200</v>
      </c>
      <c r="D11" s="4" t="s">
        <v>940</v>
      </c>
      <c r="E11" s="5">
        <v>258222</v>
      </c>
      <c r="F11" s="6">
        <v>4817.5187429999996</v>
      </c>
      <c r="G11" s="7">
        <v>2.4088021000000001E-2</v>
      </c>
      <c r="H11" s="6"/>
    </row>
    <row r="12" spans="1:14" ht="25.5" x14ac:dyDescent="0.2">
      <c r="A12" s="3">
        <v>6</v>
      </c>
      <c r="B12" s="4" t="s">
        <v>502</v>
      </c>
      <c r="C12" s="4" t="s">
        <v>503</v>
      </c>
      <c r="D12" s="4" t="s">
        <v>945</v>
      </c>
      <c r="E12" s="5">
        <v>504084</v>
      </c>
      <c r="F12" s="6">
        <v>4570.2775860000002</v>
      </c>
      <c r="G12" s="7">
        <v>2.2851792999999999E-2</v>
      </c>
      <c r="H12" s="6"/>
    </row>
    <row r="13" spans="1:14" x14ac:dyDescent="0.2">
      <c r="A13" s="3">
        <v>7</v>
      </c>
      <c r="B13" s="4" t="s">
        <v>504</v>
      </c>
      <c r="C13" s="4" t="s">
        <v>505</v>
      </c>
      <c r="D13" s="4" t="s">
        <v>934</v>
      </c>
      <c r="E13" s="5">
        <v>170000</v>
      </c>
      <c r="F13" s="6">
        <v>4213.28</v>
      </c>
      <c r="G13" s="7">
        <v>2.1066774E-2</v>
      </c>
      <c r="H13" s="6"/>
    </row>
    <row r="14" spans="1:14" ht="51" x14ac:dyDescent="0.2">
      <c r="A14" s="3">
        <v>8</v>
      </c>
      <c r="B14" s="4" t="s">
        <v>78</v>
      </c>
      <c r="C14" s="4" t="s">
        <v>79</v>
      </c>
      <c r="D14" s="4" t="s">
        <v>939</v>
      </c>
      <c r="E14" s="5">
        <v>3287000</v>
      </c>
      <c r="F14" s="6">
        <v>4177.777</v>
      </c>
      <c r="G14" s="7">
        <v>2.0889255999999998E-2</v>
      </c>
      <c r="H14" s="6"/>
    </row>
    <row r="15" spans="1:14" ht="25.5" x14ac:dyDescent="0.2">
      <c r="A15" s="3">
        <v>9</v>
      </c>
      <c r="B15" s="4" t="s">
        <v>506</v>
      </c>
      <c r="C15" s="4" t="s">
        <v>507</v>
      </c>
      <c r="D15" s="4" t="s">
        <v>946</v>
      </c>
      <c r="E15" s="5">
        <v>265529</v>
      </c>
      <c r="F15" s="6">
        <v>4111.8493294999998</v>
      </c>
      <c r="G15" s="7">
        <v>2.0559610999999998E-2</v>
      </c>
      <c r="H15" s="6"/>
      <c r="J15" s="192" t="s">
        <v>1150</v>
      </c>
    </row>
    <row r="16" spans="1:14" x14ac:dyDescent="0.2">
      <c r="A16" s="3">
        <v>10</v>
      </c>
      <c r="B16" s="4" t="s">
        <v>16</v>
      </c>
      <c r="C16" s="4" t="s">
        <v>17</v>
      </c>
      <c r="D16" s="4" t="s">
        <v>18</v>
      </c>
      <c r="E16" s="5">
        <v>534956</v>
      </c>
      <c r="F16" s="6">
        <v>3976.3279480000001</v>
      </c>
      <c r="G16" s="7">
        <v>1.9881992000000001E-2</v>
      </c>
      <c r="H16" s="6"/>
    </row>
    <row r="17" spans="1:10" x14ac:dyDescent="0.2">
      <c r="A17" s="3">
        <v>11</v>
      </c>
      <c r="B17" s="4" t="s">
        <v>164</v>
      </c>
      <c r="C17" s="4" t="s">
        <v>165</v>
      </c>
      <c r="D17" s="4" t="s">
        <v>944</v>
      </c>
      <c r="E17" s="5">
        <v>824354</v>
      </c>
      <c r="F17" s="6">
        <v>3929.2833409999998</v>
      </c>
      <c r="G17" s="7">
        <v>1.9646765E-2</v>
      </c>
      <c r="H17" s="6"/>
    </row>
    <row r="18" spans="1:10" x14ac:dyDescent="0.2">
      <c r="A18" s="3">
        <v>12</v>
      </c>
      <c r="B18" s="4" t="s">
        <v>508</v>
      </c>
      <c r="C18" s="4" t="s">
        <v>509</v>
      </c>
      <c r="D18" s="4" t="s">
        <v>947</v>
      </c>
      <c r="E18" s="5">
        <v>927825</v>
      </c>
      <c r="F18" s="6">
        <v>3840.2676750000001</v>
      </c>
      <c r="G18" s="7">
        <v>1.9201678999999999E-2</v>
      </c>
      <c r="H18" s="6"/>
    </row>
    <row r="19" spans="1:10" x14ac:dyDescent="0.2">
      <c r="A19" s="3">
        <v>13</v>
      </c>
      <c r="B19" s="4" t="s">
        <v>459</v>
      </c>
      <c r="C19" s="4" t="s">
        <v>460</v>
      </c>
      <c r="D19" s="4" t="s">
        <v>26</v>
      </c>
      <c r="E19" s="5">
        <v>621794</v>
      </c>
      <c r="F19" s="6">
        <v>3780.818417</v>
      </c>
      <c r="G19" s="7">
        <v>1.8904427000000001E-2</v>
      </c>
      <c r="H19" s="6"/>
    </row>
    <row r="20" spans="1:10" x14ac:dyDescent="0.2">
      <c r="A20" s="3">
        <v>14</v>
      </c>
      <c r="B20" s="4" t="s">
        <v>69</v>
      </c>
      <c r="C20" s="4" t="s">
        <v>70</v>
      </c>
      <c r="D20" s="4" t="s">
        <v>71</v>
      </c>
      <c r="E20" s="5">
        <v>600000</v>
      </c>
      <c r="F20" s="6">
        <v>3632.1</v>
      </c>
      <c r="G20" s="7">
        <v>1.8160822E-2</v>
      </c>
      <c r="H20" s="6"/>
    </row>
    <row r="21" spans="1:10" x14ac:dyDescent="0.2">
      <c r="A21" s="3">
        <v>15</v>
      </c>
      <c r="B21" s="4" t="s">
        <v>351</v>
      </c>
      <c r="C21" s="4" t="s">
        <v>352</v>
      </c>
      <c r="D21" s="4" t="s">
        <v>71</v>
      </c>
      <c r="E21" s="5">
        <v>81993</v>
      </c>
      <c r="F21" s="6">
        <v>3604.6172624999999</v>
      </c>
      <c r="G21" s="7">
        <v>1.8023405999999999E-2</v>
      </c>
      <c r="H21" s="6"/>
    </row>
    <row r="22" spans="1:10" x14ac:dyDescent="0.2">
      <c r="A22" s="3">
        <v>16</v>
      </c>
      <c r="B22" s="4" t="s">
        <v>191</v>
      </c>
      <c r="C22" s="4" t="s">
        <v>192</v>
      </c>
      <c r="D22" s="4" t="s">
        <v>26</v>
      </c>
      <c r="E22" s="5">
        <v>295191</v>
      </c>
      <c r="F22" s="6">
        <v>3563.545752</v>
      </c>
      <c r="G22" s="7">
        <v>1.7818045000000001E-2</v>
      </c>
      <c r="H22" s="6"/>
    </row>
    <row r="23" spans="1:10" x14ac:dyDescent="0.2">
      <c r="A23" s="3">
        <v>17</v>
      </c>
      <c r="B23" s="4" t="s">
        <v>510</v>
      </c>
      <c r="C23" s="4" t="s">
        <v>511</v>
      </c>
      <c r="D23" s="4" t="s">
        <v>956</v>
      </c>
      <c r="E23" s="5">
        <v>393000</v>
      </c>
      <c r="F23" s="6">
        <v>3536.4105</v>
      </c>
      <c r="G23" s="7">
        <v>1.7682366000000001E-2</v>
      </c>
      <c r="H23" s="6"/>
    </row>
    <row r="24" spans="1:10" x14ac:dyDescent="0.2">
      <c r="A24" s="3">
        <v>18</v>
      </c>
      <c r="B24" s="4" t="s">
        <v>48</v>
      </c>
      <c r="C24" s="4" t="s">
        <v>49</v>
      </c>
      <c r="D24" s="4" t="s">
        <v>18</v>
      </c>
      <c r="E24" s="5">
        <v>686000</v>
      </c>
      <c r="F24" s="6">
        <v>3404.6179999999999</v>
      </c>
      <c r="G24" s="7">
        <v>1.7023391999999998E-2</v>
      </c>
      <c r="H24" s="6"/>
    </row>
    <row r="25" spans="1:10" x14ac:dyDescent="0.2">
      <c r="A25" s="3">
        <v>19</v>
      </c>
      <c r="B25" s="4" t="s">
        <v>265</v>
      </c>
      <c r="C25" s="4" t="s">
        <v>266</v>
      </c>
      <c r="D25" s="4" t="s">
        <v>942</v>
      </c>
      <c r="E25" s="5">
        <v>372000</v>
      </c>
      <c r="F25" s="6">
        <v>3292.7579999999998</v>
      </c>
      <c r="G25" s="7">
        <v>1.6464082000000001E-2</v>
      </c>
      <c r="H25" s="6"/>
    </row>
    <row r="26" spans="1:10" x14ac:dyDescent="0.2">
      <c r="A26" s="3">
        <v>20</v>
      </c>
      <c r="B26" s="4" t="s">
        <v>416</v>
      </c>
      <c r="C26" s="4" t="s">
        <v>417</v>
      </c>
      <c r="D26" s="4" t="s">
        <v>18</v>
      </c>
      <c r="E26" s="5">
        <v>1418000</v>
      </c>
      <c r="F26" s="6">
        <v>3256.4369999999999</v>
      </c>
      <c r="G26" s="7">
        <v>1.6282474000000002E-2</v>
      </c>
      <c r="H26" s="6"/>
    </row>
    <row r="27" spans="1:10" x14ac:dyDescent="0.2">
      <c r="A27" s="3">
        <v>21</v>
      </c>
      <c r="B27" s="4" t="s">
        <v>269</v>
      </c>
      <c r="C27" s="4" t="s">
        <v>270</v>
      </c>
      <c r="D27" s="4" t="s">
        <v>26</v>
      </c>
      <c r="E27" s="5">
        <v>163564</v>
      </c>
      <c r="F27" s="6">
        <v>3245.355106</v>
      </c>
      <c r="G27" s="7">
        <v>1.6227063E-2</v>
      </c>
      <c r="H27" s="6"/>
    </row>
    <row r="28" spans="1:10" x14ac:dyDescent="0.2">
      <c r="A28" s="3">
        <v>22</v>
      </c>
      <c r="B28" s="4" t="s">
        <v>74</v>
      </c>
      <c r="C28" s="4" t="s">
        <v>75</v>
      </c>
      <c r="D28" s="4" t="s">
        <v>71</v>
      </c>
      <c r="E28" s="5">
        <v>84991</v>
      </c>
      <c r="F28" s="6">
        <v>3152.9111269999999</v>
      </c>
      <c r="G28" s="7">
        <v>1.5764835000000001E-2</v>
      </c>
      <c r="H28" s="6"/>
    </row>
    <row r="29" spans="1:10" ht="15" x14ac:dyDescent="0.2">
      <c r="A29" s="3">
        <v>23</v>
      </c>
      <c r="B29" s="4" t="s">
        <v>512</v>
      </c>
      <c r="C29" s="4" t="s">
        <v>513</v>
      </c>
      <c r="D29" s="4" t="s">
        <v>934</v>
      </c>
      <c r="E29" s="5">
        <v>1452540</v>
      </c>
      <c r="F29" s="6">
        <v>3116.4245700000001</v>
      </c>
      <c r="G29" s="7">
        <v>1.5582399E-2</v>
      </c>
      <c r="H29" s="6"/>
      <c r="J29" s="192" t="s">
        <v>1151</v>
      </c>
    </row>
    <row r="30" spans="1:10" x14ac:dyDescent="0.2">
      <c r="A30" s="3">
        <v>24</v>
      </c>
      <c r="B30" s="4" t="s">
        <v>92</v>
      </c>
      <c r="C30" s="4" t="s">
        <v>93</v>
      </c>
      <c r="D30" s="4" t="s">
        <v>923</v>
      </c>
      <c r="E30" s="5">
        <v>678000</v>
      </c>
      <c r="F30" s="6">
        <v>3090.3240000000001</v>
      </c>
      <c r="G30" s="7">
        <v>1.5451894000000001E-2</v>
      </c>
      <c r="H30" s="6"/>
    </row>
    <row r="31" spans="1:10" x14ac:dyDescent="0.2">
      <c r="A31" s="3">
        <v>25</v>
      </c>
      <c r="B31" s="4" t="s">
        <v>514</v>
      </c>
      <c r="C31" s="4" t="s">
        <v>515</v>
      </c>
      <c r="D31" s="4" t="s">
        <v>934</v>
      </c>
      <c r="E31" s="5">
        <v>380000</v>
      </c>
      <c r="F31" s="6">
        <v>3009.22</v>
      </c>
      <c r="G31" s="7">
        <v>1.5046367E-2</v>
      </c>
      <c r="H31" s="6"/>
    </row>
    <row r="32" spans="1:10" ht="51" x14ac:dyDescent="0.2">
      <c r="A32" s="3">
        <v>26</v>
      </c>
      <c r="B32" s="4" t="s">
        <v>83</v>
      </c>
      <c r="C32" s="4" t="s">
        <v>84</v>
      </c>
      <c r="D32" s="4" t="s">
        <v>939</v>
      </c>
      <c r="E32" s="5">
        <v>179948</v>
      </c>
      <c r="F32" s="6">
        <v>2986.8668779999998</v>
      </c>
      <c r="G32" s="7">
        <v>1.4934599E-2</v>
      </c>
      <c r="H32" s="6"/>
    </row>
    <row r="33" spans="1:8" x14ac:dyDescent="0.2">
      <c r="A33" s="3">
        <v>27</v>
      </c>
      <c r="B33" s="4" t="s">
        <v>160</v>
      </c>
      <c r="C33" s="4" t="s">
        <v>161</v>
      </c>
      <c r="D33" s="4" t="s">
        <v>942</v>
      </c>
      <c r="E33" s="5">
        <v>243425</v>
      </c>
      <c r="F33" s="6">
        <v>2974.0449374999998</v>
      </c>
      <c r="G33" s="7">
        <v>1.4870489000000001E-2</v>
      </c>
      <c r="H33" s="6"/>
    </row>
    <row r="34" spans="1:8" x14ac:dyDescent="0.2">
      <c r="A34" s="3">
        <v>28</v>
      </c>
      <c r="B34" s="4" t="s">
        <v>229</v>
      </c>
      <c r="C34" s="4" t="s">
        <v>230</v>
      </c>
      <c r="D34" s="4" t="s">
        <v>26</v>
      </c>
      <c r="E34" s="5">
        <v>327275</v>
      </c>
      <c r="F34" s="6">
        <v>2918.6384499999999</v>
      </c>
      <c r="G34" s="7">
        <v>1.4593451E-2</v>
      </c>
      <c r="H34" s="6"/>
    </row>
    <row r="35" spans="1:8" ht="25.5" x14ac:dyDescent="0.2">
      <c r="A35" s="3">
        <v>29</v>
      </c>
      <c r="B35" s="4" t="s">
        <v>217</v>
      </c>
      <c r="C35" s="4" t="s">
        <v>218</v>
      </c>
      <c r="D35" s="4" t="s">
        <v>946</v>
      </c>
      <c r="E35" s="5">
        <v>73000</v>
      </c>
      <c r="F35" s="6">
        <v>2870.2139999999999</v>
      </c>
      <c r="G35" s="7">
        <v>1.4351325E-2</v>
      </c>
      <c r="H35" s="6"/>
    </row>
    <row r="36" spans="1:8" x14ac:dyDescent="0.2">
      <c r="A36" s="3">
        <v>30</v>
      </c>
      <c r="B36" s="4" t="s">
        <v>516</v>
      </c>
      <c r="C36" s="4" t="s">
        <v>517</v>
      </c>
      <c r="D36" s="4" t="s">
        <v>947</v>
      </c>
      <c r="E36" s="5">
        <v>191188</v>
      </c>
      <c r="F36" s="6">
        <v>2845.068628</v>
      </c>
      <c r="G36" s="7">
        <v>1.4225596E-2</v>
      </c>
      <c r="H36" s="6"/>
    </row>
    <row r="37" spans="1:8" x14ac:dyDescent="0.2">
      <c r="A37" s="3">
        <v>31</v>
      </c>
      <c r="B37" s="4" t="s">
        <v>457</v>
      </c>
      <c r="C37" s="4" t="s">
        <v>458</v>
      </c>
      <c r="D37" s="4" t="s">
        <v>26</v>
      </c>
      <c r="E37" s="5">
        <v>365000</v>
      </c>
      <c r="F37" s="6">
        <v>2799.0025000000001</v>
      </c>
      <c r="G37" s="7">
        <v>1.3995261E-2</v>
      </c>
      <c r="H37" s="6"/>
    </row>
    <row r="38" spans="1:8" ht="25.5" x14ac:dyDescent="0.2">
      <c r="A38" s="3">
        <v>32</v>
      </c>
      <c r="B38" s="4" t="s">
        <v>221</v>
      </c>
      <c r="C38" s="4" t="s">
        <v>222</v>
      </c>
      <c r="D38" s="4" t="s">
        <v>945</v>
      </c>
      <c r="E38" s="5">
        <v>157039</v>
      </c>
      <c r="F38" s="6">
        <v>2699.3433709999999</v>
      </c>
      <c r="G38" s="7">
        <v>1.3496955999999999E-2</v>
      </c>
      <c r="H38" s="6"/>
    </row>
    <row r="39" spans="1:8" ht="25.5" x14ac:dyDescent="0.2">
      <c r="A39" s="3">
        <v>33</v>
      </c>
      <c r="B39" s="4" t="s">
        <v>490</v>
      </c>
      <c r="C39" s="4" t="s">
        <v>491</v>
      </c>
      <c r="D39" s="4" t="s">
        <v>935</v>
      </c>
      <c r="E39" s="5">
        <v>231114</v>
      </c>
      <c r="F39" s="6">
        <v>2514.6358770000002</v>
      </c>
      <c r="G39" s="7">
        <v>1.2573401999999999E-2</v>
      </c>
      <c r="H39" s="6"/>
    </row>
    <row r="40" spans="1:8" x14ac:dyDescent="0.2">
      <c r="A40" s="3">
        <v>34</v>
      </c>
      <c r="B40" s="4" t="s">
        <v>518</v>
      </c>
      <c r="C40" s="4" t="s">
        <v>993</v>
      </c>
      <c r="D40" s="4" t="s">
        <v>959</v>
      </c>
      <c r="E40" s="5">
        <v>1138715</v>
      </c>
      <c r="F40" s="6">
        <v>2473.8583374999998</v>
      </c>
      <c r="G40" s="7">
        <v>1.2369511E-2</v>
      </c>
      <c r="H40" s="6"/>
    </row>
    <row r="41" spans="1:8" x14ac:dyDescent="0.2">
      <c r="A41" s="3">
        <v>35</v>
      </c>
      <c r="B41" s="4" t="s">
        <v>519</v>
      </c>
      <c r="C41" s="4" t="s">
        <v>520</v>
      </c>
      <c r="D41" s="4" t="s">
        <v>71</v>
      </c>
      <c r="E41" s="5">
        <v>683975</v>
      </c>
      <c r="F41" s="6">
        <v>2254.0396125000002</v>
      </c>
      <c r="G41" s="7">
        <v>1.1270397999999999E-2</v>
      </c>
      <c r="H41" s="6"/>
    </row>
    <row r="42" spans="1:8" ht="25.5" x14ac:dyDescent="0.2">
      <c r="A42" s="3">
        <v>36</v>
      </c>
      <c r="B42" s="4" t="s">
        <v>382</v>
      </c>
      <c r="C42" s="4" t="s">
        <v>383</v>
      </c>
      <c r="D42" s="4" t="s">
        <v>82</v>
      </c>
      <c r="E42" s="5">
        <v>100000</v>
      </c>
      <c r="F42" s="6">
        <v>2229.6999999999998</v>
      </c>
      <c r="G42" s="7">
        <v>1.1148698E-2</v>
      </c>
      <c r="H42" s="6"/>
    </row>
    <row r="43" spans="1:8" x14ac:dyDescent="0.2">
      <c r="A43" s="3">
        <v>37</v>
      </c>
      <c r="B43" s="4" t="s">
        <v>521</v>
      </c>
      <c r="C43" s="4" t="s">
        <v>522</v>
      </c>
      <c r="D43" s="4" t="s">
        <v>934</v>
      </c>
      <c r="E43" s="5">
        <v>160942</v>
      </c>
      <c r="F43" s="6">
        <v>2220.1948900000002</v>
      </c>
      <c r="G43" s="7">
        <v>1.1101171E-2</v>
      </c>
      <c r="H43" s="6"/>
    </row>
    <row r="44" spans="1:8" x14ac:dyDescent="0.2">
      <c r="A44" s="3">
        <v>38</v>
      </c>
      <c r="B44" s="4" t="s">
        <v>337</v>
      </c>
      <c r="C44" s="4" t="s">
        <v>338</v>
      </c>
      <c r="D44" s="4" t="s">
        <v>944</v>
      </c>
      <c r="E44" s="5">
        <v>400000</v>
      </c>
      <c r="F44" s="6">
        <v>2184</v>
      </c>
      <c r="G44" s="7">
        <v>1.0920193999999999E-2</v>
      </c>
      <c r="H44" s="6"/>
    </row>
    <row r="45" spans="1:8" x14ac:dyDescent="0.2">
      <c r="A45" s="3">
        <v>39</v>
      </c>
      <c r="B45" s="4" t="s">
        <v>279</v>
      </c>
      <c r="C45" s="4" t="s">
        <v>280</v>
      </c>
      <c r="D45" s="4" t="s">
        <v>18</v>
      </c>
      <c r="E45" s="5">
        <v>1016082</v>
      </c>
      <c r="F45" s="6">
        <v>2176.4476439999999</v>
      </c>
      <c r="G45" s="7">
        <v>1.0882431E-2</v>
      </c>
      <c r="H45" s="6"/>
    </row>
    <row r="46" spans="1:8" ht="25.5" x14ac:dyDescent="0.2">
      <c r="A46" s="3">
        <v>40</v>
      </c>
      <c r="B46" s="4" t="s">
        <v>523</v>
      </c>
      <c r="C46" s="4" t="s">
        <v>524</v>
      </c>
      <c r="D46" s="4" t="s">
        <v>945</v>
      </c>
      <c r="E46" s="5">
        <v>350331</v>
      </c>
      <c r="F46" s="6">
        <v>2114.4227504999999</v>
      </c>
      <c r="G46" s="7">
        <v>1.0572300999999999E-2</v>
      </c>
      <c r="H46" s="6"/>
    </row>
    <row r="47" spans="1:8" x14ac:dyDescent="0.2">
      <c r="A47" s="3">
        <v>41</v>
      </c>
      <c r="B47" s="4" t="s">
        <v>525</v>
      </c>
      <c r="C47" s="4" t="s">
        <v>526</v>
      </c>
      <c r="D47" s="4" t="s">
        <v>951</v>
      </c>
      <c r="E47" s="5">
        <v>121785</v>
      </c>
      <c r="F47" s="6">
        <v>2081.2447575000001</v>
      </c>
      <c r="G47" s="7">
        <v>1.0406408000000001E-2</v>
      </c>
      <c r="H47" s="6"/>
    </row>
    <row r="48" spans="1:8" x14ac:dyDescent="0.2">
      <c r="A48" s="3">
        <v>42</v>
      </c>
      <c r="B48" s="4" t="s">
        <v>412</v>
      </c>
      <c r="C48" s="4" t="s">
        <v>413</v>
      </c>
      <c r="D48" s="4" t="s">
        <v>940</v>
      </c>
      <c r="E48" s="5">
        <v>327065</v>
      </c>
      <c r="F48" s="6">
        <v>2078.6616075000002</v>
      </c>
      <c r="G48" s="7">
        <v>1.0393492000000001E-2</v>
      </c>
      <c r="H48" s="6"/>
    </row>
    <row r="49" spans="1:8" x14ac:dyDescent="0.2">
      <c r="A49" s="3">
        <v>43</v>
      </c>
      <c r="B49" s="4" t="s">
        <v>418</v>
      </c>
      <c r="C49" s="4" t="s">
        <v>419</v>
      </c>
      <c r="D49" s="4" t="s">
        <v>82</v>
      </c>
      <c r="E49" s="5">
        <v>30749</v>
      </c>
      <c r="F49" s="6">
        <v>2051.511782</v>
      </c>
      <c r="G49" s="7">
        <v>1.0257741000000001E-2</v>
      </c>
      <c r="H49" s="6"/>
    </row>
    <row r="50" spans="1:8" x14ac:dyDescent="0.2">
      <c r="A50" s="3">
        <v>44</v>
      </c>
      <c r="B50" s="4" t="s">
        <v>527</v>
      </c>
      <c r="C50" s="4" t="s">
        <v>528</v>
      </c>
      <c r="D50" s="4" t="s">
        <v>934</v>
      </c>
      <c r="E50" s="5">
        <v>50000</v>
      </c>
      <c r="F50" s="6">
        <v>2042.45</v>
      </c>
      <c r="G50" s="7">
        <v>1.0212430999999999E-2</v>
      </c>
      <c r="H50" s="6"/>
    </row>
    <row r="51" spans="1:8" x14ac:dyDescent="0.2">
      <c r="A51" s="3">
        <v>45</v>
      </c>
      <c r="B51" s="4" t="s">
        <v>331</v>
      </c>
      <c r="C51" s="4" t="s">
        <v>332</v>
      </c>
      <c r="D51" s="4" t="s">
        <v>82</v>
      </c>
      <c r="E51" s="5">
        <v>312802</v>
      </c>
      <c r="F51" s="6">
        <v>2030.397782</v>
      </c>
      <c r="G51" s="7">
        <v>1.0152169000000001E-2</v>
      </c>
      <c r="H51" s="6"/>
    </row>
    <row r="52" spans="1:8" x14ac:dyDescent="0.2">
      <c r="A52" s="3">
        <v>46</v>
      </c>
      <c r="B52" s="4" t="s">
        <v>349</v>
      </c>
      <c r="C52" s="4" t="s">
        <v>350</v>
      </c>
      <c r="D52" s="4" t="s">
        <v>18</v>
      </c>
      <c r="E52" s="5">
        <v>144837</v>
      </c>
      <c r="F52" s="6">
        <v>2005.413102</v>
      </c>
      <c r="G52" s="7">
        <v>1.0027243E-2</v>
      </c>
      <c r="H52" s="6"/>
    </row>
    <row r="53" spans="1:8" ht="25.5" x14ac:dyDescent="0.2">
      <c r="A53" s="3">
        <v>47</v>
      </c>
      <c r="B53" s="4" t="s">
        <v>529</v>
      </c>
      <c r="C53" s="4" t="s">
        <v>530</v>
      </c>
      <c r="D53" s="4" t="s">
        <v>950</v>
      </c>
      <c r="E53" s="5">
        <v>450000</v>
      </c>
      <c r="F53" s="6">
        <v>1993.95</v>
      </c>
      <c r="G53" s="7">
        <v>9.969927E-3</v>
      </c>
      <c r="H53" s="6"/>
    </row>
    <row r="54" spans="1:8" x14ac:dyDescent="0.2">
      <c r="A54" s="3">
        <v>48</v>
      </c>
      <c r="B54" s="4" t="s">
        <v>195</v>
      </c>
      <c r="C54" s="4" t="s">
        <v>196</v>
      </c>
      <c r="D54" s="4" t="s">
        <v>71</v>
      </c>
      <c r="E54" s="5">
        <v>312601</v>
      </c>
      <c r="F54" s="6">
        <v>1985.4852515</v>
      </c>
      <c r="G54" s="7">
        <v>9.9276020000000006E-3</v>
      </c>
      <c r="H54" s="6"/>
    </row>
    <row r="55" spans="1:8" ht="25.5" x14ac:dyDescent="0.2">
      <c r="A55" s="3">
        <v>49</v>
      </c>
      <c r="B55" s="4" t="s">
        <v>325</v>
      </c>
      <c r="C55" s="4" t="s">
        <v>326</v>
      </c>
      <c r="D55" s="4" t="s">
        <v>945</v>
      </c>
      <c r="E55" s="5">
        <v>61937</v>
      </c>
      <c r="F55" s="6">
        <v>1983.1298345</v>
      </c>
      <c r="G55" s="7">
        <v>9.9158249999999996E-3</v>
      </c>
      <c r="H55" s="6"/>
    </row>
    <row r="56" spans="1:8" ht="25.5" x14ac:dyDescent="0.2">
      <c r="A56" s="3">
        <v>50</v>
      </c>
      <c r="B56" s="4" t="s">
        <v>42</v>
      </c>
      <c r="C56" s="4" t="s">
        <v>43</v>
      </c>
      <c r="D56" s="4" t="s">
        <v>935</v>
      </c>
      <c r="E56" s="5">
        <v>74011</v>
      </c>
      <c r="F56" s="6">
        <v>1959.1451810000001</v>
      </c>
      <c r="G56" s="7">
        <v>9.7958999999999997E-3</v>
      </c>
      <c r="H56" s="6"/>
    </row>
    <row r="57" spans="1:8" x14ac:dyDescent="0.2">
      <c r="A57" s="3">
        <v>51</v>
      </c>
      <c r="B57" s="4" t="s">
        <v>451</v>
      </c>
      <c r="C57" s="4" t="s">
        <v>452</v>
      </c>
      <c r="D57" s="4" t="s">
        <v>71</v>
      </c>
      <c r="E57" s="5">
        <v>203161</v>
      </c>
      <c r="F57" s="6">
        <v>1913.2687175000001</v>
      </c>
      <c r="G57" s="7">
        <v>9.5665130000000004E-3</v>
      </c>
      <c r="H57" s="6"/>
    </row>
    <row r="58" spans="1:8" x14ac:dyDescent="0.2">
      <c r="A58" s="3">
        <v>52</v>
      </c>
      <c r="B58" s="4" t="s">
        <v>531</v>
      </c>
      <c r="C58" s="4" t="s">
        <v>532</v>
      </c>
      <c r="D58" s="4" t="s">
        <v>959</v>
      </c>
      <c r="E58" s="5">
        <v>158521</v>
      </c>
      <c r="F58" s="6">
        <v>1902.0934789999999</v>
      </c>
      <c r="G58" s="7">
        <v>9.5106359999999994E-3</v>
      </c>
      <c r="H58" s="6"/>
    </row>
    <row r="59" spans="1:8" x14ac:dyDescent="0.2">
      <c r="A59" s="3">
        <v>53</v>
      </c>
      <c r="B59" s="4" t="s">
        <v>533</v>
      </c>
      <c r="C59" s="4" t="s">
        <v>534</v>
      </c>
      <c r="D59" s="4" t="s">
        <v>940</v>
      </c>
      <c r="E59" s="5">
        <v>553006</v>
      </c>
      <c r="F59" s="6">
        <v>1852.2935970000001</v>
      </c>
      <c r="G59" s="7">
        <v>9.2616320000000005E-3</v>
      </c>
      <c r="H59" s="6"/>
    </row>
    <row r="60" spans="1:8" x14ac:dyDescent="0.2">
      <c r="A60" s="3">
        <v>54</v>
      </c>
      <c r="B60" s="4" t="s">
        <v>361</v>
      </c>
      <c r="C60" s="4" t="s">
        <v>362</v>
      </c>
      <c r="D60" s="4" t="s">
        <v>71</v>
      </c>
      <c r="E60" s="5">
        <v>314377</v>
      </c>
      <c r="F60" s="6">
        <v>1792.263277</v>
      </c>
      <c r="G60" s="7">
        <v>8.961475E-3</v>
      </c>
      <c r="H60" s="6"/>
    </row>
    <row r="61" spans="1:8" ht="25.5" x14ac:dyDescent="0.2">
      <c r="A61" s="3">
        <v>55</v>
      </c>
      <c r="B61" s="4" t="s">
        <v>188</v>
      </c>
      <c r="C61" s="4" t="s">
        <v>189</v>
      </c>
      <c r="D61" s="4" t="s">
        <v>945</v>
      </c>
      <c r="E61" s="5">
        <v>40215</v>
      </c>
      <c r="F61" s="6">
        <v>1784.2792274999999</v>
      </c>
      <c r="G61" s="7">
        <v>8.9215539999999999E-3</v>
      </c>
      <c r="H61" s="6"/>
    </row>
    <row r="62" spans="1:8" x14ac:dyDescent="0.2">
      <c r="A62" s="3">
        <v>56</v>
      </c>
      <c r="B62" s="4" t="s">
        <v>369</v>
      </c>
      <c r="C62" s="4" t="s">
        <v>370</v>
      </c>
      <c r="D62" s="4" t="s">
        <v>71</v>
      </c>
      <c r="E62" s="5">
        <v>167736</v>
      </c>
      <c r="F62" s="6">
        <v>1733.5515600000001</v>
      </c>
      <c r="G62" s="7">
        <v>8.6679119999999998E-3</v>
      </c>
      <c r="H62" s="6"/>
    </row>
    <row r="63" spans="1:8" x14ac:dyDescent="0.2">
      <c r="A63" s="3">
        <v>57</v>
      </c>
      <c r="B63" s="4" t="s">
        <v>294</v>
      </c>
      <c r="C63" s="4" t="s">
        <v>295</v>
      </c>
      <c r="D63" s="4" t="s">
        <v>18</v>
      </c>
      <c r="E63" s="5">
        <v>229803</v>
      </c>
      <c r="F63" s="6">
        <v>1674.344658</v>
      </c>
      <c r="G63" s="7">
        <v>8.3718720000000007E-3</v>
      </c>
      <c r="H63" s="6"/>
    </row>
    <row r="64" spans="1:8" x14ac:dyDescent="0.2">
      <c r="A64" s="3">
        <v>58</v>
      </c>
      <c r="B64" s="4" t="s">
        <v>535</v>
      </c>
      <c r="C64" s="4" t="s">
        <v>536</v>
      </c>
      <c r="D64" s="4" t="s">
        <v>952</v>
      </c>
      <c r="E64" s="5">
        <v>250938</v>
      </c>
      <c r="F64" s="6">
        <v>1581.411276</v>
      </c>
      <c r="G64" s="7">
        <v>7.9071969999999995E-3</v>
      </c>
      <c r="H64" s="6"/>
    </row>
    <row r="65" spans="1:8" x14ac:dyDescent="0.2">
      <c r="A65" s="3">
        <v>59</v>
      </c>
      <c r="B65" s="4" t="s">
        <v>537</v>
      </c>
      <c r="C65" s="4" t="s">
        <v>538</v>
      </c>
      <c r="D65" s="4" t="s">
        <v>233</v>
      </c>
      <c r="E65" s="5">
        <v>94501</v>
      </c>
      <c r="F65" s="6">
        <v>1579.6787159999999</v>
      </c>
      <c r="G65" s="7">
        <v>7.8985340000000005E-3</v>
      </c>
      <c r="H65" s="6"/>
    </row>
    <row r="66" spans="1:8" x14ac:dyDescent="0.2">
      <c r="A66" s="3">
        <v>60</v>
      </c>
      <c r="B66" s="4" t="s">
        <v>62</v>
      </c>
      <c r="C66" s="4" t="s">
        <v>63</v>
      </c>
      <c r="D66" s="4" t="s">
        <v>64</v>
      </c>
      <c r="E66" s="5">
        <v>607033</v>
      </c>
      <c r="F66" s="6">
        <v>1556.4326120000001</v>
      </c>
      <c r="G66" s="7">
        <v>7.7823010000000001E-3</v>
      </c>
      <c r="H66" s="6"/>
    </row>
    <row r="67" spans="1:8" x14ac:dyDescent="0.2">
      <c r="A67" s="3">
        <v>61</v>
      </c>
      <c r="B67" s="4" t="s">
        <v>307</v>
      </c>
      <c r="C67" s="4" t="s">
        <v>308</v>
      </c>
      <c r="D67" s="4" t="s">
        <v>933</v>
      </c>
      <c r="E67" s="5">
        <v>200000</v>
      </c>
      <c r="F67" s="6">
        <v>1515.2</v>
      </c>
      <c r="G67" s="7">
        <v>7.576134E-3</v>
      </c>
      <c r="H67" s="6"/>
    </row>
    <row r="68" spans="1:8" x14ac:dyDescent="0.2">
      <c r="A68" s="3">
        <v>62</v>
      </c>
      <c r="B68" s="4" t="s">
        <v>236</v>
      </c>
      <c r="C68" s="4" t="s">
        <v>237</v>
      </c>
      <c r="D68" s="4" t="s">
        <v>947</v>
      </c>
      <c r="E68" s="5">
        <v>35000</v>
      </c>
      <c r="F68" s="6">
        <v>1512.2275</v>
      </c>
      <c r="G68" s="7">
        <v>7.561272E-3</v>
      </c>
      <c r="H68" s="6"/>
    </row>
    <row r="69" spans="1:8" ht="25.5" x14ac:dyDescent="0.2">
      <c r="A69" s="3">
        <v>63</v>
      </c>
      <c r="B69" s="4" t="s">
        <v>539</v>
      </c>
      <c r="C69" s="4" t="s">
        <v>540</v>
      </c>
      <c r="D69" s="4" t="s">
        <v>946</v>
      </c>
      <c r="E69" s="5">
        <v>181328</v>
      </c>
      <c r="F69" s="6">
        <v>1502.483808</v>
      </c>
      <c r="G69" s="7">
        <v>7.5125519999999996E-3</v>
      </c>
      <c r="H69" s="6"/>
    </row>
    <row r="70" spans="1:8" x14ac:dyDescent="0.2">
      <c r="A70" s="3">
        <v>64</v>
      </c>
      <c r="B70" s="4" t="s">
        <v>541</v>
      </c>
      <c r="C70" s="4" t="s">
        <v>542</v>
      </c>
      <c r="D70" s="4" t="s">
        <v>64</v>
      </c>
      <c r="E70" s="5">
        <v>554569</v>
      </c>
      <c r="F70" s="6">
        <v>1499.2772915</v>
      </c>
      <c r="G70" s="7">
        <v>7.4965190000000001E-3</v>
      </c>
      <c r="H70" s="6"/>
    </row>
    <row r="71" spans="1:8" x14ac:dyDescent="0.2">
      <c r="A71" s="3">
        <v>65</v>
      </c>
      <c r="B71" s="4" t="s">
        <v>420</v>
      </c>
      <c r="C71" s="4" t="s">
        <v>421</v>
      </c>
      <c r="D71" s="4" t="s">
        <v>26</v>
      </c>
      <c r="E71" s="5">
        <v>179969</v>
      </c>
      <c r="F71" s="6">
        <v>1390.7104475000001</v>
      </c>
      <c r="G71" s="7">
        <v>6.9536759999999998E-3</v>
      </c>
      <c r="H71" s="6"/>
    </row>
    <row r="72" spans="1:8" ht="25.5" x14ac:dyDescent="0.2">
      <c r="A72" s="3">
        <v>66</v>
      </c>
      <c r="B72" s="4" t="s">
        <v>543</v>
      </c>
      <c r="C72" s="4" t="s">
        <v>544</v>
      </c>
      <c r="D72" s="4" t="s">
        <v>946</v>
      </c>
      <c r="E72" s="5">
        <v>40053</v>
      </c>
      <c r="F72" s="6">
        <v>1168.3660365000001</v>
      </c>
      <c r="G72" s="7">
        <v>5.841934E-3</v>
      </c>
      <c r="H72" s="6"/>
    </row>
    <row r="73" spans="1:8" x14ac:dyDescent="0.2">
      <c r="A73" s="3">
        <v>67</v>
      </c>
      <c r="B73" s="4" t="s">
        <v>545</v>
      </c>
      <c r="C73" s="4" t="s">
        <v>546</v>
      </c>
      <c r="D73" s="4" t="s">
        <v>947</v>
      </c>
      <c r="E73" s="5">
        <v>15000</v>
      </c>
      <c r="F73" s="6">
        <v>1161.9000000000001</v>
      </c>
      <c r="G73" s="7">
        <v>5.809603E-3</v>
      </c>
      <c r="H73" s="6"/>
    </row>
    <row r="74" spans="1:8" x14ac:dyDescent="0.2">
      <c r="A74" s="3">
        <v>68</v>
      </c>
      <c r="B74" s="4" t="s">
        <v>426</v>
      </c>
      <c r="C74" s="4" t="s">
        <v>427</v>
      </c>
      <c r="D74" s="4" t="s">
        <v>938</v>
      </c>
      <c r="E74" s="5">
        <v>58528</v>
      </c>
      <c r="F74" s="6">
        <v>1093.1274559999999</v>
      </c>
      <c r="G74" s="7">
        <v>5.4657339999999999E-3</v>
      </c>
      <c r="H74" s="6"/>
    </row>
    <row r="75" spans="1:8" ht="25.5" x14ac:dyDescent="0.2">
      <c r="A75" s="3">
        <v>69</v>
      </c>
      <c r="B75" s="4" t="s">
        <v>547</v>
      </c>
      <c r="C75" s="4" t="s">
        <v>548</v>
      </c>
      <c r="D75" s="4" t="s">
        <v>946</v>
      </c>
      <c r="E75" s="5">
        <v>34845</v>
      </c>
      <c r="F75" s="6">
        <v>962.03560500000003</v>
      </c>
      <c r="G75" s="7">
        <v>4.8102630000000004E-3</v>
      </c>
      <c r="H75" s="6"/>
    </row>
    <row r="76" spans="1:8" x14ac:dyDescent="0.2">
      <c r="A76" s="3">
        <v>70</v>
      </c>
      <c r="B76" s="4" t="s">
        <v>549</v>
      </c>
      <c r="C76" s="4" t="s">
        <v>550</v>
      </c>
      <c r="D76" s="4" t="s">
        <v>21</v>
      </c>
      <c r="E76" s="5">
        <v>56721</v>
      </c>
      <c r="F76" s="6">
        <v>929.28850350000005</v>
      </c>
      <c r="G76" s="7">
        <v>4.6465250000000003E-3</v>
      </c>
      <c r="H76" s="6"/>
    </row>
    <row r="77" spans="1:8" x14ac:dyDescent="0.2">
      <c r="A77" s="3">
        <v>71</v>
      </c>
      <c r="B77" s="4" t="s">
        <v>551</v>
      </c>
      <c r="C77" s="4" t="s">
        <v>552</v>
      </c>
      <c r="D77" s="4" t="s">
        <v>71</v>
      </c>
      <c r="E77" s="5">
        <v>132900</v>
      </c>
      <c r="F77" s="6">
        <v>885.44624999999996</v>
      </c>
      <c r="G77" s="7">
        <v>4.4273100000000003E-3</v>
      </c>
      <c r="H77" s="6"/>
    </row>
    <row r="78" spans="1:8" x14ac:dyDescent="0.2">
      <c r="A78" s="3">
        <v>72</v>
      </c>
      <c r="B78" s="4" t="s">
        <v>553</v>
      </c>
      <c r="C78" s="4" t="s">
        <v>554</v>
      </c>
      <c r="D78" s="4" t="s">
        <v>71</v>
      </c>
      <c r="E78" s="5">
        <v>20905</v>
      </c>
      <c r="F78" s="6">
        <v>871.92664500000001</v>
      </c>
      <c r="G78" s="7">
        <v>4.3597109999999996E-3</v>
      </c>
      <c r="H78" s="6"/>
    </row>
    <row r="79" spans="1:8" x14ac:dyDescent="0.2">
      <c r="A79" s="3">
        <v>73</v>
      </c>
      <c r="B79" s="4" t="s">
        <v>555</v>
      </c>
      <c r="C79" s="4" t="s">
        <v>556</v>
      </c>
      <c r="D79" s="4" t="s">
        <v>233</v>
      </c>
      <c r="E79" s="5">
        <v>28561</v>
      </c>
      <c r="F79" s="6">
        <v>684.83565799999997</v>
      </c>
      <c r="G79" s="7">
        <v>3.4242389999999999E-3</v>
      </c>
      <c r="H79" s="6"/>
    </row>
    <row r="80" spans="1:8" x14ac:dyDescent="0.2">
      <c r="A80" s="3">
        <v>74</v>
      </c>
      <c r="B80" s="4" t="s">
        <v>225</v>
      </c>
      <c r="C80" s="4" t="s">
        <v>226</v>
      </c>
      <c r="D80" s="4" t="s">
        <v>951</v>
      </c>
      <c r="E80" s="5">
        <v>151430</v>
      </c>
      <c r="F80" s="6">
        <v>474.80876499999999</v>
      </c>
      <c r="G80" s="7">
        <v>2.3740860000000001E-3</v>
      </c>
      <c r="H80" s="6"/>
    </row>
    <row r="81" spans="1:8" x14ac:dyDescent="0.2">
      <c r="A81" s="3">
        <v>75</v>
      </c>
      <c r="B81" s="4" t="s">
        <v>557</v>
      </c>
      <c r="C81" s="4" t="s">
        <v>558</v>
      </c>
      <c r="D81" s="4" t="s">
        <v>302</v>
      </c>
      <c r="E81" s="5">
        <v>39868</v>
      </c>
      <c r="F81" s="6">
        <v>435.17915399999998</v>
      </c>
      <c r="G81" s="7">
        <v>2.175934E-3</v>
      </c>
      <c r="H81" s="6"/>
    </row>
    <row r="82" spans="1:8" x14ac:dyDescent="0.2">
      <c r="A82" s="3">
        <v>76</v>
      </c>
      <c r="B82" s="4" t="s">
        <v>234</v>
      </c>
      <c r="C82" s="4" t="s">
        <v>235</v>
      </c>
      <c r="D82" s="4" t="s">
        <v>952</v>
      </c>
      <c r="E82" s="5">
        <v>225280</v>
      </c>
      <c r="F82" s="6">
        <v>333.63968</v>
      </c>
      <c r="G82" s="7">
        <v>1.6682279999999999E-3</v>
      </c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9">
        <v>192975.81625551899</v>
      </c>
      <c r="G83" s="10">
        <v>0.96489619400000004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113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114</v>
      </c>
      <c r="D88" s="1"/>
      <c r="E88" s="1"/>
      <c r="F88" s="1"/>
      <c r="G88" s="1"/>
      <c r="H88" s="6"/>
    </row>
    <row r="89" spans="1:8" ht="17.100000000000001" customHeight="1" x14ac:dyDescent="0.2">
      <c r="A89" s="3">
        <v>1</v>
      </c>
      <c r="B89" s="4" t="s">
        <v>108</v>
      </c>
      <c r="C89" s="4" t="s">
        <v>970</v>
      </c>
      <c r="D89" s="4" t="s">
        <v>109</v>
      </c>
      <c r="E89" s="5">
        <v>375961</v>
      </c>
      <c r="F89" s="6">
        <v>7.5190000000000003E-6</v>
      </c>
      <c r="G89" s="8" t="s">
        <v>110</v>
      </c>
      <c r="H89" s="6"/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115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116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117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8" customHeight="1" x14ac:dyDescent="0.2">
      <c r="A101" s="1"/>
      <c r="B101" s="1"/>
      <c r="C101" s="2" t="s">
        <v>118</v>
      </c>
      <c r="D101" s="1"/>
      <c r="E101" s="1"/>
      <c r="F101" s="9">
        <v>192975.81625551899</v>
      </c>
      <c r="G101" s="10">
        <v>0.96489619400000004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10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120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121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122</v>
      </c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111</v>
      </c>
      <c r="D114" s="1"/>
      <c r="E114" s="1" t="s">
        <v>112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123</v>
      </c>
      <c r="D116" s="1"/>
      <c r="E116" s="1"/>
      <c r="F116" s="9">
        <v>0</v>
      </c>
      <c r="G116" s="10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124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125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126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127</v>
      </c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111</v>
      </c>
      <c r="D126" s="1"/>
      <c r="E126" s="1" t="s">
        <v>112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128</v>
      </c>
      <c r="D128" s="1"/>
      <c r="E128" s="1"/>
      <c r="F128" s="12"/>
      <c r="G128" s="12"/>
      <c r="H128" s="6"/>
    </row>
    <row r="129" spans="1:8" ht="17.100000000000001" customHeight="1" x14ac:dyDescent="0.2">
      <c r="A129" s="3">
        <v>1</v>
      </c>
      <c r="B129" s="4"/>
      <c r="C129" s="4" t="s">
        <v>129</v>
      </c>
      <c r="D129" s="4"/>
      <c r="E129" s="8"/>
      <c r="F129" s="6">
        <v>6546.7815362000001</v>
      </c>
      <c r="G129" s="7">
        <v>3.2734487999999999E-2</v>
      </c>
      <c r="H129" s="6">
        <v>3.9343919198424624</v>
      </c>
    </row>
    <row r="130" spans="1:8" ht="17.100000000000001" customHeight="1" x14ac:dyDescent="0.2">
      <c r="A130" s="3">
        <v>2</v>
      </c>
      <c r="B130" s="4"/>
      <c r="C130" s="4" t="s">
        <v>130</v>
      </c>
      <c r="D130" s="4"/>
      <c r="E130" s="8"/>
      <c r="F130" s="6">
        <v>429.9895884</v>
      </c>
      <c r="G130" s="7">
        <v>2.149986E-3</v>
      </c>
      <c r="H130" s="6">
        <v>3.8</v>
      </c>
    </row>
    <row r="131" spans="1:8" ht="14.1" customHeight="1" x14ac:dyDescent="0.2">
      <c r="A131" s="1"/>
      <c r="B131" s="1"/>
      <c r="C131" s="2" t="s">
        <v>111</v>
      </c>
      <c r="D131" s="1"/>
      <c r="E131" s="1" t="s">
        <v>112</v>
      </c>
      <c r="F131" s="9">
        <v>6976.7711245999999</v>
      </c>
      <c r="G131" s="10">
        <v>3.4884473999999999E-2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131</v>
      </c>
      <c r="D133" s="1"/>
      <c r="E133" s="1"/>
      <c r="F133" s="9">
        <v>6976.7711245999999</v>
      </c>
      <c r="G133" s="10">
        <v>3.4884473999999999E-2</v>
      </c>
      <c r="H133" s="6"/>
    </row>
    <row r="134" spans="1:8" ht="14.1" customHeight="1" x14ac:dyDescent="0.2">
      <c r="A134" s="1"/>
      <c r="B134" s="1"/>
      <c r="C134" s="12"/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132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133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111</v>
      </c>
      <c r="D137" s="1"/>
      <c r="E137" s="1" t="s">
        <v>112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134</v>
      </c>
      <c r="D139" s="1"/>
      <c r="E139" s="1"/>
      <c r="F139" s="1"/>
      <c r="G139" s="1"/>
      <c r="H139" s="6"/>
    </row>
    <row r="140" spans="1:8" ht="14.1" customHeight="1" x14ac:dyDescent="0.2">
      <c r="A140" s="1"/>
      <c r="B140" s="1"/>
      <c r="C140" s="2" t="s">
        <v>135</v>
      </c>
      <c r="D140" s="1"/>
      <c r="E140" s="1"/>
      <c r="F140" s="1"/>
      <c r="G140" s="1"/>
      <c r="H140" s="6"/>
    </row>
    <row r="141" spans="1:8" ht="14.1" customHeight="1" x14ac:dyDescent="0.2">
      <c r="A141" s="1"/>
      <c r="B141" s="1"/>
      <c r="C141" s="2" t="s">
        <v>111</v>
      </c>
      <c r="D141" s="1"/>
      <c r="E141" s="1" t="s">
        <v>112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24" customHeight="1" x14ac:dyDescent="0.2">
      <c r="A144" s="1"/>
      <c r="B144" s="1"/>
      <c r="C144" s="2" t="s">
        <v>136</v>
      </c>
      <c r="D144" s="1"/>
      <c r="E144" s="1"/>
      <c r="F144" s="12"/>
      <c r="G144" s="12"/>
      <c r="H144" s="6"/>
    </row>
    <row r="145" spans="1:15" ht="14.1" customHeight="1" x14ac:dyDescent="0.2">
      <c r="A145" s="1"/>
      <c r="B145" s="1"/>
      <c r="C145" s="2" t="s">
        <v>111</v>
      </c>
      <c r="D145" s="1"/>
      <c r="E145" s="1" t="s">
        <v>112</v>
      </c>
      <c r="F145" s="13">
        <v>0</v>
      </c>
      <c r="G145" s="14">
        <v>0</v>
      </c>
      <c r="H145" s="6"/>
    </row>
    <row r="146" spans="1:15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15" ht="14.1" customHeight="1" x14ac:dyDescent="0.2">
      <c r="A147" s="1"/>
      <c r="B147" s="4"/>
      <c r="C147" s="4"/>
      <c r="D147" s="2"/>
      <c r="E147" s="1"/>
      <c r="F147" s="4"/>
      <c r="G147" s="8"/>
      <c r="H147" s="6"/>
    </row>
    <row r="148" spans="1:15" ht="18" customHeight="1" x14ac:dyDescent="0.2">
      <c r="A148" s="8"/>
      <c r="B148" s="4"/>
      <c r="C148" s="4" t="s">
        <v>137</v>
      </c>
      <c r="D148" s="4"/>
      <c r="E148" s="8"/>
      <c r="F148" s="6">
        <v>43.864214509999996</v>
      </c>
      <c r="G148" s="7">
        <v>2.19325E-4</v>
      </c>
      <c r="H148" s="6"/>
    </row>
    <row r="149" spans="1:15" ht="14.1" customHeight="1" x14ac:dyDescent="0.2">
      <c r="A149" s="11"/>
      <c r="B149" s="11"/>
      <c r="C149" s="2" t="s">
        <v>138</v>
      </c>
      <c r="D149" s="15"/>
      <c r="E149" s="15"/>
      <c r="F149" s="9">
        <v>199996.451594629</v>
      </c>
      <c r="G149" s="10">
        <v>0.99999999300000009</v>
      </c>
      <c r="H149" s="6"/>
    </row>
    <row r="150" spans="1:15" ht="14.1" customHeight="1" x14ac:dyDescent="0.2">
      <c r="A150" s="16"/>
      <c r="B150" s="16"/>
      <c r="C150" s="16"/>
      <c r="D150" s="17"/>
      <c r="E150" s="17"/>
      <c r="F150" s="17"/>
      <c r="G150" s="17"/>
    </row>
    <row r="151" spans="1:15" ht="17.100000000000001" customHeight="1" x14ac:dyDescent="0.2">
      <c r="A151" s="18"/>
      <c r="B151" s="297" t="s">
        <v>139</v>
      </c>
      <c r="C151" s="297"/>
      <c r="D151" s="297"/>
      <c r="E151" s="297"/>
      <c r="F151" s="297"/>
      <c r="G151" s="20"/>
    </row>
    <row r="152" spans="1:15" ht="14.1" customHeight="1" x14ac:dyDescent="0.2">
      <c r="A152" s="18"/>
      <c r="B152" s="18"/>
      <c r="C152" s="18"/>
      <c r="D152" s="20"/>
      <c r="E152" s="20"/>
      <c r="F152" s="20"/>
      <c r="G152" s="20"/>
    </row>
    <row r="153" spans="1:15" ht="14.1" customHeight="1" x14ac:dyDescent="0.2">
      <c r="A153" s="18"/>
      <c r="B153" s="294" t="s">
        <v>140</v>
      </c>
      <c r="C153" s="295"/>
      <c r="D153" s="12" t="s">
        <v>112</v>
      </c>
      <c r="E153" s="21"/>
      <c r="F153" s="20"/>
      <c r="G153" s="20"/>
    </row>
    <row r="154" spans="1:15" ht="29.1" customHeight="1" x14ac:dyDescent="0.2">
      <c r="A154" s="18"/>
      <c r="B154" s="288" t="s">
        <v>141</v>
      </c>
      <c r="C154" s="289"/>
      <c r="D154" s="2" t="s">
        <v>142</v>
      </c>
      <c r="E154" s="21"/>
      <c r="F154" s="20"/>
      <c r="G154" s="20"/>
    </row>
    <row r="155" spans="1:15" ht="17.100000000000001" customHeight="1" x14ac:dyDescent="0.2">
      <c r="A155" s="18"/>
      <c r="B155" s="288" t="s">
        <v>971</v>
      </c>
      <c r="C155" s="289"/>
      <c r="D155" s="67" t="s">
        <v>969</v>
      </c>
      <c r="E155" s="21"/>
      <c r="F155" s="20"/>
      <c r="G155" s="20"/>
    </row>
    <row r="156" spans="1:15" ht="17.100000000000001" customHeight="1" x14ac:dyDescent="0.2">
      <c r="A156" s="18"/>
      <c r="B156" s="288" t="s">
        <v>144</v>
      </c>
      <c r="C156" s="289"/>
      <c r="D156" s="12" t="s">
        <v>112</v>
      </c>
      <c r="E156" s="21"/>
      <c r="F156" s="20"/>
      <c r="G156" s="20"/>
    </row>
    <row r="157" spans="1:15" ht="24" customHeight="1" x14ac:dyDescent="0.2">
      <c r="A157" s="22"/>
      <c r="B157" s="23" t="s">
        <v>112</v>
      </c>
      <c r="C157" s="23" t="s">
        <v>145</v>
      </c>
      <c r="D157" s="23" t="s">
        <v>146</v>
      </c>
      <c r="E157" s="22"/>
      <c r="F157" s="22"/>
      <c r="G157" s="22"/>
      <c r="J157" s="66"/>
      <c r="K157" s="66"/>
      <c r="L157" s="66"/>
      <c r="M157" s="66"/>
      <c r="N157" s="66"/>
      <c r="O157" s="66"/>
    </row>
    <row r="158" spans="1:15" ht="18" customHeight="1" x14ac:dyDescent="0.2">
      <c r="A158" s="22"/>
      <c r="B158" s="23" t="s">
        <v>147</v>
      </c>
      <c r="C158" s="23" t="s">
        <v>148</v>
      </c>
      <c r="D158" s="23" t="s">
        <v>149</v>
      </c>
      <c r="E158" s="22"/>
      <c r="F158" s="22"/>
      <c r="G158" s="22"/>
    </row>
    <row r="159" spans="1:15" ht="17.100000000000001" customHeight="1" x14ac:dyDescent="0.2">
      <c r="A159" s="22"/>
      <c r="B159" s="4" t="s">
        <v>150</v>
      </c>
      <c r="C159" s="24">
        <v>155.46299999999999</v>
      </c>
      <c r="D159" s="24">
        <v>153.6765</v>
      </c>
      <c r="E159" s="22"/>
      <c r="F159" s="19"/>
      <c r="G159" s="25"/>
    </row>
    <row r="160" spans="1:15" ht="17.100000000000001" customHeight="1" x14ac:dyDescent="0.2">
      <c r="A160" s="22"/>
      <c r="B160" s="4" t="s">
        <v>1114</v>
      </c>
      <c r="C160" s="24">
        <v>27.245999999999999</v>
      </c>
      <c r="D160" s="24">
        <v>26.9329</v>
      </c>
      <c r="E160" s="22"/>
      <c r="F160" s="19"/>
      <c r="G160" s="25"/>
    </row>
    <row r="161" spans="1:7" ht="17.100000000000001" customHeight="1" x14ac:dyDescent="0.2">
      <c r="A161" s="22"/>
      <c r="B161" s="4" t="s">
        <v>151</v>
      </c>
      <c r="C161" s="24">
        <v>145.7535</v>
      </c>
      <c r="D161" s="24">
        <v>143.93049999999999</v>
      </c>
      <c r="E161" s="22"/>
      <c r="F161" s="19"/>
      <c r="G161" s="25"/>
    </row>
    <row r="162" spans="1:7" ht="17.100000000000001" customHeight="1" x14ac:dyDescent="0.2">
      <c r="A162" s="22"/>
      <c r="B162" s="4" t="s">
        <v>1115</v>
      </c>
      <c r="C162" s="24">
        <v>24.860700000000001</v>
      </c>
      <c r="D162" s="24">
        <v>24.549700000000001</v>
      </c>
      <c r="E162" s="22"/>
      <c r="F162" s="19"/>
      <c r="G162" s="25"/>
    </row>
    <row r="163" spans="1:7" ht="14.1" customHeight="1" x14ac:dyDescent="0.2">
      <c r="A163" s="22"/>
      <c r="B163" s="22"/>
      <c r="C163" s="22"/>
      <c r="D163" s="22"/>
      <c r="E163" s="22"/>
      <c r="F163" s="22"/>
      <c r="G163" s="22"/>
    </row>
    <row r="164" spans="1:7" ht="17.100000000000001" customHeight="1" x14ac:dyDescent="0.2">
      <c r="A164" s="22"/>
      <c r="B164" s="288" t="s">
        <v>1116</v>
      </c>
      <c r="C164" s="289"/>
      <c r="D164" s="2" t="s">
        <v>142</v>
      </c>
      <c r="E164" s="22"/>
      <c r="F164" s="22"/>
      <c r="G164" s="22"/>
    </row>
    <row r="165" spans="1:7" ht="14.1" customHeight="1" x14ac:dyDescent="0.2">
      <c r="A165" s="22"/>
      <c r="B165" s="19"/>
      <c r="C165" s="19"/>
      <c r="D165" s="22"/>
      <c r="E165" s="22"/>
      <c r="F165" s="22"/>
      <c r="G165" s="22"/>
    </row>
    <row r="166" spans="1:7" ht="29.1" customHeight="1" x14ac:dyDescent="0.2">
      <c r="A166" s="22"/>
      <c r="B166" s="288" t="s">
        <v>153</v>
      </c>
      <c r="C166" s="289"/>
      <c r="D166" s="2" t="s">
        <v>142</v>
      </c>
      <c r="E166" s="22"/>
      <c r="F166" s="22"/>
      <c r="G166" s="22"/>
    </row>
    <row r="167" spans="1:7" ht="29.1" customHeight="1" x14ac:dyDescent="0.2">
      <c r="A167" s="22"/>
      <c r="B167" s="288" t="s">
        <v>154</v>
      </c>
      <c r="C167" s="289"/>
      <c r="D167" s="2" t="s">
        <v>142</v>
      </c>
      <c r="E167" s="22"/>
      <c r="F167" s="22"/>
      <c r="G167" s="22"/>
    </row>
    <row r="168" spans="1:7" ht="17.100000000000001" customHeight="1" x14ac:dyDescent="0.2">
      <c r="A168" s="22"/>
      <c r="B168" s="288" t="s">
        <v>155</v>
      </c>
      <c r="C168" s="289"/>
      <c r="D168" s="26">
        <v>0.59035697034539281</v>
      </c>
      <c r="E168" s="22"/>
      <c r="F168" s="19"/>
      <c r="G168" s="25"/>
    </row>
    <row r="169" spans="1:7" ht="17.100000000000001" customHeight="1" x14ac:dyDescent="0.2">
      <c r="A169" s="22"/>
      <c r="B169" s="288" t="s">
        <v>156</v>
      </c>
      <c r="C169" s="289"/>
      <c r="D169" s="2" t="s">
        <v>142</v>
      </c>
      <c r="E169" s="22"/>
      <c r="F169" s="22"/>
      <c r="G169" s="22"/>
    </row>
  </sheetData>
  <mergeCells count="14">
    <mergeCell ref="A1:H1"/>
    <mergeCell ref="A2:H2"/>
    <mergeCell ref="A3:H3"/>
    <mergeCell ref="B153:C153"/>
    <mergeCell ref="J2:N2"/>
    <mergeCell ref="B151:F151"/>
    <mergeCell ref="B168:C168"/>
    <mergeCell ref="B169:C169"/>
    <mergeCell ref="B154:C154"/>
    <mergeCell ref="B155:C155"/>
    <mergeCell ref="B156:C156"/>
    <mergeCell ref="B164:C164"/>
    <mergeCell ref="B166:C166"/>
    <mergeCell ref="B167:C16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9AD4-BA22-4EE8-B967-B0AF6B72E11B}">
  <sheetPr>
    <outlinePr summaryBelow="0" summaryRight="0"/>
  </sheetPr>
  <dimension ref="A1:P222"/>
  <sheetViews>
    <sheetView showGridLines="0" workbookViewId="0">
      <selection sqref="A1:I1"/>
    </sheetView>
  </sheetViews>
  <sheetFormatPr defaultRowHeight="12.75" x14ac:dyDescent="0.2"/>
  <cols>
    <col min="1" max="1" width="6.85546875" style="27" customWidth="1"/>
    <col min="2" max="2" width="20.5703125" style="27" customWidth="1"/>
    <col min="3" max="3" width="34.28515625" style="27" customWidth="1"/>
    <col min="4" max="4" width="17.85546875" style="27" customWidth="1"/>
    <col min="5" max="6" width="19.140625" style="27" customWidth="1"/>
    <col min="7" max="7" width="16.42578125" style="27" customWidth="1"/>
    <col min="8" max="8" width="10.42578125" style="27" customWidth="1"/>
    <col min="9" max="9" width="13.42578125" style="27" customWidth="1"/>
    <col min="10" max="10" width="9.28515625" customWidth="1"/>
    <col min="11" max="16384" width="9.140625" style="27"/>
  </cols>
  <sheetData>
    <row r="1" spans="1:15" ht="18" customHeight="1" x14ac:dyDescent="0.2">
      <c r="A1" s="299" t="s">
        <v>0</v>
      </c>
      <c r="B1" s="299"/>
      <c r="C1" s="299"/>
      <c r="D1" s="299"/>
      <c r="E1" s="299"/>
      <c r="F1" s="299"/>
      <c r="G1" s="299"/>
      <c r="H1" s="299"/>
      <c r="I1" s="299"/>
    </row>
    <row r="2" spans="1:15" ht="17.100000000000001" customHeight="1" x14ac:dyDescent="0.2">
      <c r="A2" s="299" t="s">
        <v>1127</v>
      </c>
      <c r="B2" s="300"/>
      <c r="C2" s="300"/>
      <c r="D2" s="300"/>
      <c r="E2" s="300"/>
      <c r="F2" s="300"/>
      <c r="G2" s="300"/>
      <c r="H2" s="300"/>
      <c r="I2" s="300"/>
      <c r="K2" s="296" t="s">
        <v>1139</v>
      </c>
      <c r="L2" s="296"/>
      <c r="M2" s="296"/>
      <c r="N2" s="296"/>
      <c r="O2" s="296"/>
    </row>
    <row r="3" spans="1:15" ht="21" customHeight="1" x14ac:dyDescent="0.2">
      <c r="A3" s="299" t="s">
        <v>1124</v>
      </c>
      <c r="B3" s="299"/>
      <c r="C3" s="299"/>
      <c r="D3" s="299"/>
      <c r="E3" s="299"/>
      <c r="F3" s="299"/>
      <c r="G3" s="299"/>
      <c r="H3" s="299"/>
      <c r="I3" s="299"/>
    </row>
    <row r="4" spans="1:15" s="189" customFormat="1" ht="30" x14ac:dyDescent="0.2">
      <c r="A4" s="188" t="s">
        <v>2</v>
      </c>
      <c r="B4" s="188" t="s">
        <v>3</v>
      </c>
      <c r="C4" s="188" t="s">
        <v>4</v>
      </c>
      <c r="D4" s="188" t="s">
        <v>5</v>
      </c>
      <c r="E4" s="188" t="s">
        <v>6</v>
      </c>
      <c r="F4" s="188" t="s">
        <v>7</v>
      </c>
      <c r="G4" s="188" t="s">
        <v>8</v>
      </c>
      <c r="H4" s="71" t="s">
        <v>997</v>
      </c>
      <c r="I4" s="184" t="s">
        <v>1113</v>
      </c>
      <c r="J4" s="186"/>
    </row>
    <row r="5" spans="1:15" ht="14.1" customHeight="1" x14ac:dyDescent="0.2">
      <c r="A5" s="57"/>
      <c r="B5" s="57"/>
      <c r="C5" s="34" t="s">
        <v>9</v>
      </c>
      <c r="D5" s="57"/>
      <c r="E5" s="57"/>
      <c r="F5" s="57"/>
      <c r="G5" s="57"/>
      <c r="H5" s="6"/>
      <c r="I5" s="6"/>
    </row>
    <row r="6" spans="1:15" ht="24" customHeight="1" x14ac:dyDescent="0.2">
      <c r="A6" s="57"/>
      <c r="B6" s="57"/>
      <c r="C6" s="34" t="s">
        <v>10</v>
      </c>
      <c r="D6" s="57"/>
      <c r="E6" s="57"/>
      <c r="F6" s="57"/>
      <c r="G6" s="57"/>
      <c r="H6" s="6"/>
      <c r="I6" s="6"/>
    </row>
    <row r="7" spans="1:15" x14ac:dyDescent="0.2">
      <c r="A7" s="60">
        <v>1</v>
      </c>
      <c r="B7" s="39" t="s">
        <v>380</v>
      </c>
      <c r="C7" s="39" t="s">
        <v>381</v>
      </c>
      <c r="D7" s="39" t="s">
        <v>947</v>
      </c>
      <c r="E7" s="61">
        <v>1066958</v>
      </c>
      <c r="F7" s="55">
        <v>16725.100128999999</v>
      </c>
      <c r="G7" s="54">
        <v>5.5904677999999999E-2</v>
      </c>
      <c r="H7" s="6"/>
      <c r="I7" s="6"/>
    </row>
    <row r="8" spans="1:15" x14ac:dyDescent="0.2">
      <c r="A8" s="60">
        <v>2</v>
      </c>
      <c r="B8" s="39" t="s">
        <v>16</v>
      </c>
      <c r="C8" s="39" t="s">
        <v>17</v>
      </c>
      <c r="D8" s="39" t="s">
        <v>18</v>
      </c>
      <c r="E8" s="61">
        <v>2198762</v>
      </c>
      <c r="F8" s="55">
        <v>16343.397945999999</v>
      </c>
      <c r="G8" s="54">
        <v>5.4628814999999997E-2</v>
      </c>
      <c r="H8" s="6"/>
      <c r="I8" s="6"/>
    </row>
    <row r="9" spans="1:15" x14ac:dyDescent="0.2">
      <c r="A9" s="60">
        <v>3</v>
      </c>
      <c r="B9" s="39" t="s">
        <v>349</v>
      </c>
      <c r="C9" s="39" t="s">
        <v>350</v>
      </c>
      <c r="D9" s="39" t="s">
        <v>18</v>
      </c>
      <c r="E9" s="61">
        <v>1073578</v>
      </c>
      <c r="F9" s="55">
        <v>14864.760988</v>
      </c>
      <c r="G9" s="54">
        <v>4.9686379000000003E-2</v>
      </c>
      <c r="H9" s="6"/>
      <c r="I9" s="6"/>
    </row>
    <row r="10" spans="1:15" ht="25.5" x14ac:dyDescent="0.2">
      <c r="A10" s="60">
        <v>4</v>
      </c>
      <c r="B10" s="39" t="s">
        <v>388</v>
      </c>
      <c r="C10" s="39" t="s">
        <v>389</v>
      </c>
      <c r="D10" s="39" t="s">
        <v>945</v>
      </c>
      <c r="E10" s="61">
        <v>1402028</v>
      </c>
      <c r="F10" s="55">
        <v>13019.933021999999</v>
      </c>
      <c r="G10" s="54">
        <v>4.3519927999999999E-2</v>
      </c>
      <c r="H10" s="6"/>
      <c r="I10" s="6"/>
    </row>
    <row r="11" spans="1:15" x14ac:dyDescent="0.2">
      <c r="A11" s="60">
        <v>5</v>
      </c>
      <c r="B11" s="39" t="s">
        <v>11</v>
      </c>
      <c r="C11" s="39" t="s">
        <v>12</v>
      </c>
      <c r="D11" s="39" t="s">
        <v>13</v>
      </c>
      <c r="E11" s="61">
        <v>415820</v>
      </c>
      <c r="F11" s="55">
        <v>11602.41755</v>
      </c>
      <c r="G11" s="54">
        <v>3.8781796E-2</v>
      </c>
      <c r="H11" s="6"/>
      <c r="I11" s="6"/>
    </row>
    <row r="12" spans="1:15" x14ac:dyDescent="0.2">
      <c r="A12" s="60">
        <v>6</v>
      </c>
      <c r="B12" s="39" t="s">
        <v>19</v>
      </c>
      <c r="C12" s="39" t="s">
        <v>20</v>
      </c>
      <c r="D12" s="39" t="s">
        <v>21</v>
      </c>
      <c r="E12" s="61">
        <v>1391966</v>
      </c>
      <c r="F12" s="55">
        <v>10286.62874</v>
      </c>
      <c r="G12" s="54">
        <v>3.4383690000000001E-2</v>
      </c>
      <c r="H12" s="6"/>
      <c r="I12" s="6"/>
    </row>
    <row r="13" spans="1:15" ht="25.5" x14ac:dyDescent="0.2">
      <c r="A13" s="60">
        <v>7</v>
      </c>
      <c r="B13" s="39" t="s">
        <v>382</v>
      </c>
      <c r="C13" s="39" t="s">
        <v>383</v>
      </c>
      <c r="D13" s="39" t="s">
        <v>82</v>
      </c>
      <c r="E13" s="61">
        <v>385796</v>
      </c>
      <c r="F13" s="55">
        <v>8602.0934120000002</v>
      </c>
      <c r="G13" s="54">
        <v>2.8753027E-2</v>
      </c>
      <c r="H13" s="6"/>
      <c r="I13" s="6"/>
    </row>
    <row r="14" spans="1:15" ht="15" x14ac:dyDescent="0.2">
      <c r="A14" s="60">
        <v>8</v>
      </c>
      <c r="B14" s="39" t="s">
        <v>14</v>
      </c>
      <c r="C14" s="39" t="s">
        <v>15</v>
      </c>
      <c r="D14" s="39" t="s">
        <v>64</v>
      </c>
      <c r="E14" s="61">
        <v>459609</v>
      </c>
      <c r="F14" s="55">
        <v>7787.3850915000003</v>
      </c>
      <c r="G14" s="54">
        <v>2.6029813999999998E-2</v>
      </c>
      <c r="H14" s="6"/>
      <c r="I14" s="6"/>
      <c r="K14" s="192" t="s">
        <v>1152</v>
      </c>
    </row>
    <row r="15" spans="1:15" x14ac:dyDescent="0.2">
      <c r="A15" s="60">
        <v>9</v>
      </c>
      <c r="B15" s="39" t="s">
        <v>48</v>
      </c>
      <c r="C15" s="39" t="s">
        <v>49</v>
      </c>
      <c r="D15" s="39" t="s">
        <v>18</v>
      </c>
      <c r="E15" s="61">
        <v>1447996</v>
      </c>
      <c r="F15" s="55">
        <v>7186.4041479999996</v>
      </c>
      <c r="G15" s="54">
        <v>2.4020999000000001E-2</v>
      </c>
      <c r="H15" s="6"/>
      <c r="I15" s="6"/>
    </row>
    <row r="16" spans="1:15" x14ac:dyDescent="0.2">
      <c r="A16" s="60">
        <v>10</v>
      </c>
      <c r="B16" s="39" t="s">
        <v>475</v>
      </c>
      <c r="C16" s="39" t="s">
        <v>476</v>
      </c>
      <c r="D16" s="39" t="s">
        <v>956</v>
      </c>
      <c r="E16" s="61">
        <v>674416</v>
      </c>
      <c r="F16" s="55">
        <v>5819.1984560000001</v>
      </c>
      <c r="G16" s="54">
        <v>1.9451029000000002E-2</v>
      </c>
      <c r="H16" s="6"/>
      <c r="I16" s="6"/>
    </row>
    <row r="17" spans="1:9" x14ac:dyDescent="0.2">
      <c r="A17" s="60">
        <v>11</v>
      </c>
      <c r="B17" s="39" t="s">
        <v>294</v>
      </c>
      <c r="C17" s="39" t="s">
        <v>295</v>
      </c>
      <c r="D17" s="39" t="s">
        <v>18</v>
      </c>
      <c r="E17" s="61">
        <v>738925</v>
      </c>
      <c r="F17" s="55">
        <v>5383.8075500000004</v>
      </c>
      <c r="G17" s="54">
        <v>1.7995707999999999E-2</v>
      </c>
      <c r="H17" s="6"/>
      <c r="I17" s="6"/>
    </row>
    <row r="18" spans="1:9" ht="25.5" x14ac:dyDescent="0.2">
      <c r="A18" s="60">
        <v>12</v>
      </c>
      <c r="B18" s="39" t="s">
        <v>325</v>
      </c>
      <c r="C18" s="39" t="s">
        <v>326</v>
      </c>
      <c r="D18" s="39" t="s">
        <v>945</v>
      </c>
      <c r="E18" s="61">
        <v>151887</v>
      </c>
      <c r="F18" s="55">
        <v>4863.1939094999998</v>
      </c>
      <c r="G18" s="54">
        <v>1.6255525E-2</v>
      </c>
      <c r="H18" s="6"/>
      <c r="I18" s="6"/>
    </row>
    <row r="19" spans="1:9" x14ac:dyDescent="0.2">
      <c r="A19" s="60">
        <v>13</v>
      </c>
      <c r="B19" s="39" t="s">
        <v>296</v>
      </c>
      <c r="C19" s="39" t="s">
        <v>297</v>
      </c>
      <c r="D19" s="39" t="s">
        <v>956</v>
      </c>
      <c r="E19" s="61">
        <v>418314</v>
      </c>
      <c r="F19" s="55">
        <v>4532.6413469999998</v>
      </c>
      <c r="G19" s="54">
        <v>1.5150633E-2</v>
      </c>
      <c r="H19" s="6"/>
      <c r="I19" s="6"/>
    </row>
    <row r="20" spans="1:9" x14ac:dyDescent="0.2">
      <c r="A20" s="60">
        <v>14</v>
      </c>
      <c r="B20" s="39" t="s">
        <v>365</v>
      </c>
      <c r="C20" s="39" t="s">
        <v>366</v>
      </c>
      <c r="D20" s="39" t="s">
        <v>26</v>
      </c>
      <c r="E20" s="61">
        <v>203487</v>
      </c>
      <c r="F20" s="55">
        <v>4381.8890579999997</v>
      </c>
      <c r="G20" s="54">
        <v>1.4646734E-2</v>
      </c>
      <c r="H20" s="6"/>
      <c r="I20" s="6"/>
    </row>
    <row r="21" spans="1:9" ht="25.5" x14ac:dyDescent="0.2">
      <c r="A21" s="60">
        <v>15</v>
      </c>
      <c r="B21" s="39" t="s">
        <v>494</v>
      </c>
      <c r="C21" s="39" t="s">
        <v>495</v>
      </c>
      <c r="D21" s="39" t="s">
        <v>945</v>
      </c>
      <c r="E21" s="61">
        <v>429652</v>
      </c>
      <c r="F21" s="55">
        <v>4215.7454239999997</v>
      </c>
      <c r="G21" s="54">
        <v>1.4091388999999999E-2</v>
      </c>
      <c r="H21" s="6"/>
      <c r="I21" s="6"/>
    </row>
    <row r="22" spans="1:9" ht="25.5" x14ac:dyDescent="0.2">
      <c r="A22" s="60">
        <v>16</v>
      </c>
      <c r="B22" s="39" t="s">
        <v>357</v>
      </c>
      <c r="C22" s="39" t="s">
        <v>358</v>
      </c>
      <c r="D22" s="39" t="s">
        <v>950</v>
      </c>
      <c r="E22" s="61">
        <v>485098</v>
      </c>
      <c r="F22" s="55">
        <v>3995.9947750000001</v>
      </c>
      <c r="G22" s="54">
        <v>1.3356859E-2</v>
      </c>
      <c r="H22" s="6"/>
      <c r="I22" s="6"/>
    </row>
    <row r="23" spans="1:9" x14ac:dyDescent="0.2">
      <c r="A23" s="60">
        <v>17</v>
      </c>
      <c r="B23" s="39" t="s">
        <v>355</v>
      </c>
      <c r="C23" s="39" t="s">
        <v>356</v>
      </c>
      <c r="D23" s="39" t="s">
        <v>82</v>
      </c>
      <c r="E23" s="61">
        <v>26250</v>
      </c>
      <c r="F23" s="55">
        <v>3914.1768750000001</v>
      </c>
      <c r="G23" s="54">
        <v>1.3083377E-2</v>
      </c>
      <c r="H23" s="6"/>
      <c r="I23" s="6"/>
    </row>
    <row r="24" spans="1:9" x14ac:dyDescent="0.2">
      <c r="A24" s="60">
        <v>18</v>
      </c>
      <c r="B24" s="39" t="s">
        <v>197</v>
      </c>
      <c r="C24" s="39" t="s">
        <v>198</v>
      </c>
      <c r="D24" s="39" t="s">
        <v>82</v>
      </c>
      <c r="E24" s="61">
        <v>515226</v>
      </c>
      <c r="F24" s="55">
        <v>3618.947424</v>
      </c>
      <c r="G24" s="54">
        <v>1.2096555E-2</v>
      </c>
      <c r="H24" s="6"/>
      <c r="I24" s="6"/>
    </row>
    <row r="25" spans="1:9" x14ac:dyDescent="0.2">
      <c r="A25" s="60">
        <v>19</v>
      </c>
      <c r="B25" s="39" t="s">
        <v>386</v>
      </c>
      <c r="C25" s="39" t="s">
        <v>387</v>
      </c>
      <c r="D25" s="39" t="s">
        <v>933</v>
      </c>
      <c r="E25" s="61">
        <v>326255</v>
      </c>
      <c r="F25" s="55">
        <v>3606.7490250000001</v>
      </c>
      <c r="G25" s="54">
        <v>1.2055781E-2</v>
      </c>
      <c r="H25" s="6"/>
      <c r="I25" s="6"/>
    </row>
    <row r="26" spans="1:9" x14ac:dyDescent="0.2">
      <c r="A26" s="60">
        <v>20</v>
      </c>
      <c r="B26" s="39" t="s">
        <v>384</v>
      </c>
      <c r="C26" s="39" t="s">
        <v>385</v>
      </c>
      <c r="D26" s="39" t="s">
        <v>947</v>
      </c>
      <c r="E26" s="61">
        <v>92774</v>
      </c>
      <c r="F26" s="55">
        <v>3290.4154579999999</v>
      </c>
      <c r="G26" s="54">
        <v>1.0998416E-2</v>
      </c>
      <c r="H26" s="6"/>
      <c r="I26" s="6"/>
    </row>
    <row r="27" spans="1:9" ht="51" x14ac:dyDescent="0.2">
      <c r="A27" s="60">
        <v>21</v>
      </c>
      <c r="B27" s="39" t="s">
        <v>78</v>
      </c>
      <c r="C27" s="39" t="s">
        <v>79</v>
      </c>
      <c r="D27" s="39" t="s">
        <v>939</v>
      </c>
      <c r="E27" s="61">
        <v>2496366</v>
      </c>
      <c r="F27" s="55">
        <v>3172.8811860000001</v>
      </c>
      <c r="G27" s="54">
        <v>1.0605551E-2</v>
      </c>
      <c r="H27" s="6"/>
      <c r="I27" s="6"/>
    </row>
    <row r="28" spans="1:9" ht="25.5" x14ac:dyDescent="0.2">
      <c r="A28" s="60">
        <v>22</v>
      </c>
      <c r="B28" s="39" t="s">
        <v>718</v>
      </c>
      <c r="C28" s="39" t="s">
        <v>719</v>
      </c>
      <c r="D28" s="39" t="s">
        <v>958</v>
      </c>
      <c r="E28" s="61">
        <v>22304</v>
      </c>
      <c r="F28" s="55">
        <v>3127.890656</v>
      </c>
      <c r="G28" s="54">
        <v>1.0455167E-2</v>
      </c>
      <c r="H28" s="6"/>
      <c r="I28" s="6"/>
    </row>
    <row r="29" spans="1:9" x14ac:dyDescent="0.2">
      <c r="A29" s="60">
        <v>23</v>
      </c>
      <c r="B29" s="39" t="s">
        <v>434</v>
      </c>
      <c r="C29" s="39" t="s">
        <v>435</v>
      </c>
      <c r="D29" s="39" t="s">
        <v>959</v>
      </c>
      <c r="E29" s="61">
        <v>38124</v>
      </c>
      <c r="F29" s="55">
        <v>2942.3340720000001</v>
      </c>
      <c r="G29" s="54">
        <v>9.8349330000000006E-3</v>
      </c>
      <c r="H29" s="6"/>
      <c r="I29" s="6"/>
    </row>
    <row r="30" spans="1:9" x14ac:dyDescent="0.2">
      <c r="A30" s="60">
        <v>24</v>
      </c>
      <c r="B30" s="39" t="s">
        <v>678</v>
      </c>
      <c r="C30" s="39" t="s">
        <v>679</v>
      </c>
      <c r="D30" s="39" t="s">
        <v>18</v>
      </c>
      <c r="E30" s="61">
        <v>290005</v>
      </c>
      <c r="F30" s="55">
        <v>2837.8439275000001</v>
      </c>
      <c r="G30" s="54">
        <v>9.4856679999999992E-3</v>
      </c>
      <c r="H30" s="6"/>
      <c r="I30" s="6"/>
    </row>
    <row r="31" spans="1:9" x14ac:dyDescent="0.2">
      <c r="A31" s="60">
        <v>25</v>
      </c>
      <c r="B31" s="39" t="s">
        <v>286</v>
      </c>
      <c r="C31" s="39" t="s">
        <v>287</v>
      </c>
      <c r="D31" s="39" t="s">
        <v>952</v>
      </c>
      <c r="E31" s="61">
        <v>6015</v>
      </c>
      <c r="F31" s="55">
        <v>2741.5618125000001</v>
      </c>
      <c r="G31" s="54">
        <v>9.163839E-3</v>
      </c>
      <c r="H31" s="6"/>
      <c r="I31" s="6"/>
    </row>
    <row r="32" spans="1:9" x14ac:dyDescent="0.2">
      <c r="A32" s="60">
        <v>26</v>
      </c>
      <c r="B32" s="39" t="s">
        <v>164</v>
      </c>
      <c r="C32" s="39" t="s">
        <v>165</v>
      </c>
      <c r="D32" s="39" t="s">
        <v>944</v>
      </c>
      <c r="E32" s="61">
        <v>552800</v>
      </c>
      <c r="F32" s="55">
        <v>2634.9212000000002</v>
      </c>
      <c r="G32" s="54">
        <v>8.8073860000000004E-3</v>
      </c>
      <c r="H32" s="6"/>
      <c r="I32" s="6"/>
    </row>
    <row r="33" spans="1:9" x14ac:dyDescent="0.2">
      <c r="A33" s="60">
        <v>27</v>
      </c>
      <c r="B33" s="39" t="s">
        <v>87</v>
      </c>
      <c r="C33" s="39" t="s">
        <v>88</v>
      </c>
      <c r="D33" s="39" t="s">
        <v>940</v>
      </c>
      <c r="E33" s="61">
        <v>107625</v>
      </c>
      <c r="F33" s="55">
        <v>2483.5545000000002</v>
      </c>
      <c r="G33" s="54">
        <v>8.3014339999999999E-3</v>
      </c>
      <c r="H33" s="6"/>
      <c r="I33" s="6"/>
    </row>
    <row r="34" spans="1:9" x14ac:dyDescent="0.2">
      <c r="A34" s="60">
        <v>28</v>
      </c>
      <c r="B34" s="39" t="s">
        <v>392</v>
      </c>
      <c r="C34" s="39" t="s">
        <v>393</v>
      </c>
      <c r="D34" s="39" t="s">
        <v>947</v>
      </c>
      <c r="E34" s="61">
        <v>455339</v>
      </c>
      <c r="F34" s="55">
        <v>2316.7648319999998</v>
      </c>
      <c r="G34" s="54">
        <v>7.7439290000000001E-3</v>
      </c>
      <c r="H34" s="6"/>
      <c r="I34" s="6"/>
    </row>
    <row r="35" spans="1:9" ht="25.5" x14ac:dyDescent="0.2">
      <c r="A35" s="60">
        <v>29</v>
      </c>
      <c r="B35" s="39" t="s">
        <v>313</v>
      </c>
      <c r="C35" s="39" t="s">
        <v>314</v>
      </c>
      <c r="D35" s="39" t="s">
        <v>71</v>
      </c>
      <c r="E35" s="61">
        <v>601183</v>
      </c>
      <c r="F35" s="55">
        <v>2313.3521839999999</v>
      </c>
      <c r="G35" s="54">
        <v>7.7325220000000004E-3</v>
      </c>
      <c r="H35" s="6"/>
      <c r="I35" s="6"/>
    </row>
    <row r="36" spans="1:9" x14ac:dyDescent="0.2">
      <c r="A36" s="60">
        <v>30</v>
      </c>
      <c r="B36" s="39" t="s">
        <v>569</v>
      </c>
      <c r="C36" s="39" t="s">
        <v>570</v>
      </c>
      <c r="D36" s="39" t="s">
        <v>959</v>
      </c>
      <c r="E36" s="61">
        <v>59604</v>
      </c>
      <c r="F36" s="55">
        <v>2222.9609820000001</v>
      </c>
      <c r="G36" s="54">
        <v>7.4303839999999999E-3</v>
      </c>
      <c r="H36" s="6"/>
      <c r="I36" s="6"/>
    </row>
    <row r="37" spans="1:9" ht="25.5" x14ac:dyDescent="0.2">
      <c r="A37" s="60">
        <v>31</v>
      </c>
      <c r="B37" s="39" t="s">
        <v>80</v>
      </c>
      <c r="C37" s="39" t="s">
        <v>81</v>
      </c>
      <c r="D37" s="39" t="s">
        <v>82</v>
      </c>
      <c r="E37" s="61">
        <v>268716</v>
      </c>
      <c r="F37" s="55">
        <v>1985.1394499999999</v>
      </c>
      <c r="G37" s="54">
        <v>6.6354509999999997E-3</v>
      </c>
      <c r="H37" s="6"/>
      <c r="I37" s="6"/>
    </row>
    <row r="38" spans="1:9" x14ac:dyDescent="0.2">
      <c r="A38" s="60">
        <v>32</v>
      </c>
      <c r="B38" s="39" t="s">
        <v>404</v>
      </c>
      <c r="C38" s="39" t="s">
        <v>405</v>
      </c>
      <c r="D38" s="39" t="s">
        <v>406</v>
      </c>
      <c r="E38" s="61">
        <v>381012</v>
      </c>
      <c r="F38" s="55">
        <v>1838.954418</v>
      </c>
      <c r="G38" s="54">
        <v>6.1468180000000001E-3</v>
      </c>
      <c r="H38" s="6"/>
      <c r="I38" s="6"/>
    </row>
    <row r="39" spans="1:9" x14ac:dyDescent="0.2">
      <c r="A39" s="60">
        <v>33</v>
      </c>
      <c r="B39" s="39" t="s">
        <v>102</v>
      </c>
      <c r="C39" s="39" t="s">
        <v>103</v>
      </c>
      <c r="D39" s="39" t="s">
        <v>57</v>
      </c>
      <c r="E39" s="61">
        <v>520094</v>
      </c>
      <c r="F39" s="55">
        <v>1832.811256</v>
      </c>
      <c r="G39" s="54">
        <v>6.1262850000000004E-3</v>
      </c>
      <c r="H39" s="6"/>
      <c r="I39" s="6"/>
    </row>
    <row r="40" spans="1:9" x14ac:dyDescent="0.2">
      <c r="A40" s="60">
        <v>34</v>
      </c>
      <c r="B40" s="39" t="s">
        <v>279</v>
      </c>
      <c r="C40" s="39" t="s">
        <v>280</v>
      </c>
      <c r="D40" s="39" t="s">
        <v>18</v>
      </c>
      <c r="E40" s="61">
        <v>747453</v>
      </c>
      <c r="F40" s="55">
        <v>1601.044326</v>
      </c>
      <c r="G40" s="54">
        <v>5.3515890000000003E-3</v>
      </c>
      <c r="H40" s="6"/>
      <c r="I40" s="6"/>
    </row>
    <row r="41" spans="1:9" x14ac:dyDescent="0.2">
      <c r="A41" s="60">
        <v>35</v>
      </c>
      <c r="B41" s="39" t="s">
        <v>422</v>
      </c>
      <c r="C41" s="39" t="s">
        <v>423</v>
      </c>
      <c r="D41" s="39" t="s">
        <v>955</v>
      </c>
      <c r="E41" s="61">
        <v>73067</v>
      </c>
      <c r="F41" s="55">
        <v>1531.8861884999999</v>
      </c>
      <c r="G41" s="54">
        <v>5.1204240000000002E-3</v>
      </c>
      <c r="H41" s="6"/>
      <c r="I41" s="6"/>
    </row>
    <row r="42" spans="1:9" x14ac:dyDescent="0.2">
      <c r="A42" s="60">
        <v>36</v>
      </c>
      <c r="B42" s="39" t="s">
        <v>347</v>
      </c>
      <c r="C42" s="39" t="s">
        <v>348</v>
      </c>
      <c r="D42" s="39" t="s">
        <v>948</v>
      </c>
      <c r="E42" s="61">
        <v>602752</v>
      </c>
      <c r="F42" s="55">
        <v>1495.729088</v>
      </c>
      <c r="G42" s="54">
        <v>4.9995669999999999E-3</v>
      </c>
      <c r="H42" s="6"/>
      <c r="I42" s="6"/>
    </row>
    <row r="43" spans="1:9" x14ac:dyDescent="0.2">
      <c r="A43" s="60">
        <v>37</v>
      </c>
      <c r="B43" s="39" t="s">
        <v>418</v>
      </c>
      <c r="C43" s="39" t="s">
        <v>419</v>
      </c>
      <c r="D43" s="39" t="s">
        <v>82</v>
      </c>
      <c r="E43" s="61">
        <v>21606</v>
      </c>
      <c r="F43" s="55">
        <v>1441.509108</v>
      </c>
      <c r="G43" s="54">
        <v>4.8183330000000002E-3</v>
      </c>
      <c r="H43" s="6"/>
      <c r="I43" s="6"/>
    </row>
    <row r="44" spans="1:9" x14ac:dyDescent="0.2">
      <c r="A44" s="60">
        <v>38</v>
      </c>
      <c r="B44" s="39" t="s">
        <v>394</v>
      </c>
      <c r="C44" s="39" t="s">
        <v>395</v>
      </c>
      <c r="D44" s="39" t="s">
        <v>947</v>
      </c>
      <c r="E44" s="61">
        <v>131861</v>
      </c>
      <c r="F44" s="55">
        <v>1423.1098425</v>
      </c>
      <c r="G44" s="54">
        <v>4.7568319999999999E-3</v>
      </c>
      <c r="H44" s="6"/>
      <c r="I44" s="6"/>
    </row>
    <row r="45" spans="1:9" ht="25.5" x14ac:dyDescent="0.2">
      <c r="A45" s="60">
        <v>39</v>
      </c>
      <c r="B45" s="39" t="s">
        <v>22</v>
      </c>
      <c r="C45" s="39" t="s">
        <v>23</v>
      </c>
      <c r="D45" s="39" t="s">
        <v>935</v>
      </c>
      <c r="E45" s="61">
        <v>21379</v>
      </c>
      <c r="F45" s="55">
        <v>1417.4811474999999</v>
      </c>
      <c r="G45" s="54">
        <v>4.7380180000000001E-3</v>
      </c>
      <c r="H45" s="6"/>
      <c r="I45" s="6"/>
    </row>
    <row r="46" spans="1:9" x14ac:dyDescent="0.2">
      <c r="A46" s="60">
        <v>40</v>
      </c>
      <c r="B46" s="39" t="s">
        <v>27</v>
      </c>
      <c r="C46" s="39" t="s">
        <v>28</v>
      </c>
      <c r="D46" s="39" t="s">
        <v>29</v>
      </c>
      <c r="E46" s="61">
        <v>900000</v>
      </c>
      <c r="F46" s="55">
        <v>1405.8</v>
      </c>
      <c r="G46" s="54">
        <v>4.6989730000000004E-3</v>
      </c>
      <c r="H46" s="6"/>
      <c r="I46" s="6"/>
    </row>
    <row r="47" spans="1:9" ht="51" x14ac:dyDescent="0.2">
      <c r="A47" s="60">
        <v>41</v>
      </c>
      <c r="B47" s="39" t="s">
        <v>83</v>
      </c>
      <c r="C47" s="39" t="s">
        <v>84</v>
      </c>
      <c r="D47" s="39" t="s">
        <v>939</v>
      </c>
      <c r="E47" s="61">
        <v>80000</v>
      </c>
      <c r="F47" s="55">
        <v>1327.88</v>
      </c>
      <c r="G47" s="54">
        <v>4.438521E-3</v>
      </c>
      <c r="H47" s="6"/>
      <c r="I47" s="6"/>
    </row>
    <row r="48" spans="1:9" x14ac:dyDescent="0.2">
      <c r="A48" s="60">
        <v>42</v>
      </c>
      <c r="B48" s="39" t="s">
        <v>416</v>
      </c>
      <c r="C48" s="39" t="s">
        <v>417</v>
      </c>
      <c r="D48" s="39" t="s">
        <v>18</v>
      </c>
      <c r="E48" s="61">
        <v>530000</v>
      </c>
      <c r="F48" s="55">
        <v>1217.145</v>
      </c>
      <c r="G48" s="54">
        <v>4.0683819999999997E-3</v>
      </c>
      <c r="H48" s="6"/>
      <c r="I48" s="6"/>
    </row>
    <row r="49" spans="1:9" ht="25.5" x14ac:dyDescent="0.2">
      <c r="A49" s="60">
        <v>43</v>
      </c>
      <c r="B49" s="39" t="s">
        <v>158</v>
      </c>
      <c r="C49" s="39" t="s">
        <v>159</v>
      </c>
      <c r="D49" s="39" t="s">
        <v>941</v>
      </c>
      <c r="E49" s="61">
        <v>171598</v>
      </c>
      <c r="F49" s="55">
        <v>1216.7156190000001</v>
      </c>
      <c r="G49" s="54">
        <v>4.0669469999999996E-3</v>
      </c>
      <c r="H49" s="6"/>
      <c r="I49" s="6"/>
    </row>
    <row r="50" spans="1:9" x14ac:dyDescent="0.2">
      <c r="A50" s="60">
        <v>44</v>
      </c>
      <c r="B50" s="39" t="s">
        <v>292</v>
      </c>
      <c r="C50" s="39" t="s">
        <v>293</v>
      </c>
      <c r="D50" s="39" t="s">
        <v>233</v>
      </c>
      <c r="E50" s="61">
        <v>24177</v>
      </c>
      <c r="F50" s="55">
        <v>1076.9281994999999</v>
      </c>
      <c r="G50" s="54">
        <v>3.599699E-3</v>
      </c>
      <c r="H50" s="6"/>
      <c r="I50" s="6"/>
    </row>
    <row r="51" spans="1:9" x14ac:dyDescent="0.2">
      <c r="A51" s="60">
        <v>45</v>
      </c>
      <c r="B51" s="39" t="s">
        <v>733</v>
      </c>
      <c r="C51" s="39" t="s">
        <v>734</v>
      </c>
      <c r="D51" s="39" t="s">
        <v>948</v>
      </c>
      <c r="E51" s="61">
        <v>57600</v>
      </c>
      <c r="F51" s="55">
        <v>1053.4752000000001</v>
      </c>
      <c r="G51" s="54">
        <v>3.5213060000000001E-3</v>
      </c>
      <c r="H51" s="6"/>
      <c r="I51" s="6"/>
    </row>
    <row r="52" spans="1:9" x14ac:dyDescent="0.2">
      <c r="A52" s="60">
        <v>46</v>
      </c>
      <c r="B52" s="39" t="s">
        <v>407</v>
      </c>
      <c r="C52" s="39" t="s">
        <v>408</v>
      </c>
      <c r="D52" s="39" t="s">
        <v>18</v>
      </c>
      <c r="E52" s="61">
        <v>56873</v>
      </c>
      <c r="F52" s="55">
        <v>1018.4532475</v>
      </c>
      <c r="G52" s="54">
        <v>3.4042429999999999E-3</v>
      </c>
      <c r="H52" s="6"/>
      <c r="I52" s="6"/>
    </row>
    <row r="53" spans="1:9" ht="25.5" x14ac:dyDescent="0.2">
      <c r="A53" s="60">
        <v>47</v>
      </c>
      <c r="B53" s="39" t="s">
        <v>46</v>
      </c>
      <c r="C53" s="39" t="s">
        <v>47</v>
      </c>
      <c r="D53" s="39" t="s">
        <v>937</v>
      </c>
      <c r="E53" s="61">
        <v>109708</v>
      </c>
      <c r="F53" s="55">
        <v>939.539312</v>
      </c>
      <c r="G53" s="54">
        <v>3.140468E-3</v>
      </c>
      <c r="H53" s="6"/>
      <c r="I53" s="6"/>
    </row>
    <row r="54" spans="1:9" ht="25.5" x14ac:dyDescent="0.2">
      <c r="A54" s="60">
        <v>48</v>
      </c>
      <c r="B54" s="39" t="s">
        <v>333</v>
      </c>
      <c r="C54" s="39" t="s">
        <v>334</v>
      </c>
      <c r="D54" s="39" t="s">
        <v>957</v>
      </c>
      <c r="E54" s="61">
        <v>32045</v>
      </c>
      <c r="F54" s="55">
        <v>912.62557749999996</v>
      </c>
      <c r="G54" s="54">
        <v>3.050507E-3</v>
      </c>
      <c r="H54" s="6"/>
      <c r="I54" s="6"/>
    </row>
    <row r="55" spans="1:9" x14ac:dyDescent="0.2">
      <c r="A55" s="60">
        <v>49</v>
      </c>
      <c r="B55" s="39" t="s">
        <v>201</v>
      </c>
      <c r="C55" s="39" t="s">
        <v>202</v>
      </c>
      <c r="D55" s="39" t="s">
        <v>923</v>
      </c>
      <c r="E55" s="61">
        <v>79865</v>
      </c>
      <c r="F55" s="55">
        <v>867.69329249999998</v>
      </c>
      <c r="G55" s="54">
        <v>2.9003179999999998E-3</v>
      </c>
      <c r="H55" s="6"/>
      <c r="I55" s="6"/>
    </row>
    <row r="56" spans="1:9" x14ac:dyDescent="0.2">
      <c r="A56" s="60">
        <v>50</v>
      </c>
      <c r="B56" s="39" t="s">
        <v>650</v>
      </c>
      <c r="C56" s="39" t="s">
        <v>651</v>
      </c>
      <c r="D56" s="39" t="s">
        <v>958</v>
      </c>
      <c r="E56" s="61">
        <v>109291</v>
      </c>
      <c r="F56" s="55">
        <v>855.09278400000005</v>
      </c>
      <c r="G56" s="54">
        <v>2.8582E-3</v>
      </c>
      <c r="H56" s="6"/>
      <c r="I56" s="6"/>
    </row>
    <row r="57" spans="1:9" ht="25.5" x14ac:dyDescent="0.2">
      <c r="A57" s="60">
        <v>51</v>
      </c>
      <c r="B57" s="39" t="s">
        <v>284</v>
      </c>
      <c r="C57" s="39" t="s">
        <v>285</v>
      </c>
      <c r="D57" s="39" t="s">
        <v>946</v>
      </c>
      <c r="E57" s="61">
        <v>31952</v>
      </c>
      <c r="F57" s="55">
        <v>802.85790399999996</v>
      </c>
      <c r="G57" s="54">
        <v>2.6836020000000002E-3</v>
      </c>
      <c r="H57" s="6"/>
      <c r="I57" s="6"/>
    </row>
    <row r="58" spans="1:9" x14ac:dyDescent="0.2">
      <c r="A58" s="60">
        <v>52</v>
      </c>
      <c r="B58" s="39" t="s">
        <v>203</v>
      </c>
      <c r="C58" s="39" t="s">
        <v>204</v>
      </c>
      <c r="D58" s="39" t="s">
        <v>82</v>
      </c>
      <c r="E58" s="61">
        <v>132000</v>
      </c>
      <c r="F58" s="55">
        <v>781.63800000000003</v>
      </c>
      <c r="G58" s="54">
        <v>2.6126729999999998E-3</v>
      </c>
      <c r="H58" s="6"/>
      <c r="I58" s="6"/>
    </row>
    <row r="59" spans="1:9" x14ac:dyDescent="0.2">
      <c r="A59" s="60">
        <v>53</v>
      </c>
      <c r="B59" s="39" t="s">
        <v>359</v>
      </c>
      <c r="C59" s="39" t="s">
        <v>360</v>
      </c>
      <c r="D59" s="39" t="s">
        <v>940</v>
      </c>
      <c r="E59" s="61">
        <v>84824</v>
      </c>
      <c r="F59" s="55">
        <v>775.88512800000001</v>
      </c>
      <c r="G59" s="54">
        <v>2.5934439999999999E-3</v>
      </c>
      <c r="H59" s="6"/>
      <c r="I59" s="6"/>
    </row>
    <row r="60" spans="1:9" ht="25.5" x14ac:dyDescent="0.2">
      <c r="A60" s="60">
        <v>54</v>
      </c>
      <c r="B60" s="39" t="s">
        <v>414</v>
      </c>
      <c r="C60" s="39" t="s">
        <v>415</v>
      </c>
      <c r="D60" s="39" t="s">
        <v>945</v>
      </c>
      <c r="E60" s="61">
        <v>15996</v>
      </c>
      <c r="F60" s="55">
        <v>720.68378399999995</v>
      </c>
      <c r="G60" s="54">
        <v>2.4089300000000001E-3</v>
      </c>
      <c r="H60" s="6"/>
      <c r="I60" s="6"/>
    </row>
    <row r="61" spans="1:9" x14ac:dyDescent="0.2">
      <c r="A61" s="60">
        <v>55</v>
      </c>
      <c r="B61" s="39" t="s">
        <v>424</v>
      </c>
      <c r="C61" s="39" t="s">
        <v>425</v>
      </c>
      <c r="D61" s="39" t="s">
        <v>959</v>
      </c>
      <c r="E61" s="61">
        <v>53471</v>
      </c>
      <c r="F61" s="55">
        <v>233.98909599999999</v>
      </c>
      <c r="G61" s="54">
        <v>7.8212300000000002E-4</v>
      </c>
      <c r="H61" s="6"/>
      <c r="I61" s="6"/>
    </row>
    <row r="62" spans="1:9" ht="25.5" x14ac:dyDescent="0.2">
      <c r="A62" s="60">
        <v>56</v>
      </c>
      <c r="B62" s="39" t="s">
        <v>409</v>
      </c>
      <c r="C62" s="4" t="s">
        <v>926</v>
      </c>
      <c r="D62" s="4" t="s">
        <v>21</v>
      </c>
      <c r="E62" s="61">
        <v>53340</v>
      </c>
      <c r="F62" s="55">
        <v>182.92953</v>
      </c>
      <c r="G62" s="54">
        <v>6.1145299999999997E-4</v>
      </c>
      <c r="H62" s="6"/>
      <c r="I62" s="6"/>
    </row>
    <row r="63" spans="1:9" ht="14.1" customHeight="1" x14ac:dyDescent="0.2">
      <c r="A63" s="57"/>
      <c r="B63" s="57"/>
      <c r="C63" s="34" t="s">
        <v>111</v>
      </c>
      <c r="D63" s="57"/>
      <c r="E63" s="57" t="s">
        <v>112</v>
      </c>
      <c r="F63" s="52">
        <v>210793.85642389994</v>
      </c>
      <c r="G63" s="51">
        <v>0.7045850509999998</v>
      </c>
      <c r="H63" s="6"/>
      <c r="I63" s="6"/>
    </row>
    <row r="64" spans="1:9" ht="14.1" customHeight="1" x14ac:dyDescent="0.2">
      <c r="A64" s="57"/>
      <c r="B64" s="57"/>
      <c r="C64" s="53"/>
      <c r="D64" s="57"/>
      <c r="E64" s="57"/>
      <c r="F64" s="47"/>
      <c r="G64" s="47"/>
      <c r="H64" s="6"/>
      <c r="I64" s="6"/>
    </row>
    <row r="65" spans="1:9" ht="14.1" customHeight="1" x14ac:dyDescent="0.2">
      <c r="A65" s="57"/>
      <c r="B65" s="57"/>
      <c r="C65" s="34" t="s">
        <v>113</v>
      </c>
      <c r="D65" s="57"/>
      <c r="E65" s="57"/>
      <c r="F65" s="57"/>
      <c r="G65" s="57"/>
      <c r="H65" s="6"/>
      <c r="I65" s="6"/>
    </row>
    <row r="66" spans="1:9" ht="14.1" customHeight="1" x14ac:dyDescent="0.2">
      <c r="A66" s="57"/>
      <c r="B66" s="57"/>
      <c r="C66" s="34" t="s">
        <v>111</v>
      </c>
      <c r="D66" s="57"/>
      <c r="E66" s="57" t="s">
        <v>112</v>
      </c>
      <c r="F66" s="59">
        <v>0</v>
      </c>
      <c r="G66" s="58">
        <v>0</v>
      </c>
      <c r="H66" s="6"/>
      <c r="I66" s="6"/>
    </row>
    <row r="67" spans="1:9" ht="14.1" customHeight="1" x14ac:dyDescent="0.2">
      <c r="A67" s="57"/>
      <c r="B67" s="57"/>
      <c r="C67" s="53"/>
      <c r="D67" s="57"/>
      <c r="E67" s="57"/>
      <c r="F67" s="47"/>
      <c r="G67" s="47"/>
      <c r="H67" s="6"/>
      <c r="I67" s="6"/>
    </row>
    <row r="68" spans="1:9" ht="14.1" customHeight="1" x14ac:dyDescent="0.2">
      <c r="A68" s="57"/>
      <c r="B68" s="57"/>
      <c r="C68" s="34" t="s">
        <v>114</v>
      </c>
      <c r="D68" s="57"/>
      <c r="E68" s="57"/>
      <c r="F68" s="57"/>
      <c r="G68" s="57"/>
      <c r="H68" s="6"/>
      <c r="I68" s="6"/>
    </row>
    <row r="69" spans="1:9" ht="17.100000000000001" customHeight="1" x14ac:dyDescent="0.2">
      <c r="A69" s="60">
        <v>1</v>
      </c>
      <c r="B69" s="39" t="s">
        <v>630</v>
      </c>
      <c r="C69" s="4" t="s">
        <v>976</v>
      </c>
      <c r="D69" s="39" t="s">
        <v>944</v>
      </c>
      <c r="E69" s="61">
        <v>30579</v>
      </c>
      <c r="F69" s="55">
        <v>1.9142454</v>
      </c>
      <c r="G69" s="56" t="s">
        <v>110</v>
      </c>
      <c r="H69" s="6"/>
      <c r="I69" s="6"/>
    </row>
    <row r="70" spans="1:9" ht="14.1" customHeight="1" x14ac:dyDescent="0.2">
      <c r="A70" s="57"/>
      <c r="B70" s="57"/>
      <c r="C70" s="34" t="s">
        <v>111</v>
      </c>
      <c r="D70" s="57"/>
      <c r="E70" s="57" t="s">
        <v>112</v>
      </c>
      <c r="F70" s="59">
        <v>0</v>
      </c>
      <c r="G70" s="58">
        <v>0</v>
      </c>
      <c r="H70" s="6"/>
      <c r="I70" s="6"/>
    </row>
    <row r="71" spans="1:9" ht="14.1" customHeight="1" x14ac:dyDescent="0.2">
      <c r="A71" s="57"/>
      <c r="B71" s="57"/>
      <c r="C71" s="53"/>
      <c r="D71" s="57"/>
      <c r="E71" s="57"/>
      <c r="F71" s="47"/>
      <c r="G71" s="47"/>
      <c r="H71" s="6"/>
      <c r="I71" s="6"/>
    </row>
    <row r="72" spans="1:9" ht="14.1" customHeight="1" x14ac:dyDescent="0.2">
      <c r="A72" s="57"/>
      <c r="B72" s="57"/>
      <c r="C72" s="34" t="s">
        <v>115</v>
      </c>
      <c r="D72" s="57"/>
      <c r="E72" s="57"/>
      <c r="F72" s="57"/>
      <c r="G72" s="57"/>
      <c r="H72" s="6"/>
      <c r="I72" s="6"/>
    </row>
    <row r="73" spans="1:9" ht="14.1" customHeight="1" x14ac:dyDescent="0.2">
      <c r="A73" s="57"/>
      <c r="B73" s="57"/>
      <c r="C73" s="34" t="s">
        <v>111</v>
      </c>
      <c r="D73" s="57"/>
      <c r="E73" s="57" t="s">
        <v>112</v>
      </c>
      <c r="F73" s="52">
        <v>0</v>
      </c>
      <c r="G73" s="51">
        <v>0</v>
      </c>
      <c r="H73" s="6"/>
      <c r="I73" s="6"/>
    </row>
    <row r="74" spans="1:9" ht="14.1" customHeight="1" x14ac:dyDescent="0.2">
      <c r="A74" s="57"/>
      <c r="B74" s="57"/>
      <c r="C74" s="53"/>
      <c r="D74" s="57"/>
      <c r="E74" s="57"/>
      <c r="F74" s="47"/>
      <c r="G74" s="47"/>
      <c r="H74" s="6"/>
      <c r="I74" s="6"/>
    </row>
    <row r="75" spans="1:9" ht="14.1" customHeight="1" x14ac:dyDescent="0.2">
      <c r="A75" s="57"/>
      <c r="B75" s="57"/>
      <c r="C75" s="34" t="s">
        <v>116</v>
      </c>
      <c r="D75" s="57"/>
      <c r="E75" s="57"/>
      <c r="F75" s="47"/>
      <c r="G75" s="47"/>
      <c r="H75" s="6"/>
      <c r="I75" s="6"/>
    </row>
    <row r="76" spans="1:9" ht="14.1" customHeight="1" x14ac:dyDescent="0.2">
      <c r="A76" s="57"/>
      <c r="B76" s="57"/>
      <c r="C76" s="34" t="s">
        <v>111</v>
      </c>
      <c r="D76" s="57"/>
      <c r="E76" s="57" t="s">
        <v>112</v>
      </c>
      <c r="F76" s="59">
        <v>0</v>
      </c>
      <c r="G76" s="58">
        <v>0</v>
      </c>
      <c r="H76" s="6"/>
      <c r="I76" s="6"/>
    </row>
    <row r="77" spans="1:9" ht="14.1" customHeight="1" x14ac:dyDescent="0.2">
      <c r="A77" s="57"/>
      <c r="B77" s="57"/>
      <c r="C77" s="53"/>
      <c r="D77" s="57"/>
      <c r="E77" s="57"/>
      <c r="F77" s="47"/>
      <c r="G77" s="47"/>
      <c r="H77" s="6"/>
      <c r="I77" s="6"/>
    </row>
    <row r="78" spans="1:9" ht="14.1" customHeight="1" x14ac:dyDescent="0.2">
      <c r="A78" s="57"/>
      <c r="B78" s="57"/>
      <c r="C78" s="34" t="s">
        <v>117</v>
      </c>
      <c r="D78" s="57"/>
      <c r="E78" s="57"/>
      <c r="F78" s="47"/>
      <c r="G78" s="47"/>
      <c r="H78" s="6"/>
      <c r="I78" s="6"/>
    </row>
    <row r="79" spans="1:9" ht="14.1" customHeight="1" x14ac:dyDescent="0.2">
      <c r="A79" s="57"/>
      <c r="B79" s="57"/>
      <c r="C79" s="34" t="s">
        <v>111</v>
      </c>
      <c r="D79" s="57"/>
      <c r="E79" s="57" t="s">
        <v>112</v>
      </c>
      <c r="F79" s="59">
        <v>0</v>
      </c>
      <c r="G79" s="58">
        <v>0</v>
      </c>
      <c r="H79" s="6"/>
      <c r="I79" s="6"/>
    </row>
    <row r="80" spans="1:9" ht="14.1" customHeight="1" x14ac:dyDescent="0.2">
      <c r="A80" s="57"/>
      <c r="B80" s="57"/>
      <c r="C80" s="53"/>
      <c r="D80" s="57"/>
      <c r="E80" s="57"/>
      <c r="F80" s="47"/>
      <c r="G80" s="47"/>
      <c r="H80" s="6"/>
      <c r="I80" s="6"/>
    </row>
    <row r="81" spans="1:9" ht="18" customHeight="1" x14ac:dyDescent="0.2">
      <c r="A81" s="57"/>
      <c r="B81" s="57"/>
      <c r="C81" s="34" t="s">
        <v>118</v>
      </c>
      <c r="D81" s="57"/>
      <c r="E81" s="57"/>
      <c r="F81" s="52">
        <v>210793.8564239</v>
      </c>
      <c r="G81" s="51">
        <v>0.70459144900000004</v>
      </c>
      <c r="H81" s="6"/>
      <c r="I81" s="6"/>
    </row>
    <row r="82" spans="1:9" ht="14.1" customHeight="1" x14ac:dyDescent="0.2">
      <c r="A82" s="57"/>
      <c r="B82" s="57"/>
      <c r="C82" s="53"/>
      <c r="D82" s="57"/>
      <c r="E82" s="57"/>
      <c r="F82" s="47"/>
      <c r="G82" s="47"/>
      <c r="H82" s="6"/>
      <c r="I82" s="6"/>
    </row>
    <row r="83" spans="1:9" ht="14.1" customHeight="1" x14ac:dyDescent="0.2">
      <c r="A83" s="57"/>
      <c r="B83" s="57"/>
      <c r="C83" s="34" t="s">
        <v>119</v>
      </c>
      <c r="D83" s="57"/>
      <c r="E83" s="57"/>
      <c r="F83" s="47"/>
      <c r="G83" s="47"/>
      <c r="H83" s="6"/>
      <c r="I83" s="6"/>
    </row>
    <row r="84" spans="1:9" ht="24" customHeight="1" x14ac:dyDescent="0.2">
      <c r="A84" s="57"/>
      <c r="B84" s="57"/>
      <c r="C84" s="34" t="s">
        <v>10</v>
      </c>
      <c r="D84" s="57"/>
      <c r="E84" s="57"/>
      <c r="F84" s="47"/>
      <c r="G84" s="47"/>
      <c r="H84" s="183"/>
      <c r="I84" s="6"/>
    </row>
    <row r="85" spans="1:9" ht="29.1" customHeight="1" x14ac:dyDescent="0.2">
      <c r="A85" s="60">
        <v>1</v>
      </c>
      <c r="B85" s="39" t="s">
        <v>829</v>
      </c>
      <c r="C85" s="39" t="s">
        <v>828</v>
      </c>
      <c r="D85" s="39" t="s">
        <v>995</v>
      </c>
      <c r="E85" s="61">
        <v>400</v>
      </c>
      <c r="F85" s="55">
        <v>4001.252</v>
      </c>
      <c r="G85" s="54">
        <v>1.3374431000000001E-2</v>
      </c>
      <c r="H85" s="183">
        <v>4.32</v>
      </c>
      <c r="I85" s="6"/>
    </row>
    <row r="86" spans="1:9" ht="29.1" customHeight="1" x14ac:dyDescent="0.2">
      <c r="A86" s="60">
        <v>2</v>
      </c>
      <c r="B86" s="39" t="s">
        <v>827</v>
      </c>
      <c r="C86" s="39" t="s">
        <v>826</v>
      </c>
      <c r="D86" s="39" t="s">
        <v>589</v>
      </c>
      <c r="E86" s="61">
        <v>250</v>
      </c>
      <c r="F86" s="55">
        <v>2536.2125000000001</v>
      </c>
      <c r="G86" s="54">
        <v>8.4774470000000008E-3</v>
      </c>
      <c r="H86" s="183">
        <v>5.27</v>
      </c>
      <c r="I86" s="6"/>
    </row>
    <row r="87" spans="1:9" ht="29.1" customHeight="1" x14ac:dyDescent="0.2">
      <c r="A87" s="60">
        <v>3</v>
      </c>
      <c r="B87" s="39" t="s">
        <v>825</v>
      </c>
      <c r="C87" s="39" t="s">
        <v>824</v>
      </c>
      <c r="D87" s="39" t="s">
        <v>604</v>
      </c>
      <c r="E87" s="61">
        <v>250</v>
      </c>
      <c r="F87" s="55">
        <v>2522.65</v>
      </c>
      <c r="G87" s="54">
        <v>8.4321129999999998E-3</v>
      </c>
      <c r="H87" s="183">
        <v>4.3949999999999996</v>
      </c>
      <c r="I87" s="6"/>
    </row>
    <row r="88" spans="1:9" ht="38.25" x14ac:dyDescent="0.2">
      <c r="A88" s="60">
        <v>4</v>
      </c>
      <c r="B88" s="39" t="s">
        <v>823</v>
      </c>
      <c r="C88" s="4" t="s">
        <v>1108</v>
      </c>
      <c r="D88" s="39" t="s">
        <v>799</v>
      </c>
      <c r="E88" s="61">
        <v>250</v>
      </c>
      <c r="F88" s="55">
        <v>2515.4650000000001</v>
      </c>
      <c r="G88" s="54">
        <v>8.4080969999999998E-3</v>
      </c>
      <c r="H88" s="183">
        <v>8.0815000000000001</v>
      </c>
      <c r="I88" s="6">
        <v>5.36</v>
      </c>
    </row>
    <row r="89" spans="1:9" x14ac:dyDescent="0.2">
      <c r="A89" s="60">
        <v>5</v>
      </c>
      <c r="B89" s="39" t="s">
        <v>822</v>
      </c>
      <c r="C89" s="39" t="s">
        <v>821</v>
      </c>
      <c r="D89" s="39" t="s">
        <v>589</v>
      </c>
      <c r="E89" s="61">
        <v>250</v>
      </c>
      <c r="F89" s="55">
        <v>2487.67</v>
      </c>
      <c r="G89" s="54">
        <v>8.3151900000000001E-3</v>
      </c>
      <c r="H89" s="183">
        <v>5.9787999999999997</v>
      </c>
      <c r="I89" s="6"/>
    </row>
    <row r="90" spans="1:9" ht="38.25" x14ac:dyDescent="0.2">
      <c r="A90" s="60">
        <v>6</v>
      </c>
      <c r="B90" s="39" t="s">
        <v>820</v>
      </c>
      <c r="C90" s="4" t="s">
        <v>1109</v>
      </c>
      <c r="D90" s="39" t="s">
        <v>799</v>
      </c>
      <c r="E90" s="61">
        <v>230</v>
      </c>
      <c r="F90" s="55">
        <v>2302.0814999999998</v>
      </c>
      <c r="G90" s="54">
        <v>7.6948490000000001E-3</v>
      </c>
      <c r="H90" s="183">
        <v>5.3825000000000003</v>
      </c>
      <c r="I90" s="6">
        <v>5.38</v>
      </c>
    </row>
    <row r="91" spans="1:9" ht="25.5" x14ac:dyDescent="0.2">
      <c r="A91" s="60">
        <v>7</v>
      </c>
      <c r="B91" s="39" t="s">
        <v>819</v>
      </c>
      <c r="C91" s="39" t="s">
        <v>818</v>
      </c>
      <c r="D91" s="39" t="s">
        <v>604</v>
      </c>
      <c r="E91" s="61">
        <v>200</v>
      </c>
      <c r="F91" s="55">
        <v>1980.9739999999999</v>
      </c>
      <c r="G91" s="54">
        <v>6.6215279999999998E-3</v>
      </c>
      <c r="H91" s="183">
        <v>5.6749999999999998</v>
      </c>
      <c r="I91" s="6"/>
    </row>
    <row r="92" spans="1:9" ht="38.25" x14ac:dyDescent="0.2">
      <c r="A92" s="60">
        <v>8</v>
      </c>
      <c r="B92" s="39" t="s">
        <v>817</v>
      </c>
      <c r="C92" s="4" t="s">
        <v>1112</v>
      </c>
      <c r="D92" s="39" t="s">
        <v>816</v>
      </c>
      <c r="E92" s="61">
        <v>150</v>
      </c>
      <c r="F92" s="55">
        <v>1558.1144999999999</v>
      </c>
      <c r="G92" s="54">
        <v>5.2080939999999999E-3</v>
      </c>
      <c r="H92" s="183">
        <v>7.7840999999999996</v>
      </c>
      <c r="I92" s="6">
        <v>6.18</v>
      </c>
    </row>
    <row r="93" spans="1:9" ht="25.5" x14ac:dyDescent="0.2">
      <c r="A93" s="60">
        <v>9</v>
      </c>
      <c r="B93" s="39" t="s">
        <v>815</v>
      </c>
      <c r="C93" s="39" t="s">
        <v>814</v>
      </c>
      <c r="D93" s="39" t="s">
        <v>589</v>
      </c>
      <c r="E93" s="61">
        <v>150</v>
      </c>
      <c r="F93" s="55">
        <v>1538.9835</v>
      </c>
      <c r="G93" s="54">
        <v>5.144147E-3</v>
      </c>
      <c r="H93" s="183">
        <v>5.9349999999999996</v>
      </c>
      <c r="I93" s="6"/>
    </row>
    <row r="94" spans="1:9" ht="25.5" x14ac:dyDescent="0.2">
      <c r="A94" s="60">
        <v>10</v>
      </c>
      <c r="B94" s="39" t="s">
        <v>813</v>
      </c>
      <c r="C94" s="39" t="s">
        <v>812</v>
      </c>
      <c r="D94" s="39" t="s">
        <v>589</v>
      </c>
      <c r="E94" s="61">
        <v>150</v>
      </c>
      <c r="F94" s="55">
        <v>1532.808</v>
      </c>
      <c r="G94" s="54">
        <v>5.1235050000000004E-3</v>
      </c>
      <c r="H94" s="183">
        <v>6.45</v>
      </c>
      <c r="I94" s="6"/>
    </row>
    <row r="95" spans="1:9" ht="25.5" x14ac:dyDescent="0.2">
      <c r="A95" s="60">
        <v>11</v>
      </c>
      <c r="B95" s="39" t="s">
        <v>811</v>
      </c>
      <c r="C95" s="39" t="s">
        <v>810</v>
      </c>
      <c r="D95" s="39" t="s">
        <v>589</v>
      </c>
      <c r="E95" s="61">
        <v>150</v>
      </c>
      <c r="F95" s="55">
        <v>1520.547</v>
      </c>
      <c r="G95" s="54">
        <v>5.0825219999999999E-3</v>
      </c>
      <c r="H95" s="183">
        <v>4.9649999999999999</v>
      </c>
      <c r="I95" s="6"/>
    </row>
    <row r="96" spans="1:9" ht="38.25" x14ac:dyDescent="0.2">
      <c r="A96" s="60">
        <v>12</v>
      </c>
      <c r="B96" s="39" t="s">
        <v>809</v>
      </c>
      <c r="C96" s="4" t="s">
        <v>1110</v>
      </c>
      <c r="D96" s="39" t="s">
        <v>799</v>
      </c>
      <c r="E96" s="61">
        <v>150</v>
      </c>
      <c r="F96" s="55">
        <v>1508.4749999999999</v>
      </c>
      <c r="G96" s="54">
        <v>5.0421709999999998E-3</v>
      </c>
      <c r="H96" s="183">
        <v>8.5837000000000003</v>
      </c>
      <c r="I96" s="6">
        <v>6.21</v>
      </c>
    </row>
    <row r="97" spans="1:9" ht="25.5" x14ac:dyDescent="0.2">
      <c r="A97" s="60">
        <v>13</v>
      </c>
      <c r="B97" s="39" t="s">
        <v>808</v>
      </c>
      <c r="C97" s="39" t="s">
        <v>807</v>
      </c>
      <c r="D97" s="39" t="s">
        <v>589</v>
      </c>
      <c r="E97" s="61">
        <v>100</v>
      </c>
      <c r="F97" s="55">
        <v>1041.173</v>
      </c>
      <c r="G97" s="54">
        <v>3.4801849999999998E-3</v>
      </c>
      <c r="H97" s="183">
        <v>5.94</v>
      </c>
      <c r="I97" s="6"/>
    </row>
    <row r="98" spans="1:9" ht="25.5" x14ac:dyDescent="0.2">
      <c r="A98" s="60">
        <v>14</v>
      </c>
      <c r="B98" s="39" t="s">
        <v>806</v>
      </c>
      <c r="C98" s="39" t="s">
        <v>805</v>
      </c>
      <c r="D98" s="39" t="s">
        <v>589</v>
      </c>
      <c r="E98" s="61">
        <v>100</v>
      </c>
      <c r="F98" s="55">
        <v>1035.473</v>
      </c>
      <c r="G98" s="54">
        <v>3.461132E-3</v>
      </c>
      <c r="H98" s="183">
        <v>6.36</v>
      </c>
      <c r="I98" s="6"/>
    </row>
    <row r="99" spans="1:9" ht="25.5" x14ac:dyDescent="0.2">
      <c r="A99" s="60">
        <v>15</v>
      </c>
      <c r="B99" s="39" t="s">
        <v>804</v>
      </c>
      <c r="C99" s="39" t="s">
        <v>803</v>
      </c>
      <c r="D99" s="39" t="s">
        <v>589</v>
      </c>
      <c r="E99" s="61">
        <v>100</v>
      </c>
      <c r="F99" s="55">
        <v>1033.0150000000001</v>
      </c>
      <c r="G99" s="54">
        <v>3.4529159999999999E-3</v>
      </c>
      <c r="H99" s="183">
        <v>5.9450000000000003</v>
      </c>
      <c r="I99" s="6"/>
    </row>
    <row r="100" spans="1:9" ht="25.5" x14ac:dyDescent="0.2">
      <c r="A100" s="60">
        <v>16</v>
      </c>
      <c r="B100" s="39" t="s">
        <v>802</v>
      </c>
      <c r="C100" s="39" t="s">
        <v>801</v>
      </c>
      <c r="D100" s="39" t="s">
        <v>589</v>
      </c>
      <c r="E100" s="61">
        <v>100</v>
      </c>
      <c r="F100" s="55">
        <v>1013.979</v>
      </c>
      <c r="G100" s="54">
        <v>3.3892869999999999E-3</v>
      </c>
      <c r="H100" s="183">
        <v>5.27</v>
      </c>
      <c r="I100" s="6"/>
    </row>
    <row r="101" spans="1:9" ht="38.25" x14ac:dyDescent="0.2">
      <c r="A101" s="60">
        <v>17</v>
      </c>
      <c r="B101" s="39" t="s">
        <v>800</v>
      </c>
      <c r="C101" s="4" t="s">
        <v>1111</v>
      </c>
      <c r="D101" s="39" t="s">
        <v>799</v>
      </c>
      <c r="E101" s="61">
        <v>100</v>
      </c>
      <c r="F101" s="55">
        <v>1003.527</v>
      </c>
      <c r="G101" s="54">
        <v>3.3543510000000002E-3</v>
      </c>
      <c r="H101" s="183">
        <v>8.7075999999999993</v>
      </c>
      <c r="I101" s="6">
        <v>6.07</v>
      </c>
    </row>
    <row r="102" spans="1:9" ht="29.1" customHeight="1" x14ac:dyDescent="0.2">
      <c r="A102" s="60">
        <v>18</v>
      </c>
      <c r="B102" s="39" t="s">
        <v>798</v>
      </c>
      <c r="C102" s="39" t="s">
        <v>797</v>
      </c>
      <c r="D102" s="39" t="s">
        <v>604</v>
      </c>
      <c r="E102" s="61">
        <v>100</v>
      </c>
      <c r="F102" s="55">
        <v>999.93499999999995</v>
      </c>
      <c r="G102" s="54">
        <v>3.3423440000000001E-3</v>
      </c>
      <c r="H102" s="183">
        <v>5.3250000000000002</v>
      </c>
      <c r="I102" s="6"/>
    </row>
    <row r="103" spans="1:9" ht="29.1" customHeight="1" x14ac:dyDescent="0.2">
      <c r="A103" s="60">
        <v>19</v>
      </c>
      <c r="B103" s="39" t="s">
        <v>796</v>
      </c>
      <c r="C103" s="39" t="s">
        <v>795</v>
      </c>
      <c r="D103" s="39" t="s">
        <v>589</v>
      </c>
      <c r="E103" s="61">
        <v>100</v>
      </c>
      <c r="F103" s="55">
        <v>973.40800000000002</v>
      </c>
      <c r="G103" s="54">
        <v>3.2536760000000001E-3</v>
      </c>
      <c r="H103" s="183">
        <v>6.3</v>
      </c>
      <c r="I103" s="6"/>
    </row>
    <row r="104" spans="1:9" ht="17.100000000000001" customHeight="1" x14ac:dyDescent="0.2">
      <c r="A104" s="60">
        <v>20</v>
      </c>
      <c r="B104" s="39" t="s">
        <v>611</v>
      </c>
      <c r="C104" s="39" t="s">
        <v>612</v>
      </c>
      <c r="D104" s="39" t="s">
        <v>589</v>
      </c>
      <c r="E104" s="61">
        <v>55</v>
      </c>
      <c r="F104" s="55">
        <v>558.07839999999999</v>
      </c>
      <c r="G104" s="54">
        <v>1.865411E-3</v>
      </c>
      <c r="H104" s="183">
        <v>4.8550000000000004</v>
      </c>
      <c r="I104" s="6"/>
    </row>
    <row r="105" spans="1:9" ht="17.100000000000001" customHeight="1" x14ac:dyDescent="0.2">
      <c r="A105" s="60">
        <v>21</v>
      </c>
      <c r="B105" s="39" t="s">
        <v>794</v>
      </c>
      <c r="C105" s="39" t="s">
        <v>793</v>
      </c>
      <c r="D105" s="39" t="s">
        <v>995</v>
      </c>
      <c r="E105" s="61">
        <v>50</v>
      </c>
      <c r="F105" s="55">
        <v>512.077</v>
      </c>
      <c r="G105" s="54">
        <v>1.711649E-3</v>
      </c>
      <c r="H105" s="183">
        <v>5.76</v>
      </c>
      <c r="I105" s="6"/>
    </row>
    <row r="106" spans="1:9" ht="29.1" customHeight="1" x14ac:dyDescent="0.2">
      <c r="A106" s="60">
        <v>22</v>
      </c>
      <c r="B106" s="39" t="s">
        <v>602</v>
      </c>
      <c r="C106" s="39" t="s">
        <v>603</v>
      </c>
      <c r="D106" s="39" t="s">
        <v>604</v>
      </c>
      <c r="E106" s="61">
        <v>50</v>
      </c>
      <c r="F106" s="55">
        <v>498.44600000000003</v>
      </c>
      <c r="G106" s="54">
        <v>1.666086E-3</v>
      </c>
      <c r="H106" s="183">
        <v>5.6749999999999998</v>
      </c>
      <c r="I106" s="6"/>
    </row>
    <row r="107" spans="1:9" ht="29.1" customHeight="1" x14ac:dyDescent="0.2">
      <c r="A107" s="60">
        <v>23</v>
      </c>
      <c r="B107" s="39" t="s">
        <v>613</v>
      </c>
      <c r="C107" s="39" t="s">
        <v>614</v>
      </c>
      <c r="D107" s="39" t="s">
        <v>995</v>
      </c>
      <c r="E107" s="61">
        <v>45</v>
      </c>
      <c r="F107" s="55">
        <v>454.86135000000002</v>
      </c>
      <c r="G107" s="54">
        <v>1.5204019999999999E-3</v>
      </c>
      <c r="H107" s="183">
        <v>5.4550000000000001</v>
      </c>
      <c r="I107" s="6"/>
    </row>
    <row r="108" spans="1:9" ht="29.1" customHeight="1" x14ac:dyDescent="0.2">
      <c r="A108" s="60">
        <v>24</v>
      </c>
      <c r="B108" s="39" t="s">
        <v>792</v>
      </c>
      <c r="C108" s="39" t="s">
        <v>791</v>
      </c>
      <c r="D108" s="39" t="s">
        <v>589</v>
      </c>
      <c r="E108" s="61">
        <v>40</v>
      </c>
      <c r="F108" s="55">
        <v>409.58760000000001</v>
      </c>
      <c r="G108" s="54">
        <v>1.369072E-3</v>
      </c>
      <c r="H108" s="183">
        <v>5.09</v>
      </c>
      <c r="I108" s="6"/>
    </row>
    <row r="109" spans="1:9" ht="29.1" customHeight="1" x14ac:dyDescent="0.2">
      <c r="A109" s="60">
        <v>25</v>
      </c>
      <c r="B109" s="39" t="s">
        <v>790</v>
      </c>
      <c r="C109" s="39" t="s">
        <v>789</v>
      </c>
      <c r="D109" s="39" t="s">
        <v>589</v>
      </c>
      <c r="E109" s="61">
        <v>20</v>
      </c>
      <c r="F109" s="55">
        <v>202.50120000000001</v>
      </c>
      <c r="G109" s="54">
        <v>6.7687300000000004E-4</v>
      </c>
      <c r="H109" s="183">
        <v>5.17</v>
      </c>
      <c r="I109" s="6"/>
    </row>
    <row r="110" spans="1:9" ht="29.1" customHeight="1" x14ac:dyDescent="0.2">
      <c r="A110" s="60">
        <v>26</v>
      </c>
      <c r="B110" s="39" t="s">
        <v>788</v>
      </c>
      <c r="C110" s="39" t="s">
        <v>787</v>
      </c>
      <c r="D110" s="39" t="s">
        <v>604</v>
      </c>
      <c r="E110" s="61">
        <v>20</v>
      </c>
      <c r="F110" s="55">
        <v>201.37039999999999</v>
      </c>
      <c r="G110" s="54">
        <v>6.7309300000000004E-4</v>
      </c>
      <c r="H110" s="183">
        <v>4.22</v>
      </c>
      <c r="I110" s="6"/>
    </row>
    <row r="111" spans="1:9" ht="25.5" x14ac:dyDescent="0.2">
      <c r="A111" s="60">
        <v>27</v>
      </c>
      <c r="B111" s="39" t="s">
        <v>786</v>
      </c>
      <c r="C111" s="4" t="s">
        <v>1031</v>
      </c>
      <c r="D111" s="39" t="s">
        <v>996</v>
      </c>
      <c r="E111" s="61">
        <v>20</v>
      </c>
      <c r="F111" s="55">
        <v>198.55520000000001</v>
      </c>
      <c r="G111" s="54">
        <v>6.6368299999999998E-4</v>
      </c>
      <c r="H111" s="183">
        <v>10.882199999999999</v>
      </c>
      <c r="I111" s="6"/>
    </row>
    <row r="112" spans="1:9" ht="29.1" customHeight="1" x14ac:dyDescent="0.2">
      <c r="A112" s="60">
        <v>28</v>
      </c>
      <c r="B112" s="39" t="s">
        <v>785</v>
      </c>
      <c r="C112" s="39" t="s">
        <v>784</v>
      </c>
      <c r="D112" s="39" t="s">
        <v>589</v>
      </c>
      <c r="E112" s="61">
        <v>20</v>
      </c>
      <c r="F112" s="55">
        <v>196.76300000000001</v>
      </c>
      <c r="G112" s="54">
        <v>6.5769199999999998E-4</v>
      </c>
      <c r="H112" s="183">
        <v>6.0549999999999997</v>
      </c>
      <c r="I112" s="6"/>
    </row>
    <row r="113" spans="1:9" ht="14.1" customHeight="1" x14ac:dyDescent="0.2">
      <c r="A113" s="57"/>
      <c r="B113" s="57"/>
      <c r="C113" s="34" t="s">
        <v>111</v>
      </c>
      <c r="D113" s="57"/>
      <c r="E113" s="57" t="s">
        <v>112</v>
      </c>
      <c r="F113" s="52">
        <v>36337.98315</v>
      </c>
      <c r="G113" s="51">
        <v>0.121461946</v>
      </c>
      <c r="H113" s="183"/>
      <c r="I113" s="6"/>
    </row>
    <row r="114" spans="1:9" ht="14.1" customHeight="1" x14ac:dyDescent="0.2">
      <c r="A114" s="57"/>
      <c r="B114" s="57"/>
      <c r="C114" s="53"/>
      <c r="D114" s="57"/>
      <c r="E114" s="57"/>
      <c r="F114" s="47"/>
      <c r="G114" s="47"/>
      <c r="H114" s="183"/>
      <c r="I114" s="6"/>
    </row>
    <row r="115" spans="1:9" ht="14.1" customHeight="1" x14ac:dyDescent="0.2">
      <c r="A115" s="57"/>
      <c r="B115" s="57"/>
      <c r="C115" s="34" t="s">
        <v>120</v>
      </c>
      <c r="D115" s="57"/>
      <c r="E115" s="57"/>
      <c r="F115" s="57"/>
      <c r="G115" s="57"/>
      <c r="H115" s="183"/>
      <c r="I115" s="6"/>
    </row>
    <row r="116" spans="1:9" ht="17.100000000000001" customHeight="1" x14ac:dyDescent="0.2">
      <c r="A116" s="60">
        <v>1</v>
      </c>
      <c r="B116" s="39" t="s">
        <v>783</v>
      </c>
      <c r="C116" s="39" t="s">
        <v>782</v>
      </c>
      <c r="D116" s="39" t="s">
        <v>589</v>
      </c>
      <c r="E116" s="61">
        <v>50</v>
      </c>
      <c r="F116" s="55">
        <v>522.57650000000001</v>
      </c>
      <c r="G116" s="54">
        <v>1.7467439999999999E-3</v>
      </c>
      <c r="H116" s="183">
        <v>6.96</v>
      </c>
      <c r="I116" s="6"/>
    </row>
    <row r="117" spans="1:9" ht="14.1" customHeight="1" x14ac:dyDescent="0.2">
      <c r="A117" s="57"/>
      <c r="B117" s="57"/>
      <c r="C117" s="34" t="s">
        <v>111</v>
      </c>
      <c r="D117" s="57"/>
      <c r="E117" s="57" t="s">
        <v>112</v>
      </c>
      <c r="F117" s="52">
        <v>522.57650000000001</v>
      </c>
      <c r="G117" s="51">
        <v>1.7467439999999999E-3</v>
      </c>
      <c r="H117" s="183"/>
      <c r="I117" s="6"/>
    </row>
    <row r="118" spans="1:9" ht="14.1" customHeight="1" x14ac:dyDescent="0.2">
      <c r="A118" s="57"/>
      <c r="B118" s="57"/>
      <c r="C118" s="53"/>
      <c r="D118" s="57"/>
      <c r="E118" s="57"/>
      <c r="F118" s="47"/>
      <c r="G118" s="47"/>
      <c r="H118" s="183"/>
      <c r="I118" s="6"/>
    </row>
    <row r="119" spans="1:9" ht="14.1" customHeight="1" x14ac:dyDescent="0.2">
      <c r="A119" s="57"/>
      <c r="B119" s="57"/>
      <c r="C119" s="34" t="s">
        <v>121</v>
      </c>
      <c r="D119" s="57"/>
      <c r="E119" s="57"/>
      <c r="F119" s="57"/>
      <c r="G119" s="57"/>
      <c r="H119" s="183"/>
      <c r="I119" s="6"/>
    </row>
    <row r="120" spans="1:9" ht="29.1" customHeight="1" x14ac:dyDescent="0.2">
      <c r="A120" s="60">
        <v>1</v>
      </c>
      <c r="B120" s="39" t="s">
        <v>781</v>
      </c>
      <c r="C120" s="39" t="s">
        <v>780</v>
      </c>
      <c r="D120" s="39" t="s">
        <v>565</v>
      </c>
      <c r="E120" s="61">
        <v>3000000</v>
      </c>
      <c r="F120" s="55">
        <v>3089.4690000000001</v>
      </c>
      <c r="G120" s="54">
        <v>1.0326739999999999E-2</v>
      </c>
      <c r="H120" s="183">
        <v>5.4935999999999998</v>
      </c>
      <c r="I120" s="6"/>
    </row>
    <row r="121" spans="1:9" ht="29.1" customHeight="1" x14ac:dyDescent="0.2">
      <c r="A121" s="60">
        <v>2</v>
      </c>
      <c r="B121" s="39" t="s">
        <v>779</v>
      </c>
      <c r="C121" s="39" t="s">
        <v>778</v>
      </c>
      <c r="D121" s="39" t="s">
        <v>565</v>
      </c>
      <c r="E121" s="61">
        <v>1500000</v>
      </c>
      <c r="F121" s="55">
        <v>1531.626</v>
      </c>
      <c r="G121" s="54">
        <v>5.1195540000000001E-3</v>
      </c>
      <c r="H121" s="183">
        <v>5.0739000000000001</v>
      </c>
      <c r="I121" s="6"/>
    </row>
    <row r="122" spans="1:9" ht="29.1" customHeight="1" x14ac:dyDescent="0.2">
      <c r="A122" s="60">
        <v>3</v>
      </c>
      <c r="B122" s="39" t="s">
        <v>615</v>
      </c>
      <c r="C122" s="39" t="s">
        <v>616</v>
      </c>
      <c r="D122" s="39" t="s">
        <v>565</v>
      </c>
      <c r="E122" s="61">
        <v>1000000</v>
      </c>
      <c r="F122" s="55">
        <v>971.952</v>
      </c>
      <c r="G122" s="54">
        <v>3.2488090000000001E-3</v>
      </c>
      <c r="H122" s="183">
        <v>6.2195999999999998</v>
      </c>
      <c r="I122" s="6"/>
    </row>
    <row r="123" spans="1:9" ht="29.1" customHeight="1" x14ac:dyDescent="0.2">
      <c r="A123" s="60">
        <v>4</v>
      </c>
      <c r="B123" s="39" t="s">
        <v>621</v>
      </c>
      <c r="C123" s="39" t="s">
        <v>622</v>
      </c>
      <c r="D123" s="39" t="s">
        <v>565</v>
      </c>
      <c r="E123" s="61">
        <v>950000</v>
      </c>
      <c r="F123" s="55">
        <v>958.05885000000001</v>
      </c>
      <c r="G123" s="54">
        <v>3.2023709999999999E-3</v>
      </c>
      <c r="H123" s="183">
        <v>5.8113999999999999</v>
      </c>
      <c r="I123" s="6"/>
    </row>
    <row r="124" spans="1:9" ht="29.1" customHeight="1" x14ac:dyDescent="0.2">
      <c r="A124" s="60">
        <v>5</v>
      </c>
      <c r="B124" s="39" t="s">
        <v>777</v>
      </c>
      <c r="C124" s="39" t="s">
        <v>776</v>
      </c>
      <c r="D124" s="39" t="s">
        <v>565</v>
      </c>
      <c r="E124" s="61">
        <v>650000</v>
      </c>
      <c r="F124" s="55">
        <v>659.04150000000004</v>
      </c>
      <c r="G124" s="54">
        <v>2.2028870000000002E-3</v>
      </c>
      <c r="H124" s="183">
        <v>4.5744999999999996</v>
      </c>
      <c r="I124" s="6"/>
    </row>
    <row r="125" spans="1:9" ht="29.1" customHeight="1" x14ac:dyDescent="0.2">
      <c r="A125" s="60">
        <v>6</v>
      </c>
      <c r="B125" s="39" t="s">
        <v>775</v>
      </c>
      <c r="C125" s="39" t="s">
        <v>774</v>
      </c>
      <c r="D125" s="39" t="s">
        <v>565</v>
      </c>
      <c r="E125" s="61">
        <v>400000</v>
      </c>
      <c r="F125" s="55">
        <v>420.26799999999997</v>
      </c>
      <c r="G125" s="54">
        <v>1.4047720000000001E-3</v>
      </c>
      <c r="H125" s="183">
        <v>6.4218999999999999</v>
      </c>
      <c r="I125" s="6"/>
    </row>
    <row r="126" spans="1:9" ht="29.1" customHeight="1" x14ac:dyDescent="0.2">
      <c r="A126" s="60">
        <v>7</v>
      </c>
      <c r="B126" s="39" t="s">
        <v>773</v>
      </c>
      <c r="C126" s="39" t="s">
        <v>772</v>
      </c>
      <c r="D126" s="39" t="s">
        <v>565</v>
      </c>
      <c r="E126" s="61">
        <v>400000</v>
      </c>
      <c r="F126" s="55">
        <v>418.47039999999998</v>
      </c>
      <c r="G126" s="54">
        <v>1.3987629999999999E-3</v>
      </c>
      <c r="H126" s="183">
        <v>6.2866</v>
      </c>
      <c r="I126" s="6"/>
    </row>
    <row r="127" spans="1:9" ht="29.1" customHeight="1" x14ac:dyDescent="0.2">
      <c r="A127" s="60">
        <v>8</v>
      </c>
      <c r="B127" s="39" t="s">
        <v>771</v>
      </c>
      <c r="C127" s="39" t="s">
        <v>770</v>
      </c>
      <c r="D127" s="39" t="s">
        <v>565</v>
      </c>
      <c r="E127" s="61">
        <v>400000</v>
      </c>
      <c r="F127" s="55">
        <v>417.8152</v>
      </c>
      <c r="G127" s="54">
        <v>1.3965729999999999E-3</v>
      </c>
      <c r="H127" s="183">
        <v>6.2816000000000001</v>
      </c>
      <c r="I127" s="6"/>
    </row>
    <row r="128" spans="1:9" ht="29.1" customHeight="1" x14ac:dyDescent="0.2">
      <c r="A128" s="60">
        <v>9</v>
      </c>
      <c r="B128" s="39" t="s">
        <v>769</v>
      </c>
      <c r="C128" s="39" t="s">
        <v>768</v>
      </c>
      <c r="D128" s="39" t="s">
        <v>565</v>
      </c>
      <c r="E128" s="61">
        <v>400000</v>
      </c>
      <c r="F128" s="55">
        <v>405.65</v>
      </c>
      <c r="G128" s="54">
        <v>1.3559100000000001E-3</v>
      </c>
      <c r="H128" s="183">
        <v>4.3635999999999999</v>
      </c>
      <c r="I128" s="6"/>
    </row>
    <row r="129" spans="1:9" ht="29.1" customHeight="1" x14ac:dyDescent="0.2">
      <c r="A129" s="60">
        <v>10</v>
      </c>
      <c r="B129" s="39" t="s">
        <v>767</v>
      </c>
      <c r="C129" s="39" t="s">
        <v>766</v>
      </c>
      <c r="D129" s="39" t="s">
        <v>565</v>
      </c>
      <c r="E129" s="61">
        <v>150000</v>
      </c>
      <c r="F129" s="55">
        <v>150.23474999999999</v>
      </c>
      <c r="G129" s="54">
        <v>5.0216900000000001E-4</v>
      </c>
      <c r="H129" s="183">
        <v>3.9144999999999999</v>
      </c>
      <c r="I129" s="6"/>
    </row>
    <row r="130" spans="1:9" ht="14.1" customHeight="1" x14ac:dyDescent="0.2">
      <c r="A130" s="57"/>
      <c r="B130" s="57"/>
      <c r="C130" s="34" t="s">
        <v>111</v>
      </c>
      <c r="D130" s="57"/>
      <c r="E130" s="57" t="s">
        <v>112</v>
      </c>
      <c r="F130" s="52">
        <v>9022.5856999999996</v>
      </c>
      <c r="G130" s="51">
        <v>3.0158548E-2</v>
      </c>
      <c r="H130" s="183"/>
      <c r="I130" s="6"/>
    </row>
    <row r="131" spans="1:9" ht="14.1" customHeight="1" x14ac:dyDescent="0.2">
      <c r="A131" s="57"/>
      <c r="B131" s="57"/>
      <c r="C131" s="53"/>
      <c r="D131" s="57"/>
      <c r="E131" s="57"/>
      <c r="F131" s="47"/>
      <c r="G131" s="47"/>
      <c r="H131" s="183"/>
      <c r="I131" s="6"/>
    </row>
    <row r="132" spans="1:9" ht="14.1" customHeight="1" x14ac:dyDescent="0.2">
      <c r="A132" s="57"/>
      <c r="B132" s="57"/>
      <c r="C132" s="34" t="s">
        <v>122</v>
      </c>
      <c r="D132" s="57"/>
      <c r="E132" s="57"/>
      <c r="F132" s="47"/>
      <c r="G132" s="47"/>
      <c r="H132" s="183"/>
      <c r="I132" s="6"/>
    </row>
    <row r="133" spans="1:9" ht="14.1" customHeight="1" x14ac:dyDescent="0.2">
      <c r="A133" s="57"/>
      <c r="B133" s="57"/>
      <c r="C133" s="34" t="s">
        <v>111</v>
      </c>
      <c r="D133" s="57"/>
      <c r="E133" s="57" t="s">
        <v>112</v>
      </c>
      <c r="F133" s="59">
        <v>0</v>
      </c>
      <c r="G133" s="58">
        <v>0</v>
      </c>
      <c r="H133" s="183"/>
      <c r="I133" s="6"/>
    </row>
    <row r="134" spans="1:9" ht="14.1" customHeight="1" x14ac:dyDescent="0.2">
      <c r="A134" s="57"/>
      <c r="B134" s="57"/>
      <c r="C134" s="53"/>
      <c r="D134" s="57"/>
      <c r="E134" s="57"/>
      <c r="F134" s="47"/>
      <c r="G134" s="47"/>
      <c r="H134" s="183"/>
      <c r="I134" s="6"/>
    </row>
    <row r="135" spans="1:9" ht="14.1" customHeight="1" x14ac:dyDescent="0.2">
      <c r="A135" s="57"/>
      <c r="B135" s="57"/>
      <c r="C135" s="34" t="s">
        <v>123</v>
      </c>
      <c r="D135" s="57"/>
      <c r="E135" s="57"/>
      <c r="F135" s="52">
        <v>45883.145349999999</v>
      </c>
      <c r="G135" s="51">
        <v>0.15336723799999999</v>
      </c>
      <c r="H135" s="183"/>
      <c r="I135" s="6"/>
    </row>
    <row r="136" spans="1:9" ht="14.1" customHeight="1" x14ac:dyDescent="0.2">
      <c r="A136" s="57"/>
      <c r="B136" s="57"/>
      <c r="C136" s="53"/>
      <c r="D136" s="57"/>
      <c r="E136" s="57"/>
      <c r="F136" s="47"/>
      <c r="G136" s="47"/>
      <c r="H136" s="183"/>
      <c r="I136" s="6"/>
    </row>
    <row r="137" spans="1:9" ht="14.1" customHeight="1" x14ac:dyDescent="0.2">
      <c r="A137" s="57"/>
      <c r="B137" s="57"/>
      <c r="C137" s="34" t="s">
        <v>124</v>
      </c>
      <c r="D137" s="57"/>
      <c r="E137" s="57"/>
      <c r="F137" s="47"/>
      <c r="G137" s="47"/>
      <c r="H137" s="183"/>
      <c r="I137" s="6"/>
    </row>
    <row r="138" spans="1:9" ht="14.1" customHeight="1" x14ac:dyDescent="0.2">
      <c r="A138" s="57"/>
      <c r="B138" s="57"/>
      <c r="C138" s="34" t="s">
        <v>125</v>
      </c>
      <c r="D138" s="57"/>
      <c r="E138" s="57"/>
      <c r="F138" s="47"/>
      <c r="G138" s="47"/>
      <c r="H138" s="183"/>
      <c r="I138" s="6"/>
    </row>
    <row r="139" spans="1:9" ht="17.100000000000001" customHeight="1" x14ac:dyDescent="0.2">
      <c r="A139" s="60">
        <v>1</v>
      </c>
      <c r="B139" s="39" t="s">
        <v>765</v>
      </c>
      <c r="C139" s="39" t="s">
        <v>764</v>
      </c>
      <c r="D139" s="39" t="s">
        <v>757</v>
      </c>
      <c r="E139" s="61">
        <v>1000</v>
      </c>
      <c r="F139" s="55">
        <v>4976.6400000000003</v>
      </c>
      <c r="G139" s="54">
        <v>1.6634725999999999E-2</v>
      </c>
      <c r="H139" s="183">
        <v>3.9849999999999999</v>
      </c>
      <c r="I139" s="6"/>
    </row>
    <row r="140" spans="1:9" ht="17.100000000000001" customHeight="1" x14ac:dyDescent="0.2">
      <c r="A140" s="60">
        <v>2</v>
      </c>
      <c r="B140" s="39" t="s">
        <v>763</v>
      </c>
      <c r="C140" s="39" t="s">
        <v>762</v>
      </c>
      <c r="D140" s="39" t="s">
        <v>754</v>
      </c>
      <c r="E140" s="61">
        <v>500</v>
      </c>
      <c r="F140" s="55">
        <v>2487.4274999999998</v>
      </c>
      <c r="G140" s="54">
        <v>8.3143799999999997E-3</v>
      </c>
      <c r="H140" s="183">
        <v>4.0102000000000002</v>
      </c>
      <c r="I140" s="6"/>
    </row>
    <row r="141" spans="1:9" ht="17.100000000000001" customHeight="1" x14ac:dyDescent="0.2">
      <c r="A141" s="60">
        <v>3</v>
      </c>
      <c r="B141" s="39" t="s">
        <v>761</v>
      </c>
      <c r="C141" s="39" t="s">
        <v>760</v>
      </c>
      <c r="D141" s="39" t="s">
        <v>754</v>
      </c>
      <c r="E141" s="61">
        <v>500</v>
      </c>
      <c r="F141" s="55">
        <v>2467.1574999999998</v>
      </c>
      <c r="G141" s="54">
        <v>8.246626E-3</v>
      </c>
      <c r="H141" s="183">
        <v>4.3</v>
      </c>
      <c r="I141" s="6"/>
    </row>
    <row r="142" spans="1:9" ht="17.100000000000001" customHeight="1" x14ac:dyDescent="0.2">
      <c r="A142" s="60">
        <v>4</v>
      </c>
      <c r="B142" s="39" t="s">
        <v>759</v>
      </c>
      <c r="C142" s="39" t="s">
        <v>758</v>
      </c>
      <c r="D142" s="39" t="s">
        <v>757</v>
      </c>
      <c r="E142" s="61">
        <v>500</v>
      </c>
      <c r="F142" s="55">
        <v>2405.1624999999999</v>
      </c>
      <c r="G142" s="54">
        <v>8.039404E-3</v>
      </c>
      <c r="H142" s="183">
        <v>4.9800000000000004</v>
      </c>
      <c r="I142" s="6"/>
    </row>
    <row r="143" spans="1:9" ht="14.1" customHeight="1" x14ac:dyDescent="0.2">
      <c r="A143" s="57"/>
      <c r="B143" s="57"/>
      <c r="C143" s="34" t="s">
        <v>111</v>
      </c>
      <c r="D143" s="57"/>
      <c r="E143" s="57" t="s">
        <v>112</v>
      </c>
      <c r="F143" s="52">
        <v>12336.387500000001</v>
      </c>
      <c r="G143" s="51">
        <v>4.1235135999999999E-2</v>
      </c>
      <c r="H143" s="183"/>
      <c r="I143" s="6"/>
    </row>
    <row r="144" spans="1:9" ht="14.1" customHeight="1" x14ac:dyDescent="0.2">
      <c r="A144" s="57"/>
      <c r="B144" s="57"/>
      <c r="C144" s="53"/>
      <c r="D144" s="57"/>
      <c r="E144" s="57"/>
      <c r="F144" s="47"/>
      <c r="G144" s="47"/>
      <c r="H144" s="183"/>
      <c r="I144" s="6"/>
    </row>
    <row r="145" spans="1:9" ht="14.1" customHeight="1" x14ac:dyDescent="0.2">
      <c r="A145" s="57"/>
      <c r="B145" s="57"/>
      <c r="C145" s="34" t="s">
        <v>126</v>
      </c>
      <c r="D145" s="57"/>
      <c r="E145" s="57"/>
      <c r="F145" s="47"/>
      <c r="G145" s="47"/>
      <c r="H145" s="183"/>
      <c r="I145" s="6"/>
    </row>
    <row r="146" spans="1:9" ht="29.1" customHeight="1" x14ac:dyDescent="0.2">
      <c r="A146" s="60">
        <v>1</v>
      </c>
      <c r="B146" s="39" t="s">
        <v>756</v>
      </c>
      <c r="C146" s="39" t="s">
        <v>755</v>
      </c>
      <c r="D146" s="39" t="s">
        <v>754</v>
      </c>
      <c r="E146" s="61">
        <v>500</v>
      </c>
      <c r="F146" s="55">
        <v>2454.915</v>
      </c>
      <c r="G146" s="54">
        <v>8.2057050000000006E-3</v>
      </c>
      <c r="H146" s="183">
        <v>4.41</v>
      </c>
      <c r="I146" s="6"/>
    </row>
    <row r="147" spans="1:9" ht="14.1" customHeight="1" x14ac:dyDescent="0.2">
      <c r="A147" s="57"/>
      <c r="B147" s="57"/>
      <c r="C147" s="34" t="s">
        <v>111</v>
      </c>
      <c r="D147" s="57"/>
      <c r="E147" s="57" t="s">
        <v>112</v>
      </c>
      <c r="F147" s="52">
        <v>2454.915</v>
      </c>
      <c r="G147" s="51">
        <v>8.2057050000000006E-3</v>
      </c>
      <c r="H147" s="183"/>
      <c r="I147" s="6"/>
    </row>
    <row r="148" spans="1:9" ht="14.1" customHeight="1" x14ac:dyDescent="0.2">
      <c r="A148" s="57"/>
      <c r="B148" s="57"/>
      <c r="C148" s="53"/>
      <c r="D148" s="57"/>
      <c r="E148" s="57"/>
      <c r="F148" s="47"/>
      <c r="G148" s="47"/>
      <c r="H148" s="183"/>
      <c r="I148" s="6"/>
    </row>
    <row r="149" spans="1:9" ht="14.1" customHeight="1" x14ac:dyDescent="0.2">
      <c r="A149" s="57"/>
      <c r="B149" s="57"/>
      <c r="C149" s="34" t="s">
        <v>127</v>
      </c>
      <c r="D149" s="57"/>
      <c r="E149" s="57"/>
      <c r="F149" s="47"/>
      <c r="G149" s="47"/>
      <c r="H149" s="183"/>
      <c r="I149" s="6"/>
    </row>
    <row r="150" spans="1:9" ht="17.100000000000001" customHeight="1" x14ac:dyDescent="0.2">
      <c r="A150" s="60">
        <v>1</v>
      </c>
      <c r="B150" s="39" t="s">
        <v>623</v>
      </c>
      <c r="C150" s="39" t="s">
        <v>927</v>
      </c>
      <c r="D150" s="39" t="s">
        <v>565</v>
      </c>
      <c r="E150" s="61">
        <v>7500000</v>
      </c>
      <c r="F150" s="55">
        <v>7395.33</v>
      </c>
      <c r="G150" s="54">
        <v>2.4719346E-2</v>
      </c>
      <c r="H150" s="183">
        <v>4.2</v>
      </c>
      <c r="I150" s="6"/>
    </row>
    <row r="151" spans="1:9" ht="17.100000000000001" customHeight="1" x14ac:dyDescent="0.2">
      <c r="A151" s="60">
        <v>2</v>
      </c>
      <c r="B151" s="39" t="s">
        <v>753</v>
      </c>
      <c r="C151" s="39" t="s">
        <v>928</v>
      </c>
      <c r="D151" s="39" t="s">
        <v>565</v>
      </c>
      <c r="E151" s="61">
        <v>2500000</v>
      </c>
      <c r="F151" s="55">
        <v>2482.0500000000002</v>
      </c>
      <c r="G151" s="54">
        <v>8.2964049999999998E-3</v>
      </c>
      <c r="H151" s="183">
        <v>3.94</v>
      </c>
      <c r="I151" s="6"/>
    </row>
    <row r="152" spans="1:9" ht="17.100000000000001" customHeight="1" x14ac:dyDescent="0.2">
      <c r="A152" s="60">
        <v>3</v>
      </c>
      <c r="B152" s="39" t="s">
        <v>752</v>
      </c>
      <c r="C152" s="39" t="s">
        <v>931</v>
      </c>
      <c r="D152" s="39" t="s">
        <v>565</v>
      </c>
      <c r="E152" s="61">
        <v>2500000</v>
      </c>
      <c r="F152" s="55">
        <v>2461.1999999999998</v>
      </c>
      <c r="G152" s="54">
        <v>8.2267130000000001E-3</v>
      </c>
      <c r="H152" s="183">
        <v>4.2</v>
      </c>
      <c r="I152" s="6"/>
    </row>
    <row r="153" spans="1:9" ht="17.100000000000001" customHeight="1" x14ac:dyDescent="0.2">
      <c r="A153" s="60">
        <v>4</v>
      </c>
      <c r="B153" s="39" t="s">
        <v>751</v>
      </c>
      <c r="C153" s="39" t="s">
        <v>932</v>
      </c>
      <c r="D153" s="39" t="s">
        <v>565</v>
      </c>
      <c r="E153" s="61">
        <v>500000</v>
      </c>
      <c r="F153" s="55">
        <v>487.34249999999997</v>
      </c>
      <c r="G153" s="54">
        <v>1.628972E-3</v>
      </c>
      <c r="H153" s="183">
        <v>4.43</v>
      </c>
      <c r="I153" s="6"/>
    </row>
    <row r="154" spans="1:9" ht="14.1" customHeight="1" x14ac:dyDescent="0.2">
      <c r="A154" s="57"/>
      <c r="B154" s="57"/>
      <c r="C154" s="34" t="s">
        <v>111</v>
      </c>
      <c r="D154" s="57"/>
      <c r="E154" s="57" t="s">
        <v>112</v>
      </c>
      <c r="F154" s="52">
        <v>12825.922500000001</v>
      </c>
      <c r="G154" s="51">
        <v>4.2871435999999999E-2</v>
      </c>
      <c r="H154" s="183"/>
      <c r="I154" s="6"/>
    </row>
    <row r="155" spans="1:9" ht="14.1" customHeight="1" x14ac:dyDescent="0.2">
      <c r="A155" s="57"/>
      <c r="B155" s="57"/>
      <c r="C155" s="53"/>
      <c r="D155" s="57"/>
      <c r="E155" s="57"/>
      <c r="F155" s="47"/>
      <c r="G155" s="47"/>
      <c r="H155" s="183"/>
      <c r="I155" s="6"/>
    </row>
    <row r="156" spans="1:9" ht="14.1" customHeight="1" x14ac:dyDescent="0.2">
      <c r="A156" s="57"/>
      <c r="B156" s="57"/>
      <c r="C156" s="34" t="s">
        <v>128</v>
      </c>
      <c r="D156" s="57"/>
      <c r="E156" s="57"/>
      <c r="F156" s="47"/>
      <c r="G156" s="47"/>
      <c r="H156" s="183"/>
      <c r="I156" s="6"/>
    </row>
    <row r="157" spans="1:9" ht="17.100000000000001" customHeight="1" x14ac:dyDescent="0.2">
      <c r="A157" s="60">
        <v>1</v>
      </c>
      <c r="B157" s="39"/>
      <c r="C157" s="39" t="s">
        <v>129</v>
      </c>
      <c r="D157" s="39"/>
      <c r="E157" s="56"/>
      <c r="F157" s="55">
        <v>7339.2980564</v>
      </c>
      <c r="G157" s="54">
        <v>2.4532056E-2</v>
      </c>
      <c r="H157" s="183">
        <v>3.9343919198424624</v>
      </c>
      <c r="I157" s="6"/>
    </row>
    <row r="158" spans="1:9" ht="17.100000000000001" customHeight="1" x14ac:dyDescent="0.2">
      <c r="A158" s="60">
        <v>2</v>
      </c>
      <c r="B158" s="39"/>
      <c r="C158" s="39" t="s">
        <v>130</v>
      </c>
      <c r="D158" s="39"/>
      <c r="E158" s="56"/>
      <c r="F158" s="55">
        <v>482.04170779999998</v>
      </c>
      <c r="G158" s="54">
        <v>1.6112539999999999E-3</v>
      </c>
      <c r="H158" s="183">
        <v>3.8</v>
      </c>
      <c r="I158" s="6"/>
    </row>
    <row r="159" spans="1:9" ht="14.1" customHeight="1" x14ac:dyDescent="0.2">
      <c r="A159" s="57"/>
      <c r="B159" s="57"/>
      <c r="C159" s="34" t="s">
        <v>111</v>
      </c>
      <c r="D159" s="57"/>
      <c r="E159" s="57" t="s">
        <v>112</v>
      </c>
      <c r="F159" s="52">
        <v>7821.3397642</v>
      </c>
      <c r="G159" s="51">
        <v>2.6143309999999999E-2</v>
      </c>
      <c r="H159" s="183"/>
      <c r="I159" s="6"/>
    </row>
    <row r="160" spans="1:9" ht="14.1" customHeight="1" x14ac:dyDescent="0.2">
      <c r="A160" s="57"/>
      <c r="B160" s="57"/>
      <c r="C160" s="53"/>
      <c r="D160" s="57"/>
      <c r="E160" s="57"/>
      <c r="F160" s="47"/>
      <c r="G160" s="47"/>
      <c r="H160" s="183"/>
      <c r="I160" s="6"/>
    </row>
    <row r="161" spans="1:16" ht="14.1" customHeight="1" x14ac:dyDescent="0.2">
      <c r="A161" s="57"/>
      <c r="B161" s="57"/>
      <c r="C161" s="34" t="s">
        <v>131</v>
      </c>
      <c r="D161" s="57"/>
      <c r="E161" s="57"/>
      <c r="F161" s="52">
        <v>35438.564764199997</v>
      </c>
      <c r="G161" s="51">
        <v>0.118455587</v>
      </c>
      <c r="H161" s="183"/>
      <c r="I161" s="6"/>
    </row>
    <row r="162" spans="1:16" ht="14.1" customHeight="1" x14ac:dyDescent="0.2">
      <c r="A162" s="57"/>
      <c r="B162" s="57"/>
      <c r="C162" s="47"/>
      <c r="D162" s="57"/>
      <c r="E162" s="57"/>
      <c r="F162" s="57"/>
      <c r="G162" s="57"/>
      <c r="H162" s="183"/>
      <c r="I162" s="6"/>
    </row>
    <row r="163" spans="1:16" ht="14.1" customHeight="1" x14ac:dyDescent="0.2">
      <c r="A163" s="57"/>
      <c r="B163" s="57"/>
      <c r="C163" s="34" t="s">
        <v>132</v>
      </c>
      <c r="D163" s="57"/>
      <c r="E163" s="57"/>
      <c r="F163" s="57"/>
      <c r="G163" s="57"/>
      <c r="H163" s="183"/>
      <c r="I163" s="6"/>
    </row>
    <row r="164" spans="1:16" ht="14.1" customHeight="1" x14ac:dyDescent="0.2">
      <c r="A164" s="57"/>
      <c r="B164" s="57"/>
      <c r="C164" s="34" t="s">
        <v>133</v>
      </c>
      <c r="D164" s="57"/>
      <c r="E164" s="57"/>
      <c r="F164" s="57"/>
      <c r="G164" s="57"/>
      <c r="H164" s="183"/>
      <c r="I164" s="6"/>
    </row>
    <row r="165" spans="1:16" ht="14.1" customHeight="1" x14ac:dyDescent="0.2">
      <c r="A165" s="57"/>
      <c r="B165" s="57"/>
      <c r="C165" s="34" t="s">
        <v>111</v>
      </c>
      <c r="D165" s="57"/>
      <c r="E165" s="57" t="s">
        <v>112</v>
      </c>
      <c r="F165" s="59">
        <v>0</v>
      </c>
      <c r="G165" s="58">
        <v>0</v>
      </c>
      <c r="H165" s="183"/>
      <c r="I165" s="6"/>
    </row>
    <row r="166" spans="1:16" ht="14.1" customHeight="1" x14ac:dyDescent="0.2">
      <c r="A166" s="57"/>
      <c r="B166" s="57"/>
      <c r="C166" s="53"/>
      <c r="D166" s="57"/>
      <c r="E166" s="57"/>
      <c r="F166" s="47"/>
      <c r="G166" s="47"/>
      <c r="H166" s="183"/>
      <c r="I166" s="6"/>
      <c r="K166" s="66"/>
      <c r="L166" s="66"/>
      <c r="M166" s="66"/>
      <c r="N166" s="66"/>
      <c r="O166" s="66"/>
      <c r="P166" s="66"/>
    </row>
    <row r="167" spans="1:16" ht="14.1" customHeight="1" x14ac:dyDescent="0.2">
      <c r="A167" s="57"/>
      <c r="B167" s="57"/>
      <c r="C167" s="34" t="s">
        <v>134</v>
      </c>
      <c r="D167" s="57"/>
      <c r="E167" s="57"/>
      <c r="F167" s="57"/>
      <c r="G167" s="57"/>
      <c r="H167" s="183"/>
      <c r="I167" s="6"/>
    </row>
    <row r="168" spans="1:16" ht="14.1" customHeight="1" x14ac:dyDescent="0.2">
      <c r="A168" s="57"/>
      <c r="B168" s="57"/>
      <c r="C168" s="34" t="s">
        <v>135</v>
      </c>
      <c r="D168" s="57"/>
      <c r="E168" s="57"/>
      <c r="F168" s="57"/>
      <c r="G168" s="57"/>
      <c r="H168" s="183"/>
      <c r="I168" s="6"/>
    </row>
    <row r="169" spans="1:16" ht="14.1" customHeight="1" x14ac:dyDescent="0.2">
      <c r="A169" s="57"/>
      <c r="B169" s="57"/>
      <c r="C169" s="34" t="s">
        <v>111</v>
      </c>
      <c r="D169" s="57"/>
      <c r="E169" s="57" t="s">
        <v>112</v>
      </c>
      <c r="F169" s="59">
        <v>0</v>
      </c>
      <c r="G169" s="58">
        <v>0</v>
      </c>
      <c r="H169" s="183"/>
      <c r="I169" s="6"/>
    </row>
    <row r="170" spans="1:16" ht="14.1" customHeight="1" x14ac:dyDescent="0.2">
      <c r="A170" s="57"/>
      <c r="B170" s="57"/>
      <c r="C170" s="53"/>
      <c r="D170" s="57"/>
      <c r="E170" s="57"/>
      <c r="F170" s="47"/>
      <c r="G170" s="47"/>
      <c r="H170" s="183"/>
      <c r="I170" s="6"/>
    </row>
    <row r="171" spans="1:16" ht="24" customHeight="1" x14ac:dyDescent="0.2">
      <c r="A171" s="57"/>
      <c r="B171" s="57"/>
      <c r="C171" s="34" t="s">
        <v>136</v>
      </c>
      <c r="D171" s="57"/>
      <c r="E171" s="57"/>
      <c r="F171" s="47"/>
      <c r="G171" s="47"/>
      <c r="H171" s="183"/>
      <c r="I171" s="6"/>
    </row>
    <row r="172" spans="1:16" ht="14.1" customHeight="1" x14ac:dyDescent="0.2">
      <c r="A172" s="57"/>
      <c r="B172" s="57"/>
      <c r="C172" s="34" t="s">
        <v>111</v>
      </c>
      <c r="D172" s="57"/>
      <c r="E172" s="57" t="s">
        <v>112</v>
      </c>
      <c r="F172" s="59">
        <v>0</v>
      </c>
      <c r="G172" s="58">
        <v>0</v>
      </c>
      <c r="H172" s="183"/>
      <c r="I172" s="6"/>
    </row>
    <row r="173" spans="1:16" ht="14.1" customHeight="1" x14ac:dyDescent="0.2">
      <c r="A173" s="57"/>
      <c r="B173" s="57"/>
      <c r="C173" s="53"/>
      <c r="D173" s="57"/>
      <c r="E173" s="57"/>
      <c r="F173" s="47"/>
      <c r="G173" s="47"/>
      <c r="H173" s="183"/>
      <c r="I173" s="6"/>
    </row>
    <row r="174" spans="1:16" ht="14.1" customHeight="1" x14ac:dyDescent="0.2">
      <c r="A174" s="57"/>
      <c r="B174" s="39"/>
      <c r="C174" s="39"/>
      <c r="D174" s="34"/>
      <c r="E174" s="57"/>
      <c r="F174" s="39"/>
      <c r="G174" s="56"/>
      <c r="H174" s="183"/>
      <c r="I174" s="6"/>
    </row>
    <row r="175" spans="1:16" ht="18" customHeight="1" x14ac:dyDescent="0.2">
      <c r="A175" s="56"/>
      <c r="B175" s="39"/>
      <c r="C175" s="4" t="s">
        <v>994</v>
      </c>
      <c r="D175" s="39"/>
      <c r="E175" s="56"/>
      <c r="F175" s="55">
        <v>7056.1814425000002</v>
      </c>
      <c r="G175" s="54">
        <v>2.3585721E-2</v>
      </c>
      <c r="H175" s="183"/>
      <c r="I175" s="6"/>
    </row>
    <row r="176" spans="1:16" ht="14.1" customHeight="1" x14ac:dyDescent="0.2">
      <c r="A176" s="53"/>
      <c r="B176" s="53"/>
      <c r="C176" s="34" t="s">
        <v>138</v>
      </c>
      <c r="D176" s="47"/>
      <c r="E176" s="47"/>
      <c r="F176" s="52">
        <v>299171.74798059999</v>
      </c>
      <c r="G176" s="51">
        <v>0.99999999500000003</v>
      </c>
      <c r="H176" s="183"/>
      <c r="I176" s="6"/>
    </row>
    <row r="177" spans="1:16" ht="14.1" customHeight="1" x14ac:dyDescent="0.2">
      <c r="A177" s="50"/>
      <c r="B177" s="50"/>
      <c r="C177" s="50"/>
      <c r="D177" s="49"/>
      <c r="E177" s="49"/>
      <c r="F177" s="49"/>
      <c r="G177" s="49"/>
    </row>
    <row r="178" spans="1:16" ht="17.100000000000001" customHeight="1" x14ac:dyDescent="0.2">
      <c r="A178" s="48"/>
      <c r="B178" s="298" t="s">
        <v>750</v>
      </c>
      <c r="C178" s="298"/>
      <c r="D178" s="298"/>
      <c r="E178" s="298"/>
      <c r="F178" s="298"/>
      <c r="G178" s="45"/>
    </row>
    <row r="179" spans="1:16" ht="17.100000000000001" customHeight="1" x14ac:dyDescent="0.2">
      <c r="A179" s="48"/>
      <c r="B179" s="298" t="s">
        <v>749</v>
      </c>
      <c r="C179" s="298"/>
      <c r="D179" s="298"/>
      <c r="E179" s="298"/>
      <c r="F179" s="298"/>
      <c r="G179" s="45"/>
    </row>
    <row r="180" spans="1:16" ht="17.100000000000001" customHeight="1" x14ac:dyDescent="0.2">
      <c r="A180" s="48"/>
      <c r="B180" s="298" t="s">
        <v>139</v>
      </c>
      <c r="C180" s="298"/>
      <c r="D180" s="298"/>
      <c r="E180" s="298"/>
      <c r="F180" s="298"/>
      <c r="G180" s="45"/>
    </row>
    <row r="181" spans="1:16" ht="14.1" customHeight="1" x14ac:dyDescent="0.2">
      <c r="A181" s="48"/>
      <c r="B181" s="48"/>
      <c r="C181" s="48"/>
      <c r="D181" s="45"/>
      <c r="E181" s="45"/>
      <c r="F181" s="45"/>
      <c r="G181" s="45"/>
    </row>
    <row r="182" spans="1:16" ht="14.1" customHeight="1" x14ac:dyDescent="0.2">
      <c r="A182" s="48"/>
      <c r="B182" s="304" t="s">
        <v>140</v>
      </c>
      <c r="C182" s="305"/>
      <c r="D182" s="306"/>
      <c r="E182" s="46"/>
      <c r="F182" s="45"/>
      <c r="G182" s="45"/>
      <c r="J182" s="193"/>
      <c r="K182" s="193"/>
      <c r="L182" s="193"/>
      <c r="M182" s="193"/>
      <c r="N182" s="193"/>
      <c r="O182" s="193"/>
      <c r="P182" s="193"/>
    </row>
    <row r="183" spans="1:16" ht="29.1" customHeight="1" x14ac:dyDescent="0.2">
      <c r="A183" s="48"/>
      <c r="B183" s="307" t="s">
        <v>141</v>
      </c>
      <c r="C183" s="308"/>
      <c r="D183" s="2" t="s">
        <v>1022</v>
      </c>
      <c r="E183" s="46"/>
      <c r="F183" s="45"/>
      <c r="G183" s="45"/>
    </row>
    <row r="184" spans="1:16" ht="17.100000000000001" customHeight="1" x14ac:dyDescent="0.2">
      <c r="A184" s="48"/>
      <c r="B184" s="288" t="s">
        <v>971</v>
      </c>
      <c r="C184" s="289"/>
      <c r="D184" s="2" t="s">
        <v>1023</v>
      </c>
      <c r="E184" s="46"/>
      <c r="F184" s="45"/>
      <c r="G184" s="45"/>
    </row>
    <row r="185" spans="1:16" ht="17.100000000000001" customHeight="1" x14ac:dyDescent="0.2">
      <c r="A185" s="48"/>
      <c r="B185" s="307" t="s">
        <v>144</v>
      </c>
      <c r="C185" s="308"/>
      <c r="D185" s="47" t="s">
        <v>112</v>
      </c>
      <c r="E185" s="46"/>
      <c r="F185" s="45"/>
      <c r="G185" s="45"/>
    </row>
    <row r="186" spans="1:16" ht="24" customHeight="1" x14ac:dyDescent="0.2">
      <c r="A186" s="31"/>
      <c r="B186" s="43" t="s">
        <v>112</v>
      </c>
      <c r="C186" s="43" t="s">
        <v>145</v>
      </c>
      <c r="D186" s="43" t="s">
        <v>146</v>
      </c>
      <c r="E186" s="31"/>
      <c r="F186" s="31"/>
      <c r="G186" s="31"/>
    </row>
    <row r="187" spans="1:16" ht="18" customHeight="1" x14ac:dyDescent="0.2">
      <c r="A187" s="31"/>
      <c r="B187" s="44" t="s">
        <v>147</v>
      </c>
      <c r="C187" s="43" t="s">
        <v>148</v>
      </c>
      <c r="D187" s="43" t="s">
        <v>149</v>
      </c>
      <c r="E187" s="31"/>
      <c r="F187" s="31"/>
      <c r="G187" s="31"/>
    </row>
    <row r="188" spans="1:16" ht="17.100000000000001" customHeight="1" x14ac:dyDescent="0.2">
      <c r="A188" s="31"/>
      <c r="B188" s="39" t="s">
        <v>150</v>
      </c>
      <c r="C188" s="42">
        <v>122.1468</v>
      </c>
      <c r="D188" s="42">
        <v>119.845</v>
      </c>
      <c r="E188" s="31"/>
      <c r="F188" s="30"/>
      <c r="G188" s="29"/>
    </row>
    <row r="189" spans="1:16" ht="29.1" customHeight="1" x14ac:dyDescent="0.2">
      <c r="A189" s="31"/>
      <c r="B189" s="39" t="s">
        <v>1119</v>
      </c>
      <c r="C189" s="42">
        <v>40.053800000000003</v>
      </c>
      <c r="D189" s="42">
        <v>38.927300000000002</v>
      </c>
      <c r="E189" s="31"/>
      <c r="F189" s="30"/>
      <c r="G189" s="29"/>
    </row>
    <row r="190" spans="1:16" ht="17.100000000000001" customHeight="1" x14ac:dyDescent="0.2">
      <c r="A190" s="31"/>
      <c r="B190" s="39" t="s">
        <v>151</v>
      </c>
      <c r="C190" s="42">
        <v>110.75879999999999</v>
      </c>
      <c r="D190" s="42">
        <v>108.562</v>
      </c>
      <c r="E190" s="31"/>
      <c r="F190" s="30"/>
      <c r="G190" s="29"/>
    </row>
    <row r="191" spans="1:16" ht="29.1" customHeight="1" x14ac:dyDescent="0.2">
      <c r="A191" s="31"/>
      <c r="B191" s="39" t="s">
        <v>1121</v>
      </c>
      <c r="C191" s="42">
        <v>27.625499999999999</v>
      </c>
      <c r="D191" s="42">
        <v>26.821400000000001</v>
      </c>
      <c r="E191" s="31"/>
      <c r="F191" s="30"/>
      <c r="G191" s="29"/>
    </row>
    <row r="192" spans="1:16" ht="14.1" customHeight="1" x14ac:dyDescent="0.2">
      <c r="A192" s="31"/>
      <c r="B192" s="31"/>
      <c r="C192" s="31"/>
      <c r="D192" s="31"/>
      <c r="E192" s="31"/>
      <c r="F192" s="31"/>
      <c r="G192" s="31"/>
    </row>
    <row r="193" spans="1:16" ht="17.100000000000001" customHeight="1" x14ac:dyDescent="0.2">
      <c r="A193" s="31"/>
      <c r="B193" s="307" t="s">
        <v>1116</v>
      </c>
      <c r="C193" s="308"/>
      <c r="D193" s="34" t="s">
        <v>112</v>
      </c>
      <c r="E193" s="31"/>
      <c r="F193" s="31"/>
      <c r="G193" s="31"/>
    </row>
    <row r="194" spans="1:16" ht="18" customHeight="1" x14ac:dyDescent="0.2">
      <c r="A194" s="31"/>
      <c r="B194" s="41" t="s">
        <v>147</v>
      </c>
      <c r="C194" s="40" t="s">
        <v>748</v>
      </c>
      <c r="D194" s="40" t="s">
        <v>747</v>
      </c>
      <c r="E194" s="31"/>
      <c r="F194" s="31"/>
      <c r="G194" s="31"/>
    </row>
    <row r="195" spans="1:16" ht="29.1" customHeight="1" x14ac:dyDescent="0.2">
      <c r="A195" s="31"/>
      <c r="B195" s="39" t="s">
        <v>1119</v>
      </c>
      <c r="C195" s="38">
        <v>0.371</v>
      </c>
      <c r="D195" s="38">
        <v>0.371</v>
      </c>
      <c r="E195" s="31"/>
      <c r="F195" s="30"/>
      <c r="G195" s="29"/>
    </row>
    <row r="196" spans="1:16" ht="29.1" customHeight="1" x14ac:dyDescent="0.2">
      <c r="A196" s="31"/>
      <c r="B196" s="39" t="s">
        <v>1121</v>
      </c>
      <c r="C196" s="38">
        <v>0.25600000000000001</v>
      </c>
      <c r="D196" s="38">
        <v>0.25600000000000001</v>
      </c>
      <c r="E196" s="31"/>
      <c r="F196" s="30"/>
      <c r="G196" s="29"/>
    </row>
    <row r="197" spans="1:16" ht="14.1" customHeight="1" x14ac:dyDescent="0.2">
      <c r="A197" s="31"/>
      <c r="B197" s="37"/>
      <c r="C197" s="37"/>
      <c r="D197" s="36"/>
      <c r="E197" s="31"/>
      <c r="F197" s="30"/>
      <c r="G197" s="29"/>
    </row>
    <row r="198" spans="1:16" ht="14.1" customHeight="1" x14ac:dyDescent="0.2">
      <c r="A198" s="31"/>
      <c r="B198" s="30"/>
      <c r="C198" s="30"/>
      <c r="D198" s="31"/>
      <c r="E198" s="31"/>
      <c r="F198" s="31"/>
      <c r="G198" s="31"/>
    </row>
    <row r="199" spans="1:16" ht="29.1" customHeight="1" x14ac:dyDescent="0.2">
      <c r="A199" s="31"/>
      <c r="B199" s="307" t="s">
        <v>153</v>
      </c>
      <c r="C199" s="308"/>
      <c r="D199" s="34" t="s">
        <v>142</v>
      </c>
      <c r="E199" s="33"/>
      <c r="F199" s="31"/>
      <c r="G199" s="31"/>
    </row>
    <row r="200" spans="1:16" ht="29.1" customHeight="1" x14ac:dyDescent="0.2">
      <c r="A200" s="31"/>
      <c r="B200" s="307" t="s">
        <v>154</v>
      </c>
      <c r="C200" s="308"/>
      <c r="D200" s="34" t="s">
        <v>142</v>
      </c>
      <c r="E200" s="33"/>
      <c r="F200" s="31"/>
      <c r="G200" s="31"/>
    </row>
    <row r="201" spans="1:16" ht="17.100000000000001" customHeight="1" x14ac:dyDescent="0.2">
      <c r="A201" s="31"/>
      <c r="B201" s="309" t="s">
        <v>989</v>
      </c>
      <c r="C201" s="310"/>
      <c r="D201" s="35">
        <v>2.0782270483382099</v>
      </c>
      <c r="E201" s="33"/>
      <c r="F201" s="31"/>
      <c r="G201" s="31"/>
    </row>
    <row r="202" spans="1:16" ht="17.100000000000001" customHeight="1" x14ac:dyDescent="0.2">
      <c r="A202" s="31"/>
      <c r="B202" s="309" t="s">
        <v>990</v>
      </c>
      <c r="C202" s="310"/>
      <c r="D202" s="35">
        <v>1.3852887514713688</v>
      </c>
      <c r="E202" s="33"/>
      <c r="F202" s="31"/>
      <c r="G202" s="31"/>
      <c r="J202" s="27"/>
    </row>
    <row r="203" spans="1:16" ht="17.100000000000001" customHeight="1" x14ac:dyDescent="0.2">
      <c r="A203" s="31"/>
      <c r="B203" s="307" t="s">
        <v>746</v>
      </c>
      <c r="C203" s="308"/>
      <c r="D203" s="34" t="s">
        <v>142</v>
      </c>
      <c r="E203" s="33"/>
      <c r="F203" s="31"/>
      <c r="G203" s="31"/>
      <c r="J203" s="27"/>
    </row>
    <row r="204" spans="1:16" ht="17.100000000000001" customHeight="1" x14ac:dyDescent="0.2">
      <c r="A204" s="31"/>
      <c r="B204" s="307" t="s">
        <v>988</v>
      </c>
      <c r="C204" s="308"/>
      <c r="D204" s="32">
        <v>0.84601172211803077</v>
      </c>
      <c r="E204" s="31"/>
      <c r="F204" s="30"/>
      <c r="G204" s="29"/>
      <c r="J204" s="27"/>
    </row>
    <row r="205" spans="1:16" x14ac:dyDescent="0.2">
      <c r="A205" s="28"/>
      <c r="B205" s="28"/>
      <c r="C205" s="28"/>
      <c r="D205" s="28"/>
      <c r="E205" s="28"/>
      <c r="F205" s="28"/>
      <c r="G205" s="28"/>
      <c r="J205" s="27"/>
    </row>
    <row r="206" spans="1:16" customFormat="1" x14ac:dyDescent="0.2">
      <c r="B206" s="72" t="s">
        <v>1020</v>
      </c>
      <c r="J206" s="27"/>
      <c r="K206" s="27"/>
      <c r="L206" s="27"/>
      <c r="M206" s="27"/>
      <c r="N206" s="27"/>
      <c r="O206" s="27"/>
      <c r="P206" s="27"/>
    </row>
    <row r="207" spans="1:16" customFormat="1" x14ac:dyDescent="0.2">
      <c r="B207" s="72"/>
      <c r="J207" s="27"/>
      <c r="K207" s="27"/>
      <c r="L207" s="27"/>
      <c r="M207" s="27"/>
      <c r="N207" s="27"/>
      <c r="O207" s="27"/>
      <c r="P207" s="27"/>
    </row>
    <row r="208" spans="1:16" customFormat="1" ht="38.25" x14ac:dyDescent="0.2">
      <c r="B208" s="73" t="s">
        <v>998</v>
      </c>
      <c r="C208" s="73" t="s">
        <v>999</v>
      </c>
      <c r="D208" s="73" t="s">
        <v>1000</v>
      </c>
      <c r="E208" s="73" t="s">
        <v>1001</v>
      </c>
      <c r="F208" s="73" t="s">
        <v>1002</v>
      </c>
      <c r="K208" s="27"/>
      <c r="L208" s="27"/>
      <c r="M208" s="27"/>
      <c r="N208" s="27"/>
      <c r="O208" s="27"/>
      <c r="P208" s="27"/>
    </row>
    <row r="209" spans="2:16" customFormat="1" ht="25.5" x14ac:dyDescent="0.2">
      <c r="B209" s="74" t="s">
        <v>1003</v>
      </c>
      <c r="C209" s="75" t="s">
        <v>1004</v>
      </c>
      <c r="D209" s="76">
        <v>0</v>
      </c>
      <c r="E209" s="77">
        <v>0</v>
      </c>
      <c r="F209" s="78">
        <v>1000</v>
      </c>
      <c r="J209" s="27"/>
      <c r="K209" s="27"/>
      <c r="L209" s="27"/>
      <c r="M209" s="27"/>
      <c r="N209" s="27"/>
      <c r="O209" s="27"/>
      <c r="P209" s="27"/>
    </row>
    <row r="210" spans="2:16" customFormat="1" x14ac:dyDescent="0.2">
      <c r="B210" s="72"/>
      <c r="J210" s="27"/>
      <c r="K210" s="27"/>
      <c r="L210" s="27"/>
      <c r="M210" s="27"/>
      <c r="N210" s="27"/>
      <c r="O210" s="27"/>
      <c r="P210" s="27"/>
    </row>
    <row r="211" spans="2:16" customFormat="1" x14ac:dyDescent="0.2">
      <c r="B211" s="79" t="s">
        <v>1005</v>
      </c>
      <c r="C211" s="79" t="s">
        <v>1006</v>
      </c>
      <c r="D211" s="301" t="s">
        <v>1007</v>
      </c>
      <c r="E211" s="301"/>
      <c r="F211" s="301"/>
      <c r="G211" s="302" t="s">
        <v>1008</v>
      </c>
      <c r="H211" s="302"/>
      <c r="I211" s="80"/>
      <c r="J211" s="27"/>
      <c r="K211" s="27"/>
      <c r="L211" s="27"/>
      <c r="M211" s="27"/>
      <c r="N211" s="27"/>
      <c r="O211" s="27"/>
      <c r="P211" s="27"/>
    </row>
    <row r="212" spans="2:16" customFormat="1" ht="25.5" x14ac:dyDescent="0.2">
      <c r="B212" s="81" t="s">
        <v>1009</v>
      </c>
      <c r="C212" s="82" t="s">
        <v>1010</v>
      </c>
      <c r="D212" s="303">
        <v>0</v>
      </c>
      <c r="E212" s="303"/>
      <c r="F212" s="303"/>
      <c r="G212" s="303">
        <v>0</v>
      </c>
      <c r="H212" s="303"/>
      <c r="I212" s="83"/>
      <c r="J212" s="27"/>
      <c r="K212" s="27"/>
      <c r="L212" s="27"/>
      <c r="M212" s="27"/>
      <c r="N212" s="27"/>
      <c r="O212" s="27"/>
      <c r="P212" s="27"/>
    </row>
    <row r="213" spans="2:16" customFormat="1" x14ac:dyDescent="0.2">
      <c r="B213" s="81"/>
      <c r="C213" s="81"/>
      <c r="D213" s="313"/>
      <c r="E213" s="313"/>
      <c r="F213" s="313"/>
      <c r="G213" s="313"/>
      <c r="H213" s="313"/>
      <c r="I213" s="83"/>
      <c r="J213" s="27"/>
      <c r="K213" s="27"/>
      <c r="L213" s="27"/>
      <c r="M213" s="27"/>
      <c r="N213" s="27"/>
      <c r="O213" s="27"/>
      <c r="P213" s="27"/>
    </row>
    <row r="214" spans="2:16" customFormat="1" x14ac:dyDescent="0.2">
      <c r="B214" s="302" t="s">
        <v>1011</v>
      </c>
      <c r="C214" s="302"/>
      <c r="D214" s="302"/>
      <c r="E214" s="302"/>
      <c r="F214" s="302"/>
      <c r="G214" s="302"/>
      <c r="H214" s="302"/>
      <c r="I214" s="80"/>
      <c r="J214" s="27"/>
      <c r="K214" s="27"/>
      <c r="L214" s="27"/>
      <c r="M214" s="27"/>
      <c r="N214" s="27"/>
      <c r="O214" s="27"/>
      <c r="P214" s="27"/>
    </row>
    <row r="215" spans="2:16" customFormat="1" x14ac:dyDescent="0.2">
      <c r="B215" s="314" t="s">
        <v>1005</v>
      </c>
      <c r="C215" s="314" t="s">
        <v>1006</v>
      </c>
      <c r="D215" s="314" t="s">
        <v>1012</v>
      </c>
      <c r="E215" s="314"/>
      <c r="F215" s="314"/>
      <c r="G215" s="314"/>
      <c r="H215" s="81"/>
      <c r="I215" s="95"/>
      <c r="J215" s="27"/>
      <c r="K215" s="27"/>
      <c r="L215" s="27"/>
      <c r="M215" s="27"/>
      <c r="N215" s="27"/>
      <c r="O215" s="27"/>
      <c r="P215" s="27"/>
    </row>
    <row r="216" spans="2:16" customFormat="1" ht="51" x14ac:dyDescent="0.2">
      <c r="B216" s="314"/>
      <c r="C216" s="314"/>
      <c r="D216" s="84" t="s">
        <v>1013</v>
      </c>
      <c r="E216" s="84" t="s">
        <v>1014</v>
      </c>
      <c r="F216" s="84" t="s">
        <v>1015</v>
      </c>
      <c r="G216" s="84" t="s">
        <v>1016</v>
      </c>
      <c r="H216" s="84" t="s">
        <v>1021</v>
      </c>
      <c r="I216" s="96" t="s">
        <v>1017</v>
      </c>
      <c r="J216" s="27"/>
      <c r="K216" s="27"/>
      <c r="L216" s="27"/>
      <c r="M216" s="27"/>
      <c r="N216" s="27"/>
      <c r="O216" s="27"/>
      <c r="P216" s="27"/>
    </row>
    <row r="217" spans="2:16" customFormat="1" ht="25.5" x14ac:dyDescent="0.25">
      <c r="B217" s="85" t="s">
        <v>1009</v>
      </c>
      <c r="C217" s="86" t="s">
        <v>1010</v>
      </c>
      <c r="D217" s="87">
        <v>700</v>
      </c>
      <c r="E217" s="87">
        <v>24.098357999999998</v>
      </c>
      <c r="F217" s="88">
        <v>0</v>
      </c>
      <c r="G217" s="89">
        <v>724.09835799999996</v>
      </c>
      <c r="H217" s="90">
        <v>2.3999999999999998E-3</v>
      </c>
      <c r="I217" s="97">
        <f>F176*10^5</f>
        <v>29917174798.059998</v>
      </c>
      <c r="J217" s="27"/>
      <c r="K217" s="27"/>
      <c r="L217" s="27"/>
      <c r="M217" s="27"/>
      <c r="N217" s="27"/>
      <c r="O217" s="27"/>
      <c r="P217" s="27"/>
    </row>
    <row r="218" spans="2:16" customFormat="1" x14ac:dyDescent="0.2">
      <c r="B218" s="81"/>
      <c r="C218" s="81"/>
      <c r="D218" s="91"/>
      <c r="E218" s="91"/>
      <c r="F218" s="92"/>
      <c r="G218" s="91"/>
      <c r="H218" s="93"/>
      <c r="I218" s="98"/>
      <c r="J218" s="27"/>
      <c r="K218" s="27"/>
      <c r="L218" s="27"/>
      <c r="M218" s="27"/>
      <c r="N218" s="27"/>
      <c r="O218" s="27"/>
      <c r="P218" s="27"/>
    </row>
    <row r="219" spans="2:16" customFormat="1" ht="27.75" customHeight="1" x14ac:dyDescent="0.2">
      <c r="B219" s="311" t="s">
        <v>1019</v>
      </c>
      <c r="C219" s="312"/>
      <c r="D219" s="312"/>
      <c r="E219" s="312"/>
      <c r="F219" s="312"/>
      <c r="G219" s="312"/>
      <c r="H219" s="312"/>
      <c r="I219" s="94"/>
      <c r="J219" s="194" t="s">
        <v>1018</v>
      </c>
      <c r="K219" s="27"/>
      <c r="L219" s="27"/>
      <c r="M219" s="27"/>
      <c r="N219" s="27"/>
      <c r="O219" s="27"/>
      <c r="P219" s="27"/>
    </row>
    <row r="220" spans="2:16" ht="15" x14ac:dyDescent="0.25">
      <c r="J220" s="195">
        <f>G220*10^7</f>
        <v>0</v>
      </c>
    </row>
    <row r="221" spans="2:16" x14ac:dyDescent="0.2">
      <c r="J221" s="27"/>
    </row>
    <row r="222" spans="2:16" x14ac:dyDescent="0.2">
      <c r="J222" s="27"/>
    </row>
  </sheetData>
  <mergeCells count="29">
    <mergeCell ref="B219:H219"/>
    <mergeCell ref="D213:F213"/>
    <mergeCell ref="G213:H213"/>
    <mergeCell ref="B214:H214"/>
    <mergeCell ref="B215:B216"/>
    <mergeCell ref="C215:C216"/>
    <mergeCell ref="D215:G215"/>
    <mergeCell ref="D211:F211"/>
    <mergeCell ref="G211:H211"/>
    <mergeCell ref="D212:F212"/>
    <mergeCell ref="G212:H212"/>
    <mergeCell ref="B180:F180"/>
    <mergeCell ref="B182:D182"/>
    <mergeCell ref="B183:C183"/>
    <mergeCell ref="B184:C184"/>
    <mergeCell ref="B204:C204"/>
    <mergeCell ref="B185:C185"/>
    <mergeCell ref="B193:C193"/>
    <mergeCell ref="B200:C200"/>
    <mergeCell ref="B201:C201"/>
    <mergeCell ref="B202:C202"/>
    <mergeCell ref="B203:C203"/>
    <mergeCell ref="B199:C199"/>
    <mergeCell ref="K2:O2"/>
    <mergeCell ref="B178:F178"/>
    <mergeCell ref="B179:F179"/>
    <mergeCell ref="A1:I1"/>
    <mergeCell ref="A2:I2"/>
    <mergeCell ref="A3:I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14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9.140625" bestFit="1" customWidth="1"/>
    <col min="4" max="4" width="17.85546875" customWidth="1"/>
    <col min="5" max="6" width="19.140625" customWidth="1"/>
    <col min="7" max="7" width="16.42578125" customWidth="1"/>
    <col min="9" max="9" width="10.285156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1128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20250</v>
      </c>
      <c r="F7" s="6">
        <v>565.02562499999999</v>
      </c>
      <c r="G7" s="7">
        <v>9.3705659999999996E-2</v>
      </c>
      <c r="H7" s="6"/>
    </row>
    <row r="8" spans="1:14" ht="17.100000000000001" customHeight="1" x14ac:dyDescent="0.2">
      <c r="A8" s="3">
        <v>2</v>
      </c>
      <c r="B8" s="4" t="s">
        <v>294</v>
      </c>
      <c r="C8" s="4" t="s">
        <v>295</v>
      </c>
      <c r="D8" s="4" t="s">
        <v>18</v>
      </c>
      <c r="E8" s="5">
        <v>46800</v>
      </c>
      <c r="F8" s="6">
        <v>340.98480000000001</v>
      </c>
      <c r="G8" s="7">
        <v>5.6550011999999997E-2</v>
      </c>
      <c r="H8" s="6"/>
    </row>
    <row r="9" spans="1:14" ht="17.100000000000001" customHeight="1" x14ac:dyDescent="0.2">
      <c r="A9" s="3">
        <v>3</v>
      </c>
      <c r="B9" s="4" t="s">
        <v>349</v>
      </c>
      <c r="C9" s="4" t="s">
        <v>350</v>
      </c>
      <c r="D9" s="4" t="s">
        <v>18</v>
      </c>
      <c r="E9" s="5">
        <v>23650</v>
      </c>
      <c r="F9" s="6">
        <v>327.4579</v>
      </c>
      <c r="G9" s="7">
        <v>5.4306668000000002E-2</v>
      </c>
      <c r="H9" s="6"/>
    </row>
    <row r="10" spans="1:14" ht="17.100000000000001" customHeight="1" x14ac:dyDescent="0.2">
      <c r="A10" s="3">
        <v>4</v>
      </c>
      <c r="B10" s="4" t="s">
        <v>418</v>
      </c>
      <c r="C10" s="4" t="s">
        <v>419</v>
      </c>
      <c r="D10" s="4" t="s">
        <v>82</v>
      </c>
      <c r="E10" s="5">
        <v>4750</v>
      </c>
      <c r="F10" s="6">
        <v>316.91050000000001</v>
      </c>
      <c r="G10" s="7">
        <v>5.2557452999999997E-2</v>
      </c>
      <c r="H10" s="6"/>
    </row>
    <row r="11" spans="1:14" ht="29.1" customHeight="1" x14ac:dyDescent="0.2">
      <c r="A11" s="3">
        <v>5</v>
      </c>
      <c r="B11" s="4" t="s">
        <v>347</v>
      </c>
      <c r="C11" s="4" t="s">
        <v>348</v>
      </c>
      <c r="D11" s="4" t="s">
        <v>948</v>
      </c>
      <c r="E11" s="5">
        <v>123000</v>
      </c>
      <c r="F11" s="6">
        <v>305.22449999999998</v>
      </c>
      <c r="G11" s="7">
        <v>5.0619408999999997E-2</v>
      </c>
      <c r="H11" s="6"/>
    </row>
    <row r="12" spans="1:14" ht="29.1" customHeight="1" x14ac:dyDescent="0.2">
      <c r="A12" s="3">
        <v>6</v>
      </c>
      <c r="B12" s="4" t="s">
        <v>46</v>
      </c>
      <c r="C12" s="4" t="s">
        <v>47</v>
      </c>
      <c r="D12" s="4" t="s">
        <v>937</v>
      </c>
      <c r="E12" s="5">
        <v>30000</v>
      </c>
      <c r="F12" s="6">
        <v>256.92</v>
      </c>
      <c r="G12" s="7">
        <v>4.2608436E-2</v>
      </c>
      <c r="H12" s="6"/>
      <c r="J12" s="192" t="s">
        <v>1153</v>
      </c>
    </row>
    <row r="13" spans="1:14" ht="17.100000000000001" customHeight="1" x14ac:dyDescent="0.2">
      <c r="A13" s="3">
        <v>7</v>
      </c>
      <c r="B13" s="4" t="s">
        <v>303</v>
      </c>
      <c r="C13" s="4" t="s">
        <v>304</v>
      </c>
      <c r="D13" s="4" t="s">
        <v>91</v>
      </c>
      <c r="E13" s="5">
        <v>45000</v>
      </c>
      <c r="F13" s="6">
        <v>243.02250000000001</v>
      </c>
      <c r="G13" s="7">
        <v>4.030363E-2</v>
      </c>
      <c r="H13" s="6"/>
    </row>
    <row r="14" spans="1:14" ht="17.100000000000001" customHeight="1" x14ac:dyDescent="0.2">
      <c r="A14" s="3">
        <v>8</v>
      </c>
      <c r="B14" s="4" t="s">
        <v>407</v>
      </c>
      <c r="C14" s="4" t="s">
        <v>408</v>
      </c>
      <c r="D14" s="4" t="s">
        <v>18</v>
      </c>
      <c r="E14" s="5">
        <v>13200</v>
      </c>
      <c r="F14" s="6">
        <v>236.37899999999999</v>
      </c>
      <c r="G14" s="7">
        <v>3.9201851000000003E-2</v>
      </c>
      <c r="H14" s="6"/>
      <c r="J14" s="192" t="s">
        <v>1153</v>
      </c>
    </row>
    <row r="15" spans="1:14" ht="17.100000000000001" customHeight="1" x14ac:dyDescent="0.2">
      <c r="A15" s="3">
        <v>9</v>
      </c>
      <c r="B15" s="4" t="s">
        <v>355</v>
      </c>
      <c r="C15" s="4" t="s">
        <v>356</v>
      </c>
      <c r="D15" s="4" t="s">
        <v>82</v>
      </c>
      <c r="E15" s="5">
        <v>1350</v>
      </c>
      <c r="F15" s="6">
        <v>201.30052499999999</v>
      </c>
      <c r="G15" s="7">
        <v>3.3384324E-2</v>
      </c>
      <c r="H15" s="6"/>
    </row>
    <row r="16" spans="1:14" ht="17.100000000000001" customHeight="1" x14ac:dyDescent="0.2">
      <c r="A16" s="3">
        <v>10</v>
      </c>
      <c r="B16" s="4" t="s">
        <v>353</v>
      </c>
      <c r="C16" s="4" t="s">
        <v>354</v>
      </c>
      <c r="D16" s="4" t="s">
        <v>82</v>
      </c>
      <c r="E16" s="5">
        <v>52000</v>
      </c>
      <c r="F16" s="6">
        <v>196.92400000000001</v>
      </c>
      <c r="G16" s="7">
        <v>3.2658507000000003E-2</v>
      </c>
      <c r="H16" s="6"/>
    </row>
    <row r="17" spans="1:8" ht="17.100000000000001" customHeight="1" x14ac:dyDescent="0.2">
      <c r="A17" s="3">
        <v>11</v>
      </c>
      <c r="B17" s="4" t="s">
        <v>416</v>
      </c>
      <c r="C17" s="4" t="s">
        <v>417</v>
      </c>
      <c r="D17" s="4" t="s">
        <v>18</v>
      </c>
      <c r="E17" s="5">
        <v>64800</v>
      </c>
      <c r="F17" s="6">
        <v>148.81319999999999</v>
      </c>
      <c r="G17" s="7">
        <v>2.4679658E-2</v>
      </c>
      <c r="H17" s="6"/>
    </row>
    <row r="18" spans="1:8" ht="29.1" customHeight="1" x14ac:dyDescent="0.2">
      <c r="A18" s="3">
        <v>12</v>
      </c>
      <c r="B18" s="4" t="s">
        <v>390</v>
      </c>
      <c r="C18" s="4" t="s">
        <v>391</v>
      </c>
      <c r="D18" s="4" t="s">
        <v>960</v>
      </c>
      <c r="E18" s="5">
        <v>6600</v>
      </c>
      <c r="F18" s="6">
        <v>147.5001</v>
      </c>
      <c r="G18" s="7">
        <v>2.4461889000000001E-2</v>
      </c>
      <c r="H18" s="6"/>
    </row>
    <row r="19" spans="1:8" ht="17.100000000000001" customHeight="1" x14ac:dyDescent="0.2">
      <c r="A19" s="3">
        <v>13</v>
      </c>
      <c r="B19" s="4" t="s">
        <v>392</v>
      </c>
      <c r="C19" s="4" t="s">
        <v>393</v>
      </c>
      <c r="D19" s="4" t="s">
        <v>947</v>
      </c>
      <c r="E19" s="5">
        <v>25600</v>
      </c>
      <c r="F19" s="6">
        <v>130.25280000000001</v>
      </c>
      <c r="G19" s="7">
        <v>2.1601542000000001E-2</v>
      </c>
      <c r="H19" s="6"/>
    </row>
    <row r="20" spans="1:8" ht="17.100000000000001" customHeight="1" x14ac:dyDescent="0.2">
      <c r="A20" s="3">
        <v>14</v>
      </c>
      <c r="B20" s="4" t="s">
        <v>16</v>
      </c>
      <c r="C20" s="4" t="s">
        <v>17</v>
      </c>
      <c r="D20" s="4" t="s">
        <v>18</v>
      </c>
      <c r="E20" s="5">
        <v>16500</v>
      </c>
      <c r="F20" s="6">
        <v>122.64449999999999</v>
      </c>
      <c r="G20" s="7">
        <v>2.0339757E-2</v>
      </c>
      <c r="H20" s="6"/>
    </row>
    <row r="21" spans="1:8" ht="29.1" customHeight="1" x14ac:dyDescent="0.2">
      <c r="A21" s="3">
        <v>15</v>
      </c>
      <c r="B21" s="4" t="s">
        <v>559</v>
      </c>
      <c r="C21" s="4" t="s">
        <v>560</v>
      </c>
      <c r="D21" s="4" t="s">
        <v>958</v>
      </c>
      <c r="E21" s="5">
        <v>21250</v>
      </c>
      <c r="F21" s="6">
        <v>118.29875</v>
      </c>
      <c r="G21" s="7">
        <v>1.9619043999999999E-2</v>
      </c>
      <c r="H21" s="6"/>
    </row>
    <row r="22" spans="1:8" ht="17.100000000000001" customHeight="1" x14ac:dyDescent="0.2">
      <c r="A22" s="3">
        <v>16</v>
      </c>
      <c r="B22" s="4" t="s">
        <v>14</v>
      </c>
      <c r="C22" s="4" t="s">
        <v>15</v>
      </c>
      <c r="D22" s="4" t="s">
        <v>64</v>
      </c>
      <c r="E22" s="5">
        <v>5175</v>
      </c>
      <c r="F22" s="6">
        <v>87.682612500000005</v>
      </c>
      <c r="G22" s="7">
        <v>1.4541564999999999E-2</v>
      </c>
      <c r="H22" s="6"/>
    </row>
    <row r="23" spans="1:8" ht="17.100000000000001" customHeight="1" x14ac:dyDescent="0.2">
      <c r="A23" s="3">
        <v>17</v>
      </c>
      <c r="B23" s="4" t="s">
        <v>380</v>
      </c>
      <c r="C23" s="4" t="s">
        <v>381</v>
      </c>
      <c r="D23" s="4" t="s">
        <v>947</v>
      </c>
      <c r="E23" s="5">
        <v>5400</v>
      </c>
      <c r="F23" s="6">
        <v>84.6477</v>
      </c>
      <c r="G23" s="7">
        <v>1.4038246000000001E-2</v>
      </c>
      <c r="H23" s="6"/>
    </row>
    <row r="24" spans="1:8" ht="17.100000000000001" customHeight="1" x14ac:dyDescent="0.2">
      <c r="A24" s="3">
        <v>18</v>
      </c>
      <c r="B24" s="4" t="s">
        <v>561</v>
      </c>
      <c r="C24" s="4" t="s">
        <v>562</v>
      </c>
      <c r="D24" s="4" t="s">
        <v>933</v>
      </c>
      <c r="E24" s="5">
        <v>12100</v>
      </c>
      <c r="F24" s="6">
        <v>70.470399999999998</v>
      </c>
      <c r="G24" s="7">
        <v>1.1687037000000001E-2</v>
      </c>
      <c r="H24" s="6"/>
    </row>
    <row r="25" spans="1:8" ht="17.100000000000001" customHeight="1" x14ac:dyDescent="0.2">
      <c r="A25" s="3">
        <v>19</v>
      </c>
      <c r="B25" s="4" t="s">
        <v>311</v>
      </c>
      <c r="C25" s="4" t="s">
        <v>312</v>
      </c>
      <c r="D25" s="4" t="s">
        <v>26</v>
      </c>
      <c r="E25" s="5">
        <v>7500</v>
      </c>
      <c r="F25" s="6">
        <v>52.631250000000001</v>
      </c>
      <c r="G25" s="7">
        <v>8.7285350000000008E-3</v>
      </c>
      <c r="H25" s="6"/>
    </row>
    <row r="26" spans="1:8" ht="17.100000000000001" customHeight="1" x14ac:dyDescent="0.2">
      <c r="A26" s="3">
        <v>20</v>
      </c>
      <c r="B26" s="4" t="s">
        <v>286</v>
      </c>
      <c r="C26" s="4" t="s">
        <v>287</v>
      </c>
      <c r="D26" s="4" t="s">
        <v>952</v>
      </c>
      <c r="E26" s="5">
        <v>60</v>
      </c>
      <c r="F26" s="6">
        <v>27.347249999999999</v>
      </c>
      <c r="G26" s="7">
        <v>4.5353559999999999E-3</v>
      </c>
      <c r="H26" s="6"/>
    </row>
    <row r="27" spans="1:8" ht="14.1" customHeight="1" x14ac:dyDescent="0.2">
      <c r="A27" s="1"/>
      <c r="B27" s="1"/>
      <c r="C27" s="2" t="s">
        <v>111</v>
      </c>
      <c r="D27" s="1"/>
      <c r="E27" s="1" t="s">
        <v>112</v>
      </c>
      <c r="F27" s="9">
        <v>3980.4379125</v>
      </c>
      <c r="G27" s="10">
        <v>0.66012857899999999</v>
      </c>
      <c r="H27" s="6"/>
    </row>
    <row r="28" spans="1:8" ht="14.1" customHeight="1" x14ac:dyDescent="0.2">
      <c r="A28" s="1"/>
      <c r="B28" s="1"/>
      <c r="C28" s="11"/>
      <c r="D28" s="1"/>
      <c r="E28" s="1"/>
      <c r="F28" s="12"/>
      <c r="G28" s="12"/>
      <c r="H28" s="6"/>
    </row>
    <row r="29" spans="1:8" ht="14.1" customHeight="1" x14ac:dyDescent="0.2">
      <c r="A29" s="1"/>
      <c r="B29" s="1"/>
      <c r="C29" s="2" t="s">
        <v>113</v>
      </c>
      <c r="D29" s="1"/>
      <c r="E29" s="1"/>
      <c r="F29" s="1"/>
      <c r="G29" s="1"/>
      <c r="H29" s="6"/>
    </row>
    <row r="30" spans="1:8" ht="14.1" customHeight="1" x14ac:dyDescent="0.2">
      <c r="A30" s="1"/>
      <c r="B30" s="1"/>
      <c r="C30" s="2" t="s">
        <v>111</v>
      </c>
      <c r="D30" s="1"/>
      <c r="E30" s="1" t="s">
        <v>112</v>
      </c>
      <c r="F30" s="13">
        <v>0</v>
      </c>
      <c r="G30" s="14">
        <v>0</v>
      </c>
      <c r="H30" s="6"/>
    </row>
    <row r="31" spans="1:8" ht="14.1" customHeight="1" x14ac:dyDescent="0.2">
      <c r="A31" s="1"/>
      <c r="B31" s="1"/>
      <c r="C31" s="11"/>
      <c r="D31" s="1"/>
      <c r="E31" s="1"/>
      <c r="F31" s="12"/>
      <c r="G31" s="12"/>
      <c r="H31" s="6"/>
    </row>
    <row r="32" spans="1:8" ht="14.1" customHeight="1" x14ac:dyDescent="0.2">
      <c r="A32" s="1"/>
      <c r="B32" s="1"/>
      <c r="C32" s="2" t="s">
        <v>114</v>
      </c>
      <c r="D32" s="1"/>
      <c r="E32" s="1"/>
      <c r="F32" s="1"/>
      <c r="G32" s="1"/>
      <c r="H32" s="6"/>
    </row>
    <row r="33" spans="1:8" ht="14.1" customHeight="1" x14ac:dyDescent="0.2">
      <c r="A33" s="1"/>
      <c r="B33" s="1"/>
      <c r="C33" s="2" t="s">
        <v>111</v>
      </c>
      <c r="D33" s="1"/>
      <c r="E33" s="1" t="s">
        <v>112</v>
      </c>
      <c r="F33" s="13">
        <v>0</v>
      </c>
      <c r="G33" s="14">
        <v>0</v>
      </c>
      <c r="H33" s="6"/>
    </row>
    <row r="34" spans="1:8" ht="14.1" customHeight="1" x14ac:dyDescent="0.2">
      <c r="A34" s="1"/>
      <c r="B34" s="1"/>
      <c r="C34" s="11"/>
      <c r="D34" s="1"/>
      <c r="E34" s="1"/>
      <c r="F34" s="12"/>
      <c r="G34" s="12"/>
      <c r="H34" s="6"/>
    </row>
    <row r="35" spans="1:8" ht="14.1" customHeight="1" x14ac:dyDescent="0.2">
      <c r="A35" s="1"/>
      <c r="B35" s="1"/>
      <c r="C35" s="2" t="s">
        <v>115</v>
      </c>
      <c r="D35" s="1"/>
      <c r="E35" s="1"/>
      <c r="F35" s="1"/>
      <c r="G35" s="1"/>
      <c r="H35" s="6"/>
    </row>
    <row r="36" spans="1:8" ht="14.1" customHeight="1" x14ac:dyDescent="0.2">
      <c r="A36" s="1"/>
      <c r="B36" s="1"/>
      <c r="C36" s="2" t="s">
        <v>111</v>
      </c>
      <c r="D36" s="1"/>
      <c r="E36" s="1" t="s">
        <v>112</v>
      </c>
      <c r="F36" s="13">
        <v>0</v>
      </c>
      <c r="G36" s="14">
        <v>0</v>
      </c>
      <c r="H36" s="6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6"/>
    </row>
    <row r="38" spans="1:8" ht="14.1" customHeight="1" x14ac:dyDescent="0.2">
      <c r="A38" s="1"/>
      <c r="B38" s="1"/>
      <c r="C38" s="2" t="s">
        <v>116</v>
      </c>
      <c r="D38" s="1"/>
      <c r="E38" s="1"/>
      <c r="F38" s="12"/>
      <c r="G38" s="12"/>
      <c r="H38" s="6"/>
    </row>
    <row r="39" spans="1:8" ht="14.1" customHeight="1" x14ac:dyDescent="0.2">
      <c r="A39" s="1"/>
      <c r="B39" s="1"/>
      <c r="C39" s="2" t="s">
        <v>111</v>
      </c>
      <c r="D39" s="1"/>
      <c r="E39" s="1" t="s">
        <v>112</v>
      </c>
      <c r="F39" s="13">
        <v>0</v>
      </c>
      <c r="G39" s="14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4.1" customHeight="1" x14ac:dyDescent="0.2">
      <c r="A41" s="1"/>
      <c r="B41" s="1"/>
      <c r="C41" s="2" t="s">
        <v>117</v>
      </c>
      <c r="D41" s="1"/>
      <c r="E41" s="1"/>
      <c r="F41" s="12"/>
      <c r="G41" s="7"/>
      <c r="H41" s="6"/>
    </row>
    <row r="42" spans="1:8" x14ac:dyDescent="0.2">
      <c r="A42" s="3">
        <v>1</v>
      </c>
      <c r="B42" s="4"/>
      <c r="C42" s="4" t="s">
        <v>873</v>
      </c>
      <c r="D42" s="4" t="s">
        <v>563</v>
      </c>
      <c r="E42" s="5">
        <v>-60</v>
      </c>
      <c r="F42" s="6">
        <v>-27.41619</v>
      </c>
      <c r="G42" s="7">
        <v>-4.5467900000000002E-3</v>
      </c>
      <c r="H42" s="6"/>
    </row>
    <row r="43" spans="1:8" x14ac:dyDescent="0.2">
      <c r="A43" s="3">
        <v>2</v>
      </c>
      <c r="B43" s="4"/>
      <c r="C43" s="4" t="s">
        <v>874</v>
      </c>
      <c r="D43" s="4" t="s">
        <v>563</v>
      </c>
      <c r="E43" s="5">
        <v>-7500</v>
      </c>
      <c r="F43" s="6">
        <v>-52.878749999999997</v>
      </c>
      <c r="G43" s="7">
        <v>-8.7695800000000008E-3</v>
      </c>
      <c r="H43" s="6"/>
    </row>
    <row r="44" spans="1:8" x14ac:dyDescent="0.2">
      <c r="A44" s="3">
        <v>3</v>
      </c>
      <c r="B44" s="4"/>
      <c r="C44" s="4" t="s">
        <v>875</v>
      </c>
      <c r="D44" s="4" t="s">
        <v>563</v>
      </c>
      <c r="E44" s="5">
        <v>-12100</v>
      </c>
      <c r="F44" s="6">
        <v>-70.579300000000003</v>
      </c>
      <c r="G44" s="7">
        <v>-1.17051E-2</v>
      </c>
      <c r="H44" s="6"/>
    </row>
    <row r="45" spans="1:8" x14ac:dyDescent="0.2">
      <c r="A45" s="3">
        <v>4</v>
      </c>
      <c r="B45" s="4"/>
      <c r="C45" s="4" t="s">
        <v>876</v>
      </c>
      <c r="D45" s="4" t="s">
        <v>563</v>
      </c>
      <c r="E45" s="5">
        <v>-5400</v>
      </c>
      <c r="F45" s="6">
        <v>-84.936599999999999</v>
      </c>
      <c r="G45" s="7">
        <v>-1.408616E-2</v>
      </c>
      <c r="H45" s="6"/>
    </row>
    <row r="46" spans="1:8" x14ac:dyDescent="0.2">
      <c r="A46" s="3">
        <v>5</v>
      </c>
      <c r="B46" s="4"/>
      <c r="C46" s="4" t="s">
        <v>877</v>
      </c>
      <c r="D46" s="4" t="s">
        <v>563</v>
      </c>
      <c r="E46" s="5">
        <v>-5175</v>
      </c>
      <c r="F46" s="6">
        <v>-88.068150000000003</v>
      </c>
      <c r="G46" s="7">
        <v>-1.46055E-2</v>
      </c>
      <c r="H46" s="6"/>
    </row>
    <row r="47" spans="1:8" x14ac:dyDescent="0.2">
      <c r="A47" s="3">
        <v>6</v>
      </c>
      <c r="B47" s="4"/>
      <c r="C47" s="4" t="s">
        <v>878</v>
      </c>
      <c r="D47" s="4" t="s">
        <v>563</v>
      </c>
      <c r="E47" s="5">
        <v>-21250</v>
      </c>
      <c r="F47" s="6">
        <v>-118.88312500000001</v>
      </c>
      <c r="G47" s="7">
        <v>-1.9715959999999998E-2</v>
      </c>
      <c r="H47" s="6"/>
    </row>
    <row r="48" spans="1:8" x14ac:dyDescent="0.2">
      <c r="A48" s="3">
        <v>7</v>
      </c>
      <c r="B48" s="4"/>
      <c r="C48" s="4" t="s">
        <v>879</v>
      </c>
      <c r="D48" s="4" t="s">
        <v>563</v>
      </c>
      <c r="E48" s="5">
        <v>-16500</v>
      </c>
      <c r="F48" s="6">
        <v>-123.24675000000001</v>
      </c>
      <c r="G48" s="7">
        <v>-2.0439639999999999E-2</v>
      </c>
      <c r="H48" s="6"/>
    </row>
    <row r="49" spans="1:15" x14ac:dyDescent="0.2">
      <c r="A49" s="3">
        <v>8</v>
      </c>
      <c r="B49" s="4"/>
      <c r="C49" s="4" t="s">
        <v>880</v>
      </c>
      <c r="D49" s="4" t="s">
        <v>563</v>
      </c>
      <c r="E49" s="5">
        <v>-25600</v>
      </c>
      <c r="F49" s="6">
        <v>-130.49600000000001</v>
      </c>
      <c r="G49" s="7">
        <v>-2.1641870000000001E-2</v>
      </c>
      <c r="H49" s="6"/>
    </row>
    <row r="50" spans="1:15" x14ac:dyDescent="0.2">
      <c r="A50" s="3">
        <v>9</v>
      </c>
      <c r="B50" s="4"/>
      <c r="C50" s="4" t="s">
        <v>881</v>
      </c>
      <c r="D50" s="4" t="s">
        <v>563</v>
      </c>
      <c r="E50" s="5">
        <v>-6600</v>
      </c>
      <c r="F50" s="6">
        <v>-148.1601</v>
      </c>
      <c r="G50" s="7">
        <v>-2.4571350000000002E-2</v>
      </c>
      <c r="H50" s="6"/>
    </row>
    <row r="51" spans="1:15" x14ac:dyDescent="0.2">
      <c r="A51" s="3">
        <v>10</v>
      </c>
      <c r="B51" s="4"/>
      <c r="C51" s="4" t="s">
        <v>882</v>
      </c>
      <c r="D51" s="4" t="s">
        <v>563</v>
      </c>
      <c r="E51" s="5">
        <v>-64800</v>
      </c>
      <c r="F51" s="6">
        <v>-149.04</v>
      </c>
      <c r="G51" s="7">
        <v>-2.471727E-2</v>
      </c>
      <c r="H51" s="6"/>
    </row>
    <row r="52" spans="1:15" x14ac:dyDescent="0.2">
      <c r="A52" s="3">
        <v>11</v>
      </c>
      <c r="B52" s="4"/>
      <c r="C52" s="4" t="s">
        <v>883</v>
      </c>
      <c r="D52" s="4" t="s">
        <v>563</v>
      </c>
      <c r="E52" s="5">
        <v>-52000</v>
      </c>
      <c r="F52" s="6">
        <v>-197.86</v>
      </c>
      <c r="G52" s="7">
        <v>-3.2813740000000001E-2</v>
      </c>
      <c r="H52" s="6"/>
    </row>
    <row r="53" spans="1:15" x14ac:dyDescent="0.2">
      <c r="A53" s="3">
        <v>12</v>
      </c>
      <c r="B53" s="4"/>
      <c r="C53" s="4" t="s">
        <v>884</v>
      </c>
      <c r="D53" s="4" t="s">
        <v>563</v>
      </c>
      <c r="E53" s="5">
        <v>-1350</v>
      </c>
      <c r="F53" s="6">
        <v>-202.06125</v>
      </c>
      <c r="G53" s="7">
        <v>-3.3510490000000004E-2</v>
      </c>
      <c r="H53" s="6"/>
    </row>
    <row r="54" spans="1:15" x14ac:dyDescent="0.2">
      <c r="A54" s="3">
        <v>13</v>
      </c>
      <c r="B54" s="4"/>
      <c r="C54" s="4" t="s">
        <v>885</v>
      </c>
      <c r="D54" s="4" t="s">
        <v>563</v>
      </c>
      <c r="E54" s="5">
        <v>-13200</v>
      </c>
      <c r="F54" s="6">
        <v>-236.79480000000001</v>
      </c>
      <c r="G54" s="7">
        <v>-3.9270809999999996E-2</v>
      </c>
      <c r="H54" s="6"/>
    </row>
    <row r="55" spans="1:15" x14ac:dyDescent="0.2">
      <c r="A55" s="3">
        <v>14</v>
      </c>
      <c r="B55" s="4"/>
      <c r="C55" s="4" t="s">
        <v>886</v>
      </c>
      <c r="D55" s="4" t="s">
        <v>563</v>
      </c>
      <c r="E55" s="5">
        <v>-45000</v>
      </c>
      <c r="F55" s="6">
        <v>-243.38249999999999</v>
      </c>
      <c r="G55" s="7">
        <v>-4.0363330000000003E-2</v>
      </c>
      <c r="H55" s="6"/>
    </row>
    <row r="56" spans="1:15" s="66" customFormat="1" x14ac:dyDescent="0.2">
      <c r="A56" s="62">
        <v>15</v>
      </c>
      <c r="B56" s="63"/>
      <c r="C56" s="63" t="s">
        <v>887</v>
      </c>
      <c r="D56" s="63" t="s">
        <v>563</v>
      </c>
      <c r="E56" s="64">
        <v>-30000</v>
      </c>
      <c r="F56" s="65">
        <v>-258.13499999999999</v>
      </c>
      <c r="G56" s="7">
        <v>-4.2809939999999998E-2</v>
      </c>
      <c r="H56" s="6"/>
      <c r="I56"/>
      <c r="J56"/>
      <c r="K56"/>
      <c r="L56"/>
      <c r="M56"/>
      <c r="N56"/>
      <c r="O56"/>
    </row>
    <row r="57" spans="1:15" s="66" customFormat="1" x14ac:dyDescent="0.2">
      <c r="A57" s="62">
        <v>16</v>
      </c>
      <c r="B57" s="63"/>
      <c r="C57" s="63" t="s">
        <v>888</v>
      </c>
      <c r="D57" s="63" t="s">
        <v>563</v>
      </c>
      <c r="E57" s="64">
        <v>-123000</v>
      </c>
      <c r="F57" s="65">
        <v>-306.51600000000002</v>
      </c>
      <c r="G57" s="7">
        <v>-5.08336E-2</v>
      </c>
      <c r="H57" s="6"/>
      <c r="I57"/>
      <c r="J57"/>
      <c r="K57"/>
      <c r="L57"/>
      <c r="M57"/>
      <c r="N57"/>
      <c r="O57"/>
    </row>
    <row r="58" spans="1:15" x14ac:dyDescent="0.2">
      <c r="A58" s="3">
        <v>17</v>
      </c>
      <c r="B58" s="4"/>
      <c r="C58" s="4" t="s">
        <v>889</v>
      </c>
      <c r="D58" s="4" t="s">
        <v>563</v>
      </c>
      <c r="E58" s="5">
        <v>-4750</v>
      </c>
      <c r="F58" s="6">
        <v>-318.47800000000001</v>
      </c>
      <c r="G58" s="7">
        <v>-5.2817410000000002E-2</v>
      </c>
      <c r="H58" s="6"/>
    </row>
    <row r="59" spans="1:15" x14ac:dyDescent="0.2">
      <c r="A59" s="3">
        <v>18</v>
      </c>
      <c r="B59" s="4"/>
      <c r="C59" s="4" t="s">
        <v>890</v>
      </c>
      <c r="D59" s="4" t="s">
        <v>563</v>
      </c>
      <c r="E59" s="5">
        <v>-23650</v>
      </c>
      <c r="F59" s="6">
        <v>-324.78545000000003</v>
      </c>
      <c r="G59" s="7">
        <v>-5.3863459999999995E-2</v>
      </c>
      <c r="H59" s="6"/>
    </row>
    <row r="60" spans="1:15" x14ac:dyDescent="0.2">
      <c r="A60" s="3">
        <v>19</v>
      </c>
      <c r="B60" s="4"/>
      <c r="C60" s="4" t="s">
        <v>891</v>
      </c>
      <c r="D60" s="4" t="s">
        <v>563</v>
      </c>
      <c r="E60" s="5">
        <v>-46800</v>
      </c>
      <c r="F60" s="6">
        <v>-342.01440000000002</v>
      </c>
      <c r="G60" s="7">
        <v>-5.6720759999999995E-2</v>
      </c>
      <c r="H60" s="6"/>
    </row>
    <row r="61" spans="1:15" x14ac:dyDescent="0.2">
      <c r="A61" s="3">
        <v>20</v>
      </c>
      <c r="B61" s="4"/>
      <c r="C61" s="4" t="s">
        <v>892</v>
      </c>
      <c r="D61" s="4" t="s">
        <v>563</v>
      </c>
      <c r="E61" s="5">
        <v>-20250</v>
      </c>
      <c r="F61" s="6">
        <v>-567.45562500000005</v>
      </c>
      <c r="G61" s="7">
        <v>-9.4108660000000011E-2</v>
      </c>
      <c r="H61" s="6"/>
    </row>
    <row r="62" spans="1:15" ht="14.1" customHeight="1" x14ac:dyDescent="0.2">
      <c r="A62" s="1"/>
      <c r="B62" s="1"/>
      <c r="C62" s="2" t="s">
        <v>111</v>
      </c>
      <c r="D62" s="1"/>
      <c r="E62" s="1" t="s">
        <v>112</v>
      </c>
      <c r="F62" s="9">
        <v>-3991.1879899999999</v>
      </c>
      <c r="G62" s="10">
        <v>-0.66191140599999998</v>
      </c>
      <c r="H62" s="6"/>
    </row>
    <row r="63" spans="1:15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15" ht="18" customHeight="1" x14ac:dyDescent="0.2">
      <c r="A64" s="1"/>
      <c r="B64" s="1"/>
      <c r="C64" s="2" t="s">
        <v>118</v>
      </c>
      <c r="D64" s="1"/>
      <c r="E64" s="1"/>
      <c r="F64" s="9">
        <v>3980.4379125</v>
      </c>
      <c r="G64" s="10">
        <v>0.66012857899999999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119</v>
      </c>
      <c r="D66" s="1"/>
      <c r="E66" s="1"/>
      <c r="F66" s="12"/>
      <c r="G66" s="12"/>
      <c r="H66" s="6"/>
    </row>
    <row r="67" spans="1:8" ht="24" customHeight="1" x14ac:dyDescent="0.2">
      <c r="A67" s="1"/>
      <c r="B67" s="1"/>
      <c r="C67" s="2" t="s">
        <v>10</v>
      </c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111</v>
      </c>
      <c r="D68" s="1"/>
      <c r="E68" s="1" t="s">
        <v>112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120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121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122</v>
      </c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123</v>
      </c>
      <c r="D79" s="1"/>
      <c r="E79" s="1"/>
      <c r="F79" s="9">
        <v>0</v>
      </c>
      <c r="G79" s="10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124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125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127</v>
      </c>
      <c r="D88" s="1"/>
      <c r="E88" s="1"/>
      <c r="F88" s="12"/>
      <c r="G88" s="12"/>
      <c r="H88" s="6"/>
    </row>
    <row r="89" spans="1:8" ht="17.100000000000001" customHeight="1" x14ac:dyDescent="0.2">
      <c r="A89" s="3">
        <v>1</v>
      </c>
      <c r="B89" s="4" t="s">
        <v>564</v>
      </c>
      <c r="C89" s="4" t="s">
        <v>930</v>
      </c>
      <c r="D89" s="4" t="s">
        <v>565</v>
      </c>
      <c r="E89" s="5">
        <v>1000000</v>
      </c>
      <c r="F89" s="6">
        <v>992.07500000000005</v>
      </c>
      <c r="G89" s="7">
        <v>0.16452889700000001</v>
      </c>
      <c r="H89" s="6">
        <v>3.94</v>
      </c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9">
        <v>992.07500000000005</v>
      </c>
      <c r="G90" s="10">
        <v>0.16452889700000001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128</v>
      </c>
      <c r="D92" s="1"/>
      <c r="E92" s="1"/>
      <c r="F92" s="12"/>
      <c r="G92" s="12"/>
      <c r="H92" s="6"/>
    </row>
    <row r="93" spans="1:8" ht="17.100000000000001" customHeight="1" x14ac:dyDescent="0.2">
      <c r="A93" s="3">
        <v>1</v>
      </c>
      <c r="B93" s="4"/>
      <c r="C93" s="4" t="s">
        <v>129</v>
      </c>
      <c r="D93" s="4"/>
      <c r="E93" s="8"/>
      <c r="F93" s="6">
        <v>40.813701899999998</v>
      </c>
      <c r="G93" s="7">
        <v>6.768675E-3</v>
      </c>
      <c r="H93" s="6">
        <v>3.9343919198424624</v>
      </c>
    </row>
    <row r="94" spans="1:8" ht="17.100000000000001" customHeight="1" x14ac:dyDescent="0.2">
      <c r="A94" s="3">
        <v>2</v>
      </c>
      <c r="B94" s="4"/>
      <c r="C94" s="4" t="s">
        <v>130</v>
      </c>
      <c r="D94" s="4"/>
      <c r="E94" s="8"/>
      <c r="F94" s="6">
        <v>2.680625</v>
      </c>
      <c r="G94" s="7">
        <v>4.4456299999999998E-4</v>
      </c>
      <c r="H94" s="6">
        <v>3.8</v>
      </c>
    </row>
    <row r="95" spans="1:8" ht="14.1" customHeight="1" x14ac:dyDescent="0.2">
      <c r="A95" s="1"/>
      <c r="B95" s="1"/>
      <c r="C95" s="2" t="s">
        <v>111</v>
      </c>
      <c r="D95" s="1"/>
      <c r="E95" s="1" t="s">
        <v>112</v>
      </c>
      <c r="F95" s="9">
        <v>43.494326899999997</v>
      </c>
      <c r="G95" s="10">
        <v>7.2132380000000003E-3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9" ht="14.1" customHeight="1" x14ac:dyDescent="0.2">
      <c r="A97" s="1"/>
      <c r="B97" s="1"/>
      <c r="C97" s="2" t="s">
        <v>131</v>
      </c>
      <c r="D97" s="1"/>
      <c r="E97" s="1"/>
      <c r="F97" s="9">
        <v>1035.5693269000001</v>
      </c>
      <c r="G97" s="10">
        <v>0.17174213499999999</v>
      </c>
      <c r="H97" s="6"/>
    </row>
    <row r="98" spans="1:9" ht="14.1" customHeight="1" x14ac:dyDescent="0.2">
      <c r="A98" s="1"/>
      <c r="B98" s="1"/>
      <c r="C98" s="12"/>
      <c r="D98" s="1"/>
      <c r="E98" s="1"/>
      <c r="F98" s="1"/>
      <c r="G98" s="1"/>
      <c r="H98" s="6"/>
    </row>
    <row r="99" spans="1:9" ht="14.1" customHeight="1" x14ac:dyDescent="0.2">
      <c r="A99" s="1"/>
      <c r="B99" s="1"/>
      <c r="C99" s="2" t="s">
        <v>132</v>
      </c>
      <c r="D99" s="1"/>
      <c r="E99" s="1"/>
      <c r="F99" s="1"/>
      <c r="G99" s="1"/>
      <c r="H99" s="6"/>
    </row>
    <row r="100" spans="1:9" ht="14.1" customHeight="1" x14ac:dyDescent="0.2">
      <c r="A100" s="1"/>
      <c r="B100" s="1"/>
      <c r="C100" s="2" t="s">
        <v>133</v>
      </c>
      <c r="D100" s="1"/>
      <c r="E100" s="1"/>
      <c r="F100" s="1"/>
      <c r="G100" s="1"/>
      <c r="H100" s="6"/>
    </row>
    <row r="101" spans="1:9" ht="17.100000000000001" customHeight="1" x14ac:dyDescent="0.2">
      <c r="A101" s="3">
        <v>1</v>
      </c>
      <c r="B101" s="4" t="s">
        <v>566</v>
      </c>
      <c r="C101" s="4" t="s">
        <v>1125</v>
      </c>
      <c r="D101" s="4"/>
      <c r="E101" s="5">
        <v>21249.447</v>
      </c>
      <c r="F101" s="6">
        <v>400.473261751</v>
      </c>
      <c r="G101" s="7">
        <v>6.6415769E-2</v>
      </c>
      <c r="H101" s="6"/>
    </row>
    <row r="102" spans="1:9" ht="14.1" customHeight="1" x14ac:dyDescent="0.2">
      <c r="A102" s="1"/>
      <c r="B102" s="1"/>
      <c r="C102" s="2" t="s">
        <v>111</v>
      </c>
      <c r="D102" s="1"/>
      <c r="E102" s="1" t="s">
        <v>112</v>
      </c>
      <c r="F102" s="9">
        <v>400.473261751</v>
      </c>
      <c r="G102" s="10">
        <v>6.6415769E-2</v>
      </c>
      <c r="H102" s="6"/>
    </row>
    <row r="103" spans="1:9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9" ht="14.1" customHeight="1" x14ac:dyDescent="0.2">
      <c r="A104" s="1"/>
      <c r="B104" s="1"/>
      <c r="C104" s="2" t="s">
        <v>134</v>
      </c>
      <c r="D104" s="1"/>
      <c r="E104" s="1"/>
      <c r="F104" s="1"/>
      <c r="G104" s="1"/>
      <c r="H104" s="6"/>
    </row>
    <row r="105" spans="1:9" ht="14.1" customHeight="1" x14ac:dyDescent="0.2">
      <c r="A105" s="1"/>
      <c r="B105" s="1"/>
      <c r="C105" s="2" t="s">
        <v>135</v>
      </c>
      <c r="D105" s="1"/>
      <c r="E105" s="1"/>
      <c r="F105" s="1"/>
      <c r="G105" s="1"/>
      <c r="H105" s="6"/>
    </row>
    <row r="106" spans="1:9" ht="14.1" customHeight="1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6"/>
    </row>
    <row r="107" spans="1:9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9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9" ht="24" customHeight="1" x14ac:dyDescent="0.2">
      <c r="A109" s="1"/>
      <c r="B109" s="1"/>
      <c r="C109" s="2" t="s">
        <v>136</v>
      </c>
      <c r="D109" s="1"/>
      <c r="E109" s="1"/>
      <c r="F109" s="12"/>
      <c r="G109" s="12"/>
      <c r="H109" s="6"/>
    </row>
    <row r="110" spans="1:9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9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9" ht="18" customHeight="1" x14ac:dyDescent="0.2">
      <c r="A112" s="8"/>
      <c r="B112" s="4"/>
      <c r="C112" s="4" t="s">
        <v>567</v>
      </c>
      <c r="D112" s="4"/>
      <c r="E112" s="8"/>
      <c r="F112" s="6">
        <v>156.65863859999999</v>
      </c>
      <c r="G112" s="7">
        <v>2.5980771E-2</v>
      </c>
      <c r="H112" s="6"/>
      <c r="I112" s="193"/>
    </row>
    <row r="113" spans="1:15" ht="18" customHeight="1" x14ac:dyDescent="0.2">
      <c r="A113" s="8"/>
      <c r="B113" s="4"/>
      <c r="C113" s="4" t="s">
        <v>994</v>
      </c>
      <c r="D113" s="4"/>
      <c r="E113" s="8"/>
      <c r="F113" s="6">
        <v>456.65268374900097</v>
      </c>
      <c r="G113" s="7">
        <v>7.5732744531789895E-2</v>
      </c>
      <c r="H113" s="6"/>
    </row>
    <row r="114" spans="1:15" ht="14.1" customHeight="1" x14ac:dyDescent="0.2">
      <c r="A114" s="11"/>
      <c r="B114" s="11"/>
      <c r="C114" s="2" t="s">
        <v>138</v>
      </c>
      <c r="D114" s="15"/>
      <c r="E114" s="15"/>
      <c r="F114" s="9">
        <v>6029.7918235000016</v>
      </c>
      <c r="G114" s="10">
        <v>0.99999999853178989</v>
      </c>
      <c r="H114" s="6"/>
    </row>
    <row r="115" spans="1:15" ht="14.1" customHeight="1" x14ac:dyDescent="0.2">
      <c r="A115" s="18"/>
      <c r="B115" s="297" t="s">
        <v>112</v>
      </c>
      <c r="C115" s="297"/>
      <c r="D115" s="297"/>
      <c r="E115" s="297"/>
      <c r="F115" s="297"/>
      <c r="G115" s="20"/>
    </row>
    <row r="116" spans="1:15" ht="17.100000000000001" customHeight="1" x14ac:dyDescent="0.2">
      <c r="A116" s="18"/>
      <c r="B116" s="297" t="s">
        <v>139</v>
      </c>
      <c r="C116" s="297"/>
      <c r="D116" s="297"/>
      <c r="E116" s="297"/>
      <c r="F116" s="297"/>
      <c r="G116" s="20"/>
    </row>
    <row r="117" spans="1:15" s="27" customFormat="1" x14ac:dyDescent="0.2">
      <c r="A117" s="48"/>
      <c r="B117" s="298" t="s">
        <v>749</v>
      </c>
      <c r="C117" s="298"/>
      <c r="D117" s="298"/>
      <c r="E117" s="298"/>
      <c r="F117" s="298"/>
      <c r="G117" s="45"/>
      <c r="H117"/>
      <c r="I117"/>
      <c r="J117"/>
      <c r="K117"/>
      <c r="L117"/>
      <c r="M117"/>
      <c r="N117"/>
      <c r="O117"/>
    </row>
    <row r="118" spans="1:15" s="191" customFormat="1" ht="15" x14ac:dyDescent="0.2">
      <c r="A118" s="18" t="s">
        <v>112</v>
      </c>
      <c r="B118" s="297" t="s">
        <v>1126</v>
      </c>
      <c r="C118" s="297"/>
      <c r="D118" s="297"/>
      <c r="E118" s="297"/>
      <c r="F118" s="297"/>
      <c r="G118" s="20" t="s">
        <v>112</v>
      </c>
      <c r="H118" s="190"/>
      <c r="I118"/>
      <c r="J118"/>
      <c r="K118"/>
      <c r="L118"/>
      <c r="M118"/>
      <c r="N118"/>
      <c r="O118"/>
    </row>
    <row r="119" spans="1:15" ht="14.1" customHeight="1" x14ac:dyDescent="0.2">
      <c r="A119" s="18"/>
      <c r="B119" s="18"/>
      <c r="C119" s="18"/>
      <c r="D119" s="20"/>
      <c r="E119" s="20"/>
      <c r="F119" s="20"/>
      <c r="G119" s="20"/>
    </row>
    <row r="120" spans="1:15" ht="14.1" customHeight="1" x14ac:dyDescent="0.2">
      <c r="A120" s="18"/>
      <c r="B120" s="294" t="s">
        <v>140</v>
      </c>
      <c r="C120" s="295"/>
      <c r="D120" s="12" t="s">
        <v>112</v>
      </c>
      <c r="E120" s="21"/>
      <c r="F120" s="20"/>
      <c r="G120" s="20"/>
    </row>
    <row r="121" spans="1:15" ht="29.1" customHeight="1" x14ac:dyDescent="0.2">
      <c r="A121" s="18"/>
      <c r="B121" s="288" t="s">
        <v>141</v>
      </c>
      <c r="C121" s="289"/>
      <c r="D121" s="2" t="s">
        <v>1022</v>
      </c>
      <c r="E121" s="21"/>
      <c r="F121" s="20"/>
      <c r="G121" s="20"/>
    </row>
    <row r="122" spans="1:15" ht="17.100000000000001" customHeight="1" x14ac:dyDescent="0.2">
      <c r="A122" s="18"/>
      <c r="B122" s="288" t="s">
        <v>143</v>
      </c>
      <c r="C122" s="289"/>
      <c r="D122" s="2" t="s">
        <v>142</v>
      </c>
      <c r="E122" s="21"/>
      <c r="F122" s="20"/>
      <c r="G122" s="20"/>
    </row>
    <row r="123" spans="1:15" ht="17.100000000000001" customHeight="1" x14ac:dyDescent="0.2">
      <c r="A123" s="18"/>
      <c r="B123" s="288" t="s">
        <v>144</v>
      </c>
      <c r="C123" s="289"/>
      <c r="D123" s="12" t="s">
        <v>112</v>
      </c>
      <c r="E123" s="21"/>
      <c r="F123" s="20"/>
      <c r="G123" s="20"/>
    </row>
    <row r="124" spans="1:15" ht="24" customHeight="1" x14ac:dyDescent="0.2">
      <c r="A124" s="22"/>
      <c r="B124" s="23" t="s">
        <v>112</v>
      </c>
      <c r="C124" s="23" t="s">
        <v>145</v>
      </c>
      <c r="D124" s="23" t="s">
        <v>146</v>
      </c>
      <c r="E124" s="22"/>
      <c r="F124" s="22"/>
      <c r="G124" s="22"/>
    </row>
    <row r="125" spans="1:15" ht="18" customHeight="1" x14ac:dyDescent="0.2">
      <c r="A125" s="22"/>
      <c r="B125" s="23" t="s">
        <v>147</v>
      </c>
      <c r="C125" s="23" t="s">
        <v>148</v>
      </c>
      <c r="D125" s="23" t="s">
        <v>149</v>
      </c>
      <c r="E125" s="22"/>
      <c r="F125" s="22"/>
      <c r="G125" s="22"/>
    </row>
    <row r="126" spans="1:15" ht="17.100000000000001" customHeight="1" x14ac:dyDescent="0.2">
      <c r="A126" s="22"/>
      <c r="B126" s="4" t="s">
        <v>150</v>
      </c>
      <c r="C126" s="24">
        <v>12.231299999999999</v>
      </c>
      <c r="D126" s="24">
        <v>12.278700000000001</v>
      </c>
      <c r="E126" s="22"/>
      <c r="F126" s="19"/>
      <c r="G126" s="25"/>
    </row>
    <row r="127" spans="1:15" ht="25.5" customHeight="1" x14ac:dyDescent="0.2">
      <c r="A127" s="22"/>
      <c r="B127" s="4" t="s">
        <v>1119</v>
      </c>
      <c r="C127" s="24">
        <v>10.5771</v>
      </c>
      <c r="D127" s="24">
        <v>10.618</v>
      </c>
      <c r="E127" s="22"/>
      <c r="F127" s="19"/>
      <c r="G127" s="25"/>
    </row>
    <row r="128" spans="1:15" ht="17.100000000000001" customHeight="1" x14ac:dyDescent="0.2">
      <c r="A128" s="22"/>
      <c r="B128" s="4" t="s">
        <v>151</v>
      </c>
      <c r="C128" s="24">
        <v>11.8406</v>
      </c>
      <c r="D128" s="24">
        <v>11.8794</v>
      </c>
      <c r="E128" s="22"/>
      <c r="F128" s="19"/>
      <c r="G128" s="25"/>
    </row>
    <row r="129" spans="1:15" ht="27" customHeight="1" x14ac:dyDescent="0.2">
      <c r="A129" s="22"/>
      <c r="B129" s="4" t="s">
        <v>1121</v>
      </c>
      <c r="C129" s="24">
        <v>10.4107</v>
      </c>
      <c r="D129" s="24">
        <v>10.444800000000001</v>
      </c>
      <c r="E129" s="22"/>
      <c r="F129" s="19"/>
      <c r="G129" s="25"/>
    </row>
    <row r="130" spans="1:15" ht="14.1" customHeight="1" x14ac:dyDescent="0.2">
      <c r="A130" s="22"/>
      <c r="B130" s="22"/>
      <c r="C130" s="22"/>
      <c r="D130" s="22"/>
      <c r="E130" s="22"/>
      <c r="F130" s="22"/>
      <c r="G130" s="22"/>
    </row>
    <row r="131" spans="1:15" ht="17.100000000000001" customHeight="1" x14ac:dyDescent="0.2">
      <c r="A131" s="22"/>
      <c r="B131" s="288" t="s">
        <v>1116</v>
      </c>
      <c r="C131" s="289"/>
      <c r="D131" s="2" t="s">
        <v>142</v>
      </c>
      <c r="E131" s="22"/>
      <c r="F131" s="22"/>
      <c r="G131" s="22"/>
    </row>
    <row r="132" spans="1:15" ht="14.1" customHeight="1" x14ac:dyDescent="0.2">
      <c r="A132" s="22"/>
      <c r="B132" s="19"/>
      <c r="C132" s="19"/>
      <c r="D132" s="22"/>
      <c r="E132" s="22"/>
      <c r="F132" s="22"/>
      <c r="G132" s="22"/>
    </row>
    <row r="133" spans="1:15" ht="29.1" customHeight="1" x14ac:dyDescent="0.2">
      <c r="A133" s="22"/>
      <c r="B133" s="288" t="s">
        <v>153</v>
      </c>
      <c r="C133" s="289"/>
      <c r="D133" s="2" t="s">
        <v>1172</v>
      </c>
      <c r="E133" s="22"/>
      <c r="F133" s="22"/>
      <c r="G133" s="22"/>
    </row>
    <row r="134" spans="1:15" ht="29.1" customHeight="1" x14ac:dyDescent="0.2">
      <c r="A134" s="22"/>
      <c r="B134" s="288" t="s">
        <v>154</v>
      </c>
      <c r="C134" s="289"/>
      <c r="D134" s="2" t="s">
        <v>142</v>
      </c>
      <c r="E134" s="22"/>
      <c r="F134" s="22"/>
      <c r="G134" s="22"/>
    </row>
    <row r="135" spans="1:15" ht="12.75" customHeight="1" x14ac:dyDescent="0.2">
      <c r="A135" s="22"/>
      <c r="B135" s="309" t="s">
        <v>989</v>
      </c>
      <c r="C135" s="310"/>
      <c r="D135" s="70">
        <v>0.10165923459181375</v>
      </c>
      <c r="E135" s="22"/>
      <c r="F135" s="22"/>
      <c r="G135" s="22"/>
    </row>
    <row r="136" spans="1:15" ht="12.75" customHeight="1" x14ac:dyDescent="0.2">
      <c r="A136" s="22"/>
      <c r="B136" s="309" t="s">
        <v>990</v>
      </c>
      <c r="C136" s="310"/>
      <c r="D136" s="70">
        <v>0.10165923459181375</v>
      </c>
      <c r="E136" s="22"/>
      <c r="F136" s="22"/>
      <c r="G136" s="22"/>
    </row>
    <row r="137" spans="1:15" ht="17.100000000000001" customHeight="1" x14ac:dyDescent="0.2">
      <c r="A137" s="22"/>
      <c r="B137" s="288" t="s">
        <v>991</v>
      </c>
      <c r="C137" s="289"/>
      <c r="D137" s="26">
        <v>10.66234950527511</v>
      </c>
      <c r="E137" s="22"/>
      <c r="F137" s="19"/>
      <c r="G137" s="25"/>
      <c r="J137" s="66"/>
      <c r="K137" s="66"/>
      <c r="L137" s="66"/>
      <c r="M137" s="66"/>
      <c r="N137" s="66"/>
      <c r="O137" s="66"/>
    </row>
    <row r="138" spans="1:15" ht="17.100000000000001" customHeight="1" x14ac:dyDescent="0.2">
      <c r="A138" s="22"/>
      <c r="B138" s="288" t="s">
        <v>992</v>
      </c>
      <c r="C138" s="289"/>
      <c r="D138" s="2" t="s">
        <v>142</v>
      </c>
      <c r="E138" s="22"/>
      <c r="F138" s="22"/>
      <c r="G138" s="22"/>
    </row>
    <row r="140" spans="1:15" x14ac:dyDescent="0.2">
      <c r="B140" s="99" t="s">
        <v>1020</v>
      </c>
      <c r="C140" s="99"/>
      <c r="D140" s="99"/>
      <c r="E140" s="100"/>
      <c r="F140" s="101"/>
    </row>
    <row r="141" spans="1:15" ht="38.25" x14ac:dyDescent="0.2">
      <c r="B141" s="73" t="s">
        <v>998</v>
      </c>
      <c r="C141" s="73" t="s">
        <v>999</v>
      </c>
      <c r="D141" s="73" t="s">
        <v>1000</v>
      </c>
      <c r="E141" s="73" t="s">
        <v>1001</v>
      </c>
      <c r="F141" s="73" t="s">
        <v>1002</v>
      </c>
    </row>
    <row r="142" spans="1:15" s="102" customFormat="1" ht="25.5" x14ac:dyDescent="0.2">
      <c r="B142" s="103" t="s">
        <v>1003</v>
      </c>
      <c r="C142" s="104" t="s">
        <v>1004</v>
      </c>
      <c r="D142" s="105">
        <v>0</v>
      </c>
      <c r="E142" s="106">
        <v>0</v>
      </c>
      <c r="F142" s="107">
        <v>50</v>
      </c>
      <c r="I142"/>
      <c r="J142"/>
      <c r="K142"/>
      <c r="L142"/>
      <c r="M142"/>
      <c r="N142"/>
      <c r="O142"/>
    </row>
  </sheetData>
  <mergeCells count="19">
    <mergeCell ref="A1:H1"/>
    <mergeCell ref="A2:H2"/>
    <mergeCell ref="A3:H3"/>
    <mergeCell ref="J2:N2"/>
    <mergeCell ref="B117:F117"/>
    <mergeCell ref="B138:C138"/>
    <mergeCell ref="B121:C121"/>
    <mergeCell ref="B122:C122"/>
    <mergeCell ref="B123:C123"/>
    <mergeCell ref="B131:C131"/>
    <mergeCell ref="B133:C133"/>
    <mergeCell ref="B134:C134"/>
    <mergeCell ref="B135:C135"/>
    <mergeCell ref="B136:C136"/>
    <mergeCell ref="B118:F118"/>
    <mergeCell ref="B115:F115"/>
    <mergeCell ref="B116:F116"/>
    <mergeCell ref="B120:C120"/>
    <mergeCell ref="B137:C13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E68E-FB5D-4FA0-852D-0D236EDD5559}">
  <sheetPr>
    <outlinePr summaryBelow="0" summaryRight="0"/>
  </sheetPr>
  <dimension ref="A1:O255"/>
  <sheetViews>
    <sheetView showGridLines="0" workbookViewId="0">
      <selection sqref="A1:H1"/>
    </sheetView>
  </sheetViews>
  <sheetFormatPr defaultRowHeight="12.75" x14ac:dyDescent="0.2"/>
  <cols>
    <col min="1" max="1" width="6.85546875" style="27" customWidth="1"/>
    <col min="2" max="2" width="20.5703125" style="27" customWidth="1"/>
    <col min="3" max="3" width="34.28515625" style="27" customWidth="1"/>
    <col min="4" max="4" width="17.85546875" style="27" customWidth="1"/>
    <col min="5" max="6" width="19.140625" style="27" customWidth="1"/>
    <col min="7" max="7" width="16.42578125" style="27" customWidth="1"/>
    <col min="8" max="8" width="11.5703125" style="27" bestFit="1" customWidth="1"/>
    <col min="10" max="16384" width="9.140625" style="27"/>
  </cols>
  <sheetData>
    <row r="1" spans="1:15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5" ht="17.100000000000001" customHeight="1" x14ac:dyDescent="0.2">
      <c r="A2" s="291" t="s">
        <v>1129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5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5" s="189" customFormat="1" ht="30" x14ac:dyDescent="0.2">
      <c r="A4" s="188" t="s">
        <v>2</v>
      </c>
      <c r="B4" s="188" t="s">
        <v>3</v>
      </c>
      <c r="C4" s="188" t="s">
        <v>4</v>
      </c>
      <c r="D4" s="188" t="s">
        <v>5</v>
      </c>
      <c r="E4" s="188" t="s">
        <v>6</v>
      </c>
      <c r="F4" s="188" t="s">
        <v>7</v>
      </c>
      <c r="G4" s="188" t="s">
        <v>8</v>
      </c>
      <c r="H4" s="71" t="s">
        <v>997</v>
      </c>
      <c r="I4" s="186"/>
    </row>
    <row r="5" spans="1:15" ht="14.1" customHeight="1" x14ac:dyDescent="0.2">
      <c r="A5" s="57"/>
      <c r="B5" s="57"/>
      <c r="C5" s="34" t="s">
        <v>9</v>
      </c>
      <c r="D5" s="57"/>
      <c r="E5" s="57"/>
      <c r="F5" s="57"/>
      <c r="G5" s="57"/>
      <c r="H5" s="6"/>
    </row>
    <row r="6" spans="1:15" ht="24" customHeight="1" x14ac:dyDescent="0.2">
      <c r="A6" s="57"/>
      <c r="B6" s="57"/>
      <c r="C6" s="34" t="s">
        <v>10</v>
      </c>
      <c r="D6" s="57"/>
      <c r="E6" s="57"/>
      <c r="F6" s="57"/>
      <c r="G6" s="57"/>
      <c r="H6" s="6"/>
    </row>
    <row r="7" spans="1:15" x14ac:dyDescent="0.2">
      <c r="A7" s="60">
        <v>1</v>
      </c>
      <c r="B7" s="39" t="s">
        <v>11</v>
      </c>
      <c r="C7" s="39" t="s">
        <v>12</v>
      </c>
      <c r="D7" s="39" t="s">
        <v>13</v>
      </c>
      <c r="E7" s="61">
        <v>389418</v>
      </c>
      <c r="F7" s="55">
        <v>10865.735745</v>
      </c>
      <c r="G7" s="54">
        <v>6.7450495999999999E-2</v>
      </c>
      <c r="H7" s="6"/>
    </row>
    <row r="8" spans="1:15" x14ac:dyDescent="0.2">
      <c r="A8" s="60">
        <v>2</v>
      </c>
      <c r="B8" s="39" t="s">
        <v>349</v>
      </c>
      <c r="C8" s="39" t="s">
        <v>350</v>
      </c>
      <c r="D8" s="39" t="s">
        <v>18</v>
      </c>
      <c r="E8" s="61">
        <v>641850</v>
      </c>
      <c r="F8" s="55">
        <v>8887.0550999999996</v>
      </c>
      <c r="G8" s="54">
        <v>5.5167572999999998E-2</v>
      </c>
      <c r="H8" s="6"/>
    </row>
    <row r="9" spans="1:15" x14ac:dyDescent="0.2">
      <c r="A9" s="60">
        <v>3</v>
      </c>
      <c r="B9" s="39" t="s">
        <v>16</v>
      </c>
      <c r="C9" s="39" t="s">
        <v>17</v>
      </c>
      <c r="D9" s="39" t="s">
        <v>18</v>
      </c>
      <c r="E9" s="61">
        <v>959499</v>
      </c>
      <c r="F9" s="55">
        <v>7131.9560670000001</v>
      </c>
      <c r="G9" s="54">
        <v>4.4272563000000001E-2</v>
      </c>
      <c r="H9" s="6"/>
    </row>
    <row r="10" spans="1:15" x14ac:dyDescent="0.2">
      <c r="A10" s="60">
        <v>4</v>
      </c>
      <c r="B10" s="39" t="s">
        <v>380</v>
      </c>
      <c r="C10" s="39" t="s">
        <v>381</v>
      </c>
      <c r="D10" s="39" t="s">
        <v>947</v>
      </c>
      <c r="E10" s="61">
        <v>357663</v>
      </c>
      <c r="F10" s="55">
        <v>5606.5463565</v>
      </c>
      <c r="G10" s="54">
        <v>3.4803380000000002E-2</v>
      </c>
      <c r="H10" s="6"/>
    </row>
    <row r="11" spans="1:15" x14ac:dyDescent="0.2">
      <c r="A11" s="60">
        <v>5</v>
      </c>
      <c r="B11" s="39" t="s">
        <v>294</v>
      </c>
      <c r="C11" s="39" t="s">
        <v>295</v>
      </c>
      <c r="D11" s="39" t="s">
        <v>18</v>
      </c>
      <c r="E11" s="61">
        <v>605000</v>
      </c>
      <c r="F11" s="55">
        <v>4408.03</v>
      </c>
      <c r="G11" s="54">
        <v>2.7363431000000001E-2</v>
      </c>
      <c r="H11" s="6"/>
      <c r="J11" s="196"/>
      <c r="K11" s="196"/>
      <c r="L11" s="196"/>
      <c r="M11" s="196"/>
      <c r="N11" s="196"/>
      <c r="O11" s="196"/>
    </row>
    <row r="12" spans="1:15" customFormat="1" x14ac:dyDescent="0.2">
      <c r="A12" s="60">
        <v>6</v>
      </c>
      <c r="B12" s="4" t="s">
        <v>921</v>
      </c>
      <c r="C12" s="4" t="s">
        <v>922</v>
      </c>
      <c r="D12" s="4" t="s">
        <v>923</v>
      </c>
      <c r="E12" s="5">
        <v>1141230</v>
      </c>
      <c r="F12" s="6">
        <v>4395.1049759999996</v>
      </c>
      <c r="G12" s="7">
        <v>2.7283200000000001E-2</v>
      </c>
      <c r="H12" s="6"/>
      <c r="J12" s="27"/>
      <c r="K12" s="27"/>
      <c r="L12" s="27"/>
      <c r="M12" s="27"/>
      <c r="N12" s="27"/>
      <c r="O12" s="27"/>
    </row>
    <row r="13" spans="1:15" x14ac:dyDescent="0.2">
      <c r="A13" s="60">
        <v>7</v>
      </c>
      <c r="B13" s="39" t="s">
        <v>48</v>
      </c>
      <c r="C13" s="39" t="s">
        <v>49</v>
      </c>
      <c r="D13" s="39" t="s">
        <v>18</v>
      </c>
      <c r="E13" s="61">
        <v>761795</v>
      </c>
      <c r="F13" s="55">
        <v>3780.7885849999998</v>
      </c>
      <c r="G13" s="54">
        <v>2.3469746999999999E-2</v>
      </c>
      <c r="H13" s="6"/>
    </row>
    <row r="14" spans="1:15" ht="25.5" x14ac:dyDescent="0.2">
      <c r="A14" s="60">
        <v>8</v>
      </c>
      <c r="B14" s="39" t="s">
        <v>382</v>
      </c>
      <c r="C14" s="39" t="s">
        <v>383</v>
      </c>
      <c r="D14" s="39" t="s">
        <v>82</v>
      </c>
      <c r="E14" s="61">
        <v>150000</v>
      </c>
      <c r="F14" s="55">
        <v>3344.55</v>
      </c>
      <c r="G14" s="54">
        <v>2.0761737999999998E-2</v>
      </c>
      <c r="H14" s="6"/>
      <c r="J14" s="192" t="s">
        <v>1154</v>
      </c>
    </row>
    <row r="15" spans="1:15" x14ac:dyDescent="0.2">
      <c r="A15" s="60">
        <v>9</v>
      </c>
      <c r="B15" s="39" t="s">
        <v>19</v>
      </c>
      <c r="C15" s="39" t="s">
        <v>20</v>
      </c>
      <c r="D15" s="39" t="s">
        <v>21</v>
      </c>
      <c r="E15" s="61">
        <v>421505</v>
      </c>
      <c r="F15" s="55">
        <v>3114.9219499999999</v>
      </c>
      <c r="G15" s="54">
        <v>1.9336290999999999E-2</v>
      </c>
      <c r="H15" s="6"/>
    </row>
    <row r="16" spans="1:15" x14ac:dyDescent="0.2">
      <c r="A16" s="60">
        <v>10</v>
      </c>
      <c r="B16" s="39" t="s">
        <v>398</v>
      </c>
      <c r="C16" s="39" t="s">
        <v>399</v>
      </c>
      <c r="D16" s="39" t="s">
        <v>947</v>
      </c>
      <c r="E16" s="61">
        <v>242450</v>
      </c>
      <c r="F16" s="55">
        <v>3052.4454999999998</v>
      </c>
      <c r="G16" s="54">
        <v>1.894846E-2</v>
      </c>
      <c r="H16" s="6"/>
    </row>
    <row r="17" spans="1:15" x14ac:dyDescent="0.2">
      <c r="A17" s="60">
        <v>11</v>
      </c>
      <c r="B17" s="39" t="s">
        <v>475</v>
      </c>
      <c r="C17" s="39" t="s">
        <v>476</v>
      </c>
      <c r="D17" s="39" t="s">
        <v>956</v>
      </c>
      <c r="E17" s="61">
        <v>350000</v>
      </c>
      <c r="F17" s="55">
        <v>3019.9749999999999</v>
      </c>
      <c r="G17" s="54">
        <v>1.8746895E-2</v>
      </c>
      <c r="H17" s="6"/>
    </row>
    <row r="18" spans="1:15" x14ac:dyDescent="0.2">
      <c r="A18" s="60">
        <v>12</v>
      </c>
      <c r="B18" s="39" t="s">
        <v>87</v>
      </c>
      <c r="C18" s="39" t="s">
        <v>88</v>
      </c>
      <c r="D18" s="39" t="s">
        <v>940</v>
      </c>
      <c r="E18" s="61">
        <v>106000</v>
      </c>
      <c r="F18" s="55">
        <v>2446.056</v>
      </c>
      <c r="G18" s="54">
        <v>1.5184217E-2</v>
      </c>
      <c r="H18" s="6"/>
      <c r="J18" s="196"/>
      <c r="K18" s="196"/>
      <c r="L18" s="196"/>
      <c r="M18" s="196"/>
      <c r="N18" s="196"/>
      <c r="O18" s="196"/>
    </row>
    <row r="19" spans="1:15" x14ac:dyDescent="0.2">
      <c r="A19" s="60">
        <v>13</v>
      </c>
      <c r="B19" s="39" t="s">
        <v>384</v>
      </c>
      <c r="C19" s="39" t="s">
        <v>385</v>
      </c>
      <c r="D19" s="39" t="s">
        <v>947</v>
      </c>
      <c r="E19" s="61">
        <v>68060</v>
      </c>
      <c r="F19" s="55">
        <v>2413.88402</v>
      </c>
      <c r="G19" s="54">
        <v>1.4984505E-2</v>
      </c>
      <c r="H19" s="6"/>
    </row>
    <row r="20" spans="1:15" x14ac:dyDescent="0.2">
      <c r="A20" s="60">
        <v>14</v>
      </c>
      <c r="B20" s="39" t="s">
        <v>30</v>
      </c>
      <c r="C20" s="39" t="s">
        <v>31</v>
      </c>
      <c r="D20" s="39" t="s">
        <v>26</v>
      </c>
      <c r="E20" s="61">
        <v>140000</v>
      </c>
      <c r="F20" s="55">
        <v>2398.13</v>
      </c>
      <c r="G20" s="54">
        <v>1.4886709999999999E-2</v>
      </c>
      <c r="H20" s="6"/>
    </row>
    <row r="21" spans="1:15" customFormat="1" ht="25.5" x14ac:dyDescent="0.2">
      <c r="A21" s="60">
        <v>15</v>
      </c>
      <c r="B21" s="4" t="s">
        <v>919</v>
      </c>
      <c r="C21" s="4" t="s">
        <v>920</v>
      </c>
      <c r="D21" s="4" t="s">
        <v>29</v>
      </c>
      <c r="E21" s="5">
        <v>1575000</v>
      </c>
      <c r="F21" s="6">
        <v>2192.2424999999998</v>
      </c>
      <c r="G21" s="7">
        <v>1.360864E-2</v>
      </c>
      <c r="H21" s="6"/>
      <c r="J21" s="27"/>
      <c r="K21" s="27"/>
      <c r="L21" s="27"/>
      <c r="M21" s="27"/>
      <c r="N21" s="27"/>
      <c r="O21" s="27"/>
    </row>
    <row r="22" spans="1:15" x14ac:dyDescent="0.2">
      <c r="A22" s="60">
        <v>16</v>
      </c>
      <c r="B22" s="39" t="s">
        <v>290</v>
      </c>
      <c r="C22" s="39" t="s">
        <v>291</v>
      </c>
      <c r="D22" s="39" t="s">
        <v>18</v>
      </c>
      <c r="E22" s="61">
        <v>1899728</v>
      </c>
      <c r="F22" s="55">
        <v>2144.7929119999999</v>
      </c>
      <c r="G22" s="54">
        <v>1.3314085999999999E-2</v>
      </c>
      <c r="H22" s="6"/>
    </row>
    <row r="23" spans="1:15" x14ac:dyDescent="0.2">
      <c r="A23" s="60">
        <v>17</v>
      </c>
      <c r="B23" s="39" t="s">
        <v>407</v>
      </c>
      <c r="C23" s="39" t="s">
        <v>408</v>
      </c>
      <c r="D23" s="39" t="s">
        <v>18</v>
      </c>
      <c r="E23" s="61">
        <v>113200</v>
      </c>
      <c r="F23" s="55">
        <v>2027.1289999999999</v>
      </c>
      <c r="G23" s="54">
        <v>1.2583672000000001E-2</v>
      </c>
      <c r="H23" s="6"/>
    </row>
    <row r="24" spans="1:15" x14ac:dyDescent="0.2">
      <c r="A24" s="60">
        <v>18</v>
      </c>
      <c r="B24" s="39" t="s">
        <v>199</v>
      </c>
      <c r="C24" s="39" t="s">
        <v>200</v>
      </c>
      <c r="D24" s="39" t="s">
        <v>940</v>
      </c>
      <c r="E24" s="61">
        <v>107086</v>
      </c>
      <c r="F24" s="55">
        <v>1997.8499589999999</v>
      </c>
      <c r="G24" s="54">
        <v>1.2401919000000001E-2</v>
      </c>
      <c r="H24" s="6"/>
    </row>
    <row r="25" spans="1:15" x14ac:dyDescent="0.2">
      <c r="A25" s="60">
        <v>19</v>
      </c>
      <c r="B25" s="39" t="s">
        <v>14</v>
      </c>
      <c r="C25" s="39" t="s">
        <v>15</v>
      </c>
      <c r="D25" s="39" t="s">
        <v>64</v>
      </c>
      <c r="E25" s="61">
        <v>113225</v>
      </c>
      <c r="F25" s="55">
        <v>1918.4277875</v>
      </c>
      <c r="G25" s="54">
        <v>1.1908894999999999E-2</v>
      </c>
      <c r="H25" s="6"/>
    </row>
    <row r="26" spans="1:15" x14ac:dyDescent="0.2">
      <c r="A26" s="60">
        <v>20</v>
      </c>
      <c r="B26" s="39" t="s">
        <v>404</v>
      </c>
      <c r="C26" s="39" t="s">
        <v>405</v>
      </c>
      <c r="D26" s="39" t="s">
        <v>406</v>
      </c>
      <c r="E26" s="61">
        <v>382975</v>
      </c>
      <c r="F26" s="55">
        <v>1848.4288375000001</v>
      </c>
      <c r="G26" s="54">
        <v>1.1474366999999999E-2</v>
      </c>
      <c r="H26" s="6"/>
    </row>
    <row r="27" spans="1:15" ht="25.5" x14ac:dyDescent="0.2">
      <c r="A27" s="60">
        <v>21</v>
      </c>
      <c r="B27" s="39" t="s">
        <v>388</v>
      </c>
      <c r="C27" s="39" t="s">
        <v>389</v>
      </c>
      <c r="D27" s="39" t="s">
        <v>945</v>
      </c>
      <c r="E27" s="61">
        <v>190100</v>
      </c>
      <c r="F27" s="55">
        <v>1765.36365</v>
      </c>
      <c r="G27" s="54">
        <v>1.0958729E-2</v>
      </c>
      <c r="H27" s="6"/>
    </row>
    <row r="28" spans="1:15" x14ac:dyDescent="0.2">
      <c r="A28" s="60">
        <v>22</v>
      </c>
      <c r="B28" s="39" t="s">
        <v>390</v>
      </c>
      <c r="C28" s="39" t="s">
        <v>391</v>
      </c>
      <c r="D28" s="39" t="s">
        <v>960</v>
      </c>
      <c r="E28" s="61">
        <v>78000</v>
      </c>
      <c r="F28" s="55">
        <v>1743.183</v>
      </c>
      <c r="G28" s="54">
        <v>1.0821040000000001E-2</v>
      </c>
      <c r="H28" s="6"/>
    </row>
    <row r="29" spans="1:15" x14ac:dyDescent="0.2">
      <c r="A29" s="60">
        <v>23</v>
      </c>
      <c r="B29" s="39" t="s">
        <v>402</v>
      </c>
      <c r="C29" s="39" t="s">
        <v>403</v>
      </c>
      <c r="D29" s="39" t="s">
        <v>91</v>
      </c>
      <c r="E29" s="61">
        <v>136425</v>
      </c>
      <c r="F29" s="55">
        <v>1734.0299625</v>
      </c>
      <c r="G29" s="54">
        <v>1.0764220999999999E-2</v>
      </c>
      <c r="H29" s="6"/>
    </row>
    <row r="30" spans="1:15" ht="25.5" x14ac:dyDescent="0.2">
      <c r="A30" s="60">
        <v>24</v>
      </c>
      <c r="B30" s="39" t="s">
        <v>357</v>
      </c>
      <c r="C30" s="39" t="s">
        <v>358</v>
      </c>
      <c r="D30" s="39" t="s">
        <v>950</v>
      </c>
      <c r="E30" s="61">
        <v>200000</v>
      </c>
      <c r="F30" s="55">
        <v>1647.5</v>
      </c>
      <c r="G30" s="54">
        <v>1.0227075E-2</v>
      </c>
      <c r="H30" s="6"/>
    </row>
    <row r="31" spans="1:15" x14ac:dyDescent="0.2">
      <c r="A31" s="60">
        <v>25</v>
      </c>
      <c r="B31" s="39" t="s">
        <v>303</v>
      </c>
      <c r="C31" s="39" t="s">
        <v>304</v>
      </c>
      <c r="D31" s="39" t="s">
        <v>91</v>
      </c>
      <c r="E31" s="61">
        <v>300000</v>
      </c>
      <c r="F31" s="55">
        <v>1620.15</v>
      </c>
      <c r="G31" s="54">
        <v>1.0057296E-2</v>
      </c>
      <c r="H31" s="6"/>
    </row>
    <row r="32" spans="1:15" x14ac:dyDescent="0.2">
      <c r="A32" s="60">
        <v>26</v>
      </c>
      <c r="B32" s="39" t="s">
        <v>286</v>
      </c>
      <c r="C32" s="39" t="s">
        <v>287</v>
      </c>
      <c r="D32" s="39" t="s">
        <v>952</v>
      </c>
      <c r="E32" s="61">
        <v>3529</v>
      </c>
      <c r="F32" s="55">
        <v>1608.4740875</v>
      </c>
      <c r="G32" s="54">
        <v>9.9848160000000005E-3</v>
      </c>
      <c r="H32" s="6"/>
    </row>
    <row r="33" spans="1:8" ht="25.5" x14ac:dyDescent="0.2">
      <c r="A33" s="60">
        <v>27</v>
      </c>
      <c r="B33" s="39" t="s">
        <v>217</v>
      </c>
      <c r="C33" s="39" t="s">
        <v>218</v>
      </c>
      <c r="D33" s="39" t="s">
        <v>946</v>
      </c>
      <c r="E33" s="61">
        <v>39082</v>
      </c>
      <c r="F33" s="55">
        <v>1536.626076</v>
      </c>
      <c r="G33" s="54">
        <v>9.53881E-3</v>
      </c>
      <c r="H33" s="6"/>
    </row>
    <row r="34" spans="1:8" x14ac:dyDescent="0.2">
      <c r="A34" s="60">
        <v>28</v>
      </c>
      <c r="B34" s="39" t="s">
        <v>296</v>
      </c>
      <c r="C34" s="39" t="s">
        <v>297</v>
      </c>
      <c r="D34" s="39" t="s">
        <v>956</v>
      </c>
      <c r="E34" s="61">
        <v>140000</v>
      </c>
      <c r="F34" s="55">
        <v>1516.97</v>
      </c>
      <c r="G34" s="54">
        <v>9.4167920000000002E-3</v>
      </c>
      <c r="H34" s="6"/>
    </row>
    <row r="35" spans="1:8" x14ac:dyDescent="0.2">
      <c r="A35" s="60">
        <v>29</v>
      </c>
      <c r="B35" s="39" t="s">
        <v>561</v>
      </c>
      <c r="C35" s="39" t="s">
        <v>562</v>
      </c>
      <c r="D35" s="39" t="s">
        <v>933</v>
      </c>
      <c r="E35" s="61">
        <v>258500</v>
      </c>
      <c r="F35" s="55">
        <v>1505.5039999999999</v>
      </c>
      <c r="G35" s="54">
        <v>9.3456159999999993E-3</v>
      </c>
      <c r="H35" s="6"/>
    </row>
    <row r="36" spans="1:8" x14ac:dyDescent="0.2">
      <c r="A36" s="60">
        <v>30</v>
      </c>
      <c r="B36" s="39" t="s">
        <v>355</v>
      </c>
      <c r="C36" s="39" t="s">
        <v>356</v>
      </c>
      <c r="D36" s="39" t="s">
        <v>82</v>
      </c>
      <c r="E36" s="61">
        <v>10088</v>
      </c>
      <c r="F36" s="55">
        <v>1504.2368120000001</v>
      </c>
      <c r="G36" s="54">
        <v>9.3377500000000006E-3</v>
      </c>
      <c r="H36" s="6"/>
    </row>
    <row r="37" spans="1:8" x14ac:dyDescent="0.2">
      <c r="A37" s="60">
        <v>31</v>
      </c>
      <c r="B37" s="39" t="s">
        <v>400</v>
      </c>
      <c r="C37" s="39" t="s">
        <v>401</v>
      </c>
      <c r="D37" s="39" t="s">
        <v>960</v>
      </c>
      <c r="E37" s="61">
        <v>556600</v>
      </c>
      <c r="F37" s="55">
        <v>1444.6552999999999</v>
      </c>
      <c r="G37" s="54">
        <v>8.9678889999999997E-3</v>
      </c>
      <c r="H37" s="6"/>
    </row>
    <row r="38" spans="1:8" ht="25.5" x14ac:dyDescent="0.2">
      <c r="A38" s="60">
        <v>32</v>
      </c>
      <c r="B38" s="39" t="s">
        <v>277</v>
      </c>
      <c r="C38" s="39" t="s">
        <v>278</v>
      </c>
      <c r="D38" s="39" t="s">
        <v>946</v>
      </c>
      <c r="E38" s="61">
        <v>230000</v>
      </c>
      <c r="F38" s="55">
        <v>1367.12</v>
      </c>
      <c r="G38" s="54">
        <v>8.4865789999999993E-3</v>
      </c>
      <c r="H38" s="6"/>
    </row>
    <row r="39" spans="1:8" x14ac:dyDescent="0.2">
      <c r="A39" s="60">
        <v>33</v>
      </c>
      <c r="B39" s="39" t="s">
        <v>386</v>
      </c>
      <c r="C39" s="39" t="s">
        <v>387</v>
      </c>
      <c r="D39" s="39" t="s">
        <v>933</v>
      </c>
      <c r="E39" s="61">
        <v>106750</v>
      </c>
      <c r="F39" s="55">
        <v>1180.1212499999999</v>
      </c>
      <c r="G39" s="54">
        <v>7.3257590000000003E-3</v>
      </c>
      <c r="H39" s="6"/>
    </row>
    <row r="40" spans="1:8" x14ac:dyDescent="0.2">
      <c r="A40" s="60">
        <v>34</v>
      </c>
      <c r="B40" s="39" t="s">
        <v>412</v>
      </c>
      <c r="C40" s="39" t="s">
        <v>413</v>
      </c>
      <c r="D40" s="39" t="s">
        <v>940</v>
      </c>
      <c r="E40" s="61">
        <v>175000</v>
      </c>
      <c r="F40" s="55">
        <v>1112.2125000000001</v>
      </c>
      <c r="G40" s="54">
        <v>6.9042069999999999E-3</v>
      </c>
      <c r="H40" s="6"/>
    </row>
    <row r="41" spans="1:8" ht="25.5" x14ac:dyDescent="0.2">
      <c r="A41" s="60">
        <v>35</v>
      </c>
      <c r="B41" s="39" t="s">
        <v>22</v>
      </c>
      <c r="C41" s="39" t="s">
        <v>23</v>
      </c>
      <c r="D41" s="39" t="s">
        <v>935</v>
      </c>
      <c r="E41" s="61">
        <v>16380</v>
      </c>
      <c r="F41" s="55">
        <v>1086.03495</v>
      </c>
      <c r="G41" s="54">
        <v>6.7417060000000001E-3</v>
      </c>
      <c r="H41" s="6"/>
    </row>
    <row r="42" spans="1:8" x14ac:dyDescent="0.2">
      <c r="A42" s="60">
        <v>36</v>
      </c>
      <c r="B42" s="39" t="s">
        <v>424</v>
      </c>
      <c r="C42" s="39" t="s">
        <v>425</v>
      </c>
      <c r="D42" s="39" t="s">
        <v>959</v>
      </c>
      <c r="E42" s="61">
        <v>247503</v>
      </c>
      <c r="F42" s="55">
        <v>1083.073128</v>
      </c>
      <c r="G42" s="54">
        <v>6.7233199999999996E-3</v>
      </c>
      <c r="H42" s="6"/>
    </row>
    <row r="43" spans="1:8" ht="25.5" x14ac:dyDescent="0.2">
      <c r="A43" s="60">
        <v>37</v>
      </c>
      <c r="B43" s="39" t="s">
        <v>325</v>
      </c>
      <c r="C43" s="39" t="s">
        <v>326</v>
      </c>
      <c r="D43" s="39" t="s">
        <v>945</v>
      </c>
      <c r="E43" s="61">
        <v>32000</v>
      </c>
      <c r="F43" s="55">
        <v>1024.5920000000001</v>
      </c>
      <c r="G43" s="54">
        <v>6.3602909999999997E-3</v>
      </c>
      <c r="H43" s="6"/>
    </row>
    <row r="44" spans="1:8" ht="25.5" x14ac:dyDescent="0.2">
      <c r="A44" s="60">
        <v>38</v>
      </c>
      <c r="B44" s="39" t="s">
        <v>688</v>
      </c>
      <c r="C44" s="39" t="s">
        <v>689</v>
      </c>
      <c r="D44" s="39" t="s">
        <v>946</v>
      </c>
      <c r="E44" s="61">
        <v>41000</v>
      </c>
      <c r="F44" s="55">
        <v>993.71699999999998</v>
      </c>
      <c r="G44" s="54">
        <v>6.1686299999999996E-3</v>
      </c>
      <c r="H44" s="6"/>
    </row>
    <row r="45" spans="1:8" x14ac:dyDescent="0.2">
      <c r="A45" s="60">
        <v>39</v>
      </c>
      <c r="B45" s="39" t="s">
        <v>331</v>
      </c>
      <c r="C45" s="39" t="s">
        <v>332</v>
      </c>
      <c r="D45" s="39" t="s">
        <v>82</v>
      </c>
      <c r="E45" s="61">
        <v>137000</v>
      </c>
      <c r="F45" s="55">
        <v>889.26700000000005</v>
      </c>
      <c r="G45" s="54">
        <v>5.5202430000000002E-3</v>
      </c>
      <c r="H45" s="6"/>
    </row>
    <row r="46" spans="1:8" x14ac:dyDescent="0.2">
      <c r="A46" s="60">
        <v>40</v>
      </c>
      <c r="B46" s="39" t="s">
        <v>307</v>
      </c>
      <c r="C46" s="39" t="s">
        <v>308</v>
      </c>
      <c r="D46" s="39" t="s">
        <v>933</v>
      </c>
      <c r="E46" s="61">
        <v>104401</v>
      </c>
      <c r="F46" s="55">
        <v>790.94197599999995</v>
      </c>
      <c r="G46" s="54">
        <v>4.909877E-3</v>
      </c>
      <c r="H46" s="6"/>
    </row>
    <row r="47" spans="1:8" x14ac:dyDescent="0.2">
      <c r="A47" s="60">
        <v>41</v>
      </c>
      <c r="B47" s="39" t="s">
        <v>434</v>
      </c>
      <c r="C47" s="39" t="s">
        <v>435</v>
      </c>
      <c r="D47" s="39" t="s">
        <v>959</v>
      </c>
      <c r="E47" s="61">
        <v>10000</v>
      </c>
      <c r="F47" s="55">
        <v>771.78</v>
      </c>
      <c r="G47" s="54">
        <v>4.7909270000000004E-3</v>
      </c>
      <c r="H47" s="6"/>
    </row>
    <row r="48" spans="1:8" x14ac:dyDescent="0.2">
      <c r="A48" s="60">
        <v>42</v>
      </c>
      <c r="B48" s="39" t="s">
        <v>377</v>
      </c>
      <c r="C48" s="39" t="s">
        <v>378</v>
      </c>
      <c r="D48" s="39" t="s">
        <v>959</v>
      </c>
      <c r="E48" s="61">
        <v>115000</v>
      </c>
      <c r="F48" s="55">
        <v>753.07749999999999</v>
      </c>
      <c r="G48" s="54">
        <v>4.6748279999999998E-3</v>
      </c>
      <c r="H48" s="6"/>
    </row>
    <row r="49" spans="1:8" ht="25.5" x14ac:dyDescent="0.2">
      <c r="A49" s="60">
        <v>43</v>
      </c>
      <c r="B49" s="39" t="s">
        <v>414</v>
      </c>
      <c r="C49" s="39" t="s">
        <v>415</v>
      </c>
      <c r="D49" s="39" t="s">
        <v>945</v>
      </c>
      <c r="E49" s="61">
        <v>16700</v>
      </c>
      <c r="F49" s="55">
        <v>752.40179999999998</v>
      </c>
      <c r="G49" s="54">
        <v>4.6706339999999999E-3</v>
      </c>
      <c r="H49" s="6"/>
    </row>
    <row r="50" spans="1:8" x14ac:dyDescent="0.2">
      <c r="A50" s="60">
        <v>44</v>
      </c>
      <c r="B50" s="39" t="s">
        <v>106</v>
      </c>
      <c r="C50" s="39" t="s">
        <v>107</v>
      </c>
      <c r="D50" s="39" t="s">
        <v>923</v>
      </c>
      <c r="E50" s="61">
        <v>989100</v>
      </c>
      <c r="F50" s="55">
        <v>750.7269</v>
      </c>
      <c r="G50" s="54">
        <v>4.6602370000000002E-3</v>
      </c>
      <c r="H50" s="6"/>
    </row>
    <row r="51" spans="1:8" x14ac:dyDescent="0.2">
      <c r="A51" s="60">
        <v>45</v>
      </c>
      <c r="B51" s="39" t="s">
        <v>444</v>
      </c>
      <c r="C51" s="39" t="s">
        <v>445</v>
      </c>
      <c r="D51" s="39" t="s">
        <v>71</v>
      </c>
      <c r="E51" s="61">
        <v>30000</v>
      </c>
      <c r="F51" s="55">
        <v>737.46</v>
      </c>
      <c r="G51" s="54">
        <v>4.5778809999999998E-3</v>
      </c>
      <c r="H51" s="6"/>
    </row>
    <row r="52" spans="1:8" ht="25.5" x14ac:dyDescent="0.2">
      <c r="A52" s="60">
        <v>46</v>
      </c>
      <c r="B52" s="39" t="s">
        <v>46</v>
      </c>
      <c r="C52" s="39" t="s">
        <v>47</v>
      </c>
      <c r="D52" s="39" t="s">
        <v>937</v>
      </c>
      <c r="E52" s="61">
        <v>81250</v>
      </c>
      <c r="F52" s="55">
        <v>695.82500000000005</v>
      </c>
      <c r="G52" s="54">
        <v>4.3194260000000003E-3</v>
      </c>
      <c r="H52" s="6"/>
    </row>
    <row r="53" spans="1:8" x14ac:dyDescent="0.2">
      <c r="A53" s="60">
        <v>47</v>
      </c>
      <c r="B53" s="39" t="s">
        <v>244</v>
      </c>
      <c r="C53" s="39" t="s">
        <v>245</v>
      </c>
      <c r="D53" s="39" t="s">
        <v>13</v>
      </c>
      <c r="E53" s="61">
        <v>255000</v>
      </c>
      <c r="F53" s="55">
        <v>689.26499999999999</v>
      </c>
      <c r="G53" s="54">
        <v>4.2787040000000004E-3</v>
      </c>
      <c r="H53" s="6"/>
    </row>
    <row r="54" spans="1:8" ht="25.5" x14ac:dyDescent="0.2">
      <c r="A54" s="60">
        <v>48</v>
      </c>
      <c r="B54" s="39" t="s">
        <v>494</v>
      </c>
      <c r="C54" s="39" t="s">
        <v>495</v>
      </c>
      <c r="D54" s="39" t="s">
        <v>945</v>
      </c>
      <c r="E54" s="61">
        <v>70000</v>
      </c>
      <c r="F54" s="55">
        <v>686.84</v>
      </c>
      <c r="G54" s="54">
        <v>4.2636499999999999E-3</v>
      </c>
      <c r="H54" s="6"/>
    </row>
    <row r="55" spans="1:8" x14ac:dyDescent="0.2">
      <c r="A55" s="60">
        <v>49</v>
      </c>
      <c r="B55" s="39" t="s">
        <v>345</v>
      </c>
      <c r="C55" s="39" t="s">
        <v>346</v>
      </c>
      <c r="D55" s="39" t="s">
        <v>71</v>
      </c>
      <c r="E55" s="61">
        <v>1070000</v>
      </c>
      <c r="F55" s="55">
        <v>651.63</v>
      </c>
      <c r="G55" s="54">
        <v>4.0450800000000004E-3</v>
      </c>
      <c r="H55" s="6"/>
    </row>
    <row r="56" spans="1:8" x14ac:dyDescent="0.2">
      <c r="A56" s="60">
        <v>50</v>
      </c>
      <c r="B56" s="39" t="s">
        <v>592</v>
      </c>
      <c r="C56" s="39" t="s">
        <v>593</v>
      </c>
      <c r="D56" s="39" t="s">
        <v>71</v>
      </c>
      <c r="E56" s="61">
        <v>19950</v>
      </c>
      <c r="F56" s="55">
        <v>645.82140000000004</v>
      </c>
      <c r="G56" s="54">
        <v>4.0090220000000001E-3</v>
      </c>
      <c r="H56" s="6"/>
    </row>
    <row r="57" spans="1:8" x14ac:dyDescent="0.2">
      <c r="A57" s="60">
        <v>51</v>
      </c>
      <c r="B57" s="39" t="s">
        <v>261</v>
      </c>
      <c r="C57" s="39" t="s">
        <v>262</v>
      </c>
      <c r="D57" s="39" t="s">
        <v>955</v>
      </c>
      <c r="E57" s="61">
        <v>325000</v>
      </c>
      <c r="F57" s="55">
        <v>643.17499999999995</v>
      </c>
      <c r="G57" s="54">
        <v>3.9925940000000004E-3</v>
      </c>
      <c r="H57" s="6"/>
    </row>
    <row r="58" spans="1:8" ht="25.5" x14ac:dyDescent="0.2">
      <c r="A58" s="60">
        <v>52</v>
      </c>
      <c r="B58" s="39" t="s">
        <v>158</v>
      </c>
      <c r="C58" s="39" t="s">
        <v>159</v>
      </c>
      <c r="D58" s="39" t="s">
        <v>941</v>
      </c>
      <c r="E58" s="61">
        <v>86000</v>
      </c>
      <c r="F58" s="55">
        <v>609.78300000000002</v>
      </c>
      <c r="G58" s="54">
        <v>3.7853090000000002E-3</v>
      </c>
      <c r="H58" s="6"/>
    </row>
    <row r="59" spans="1:8" x14ac:dyDescent="0.2">
      <c r="A59" s="60">
        <v>53</v>
      </c>
      <c r="B59" s="39" t="s">
        <v>724</v>
      </c>
      <c r="C59" s="39" t="s">
        <v>725</v>
      </c>
      <c r="D59" s="39" t="s">
        <v>71</v>
      </c>
      <c r="E59" s="61">
        <v>30690</v>
      </c>
      <c r="F59" s="55">
        <v>598.04068500000005</v>
      </c>
      <c r="G59" s="54">
        <v>3.712417E-3</v>
      </c>
      <c r="H59" s="6"/>
    </row>
    <row r="60" spans="1:8" x14ac:dyDescent="0.2">
      <c r="A60" s="60">
        <v>54</v>
      </c>
      <c r="B60" s="39" t="s">
        <v>396</v>
      </c>
      <c r="C60" s="39" t="s">
        <v>397</v>
      </c>
      <c r="D60" s="39" t="s">
        <v>959</v>
      </c>
      <c r="E60" s="61">
        <v>61700</v>
      </c>
      <c r="F60" s="55">
        <v>568.9357</v>
      </c>
      <c r="G60" s="54">
        <v>3.5317439999999999E-3</v>
      </c>
      <c r="H60" s="6"/>
    </row>
    <row r="61" spans="1:8" x14ac:dyDescent="0.2">
      <c r="A61" s="60">
        <v>55</v>
      </c>
      <c r="B61" s="39" t="s">
        <v>305</v>
      </c>
      <c r="C61" s="39" t="s">
        <v>306</v>
      </c>
      <c r="D61" s="39" t="s">
        <v>71</v>
      </c>
      <c r="E61" s="61">
        <v>45000</v>
      </c>
      <c r="F61" s="55">
        <v>567.69749999999999</v>
      </c>
      <c r="G61" s="54">
        <v>3.5240580000000001E-3</v>
      </c>
      <c r="H61" s="6"/>
    </row>
    <row r="62" spans="1:8" x14ac:dyDescent="0.2">
      <c r="A62" s="60">
        <v>56</v>
      </c>
      <c r="B62" s="39" t="s">
        <v>361</v>
      </c>
      <c r="C62" s="39" t="s">
        <v>362</v>
      </c>
      <c r="D62" s="39" t="s">
        <v>71</v>
      </c>
      <c r="E62" s="61">
        <v>96692</v>
      </c>
      <c r="F62" s="55">
        <v>551.24109199999998</v>
      </c>
      <c r="G62" s="54">
        <v>3.4219020000000001E-3</v>
      </c>
      <c r="H62" s="6"/>
    </row>
    <row r="63" spans="1:8" x14ac:dyDescent="0.2">
      <c r="A63" s="60">
        <v>57</v>
      </c>
      <c r="B63" s="39" t="s">
        <v>650</v>
      </c>
      <c r="C63" s="39" t="s">
        <v>651</v>
      </c>
      <c r="D63" s="39" t="s">
        <v>958</v>
      </c>
      <c r="E63" s="61">
        <v>70000</v>
      </c>
      <c r="F63" s="55">
        <v>547.67999999999995</v>
      </c>
      <c r="G63" s="54">
        <v>3.3997960000000001E-3</v>
      </c>
      <c r="H63" s="6"/>
    </row>
    <row r="64" spans="1:8" x14ac:dyDescent="0.2">
      <c r="A64" s="60">
        <v>58</v>
      </c>
      <c r="B64" s="39" t="s">
        <v>321</v>
      </c>
      <c r="C64" s="39" t="s">
        <v>322</v>
      </c>
      <c r="D64" s="39" t="s">
        <v>82</v>
      </c>
      <c r="E64" s="61">
        <v>45000</v>
      </c>
      <c r="F64" s="55">
        <v>540.92250000000001</v>
      </c>
      <c r="G64" s="54">
        <v>3.3578480000000001E-3</v>
      </c>
      <c r="H64" s="6"/>
    </row>
    <row r="65" spans="1:8" ht="25.5" x14ac:dyDescent="0.2">
      <c r="A65" s="60">
        <v>59</v>
      </c>
      <c r="B65" s="39" t="s">
        <v>313</v>
      </c>
      <c r="C65" s="39" t="s">
        <v>314</v>
      </c>
      <c r="D65" s="39" t="s">
        <v>71</v>
      </c>
      <c r="E65" s="61">
        <v>130000</v>
      </c>
      <c r="F65" s="55">
        <v>500.24</v>
      </c>
      <c r="G65" s="54">
        <v>3.105306E-3</v>
      </c>
      <c r="H65" s="6"/>
    </row>
    <row r="66" spans="1:8" x14ac:dyDescent="0.2">
      <c r="A66" s="60">
        <v>60</v>
      </c>
      <c r="B66" s="39" t="s">
        <v>55</v>
      </c>
      <c r="C66" s="39" t="s">
        <v>56</v>
      </c>
      <c r="D66" s="39" t="s">
        <v>57</v>
      </c>
      <c r="E66" s="61">
        <v>275000</v>
      </c>
      <c r="F66" s="55">
        <v>437.66250000000002</v>
      </c>
      <c r="G66" s="54">
        <v>2.716848E-3</v>
      </c>
      <c r="H66" s="6"/>
    </row>
    <row r="67" spans="1:8" ht="25.5" x14ac:dyDescent="0.2">
      <c r="A67" s="60">
        <v>61</v>
      </c>
      <c r="B67" s="39" t="s">
        <v>712</v>
      </c>
      <c r="C67" s="39" t="s">
        <v>713</v>
      </c>
      <c r="D67" s="39" t="s">
        <v>945</v>
      </c>
      <c r="E67" s="61">
        <v>10500</v>
      </c>
      <c r="F67" s="55">
        <v>433.85475000000002</v>
      </c>
      <c r="G67" s="54">
        <v>2.693211E-3</v>
      </c>
      <c r="H67" s="6"/>
    </row>
    <row r="68" spans="1:8" x14ac:dyDescent="0.2">
      <c r="A68" s="60">
        <v>62</v>
      </c>
      <c r="B68" s="39" t="s">
        <v>327</v>
      </c>
      <c r="C68" s="39" t="s">
        <v>328</v>
      </c>
      <c r="D68" s="39" t="s">
        <v>942</v>
      </c>
      <c r="E68" s="61">
        <v>10000</v>
      </c>
      <c r="F68" s="55">
        <v>409.16500000000002</v>
      </c>
      <c r="G68" s="54">
        <v>2.539946E-3</v>
      </c>
      <c r="H68" s="6"/>
    </row>
    <row r="69" spans="1:8" x14ac:dyDescent="0.2">
      <c r="A69" s="60">
        <v>63</v>
      </c>
      <c r="B69" s="39" t="s">
        <v>353</v>
      </c>
      <c r="C69" s="39" t="s">
        <v>354</v>
      </c>
      <c r="D69" s="39" t="s">
        <v>82</v>
      </c>
      <c r="E69" s="61">
        <v>100000</v>
      </c>
      <c r="F69" s="55">
        <v>378.7</v>
      </c>
      <c r="G69" s="54">
        <v>2.3508299999999999E-3</v>
      </c>
      <c r="H69" s="6"/>
    </row>
    <row r="70" spans="1:8" ht="51" x14ac:dyDescent="0.2">
      <c r="A70" s="60">
        <v>64</v>
      </c>
      <c r="B70" s="39" t="s">
        <v>238</v>
      </c>
      <c r="C70" s="39" t="s">
        <v>239</v>
      </c>
      <c r="D70" s="39" t="s">
        <v>939</v>
      </c>
      <c r="E70" s="61">
        <v>151829</v>
      </c>
      <c r="F70" s="55">
        <v>364.1618565</v>
      </c>
      <c r="G70" s="54">
        <v>2.260583E-3</v>
      </c>
      <c r="H70" s="6"/>
    </row>
    <row r="71" spans="1:8" ht="25.5" x14ac:dyDescent="0.2">
      <c r="A71" s="60">
        <v>65</v>
      </c>
      <c r="B71" s="39" t="s">
        <v>674</v>
      </c>
      <c r="C71" s="39" t="s">
        <v>675</v>
      </c>
      <c r="D71" s="39" t="s">
        <v>935</v>
      </c>
      <c r="E71" s="61">
        <v>20900</v>
      </c>
      <c r="F71" s="55">
        <v>353.69069999999999</v>
      </c>
      <c r="G71" s="54">
        <v>2.1955820000000002E-3</v>
      </c>
      <c r="H71" s="6"/>
    </row>
    <row r="72" spans="1:8" ht="51" x14ac:dyDescent="0.2">
      <c r="A72" s="60">
        <v>66</v>
      </c>
      <c r="B72" s="39" t="s">
        <v>83</v>
      </c>
      <c r="C72" s="39" t="s">
        <v>84</v>
      </c>
      <c r="D72" s="39" t="s">
        <v>939</v>
      </c>
      <c r="E72" s="61">
        <v>20670</v>
      </c>
      <c r="F72" s="55">
        <v>343.09099500000002</v>
      </c>
      <c r="G72" s="54">
        <v>2.1297830000000001E-3</v>
      </c>
      <c r="H72" s="6"/>
    </row>
    <row r="73" spans="1:8" x14ac:dyDescent="0.2">
      <c r="A73" s="60">
        <v>67</v>
      </c>
      <c r="B73" s="39" t="s">
        <v>418</v>
      </c>
      <c r="C73" s="39" t="s">
        <v>419</v>
      </c>
      <c r="D73" s="39" t="s">
        <v>82</v>
      </c>
      <c r="E73" s="61">
        <v>4864</v>
      </c>
      <c r="F73" s="55">
        <v>324.51635199999998</v>
      </c>
      <c r="G73" s="54">
        <v>2.0144780000000001E-3</v>
      </c>
      <c r="H73" s="6"/>
    </row>
    <row r="74" spans="1:8" ht="25.5" x14ac:dyDescent="0.2">
      <c r="A74" s="60">
        <v>68</v>
      </c>
      <c r="B74" s="39" t="s">
        <v>44</v>
      </c>
      <c r="C74" s="39" t="s">
        <v>45</v>
      </c>
      <c r="D74" s="39" t="s">
        <v>935</v>
      </c>
      <c r="E74" s="61">
        <v>40000</v>
      </c>
      <c r="F74" s="55">
        <v>317.88</v>
      </c>
      <c r="G74" s="54">
        <v>1.9732819999999998E-3</v>
      </c>
      <c r="H74" s="6"/>
    </row>
    <row r="75" spans="1:8" ht="51" x14ac:dyDescent="0.2">
      <c r="A75" s="60">
        <v>69</v>
      </c>
      <c r="B75" s="39" t="s">
        <v>78</v>
      </c>
      <c r="C75" s="39" t="s">
        <v>79</v>
      </c>
      <c r="D75" s="39" t="s">
        <v>939</v>
      </c>
      <c r="E75" s="61">
        <v>247500</v>
      </c>
      <c r="F75" s="55">
        <v>314.57249999999999</v>
      </c>
      <c r="G75" s="54">
        <v>1.952751E-3</v>
      </c>
      <c r="H75" s="6"/>
    </row>
    <row r="76" spans="1:8" ht="25.5" x14ac:dyDescent="0.2">
      <c r="A76" s="60">
        <v>70</v>
      </c>
      <c r="B76" s="39" t="s">
        <v>598</v>
      </c>
      <c r="C76" s="39" t="s">
        <v>599</v>
      </c>
      <c r="D76" s="39" t="s">
        <v>945</v>
      </c>
      <c r="E76" s="61">
        <v>39950</v>
      </c>
      <c r="F76" s="55">
        <v>297.48767500000002</v>
      </c>
      <c r="G76" s="54">
        <v>1.8466940000000001E-3</v>
      </c>
      <c r="H76" s="6"/>
    </row>
    <row r="77" spans="1:8" x14ac:dyDescent="0.2">
      <c r="A77" s="60">
        <v>71</v>
      </c>
      <c r="B77" s="39" t="s">
        <v>315</v>
      </c>
      <c r="C77" s="39" t="s">
        <v>316</v>
      </c>
      <c r="D77" s="39" t="s">
        <v>18</v>
      </c>
      <c r="E77" s="61">
        <v>20000</v>
      </c>
      <c r="F77" s="55">
        <v>278.01</v>
      </c>
      <c r="G77" s="54">
        <v>1.725784E-3</v>
      </c>
      <c r="H77" s="6"/>
    </row>
    <row r="78" spans="1:8" x14ac:dyDescent="0.2">
      <c r="A78" s="60">
        <v>72</v>
      </c>
      <c r="B78" s="39" t="s">
        <v>656</v>
      </c>
      <c r="C78" s="39" t="s">
        <v>657</v>
      </c>
      <c r="D78" s="39" t="s">
        <v>959</v>
      </c>
      <c r="E78" s="61">
        <v>5600</v>
      </c>
      <c r="F78" s="55">
        <v>147.2996</v>
      </c>
      <c r="G78" s="54">
        <v>9.1438200000000004E-4</v>
      </c>
      <c r="H78" s="6"/>
    </row>
    <row r="79" spans="1:8" x14ac:dyDescent="0.2">
      <c r="A79" s="60">
        <v>73</v>
      </c>
      <c r="B79" s="39" t="s">
        <v>367</v>
      </c>
      <c r="C79" s="39" t="s">
        <v>368</v>
      </c>
      <c r="D79" s="39" t="s">
        <v>233</v>
      </c>
      <c r="E79" s="61">
        <v>48014</v>
      </c>
      <c r="F79" s="55">
        <v>128.26940099999999</v>
      </c>
      <c r="G79" s="54">
        <v>7.9624899999999996E-4</v>
      </c>
      <c r="H79" s="6"/>
    </row>
    <row r="80" spans="1:8" x14ac:dyDescent="0.2">
      <c r="A80" s="60">
        <v>74</v>
      </c>
      <c r="B80" s="39" t="s">
        <v>292</v>
      </c>
      <c r="C80" s="39" t="s">
        <v>293</v>
      </c>
      <c r="D80" s="39" t="s">
        <v>233</v>
      </c>
      <c r="E80" s="61">
        <v>2750</v>
      </c>
      <c r="F80" s="55">
        <v>122.494625</v>
      </c>
      <c r="G80" s="54">
        <v>7.6040199999999997E-4</v>
      </c>
      <c r="H80" s="6"/>
    </row>
    <row r="81" spans="1:8" ht="25.5" x14ac:dyDescent="0.2">
      <c r="A81" s="60">
        <v>75</v>
      </c>
      <c r="B81" s="39" t="s">
        <v>871</v>
      </c>
      <c r="C81" s="39" t="s">
        <v>870</v>
      </c>
      <c r="D81" s="39" t="s">
        <v>946</v>
      </c>
      <c r="E81" s="61">
        <v>13000</v>
      </c>
      <c r="F81" s="55">
        <v>122.2195</v>
      </c>
      <c r="G81" s="54">
        <v>7.5869399999999997E-4</v>
      </c>
      <c r="H81" s="6"/>
    </row>
    <row r="82" spans="1:8" x14ac:dyDescent="0.2">
      <c r="A82" s="60">
        <v>76</v>
      </c>
      <c r="B82" s="39" t="s">
        <v>104</v>
      </c>
      <c r="C82" s="39" t="s">
        <v>105</v>
      </c>
      <c r="D82" s="39" t="s">
        <v>57</v>
      </c>
      <c r="E82" s="61">
        <v>34620</v>
      </c>
      <c r="F82" s="55">
        <v>90.687089999999998</v>
      </c>
      <c r="G82" s="54">
        <v>5.6295200000000003E-4</v>
      </c>
      <c r="H82" s="6"/>
    </row>
    <row r="83" spans="1:8" ht="25.5" x14ac:dyDescent="0.2">
      <c r="A83" s="60">
        <v>77</v>
      </c>
      <c r="B83" s="39" t="s">
        <v>869</v>
      </c>
      <c r="C83" s="39" t="s">
        <v>868</v>
      </c>
      <c r="D83" s="39" t="s">
        <v>945</v>
      </c>
      <c r="E83" s="61">
        <v>13500</v>
      </c>
      <c r="F83" s="55">
        <v>84.921750000000003</v>
      </c>
      <c r="G83" s="54">
        <v>5.2716299999999998E-4</v>
      </c>
      <c r="H83" s="6"/>
    </row>
    <row r="84" spans="1:8" x14ac:dyDescent="0.2">
      <c r="A84" s="60">
        <v>78</v>
      </c>
      <c r="B84" s="39" t="s">
        <v>704</v>
      </c>
      <c r="C84" s="39" t="s">
        <v>705</v>
      </c>
      <c r="D84" s="39" t="s">
        <v>18</v>
      </c>
      <c r="E84" s="61">
        <v>240000</v>
      </c>
      <c r="F84" s="55">
        <v>84.24</v>
      </c>
      <c r="G84" s="54">
        <v>5.2293100000000003E-4</v>
      </c>
      <c r="H84" s="6"/>
    </row>
    <row r="85" spans="1:8" ht="25.5" x14ac:dyDescent="0.2">
      <c r="A85" s="60">
        <v>79</v>
      </c>
      <c r="B85" s="39" t="s">
        <v>339</v>
      </c>
      <c r="C85" s="39" t="s">
        <v>340</v>
      </c>
      <c r="D85" s="39" t="s">
        <v>957</v>
      </c>
      <c r="E85" s="61">
        <v>1148</v>
      </c>
      <c r="F85" s="55">
        <v>10.269434</v>
      </c>
      <c r="G85" s="54">
        <v>6.3749000000000002E-5</v>
      </c>
      <c r="H85" s="6"/>
    </row>
    <row r="86" spans="1:8" x14ac:dyDescent="0.2">
      <c r="A86" s="60">
        <v>80</v>
      </c>
      <c r="B86" s="39" t="s">
        <v>40</v>
      </c>
      <c r="C86" s="39" t="s">
        <v>41</v>
      </c>
      <c r="D86" s="39" t="s">
        <v>13</v>
      </c>
      <c r="E86" s="61">
        <v>500</v>
      </c>
      <c r="F86" s="55">
        <v>1.8129999999999999</v>
      </c>
      <c r="G86" s="56" t="s">
        <v>110</v>
      </c>
      <c r="H86" s="6"/>
    </row>
    <row r="87" spans="1:8" ht="14.1" customHeight="1" x14ac:dyDescent="0.2">
      <c r="A87" s="57"/>
      <c r="B87" s="57"/>
      <c r="C87" s="34" t="s">
        <v>111</v>
      </c>
      <c r="D87" s="57"/>
      <c r="E87" s="57" t="s">
        <v>112</v>
      </c>
      <c r="F87" s="52">
        <v>121455.37279300002</v>
      </c>
      <c r="G87" s="51">
        <v>0.75393908799999987</v>
      </c>
      <c r="H87" s="6"/>
    </row>
    <row r="88" spans="1:8" ht="14.1" customHeight="1" x14ac:dyDescent="0.2">
      <c r="A88" s="57"/>
      <c r="B88" s="57"/>
      <c r="C88" s="53"/>
      <c r="D88" s="57"/>
      <c r="E88" s="57"/>
      <c r="F88" s="47"/>
      <c r="G88" s="47"/>
      <c r="H88" s="6"/>
    </row>
    <row r="89" spans="1:8" ht="14.1" customHeight="1" x14ac:dyDescent="0.2">
      <c r="A89" s="57"/>
      <c r="B89" s="57"/>
      <c r="C89" s="34" t="s">
        <v>113</v>
      </c>
      <c r="D89" s="57"/>
      <c r="E89" s="57"/>
      <c r="F89" s="57"/>
      <c r="G89" s="57"/>
      <c r="H89" s="6"/>
    </row>
    <row r="90" spans="1:8" ht="14.1" customHeight="1" x14ac:dyDescent="0.2">
      <c r="A90" s="57"/>
      <c r="B90" s="57"/>
      <c r="C90" s="34" t="s">
        <v>111</v>
      </c>
      <c r="D90" s="57"/>
      <c r="E90" s="57" t="s">
        <v>112</v>
      </c>
      <c r="F90" s="59">
        <v>0</v>
      </c>
      <c r="G90" s="58">
        <v>0</v>
      </c>
      <c r="H90" s="6"/>
    </row>
    <row r="91" spans="1:8" ht="14.1" customHeight="1" x14ac:dyDescent="0.2">
      <c r="A91" s="57"/>
      <c r="B91" s="57"/>
      <c r="C91" s="53"/>
      <c r="D91" s="57"/>
      <c r="E91" s="57"/>
      <c r="F91" s="47"/>
      <c r="G91" s="47"/>
      <c r="H91" s="6"/>
    </row>
    <row r="92" spans="1:8" ht="14.1" customHeight="1" x14ac:dyDescent="0.2">
      <c r="A92" s="57"/>
      <c r="B92" s="57"/>
      <c r="C92" s="34" t="s">
        <v>114</v>
      </c>
      <c r="D92" s="57"/>
      <c r="E92" s="57"/>
      <c r="F92" s="57"/>
      <c r="G92" s="57"/>
      <c r="H92" s="6"/>
    </row>
    <row r="93" spans="1:8" ht="14.1" customHeight="1" x14ac:dyDescent="0.2">
      <c r="A93" s="57"/>
      <c r="B93" s="57"/>
      <c r="C93" s="34" t="s">
        <v>111</v>
      </c>
      <c r="D93" s="57"/>
      <c r="E93" s="57" t="s">
        <v>112</v>
      </c>
      <c r="F93" s="59">
        <v>0</v>
      </c>
      <c r="G93" s="58">
        <v>0</v>
      </c>
      <c r="H93" s="6"/>
    </row>
    <row r="94" spans="1:8" ht="14.1" customHeight="1" x14ac:dyDescent="0.2">
      <c r="A94" s="57"/>
      <c r="B94" s="57"/>
      <c r="C94" s="53"/>
      <c r="D94" s="57"/>
      <c r="E94" s="57"/>
      <c r="F94" s="47"/>
      <c r="G94" s="47"/>
      <c r="H94" s="6"/>
    </row>
    <row r="95" spans="1:8" ht="14.1" customHeight="1" x14ac:dyDescent="0.2">
      <c r="A95" s="57"/>
      <c r="B95" s="57"/>
      <c r="C95" s="34" t="s">
        <v>115</v>
      </c>
      <c r="D95" s="57"/>
      <c r="E95" s="57"/>
      <c r="F95" s="57"/>
      <c r="G95" s="57"/>
      <c r="H95" s="6"/>
    </row>
    <row r="96" spans="1:8" ht="14.1" customHeight="1" x14ac:dyDescent="0.2">
      <c r="A96" s="57"/>
      <c r="B96" s="57"/>
      <c r="C96" s="34" t="s">
        <v>111</v>
      </c>
      <c r="D96" s="57"/>
      <c r="E96" s="57" t="s">
        <v>112</v>
      </c>
      <c r="F96" s="59">
        <v>0</v>
      </c>
      <c r="G96" s="58">
        <v>0</v>
      </c>
      <c r="H96" s="6"/>
    </row>
    <row r="97" spans="1:8" ht="14.1" customHeight="1" x14ac:dyDescent="0.2">
      <c r="A97" s="57"/>
      <c r="B97" s="57"/>
      <c r="C97" s="53"/>
      <c r="D97" s="57"/>
      <c r="E97" s="57"/>
      <c r="F97" s="47"/>
      <c r="G97" s="47"/>
      <c r="H97" s="6"/>
    </row>
    <row r="98" spans="1:8" ht="14.1" customHeight="1" x14ac:dyDescent="0.2">
      <c r="A98" s="57"/>
      <c r="B98" s="57"/>
      <c r="C98" s="34" t="s">
        <v>116</v>
      </c>
      <c r="D98" s="57"/>
      <c r="E98" s="57"/>
      <c r="F98" s="47"/>
      <c r="G98" s="47"/>
      <c r="H98" s="6"/>
    </row>
    <row r="99" spans="1:8" ht="14.1" customHeight="1" x14ac:dyDescent="0.2">
      <c r="A99" s="57"/>
      <c r="B99" s="57"/>
      <c r="C99" s="34" t="s">
        <v>111</v>
      </c>
      <c r="D99" s="57"/>
      <c r="E99" s="57" t="s">
        <v>112</v>
      </c>
      <c r="F99" s="59">
        <v>0</v>
      </c>
      <c r="G99" s="58">
        <v>0</v>
      </c>
      <c r="H99" s="6"/>
    </row>
    <row r="100" spans="1:8" ht="14.1" customHeight="1" x14ac:dyDescent="0.2">
      <c r="A100" s="57"/>
      <c r="B100" s="57"/>
      <c r="C100" s="53"/>
      <c r="D100" s="57"/>
      <c r="E100" s="57"/>
      <c r="F100" s="47"/>
      <c r="G100" s="47"/>
      <c r="H100" s="6"/>
    </row>
    <row r="101" spans="1:8" ht="14.1" customHeight="1" x14ac:dyDescent="0.2">
      <c r="A101" s="57"/>
      <c r="B101" s="57"/>
      <c r="C101" s="34" t="s">
        <v>117</v>
      </c>
      <c r="D101" s="57"/>
      <c r="E101" s="57"/>
      <c r="F101" s="47"/>
      <c r="G101" s="47"/>
      <c r="H101" s="6"/>
    </row>
    <row r="102" spans="1:8" x14ac:dyDescent="0.2">
      <c r="A102" s="60">
        <v>1</v>
      </c>
      <c r="B102" s="39"/>
      <c r="C102" s="39" t="s">
        <v>905</v>
      </c>
      <c r="D102" s="39" t="s">
        <v>563</v>
      </c>
      <c r="E102" s="61">
        <v>-240000</v>
      </c>
      <c r="F102" s="55">
        <v>-84.36</v>
      </c>
      <c r="G102" s="54">
        <v>-5.2367600000000005E-4</v>
      </c>
      <c r="H102" s="6"/>
    </row>
    <row r="103" spans="1:8" x14ac:dyDescent="0.2">
      <c r="A103" s="60">
        <v>2</v>
      </c>
      <c r="B103" s="39"/>
      <c r="C103" s="39" t="s">
        <v>906</v>
      </c>
      <c r="D103" s="39" t="s">
        <v>563</v>
      </c>
      <c r="E103" s="61">
        <v>-13500</v>
      </c>
      <c r="F103" s="55">
        <v>-85.367249999999999</v>
      </c>
      <c r="G103" s="54">
        <v>-5.2992899999999995E-4</v>
      </c>
      <c r="H103" s="6"/>
    </row>
    <row r="104" spans="1:8" x14ac:dyDescent="0.2">
      <c r="A104" s="60">
        <v>3</v>
      </c>
      <c r="B104" s="39"/>
      <c r="C104" s="39" t="s">
        <v>889</v>
      </c>
      <c r="D104" s="39" t="s">
        <v>563</v>
      </c>
      <c r="E104" s="61">
        <v>-1750</v>
      </c>
      <c r="F104" s="55">
        <v>-117.334</v>
      </c>
      <c r="G104" s="54">
        <v>-7.2836600000000004E-4</v>
      </c>
      <c r="H104" s="6"/>
    </row>
    <row r="105" spans="1:8" x14ac:dyDescent="0.2">
      <c r="A105" s="60">
        <v>4</v>
      </c>
      <c r="B105" s="39"/>
      <c r="C105" s="39" t="s">
        <v>907</v>
      </c>
      <c r="D105" s="39" t="s">
        <v>563</v>
      </c>
      <c r="E105" s="61">
        <v>-13000</v>
      </c>
      <c r="F105" s="55">
        <v>-122.4145</v>
      </c>
      <c r="G105" s="54">
        <v>-7.5990400000000005E-4</v>
      </c>
      <c r="H105" s="6"/>
    </row>
    <row r="106" spans="1:8" ht="25.5" x14ac:dyDescent="0.2">
      <c r="A106" s="60">
        <v>5</v>
      </c>
      <c r="B106" s="39"/>
      <c r="C106" s="39" t="s">
        <v>908</v>
      </c>
      <c r="D106" s="39" t="s">
        <v>563</v>
      </c>
      <c r="E106" s="61">
        <v>-2750</v>
      </c>
      <c r="F106" s="55">
        <v>-123.072125</v>
      </c>
      <c r="G106" s="54">
        <v>-7.6398700000000004E-4</v>
      </c>
      <c r="H106" s="6"/>
    </row>
    <row r="107" spans="1:8" x14ac:dyDescent="0.2">
      <c r="A107" s="60">
        <v>6</v>
      </c>
      <c r="B107" s="39"/>
      <c r="C107" s="39" t="s">
        <v>909</v>
      </c>
      <c r="D107" s="39" t="s">
        <v>563</v>
      </c>
      <c r="E107" s="61">
        <v>-5600</v>
      </c>
      <c r="F107" s="55">
        <v>-147.75040000000001</v>
      </c>
      <c r="G107" s="54">
        <v>-9.1717999999999997E-4</v>
      </c>
      <c r="H107" s="6"/>
    </row>
    <row r="108" spans="1:8" x14ac:dyDescent="0.2">
      <c r="A108" s="60">
        <v>7</v>
      </c>
      <c r="B108" s="39"/>
      <c r="C108" s="39" t="s">
        <v>877</v>
      </c>
      <c r="D108" s="39" t="s">
        <v>563</v>
      </c>
      <c r="E108" s="61">
        <v>-13225</v>
      </c>
      <c r="F108" s="55">
        <v>-225.06305</v>
      </c>
      <c r="G108" s="54">
        <v>-1.3971089999999999E-3</v>
      </c>
      <c r="H108" s="6"/>
    </row>
    <row r="109" spans="1:8" ht="25.5" x14ac:dyDescent="0.2">
      <c r="A109" s="60">
        <v>8</v>
      </c>
      <c r="B109" s="39"/>
      <c r="C109" s="39" t="s">
        <v>910</v>
      </c>
      <c r="D109" s="39" t="s">
        <v>563</v>
      </c>
      <c r="E109" s="61">
        <v>-21750</v>
      </c>
      <c r="F109" s="55">
        <v>-241.718625</v>
      </c>
      <c r="G109" s="54">
        <v>-1.5005000000000001E-3</v>
      </c>
      <c r="H109" s="6"/>
    </row>
    <row r="110" spans="1:8" x14ac:dyDescent="0.2">
      <c r="A110" s="60">
        <v>9</v>
      </c>
      <c r="B110" s="39"/>
      <c r="C110" s="39" t="s">
        <v>895</v>
      </c>
      <c r="D110" s="39" t="s">
        <v>563</v>
      </c>
      <c r="E110" s="61">
        <v>-39950</v>
      </c>
      <c r="F110" s="55">
        <v>-298.44647500000002</v>
      </c>
      <c r="G110" s="54">
        <v>-1.8526459999999999E-3</v>
      </c>
      <c r="H110" s="6"/>
    </row>
    <row r="111" spans="1:8" x14ac:dyDescent="0.2">
      <c r="A111" s="60">
        <v>10</v>
      </c>
      <c r="B111" s="39"/>
      <c r="C111" s="39" t="s">
        <v>902</v>
      </c>
      <c r="D111" s="39" t="s">
        <v>563</v>
      </c>
      <c r="E111" s="61">
        <v>-247500</v>
      </c>
      <c r="F111" s="55">
        <v>-315.315</v>
      </c>
      <c r="G111" s="54">
        <v>-1.95736E-3</v>
      </c>
      <c r="H111" s="6"/>
    </row>
    <row r="112" spans="1:8" x14ac:dyDescent="0.2">
      <c r="A112" s="60">
        <v>11</v>
      </c>
      <c r="B112" s="39"/>
      <c r="C112" s="39" t="s">
        <v>911</v>
      </c>
      <c r="D112" s="39" t="s">
        <v>563</v>
      </c>
      <c r="E112" s="61">
        <v>-20900</v>
      </c>
      <c r="F112" s="55">
        <v>-354.97604999999999</v>
      </c>
      <c r="G112" s="54">
        <v>-2.2035610000000001E-3</v>
      </c>
      <c r="H112" s="6"/>
    </row>
    <row r="113" spans="1:8" ht="25.5" x14ac:dyDescent="0.2">
      <c r="A113" s="60">
        <v>12</v>
      </c>
      <c r="B113" s="39"/>
      <c r="C113" s="39" t="s">
        <v>912</v>
      </c>
      <c r="D113" s="39" t="s">
        <v>563</v>
      </c>
      <c r="E113" s="61">
        <v>-42000</v>
      </c>
      <c r="F113" s="55">
        <v>-391.54500000000002</v>
      </c>
      <c r="G113" s="54">
        <v>-2.4305680000000001E-3</v>
      </c>
      <c r="H113" s="6"/>
    </row>
    <row r="114" spans="1:8" x14ac:dyDescent="0.2">
      <c r="A114" s="60">
        <v>13</v>
      </c>
      <c r="B114" s="39"/>
      <c r="C114" s="39" t="s">
        <v>913</v>
      </c>
      <c r="D114" s="39" t="s">
        <v>563</v>
      </c>
      <c r="E114" s="61">
        <v>-10500</v>
      </c>
      <c r="F114" s="55">
        <v>-435.91800000000001</v>
      </c>
      <c r="G114" s="54">
        <v>-2.706019E-3</v>
      </c>
      <c r="H114" s="6"/>
    </row>
    <row r="115" spans="1:8" x14ac:dyDescent="0.2">
      <c r="A115" s="60">
        <v>14</v>
      </c>
      <c r="B115" s="39"/>
      <c r="C115" s="39" t="s">
        <v>879</v>
      </c>
      <c r="D115" s="39" t="s">
        <v>563</v>
      </c>
      <c r="E115" s="61">
        <v>-82500</v>
      </c>
      <c r="F115" s="55">
        <v>-616.23374999999999</v>
      </c>
      <c r="G115" s="54">
        <v>-3.8253530000000001E-3</v>
      </c>
      <c r="H115" s="6"/>
    </row>
    <row r="116" spans="1:8" x14ac:dyDescent="0.2">
      <c r="A116" s="60">
        <v>15</v>
      </c>
      <c r="B116" s="39"/>
      <c r="C116" s="39" t="s">
        <v>904</v>
      </c>
      <c r="D116" s="39" t="s">
        <v>563</v>
      </c>
      <c r="E116" s="61">
        <v>-19950</v>
      </c>
      <c r="F116" s="55">
        <v>-647.06827499999997</v>
      </c>
      <c r="G116" s="54">
        <v>-4.0167620000000001E-3</v>
      </c>
      <c r="H116" s="6"/>
    </row>
    <row r="117" spans="1:8" x14ac:dyDescent="0.2">
      <c r="A117" s="60">
        <v>16</v>
      </c>
      <c r="B117" s="39"/>
      <c r="C117" s="39" t="s">
        <v>914</v>
      </c>
      <c r="D117" s="39" t="s">
        <v>563</v>
      </c>
      <c r="E117" s="61">
        <v>-142975</v>
      </c>
      <c r="F117" s="55">
        <v>-693.35726250000005</v>
      </c>
      <c r="G117" s="54">
        <v>-4.3041069999999997E-3</v>
      </c>
      <c r="H117" s="6"/>
    </row>
    <row r="118" spans="1:8" x14ac:dyDescent="0.2">
      <c r="A118" s="60">
        <v>17</v>
      </c>
      <c r="B118" s="39"/>
      <c r="C118" s="39" t="s">
        <v>915</v>
      </c>
      <c r="D118" s="39" t="s">
        <v>563</v>
      </c>
      <c r="E118" s="61">
        <v>-281600</v>
      </c>
      <c r="F118" s="55">
        <v>-729.90719999999999</v>
      </c>
      <c r="G118" s="54">
        <v>-4.5309959999999998E-3</v>
      </c>
      <c r="H118" s="6"/>
    </row>
    <row r="119" spans="1:8" x14ac:dyDescent="0.2">
      <c r="A119" s="60">
        <v>18</v>
      </c>
      <c r="B119" s="39"/>
      <c r="C119" s="39" t="s">
        <v>876</v>
      </c>
      <c r="D119" s="39" t="s">
        <v>563</v>
      </c>
      <c r="E119" s="61">
        <v>-47700</v>
      </c>
      <c r="F119" s="55">
        <v>-750.27329999999995</v>
      </c>
      <c r="G119" s="54">
        <v>-4.6574210000000001E-3</v>
      </c>
      <c r="H119" s="6"/>
    </row>
    <row r="120" spans="1:8" x14ac:dyDescent="0.2">
      <c r="A120" s="60">
        <v>19</v>
      </c>
      <c r="B120" s="39"/>
      <c r="C120" s="39" t="s">
        <v>893</v>
      </c>
      <c r="D120" s="39" t="s">
        <v>563</v>
      </c>
      <c r="E120" s="61">
        <v>-16700</v>
      </c>
      <c r="F120" s="55">
        <v>-756.29290000000003</v>
      </c>
      <c r="G120" s="54">
        <v>-4.6947880000000001E-3</v>
      </c>
      <c r="H120" s="6"/>
    </row>
    <row r="121" spans="1:8" x14ac:dyDescent="0.2">
      <c r="A121" s="60">
        <v>20</v>
      </c>
      <c r="B121" s="39"/>
      <c r="C121" s="39" t="s">
        <v>916</v>
      </c>
      <c r="D121" s="39" t="s">
        <v>563</v>
      </c>
      <c r="E121" s="61">
        <v>-160500</v>
      </c>
      <c r="F121" s="55">
        <v>-798.56775000000005</v>
      </c>
      <c r="G121" s="54">
        <v>-4.9572150000000001E-3</v>
      </c>
      <c r="H121" s="6"/>
    </row>
    <row r="122" spans="1:8" x14ac:dyDescent="0.2">
      <c r="A122" s="60">
        <v>21</v>
      </c>
      <c r="B122" s="39"/>
      <c r="C122" s="39" t="s">
        <v>881</v>
      </c>
      <c r="D122" s="39" t="s">
        <v>563</v>
      </c>
      <c r="E122" s="61">
        <v>-42000</v>
      </c>
      <c r="F122" s="55">
        <v>-942.83699999999999</v>
      </c>
      <c r="G122" s="54">
        <v>-5.8527859999999996E-3</v>
      </c>
      <c r="H122" s="6"/>
    </row>
    <row r="123" spans="1:8" x14ac:dyDescent="0.2">
      <c r="A123" s="60">
        <v>22</v>
      </c>
      <c r="B123" s="39"/>
      <c r="C123" s="39" t="s">
        <v>917</v>
      </c>
      <c r="D123" s="39" t="s">
        <v>563</v>
      </c>
      <c r="E123" s="61">
        <v>-41000</v>
      </c>
      <c r="F123" s="55">
        <v>-998.88300000000004</v>
      </c>
      <c r="G123" s="54">
        <v>-6.2006989999999996E-3</v>
      </c>
      <c r="H123" s="6"/>
    </row>
    <row r="124" spans="1:8" x14ac:dyDescent="0.2">
      <c r="A124" s="60">
        <v>23</v>
      </c>
      <c r="B124" s="39"/>
      <c r="C124" s="39" t="s">
        <v>897</v>
      </c>
      <c r="D124" s="39" t="s">
        <v>563</v>
      </c>
      <c r="E124" s="61">
        <v>-146300</v>
      </c>
      <c r="F124" s="55">
        <v>-1084.2293</v>
      </c>
      <c r="G124" s="54">
        <v>-6.7304970000000002E-3</v>
      </c>
      <c r="H124" s="6"/>
    </row>
    <row r="125" spans="1:8" x14ac:dyDescent="0.2">
      <c r="A125" s="60">
        <v>24</v>
      </c>
      <c r="B125" s="39"/>
      <c r="C125" s="39" t="s">
        <v>885</v>
      </c>
      <c r="D125" s="39" t="s">
        <v>563</v>
      </c>
      <c r="E125" s="61">
        <v>-67200</v>
      </c>
      <c r="F125" s="55">
        <v>-1205.5008</v>
      </c>
      <c r="G125" s="54">
        <v>-7.4833060000000003E-3</v>
      </c>
      <c r="H125" s="6"/>
    </row>
    <row r="126" spans="1:8" ht="25.5" x14ac:dyDescent="0.2">
      <c r="A126" s="60">
        <v>25</v>
      </c>
      <c r="B126" s="39"/>
      <c r="C126" s="39" t="s">
        <v>875</v>
      </c>
      <c r="D126" s="39" t="s">
        <v>563</v>
      </c>
      <c r="E126" s="61">
        <v>-258500</v>
      </c>
      <c r="F126" s="55">
        <v>-1507.8305</v>
      </c>
      <c r="G126" s="54">
        <v>-9.3600579999999992E-3</v>
      </c>
      <c r="H126" s="6"/>
    </row>
    <row r="127" spans="1:8" x14ac:dyDescent="0.2">
      <c r="A127" s="60">
        <v>26</v>
      </c>
      <c r="B127" s="39"/>
      <c r="C127" s="39" t="s">
        <v>898</v>
      </c>
      <c r="D127" s="39" t="s">
        <v>563</v>
      </c>
      <c r="E127" s="61">
        <v>-136425</v>
      </c>
      <c r="F127" s="55">
        <v>-1732.1200125</v>
      </c>
      <c r="G127" s="54">
        <v>-1.0752365E-2</v>
      </c>
      <c r="H127" s="6"/>
    </row>
    <row r="128" spans="1:8" x14ac:dyDescent="0.2">
      <c r="A128" s="60">
        <v>27</v>
      </c>
      <c r="B128" s="39"/>
      <c r="C128" s="39" t="s">
        <v>891</v>
      </c>
      <c r="D128" s="39" t="s">
        <v>563</v>
      </c>
      <c r="E128" s="61">
        <v>-240000</v>
      </c>
      <c r="F128" s="55">
        <v>-1753.92</v>
      </c>
      <c r="G128" s="54">
        <v>-1.0887691E-2</v>
      </c>
      <c r="H128" s="6"/>
    </row>
    <row r="129" spans="1:8" x14ac:dyDescent="0.2">
      <c r="A129" s="60">
        <v>28</v>
      </c>
      <c r="B129" s="39"/>
      <c r="C129" s="39" t="s">
        <v>903</v>
      </c>
      <c r="D129" s="39" t="s">
        <v>563</v>
      </c>
      <c r="E129" s="61">
        <v>-140400</v>
      </c>
      <c r="F129" s="55">
        <v>-1771.2864</v>
      </c>
      <c r="G129" s="54">
        <v>-1.0995494999999999E-2</v>
      </c>
      <c r="H129" s="6"/>
    </row>
    <row r="130" spans="1:8" x14ac:dyDescent="0.2">
      <c r="A130" s="60">
        <v>29</v>
      </c>
      <c r="B130" s="39"/>
      <c r="C130" s="39" t="s">
        <v>892</v>
      </c>
      <c r="D130" s="39" t="s">
        <v>563</v>
      </c>
      <c r="E130" s="61">
        <v>-72500</v>
      </c>
      <c r="F130" s="55">
        <v>-2031.6312499999999</v>
      </c>
      <c r="G130" s="54">
        <v>-1.261162E-2</v>
      </c>
      <c r="H130" s="6"/>
    </row>
    <row r="131" spans="1:8" x14ac:dyDescent="0.2">
      <c r="A131" s="60">
        <v>30</v>
      </c>
      <c r="B131" s="39"/>
      <c r="C131" s="39" t="s">
        <v>918</v>
      </c>
      <c r="D131" s="39" t="s">
        <v>867</v>
      </c>
      <c r="E131" s="61">
        <v>-12500</v>
      </c>
      <c r="F131" s="55">
        <v>-2141.90625</v>
      </c>
      <c r="G131" s="54">
        <v>-1.3296166999999999E-2</v>
      </c>
      <c r="H131" s="6"/>
    </row>
    <row r="132" spans="1:8" x14ac:dyDescent="0.2">
      <c r="A132" s="60">
        <v>31</v>
      </c>
      <c r="B132" s="39"/>
      <c r="C132" s="39" t="s">
        <v>899</v>
      </c>
      <c r="D132" s="39" t="s">
        <v>563</v>
      </c>
      <c r="E132" s="61">
        <v>-268750</v>
      </c>
      <c r="F132" s="55">
        <v>-2328.71875</v>
      </c>
      <c r="G132" s="54">
        <v>-1.4455831000000001E-2</v>
      </c>
      <c r="H132" s="6"/>
    </row>
    <row r="133" spans="1:8" x14ac:dyDescent="0.2">
      <c r="A133" s="60">
        <v>32</v>
      </c>
      <c r="B133" s="39"/>
      <c r="C133" s="39" t="s">
        <v>890</v>
      </c>
      <c r="D133" s="39" t="s">
        <v>563</v>
      </c>
      <c r="E133" s="61">
        <v>-366850</v>
      </c>
      <c r="F133" s="55">
        <v>-5037.9510499999997</v>
      </c>
      <c r="G133" s="54">
        <v>-3.1273749000000003E-2</v>
      </c>
      <c r="H133" s="6"/>
    </row>
    <row r="134" spans="1:8" ht="14.1" customHeight="1" x14ac:dyDescent="0.2">
      <c r="A134" s="57"/>
      <c r="B134" s="57"/>
      <c r="C134" s="34" t="s">
        <v>111</v>
      </c>
      <c r="D134" s="57"/>
      <c r="E134" s="57" t="s">
        <v>112</v>
      </c>
      <c r="F134" s="52">
        <v>-30471.795225000002</v>
      </c>
      <c r="G134" s="51">
        <v>-0.18915771100000001</v>
      </c>
      <c r="H134" s="6"/>
    </row>
    <row r="135" spans="1:8" ht="14.1" customHeight="1" x14ac:dyDescent="0.2">
      <c r="A135" s="57"/>
      <c r="B135" s="57"/>
      <c r="C135" s="53"/>
      <c r="D135" s="57"/>
      <c r="E135" s="57"/>
      <c r="F135" s="47"/>
      <c r="G135" s="47"/>
      <c r="H135" s="6"/>
    </row>
    <row r="136" spans="1:8" ht="18" customHeight="1" x14ac:dyDescent="0.2">
      <c r="A136" s="57"/>
      <c r="B136" s="57"/>
      <c r="C136" s="34" t="s">
        <v>118</v>
      </c>
      <c r="D136" s="57"/>
      <c r="E136" s="57"/>
      <c r="F136" s="52">
        <v>121455.37279300002</v>
      </c>
      <c r="G136" s="51">
        <v>0.75393908799999987</v>
      </c>
      <c r="H136" s="6"/>
    </row>
    <row r="137" spans="1:8" ht="14.1" customHeight="1" x14ac:dyDescent="0.2">
      <c r="A137" s="57"/>
      <c r="B137" s="57"/>
      <c r="C137" s="53"/>
      <c r="D137" s="57"/>
      <c r="E137" s="57"/>
      <c r="F137" s="47"/>
      <c r="G137" s="47"/>
      <c r="H137" s="6"/>
    </row>
    <row r="138" spans="1:8" ht="14.1" customHeight="1" x14ac:dyDescent="0.2">
      <c r="A138" s="57"/>
      <c r="B138" s="57"/>
      <c r="C138" s="34" t="s">
        <v>119</v>
      </c>
      <c r="D138" s="57"/>
      <c r="E138" s="57"/>
      <c r="F138" s="47"/>
      <c r="G138" s="47"/>
      <c r="H138" s="6"/>
    </row>
    <row r="139" spans="1:8" ht="24" customHeight="1" x14ac:dyDescent="0.2">
      <c r="A139" s="57"/>
      <c r="B139" s="57"/>
      <c r="C139" s="34" t="s">
        <v>10</v>
      </c>
      <c r="D139" s="57"/>
      <c r="E139" s="57"/>
      <c r="F139" s="47"/>
      <c r="G139" s="47"/>
      <c r="H139" s="6"/>
    </row>
    <row r="140" spans="1:8" ht="29.1" customHeight="1" x14ac:dyDescent="0.2">
      <c r="A140" s="60">
        <v>1</v>
      </c>
      <c r="B140" s="39" t="s">
        <v>866</v>
      </c>
      <c r="C140" s="39" t="s">
        <v>865</v>
      </c>
      <c r="D140" s="39" t="s">
        <v>589</v>
      </c>
      <c r="E140" s="61">
        <v>250</v>
      </c>
      <c r="F140" s="55">
        <v>2512.145</v>
      </c>
      <c r="G140" s="54">
        <v>1.5594472999999999E-2</v>
      </c>
      <c r="H140" s="6">
        <v>4.1924999999999999</v>
      </c>
    </row>
    <row r="141" spans="1:8" ht="29.1" customHeight="1" x14ac:dyDescent="0.2">
      <c r="A141" s="60">
        <v>2</v>
      </c>
      <c r="B141" s="39" t="s">
        <v>864</v>
      </c>
      <c r="C141" s="39" t="s">
        <v>863</v>
      </c>
      <c r="D141" s="39" t="s">
        <v>589</v>
      </c>
      <c r="E141" s="61">
        <v>250</v>
      </c>
      <c r="F141" s="55">
        <v>2474.7950000000001</v>
      </c>
      <c r="G141" s="54">
        <v>1.5362618E-2</v>
      </c>
      <c r="H141" s="6">
        <v>5.4950000000000001</v>
      </c>
    </row>
    <row r="142" spans="1:8" ht="29.1" customHeight="1" x14ac:dyDescent="0.2">
      <c r="A142" s="60">
        <v>3</v>
      </c>
      <c r="B142" s="39" t="s">
        <v>613</v>
      </c>
      <c r="C142" s="39" t="s">
        <v>614</v>
      </c>
      <c r="D142" s="39" t="s">
        <v>995</v>
      </c>
      <c r="E142" s="61">
        <v>150</v>
      </c>
      <c r="F142" s="55">
        <v>1516.2045000000001</v>
      </c>
      <c r="G142" s="54">
        <v>9.4120409999999995E-3</v>
      </c>
      <c r="H142" s="6">
        <v>5.4550000000000001</v>
      </c>
    </row>
    <row r="143" spans="1:8" ht="17.100000000000001" customHeight="1" x14ac:dyDescent="0.2">
      <c r="A143" s="60">
        <v>4</v>
      </c>
      <c r="B143" s="39" t="s">
        <v>862</v>
      </c>
      <c r="C143" s="39" t="s">
        <v>861</v>
      </c>
      <c r="D143" s="39" t="s">
        <v>589</v>
      </c>
      <c r="E143" s="61">
        <v>100</v>
      </c>
      <c r="F143" s="55">
        <v>1015.9690000000001</v>
      </c>
      <c r="G143" s="54">
        <v>6.3067619999999996E-3</v>
      </c>
      <c r="H143" s="6">
        <v>5.36</v>
      </c>
    </row>
    <row r="144" spans="1:8" ht="29.1" customHeight="1" x14ac:dyDescent="0.2">
      <c r="A144" s="60">
        <v>5</v>
      </c>
      <c r="B144" s="39" t="s">
        <v>860</v>
      </c>
      <c r="C144" s="39" t="s">
        <v>859</v>
      </c>
      <c r="D144" s="39" t="s">
        <v>589</v>
      </c>
      <c r="E144" s="61">
        <v>100</v>
      </c>
      <c r="F144" s="55">
        <v>1013.514</v>
      </c>
      <c r="G144" s="54">
        <v>6.2915230000000003E-3</v>
      </c>
      <c r="H144" s="6">
        <v>4.9615999999999998</v>
      </c>
    </row>
    <row r="145" spans="1:8" ht="29.1" customHeight="1" x14ac:dyDescent="0.2">
      <c r="A145" s="60">
        <v>6</v>
      </c>
      <c r="B145" s="39" t="s">
        <v>858</v>
      </c>
      <c r="C145" s="39" t="s">
        <v>857</v>
      </c>
      <c r="D145" s="39" t="s">
        <v>995</v>
      </c>
      <c r="E145" s="61">
        <v>100</v>
      </c>
      <c r="F145" s="55">
        <v>1013.429</v>
      </c>
      <c r="G145" s="54">
        <v>6.2909949999999997E-3</v>
      </c>
      <c r="H145" s="6">
        <v>5.2249999999999996</v>
      </c>
    </row>
    <row r="146" spans="1:8" ht="29.1" customHeight="1" x14ac:dyDescent="0.2">
      <c r="A146" s="60">
        <v>7</v>
      </c>
      <c r="B146" s="39" t="s">
        <v>856</v>
      </c>
      <c r="C146" s="39" t="s">
        <v>855</v>
      </c>
      <c r="D146" s="39" t="s">
        <v>589</v>
      </c>
      <c r="E146" s="61">
        <v>100</v>
      </c>
      <c r="F146" s="55">
        <v>1012.441</v>
      </c>
      <c r="G146" s="54">
        <v>6.2848619999999996E-3</v>
      </c>
      <c r="H146" s="6">
        <v>5.27</v>
      </c>
    </row>
    <row r="147" spans="1:8" ht="17.100000000000001" customHeight="1" x14ac:dyDescent="0.2">
      <c r="A147" s="60">
        <v>8</v>
      </c>
      <c r="B147" s="39" t="s">
        <v>854</v>
      </c>
      <c r="C147" s="39" t="s">
        <v>853</v>
      </c>
      <c r="D147" s="39" t="s">
        <v>589</v>
      </c>
      <c r="E147" s="61">
        <v>100</v>
      </c>
      <c r="F147" s="55">
        <v>1001.217</v>
      </c>
      <c r="G147" s="54">
        <v>6.2151869999999996E-3</v>
      </c>
      <c r="H147" s="6">
        <v>5.57</v>
      </c>
    </row>
    <row r="148" spans="1:8" ht="29.1" customHeight="1" x14ac:dyDescent="0.2">
      <c r="A148" s="60">
        <v>9</v>
      </c>
      <c r="B148" s="39" t="s">
        <v>852</v>
      </c>
      <c r="C148" s="39" t="s">
        <v>851</v>
      </c>
      <c r="D148" s="39" t="s">
        <v>589</v>
      </c>
      <c r="E148" s="61">
        <v>100</v>
      </c>
      <c r="F148" s="55">
        <v>1000.903</v>
      </c>
      <c r="G148" s="54">
        <v>6.2132380000000003E-3</v>
      </c>
      <c r="H148" s="6">
        <v>4.55</v>
      </c>
    </row>
    <row r="149" spans="1:8" ht="29.1" customHeight="1" x14ac:dyDescent="0.2">
      <c r="A149" s="60">
        <v>10</v>
      </c>
      <c r="B149" s="39" t="s">
        <v>602</v>
      </c>
      <c r="C149" s="39" t="s">
        <v>603</v>
      </c>
      <c r="D149" s="39" t="s">
        <v>604</v>
      </c>
      <c r="E149" s="61">
        <v>100</v>
      </c>
      <c r="F149" s="55">
        <v>996.89200000000005</v>
      </c>
      <c r="G149" s="54">
        <v>6.1883390000000002E-3</v>
      </c>
      <c r="H149" s="6">
        <v>5.6749999999999998</v>
      </c>
    </row>
    <row r="150" spans="1:8" ht="29.1" customHeight="1" x14ac:dyDescent="0.2">
      <c r="A150" s="60">
        <v>11</v>
      </c>
      <c r="B150" s="39" t="s">
        <v>850</v>
      </c>
      <c r="C150" s="39" t="s">
        <v>849</v>
      </c>
      <c r="D150" s="39" t="s">
        <v>589</v>
      </c>
      <c r="E150" s="61">
        <v>50</v>
      </c>
      <c r="F150" s="55">
        <v>508.20249999999999</v>
      </c>
      <c r="G150" s="54">
        <v>3.1547340000000002E-3</v>
      </c>
      <c r="H150" s="6">
        <v>4.5566000000000004</v>
      </c>
    </row>
    <row r="151" spans="1:8" ht="29.1" customHeight="1" x14ac:dyDescent="0.2">
      <c r="A151" s="60">
        <v>12</v>
      </c>
      <c r="B151" s="39" t="s">
        <v>848</v>
      </c>
      <c r="C151" s="39" t="s">
        <v>847</v>
      </c>
      <c r="D151" s="39" t="s">
        <v>589</v>
      </c>
      <c r="E151" s="61">
        <v>50</v>
      </c>
      <c r="F151" s="55">
        <v>507.99900000000002</v>
      </c>
      <c r="G151" s="54">
        <v>3.1534710000000001E-3</v>
      </c>
      <c r="H151" s="6">
        <v>5.27</v>
      </c>
    </row>
    <row r="152" spans="1:8" ht="17.100000000000001" customHeight="1" x14ac:dyDescent="0.2">
      <c r="A152" s="60">
        <v>13</v>
      </c>
      <c r="B152" s="39" t="s">
        <v>846</v>
      </c>
      <c r="C152" s="39" t="s">
        <v>845</v>
      </c>
      <c r="D152" s="39" t="s">
        <v>589</v>
      </c>
      <c r="E152" s="61">
        <v>50</v>
      </c>
      <c r="F152" s="55">
        <v>506.33949999999999</v>
      </c>
      <c r="G152" s="54">
        <v>3.1431699999999998E-3</v>
      </c>
      <c r="H152" s="6">
        <v>4.8499999999999996</v>
      </c>
    </row>
    <row r="153" spans="1:8" ht="29.1" customHeight="1" x14ac:dyDescent="0.2">
      <c r="A153" s="60">
        <v>14</v>
      </c>
      <c r="B153" s="39" t="s">
        <v>844</v>
      </c>
      <c r="C153" s="39" t="s">
        <v>843</v>
      </c>
      <c r="D153" s="39" t="s">
        <v>589</v>
      </c>
      <c r="E153" s="61">
        <v>50</v>
      </c>
      <c r="F153" s="55">
        <v>506.32100000000003</v>
      </c>
      <c r="G153" s="54">
        <v>3.1430550000000001E-3</v>
      </c>
      <c r="H153" s="6">
        <v>5.1950000000000003</v>
      </c>
    </row>
    <row r="154" spans="1:8" ht="29.1" customHeight="1" x14ac:dyDescent="0.2">
      <c r="A154" s="60">
        <v>15</v>
      </c>
      <c r="B154" s="39" t="s">
        <v>842</v>
      </c>
      <c r="C154" s="39" t="s">
        <v>841</v>
      </c>
      <c r="D154" s="39" t="s">
        <v>995</v>
      </c>
      <c r="E154" s="61">
        <v>50</v>
      </c>
      <c r="F154" s="55">
        <v>505.13299999999998</v>
      </c>
      <c r="G154" s="54">
        <v>3.1356800000000001E-3</v>
      </c>
      <c r="H154" s="6">
        <v>4.38</v>
      </c>
    </row>
    <row r="155" spans="1:8" ht="29.1" customHeight="1" x14ac:dyDescent="0.2">
      <c r="A155" s="60">
        <v>16</v>
      </c>
      <c r="B155" s="39" t="s">
        <v>819</v>
      </c>
      <c r="C155" s="39" t="s">
        <v>818</v>
      </c>
      <c r="D155" s="39" t="s">
        <v>604</v>
      </c>
      <c r="E155" s="61">
        <v>50</v>
      </c>
      <c r="F155" s="55">
        <v>495.24349999999998</v>
      </c>
      <c r="G155" s="54">
        <v>3.0742899999999999E-3</v>
      </c>
      <c r="H155" s="6">
        <v>5.6749999999999998</v>
      </c>
    </row>
    <row r="156" spans="1:8" ht="17.100000000000001" customHeight="1" x14ac:dyDescent="0.2">
      <c r="A156" s="60">
        <v>17</v>
      </c>
      <c r="B156" s="39" t="s">
        <v>840</v>
      </c>
      <c r="C156" s="39" t="s">
        <v>839</v>
      </c>
      <c r="D156" s="39" t="s">
        <v>589</v>
      </c>
      <c r="E156" s="61">
        <v>30</v>
      </c>
      <c r="F156" s="55">
        <v>301.24590000000001</v>
      </c>
      <c r="G156" s="54">
        <v>1.8700240000000001E-3</v>
      </c>
      <c r="H156" s="6">
        <v>4.05</v>
      </c>
    </row>
    <row r="157" spans="1:8" ht="29.1" customHeight="1" x14ac:dyDescent="0.2">
      <c r="A157" s="60">
        <v>18</v>
      </c>
      <c r="B157" s="39" t="s">
        <v>785</v>
      </c>
      <c r="C157" s="39" t="s">
        <v>784</v>
      </c>
      <c r="D157" s="39" t="s">
        <v>589</v>
      </c>
      <c r="E157" s="61">
        <v>30</v>
      </c>
      <c r="F157" s="55">
        <v>295.14449999999999</v>
      </c>
      <c r="G157" s="54">
        <v>1.8321489999999999E-3</v>
      </c>
      <c r="H157" s="6">
        <v>6.0549999999999997</v>
      </c>
    </row>
    <row r="158" spans="1:8" ht="29.1" customHeight="1" x14ac:dyDescent="0.2">
      <c r="A158" s="60">
        <v>19</v>
      </c>
      <c r="B158" s="39" t="s">
        <v>607</v>
      </c>
      <c r="C158" s="39" t="s">
        <v>608</v>
      </c>
      <c r="D158" s="39" t="s">
        <v>589</v>
      </c>
      <c r="E158" s="61">
        <v>10</v>
      </c>
      <c r="F158" s="55">
        <v>104.21120000000001</v>
      </c>
      <c r="G158" s="54">
        <v>6.4690500000000003E-4</v>
      </c>
      <c r="H158" s="6">
        <v>5.7549999999999999</v>
      </c>
    </row>
    <row r="159" spans="1:8" ht="17.100000000000001" customHeight="1" x14ac:dyDescent="0.2">
      <c r="A159" s="60">
        <v>20</v>
      </c>
      <c r="B159" s="39" t="s">
        <v>609</v>
      </c>
      <c r="C159" s="39" t="s">
        <v>610</v>
      </c>
      <c r="D159" s="39" t="s">
        <v>589</v>
      </c>
      <c r="E159" s="61">
        <v>10</v>
      </c>
      <c r="F159" s="55">
        <v>103.1874</v>
      </c>
      <c r="G159" s="54">
        <v>6.4054900000000002E-4</v>
      </c>
      <c r="H159" s="6">
        <v>5.16</v>
      </c>
    </row>
    <row r="160" spans="1:8" ht="29.1" customHeight="1" x14ac:dyDescent="0.2">
      <c r="A160" s="60">
        <v>21</v>
      </c>
      <c r="B160" s="39" t="s">
        <v>788</v>
      </c>
      <c r="C160" s="39" t="s">
        <v>787</v>
      </c>
      <c r="D160" s="39" t="s">
        <v>604</v>
      </c>
      <c r="E160" s="61">
        <v>10</v>
      </c>
      <c r="F160" s="55">
        <v>100.68519999999999</v>
      </c>
      <c r="G160" s="54">
        <v>6.2501699999999996E-4</v>
      </c>
      <c r="H160" s="6">
        <v>4.22</v>
      </c>
    </row>
    <row r="161" spans="1:8" ht="29.1" customHeight="1" x14ac:dyDescent="0.2">
      <c r="A161" s="60">
        <v>22</v>
      </c>
      <c r="B161" s="39" t="s">
        <v>838</v>
      </c>
      <c r="C161" s="39" t="s">
        <v>837</v>
      </c>
      <c r="D161" s="39" t="s">
        <v>589</v>
      </c>
      <c r="E161" s="61">
        <v>10</v>
      </c>
      <c r="F161" s="55">
        <v>100.1983</v>
      </c>
      <c r="G161" s="54">
        <v>6.2199399999999995E-4</v>
      </c>
      <c r="H161" s="6">
        <v>4.7267000000000001</v>
      </c>
    </row>
    <row r="162" spans="1:8" ht="14.1" customHeight="1" x14ac:dyDescent="0.2">
      <c r="A162" s="57"/>
      <c r="B162" s="57"/>
      <c r="C162" s="34" t="s">
        <v>111</v>
      </c>
      <c r="D162" s="57"/>
      <c r="E162" s="57" t="s">
        <v>112</v>
      </c>
      <c r="F162" s="52">
        <v>17591.4205</v>
      </c>
      <c r="G162" s="51">
        <v>0.10920107599999999</v>
      </c>
      <c r="H162" s="6"/>
    </row>
    <row r="163" spans="1:8" ht="14.1" customHeight="1" x14ac:dyDescent="0.2">
      <c r="A163" s="57"/>
      <c r="B163" s="57"/>
      <c r="C163" s="53"/>
      <c r="D163" s="57"/>
      <c r="E163" s="57"/>
      <c r="F163" s="47"/>
      <c r="G163" s="47"/>
      <c r="H163" s="6"/>
    </row>
    <row r="164" spans="1:8" ht="14.1" customHeight="1" x14ac:dyDescent="0.2">
      <c r="A164" s="57"/>
      <c r="B164" s="57"/>
      <c r="C164" s="34" t="s">
        <v>120</v>
      </c>
      <c r="D164" s="57"/>
      <c r="E164" s="57"/>
      <c r="F164" s="57"/>
      <c r="G164" s="57"/>
      <c r="H164" s="6"/>
    </row>
    <row r="165" spans="1:8" ht="14.1" customHeight="1" x14ac:dyDescent="0.2">
      <c r="A165" s="57"/>
      <c r="B165" s="57"/>
      <c r="C165" s="34" t="s">
        <v>111</v>
      </c>
      <c r="D165" s="57"/>
      <c r="E165" s="57" t="s">
        <v>112</v>
      </c>
      <c r="F165" s="59">
        <v>0</v>
      </c>
      <c r="G165" s="58">
        <v>0</v>
      </c>
      <c r="H165" s="6"/>
    </row>
    <row r="166" spans="1:8" ht="14.1" customHeight="1" x14ac:dyDescent="0.2">
      <c r="A166" s="57"/>
      <c r="B166" s="57"/>
      <c r="C166" s="53"/>
      <c r="D166" s="57"/>
      <c r="E166" s="57"/>
      <c r="F166" s="47"/>
      <c r="G166" s="47"/>
      <c r="H166" s="6"/>
    </row>
    <row r="167" spans="1:8" ht="14.1" customHeight="1" x14ac:dyDescent="0.2">
      <c r="A167" s="57"/>
      <c r="B167" s="57"/>
      <c r="C167" s="34" t="s">
        <v>121</v>
      </c>
      <c r="D167" s="57"/>
      <c r="E167" s="57"/>
      <c r="F167" s="57"/>
      <c r="G167" s="57"/>
      <c r="H167" s="6"/>
    </row>
    <row r="168" spans="1:8" ht="29.1" customHeight="1" x14ac:dyDescent="0.2">
      <c r="A168" s="60">
        <v>1</v>
      </c>
      <c r="B168" s="39" t="s">
        <v>615</v>
      </c>
      <c r="C168" s="39" t="s">
        <v>616</v>
      </c>
      <c r="D168" s="39" t="s">
        <v>565</v>
      </c>
      <c r="E168" s="61">
        <v>1500000</v>
      </c>
      <c r="F168" s="55">
        <v>1457.9280000000001</v>
      </c>
      <c r="G168" s="54">
        <v>9.0502810000000003E-3</v>
      </c>
      <c r="H168" s="6">
        <v>6.2195999999999998</v>
      </c>
    </row>
    <row r="169" spans="1:8" ht="29.1" customHeight="1" x14ac:dyDescent="0.2">
      <c r="A169" s="60">
        <v>2</v>
      </c>
      <c r="B169" s="39" t="s">
        <v>781</v>
      </c>
      <c r="C169" s="39" t="s">
        <v>780</v>
      </c>
      <c r="D169" s="39" t="s">
        <v>565</v>
      </c>
      <c r="E169" s="61">
        <v>1000000</v>
      </c>
      <c r="F169" s="55">
        <v>1029.8230000000001</v>
      </c>
      <c r="G169" s="54">
        <v>6.3927630000000001E-3</v>
      </c>
      <c r="H169" s="6">
        <v>5.4935999999999998</v>
      </c>
    </row>
    <row r="170" spans="1:8" ht="29.1" customHeight="1" x14ac:dyDescent="0.2">
      <c r="A170" s="60">
        <v>3</v>
      </c>
      <c r="B170" s="39" t="s">
        <v>836</v>
      </c>
      <c r="C170" s="39" t="s">
        <v>835</v>
      </c>
      <c r="D170" s="39" t="s">
        <v>565</v>
      </c>
      <c r="E170" s="61">
        <v>500000</v>
      </c>
      <c r="F170" s="55">
        <v>497.017</v>
      </c>
      <c r="G170" s="54">
        <v>3.0852990000000001E-3</v>
      </c>
      <c r="H170" s="6">
        <v>4.8506999999999998</v>
      </c>
    </row>
    <row r="171" spans="1:8" ht="29.1" customHeight="1" x14ac:dyDescent="0.2">
      <c r="A171" s="60">
        <v>4</v>
      </c>
      <c r="B171" s="39" t="s">
        <v>769</v>
      </c>
      <c r="C171" s="39" t="s">
        <v>768</v>
      </c>
      <c r="D171" s="39" t="s">
        <v>565</v>
      </c>
      <c r="E171" s="61">
        <v>200000</v>
      </c>
      <c r="F171" s="55">
        <v>202.82499999999999</v>
      </c>
      <c r="G171" s="54">
        <v>1.2590629999999999E-3</v>
      </c>
      <c r="H171" s="6">
        <v>4.3635999999999999</v>
      </c>
    </row>
    <row r="172" spans="1:8" ht="29.1" customHeight="1" x14ac:dyDescent="0.2">
      <c r="A172" s="60">
        <v>5</v>
      </c>
      <c r="B172" s="39" t="s">
        <v>777</v>
      </c>
      <c r="C172" s="39" t="s">
        <v>776</v>
      </c>
      <c r="D172" s="39" t="s">
        <v>565</v>
      </c>
      <c r="E172" s="61">
        <v>200000</v>
      </c>
      <c r="F172" s="55">
        <v>202.78200000000001</v>
      </c>
      <c r="G172" s="54">
        <v>1.258796E-3</v>
      </c>
      <c r="H172" s="6">
        <v>4.5744999999999996</v>
      </c>
    </row>
    <row r="173" spans="1:8" ht="29.1" customHeight="1" x14ac:dyDescent="0.2">
      <c r="A173" s="60">
        <v>6</v>
      </c>
      <c r="B173" s="39" t="s">
        <v>775</v>
      </c>
      <c r="C173" s="39" t="s">
        <v>774</v>
      </c>
      <c r="D173" s="39" t="s">
        <v>565</v>
      </c>
      <c r="E173" s="61">
        <v>100000</v>
      </c>
      <c r="F173" s="55">
        <v>105.06699999999999</v>
      </c>
      <c r="G173" s="54">
        <v>6.5221699999999997E-4</v>
      </c>
      <c r="H173" s="6">
        <v>6.4218999999999999</v>
      </c>
    </row>
    <row r="174" spans="1:8" ht="29.1" customHeight="1" x14ac:dyDescent="0.2">
      <c r="A174" s="60">
        <v>7</v>
      </c>
      <c r="B174" s="39" t="s">
        <v>773</v>
      </c>
      <c r="C174" s="39" t="s">
        <v>772</v>
      </c>
      <c r="D174" s="39" t="s">
        <v>565</v>
      </c>
      <c r="E174" s="61">
        <v>100000</v>
      </c>
      <c r="F174" s="55">
        <v>104.6176</v>
      </c>
      <c r="G174" s="54">
        <v>6.4942799999999996E-4</v>
      </c>
      <c r="H174" s="6">
        <v>6.2866</v>
      </c>
    </row>
    <row r="175" spans="1:8" ht="29.1" customHeight="1" x14ac:dyDescent="0.2">
      <c r="A175" s="60">
        <v>8</v>
      </c>
      <c r="B175" s="39" t="s">
        <v>771</v>
      </c>
      <c r="C175" s="39" t="s">
        <v>770</v>
      </c>
      <c r="D175" s="39" t="s">
        <v>565</v>
      </c>
      <c r="E175" s="61">
        <v>100000</v>
      </c>
      <c r="F175" s="55">
        <v>104.4538</v>
      </c>
      <c r="G175" s="54">
        <v>6.48411E-4</v>
      </c>
      <c r="H175" s="6">
        <v>6.2816000000000001</v>
      </c>
    </row>
    <row r="176" spans="1:8" ht="29.1" customHeight="1" x14ac:dyDescent="0.2">
      <c r="A176" s="60">
        <v>9</v>
      </c>
      <c r="B176" s="39" t="s">
        <v>834</v>
      </c>
      <c r="C176" s="39" t="s">
        <v>833</v>
      </c>
      <c r="D176" s="39" t="s">
        <v>565</v>
      </c>
      <c r="E176" s="61">
        <v>100000</v>
      </c>
      <c r="F176" s="55">
        <v>101.008</v>
      </c>
      <c r="G176" s="54">
        <v>6.2702099999999996E-4</v>
      </c>
      <c r="H176" s="6">
        <v>4.431</v>
      </c>
    </row>
    <row r="177" spans="1:8" ht="29.1" customHeight="1" x14ac:dyDescent="0.2">
      <c r="A177" s="60">
        <v>10</v>
      </c>
      <c r="B177" s="39" t="s">
        <v>832</v>
      </c>
      <c r="C177" s="39" t="s">
        <v>831</v>
      </c>
      <c r="D177" s="39" t="s">
        <v>565</v>
      </c>
      <c r="E177" s="61">
        <v>100000</v>
      </c>
      <c r="F177" s="55">
        <v>100.45189999999999</v>
      </c>
      <c r="G177" s="54">
        <v>6.2356800000000002E-4</v>
      </c>
      <c r="H177" s="6">
        <v>3.8973</v>
      </c>
    </row>
    <row r="178" spans="1:8" ht="29.1" customHeight="1" x14ac:dyDescent="0.2">
      <c r="A178" s="60">
        <v>11</v>
      </c>
      <c r="B178" s="39" t="s">
        <v>767</v>
      </c>
      <c r="C178" s="39" t="s">
        <v>766</v>
      </c>
      <c r="D178" s="39" t="s">
        <v>565</v>
      </c>
      <c r="E178" s="61">
        <v>50000</v>
      </c>
      <c r="F178" s="55">
        <v>50.078249999999997</v>
      </c>
      <c r="G178" s="54">
        <v>3.1086699999999999E-4</v>
      </c>
      <c r="H178" s="6">
        <v>3.9144999999999999</v>
      </c>
    </row>
    <row r="179" spans="1:8" ht="14.1" customHeight="1" x14ac:dyDescent="0.2">
      <c r="A179" s="57"/>
      <c r="B179" s="57"/>
      <c r="C179" s="34" t="s">
        <v>111</v>
      </c>
      <c r="D179" s="57"/>
      <c r="E179" s="57" t="s">
        <v>112</v>
      </c>
      <c r="F179" s="52">
        <v>3956.0515500000001</v>
      </c>
      <c r="G179" s="51">
        <v>2.4557714000000001E-2</v>
      </c>
      <c r="H179" s="6"/>
    </row>
    <row r="180" spans="1:8" ht="14.1" customHeight="1" x14ac:dyDescent="0.2">
      <c r="A180" s="57"/>
      <c r="B180" s="57"/>
      <c r="C180" s="53"/>
      <c r="D180" s="57"/>
      <c r="E180" s="57"/>
      <c r="F180" s="47"/>
      <c r="G180" s="47"/>
      <c r="H180" s="6"/>
    </row>
    <row r="181" spans="1:8" ht="14.1" customHeight="1" x14ac:dyDescent="0.2">
      <c r="A181" s="57"/>
      <c r="B181" s="57"/>
      <c r="C181" s="34" t="s">
        <v>122</v>
      </c>
      <c r="D181" s="57"/>
      <c r="E181" s="57"/>
      <c r="F181" s="47"/>
      <c r="G181" s="47"/>
      <c r="H181" s="6"/>
    </row>
    <row r="182" spans="1:8" ht="14.1" customHeight="1" x14ac:dyDescent="0.2">
      <c r="A182" s="57"/>
      <c r="B182" s="57"/>
      <c r="C182" s="34" t="s">
        <v>111</v>
      </c>
      <c r="D182" s="57"/>
      <c r="E182" s="57" t="s">
        <v>112</v>
      </c>
      <c r="F182" s="59">
        <v>0</v>
      </c>
      <c r="G182" s="58">
        <v>0</v>
      </c>
      <c r="H182" s="6"/>
    </row>
    <row r="183" spans="1:8" ht="14.1" customHeight="1" x14ac:dyDescent="0.2">
      <c r="A183" s="57"/>
      <c r="B183" s="57"/>
      <c r="C183" s="53"/>
      <c r="D183" s="57"/>
      <c r="E183" s="57"/>
      <c r="F183" s="47"/>
      <c r="G183" s="47"/>
      <c r="H183" s="6"/>
    </row>
    <row r="184" spans="1:8" ht="14.1" customHeight="1" x14ac:dyDescent="0.2">
      <c r="A184" s="57"/>
      <c r="B184" s="57"/>
      <c r="C184" s="34" t="s">
        <v>123</v>
      </c>
      <c r="D184" s="57"/>
      <c r="E184" s="57"/>
      <c r="F184" s="52">
        <v>21547.47205</v>
      </c>
      <c r="G184" s="51">
        <v>0.13375878999999999</v>
      </c>
      <c r="H184" s="6"/>
    </row>
    <row r="185" spans="1:8" ht="14.1" customHeight="1" x14ac:dyDescent="0.2">
      <c r="A185" s="57"/>
      <c r="B185" s="57"/>
      <c r="C185" s="53"/>
      <c r="D185" s="57"/>
      <c r="E185" s="57"/>
      <c r="F185" s="47"/>
      <c r="G185" s="47"/>
      <c r="H185" s="6"/>
    </row>
    <row r="186" spans="1:8" ht="14.1" customHeight="1" x14ac:dyDescent="0.2">
      <c r="A186" s="57"/>
      <c r="B186" s="57"/>
      <c r="C186" s="34" t="s">
        <v>124</v>
      </c>
      <c r="D186" s="57"/>
      <c r="E186" s="57"/>
      <c r="F186" s="47"/>
      <c r="G186" s="47"/>
      <c r="H186" s="6"/>
    </row>
    <row r="187" spans="1:8" ht="14.1" customHeight="1" x14ac:dyDescent="0.2">
      <c r="A187" s="57"/>
      <c r="B187" s="57"/>
      <c r="C187" s="34" t="s">
        <v>125</v>
      </c>
      <c r="D187" s="57"/>
      <c r="E187" s="57"/>
      <c r="F187" s="47"/>
      <c r="G187" s="47"/>
      <c r="H187" s="6"/>
    </row>
    <row r="188" spans="1:8" ht="14.1" customHeight="1" x14ac:dyDescent="0.2">
      <c r="A188" s="57"/>
      <c r="B188" s="57"/>
      <c r="C188" s="34" t="s">
        <v>111</v>
      </c>
      <c r="D188" s="57"/>
      <c r="E188" s="57" t="s">
        <v>112</v>
      </c>
      <c r="F188" s="59">
        <v>0</v>
      </c>
      <c r="G188" s="58">
        <v>0</v>
      </c>
      <c r="H188" s="6"/>
    </row>
    <row r="189" spans="1:8" ht="14.1" customHeight="1" x14ac:dyDescent="0.2">
      <c r="A189" s="57"/>
      <c r="B189" s="57"/>
      <c r="C189" s="53"/>
      <c r="D189" s="57"/>
      <c r="E189" s="57"/>
      <c r="F189" s="47"/>
      <c r="G189" s="47"/>
      <c r="H189" s="6"/>
    </row>
    <row r="190" spans="1:8" ht="14.1" customHeight="1" x14ac:dyDescent="0.2">
      <c r="A190" s="57"/>
      <c r="B190" s="57"/>
      <c r="C190" s="34" t="s">
        <v>126</v>
      </c>
      <c r="D190" s="57"/>
      <c r="E190" s="57"/>
      <c r="F190" s="47"/>
      <c r="G190" s="47"/>
      <c r="H190" s="6"/>
    </row>
    <row r="191" spans="1:8" ht="14.1" customHeight="1" x14ac:dyDescent="0.2">
      <c r="A191" s="57"/>
      <c r="B191" s="57"/>
      <c r="C191" s="34" t="s">
        <v>111</v>
      </c>
      <c r="D191" s="57"/>
      <c r="E191" s="57" t="s">
        <v>112</v>
      </c>
      <c r="F191" s="59">
        <v>0</v>
      </c>
      <c r="G191" s="58">
        <v>0</v>
      </c>
      <c r="H191" s="6"/>
    </row>
    <row r="192" spans="1:8" ht="14.1" customHeight="1" x14ac:dyDescent="0.2">
      <c r="A192" s="57"/>
      <c r="B192" s="57"/>
      <c r="C192" s="53"/>
      <c r="D192" s="57"/>
      <c r="E192" s="57"/>
      <c r="F192" s="47"/>
      <c r="G192" s="47"/>
      <c r="H192" s="6"/>
    </row>
    <row r="193" spans="1:15" ht="14.1" customHeight="1" x14ac:dyDescent="0.2">
      <c r="A193" s="57"/>
      <c r="B193" s="57"/>
      <c r="C193" s="34" t="s">
        <v>127</v>
      </c>
      <c r="D193" s="57"/>
      <c r="E193" s="57"/>
      <c r="F193" s="47"/>
      <c r="G193" s="47"/>
      <c r="H193" s="6"/>
    </row>
    <row r="194" spans="1:15" ht="17.100000000000001" customHeight="1" x14ac:dyDescent="0.2">
      <c r="A194" s="60">
        <v>1</v>
      </c>
      <c r="B194" s="39" t="s">
        <v>564</v>
      </c>
      <c r="C194" s="39" t="s">
        <v>930</v>
      </c>
      <c r="D194" s="39" t="s">
        <v>565</v>
      </c>
      <c r="E194" s="61">
        <v>5000000</v>
      </c>
      <c r="F194" s="55">
        <v>4960.375</v>
      </c>
      <c r="G194" s="54">
        <v>3.0792185999999999E-2</v>
      </c>
      <c r="H194" s="6">
        <v>3.94</v>
      </c>
    </row>
    <row r="195" spans="1:15" ht="14.1" customHeight="1" x14ac:dyDescent="0.2">
      <c r="A195" s="57"/>
      <c r="B195" s="57"/>
      <c r="C195" s="34" t="s">
        <v>111</v>
      </c>
      <c r="D195" s="57"/>
      <c r="E195" s="57" t="s">
        <v>112</v>
      </c>
      <c r="F195" s="52">
        <v>4960.375</v>
      </c>
      <c r="G195" s="51">
        <v>3.0792185999999999E-2</v>
      </c>
      <c r="H195" s="6"/>
    </row>
    <row r="196" spans="1:15" ht="14.1" customHeight="1" x14ac:dyDescent="0.2">
      <c r="A196" s="57"/>
      <c r="B196" s="57"/>
      <c r="C196" s="53"/>
      <c r="D196" s="57"/>
      <c r="E196" s="57"/>
      <c r="F196" s="47"/>
      <c r="G196" s="47"/>
      <c r="H196" s="6"/>
    </row>
    <row r="197" spans="1:15" ht="14.1" customHeight="1" x14ac:dyDescent="0.2">
      <c r="A197" s="57"/>
      <c r="B197" s="57"/>
      <c r="C197" s="34" t="s">
        <v>128</v>
      </c>
      <c r="D197" s="57"/>
      <c r="E197" s="57"/>
      <c r="F197" s="47"/>
      <c r="G197" s="47"/>
      <c r="H197" s="6"/>
    </row>
    <row r="198" spans="1:15" ht="17.100000000000001" customHeight="1" x14ac:dyDescent="0.2">
      <c r="A198" s="60">
        <v>1</v>
      </c>
      <c r="B198" s="39"/>
      <c r="C198" s="39" t="s">
        <v>129</v>
      </c>
      <c r="D198" s="39"/>
      <c r="E198" s="56"/>
      <c r="F198" s="55">
        <v>385.4992393</v>
      </c>
      <c r="G198" s="54">
        <v>2.3930380000000001E-3</v>
      </c>
      <c r="H198" s="6">
        <v>3.9343919198424624</v>
      </c>
    </row>
    <row r="199" spans="1:15" ht="17.100000000000001" customHeight="1" x14ac:dyDescent="0.2">
      <c r="A199" s="60">
        <v>2</v>
      </c>
      <c r="B199" s="39"/>
      <c r="C199" s="39" t="s">
        <v>130</v>
      </c>
      <c r="D199" s="39"/>
      <c r="E199" s="56"/>
      <c r="F199" s="55">
        <v>25.319403300000001</v>
      </c>
      <c r="G199" s="54">
        <v>1.57174E-4</v>
      </c>
      <c r="H199" s="6">
        <v>3.8</v>
      </c>
    </row>
    <row r="200" spans="1:15" ht="14.1" customHeight="1" x14ac:dyDescent="0.2">
      <c r="A200" s="57"/>
      <c r="B200" s="57"/>
      <c r="C200" s="34" t="s">
        <v>111</v>
      </c>
      <c r="D200" s="57"/>
      <c r="E200" s="57" t="s">
        <v>112</v>
      </c>
      <c r="F200" s="52">
        <v>410.81864259999998</v>
      </c>
      <c r="G200" s="51">
        <v>2.5502120000000001E-3</v>
      </c>
      <c r="H200" s="6"/>
    </row>
    <row r="201" spans="1:15" ht="14.1" customHeight="1" x14ac:dyDescent="0.2">
      <c r="A201" s="57"/>
      <c r="B201" s="57"/>
      <c r="C201" s="53"/>
      <c r="D201" s="57"/>
      <c r="E201" s="57"/>
      <c r="F201" s="47"/>
      <c r="G201" s="47"/>
      <c r="H201" s="6"/>
    </row>
    <row r="202" spans="1:15" ht="14.1" customHeight="1" x14ac:dyDescent="0.2">
      <c r="A202" s="57"/>
      <c r="B202" s="57"/>
      <c r="C202" s="34" t="s">
        <v>131</v>
      </c>
      <c r="D202" s="57"/>
      <c r="E202" s="57"/>
      <c r="F202" s="52">
        <v>5371.1936426000002</v>
      </c>
      <c r="G202" s="51">
        <v>3.3342398000000002E-2</v>
      </c>
      <c r="H202" s="6"/>
    </row>
    <row r="203" spans="1:15" ht="14.1" customHeight="1" x14ac:dyDescent="0.2">
      <c r="A203" s="57"/>
      <c r="B203" s="57"/>
      <c r="C203" s="47"/>
      <c r="D203" s="57"/>
      <c r="E203" s="57"/>
      <c r="F203" s="57"/>
      <c r="G203" s="57"/>
      <c r="H203" s="6"/>
      <c r="J203" s="66"/>
      <c r="K203" s="66"/>
      <c r="L203" s="66"/>
      <c r="M203" s="66"/>
      <c r="N203" s="66"/>
      <c r="O203" s="66"/>
    </row>
    <row r="204" spans="1:15" ht="14.1" customHeight="1" x14ac:dyDescent="0.2">
      <c r="A204" s="57"/>
      <c r="B204" s="57"/>
      <c r="C204" s="34" t="s">
        <v>132</v>
      </c>
      <c r="D204" s="57"/>
      <c r="E204" s="57"/>
      <c r="F204" s="57"/>
      <c r="G204" s="57"/>
      <c r="H204" s="6"/>
    </row>
    <row r="205" spans="1:15" ht="14.1" customHeight="1" x14ac:dyDescent="0.2">
      <c r="A205" s="57"/>
      <c r="B205" s="57"/>
      <c r="C205" s="34" t="s">
        <v>133</v>
      </c>
      <c r="D205" s="57"/>
      <c r="E205" s="57"/>
      <c r="F205" s="57"/>
      <c r="G205" s="57"/>
      <c r="H205" s="6"/>
    </row>
    <row r="206" spans="1:15" ht="14.1" customHeight="1" x14ac:dyDescent="0.2">
      <c r="A206" s="57"/>
      <c r="B206" s="57"/>
      <c r="C206" s="34" t="s">
        <v>111</v>
      </c>
      <c r="D206" s="57"/>
      <c r="E206" s="57" t="s">
        <v>112</v>
      </c>
      <c r="F206" s="59">
        <v>0</v>
      </c>
      <c r="G206" s="58">
        <v>0</v>
      </c>
      <c r="H206" s="6"/>
    </row>
    <row r="207" spans="1:15" ht="14.1" customHeight="1" x14ac:dyDescent="0.2">
      <c r="A207" s="57"/>
      <c r="B207" s="57"/>
      <c r="C207" s="53"/>
      <c r="D207" s="57"/>
      <c r="E207" s="57"/>
      <c r="F207" s="47"/>
      <c r="G207" s="47"/>
      <c r="H207" s="6"/>
    </row>
    <row r="208" spans="1:15" ht="14.1" customHeight="1" x14ac:dyDescent="0.2">
      <c r="A208" s="57"/>
      <c r="B208" s="57"/>
      <c r="C208" s="34" t="s">
        <v>134</v>
      </c>
      <c r="D208" s="57"/>
      <c r="E208" s="57"/>
      <c r="F208" s="57"/>
      <c r="G208" s="57"/>
      <c r="H208" s="6"/>
    </row>
    <row r="209" spans="1:8" ht="14.1" customHeight="1" x14ac:dyDescent="0.2">
      <c r="A209" s="57"/>
      <c r="B209" s="57"/>
      <c r="C209" s="34" t="s">
        <v>135</v>
      </c>
      <c r="D209" s="57"/>
      <c r="E209" s="57"/>
      <c r="F209" s="57"/>
      <c r="G209" s="57"/>
      <c r="H209" s="6"/>
    </row>
    <row r="210" spans="1:8" ht="14.1" customHeight="1" x14ac:dyDescent="0.2">
      <c r="A210" s="57"/>
      <c r="B210" s="57"/>
      <c r="C210" s="34" t="s">
        <v>111</v>
      </c>
      <c r="D210" s="57"/>
      <c r="E210" s="57" t="s">
        <v>112</v>
      </c>
      <c r="F210" s="59">
        <v>0</v>
      </c>
      <c r="G210" s="58">
        <v>0</v>
      </c>
      <c r="H210" s="6"/>
    </row>
    <row r="211" spans="1:8" ht="14.1" customHeight="1" x14ac:dyDescent="0.2">
      <c r="A211" s="57"/>
      <c r="B211" s="57"/>
      <c r="C211" s="53"/>
      <c r="D211" s="57"/>
      <c r="E211" s="57"/>
      <c r="F211" s="47"/>
      <c r="G211" s="47"/>
      <c r="H211" s="6"/>
    </row>
    <row r="212" spans="1:8" ht="24" customHeight="1" x14ac:dyDescent="0.2">
      <c r="A212" s="57"/>
      <c r="B212" s="57"/>
      <c r="C212" s="34" t="s">
        <v>136</v>
      </c>
      <c r="D212" s="57"/>
      <c r="E212" s="57"/>
      <c r="F212" s="47"/>
      <c r="G212" s="47"/>
      <c r="H212" s="6"/>
    </row>
    <row r="213" spans="1:8" ht="14.1" customHeight="1" x14ac:dyDescent="0.2">
      <c r="A213" s="57"/>
      <c r="B213" s="57"/>
      <c r="C213" s="34" t="s">
        <v>111</v>
      </c>
      <c r="D213" s="57"/>
      <c r="E213" s="57" t="s">
        <v>112</v>
      </c>
      <c r="F213" s="59">
        <v>0</v>
      </c>
      <c r="G213" s="58">
        <v>0</v>
      </c>
      <c r="H213" s="6"/>
    </row>
    <row r="214" spans="1:8" ht="14.1" customHeight="1" x14ac:dyDescent="0.2">
      <c r="A214" s="57"/>
      <c r="B214" s="57"/>
      <c r="C214" s="53"/>
      <c r="D214" s="57"/>
      <c r="E214" s="57"/>
      <c r="F214" s="47"/>
      <c r="G214" s="47"/>
      <c r="H214" s="6"/>
    </row>
    <row r="215" spans="1:8" ht="18" customHeight="1" x14ac:dyDescent="0.2">
      <c r="A215" s="56"/>
      <c r="B215" s="39"/>
      <c r="C215" s="39" t="s">
        <v>567</v>
      </c>
      <c r="D215" s="39"/>
      <c r="E215" s="56"/>
      <c r="F215" s="55">
        <v>6851.6009074000003</v>
      </c>
      <c r="G215" s="54">
        <v>4.2532221367834348E-2</v>
      </c>
      <c r="H215" s="6"/>
    </row>
    <row r="216" spans="1:8" ht="18" customHeight="1" x14ac:dyDescent="0.2">
      <c r="A216" s="56"/>
      <c r="B216" s="39"/>
      <c r="C216" s="4" t="s">
        <v>994</v>
      </c>
      <c r="D216" s="39"/>
      <c r="E216" s="56"/>
      <c r="F216" s="55">
        <v>5866.3677266099994</v>
      </c>
      <c r="G216" s="54">
        <v>3.6416255725550989E-2</v>
      </c>
      <c r="H216" s="6"/>
    </row>
    <row r="217" spans="1:8" ht="14.1" customHeight="1" x14ac:dyDescent="0.2">
      <c r="A217" s="53"/>
      <c r="B217" s="53"/>
      <c r="C217" s="34" t="s">
        <v>138</v>
      </c>
      <c r="D217" s="47"/>
      <c r="E217" s="47"/>
      <c r="F217" s="52">
        <v>161092.00711961003</v>
      </c>
      <c r="G217" s="51">
        <v>1</v>
      </c>
      <c r="H217" s="6"/>
    </row>
    <row r="218" spans="1:8" ht="14.1" customHeight="1" x14ac:dyDescent="0.2">
      <c r="A218" s="50"/>
      <c r="B218" s="50"/>
      <c r="C218" s="50"/>
      <c r="D218" s="49"/>
      <c r="E218" s="49"/>
      <c r="F218" s="49"/>
      <c r="G218" s="49"/>
    </row>
    <row r="219" spans="1:8" ht="17.100000000000001" customHeight="1" x14ac:dyDescent="0.2">
      <c r="A219" s="48"/>
      <c r="B219" s="298" t="s">
        <v>750</v>
      </c>
      <c r="C219" s="298"/>
      <c r="D219" s="298"/>
      <c r="E219" s="298"/>
      <c r="F219" s="298"/>
      <c r="G219" s="45"/>
    </row>
    <row r="220" spans="1:8" ht="17.100000000000001" customHeight="1" x14ac:dyDescent="0.2">
      <c r="A220" s="48"/>
      <c r="B220" s="298" t="s">
        <v>749</v>
      </c>
      <c r="C220" s="298"/>
      <c r="D220" s="298"/>
      <c r="E220" s="298"/>
      <c r="F220" s="298"/>
      <c r="G220" s="45"/>
    </row>
    <row r="221" spans="1:8" ht="17.100000000000001" customHeight="1" x14ac:dyDescent="0.2">
      <c r="A221" s="48"/>
      <c r="B221" s="298" t="s">
        <v>139</v>
      </c>
      <c r="C221" s="298"/>
      <c r="D221" s="298"/>
      <c r="E221" s="298"/>
      <c r="F221" s="298"/>
      <c r="G221" s="45"/>
    </row>
    <row r="222" spans="1:8" ht="14.1" customHeight="1" x14ac:dyDescent="0.2">
      <c r="A222" s="48"/>
      <c r="B222" s="48"/>
      <c r="C222" s="48"/>
      <c r="D222" s="45"/>
      <c r="E222" s="45"/>
      <c r="F222" s="45"/>
      <c r="G222" s="45"/>
    </row>
    <row r="223" spans="1:8" ht="14.1" customHeight="1" x14ac:dyDescent="0.2">
      <c r="A223" s="48"/>
      <c r="B223" s="304" t="s">
        <v>140</v>
      </c>
      <c r="C223" s="305"/>
      <c r="D223" s="306"/>
      <c r="E223" s="46"/>
      <c r="F223" s="45"/>
      <c r="G223" s="45"/>
    </row>
    <row r="224" spans="1:8" ht="29.1" customHeight="1" x14ac:dyDescent="0.2">
      <c r="A224" s="48"/>
      <c r="B224" s="307" t="s">
        <v>141</v>
      </c>
      <c r="C224" s="308"/>
      <c r="D224" s="34" t="s">
        <v>142</v>
      </c>
      <c r="E224" s="46"/>
      <c r="F224" s="45"/>
      <c r="G224" s="45"/>
    </row>
    <row r="225" spans="1:9" ht="17.100000000000001" customHeight="1" x14ac:dyDescent="0.2">
      <c r="A225" s="48"/>
      <c r="B225" s="307" t="s">
        <v>143</v>
      </c>
      <c r="C225" s="308"/>
      <c r="D225" s="34" t="s">
        <v>142</v>
      </c>
      <c r="E225" s="46"/>
      <c r="F225" s="45"/>
      <c r="G225" s="45"/>
    </row>
    <row r="226" spans="1:9" ht="17.100000000000001" customHeight="1" x14ac:dyDescent="0.2">
      <c r="A226" s="48"/>
      <c r="B226" s="307" t="s">
        <v>144</v>
      </c>
      <c r="C226" s="308"/>
      <c r="D226" s="47" t="s">
        <v>112</v>
      </c>
      <c r="E226" s="46"/>
      <c r="F226" s="45"/>
      <c r="G226" s="45"/>
    </row>
    <row r="227" spans="1:9" ht="24" customHeight="1" x14ac:dyDescent="0.2">
      <c r="A227" s="31"/>
      <c r="B227" s="43" t="s">
        <v>112</v>
      </c>
      <c r="C227" s="43" t="s">
        <v>145</v>
      </c>
      <c r="D227" s="43" t="s">
        <v>146</v>
      </c>
      <c r="E227" s="31"/>
      <c r="F227" s="31"/>
      <c r="G227" s="31"/>
    </row>
    <row r="228" spans="1:9" ht="18" customHeight="1" x14ac:dyDescent="0.2">
      <c r="A228" s="31"/>
      <c r="B228" s="44" t="s">
        <v>147</v>
      </c>
      <c r="C228" s="43" t="s">
        <v>148</v>
      </c>
      <c r="D228" s="43" t="s">
        <v>149</v>
      </c>
      <c r="E228" s="31"/>
      <c r="F228" s="31"/>
      <c r="G228" s="31"/>
    </row>
    <row r="229" spans="1:9" ht="17.100000000000001" customHeight="1" x14ac:dyDescent="0.2">
      <c r="A229" s="31"/>
      <c r="B229" s="39" t="s">
        <v>150</v>
      </c>
      <c r="C229" s="42">
        <v>28.2455</v>
      </c>
      <c r="D229" s="42">
        <v>28.055900000000001</v>
      </c>
      <c r="E229" s="31"/>
      <c r="F229" s="30"/>
      <c r="G229" s="29"/>
    </row>
    <row r="230" spans="1:9" ht="29.1" customHeight="1" x14ac:dyDescent="0.2">
      <c r="A230" s="31"/>
      <c r="B230" s="39" t="s">
        <v>1119</v>
      </c>
      <c r="C230" s="42">
        <v>16.608799999999999</v>
      </c>
      <c r="D230" s="42">
        <v>16.497199999999999</v>
      </c>
      <c r="E230" s="31"/>
      <c r="F230" s="30"/>
      <c r="G230" s="29"/>
      <c r="I230" s="193"/>
    </row>
    <row r="231" spans="1:9" ht="17.100000000000001" customHeight="1" x14ac:dyDescent="0.2">
      <c r="A231" s="31"/>
      <c r="B231" s="39" t="s">
        <v>151</v>
      </c>
      <c r="C231" s="42">
        <v>25.2834</v>
      </c>
      <c r="D231" s="42">
        <v>25.078199999999999</v>
      </c>
      <c r="E231" s="31"/>
      <c r="F231" s="30"/>
      <c r="G231" s="29"/>
    </row>
    <row r="232" spans="1:9" ht="29.1" customHeight="1" x14ac:dyDescent="0.2">
      <c r="A232" s="31"/>
      <c r="B232" s="39" t="s">
        <v>1121</v>
      </c>
      <c r="C232" s="42">
        <v>14.265000000000001</v>
      </c>
      <c r="D232" s="42">
        <v>14.1493</v>
      </c>
      <c r="E232" s="31"/>
      <c r="F232" s="30"/>
      <c r="G232" s="29"/>
    </row>
    <row r="233" spans="1:9" ht="14.1" customHeight="1" x14ac:dyDescent="0.2">
      <c r="A233" s="31"/>
      <c r="B233" s="31"/>
      <c r="C233" s="31"/>
      <c r="D233" s="31"/>
      <c r="E233" s="31"/>
      <c r="F233" s="31"/>
      <c r="G233" s="31"/>
    </row>
    <row r="234" spans="1:9" ht="17.100000000000001" customHeight="1" x14ac:dyDescent="0.2">
      <c r="A234" s="31"/>
      <c r="B234" s="307" t="s">
        <v>1116</v>
      </c>
      <c r="C234" s="308"/>
      <c r="D234" s="2" t="s">
        <v>142</v>
      </c>
      <c r="E234" s="31"/>
      <c r="F234" s="31"/>
      <c r="G234" s="31"/>
    </row>
    <row r="235" spans="1:9" ht="14.1" customHeight="1" x14ac:dyDescent="0.2">
      <c r="A235" s="31"/>
      <c r="B235" s="30"/>
      <c r="C235" s="30"/>
      <c r="D235" s="31"/>
      <c r="E235" s="31"/>
      <c r="F235" s="31"/>
      <c r="G235" s="31"/>
    </row>
    <row r="236" spans="1:9" ht="29.1" customHeight="1" x14ac:dyDescent="0.2">
      <c r="A236" s="31"/>
      <c r="B236" s="307" t="s">
        <v>153</v>
      </c>
      <c r="C236" s="308"/>
      <c r="D236" s="2" t="s">
        <v>1172</v>
      </c>
      <c r="E236" s="33"/>
      <c r="F236" s="31"/>
      <c r="G236" s="31"/>
    </row>
    <row r="237" spans="1:9" ht="29.1" customHeight="1" x14ac:dyDescent="0.2">
      <c r="A237" s="31"/>
      <c r="B237" s="307" t="s">
        <v>154</v>
      </c>
      <c r="C237" s="308"/>
      <c r="D237" s="34" t="s">
        <v>142</v>
      </c>
      <c r="E237" s="33"/>
      <c r="F237" s="31"/>
      <c r="G237" s="31"/>
    </row>
    <row r="238" spans="1:9" ht="17.100000000000001" customHeight="1" x14ac:dyDescent="0.2">
      <c r="A238" s="31"/>
      <c r="B238" s="309" t="s">
        <v>989</v>
      </c>
      <c r="C238" s="310"/>
      <c r="D238" s="35">
        <v>0.64858333687862302</v>
      </c>
      <c r="E238" s="33"/>
      <c r="F238" s="31"/>
      <c r="G238" s="31"/>
    </row>
    <row r="239" spans="1:9" ht="17.100000000000001" customHeight="1" x14ac:dyDescent="0.2">
      <c r="A239" s="31"/>
      <c r="B239" s="309" t="s">
        <v>990</v>
      </c>
      <c r="C239" s="310"/>
      <c r="D239" s="35">
        <v>0.61968214124571752</v>
      </c>
      <c r="E239" s="33"/>
      <c r="F239" s="31"/>
      <c r="G239" s="31"/>
    </row>
    <row r="240" spans="1:9" ht="17.100000000000001" customHeight="1" x14ac:dyDescent="0.2">
      <c r="A240" s="31"/>
      <c r="B240" s="307" t="s">
        <v>746</v>
      </c>
      <c r="C240" s="308"/>
      <c r="D240" s="34" t="s">
        <v>142</v>
      </c>
      <c r="E240" s="33"/>
      <c r="F240" s="31"/>
      <c r="G240" s="31"/>
    </row>
    <row r="241" spans="1:9" ht="17.100000000000001" customHeight="1" x14ac:dyDescent="0.2">
      <c r="A241" s="31"/>
      <c r="B241" s="307" t="s">
        <v>988</v>
      </c>
      <c r="C241" s="308"/>
      <c r="D241" s="32">
        <v>3.8331718975965474</v>
      </c>
      <c r="E241" s="31"/>
      <c r="F241" s="30"/>
      <c r="G241" s="29"/>
    </row>
    <row r="250" spans="1:9" x14ac:dyDescent="0.2">
      <c r="I250" s="27"/>
    </row>
    <row r="251" spans="1:9" x14ac:dyDescent="0.2">
      <c r="I251" s="27"/>
    </row>
    <row r="252" spans="1:9" x14ac:dyDescent="0.2">
      <c r="I252" s="27"/>
    </row>
    <row r="253" spans="1:9" x14ac:dyDescent="0.2">
      <c r="I253" s="27"/>
    </row>
    <row r="254" spans="1:9" x14ac:dyDescent="0.2">
      <c r="I254" s="27"/>
    </row>
    <row r="255" spans="1:9" x14ac:dyDescent="0.2">
      <c r="I255" s="27"/>
    </row>
  </sheetData>
  <mergeCells count="18">
    <mergeCell ref="B221:F221"/>
    <mergeCell ref="B223:D223"/>
    <mergeCell ref="B224:C224"/>
    <mergeCell ref="B225:C225"/>
    <mergeCell ref="B241:C241"/>
    <mergeCell ref="B226:C226"/>
    <mergeCell ref="B234:C234"/>
    <mergeCell ref="B237:C237"/>
    <mergeCell ref="B238:C238"/>
    <mergeCell ref="B239:C239"/>
    <mergeCell ref="B240:C240"/>
    <mergeCell ref="B236:C236"/>
    <mergeCell ref="J2:N2"/>
    <mergeCell ref="B219:F219"/>
    <mergeCell ref="B220:F22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O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4.5703125" bestFit="1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1130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380</v>
      </c>
      <c r="C7" s="4" t="s">
        <v>381</v>
      </c>
      <c r="D7" s="4" t="s">
        <v>947</v>
      </c>
      <c r="E7" s="5">
        <v>139446</v>
      </c>
      <c r="F7" s="6">
        <v>2185.885773</v>
      </c>
      <c r="G7" s="7">
        <v>8.1968049000000001E-2</v>
      </c>
      <c r="H7" s="6"/>
    </row>
    <row r="8" spans="1:14" x14ac:dyDescent="0.2">
      <c r="A8" s="3">
        <v>2</v>
      </c>
      <c r="B8" s="4" t="s">
        <v>11</v>
      </c>
      <c r="C8" s="4" t="s">
        <v>12</v>
      </c>
      <c r="D8" s="4" t="s">
        <v>13</v>
      </c>
      <c r="E8" s="5">
        <v>64548</v>
      </c>
      <c r="F8" s="6">
        <v>1801.0505700000001</v>
      </c>
      <c r="G8" s="7">
        <v>6.7537199000000006E-2</v>
      </c>
      <c r="H8" s="6"/>
    </row>
    <row r="9" spans="1:14" x14ac:dyDescent="0.2">
      <c r="A9" s="3">
        <v>3</v>
      </c>
      <c r="B9" s="4" t="s">
        <v>384</v>
      </c>
      <c r="C9" s="4" t="s">
        <v>385</v>
      </c>
      <c r="D9" s="4" t="s">
        <v>947</v>
      </c>
      <c r="E9" s="5">
        <v>43535</v>
      </c>
      <c r="F9" s="6">
        <v>1544.0558450000001</v>
      </c>
      <c r="G9" s="7">
        <v>5.7900210000000001E-2</v>
      </c>
      <c r="H9" s="6"/>
    </row>
    <row r="10" spans="1:14" x14ac:dyDescent="0.2">
      <c r="A10" s="3">
        <v>4</v>
      </c>
      <c r="B10" s="4" t="s">
        <v>27</v>
      </c>
      <c r="C10" s="4" t="s">
        <v>28</v>
      </c>
      <c r="D10" s="4" t="s">
        <v>29</v>
      </c>
      <c r="E10" s="5">
        <v>856692</v>
      </c>
      <c r="F10" s="6">
        <v>1338.152904</v>
      </c>
      <c r="G10" s="7">
        <v>5.0179100999999997E-2</v>
      </c>
      <c r="H10" s="6"/>
    </row>
    <row r="11" spans="1:14" x14ac:dyDescent="0.2">
      <c r="A11" s="3">
        <v>5</v>
      </c>
      <c r="B11" s="4" t="s">
        <v>16</v>
      </c>
      <c r="C11" s="4" t="s">
        <v>17</v>
      </c>
      <c r="D11" s="4" t="s">
        <v>18</v>
      </c>
      <c r="E11" s="5">
        <v>179100</v>
      </c>
      <c r="F11" s="6">
        <v>1331.2502999999999</v>
      </c>
      <c r="G11" s="7">
        <v>4.9920262E-2</v>
      </c>
      <c r="H11" s="6"/>
    </row>
    <row r="12" spans="1:14" x14ac:dyDescent="0.2">
      <c r="A12" s="3">
        <v>6</v>
      </c>
      <c r="B12" s="4" t="s">
        <v>390</v>
      </c>
      <c r="C12" s="4" t="s">
        <v>391</v>
      </c>
      <c r="D12" s="4" t="s">
        <v>960</v>
      </c>
      <c r="E12" s="5">
        <v>58279</v>
      </c>
      <c r="F12" s="6">
        <v>1302.4482315</v>
      </c>
      <c r="G12" s="7">
        <v>4.8840218999999997E-2</v>
      </c>
      <c r="H12" s="6"/>
    </row>
    <row r="13" spans="1:14" x14ac:dyDescent="0.2">
      <c r="A13" s="3">
        <v>7</v>
      </c>
      <c r="B13" s="4" t="s">
        <v>402</v>
      </c>
      <c r="C13" s="4" t="s">
        <v>403</v>
      </c>
      <c r="D13" s="4" t="s">
        <v>91</v>
      </c>
      <c r="E13" s="5">
        <v>90000</v>
      </c>
      <c r="F13" s="6">
        <v>1143.9449999999999</v>
      </c>
      <c r="G13" s="7">
        <v>4.2896542000000003E-2</v>
      </c>
      <c r="H13" s="6"/>
    </row>
    <row r="14" spans="1:14" ht="15" x14ac:dyDescent="0.2">
      <c r="A14" s="3">
        <v>8</v>
      </c>
      <c r="B14" s="4" t="s">
        <v>349</v>
      </c>
      <c r="C14" s="4" t="s">
        <v>350</v>
      </c>
      <c r="D14" s="4" t="s">
        <v>18</v>
      </c>
      <c r="E14" s="5">
        <v>77164</v>
      </c>
      <c r="F14" s="6">
        <v>1068.412744</v>
      </c>
      <c r="G14" s="7">
        <v>4.0064174000000001E-2</v>
      </c>
      <c r="H14" s="6"/>
      <c r="J14" s="197" t="s">
        <v>1155</v>
      </c>
    </row>
    <row r="15" spans="1:14" x14ac:dyDescent="0.2">
      <c r="A15" s="3">
        <v>9</v>
      </c>
      <c r="B15" s="4" t="s">
        <v>400</v>
      </c>
      <c r="C15" s="4" t="s">
        <v>401</v>
      </c>
      <c r="D15" s="4" t="s">
        <v>960</v>
      </c>
      <c r="E15" s="5">
        <v>405400</v>
      </c>
      <c r="F15" s="6">
        <v>1052.2157</v>
      </c>
      <c r="G15" s="7">
        <v>3.9456804999999998E-2</v>
      </c>
      <c r="H15" s="6"/>
    </row>
    <row r="16" spans="1:14" x14ac:dyDescent="0.2">
      <c r="A16" s="3">
        <v>10</v>
      </c>
      <c r="B16" s="4" t="s">
        <v>48</v>
      </c>
      <c r="C16" s="4" t="s">
        <v>49</v>
      </c>
      <c r="D16" s="4" t="s">
        <v>18</v>
      </c>
      <c r="E16" s="5">
        <v>175968</v>
      </c>
      <c r="F16" s="6">
        <v>873.32918400000005</v>
      </c>
      <c r="G16" s="7">
        <v>3.2748778999999999E-2</v>
      </c>
      <c r="H16" s="6"/>
    </row>
    <row r="17" spans="1:10" x14ac:dyDescent="0.2">
      <c r="A17" s="3">
        <v>11</v>
      </c>
      <c r="B17" s="4" t="s">
        <v>394</v>
      </c>
      <c r="C17" s="4" t="s">
        <v>395</v>
      </c>
      <c r="D17" s="4" t="s">
        <v>947</v>
      </c>
      <c r="E17" s="5">
        <v>77978</v>
      </c>
      <c r="F17" s="6">
        <v>841.57756500000005</v>
      </c>
      <c r="G17" s="7">
        <v>3.1558132000000003E-2</v>
      </c>
      <c r="H17" s="6"/>
    </row>
    <row r="18" spans="1:10" x14ac:dyDescent="0.2">
      <c r="A18" s="3">
        <v>12</v>
      </c>
      <c r="B18" s="4" t="s">
        <v>52</v>
      </c>
      <c r="C18" s="4" t="s">
        <v>53</v>
      </c>
      <c r="D18" s="4" t="s">
        <v>54</v>
      </c>
      <c r="E18" s="5">
        <v>480000</v>
      </c>
      <c r="F18" s="6">
        <v>770.16</v>
      </c>
      <c r="G18" s="7">
        <v>2.8880059999999999E-2</v>
      </c>
      <c r="H18" s="6"/>
    </row>
    <row r="19" spans="1:10" ht="25.5" x14ac:dyDescent="0.2">
      <c r="A19" s="3">
        <v>13</v>
      </c>
      <c r="B19" s="4" t="s">
        <v>22</v>
      </c>
      <c r="C19" s="4" t="s">
        <v>23</v>
      </c>
      <c r="D19" s="4" t="s">
        <v>935</v>
      </c>
      <c r="E19" s="5">
        <v>11611</v>
      </c>
      <c r="F19" s="6">
        <v>769.83832749999999</v>
      </c>
      <c r="G19" s="7">
        <v>2.8867997999999999E-2</v>
      </c>
      <c r="H19" s="6"/>
    </row>
    <row r="20" spans="1:10" x14ac:dyDescent="0.2">
      <c r="A20" s="3">
        <v>14</v>
      </c>
      <c r="B20" s="4" t="s">
        <v>19</v>
      </c>
      <c r="C20" s="4" t="s">
        <v>20</v>
      </c>
      <c r="D20" s="4" t="s">
        <v>21</v>
      </c>
      <c r="E20" s="5">
        <v>89738</v>
      </c>
      <c r="F20" s="6">
        <v>663.16381999999999</v>
      </c>
      <c r="G20" s="7">
        <v>2.4867833999999998E-2</v>
      </c>
      <c r="H20" s="6"/>
    </row>
    <row r="21" spans="1:10" x14ac:dyDescent="0.2">
      <c r="A21" s="3">
        <v>15</v>
      </c>
      <c r="B21" s="4" t="s">
        <v>178</v>
      </c>
      <c r="C21" s="4" t="s">
        <v>179</v>
      </c>
      <c r="D21" s="4" t="s">
        <v>934</v>
      </c>
      <c r="E21" s="5">
        <v>38644</v>
      </c>
      <c r="F21" s="6">
        <v>552.68648800000005</v>
      </c>
      <c r="G21" s="7">
        <v>2.0725068999999999E-2</v>
      </c>
      <c r="H21" s="6"/>
    </row>
    <row r="22" spans="1:10" x14ac:dyDescent="0.2">
      <c r="A22" s="3">
        <v>16</v>
      </c>
      <c r="B22" s="4" t="s">
        <v>416</v>
      </c>
      <c r="C22" s="4" t="s">
        <v>417</v>
      </c>
      <c r="D22" s="4" t="s">
        <v>18</v>
      </c>
      <c r="E22" s="5">
        <v>235822</v>
      </c>
      <c r="F22" s="6">
        <v>541.56522299999995</v>
      </c>
      <c r="G22" s="7">
        <v>2.0308034999999999E-2</v>
      </c>
      <c r="H22" s="6"/>
    </row>
    <row r="23" spans="1:10" x14ac:dyDescent="0.2">
      <c r="A23" s="3">
        <v>17</v>
      </c>
      <c r="B23" s="4" t="s">
        <v>100</v>
      </c>
      <c r="C23" s="4" t="s">
        <v>101</v>
      </c>
      <c r="D23" s="4" t="s">
        <v>57</v>
      </c>
      <c r="E23" s="5">
        <v>111573</v>
      </c>
      <c r="F23" s="6">
        <v>538.22815200000002</v>
      </c>
      <c r="G23" s="7">
        <v>2.0182899000000001E-2</v>
      </c>
      <c r="H23" s="6"/>
    </row>
    <row r="24" spans="1:10" x14ac:dyDescent="0.2">
      <c r="A24" s="3">
        <v>18</v>
      </c>
      <c r="B24" s="4" t="s">
        <v>569</v>
      </c>
      <c r="C24" s="4" t="s">
        <v>570</v>
      </c>
      <c r="D24" s="4" t="s">
        <v>959</v>
      </c>
      <c r="E24" s="5">
        <v>14104</v>
      </c>
      <c r="F24" s="6">
        <v>526.01573199999996</v>
      </c>
      <c r="G24" s="7">
        <v>1.9724947999999999E-2</v>
      </c>
      <c r="H24" s="6"/>
    </row>
    <row r="25" spans="1:10" ht="25.5" x14ac:dyDescent="0.2">
      <c r="A25" s="3">
        <v>19</v>
      </c>
      <c r="B25" s="4" t="s">
        <v>217</v>
      </c>
      <c r="C25" s="4" t="s">
        <v>218</v>
      </c>
      <c r="D25" s="4" t="s">
        <v>946</v>
      </c>
      <c r="E25" s="5">
        <v>12834</v>
      </c>
      <c r="F25" s="6">
        <v>504.607212</v>
      </c>
      <c r="G25" s="7">
        <v>1.8922155E-2</v>
      </c>
      <c r="H25" s="6"/>
    </row>
    <row r="26" spans="1:10" ht="25.5" x14ac:dyDescent="0.2">
      <c r="A26" s="3">
        <v>20</v>
      </c>
      <c r="B26" s="4" t="s">
        <v>284</v>
      </c>
      <c r="C26" s="4" t="s">
        <v>285</v>
      </c>
      <c r="D26" s="4" t="s">
        <v>946</v>
      </c>
      <c r="E26" s="5">
        <v>19832</v>
      </c>
      <c r="F26" s="6">
        <v>498.31866400000001</v>
      </c>
      <c r="G26" s="7">
        <v>1.8686342000000002E-2</v>
      </c>
      <c r="H26" s="6"/>
      <c r="J26" s="192" t="s">
        <v>1156</v>
      </c>
    </row>
    <row r="27" spans="1:10" x14ac:dyDescent="0.2">
      <c r="A27" s="3">
        <v>21</v>
      </c>
      <c r="B27" s="4" t="s">
        <v>571</v>
      </c>
      <c r="C27" s="4" t="s">
        <v>572</v>
      </c>
      <c r="D27" s="4" t="s">
        <v>71</v>
      </c>
      <c r="E27" s="5">
        <v>13500</v>
      </c>
      <c r="F27" s="6">
        <v>474.86250000000001</v>
      </c>
      <c r="G27" s="7">
        <v>1.7806763999999999E-2</v>
      </c>
      <c r="H27" s="6"/>
    </row>
    <row r="28" spans="1:10" x14ac:dyDescent="0.2">
      <c r="A28" s="3">
        <v>22</v>
      </c>
      <c r="B28" s="4" t="s">
        <v>355</v>
      </c>
      <c r="C28" s="4" t="s">
        <v>356</v>
      </c>
      <c r="D28" s="4" t="s">
        <v>82</v>
      </c>
      <c r="E28" s="5">
        <v>3000</v>
      </c>
      <c r="F28" s="6">
        <v>447.33449999999999</v>
      </c>
      <c r="G28" s="7">
        <v>1.6774497999999999E-2</v>
      </c>
      <c r="H28" s="6"/>
    </row>
    <row r="29" spans="1:10" x14ac:dyDescent="0.2">
      <c r="A29" s="3">
        <v>23</v>
      </c>
      <c r="B29" s="4" t="s">
        <v>244</v>
      </c>
      <c r="C29" s="4" t="s">
        <v>245</v>
      </c>
      <c r="D29" s="4" t="s">
        <v>13</v>
      </c>
      <c r="E29" s="5">
        <v>164814</v>
      </c>
      <c r="F29" s="6">
        <v>445.49224199999998</v>
      </c>
      <c r="G29" s="7">
        <v>1.6705415000000001E-2</v>
      </c>
      <c r="H29" s="6"/>
    </row>
    <row r="30" spans="1:10" x14ac:dyDescent="0.2">
      <c r="A30" s="3">
        <v>24</v>
      </c>
      <c r="B30" s="4" t="s">
        <v>573</v>
      </c>
      <c r="C30" s="4" t="s">
        <v>574</v>
      </c>
      <c r="D30" s="4" t="s">
        <v>26</v>
      </c>
      <c r="E30" s="5">
        <v>21900</v>
      </c>
      <c r="F30" s="6">
        <v>424.29059999999998</v>
      </c>
      <c r="G30" s="7">
        <v>1.5910379999999998E-2</v>
      </c>
      <c r="H30" s="6"/>
    </row>
    <row r="31" spans="1:10" ht="51" x14ac:dyDescent="0.2">
      <c r="A31" s="3">
        <v>25</v>
      </c>
      <c r="B31" s="4" t="s">
        <v>78</v>
      </c>
      <c r="C31" s="4" t="s">
        <v>79</v>
      </c>
      <c r="D31" s="4" t="s">
        <v>939</v>
      </c>
      <c r="E31" s="5">
        <v>324000</v>
      </c>
      <c r="F31" s="6">
        <v>411.80399999999997</v>
      </c>
      <c r="G31" s="7">
        <v>1.5442147E-2</v>
      </c>
      <c r="H31" s="6"/>
    </row>
    <row r="32" spans="1:10" x14ac:dyDescent="0.2">
      <c r="A32" s="3">
        <v>26</v>
      </c>
      <c r="B32" s="4" t="s">
        <v>96</v>
      </c>
      <c r="C32" s="4" t="s">
        <v>97</v>
      </c>
      <c r="D32" s="4" t="s">
        <v>21</v>
      </c>
      <c r="E32" s="5">
        <v>187920</v>
      </c>
      <c r="F32" s="6">
        <v>392.75279999999998</v>
      </c>
      <c r="G32" s="7">
        <v>1.4727751000000001E-2</v>
      </c>
      <c r="H32" s="6"/>
    </row>
    <row r="33" spans="1:8" x14ac:dyDescent="0.2">
      <c r="A33" s="3">
        <v>27</v>
      </c>
      <c r="B33" s="4" t="s">
        <v>575</v>
      </c>
      <c r="C33" s="4" t="s">
        <v>576</v>
      </c>
      <c r="D33" s="4" t="s">
        <v>406</v>
      </c>
      <c r="E33" s="5">
        <v>111500</v>
      </c>
      <c r="F33" s="6">
        <v>358.91849999999999</v>
      </c>
      <c r="G33" s="7">
        <v>1.3459006000000001E-2</v>
      </c>
      <c r="H33" s="6"/>
    </row>
    <row r="34" spans="1:8" ht="25.5" x14ac:dyDescent="0.2">
      <c r="A34" s="3">
        <v>28</v>
      </c>
      <c r="B34" s="4" t="s">
        <v>577</v>
      </c>
      <c r="C34" s="4" t="s">
        <v>578</v>
      </c>
      <c r="D34" s="4" t="s">
        <v>961</v>
      </c>
      <c r="E34" s="5">
        <v>10800</v>
      </c>
      <c r="F34" s="6">
        <v>348.24059999999997</v>
      </c>
      <c r="G34" s="7">
        <v>1.3058597999999999E-2</v>
      </c>
      <c r="H34" s="6"/>
    </row>
    <row r="35" spans="1:8" ht="25.5" x14ac:dyDescent="0.2">
      <c r="A35" s="3">
        <v>29</v>
      </c>
      <c r="B35" s="4" t="s">
        <v>477</v>
      </c>
      <c r="C35" s="4" t="s">
        <v>478</v>
      </c>
      <c r="D35" s="4" t="s">
        <v>945</v>
      </c>
      <c r="E35" s="5">
        <v>4930</v>
      </c>
      <c r="F35" s="6">
        <v>343.86503499999998</v>
      </c>
      <c r="G35" s="7">
        <v>1.2894519E-2</v>
      </c>
      <c r="H35" s="6"/>
    </row>
    <row r="36" spans="1:8" x14ac:dyDescent="0.2">
      <c r="A36" s="3">
        <v>30</v>
      </c>
      <c r="B36" s="4" t="s">
        <v>434</v>
      </c>
      <c r="C36" s="4" t="s">
        <v>435</v>
      </c>
      <c r="D36" s="4" t="s">
        <v>959</v>
      </c>
      <c r="E36" s="5">
        <v>3990</v>
      </c>
      <c r="F36" s="6">
        <v>307.94022000000001</v>
      </c>
      <c r="G36" s="7">
        <v>1.1547382E-2</v>
      </c>
      <c r="H36" s="6"/>
    </row>
    <row r="37" spans="1:8" x14ac:dyDescent="0.2">
      <c r="A37" s="3">
        <v>31</v>
      </c>
      <c r="B37" s="4" t="s">
        <v>309</v>
      </c>
      <c r="C37" s="4" t="s">
        <v>310</v>
      </c>
      <c r="D37" s="4" t="s">
        <v>949</v>
      </c>
      <c r="E37" s="5">
        <v>121078</v>
      </c>
      <c r="F37" s="6">
        <v>288.831569</v>
      </c>
      <c r="G37" s="7">
        <v>1.0830831000000001E-2</v>
      </c>
      <c r="H37" s="6"/>
    </row>
    <row r="38" spans="1:8" x14ac:dyDescent="0.2">
      <c r="A38" s="3">
        <v>32</v>
      </c>
      <c r="B38" s="4" t="s">
        <v>14</v>
      </c>
      <c r="C38" s="4" t="s">
        <v>15</v>
      </c>
      <c r="D38" s="4" t="s">
        <v>64</v>
      </c>
      <c r="E38" s="5">
        <v>15750</v>
      </c>
      <c r="F38" s="6">
        <v>266.86012499999998</v>
      </c>
      <c r="G38" s="7">
        <v>1.0006928999999999E-2</v>
      </c>
      <c r="H38" s="6"/>
    </row>
    <row r="39" spans="1:8" x14ac:dyDescent="0.2">
      <c r="A39" s="3">
        <v>33</v>
      </c>
      <c r="B39" s="4" t="s">
        <v>579</v>
      </c>
      <c r="C39" s="4" t="s">
        <v>580</v>
      </c>
      <c r="D39" s="4" t="s">
        <v>940</v>
      </c>
      <c r="E39" s="5">
        <v>20207</v>
      </c>
      <c r="F39" s="6">
        <v>227.2782325</v>
      </c>
      <c r="G39" s="7">
        <v>8.522656E-3</v>
      </c>
      <c r="H39" s="6"/>
    </row>
    <row r="40" spans="1:8" x14ac:dyDescent="0.2">
      <c r="A40" s="3">
        <v>34</v>
      </c>
      <c r="B40" s="4" t="s">
        <v>581</v>
      </c>
      <c r="C40" s="4" t="s">
        <v>582</v>
      </c>
      <c r="D40" s="4" t="s">
        <v>951</v>
      </c>
      <c r="E40" s="5">
        <v>6278</v>
      </c>
      <c r="F40" s="6">
        <v>205.87131500000001</v>
      </c>
      <c r="G40" s="7">
        <v>7.7199230000000001E-3</v>
      </c>
      <c r="H40" s="6"/>
    </row>
    <row r="41" spans="1:8" x14ac:dyDescent="0.2">
      <c r="A41" s="3">
        <v>35</v>
      </c>
      <c r="B41" s="4" t="s">
        <v>343</v>
      </c>
      <c r="C41" s="4" t="s">
        <v>344</v>
      </c>
      <c r="D41" s="4" t="s">
        <v>934</v>
      </c>
      <c r="E41" s="5">
        <v>30973</v>
      </c>
      <c r="F41" s="6">
        <v>173.66561100000001</v>
      </c>
      <c r="G41" s="7">
        <v>6.512248E-3</v>
      </c>
      <c r="H41" s="6"/>
    </row>
    <row r="42" spans="1:8" x14ac:dyDescent="0.2">
      <c r="A42" s="3">
        <v>36</v>
      </c>
      <c r="B42" s="4" t="s">
        <v>265</v>
      </c>
      <c r="C42" s="4" t="s">
        <v>266</v>
      </c>
      <c r="D42" s="4" t="s">
        <v>942</v>
      </c>
      <c r="E42" s="5">
        <v>17562</v>
      </c>
      <c r="F42" s="6">
        <v>155.45004299999999</v>
      </c>
      <c r="G42" s="7">
        <v>5.8291870000000004E-3</v>
      </c>
      <c r="H42" s="6"/>
    </row>
    <row r="43" spans="1:8" x14ac:dyDescent="0.2">
      <c r="A43" s="3">
        <v>37</v>
      </c>
      <c r="B43" s="4" t="s">
        <v>341</v>
      </c>
      <c r="C43" s="4" t="s">
        <v>342</v>
      </c>
      <c r="D43" s="4" t="s">
        <v>940</v>
      </c>
      <c r="E43" s="5">
        <v>2142</v>
      </c>
      <c r="F43" s="6">
        <v>81.647684999999996</v>
      </c>
      <c r="G43" s="7">
        <v>3.0616889999999998E-3</v>
      </c>
      <c r="H43" s="6"/>
    </row>
    <row r="44" spans="1:8" ht="25.5" x14ac:dyDescent="0.2">
      <c r="A44" s="3">
        <v>38</v>
      </c>
      <c r="B44" s="4" t="s">
        <v>248</v>
      </c>
      <c r="C44" s="4" t="s">
        <v>249</v>
      </c>
      <c r="D44" s="4" t="s">
        <v>950</v>
      </c>
      <c r="E44" s="5">
        <v>13358</v>
      </c>
      <c r="F44" s="6">
        <v>70.924301</v>
      </c>
      <c r="G44" s="7">
        <v>2.659575E-3</v>
      </c>
      <c r="H44" s="6"/>
    </row>
    <row r="45" spans="1:8" ht="14.1" customHeight="1" x14ac:dyDescent="0.2">
      <c r="A45" s="1"/>
      <c r="B45" s="1"/>
      <c r="C45" s="2" t="s">
        <v>111</v>
      </c>
      <c r="D45" s="1"/>
      <c r="E45" s="1" t="s">
        <v>112</v>
      </c>
      <c r="F45" s="9">
        <v>25272.9373165</v>
      </c>
      <c r="G45" s="10">
        <v>0.94770430999999999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113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111</v>
      </c>
      <c r="D48" s="1"/>
      <c r="E48" s="1" t="s">
        <v>112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114</v>
      </c>
      <c r="D50" s="1"/>
      <c r="E50" s="1"/>
      <c r="F50" s="1"/>
      <c r="G50" s="1"/>
      <c r="H50" s="6"/>
    </row>
    <row r="51" spans="1:8" ht="17.100000000000001" customHeight="1" x14ac:dyDescent="0.2">
      <c r="A51" s="3">
        <v>1</v>
      </c>
      <c r="B51" s="4" t="s">
        <v>586</v>
      </c>
      <c r="C51" s="4" t="s">
        <v>972</v>
      </c>
      <c r="D51" s="4"/>
      <c r="E51" s="5">
        <v>200000</v>
      </c>
      <c r="F51" s="6">
        <v>1.9999999999999999E-6</v>
      </c>
      <c r="G51" s="8" t="s">
        <v>110</v>
      </c>
      <c r="H51" s="6"/>
    </row>
    <row r="52" spans="1:8" ht="17.100000000000001" customHeight="1" x14ac:dyDescent="0.2">
      <c r="A52" s="3">
        <v>2</v>
      </c>
      <c r="B52" s="4" t="s">
        <v>583</v>
      </c>
      <c r="C52" s="4" t="s">
        <v>973</v>
      </c>
      <c r="D52" s="4"/>
      <c r="E52" s="5">
        <v>50000</v>
      </c>
      <c r="F52" s="6">
        <v>4.9999999999999998E-7</v>
      </c>
      <c r="G52" s="8" t="s">
        <v>110</v>
      </c>
      <c r="H52" s="6"/>
    </row>
    <row r="53" spans="1:8" ht="17.100000000000001" customHeight="1" x14ac:dyDescent="0.2">
      <c r="A53" s="3">
        <v>3</v>
      </c>
      <c r="B53" s="4" t="s">
        <v>584</v>
      </c>
      <c r="C53" s="4" t="s">
        <v>974</v>
      </c>
      <c r="D53" s="4"/>
      <c r="E53" s="5">
        <v>50000</v>
      </c>
      <c r="F53" s="6">
        <v>4.9999999999999998E-7</v>
      </c>
      <c r="G53" s="8" t="s">
        <v>110</v>
      </c>
      <c r="H53" s="6"/>
    </row>
    <row r="54" spans="1:8" ht="17.100000000000001" customHeight="1" x14ac:dyDescent="0.2">
      <c r="A54" s="3">
        <v>4</v>
      </c>
      <c r="B54" s="4" t="s">
        <v>585</v>
      </c>
      <c r="C54" s="4" t="s">
        <v>975</v>
      </c>
      <c r="D54" s="4"/>
      <c r="E54" s="5">
        <v>20</v>
      </c>
      <c r="F54" s="6">
        <v>0</v>
      </c>
      <c r="G54" s="8" t="s">
        <v>110</v>
      </c>
      <c r="H54" s="6"/>
    </row>
    <row r="55" spans="1:8" ht="14.1" customHeight="1" x14ac:dyDescent="0.2">
      <c r="A55" s="1"/>
      <c r="B55" s="1"/>
      <c r="C55" s="2" t="s">
        <v>111</v>
      </c>
      <c r="D55" s="1"/>
      <c r="E55" s="1" t="s">
        <v>112</v>
      </c>
      <c r="F55" s="13">
        <v>0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115</v>
      </c>
      <c r="D57" s="1"/>
      <c r="E57" s="1"/>
      <c r="F57" s="1"/>
      <c r="G57" s="1"/>
      <c r="H57" s="6"/>
    </row>
    <row r="58" spans="1:8" ht="14.1" customHeight="1" x14ac:dyDescent="0.2">
      <c r="A58" s="1"/>
      <c r="B58" s="1"/>
      <c r="C58" s="2" t="s">
        <v>111</v>
      </c>
      <c r="D58" s="1"/>
      <c r="E58" s="1" t="s">
        <v>112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116</v>
      </c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111</v>
      </c>
      <c r="D61" s="1"/>
      <c r="E61" s="1" t="s">
        <v>112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117</v>
      </c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111</v>
      </c>
      <c r="D64" s="1"/>
      <c r="E64" s="1" t="s">
        <v>112</v>
      </c>
      <c r="F64" s="13">
        <v>0</v>
      </c>
      <c r="G64" s="14">
        <v>0</v>
      </c>
      <c r="H64" s="6"/>
    </row>
    <row r="65" spans="1:15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15" ht="18" customHeight="1" x14ac:dyDescent="0.2">
      <c r="A66" s="1"/>
      <c r="B66" s="1"/>
      <c r="C66" s="2" t="s">
        <v>118</v>
      </c>
      <c r="D66" s="1"/>
      <c r="E66" s="1"/>
      <c r="F66" s="9">
        <v>25272.9373165</v>
      </c>
      <c r="G66" s="10">
        <v>0.94770430999999999</v>
      </c>
      <c r="H66" s="6"/>
    </row>
    <row r="67" spans="1:15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15" ht="14.1" customHeight="1" x14ac:dyDescent="0.2">
      <c r="A68" s="1"/>
      <c r="B68" s="1"/>
      <c r="C68" s="2" t="s">
        <v>119</v>
      </c>
      <c r="D68" s="1"/>
      <c r="E68" s="1"/>
      <c r="F68" s="12"/>
      <c r="G68" s="12"/>
      <c r="H68" s="6"/>
    </row>
    <row r="69" spans="1:15" ht="24" customHeight="1" x14ac:dyDescent="0.2">
      <c r="A69" s="1"/>
      <c r="B69" s="1"/>
      <c r="C69" s="2" t="s">
        <v>10</v>
      </c>
      <c r="D69" s="1"/>
      <c r="E69" s="1"/>
      <c r="F69" s="12"/>
      <c r="G69" s="12"/>
      <c r="H69" s="6"/>
      <c r="J69" s="27"/>
      <c r="K69" s="27"/>
      <c r="L69" s="27"/>
      <c r="M69" s="27"/>
      <c r="N69" s="27"/>
      <c r="O69" s="27"/>
    </row>
    <row r="70" spans="1:15" ht="29.1" customHeight="1" x14ac:dyDescent="0.2">
      <c r="A70" s="3">
        <v>1</v>
      </c>
      <c r="B70" s="4" t="s">
        <v>587</v>
      </c>
      <c r="C70" s="4" t="s">
        <v>588</v>
      </c>
      <c r="D70" s="4" t="s">
        <v>589</v>
      </c>
      <c r="E70" s="5">
        <v>4200</v>
      </c>
      <c r="F70" s="6">
        <v>1.2087474</v>
      </c>
      <c r="G70" s="8" t="s">
        <v>110</v>
      </c>
      <c r="H70" s="6">
        <v>5.89</v>
      </c>
    </row>
    <row r="71" spans="1:15" ht="14.1" customHeight="1" x14ac:dyDescent="0.2">
      <c r="A71" s="1"/>
      <c r="B71" s="1"/>
      <c r="C71" s="2" t="s">
        <v>111</v>
      </c>
      <c r="D71" s="1"/>
      <c r="E71" s="1" t="s">
        <v>112</v>
      </c>
      <c r="F71" s="9">
        <v>1.2087474</v>
      </c>
      <c r="G71" s="10">
        <v>4.5327000000000002E-5</v>
      </c>
      <c r="H71" s="6"/>
    </row>
    <row r="72" spans="1:15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15" ht="14.1" customHeight="1" x14ac:dyDescent="0.2">
      <c r="A73" s="1"/>
      <c r="B73" s="1"/>
      <c r="C73" s="2" t="s">
        <v>120</v>
      </c>
      <c r="D73" s="1"/>
      <c r="E73" s="1"/>
      <c r="F73" s="1"/>
      <c r="G73" s="1"/>
      <c r="H73" s="6"/>
    </row>
    <row r="74" spans="1:15" ht="14.1" customHeight="1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6"/>
    </row>
    <row r="75" spans="1:15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15" ht="14.1" customHeight="1" x14ac:dyDescent="0.2">
      <c r="A76" s="1"/>
      <c r="B76" s="1"/>
      <c r="C76" s="2" t="s">
        <v>121</v>
      </c>
      <c r="D76" s="1"/>
      <c r="E76" s="1"/>
      <c r="F76" s="1"/>
      <c r="G76" s="1"/>
      <c r="H76" s="6"/>
    </row>
    <row r="77" spans="1:15" ht="14.1" customHeight="1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6"/>
    </row>
    <row r="78" spans="1:15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15" ht="14.1" customHeight="1" x14ac:dyDescent="0.2">
      <c r="A79" s="1"/>
      <c r="B79" s="1"/>
      <c r="C79" s="2" t="s">
        <v>122</v>
      </c>
      <c r="D79" s="1"/>
      <c r="E79" s="1"/>
      <c r="F79" s="12"/>
      <c r="G79" s="12"/>
      <c r="H79" s="6"/>
    </row>
    <row r="80" spans="1:15" ht="14.1" customHeight="1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123</v>
      </c>
      <c r="D82" s="1"/>
      <c r="E82" s="1"/>
      <c r="F82" s="9">
        <v>1.2087474</v>
      </c>
      <c r="G82" s="10">
        <v>4.5327000000000002E-5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124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125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127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128</v>
      </c>
      <c r="D94" s="1"/>
      <c r="E94" s="1"/>
      <c r="F94" s="12"/>
      <c r="G94" s="12"/>
      <c r="H94" s="6"/>
    </row>
    <row r="95" spans="1:8" ht="17.100000000000001" customHeight="1" x14ac:dyDescent="0.2">
      <c r="A95" s="3">
        <v>1</v>
      </c>
      <c r="B95" s="4"/>
      <c r="C95" s="4" t="s">
        <v>129</v>
      </c>
      <c r="D95" s="4"/>
      <c r="E95" s="8"/>
      <c r="F95" s="6">
        <v>1353.0122698</v>
      </c>
      <c r="G95" s="7">
        <v>5.0736309E-2</v>
      </c>
      <c r="H95" s="6">
        <v>3.9343919198424624</v>
      </c>
    </row>
    <row r="96" spans="1:8" ht="17.100000000000001" customHeight="1" x14ac:dyDescent="0.2">
      <c r="A96" s="3">
        <v>2</v>
      </c>
      <c r="B96" s="4"/>
      <c r="C96" s="4" t="s">
        <v>130</v>
      </c>
      <c r="D96" s="4"/>
      <c r="E96" s="8"/>
      <c r="F96" s="6">
        <v>88.86524</v>
      </c>
      <c r="G96" s="7">
        <v>3.3323379999999998E-3</v>
      </c>
      <c r="H96" s="6">
        <v>3.8</v>
      </c>
    </row>
    <row r="97" spans="1:8" ht="14.1" customHeight="1" x14ac:dyDescent="0.2">
      <c r="A97" s="1"/>
      <c r="B97" s="1"/>
      <c r="C97" s="2" t="s">
        <v>111</v>
      </c>
      <c r="D97" s="1"/>
      <c r="E97" s="1" t="s">
        <v>112</v>
      </c>
      <c r="F97" s="9">
        <v>1441.8775098000001</v>
      </c>
      <c r="G97" s="10">
        <v>5.4068646999999997E-2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131</v>
      </c>
      <c r="D99" s="1"/>
      <c r="E99" s="1"/>
      <c r="F99" s="9">
        <v>1441.8775098000001</v>
      </c>
      <c r="G99" s="10">
        <v>5.4068646999999997E-2</v>
      </c>
      <c r="H99" s="6"/>
    </row>
    <row r="100" spans="1:8" ht="14.1" customHeight="1" x14ac:dyDescent="0.2">
      <c r="A100" s="1"/>
      <c r="B100" s="1"/>
      <c r="C100" s="12"/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132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133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134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135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24" customHeight="1" x14ac:dyDescent="0.2">
      <c r="A110" s="1"/>
      <c r="B110" s="1"/>
      <c r="C110" s="2" t="s">
        <v>136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15" ht="14.1" customHeight="1" x14ac:dyDescent="0.2">
      <c r="A113" s="1"/>
      <c r="B113" s="4"/>
      <c r="C113" s="4"/>
      <c r="D113" s="2"/>
      <c r="E113" s="1"/>
      <c r="F113" s="4"/>
      <c r="G113" s="8"/>
      <c r="H113" s="6"/>
    </row>
    <row r="114" spans="1:15" ht="18" customHeight="1" x14ac:dyDescent="0.2">
      <c r="A114" s="8"/>
      <c r="B114" s="4"/>
      <c r="C114" s="4" t="s">
        <v>994</v>
      </c>
      <c r="D114" s="4"/>
      <c r="E114" s="8"/>
      <c r="F114" s="6">
        <v>-48.489140820000003</v>
      </c>
      <c r="G114" s="7">
        <v>-1.8182840000000001E-3</v>
      </c>
      <c r="H114" s="6"/>
    </row>
    <row r="115" spans="1:15" ht="14.1" customHeight="1" x14ac:dyDescent="0.2">
      <c r="A115" s="11"/>
      <c r="B115" s="11"/>
      <c r="C115" s="2" t="s">
        <v>138</v>
      </c>
      <c r="D115" s="15"/>
      <c r="E115" s="15"/>
      <c r="F115" s="9">
        <v>26667.534432879998</v>
      </c>
      <c r="G115" s="10">
        <v>1</v>
      </c>
      <c r="H115" s="6"/>
    </row>
    <row r="116" spans="1:15" ht="14.1" customHeight="1" x14ac:dyDescent="0.2">
      <c r="A116" s="16"/>
      <c r="B116" s="16"/>
      <c r="C116" s="16"/>
      <c r="D116" s="17"/>
      <c r="E116" s="17"/>
      <c r="F116" s="17"/>
      <c r="G116" s="17"/>
    </row>
    <row r="117" spans="1:15" ht="17.100000000000001" customHeight="1" x14ac:dyDescent="0.2">
      <c r="A117" s="18"/>
      <c r="B117" s="297" t="s">
        <v>590</v>
      </c>
      <c r="C117" s="297"/>
      <c r="D117" s="297"/>
      <c r="E117" s="297"/>
      <c r="F117" s="297"/>
      <c r="G117" s="20"/>
    </row>
    <row r="118" spans="1:15" ht="17.100000000000001" customHeight="1" x14ac:dyDescent="0.2">
      <c r="A118" s="18"/>
      <c r="B118" s="297" t="s">
        <v>139</v>
      </c>
      <c r="C118" s="297"/>
      <c r="D118" s="297"/>
      <c r="E118" s="297"/>
      <c r="F118" s="297"/>
      <c r="G118" s="20"/>
    </row>
    <row r="119" spans="1:15" s="27" customFormat="1" ht="17.100000000000001" customHeight="1" x14ac:dyDescent="0.2">
      <c r="A119" s="48"/>
      <c r="B119" s="298" t="s">
        <v>749</v>
      </c>
      <c r="C119" s="298"/>
      <c r="D119" s="298"/>
      <c r="E119" s="298"/>
      <c r="F119" s="298"/>
      <c r="G119" s="45"/>
      <c r="H119"/>
      <c r="I119"/>
      <c r="J119"/>
      <c r="K119"/>
      <c r="L119"/>
      <c r="M119"/>
      <c r="N119"/>
      <c r="O119"/>
    </row>
    <row r="120" spans="1:15" ht="14.1" customHeight="1" x14ac:dyDescent="0.2">
      <c r="A120" s="18"/>
      <c r="B120" s="18"/>
      <c r="C120" s="18"/>
      <c r="D120" s="20"/>
      <c r="E120" s="20"/>
      <c r="F120" s="20"/>
      <c r="G120" s="20"/>
    </row>
    <row r="121" spans="1:15" ht="14.1" customHeight="1" x14ac:dyDescent="0.2">
      <c r="A121" s="18"/>
      <c r="B121" s="294" t="s">
        <v>140</v>
      </c>
      <c r="C121" s="295"/>
      <c r="D121" s="12" t="s">
        <v>112</v>
      </c>
      <c r="E121" s="21"/>
      <c r="F121" s="20"/>
      <c r="G121" s="20"/>
    </row>
    <row r="122" spans="1:15" ht="29.1" customHeight="1" x14ac:dyDescent="0.2">
      <c r="A122" s="18"/>
      <c r="B122" s="288" t="s">
        <v>141</v>
      </c>
      <c r="C122" s="289"/>
      <c r="D122" s="2" t="s">
        <v>1028</v>
      </c>
      <c r="E122" s="21"/>
      <c r="F122" s="20"/>
      <c r="G122" s="20"/>
    </row>
    <row r="123" spans="1:15" ht="17.100000000000001" customHeight="1" x14ac:dyDescent="0.2">
      <c r="A123" s="18"/>
      <c r="B123" s="288" t="s">
        <v>968</v>
      </c>
      <c r="C123" s="289"/>
      <c r="D123" s="67" t="s">
        <v>969</v>
      </c>
      <c r="E123" s="21"/>
      <c r="F123" s="20"/>
      <c r="G123" s="20"/>
    </row>
    <row r="124" spans="1:15" ht="17.100000000000001" customHeight="1" x14ac:dyDescent="0.2">
      <c r="A124" s="18"/>
      <c r="B124" s="288" t="s">
        <v>144</v>
      </c>
      <c r="C124" s="289"/>
      <c r="D124" s="12" t="s">
        <v>112</v>
      </c>
      <c r="E124" s="21"/>
      <c r="F124" s="20"/>
      <c r="G124" s="20"/>
    </row>
    <row r="125" spans="1:15" ht="24" customHeight="1" x14ac:dyDescent="0.2">
      <c r="A125" s="22"/>
      <c r="B125" s="23" t="s">
        <v>112</v>
      </c>
      <c r="C125" s="23" t="s">
        <v>145</v>
      </c>
      <c r="D125" s="23" t="s">
        <v>146</v>
      </c>
      <c r="E125" s="22"/>
      <c r="F125" s="22"/>
      <c r="G125" s="22"/>
    </row>
    <row r="126" spans="1:15" ht="18" customHeight="1" x14ac:dyDescent="0.2">
      <c r="A126" s="22"/>
      <c r="B126" s="23" t="s">
        <v>147</v>
      </c>
      <c r="C126" s="23" t="s">
        <v>148</v>
      </c>
      <c r="D126" s="23" t="s">
        <v>149</v>
      </c>
      <c r="E126" s="22"/>
      <c r="F126" s="22"/>
      <c r="G126" s="22"/>
    </row>
    <row r="127" spans="1:15" ht="17.100000000000001" customHeight="1" x14ac:dyDescent="0.2">
      <c r="A127" s="22"/>
      <c r="B127" s="4" t="s">
        <v>150</v>
      </c>
      <c r="C127" s="24">
        <v>88.910399999999996</v>
      </c>
      <c r="D127" s="24">
        <v>88.303700000000006</v>
      </c>
      <c r="E127" s="22"/>
      <c r="F127" s="19"/>
      <c r="G127" s="25"/>
    </row>
    <row r="128" spans="1:15" ht="15.75" customHeight="1" x14ac:dyDescent="0.2">
      <c r="A128" s="22"/>
      <c r="B128" s="4" t="s">
        <v>1117</v>
      </c>
      <c r="C128" s="24">
        <v>49.271799999999999</v>
      </c>
      <c r="D128" s="24">
        <v>48.920099999999998</v>
      </c>
      <c r="E128" s="22"/>
      <c r="F128" s="19"/>
      <c r="G128" s="25"/>
    </row>
    <row r="129" spans="1:15" ht="17.100000000000001" customHeight="1" x14ac:dyDescent="0.2">
      <c r="A129" s="22"/>
      <c r="B129" s="4" t="s">
        <v>151</v>
      </c>
      <c r="C129" s="24">
        <v>84.704899999999995</v>
      </c>
      <c r="D129" s="24">
        <v>84.067400000000006</v>
      </c>
      <c r="E129" s="22"/>
      <c r="F129" s="19"/>
      <c r="G129" s="25"/>
    </row>
    <row r="130" spans="1:15" ht="29.1" customHeight="1" x14ac:dyDescent="0.2">
      <c r="A130" s="22"/>
      <c r="B130" s="4" t="s">
        <v>1118</v>
      </c>
      <c r="C130" s="24">
        <v>30.5685</v>
      </c>
      <c r="D130" s="24">
        <v>30.3384</v>
      </c>
      <c r="E130" s="22"/>
      <c r="F130" s="19"/>
      <c r="G130" s="25"/>
    </row>
    <row r="131" spans="1:15" ht="14.1" customHeight="1" x14ac:dyDescent="0.2">
      <c r="A131" s="22"/>
      <c r="B131" s="22"/>
      <c r="C131" s="22"/>
      <c r="D131" s="22"/>
      <c r="E131" s="22"/>
      <c r="F131" s="22"/>
      <c r="G131" s="22"/>
    </row>
    <row r="132" spans="1:15" ht="17.100000000000001" customHeight="1" x14ac:dyDescent="0.2">
      <c r="A132" s="22"/>
      <c r="B132" s="288" t="s">
        <v>1116</v>
      </c>
      <c r="C132" s="289"/>
      <c r="D132" s="2" t="s">
        <v>142</v>
      </c>
      <c r="E132" s="22"/>
      <c r="F132" s="22"/>
      <c r="G132" s="22"/>
    </row>
    <row r="133" spans="1:15" ht="14.1" customHeight="1" x14ac:dyDescent="0.2">
      <c r="A133" s="22"/>
      <c r="B133" s="19"/>
      <c r="C133" s="19"/>
      <c r="D133" s="22"/>
      <c r="E133" s="22"/>
      <c r="F133" s="22"/>
      <c r="G133" s="22"/>
    </row>
    <row r="134" spans="1:15" ht="29.1" customHeight="1" x14ac:dyDescent="0.2">
      <c r="A134" s="22"/>
      <c r="B134" s="288" t="s">
        <v>153</v>
      </c>
      <c r="C134" s="289"/>
      <c r="D134" s="2" t="s">
        <v>142</v>
      </c>
      <c r="E134" s="22"/>
      <c r="F134" s="22"/>
      <c r="G134" s="22"/>
    </row>
    <row r="135" spans="1:15" ht="29.1" customHeight="1" x14ac:dyDescent="0.2">
      <c r="A135" s="22"/>
      <c r="B135" s="288" t="s">
        <v>154</v>
      </c>
      <c r="C135" s="289"/>
      <c r="D135" s="2" t="s">
        <v>142</v>
      </c>
      <c r="E135" s="22"/>
      <c r="F135" s="22"/>
      <c r="G135" s="22"/>
    </row>
    <row r="136" spans="1:15" ht="17.100000000000001" customHeight="1" x14ac:dyDescent="0.2">
      <c r="A136" s="22"/>
      <c r="B136" s="288" t="s">
        <v>155</v>
      </c>
      <c r="C136" s="289"/>
      <c r="D136" s="26">
        <v>0.24223312051967985</v>
      </c>
      <c r="E136" s="22"/>
      <c r="F136" s="19"/>
      <c r="G136" s="25"/>
    </row>
    <row r="137" spans="1:15" ht="17.100000000000001" customHeight="1" x14ac:dyDescent="0.2">
      <c r="A137" s="22"/>
      <c r="B137" s="288" t="s">
        <v>156</v>
      </c>
      <c r="C137" s="289"/>
      <c r="D137" s="2" t="s">
        <v>142</v>
      </c>
      <c r="E137" s="22"/>
      <c r="F137" s="22"/>
      <c r="G137" s="22"/>
    </row>
    <row r="139" spans="1:15" x14ac:dyDescent="0.2">
      <c r="B139" s="72" t="s">
        <v>1027</v>
      </c>
      <c r="C139" s="72"/>
      <c r="D139" s="72"/>
      <c r="E139" s="108"/>
      <c r="F139" s="101"/>
      <c r="J139" s="27"/>
      <c r="K139" s="27"/>
      <c r="L139" s="27"/>
      <c r="M139" s="27"/>
      <c r="N139" s="27"/>
      <c r="O139" s="27"/>
    </row>
    <row r="140" spans="1:15" ht="38.25" x14ac:dyDescent="0.2">
      <c r="B140" s="109" t="s">
        <v>998</v>
      </c>
      <c r="C140" s="110" t="s">
        <v>999</v>
      </c>
      <c r="D140" s="110" t="s">
        <v>1000</v>
      </c>
      <c r="E140" s="110" t="s">
        <v>1001</v>
      </c>
      <c r="F140" s="110" t="s">
        <v>1002</v>
      </c>
      <c r="J140" s="27"/>
      <c r="K140" s="27"/>
      <c r="L140" s="27"/>
      <c r="M140" s="27"/>
      <c r="N140" s="27"/>
      <c r="O140" s="27"/>
    </row>
    <row r="141" spans="1:15" x14ac:dyDescent="0.2">
      <c r="B141" s="111" t="s">
        <v>1024</v>
      </c>
      <c r="C141" s="112" t="s">
        <v>1025</v>
      </c>
      <c r="D141" s="113">
        <v>0</v>
      </c>
      <c r="E141" s="114">
        <v>0</v>
      </c>
      <c r="F141" s="115">
        <v>241.97234</v>
      </c>
    </row>
    <row r="142" spans="1:15" x14ac:dyDescent="0.2">
      <c r="B142" s="111" t="s">
        <v>1026</v>
      </c>
      <c r="C142" s="112" t="s">
        <v>1025</v>
      </c>
      <c r="D142" s="113">
        <v>0</v>
      </c>
      <c r="E142" s="114">
        <v>0</v>
      </c>
      <c r="F142" s="115">
        <v>23.186299999999999</v>
      </c>
      <c r="J142" s="66"/>
      <c r="K142" s="66"/>
      <c r="L142" s="66"/>
      <c r="M142" s="66"/>
      <c r="N142" s="66"/>
      <c r="O142" s="66"/>
    </row>
    <row r="143" spans="1:15" x14ac:dyDescent="0.2">
      <c r="I143" s="27"/>
    </row>
    <row r="145" spans="9:9" x14ac:dyDescent="0.2">
      <c r="I145" s="66"/>
    </row>
  </sheetData>
  <mergeCells count="16">
    <mergeCell ref="A1:H1"/>
    <mergeCell ref="A2:H2"/>
    <mergeCell ref="A3:H3"/>
    <mergeCell ref="J2:N2"/>
    <mergeCell ref="B119:F119"/>
    <mergeCell ref="B117:F117"/>
    <mergeCell ref="B118:F118"/>
    <mergeCell ref="B121:C121"/>
    <mergeCell ref="B136:C136"/>
    <mergeCell ref="B137:C137"/>
    <mergeCell ref="B122:C122"/>
    <mergeCell ref="B123:C123"/>
    <mergeCell ref="B124:C124"/>
    <mergeCell ref="B132:C132"/>
    <mergeCell ref="B134:C134"/>
    <mergeCell ref="B135:C13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19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15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5" ht="17.100000000000001" customHeight="1" x14ac:dyDescent="0.2">
      <c r="A2" s="291" t="s">
        <v>1131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5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5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5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5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5" x14ac:dyDescent="0.2">
      <c r="A7" s="3">
        <v>1</v>
      </c>
      <c r="B7" s="4" t="s">
        <v>349</v>
      </c>
      <c r="C7" s="4" t="s">
        <v>350</v>
      </c>
      <c r="D7" s="4" t="s">
        <v>18</v>
      </c>
      <c r="E7" s="5">
        <v>208423</v>
      </c>
      <c r="F7" s="6">
        <v>2885.8248579999999</v>
      </c>
      <c r="G7" s="7">
        <v>8.0100922000000005E-2</v>
      </c>
      <c r="H7" s="6"/>
    </row>
    <row r="8" spans="1:15" x14ac:dyDescent="0.2">
      <c r="A8" s="3">
        <v>2</v>
      </c>
      <c r="B8" s="4" t="s">
        <v>592</v>
      </c>
      <c r="C8" s="4" t="s">
        <v>593</v>
      </c>
      <c r="D8" s="4" t="s">
        <v>71</v>
      </c>
      <c r="E8" s="5">
        <v>48150</v>
      </c>
      <c r="F8" s="6">
        <v>1558.7118</v>
      </c>
      <c r="G8" s="7">
        <v>4.3264667E-2</v>
      </c>
      <c r="H8" s="6"/>
    </row>
    <row r="9" spans="1:15" ht="51" x14ac:dyDescent="0.2">
      <c r="A9" s="3">
        <v>3</v>
      </c>
      <c r="B9" s="4" t="s">
        <v>78</v>
      </c>
      <c r="C9" s="4" t="s">
        <v>79</v>
      </c>
      <c r="D9" s="4" t="s">
        <v>939</v>
      </c>
      <c r="E9" s="5">
        <v>1115089</v>
      </c>
      <c r="F9" s="6">
        <v>1417.2781190000001</v>
      </c>
      <c r="G9" s="7">
        <v>3.9338936999999997E-2</v>
      </c>
      <c r="H9" s="6"/>
    </row>
    <row r="10" spans="1:15" x14ac:dyDescent="0.2">
      <c r="A10" s="3">
        <v>4</v>
      </c>
      <c r="B10" s="4" t="s">
        <v>16</v>
      </c>
      <c r="C10" s="4" t="s">
        <v>17</v>
      </c>
      <c r="D10" s="4" t="s">
        <v>18</v>
      </c>
      <c r="E10" s="5">
        <v>175558</v>
      </c>
      <c r="F10" s="6">
        <v>1304.9226140000001</v>
      </c>
      <c r="G10" s="7">
        <v>3.6220321E-2</v>
      </c>
      <c r="H10" s="6"/>
    </row>
    <row r="11" spans="1:15" x14ac:dyDescent="0.2">
      <c r="A11" s="3">
        <v>5</v>
      </c>
      <c r="B11" s="4" t="s">
        <v>398</v>
      </c>
      <c r="C11" s="4" t="s">
        <v>399</v>
      </c>
      <c r="D11" s="4" t="s">
        <v>947</v>
      </c>
      <c r="E11" s="5">
        <v>96600</v>
      </c>
      <c r="F11" s="6">
        <v>1216.194</v>
      </c>
      <c r="G11" s="7">
        <v>3.3757509999999998E-2</v>
      </c>
      <c r="H11" s="6"/>
    </row>
    <row r="12" spans="1:15" x14ac:dyDescent="0.2">
      <c r="A12" s="3">
        <v>6</v>
      </c>
      <c r="B12" s="4" t="s">
        <v>390</v>
      </c>
      <c r="C12" s="4" t="s">
        <v>391</v>
      </c>
      <c r="D12" s="4" t="s">
        <v>960</v>
      </c>
      <c r="E12" s="5">
        <v>48458</v>
      </c>
      <c r="F12" s="6">
        <v>1082.9636129999999</v>
      </c>
      <c r="G12" s="7">
        <v>3.0059476000000002E-2</v>
      </c>
      <c r="H12" s="6"/>
    </row>
    <row r="13" spans="1:15" x14ac:dyDescent="0.2">
      <c r="A13" s="3">
        <v>7</v>
      </c>
      <c r="B13" s="4" t="s">
        <v>294</v>
      </c>
      <c r="C13" s="4" t="s">
        <v>295</v>
      </c>
      <c r="D13" s="4" t="s">
        <v>18</v>
      </c>
      <c r="E13" s="5">
        <v>121365</v>
      </c>
      <c r="F13" s="6">
        <v>884.26539000000002</v>
      </c>
      <c r="G13" s="7">
        <v>2.4544272999999998E-2</v>
      </c>
      <c r="H13" s="6"/>
    </row>
    <row r="14" spans="1:15" ht="15" x14ac:dyDescent="0.2">
      <c r="A14" s="3">
        <v>8</v>
      </c>
      <c r="B14" s="4" t="s">
        <v>11</v>
      </c>
      <c r="C14" s="4" t="s">
        <v>12</v>
      </c>
      <c r="D14" s="4" t="s">
        <v>13</v>
      </c>
      <c r="E14" s="5">
        <v>29000</v>
      </c>
      <c r="F14" s="6">
        <v>809.17250000000001</v>
      </c>
      <c r="G14" s="7">
        <v>2.2459943E-2</v>
      </c>
      <c r="H14" s="6"/>
      <c r="J14" s="192" t="s">
        <v>1157</v>
      </c>
      <c r="K14" s="198"/>
      <c r="L14" s="198"/>
      <c r="M14" s="198"/>
      <c r="N14" s="198"/>
      <c r="O14" s="198"/>
    </row>
    <row r="15" spans="1:15" x14ac:dyDescent="0.2">
      <c r="A15" s="3">
        <v>9</v>
      </c>
      <c r="B15" s="4" t="s">
        <v>24</v>
      </c>
      <c r="C15" s="4" t="s">
        <v>25</v>
      </c>
      <c r="D15" s="4" t="s">
        <v>26</v>
      </c>
      <c r="E15" s="5">
        <v>31514</v>
      </c>
      <c r="F15" s="6">
        <v>783.48531100000002</v>
      </c>
      <c r="G15" s="7">
        <v>2.1746952E-2</v>
      </c>
      <c r="H15" s="6"/>
    </row>
    <row r="16" spans="1:15" x14ac:dyDescent="0.2">
      <c r="A16" s="3">
        <v>10</v>
      </c>
      <c r="B16" s="4" t="s">
        <v>48</v>
      </c>
      <c r="C16" s="4" t="s">
        <v>49</v>
      </c>
      <c r="D16" s="4" t="s">
        <v>18</v>
      </c>
      <c r="E16" s="5">
        <v>149312</v>
      </c>
      <c r="F16" s="6">
        <v>741.03545599999995</v>
      </c>
      <c r="G16" s="7">
        <v>2.0568685E-2</v>
      </c>
      <c r="H16" s="6"/>
    </row>
    <row r="17" spans="1:15" x14ac:dyDescent="0.2">
      <c r="A17" s="3">
        <v>11</v>
      </c>
      <c r="B17" s="4" t="s">
        <v>380</v>
      </c>
      <c r="C17" s="4" t="s">
        <v>381</v>
      </c>
      <c r="D17" s="4" t="s">
        <v>947</v>
      </c>
      <c r="E17" s="5">
        <v>38000</v>
      </c>
      <c r="F17" s="6">
        <v>595.66899999999998</v>
      </c>
      <c r="G17" s="7">
        <v>1.6533795E-2</v>
      </c>
      <c r="H17" s="6"/>
    </row>
    <row r="18" spans="1:15" ht="25.5" x14ac:dyDescent="0.2">
      <c r="A18" s="3">
        <v>12</v>
      </c>
      <c r="B18" s="4" t="s">
        <v>382</v>
      </c>
      <c r="C18" s="4" t="s">
        <v>383</v>
      </c>
      <c r="D18" s="4" t="s">
        <v>82</v>
      </c>
      <c r="E18" s="5">
        <v>23000</v>
      </c>
      <c r="F18" s="6">
        <v>512.83100000000002</v>
      </c>
      <c r="G18" s="7">
        <v>1.4234487000000001E-2</v>
      </c>
      <c r="H18" s="6"/>
    </row>
    <row r="19" spans="1:15" x14ac:dyDescent="0.2">
      <c r="A19" s="3">
        <v>13</v>
      </c>
      <c r="B19" s="4" t="s">
        <v>594</v>
      </c>
      <c r="C19" s="4" t="s">
        <v>595</v>
      </c>
      <c r="D19" s="4" t="s">
        <v>947</v>
      </c>
      <c r="E19" s="5">
        <v>9750</v>
      </c>
      <c r="F19" s="6">
        <v>471.80737499999998</v>
      </c>
      <c r="G19" s="7">
        <v>1.3095806999999999E-2</v>
      </c>
      <c r="H19" s="6"/>
    </row>
    <row r="20" spans="1:15" x14ac:dyDescent="0.2">
      <c r="A20" s="3">
        <v>14</v>
      </c>
      <c r="B20" s="4" t="s">
        <v>444</v>
      </c>
      <c r="C20" s="4" t="s">
        <v>445</v>
      </c>
      <c r="D20" s="4" t="s">
        <v>71</v>
      </c>
      <c r="E20" s="5">
        <v>18000</v>
      </c>
      <c r="F20" s="6">
        <v>442.476</v>
      </c>
      <c r="G20" s="7">
        <v>1.2281665000000001E-2</v>
      </c>
      <c r="H20" s="6"/>
    </row>
    <row r="21" spans="1:15" x14ac:dyDescent="0.2">
      <c r="A21" s="3">
        <v>15</v>
      </c>
      <c r="B21" s="4" t="s">
        <v>518</v>
      </c>
      <c r="C21" s="4" t="s">
        <v>993</v>
      </c>
      <c r="D21" s="4" t="s">
        <v>959</v>
      </c>
      <c r="E21" s="5">
        <v>197230</v>
      </c>
      <c r="F21" s="6">
        <v>428.48217499999998</v>
      </c>
      <c r="G21" s="7">
        <v>1.1893243E-2</v>
      </c>
      <c r="H21" s="6"/>
    </row>
    <row r="22" spans="1:15" x14ac:dyDescent="0.2">
      <c r="A22" s="3">
        <v>16</v>
      </c>
      <c r="B22" s="4" t="s">
        <v>416</v>
      </c>
      <c r="C22" s="4" t="s">
        <v>417</v>
      </c>
      <c r="D22" s="4" t="s">
        <v>18</v>
      </c>
      <c r="E22" s="5">
        <v>182215</v>
      </c>
      <c r="F22" s="6">
        <v>418.45674750000001</v>
      </c>
      <c r="G22" s="7">
        <v>1.1614971E-2</v>
      </c>
      <c r="H22" s="6"/>
    </row>
    <row r="23" spans="1:15" x14ac:dyDescent="0.2">
      <c r="A23" s="3">
        <v>17</v>
      </c>
      <c r="B23" s="4" t="s">
        <v>434</v>
      </c>
      <c r="C23" s="4" t="s">
        <v>435</v>
      </c>
      <c r="D23" s="4" t="s">
        <v>959</v>
      </c>
      <c r="E23" s="5">
        <v>5000</v>
      </c>
      <c r="F23" s="6">
        <v>385.89</v>
      </c>
      <c r="G23" s="7">
        <v>1.0711026E-2</v>
      </c>
      <c r="H23" s="6"/>
    </row>
    <row r="24" spans="1:15" x14ac:dyDescent="0.2">
      <c r="A24" s="3">
        <v>18</v>
      </c>
      <c r="B24" s="4" t="s">
        <v>355</v>
      </c>
      <c r="C24" s="4" t="s">
        <v>356</v>
      </c>
      <c r="D24" s="4" t="s">
        <v>82</v>
      </c>
      <c r="E24" s="5">
        <v>2500</v>
      </c>
      <c r="F24" s="6">
        <v>372.77875</v>
      </c>
      <c r="G24" s="7">
        <v>1.0347100999999999E-2</v>
      </c>
      <c r="H24" s="6"/>
    </row>
    <row r="25" spans="1:15" x14ac:dyDescent="0.2">
      <c r="A25" s="3">
        <v>19</v>
      </c>
      <c r="B25" s="4" t="s">
        <v>14</v>
      </c>
      <c r="C25" s="4" t="s">
        <v>15</v>
      </c>
      <c r="D25" s="4" t="s">
        <v>64</v>
      </c>
      <c r="E25" s="5">
        <v>22000</v>
      </c>
      <c r="F25" s="6">
        <v>372.75700000000001</v>
      </c>
      <c r="G25" s="7">
        <v>1.0346497E-2</v>
      </c>
      <c r="H25" s="6"/>
    </row>
    <row r="26" spans="1:15" ht="51" x14ac:dyDescent="0.2">
      <c r="A26" s="3">
        <v>20</v>
      </c>
      <c r="B26" s="4" t="s">
        <v>83</v>
      </c>
      <c r="C26" s="4" t="s">
        <v>84</v>
      </c>
      <c r="D26" s="4" t="s">
        <v>939</v>
      </c>
      <c r="E26" s="5">
        <v>22157</v>
      </c>
      <c r="F26" s="6">
        <v>367.7729645</v>
      </c>
      <c r="G26" s="7">
        <v>1.0208157000000001E-2</v>
      </c>
      <c r="H26" s="6"/>
    </row>
    <row r="27" spans="1:15" x14ac:dyDescent="0.2">
      <c r="A27" s="3">
        <v>21</v>
      </c>
      <c r="B27" s="4" t="s">
        <v>475</v>
      </c>
      <c r="C27" s="4" t="s">
        <v>476</v>
      </c>
      <c r="D27" s="4" t="s">
        <v>956</v>
      </c>
      <c r="E27" s="5">
        <v>40000</v>
      </c>
      <c r="F27" s="6">
        <v>345.14</v>
      </c>
      <c r="G27" s="7">
        <v>9.5799409999999998E-3</v>
      </c>
      <c r="H27" s="6"/>
    </row>
    <row r="28" spans="1:15" x14ac:dyDescent="0.2">
      <c r="A28" s="3">
        <v>22</v>
      </c>
      <c r="B28" s="4" t="s">
        <v>402</v>
      </c>
      <c r="C28" s="4" t="s">
        <v>403</v>
      </c>
      <c r="D28" s="4" t="s">
        <v>91</v>
      </c>
      <c r="E28" s="5">
        <v>26775</v>
      </c>
      <c r="F28" s="6">
        <v>340.32363750000002</v>
      </c>
      <c r="G28" s="7">
        <v>9.4462550000000006E-3</v>
      </c>
      <c r="H28" s="6"/>
    </row>
    <row r="29" spans="1:15" x14ac:dyDescent="0.2">
      <c r="A29" s="3">
        <v>23</v>
      </c>
      <c r="B29" s="4" t="s">
        <v>303</v>
      </c>
      <c r="C29" s="4" t="s">
        <v>304</v>
      </c>
      <c r="D29" s="4" t="s">
        <v>91</v>
      </c>
      <c r="E29" s="5">
        <v>60000</v>
      </c>
      <c r="F29" s="6">
        <v>324.02999999999997</v>
      </c>
      <c r="G29" s="7">
        <v>8.9939979999999996E-3</v>
      </c>
      <c r="H29" s="6"/>
    </row>
    <row r="30" spans="1:15" x14ac:dyDescent="0.2">
      <c r="A30" s="3">
        <v>24</v>
      </c>
      <c r="B30" s="4" t="s">
        <v>516</v>
      </c>
      <c r="C30" s="4" t="s">
        <v>517</v>
      </c>
      <c r="D30" s="4" t="s">
        <v>947</v>
      </c>
      <c r="E30" s="5">
        <v>20655</v>
      </c>
      <c r="F30" s="6">
        <v>307.36705499999999</v>
      </c>
      <c r="G30" s="7">
        <v>8.5314889999999997E-3</v>
      </c>
      <c r="H30" s="6"/>
    </row>
    <row r="31" spans="1:15" x14ac:dyDescent="0.2">
      <c r="A31" s="3">
        <v>25</v>
      </c>
      <c r="B31" s="4" t="s">
        <v>337</v>
      </c>
      <c r="C31" s="4" t="s">
        <v>338</v>
      </c>
      <c r="D31" s="4" t="s">
        <v>944</v>
      </c>
      <c r="E31" s="5">
        <v>55785</v>
      </c>
      <c r="F31" s="6">
        <v>304.58609999999999</v>
      </c>
      <c r="G31" s="7">
        <v>8.4542990000000002E-3</v>
      </c>
      <c r="H31" s="6"/>
      <c r="J31" s="198"/>
      <c r="K31" s="198"/>
      <c r="L31" s="198"/>
      <c r="M31" s="198"/>
      <c r="N31" s="198"/>
      <c r="O31" s="198"/>
    </row>
    <row r="32" spans="1:15" x14ac:dyDescent="0.2">
      <c r="A32" s="3">
        <v>26</v>
      </c>
      <c r="B32" s="4" t="s">
        <v>363</v>
      </c>
      <c r="C32" s="4" t="s">
        <v>364</v>
      </c>
      <c r="D32" s="4" t="s">
        <v>923</v>
      </c>
      <c r="E32" s="5">
        <v>30333</v>
      </c>
      <c r="F32" s="6">
        <v>291.27263249999999</v>
      </c>
      <c r="G32" s="7">
        <v>8.0847620000000005E-3</v>
      </c>
      <c r="H32" s="6"/>
    </row>
    <row r="33" spans="1:8" x14ac:dyDescent="0.2">
      <c r="A33" s="3">
        <v>27</v>
      </c>
      <c r="B33" s="4" t="s">
        <v>412</v>
      </c>
      <c r="C33" s="4" t="s">
        <v>413</v>
      </c>
      <c r="D33" s="4" t="s">
        <v>940</v>
      </c>
      <c r="E33" s="5">
        <v>44905</v>
      </c>
      <c r="F33" s="6">
        <v>285.39372750000001</v>
      </c>
      <c r="G33" s="7">
        <v>7.9215829999999994E-3</v>
      </c>
      <c r="H33" s="6"/>
    </row>
    <row r="34" spans="1:8" ht="25.5" x14ac:dyDescent="0.2">
      <c r="A34" s="3">
        <v>28</v>
      </c>
      <c r="B34" s="4" t="s">
        <v>313</v>
      </c>
      <c r="C34" s="4" t="s">
        <v>314</v>
      </c>
      <c r="D34" s="4" t="s">
        <v>71</v>
      </c>
      <c r="E34" s="5">
        <v>72958</v>
      </c>
      <c r="F34" s="6">
        <v>280.74238400000002</v>
      </c>
      <c r="G34" s="7">
        <v>7.7924769999999999E-3</v>
      </c>
      <c r="H34" s="6"/>
    </row>
    <row r="35" spans="1:8" ht="25.5" x14ac:dyDescent="0.2">
      <c r="A35" s="3">
        <v>29</v>
      </c>
      <c r="B35" s="4" t="s">
        <v>357</v>
      </c>
      <c r="C35" s="4" t="s">
        <v>358</v>
      </c>
      <c r="D35" s="4" t="s">
        <v>950</v>
      </c>
      <c r="E35" s="5">
        <v>32275</v>
      </c>
      <c r="F35" s="6">
        <v>265.86531250000002</v>
      </c>
      <c r="G35" s="7">
        <v>7.3795390000000001E-3</v>
      </c>
      <c r="H35" s="6"/>
    </row>
    <row r="36" spans="1:8" ht="25.5" x14ac:dyDescent="0.2">
      <c r="A36" s="3">
        <v>30</v>
      </c>
      <c r="B36" s="4" t="s">
        <v>80</v>
      </c>
      <c r="C36" s="4" t="s">
        <v>81</v>
      </c>
      <c r="D36" s="4" t="s">
        <v>82</v>
      </c>
      <c r="E36" s="5">
        <v>33940</v>
      </c>
      <c r="F36" s="6">
        <v>250.73175000000001</v>
      </c>
      <c r="G36" s="7">
        <v>6.959481E-3</v>
      </c>
      <c r="H36" s="6"/>
    </row>
    <row r="37" spans="1:8" x14ac:dyDescent="0.2">
      <c r="A37" s="3">
        <v>31</v>
      </c>
      <c r="B37" s="4" t="s">
        <v>19</v>
      </c>
      <c r="C37" s="4" t="s">
        <v>20</v>
      </c>
      <c r="D37" s="4" t="s">
        <v>21</v>
      </c>
      <c r="E37" s="5">
        <v>33250</v>
      </c>
      <c r="F37" s="6">
        <v>245.7175</v>
      </c>
      <c r="G37" s="7">
        <v>6.8203020000000003E-3</v>
      </c>
      <c r="H37" s="6"/>
    </row>
    <row r="38" spans="1:8" x14ac:dyDescent="0.2">
      <c r="A38" s="3">
        <v>32</v>
      </c>
      <c r="B38" s="4" t="s">
        <v>307</v>
      </c>
      <c r="C38" s="4" t="s">
        <v>308</v>
      </c>
      <c r="D38" s="4" t="s">
        <v>933</v>
      </c>
      <c r="E38" s="5">
        <v>30000</v>
      </c>
      <c r="F38" s="6">
        <v>227.28</v>
      </c>
      <c r="G38" s="7">
        <v>6.3085390000000002E-3</v>
      </c>
      <c r="H38" s="6"/>
    </row>
    <row r="39" spans="1:8" ht="25.5" x14ac:dyDescent="0.2">
      <c r="A39" s="3">
        <v>33</v>
      </c>
      <c r="B39" s="4" t="s">
        <v>388</v>
      </c>
      <c r="C39" s="4" t="s">
        <v>389</v>
      </c>
      <c r="D39" s="4" t="s">
        <v>945</v>
      </c>
      <c r="E39" s="5">
        <v>23742</v>
      </c>
      <c r="F39" s="6">
        <v>220.48008300000001</v>
      </c>
      <c r="G39" s="7">
        <v>6.1197949999999999E-3</v>
      </c>
      <c r="H39" s="6"/>
    </row>
    <row r="40" spans="1:8" x14ac:dyDescent="0.2">
      <c r="A40" s="3">
        <v>34</v>
      </c>
      <c r="B40" s="4" t="s">
        <v>525</v>
      </c>
      <c r="C40" s="4" t="s">
        <v>526</v>
      </c>
      <c r="D40" s="4" t="s">
        <v>951</v>
      </c>
      <c r="E40" s="5">
        <v>12505</v>
      </c>
      <c r="F40" s="6">
        <v>213.70419749999999</v>
      </c>
      <c r="G40" s="7">
        <v>5.9317190000000002E-3</v>
      </c>
      <c r="H40" s="6"/>
    </row>
    <row r="41" spans="1:8" x14ac:dyDescent="0.2">
      <c r="A41" s="3">
        <v>35</v>
      </c>
      <c r="B41" s="4" t="s">
        <v>384</v>
      </c>
      <c r="C41" s="4" t="s">
        <v>385</v>
      </c>
      <c r="D41" s="4" t="s">
        <v>947</v>
      </c>
      <c r="E41" s="5">
        <v>6000</v>
      </c>
      <c r="F41" s="6">
        <v>212.80199999999999</v>
      </c>
      <c r="G41" s="7">
        <v>5.9066769999999999E-3</v>
      </c>
      <c r="H41" s="6"/>
    </row>
    <row r="42" spans="1:8" x14ac:dyDescent="0.2">
      <c r="A42" s="3">
        <v>36</v>
      </c>
      <c r="B42" s="4" t="s">
        <v>407</v>
      </c>
      <c r="C42" s="4" t="s">
        <v>408</v>
      </c>
      <c r="D42" s="4" t="s">
        <v>18</v>
      </c>
      <c r="E42" s="5">
        <v>11113</v>
      </c>
      <c r="F42" s="6">
        <v>199.00604749999999</v>
      </c>
      <c r="G42" s="7">
        <v>5.5237469999999999E-3</v>
      </c>
      <c r="H42" s="6"/>
    </row>
    <row r="43" spans="1:8" ht="25.5" x14ac:dyDescent="0.2">
      <c r="A43" s="3">
        <v>37</v>
      </c>
      <c r="B43" s="4" t="s">
        <v>409</v>
      </c>
      <c r="C43" s="4" t="s">
        <v>926</v>
      </c>
      <c r="D43" s="4" t="s">
        <v>21</v>
      </c>
      <c r="E43" s="5">
        <v>56299</v>
      </c>
      <c r="F43" s="6">
        <v>193.07742049999999</v>
      </c>
      <c r="G43" s="7">
        <v>5.359188E-3</v>
      </c>
      <c r="H43" s="6"/>
    </row>
    <row r="44" spans="1:8" x14ac:dyDescent="0.2">
      <c r="A44" s="3">
        <v>38</v>
      </c>
      <c r="B44" s="4" t="s">
        <v>527</v>
      </c>
      <c r="C44" s="4" t="s">
        <v>528</v>
      </c>
      <c r="D44" s="4" t="s">
        <v>934</v>
      </c>
      <c r="E44" s="5">
        <v>4722</v>
      </c>
      <c r="F44" s="6">
        <v>192.88897800000001</v>
      </c>
      <c r="G44" s="7">
        <v>5.3539579999999998E-3</v>
      </c>
      <c r="H44" s="6"/>
    </row>
    <row r="45" spans="1:8" x14ac:dyDescent="0.2">
      <c r="A45" s="3">
        <v>39</v>
      </c>
      <c r="B45" s="4" t="s">
        <v>596</v>
      </c>
      <c r="C45" s="4" t="s">
        <v>597</v>
      </c>
      <c r="D45" s="4" t="s">
        <v>18</v>
      </c>
      <c r="E45" s="5">
        <v>114046</v>
      </c>
      <c r="F45" s="6">
        <v>186.46521000000001</v>
      </c>
      <c r="G45" s="7">
        <v>5.1756550000000004E-3</v>
      </c>
      <c r="H45" s="6"/>
    </row>
    <row r="46" spans="1:8" x14ac:dyDescent="0.2">
      <c r="A46" s="3">
        <v>40</v>
      </c>
      <c r="B46" s="4" t="s">
        <v>92</v>
      </c>
      <c r="C46" s="4" t="s">
        <v>93</v>
      </c>
      <c r="D46" s="4" t="s">
        <v>923</v>
      </c>
      <c r="E46" s="5">
        <v>40700</v>
      </c>
      <c r="F46" s="6">
        <v>185.51060000000001</v>
      </c>
      <c r="G46" s="7">
        <v>5.1491590000000004E-3</v>
      </c>
      <c r="H46" s="6"/>
    </row>
    <row r="47" spans="1:8" x14ac:dyDescent="0.2">
      <c r="A47" s="3">
        <v>41</v>
      </c>
      <c r="B47" s="4" t="s">
        <v>531</v>
      </c>
      <c r="C47" s="4" t="s">
        <v>532</v>
      </c>
      <c r="D47" s="4" t="s">
        <v>959</v>
      </c>
      <c r="E47" s="5">
        <v>14930</v>
      </c>
      <c r="F47" s="6">
        <v>179.14507</v>
      </c>
      <c r="G47" s="7">
        <v>4.9724729999999998E-3</v>
      </c>
      <c r="H47" s="6"/>
    </row>
    <row r="48" spans="1:8" ht="25.5" x14ac:dyDescent="0.2">
      <c r="A48" s="3">
        <v>42</v>
      </c>
      <c r="B48" s="4" t="s">
        <v>325</v>
      </c>
      <c r="C48" s="4" t="s">
        <v>326</v>
      </c>
      <c r="D48" s="4" t="s">
        <v>945</v>
      </c>
      <c r="E48" s="5">
        <v>5027</v>
      </c>
      <c r="F48" s="6">
        <v>160.95699949999999</v>
      </c>
      <c r="G48" s="7">
        <v>4.467632E-3</v>
      </c>
      <c r="H48" s="6"/>
    </row>
    <row r="49" spans="1:8" x14ac:dyDescent="0.2">
      <c r="A49" s="3">
        <v>43</v>
      </c>
      <c r="B49" s="4" t="s">
        <v>561</v>
      </c>
      <c r="C49" s="4" t="s">
        <v>562</v>
      </c>
      <c r="D49" s="4" t="s">
        <v>933</v>
      </c>
      <c r="E49" s="5">
        <v>26400</v>
      </c>
      <c r="F49" s="6">
        <v>153.75360000000001</v>
      </c>
      <c r="G49" s="7">
        <v>4.2676900000000002E-3</v>
      </c>
      <c r="H49" s="6"/>
    </row>
    <row r="50" spans="1:8" x14ac:dyDescent="0.2">
      <c r="A50" s="3">
        <v>44</v>
      </c>
      <c r="B50" s="4" t="s">
        <v>353</v>
      </c>
      <c r="C50" s="4" t="s">
        <v>354</v>
      </c>
      <c r="D50" s="4" t="s">
        <v>82</v>
      </c>
      <c r="E50" s="5">
        <v>40000</v>
      </c>
      <c r="F50" s="6">
        <v>151.47999999999999</v>
      </c>
      <c r="G50" s="7">
        <v>4.2045820000000001E-3</v>
      </c>
      <c r="H50" s="6"/>
    </row>
    <row r="51" spans="1:8" x14ac:dyDescent="0.2">
      <c r="A51" s="3">
        <v>45</v>
      </c>
      <c r="B51" s="4" t="s">
        <v>286</v>
      </c>
      <c r="C51" s="4" t="s">
        <v>287</v>
      </c>
      <c r="D51" s="4" t="s">
        <v>952</v>
      </c>
      <c r="E51" s="5">
        <v>325</v>
      </c>
      <c r="F51" s="6">
        <v>148.13093749999999</v>
      </c>
      <c r="G51" s="7">
        <v>4.111623E-3</v>
      </c>
      <c r="H51" s="6"/>
    </row>
    <row r="52" spans="1:8" ht="25.5" x14ac:dyDescent="0.2">
      <c r="A52" s="3">
        <v>46</v>
      </c>
      <c r="B52" s="4" t="s">
        <v>598</v>
      </c>
      <c r="C52" s="4" t="s">
        <v>599</v>
      </c>
      <c r="D52" s="4" t="s">
        <v>945</v>
      </c>
      <c r="E52" s="5">
        <v>17850</v>
      </c>
      <c r="F52" s="6">
        <v>132.92002500000001</v>
      </c>
      <c r="G52" s="7">
        <v>3.6894190000000002E-3</v>
      </c>
      <c r="H52" s="6"/>
    </row>
    <row r="53" spans="1:8" x14ac:dyDescent="0.2">
      <c r="A53" s="3">
        <v>47</v>
      </c>
      <c r="B53" s="4" t="s">
        <v>361</v>
      </c>
      <c r="C53" s="4" t="s">
        <v>362</v>
      </c>
      <c r="D53" s="4" t="s">
        <v>71</v>
      </c>
      <c r="E53" s="5">
        <v>21793</v>
      </c>
      <c r="F53" s="6">
        <v>124.241893</v>
      </c>
      <c r="G53" s="7">
        <v>3.4485430000000001E-3</v>
      </c>
      <c r="H53" s="6"/>
    </row>
    <row r="54" spans="1:8" x14ac:dyDescent="0.2">
      <c r="A54" s="3">
        <v>48</v>
      </c>
      <c r="B54" s="4" t="s">
        <v>422</v>
      </c>
      <c r="C54" s="4" t="s">
        <v>423</v>
      </c>
      <c r="D54" s="4" t="s">
        <v>955</v>
      </c>
      <c r="E54" s="5">
        <v>5785</v>
      </c>
      <c r="F54" s="6">
        <v>121.28541749999999</v>
      </c>
      <c r="G54" s="7">
        <v>3.3664810000000002E-3</v>
      </c>
      <c r="H54" s="6"/>
    </row>
    <row r="55" spans="1:8" x14ac:dyDescent="0.2">
      <c r="A55" s="3">
        <v>49</v>
      </c>
      <c r="B55" s="4" t="s">
        <v>533</v>
      </c>
      <c r="C55" s="4" t="s">
        <v>534</v>
      </c>
      <c r="D55" s="4" t="s">
        <v>940</v>
      </c>
      <c r="E55" s="5">
        <v>34800</v>
      </c>
      <c r="F55" s="6">
        <v>116.5626</v>
      </c>
      <c r="G55" s="7">
        <v>3.2353909999999998E-3</v>
      </c>
      <c r="H55" s="6"/>
    </row>
    <row r="56" spans="1:8" ht="25.5" x14ac:dyDescent="0.2">
      <c r="A56" s="3">
        <v>50</v>
      </c>
      <c r="B56" s="4" t="s">
        <v>22</v>
      </c>
      <c r="C56" s="4" t="s">
        <v>23</v>
      </c>
      <c r="D56" s="4" t="s">
        <v>935</v>
      </c>
      <c r="E56" s="5">
        <v>1700</v>
      </c>
      <c r="F56" s="6">
        <v>112.71425000000001</v>
      </c>
      <c r="G56" s="7">
        <v>3.1285739999999999E-3</v>
      </c>
      <c r="H56" s="6"/>
    </row>
    <row r="57" spans="1:8" x14ac:dyDescent="0.2">
      <c r="A57" s="3">
        <v>51</v>
      </c>
      <c r="B57" s="4" t="s">
        <v>557</v>
      </c>
      <c r="C57" s="4" t="s">
        <v>558</v>
      </c>
      <c r="D57" s="4" t="s">
        <v>302</v>
      </c>
      <c r="E57" s="5">
        <v>9417</v>
      </c>
      <c r="F57" s="6">
        <v>102.7912635</v>
      </c>
      <c r="G57" s="7">
        <v>2.8531440000000002E-3</v>
      </c>
      <c r="H57" s="6"/>
    </row>
    <row r="58" spans="1:8" x14ac:dyDescent="0.2">
      <c r="A58" s="3">
        <v>52</v>
      </c>
      <c r="B58" s="4" t="s">
        <v>359</v>
      </c>
      <c r="C58" s="4" t="s">
        <v>360</v>
      </c>
      <c r="D58" s="4" t="s">
        <v>940</v>
      </c>
      <c r="E58" s="5">
        <v>10973</v>
      </c>
      <c r="F58" s="6">
        <v>100.370031</v>
      </c>
      <c r="G58" s="7">
        <v>2.7859389999999999E-3</v>
      </c>
      <c r="H58" s="6"/>
    </row>
    <row r="59" spans="1:8" ht="25.5" x14ac:dyDescent="0.2">
      <c r="A59" s="3">
        <v>53</v>
      </c>
      <c r="B59" s="4" t="s">
        <v>170</v>
      </c>
      <c r="C59" s="4" t="s">
        <v>171</v>
      </c>
      <c r="D59" s="4" t="s">
        <v>945</v>
      </c>
      <c r="E59" s="5">
        <v>24500</v>
      </c>
      <c r="F59" s="6">
        <v>93.197999999999993</v>
      </c>
      <c r="G59" s="7">
        <v>2.5868670000000001E-3</v>
      </c>
      <c r="H59" s="6"/>
    </row>
    <row r="60" spans="1:8" x14ac:dyDescent="0.2">
      <c r="A60" s="3">
        <v>54</v>
      </c>
      <c r="B60" s="4" t="s">
        <v>396</v>
      </c>
      <c r="C60" s="4" t="s">
        <v>397</v>
      </c>
      <c r="D60" s="4" t="s">
        <v>959</v>
      </c>
      <c r="E60" s="5">
        <v>8400</v>
      </c>
      <c r="F60" s="6">
        <v>77.456400000000002</v>
      </c>
      <c r="G60" s="7">
        <v>2.1499330000000001E-3</v>
      </c>
      <c r="H60" s="6"/>
    </row>
    <row r="61" spans="1:8" ht="25.5" x14ac:dyDescent="0.2">
      <c r="A61" s="3">
        <v>55</v>
      </c>
      <c r="B61" s="4" t="s">
        <v>414</v>
      </c>
      <c r="C61" s="4" t="s">
        <v>415</v>
      </c>
      <c r="D61" s="4" t="s">
        <v>945</v>
      </c>
      <c r="E61" s="5">
        <v>1600</v>
      </c>
      <c r="F61" s="6">
        <v>72.086399999999998</v>
      </c>
      <c r="G61" s="7">
        <v>2.0008790000000001E-3</v>
      </c>
      <c r="H61" s="6"/>
    </row>
    <row r="62" spans="1:8" ht="25.5" x14ac:dyDescent="0.2">
      <c r="A62" s="3">
        <v>56</v>
      </c>
      <c r="B62" s="4" t="s">
        <v>319</v>
      </c>
      <c r="C62" s="4" t="s">
        <v>320</v>
      </c>
      <c r="D62" s="4" t="s">
        <v>945</v>
      </c>
      <c r="E62" s="5">
        <v>7060</v>
      </c>
      <c r="F62" s="6">
        <v>71.429550000000006</v>
      </c>
      <c r="G62" s="7">
        <v>1.9826470000000001E-3</v>
      </c>
      <c r="H62" s="6"/>
    </row>
    <row r="63" spans="1:8" x14ac:dyDescent="0.2">
      <c r="A63" s="3">
        <v>57</v>
      </c>
      <c r="B63" s="4" t="s">
        <v>440</v>
      </c>
      <c r="C63" s="4" t="s">
        <v>441</v>
      </c>
      <c r="D63" s="4" t="s">
        <v>940</v>
      </c>
      <c r="E63" s="5">
        <v>51230</v>
      </c>
      <c r="F63" s="6">
        <v>70.49248</v>
      </c>
      <c r="G63" s="7">
        <v>1.9566369999999998E-3</v>
      </c>
      <c r="H63" s="6"/>
    </row>
    <row r="64" spans="1:8" x14ac:dyDescent="0.2">
      <c r="A64" s="3">
        <v>58</v>
      </c>
      <c r="B64" s="4" t="s">
        <v>600</v>
      </c>
      <c r="C64" s="4" t="s">
        <v>601</v>
      </c>
      <c r="D64" s="4" t="s">
        <v>947</v>
      </c>
      <c r="E64" s="5">
        <v>891</v>
      </c>
      <c r="F64" s="6">
        <v>37.423782000000003</v>
      </c>
      <c r="G64" s="7">
        <v>1.0387599999999999E-3</v>
      </c>
      <c r="H64" s="6"/>
    </row>
    <row r="65" spans="1:8" ht="14.1" customHeight="1" x14ac:dyDescent="0.2">
      <c r="A65" s="1"/>
      <c r="B65" s="1"/>
      <c r="C65" s="2" t="s">
        <v>111</v>
      </c>
      <c r="D65" s="1"/>
      <c r="E65" s="1" t="s">
        <v>112</v>
      </c>
      <c r="F65" s="9">
        <v>24151.598007499986</v>
      </c>
      <c r="G65" s="10">
        <v>0.67036821200000007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113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111</v>
      </c>
      <c r="D68" s="1"/>
      <c r="E68" s="1" t="s">
        <v>112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114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115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111</v>
      </c>
      <c r="D74" s="1"/>
      <c r="E74" s="1" t="s">
        <v>112</v>
      </c>
      <c r="F74" s="9">
        <v>0</v>
      </c>
      <c r="G74" s="10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116</v>
      </c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117</v>
      </c>
      <c r="D79" s="1"/>
      <c r="E79" s="1"/>
      <c r="F79" s="12"/>
      <c r="G79" s="12"/>
      <c r="H79" s="6"/>
    </row>
    <row r="80" spans="1:8" x14ac:dyDescent="0.2">
      <c r="A80" s="3">
        <v>1</v>
      </c>
      <c r="B80" s="4"/>
      <c r="C80" s="4" t="s">
        <v>885</v>
      </c>
      <c r="D80" s="4" t="s">
        <v>563</v>
      </c>
      <c r="E80" s="5">
        <v>-1600</v>
      </c>
      <c r="F80" s="6">
        <v>-28.702400000000001</v>
      </c>
      <c r="G80" s="7">
        <v>-7.9668000000000002E-4</v>
      </c>
      <c r="H80" s="6"/>
    </row>
    <row r="81" spans="1:8" x14ac:dyDescent="0.2">
      <c r="A81" s="3">
        <v>2</v>
      </c>
      <c r="B81" s="4"/>
      <c r="C81" s="4" t="s">
        <v>893</v>
      </c>
      <c r="D81" s="4" t="s">
        <v>563</v>
      </c>
      <c r="E81" s="5">
        <v>-1600</v>
      </c>
      <c r="F81" s="6">
        <v>-72.459199999999996</v>
      </c>
      <c r="G81" s="7">
        <v>-2.0112300000000001E-3</v>
      </c>
      <c r="H81" s="6"/>
    </row>
    <row r="82" spans="1:8" x14ac:dyDescent="0.2">
      <c r="A82" s="3">
        <v>3</v>
      </c>
      <c r="B82" s="4"/>
      <c r="C82" s="4" t="s">
        <v>894</v>
      </c>
      <c r="D82" s="4" t="s">
        <v>563</v>
      </c>
      <c r="E82" s="5">
        <v>-8400</v>
      </c>
      <c r="F82" s="6">
        <v>-77.788200000000003</v>
      </c>
      <c r="G82" s="7">
        <v>-2.1591399999999999E-3</v>
      </c>
      <c r="H82" s="6"/>
    </row>
    <row r="83" spans="1:8" x14ac:dyDescent="0.2">
      <c r="A83" s="3">
        <v>4</v>
      </c>
      <c r="B83" s="4"/>
      <c r="C83" s="4" t="s">
        <v>895</v>
      </c>
      <c r="D83" s="4" t="s">
        <v>563</v>
      </c>
      <c r="E83" s="5">
        <v>-17850</v>
      </c>
      <c r="F83" s="6">
        <v>-133.34842499999999</v>
      </c>
      <c r="G83" s="7">
        <v>-3.7013099999999998E-3</v>
      </c>
      <c r="H83" s="6"/>
    </row>
    <row r="84" spans="1:8" x14ac:dyDescent="0.2">
      <c r="A84" s="3">
        <v>5</v>
      </c>
      <c r="B84" s="4"/>
      <c r="C84" s="4" t="s">
        <v>877</v>
      </c>
      <c r="D84" s="4" t="s">
        <v>563</v>
      </c>
      <c r="E84" s="5">
        <v>-8050</v>
      </c>
      <c r="F84" s="6">
        <v>-136.9949</v>
      </c>
      <c r="G84" s="7">
        <v>-3.8025199999999998E-3</v>
      </c>
      <c r="H84" s="6"/>
    </row>
    <row r="85" spans="1:8" x14ac:dyDescent="0.2">
      <c r="A85" s="3">
        <v>6</v>
      </c>
      <c r="B85" s="4"/>
      <c r="C85" s="4" t="s">
        <v>883</v>
      </c>
      <c r="D85" s="4" t="s">
        <v>563</v>
      </c>
      <c r="E85" s="5">
        <v>-40000</v>
      </c>
      <c r="F85" s="6">
        <v>-152.19999999999999</v>
      </c>
      <c r="G85" s="7">
        <v>-4.2245700000000004E-3</v>
      </c>
      <c r="H85" s="6"/>
    </row>
    <row r="86" spans="1:8" ht="25.5" x14ac:dyDescent="0.2">
      <c r="A86" s="3">
        <v>7</v>
      </c>
      <c r="B86" s="4"/>
      <c r="C86" s="4" t="s">
        <v>875</v>
      </c>
      <c r="D86" s="4" t="s">
        <v>563</v>
      </c>
      <c r="E86" s="5">
        <v>-26400</v>
      </c>
      <c r="F86" s="6">
        <v>-153.99119999999999</v>
      </c>
      <c r="G86" s="7">
        <v>-4.2742800000000001E-3</v>
      </c>
      <c r="H86" s="6"/>
    </row>
    <row r="87" spans="1:8" x14ac:dyDescent="0.2">
      <c r="A87" s="3">
        <v>8</v>
      </c>
      <c r="B87" s="4"/>
      <c r="C87" s="4" t="s">
        <v>884</v>
      </c>
      <c r="D87" s="4" t="s">
        <v>563</v>
      </c>
      <c r="E87" s="5">
        <v>-1200</v>
      </c>
      <c r="F87" s="6">
        <v>-179.61</v>
      </c>
      <c r="G87" s="7">
        <v>-4.9853800000000002E-3</v>
      </c>
      <c r="H87" s="6"/>
    </row>
    <row r="88" spans="1:8" x14ac:dyDescent="0.2">
      <c r="A88" s="3">
        <v>9</v>
      </c>
      <c r="B88" s="4"/>
      <c r="C88" s="4" t="s">
        <v>896</v>
      </c>
      <c r="D88" s="4" t="s">
        <v>563</v>
      </c>
      <c r="E88" s="5">
        <v>-22275</v>
      </c>
      <c r="F88" s="6">
        <v>-182.66613749999999</v>
      </c>
      <c r="G88" s="7">
        <v>-5.0702100000000003E-3</v>
      </c>
      <c r="H88" s="6"/>
    </row>
    <row r="89" spans="1:8" x14ac:dyDescent="0.2">
      <c r="A89" s="3">
        <v>10</v>
      </c>
      <c r="B89" s="4"/>
      <c r="C89" s="4" t="s">
        <v>897</v>
      </c>
      <c r="D89" s="4" t="s">
        <v>563</v>
      </c>
      <c r="E89" s="5">
        <v>-33250</v>
      </c>
      <c r="F89" s="6">
        <v>-246.41575</v>
      </c>
      <c r="G89" s="7">
        <v>-6.8396799999999999E-3</v>
      </c>
      <c r="H89" s="6"/>
    </row>
    <row r="90" spans="1:8" x14ac:dyDescent="0.2">
      <c r="A90" s="3">
        <v>11</v>
      </c>
      <c r="B90" s="4"/>
      <c r="C90" s="4" t="s">
        <v>891</v>
      </c>
      <c r="D90" s="4" t="s">
        <v>563</v>
      </c>
      <c r="E90" s="5">
        <v>-34800</v>
      </c>
      <c r="F90" s="6">
        <v>-254.3184</v>
      </c>
      <c r="G90" s="7">
        <v>-7.0590299999999991E-3</v>
      </c>
      <c r="H90" s="6"/>
    </row>
    <row r="91" spans="1:8" x14ac:dyDescent="0.2">
      <c r="A91" s="3">
        <v>12</v>
      </c>
      <c r="B91" s="4"/>
      <c r="C91" s="4" t="s">
        <v>892</v>
      </c>
      <c r="D91" s="4" t="s">
        <v>563</v>
      </c>
      <c r="E91" s="5">
        <v>-10000</v>
      </c>
      <c r="F91" s="6">
        <v>-280.22500000000002</v>
      </c>
      <c r="G91" s="7">
        <v>-7.7781199999999995E-3</v>
      </c>
      <c r="H91" s="6"/>
    </row>
    <row r="92" spans="1:8" x14ac:dyDescent="0.2">
      <c r="A92" s="3">
        <v>13</v>
      </c>
      <c r="B92" s="4"/>
      <c r="C92" s="4" t="s">
        <v>886</v>
      </c>
      <c r="D92" s="4" t="s">
        <v>563</v>
      </c>
      <c r="E92" s="5">
        <v>-60000</v>
      </c>
      <c r="F92" s="6">
        <v>-324.51</v>
      </c>
      <c r="G92" s="7">
        <v>-9.0073199999999992E-3</v>
      </c>
      <c r="H92" s="6"/>
    </row>
    <row r="93" spans="1:8" x14ac:dyDescent="0.2">
      <c r="A93" s="3">
        <v>14</v>
      </c>
      <c r="B93" s="4"/>
      <c r="C93" s="4" t="s">
        <v>898</v>
      </c>
      <c r="D93" s="4" t="s">
        <v>563</v>
      </c>
      <c r="E93" s="5">
        <v>-26775</v>
      </c>
      <c r="F93" s="6">
        <v>-339.94878749999998</v>
      </c>
      <c r="G93" s="7">
        <v>-9.4358500000000008E-3</v>
      </c>
      <c r="H93" s="6"/>
    </row>
    <row r="94" spans="1:8" x14ac:dyDescent="0.2">
      <c r="A94" s="3">
        <v>15</v>
      </c>
      <c r="B94" s="4"/>
      <c r="C94" s="4" t="s">
        <v>899</v>
      </c>
      <c r="D94" s="4" t="s">
        <v>563</v>
      </c>
      <c r="E94" s="5">
        <v>-40000</v>
      </c>
      <c r="F94" s="6">
        <v>-346.6</v>
      </c>
      <c r="G94" s="7">
        <v>-9.620469999999999E-3</v>
      </c>
      <c r="H94" s="6"/>
    </row>
    <row r="95" spans="1:8" x14ac:dyDescent="0.2">
      <c r="A95" s="3">
        <v>16</v>
      </c>
      <c r="B95" s="4"/>
      <c r="C95" s="4" t="s">
        <v>879</v>
      </c>
      <c r="D95" s="4" t="s">
        <v>563</v>
      </c>
      <c r="E95" s="5">
        <v>-46750</v>
      </c>
      <c r="F95" s="6">
        <v>-349.19912499999998</v>
      </c>
      <c r="G95" s="7">
        <v>-9.6926100000000008E-3</v>
      </c>
      <c r="H95" s="6"/>
    </row>
    <row r="96" spans="1:8" x14ac:dyDescent="0.2">
      <c r="A96" s="3">
        <v>17</v>
      </c>
      <c r="B96" s="4"/>
      <c r="C96" s="4" t="s">
        <v>900</v>
      </c>
      <c r="D96" s="4" t="s">
        <v>563</v>
      </c>
      <c r="E96" s="5">
        <v>-18000</v>
      </c>
      <c r="F96" s="6">
        <v>-444.59100000000001</v>
      </c>
      <c r="G96" s="7">
        <v>-1.234037E-2</v>
      </c>
      <c r="H96" s="6"/>
    </row>
    <row r="97" spans="1:8" ht="25.5" x14ac:dyDescent="0.2">
      <c r="A97" s="3">
        <v>18</v>
      </c>
      <c r="B97" s="4"/>
      <c r="C97" s="4" t="s">
        <v>901</v>
      </c>
      <c r="D97" s="4" t="s">
        <v>563</v>
      </c>
      <c r="E97" s="5">
        <v>-9750</v>
      </c>
      <c r="F97" s="6">
        <v>-473.10899999999998</v>
      </c>
      <c r="G97" s="7">
        <v>-1.313194E-2</v>
      </c>
      <c r="H97" s="6"/>
    </row>
    <row r="98" spans="1:8" x14ac:dyDescent="0.2">
      <c r="A98" s="3">
        <v>19</v>
      </c>
      <c r="B98" s="4"/>
      <c r="C98" s="4" t="s">
        <v>902</v>
      </c>
      <c r="D98" s="4" t="s">
        <v>563</v>
      </c>
      <c r="E98" s="5">
        <v>-589500</v>
      </c>
      <c r="F98" s="6">
        <v>-751.02300000000002</v>
      </c>
      <c r="G98" s="7">
        <v>-2.0845910000000002E-2</v>
      </c>
      <c r="H98" s="6"/>
    </row>
    <row r="99" spans="1:8" x14ac:dyDescent="0.2">
      <c r="A99" s="3">
        <v>20</v>
      </c>
      <c r="B99" s="4"/>
      <c r="C99" s="4" t="s">
        <v>881</v>
      </c>
      <c r="D99" s="4" t="s">
        <v>563</v>
      </c>
      <c r="E99" s="5">
        <v>-42600</v>
      </c>
      <c r="F99" s="6">
        <v>-956.30610000000001</v>
      </c>
      <c r="G99" s="7">
        <v>-2.6543879999999999E-2</v>
      </c>
      <c r="H99" s="6"/>
    </row>
    <row r="100" spans="1:8" x14ac:dyDescent="0.2">
      <c r="A100" s="3">
        <v>21</v>
      </c>
      <c r="B100" s="4"/>
      <c r="C100" s="4" t="s">
        <v>903</v>
      </c>
      <c r="D100" s="4" t="s">
        <v>563</v>
      </c>
      <c r="E100" s="5">
        <v>-96600</v>
      </c>
      <c r="F100" s="6">
        <v>-1218.7056</v>
      </c>
      <c r="G100" s="7">
        <v>-3.3827219999999998E-2</v>
      </c>
      <c r="H100" s="6"/>
    </row>
    <row r="101" spans="1:8" x14ac:dyDescent="0.2">
      <c r="A101" s="3">
        <v>22</v>
      </c>
      <c r="B101" s="4"/>
      <c r="C101" s="4" t="s">
        <v>904</v>
      </c>
      <c r="D101" s="4" t="s">
        <v>563</v>
      </c>
      <c r="E101" s="5">
        <v>-48150</v>
      </c>
      <c r="F101" s="6">
        <v>-1561.7211749999999</v>
      </c>
      <c r="G101" s="7">
        <v>-4.3348199999999996E-2</v>
      </c>
      <c r="H101" s="6"/>
    </row>
    <row r="102" spans="1:8" x14ac:dyDescent="0.2">
      <c r="A102" s="3">
        <v>23</v>
      </c>
      <c r="B102" s="4"/>
      <c r="C102" s="4" t="s">
        <v>890</v>
      </c>
      <c r="D102" s="4" t="s">
        <v>563</v>
      </c>
      <c r="E102" s="5">
        <v>-156200</v>
      </c>
      <c r="F102" s="6">
        <v>-2145.0945999999999</v>
      </c>
      <c r="G102" s="7">
        <v>-5.9540709999999997E-2</v>
      </c>
      <c r="H102" s="6"/>
    </row>
    <row r="103" spans="1:8" ht="14.1" customHeight="1" x14ac:dyDescent="0.2">
      <c r="A103" s="1"/>
      <c r="B103" s="1"/>
      <c r="C103" s="2" t="s">
        <v>111</v>
      </c>
      <c r="D103" s="1"/>
      <c r="E103" s="1" t="s">
        <v>112</v>
      </c>
      <c r="F103" s="9">
        <v>-10809.528</v>
      </c>
      <c r="G103" s="10">
        <v>-0.300036627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8" customHeight="1" x14ac:dyDescent="0.2">
      <c r="A105" s="1"/>
      <c r="B105" s="1"/>
      <c r="C105" s="2" t="s">
        <v>118</v>
      </c>
      <c r="D105" s="1"/>
      <c r="E105" s="1"/>
      <c r="F105" s="9">
        <v>24151.598007499986</v>
      </c>
      <c r="G105" s="10">
        <v>0.67036821200000007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/>
      <c r="F107" s="12"/>
      <c r="G107" s="12"/>
      <c r="H107" s="6"/>
    </row>
    <row r="108" spans="1:8" ht="24" customHeight="1" x14ac:dyDescent="0.2">
      <c r="A108" s="1"/>
      <c r="B108" s="1"/>
      <c r="C108" s="2" t="s">
        <v>10</v>
      </c>
      <c r="D108" s="1"/>
      <c r="E108" s="1"/>
      <c r="F108" s="12"/>
      <c r="G108" s="12"/>
      <c r="H108" s="6"/>
    </row>
    <row r="109" spans="1:8" ht="29.1" customHeight="1" x14ac:dyDescent="0.2">
      <c r="A109" s="3">
        <v>1</v>
      </c>
      <c r="B109" s="4" t="s">
        <v>602</v>
      </c>
      <c r="C109" s="4" t="s">
        <v>603</v>
      </c>
      <c r="D109" s="4" t="s">
        <v>604</v>
      </c>
      <c r="E109" s="5">
        <v>50</v>
      </c>
      <c r="F109" s="6">
        <v>498.44600000000003</v>
      </c>
      <c r="G109" s="7">
        <v>1.3835207E-2</v>
      </c>
      <c r="H109" s="6">
        <v>5.6749999999999998</v>
      </c>
    </row>
    <row r="110" spans="1:8" ht="17.100000000000001" customHeight="1" x14ac:dyDescent="0.2">
      <c r="A110" s="3">
        <v>2</v>
      </c>
      <c r="B110" s="4" t="s">
        <v>605</v>
      </c>
      <c r="C110" s="4" t="s">
        <v>606</v>
      </c>
      <c r="D110" s="4" t="s">
        <v>589</v>
      </c>
      <c r="E110" s="5">
        <v>20</v>
      </c>
      <c r="F110" s="6">
        <v>204.24260000000001</v>
      </c>
      <c r="G110" s="7">
        <v>5.6690969999999997E-3</v>
      </c>
      <c r="H110" s="6">
        <v>5.2050000000000001</v>
      </c>
    </row>
    <row r="111" spans="1:8" ht="29.1" customHeight="1" x14ac:dyDescent="0.2">
      <c r="A111" s="3">
        <v>3</v>
      </c>
      <c r="B111" s="4" t="s">
        <v>607</v>
      </c>
      <c r="C111" s="4" t="s">
        <v>608</v>
      </c>
      <c r="D111" s="4" t="s">
        <v>589</v>
      </c>
      <c r="E111" s="5">
        <v>5</v>
      </c>
      <c r="F111" s="6">
        <v>52.105600000000003</v>
      </c>
      <c r="G111" s="7">
        <v>1.446279E-3</v>
      </c>
      <c r="H111" s="6">
        <v>5.7549999999999999</v>
      </c>
    </row>
    <row r="112" spans="1:8" ht="17.100000000000001" customHeight="1" x14ac:dyDescent="0.2">
      <c r="A112" s="3">
        <v>4</v>
      </c>
      <c r="B112" s="4" t="s">
        <v>609</v>
      </c>
      <c r="C112" s="4" t="s">
        <v>610</v>
      </c>
      <c r="D112" s="4" t="s">
        <v>589</v>
      </c>
      <c r="E112" s="5">
        <v>5</v>
      </c>
      <c r="F112" s="6">
        <v>51.593699999999998</v>
      </c>
      <c r="G112" s="7">
        <v>1.4320699999999999E-3</v>
      </c>
      <c r="H112" s="6">
        <v>5.16</v>
      </c>
    </row>
    <row r="113" spans="1:8" ht="17.100000000000001" customHeight="1" x14ac:dyDescent="0.2">
      <c r="A113" s="3">
        <v>5</v>
      </c>
      <c r="B113" s="4" t="s">
        <v>611</v>
      </c>
      <c r="C113" s="4" t="s">
        <v>612</v>
      </c>
      <c r="D113" s="4" t="s">
        <v>589</v>
      </c>
      <c r="E113" s="5">
        <v>5</v>
      </c>
      <c r="F113" s="6">
        <v>50.734400000000001</v>
      </c>
      <c r="G113" s="7">
        <v>1.4082190000000001E-3</v>
      </c>
      <c r="H113" s="6">
        <v>4.8550000000000004</v>
      </c>
    </row>
    <row r="114" spans="1:8" ht="29.1" customHeight="1" x14ac:dyDescent="0.2">
      <c r="A114" s="3">
        <v>6</v>
      </c>
      <c r="B114" s="4" t="s">
        <v>613</v>
      </c>
      <c r="C114" s="4" t="s">
        <v>614</v>
      </c>
      <c r="D114" s="4" t="s">
        <v>995</v>
      </c>
      <c r="E114" s="5">
        <v>5</v>
      </c>
      <c r="F114" s="6">
        <v>50.540149999999997</v>
      </c>
      <c r="G114" s="7">
        <v>1.4028269999999999E-3</v>
      </c>
      <c r="H114" s="6">
        <v>5.4550000000000001</v>
      </c>
    </row>
    <row r="115" spans="1:8" ht="29.1" customHeight="1" x14ac:dyDescent="0.2">
      <c r="A115" s="3">
        <v>7</v>
      </c>
      <c r="B115" s="4" t="s">
        <v>587</v>
      </c>
      <c r="C115" s="4" t="s">
        <v>588</v>
      </c>
      <c r="D115" s="4" t="s">
        <v>589</v>
      </c>
      <c r="E115" s="5">
        <v>1640</v>
      </c>
      <c r="F115" s="6">
        <v>0.47198708</v>
      </c>
      <c r="G115" s="8" t="s">
        <v>110</v>
      </c>
      <c r="H115" s="6">
        <v>5.89</v>
      </c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9">
        <v>908.13443708</v>
      </c>
      <c r="G116" s="10">
        <v>2.5206800000000001E-2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120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121</v>
      </c>
      <c r="D121" s="1"/>
      <c r="E121" s="1"/>
      <c r="F121" s="1"/>
      <c r="G121" s="1"/>
      <c r="H121" s="6"/>
    </row>
    <row r="122" spans="1:8" ht="29.1" customHeight="1" x14ac:dyDescent="0.2">
      <c r="A122" s="3">
        <v>1</v>
      </c>
      <c r="B122" s="4" t="s">
        <v>615</v>
      </c>
      <c r="C122" s="4" t="s">
        <v>616</v>
      </c>
      <c r="D122" s="4" t="s">
        <v>565</v>
      </c>
      <c r="E122" s="5">
        <v>1500000</v>
      </c>
      <c r="F122" s="6">
        <v>1457.9280000000001</v>
      </c>
      <c r="G122" s="7">
        <v>4.0467243E-2</v>
      </c>
      <c r="H122" s="6">
        <v>6.2195999999999998</v>
      </c>
    </row>
    <row r="123" spans="1:8" ht="29.1" customHeight="1" x14ac:dyDescent="0.2">
      <c r="A123" s="3">
        <v>2</v>
      </c>
      <c r="B123" s="4" t="s">
        <v>617</v>
      </c>
      <c r="C123" s="4" t="s">
        <v>618</v>
      </c>
      <c r="D123" s="4" t="s">
        <v>565</v>
      </c>
      <c r="E123" s="5">
        <v>500000</v>
      </c>
      <c r="F123" s="6">
        <v>480.9735</v>
      </c>
      <c r="G123" s="7">
        <v>1.3350228E-2</v>
      </c>
      <c r="H123" s="6">
        <v>6.3727</v>
      </c>
    </row>
    <row r="124" spans="1:8" ht="29.1" customHeight="1" x14ac:dyDescent="0.2">
      <c r="A124" s="3">
        <v>3</v>
      </c>
      <c r="B124" s="4" t="s">
        <v>619</v>
      </c>
      <c r="C124" s="4" t="s">
        <v>620</v>
      </c>
      <c r="D124" s="4" t="s">
        <v>565</v>
      </c>
      <c r="E124" s="5">
        <v>100000</v>
      </c>
      <c r="F124" s="6">
        <v>104.71429999999999</v>
      </c>
      <c r="G124" s="7">
        <v>2.906521E-3</v>
      </c>
      <c r="H124" s="6">
        <v>6.4218999999999999</v>
      </c>
    </row>
    <row r="125" spans="1:8" ht="29.1" customHeight="1" x14ac:dyDescent="0.2">
      <c r="A125" s="3">
        <v>4</v>
      </c>
      <c r="B125" s="4" t="s">
        <v>621</v>
      </c>
      <c r="C125" s="4" t="s">
        <v>622</v>
      </c>
      <c r="D125" s="4" t="s">
        <v>565</v>
      </c>
      <c r="E125" s="5">
        <v>50000</v>
      </c>
      <c r="F125" s="6">
        <v>50.424149999999997</v>
      </c>
      <c r="G125" s="7">
        <v>1.399607E-3</v>
      </c>
      <c r="H125" s="6">
        <v>5.8113999999999999</v>
      </c>
    </row>
    <row r="126" spans="1:8" ht="14.1" customHeight="1" x14ac:dyDescent="0.2">
      <c r="A126" s="1"/>
      <c r="B126" s="1"/>
      <c r="C126" s="2" t="s">
        <v>111</v>
      </c>
      <c r="D126" s="1"/>
      <c r="E126" s="1" t="s">
        <v>112</v>
      </c>
      <c r="F126" s="9">
        <v>2094.0399499999999</v>
      </c>
      <c r="G126" s="10">
        <v>5.8123598999999998E-2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122</v>
      </c>
      <c r="D128" s="1"/>
      <c r="E128" s="1"/>
      <c r="F128" s="12"/>
      <c r="G128" s="12"/>
      <c r="H128" s="6"/>
    </row>
    <row r="129" spans="1:15" ht="14.1" customHeight="1" x14ac:dyDescent="0.2">
      <c r="A129" s="1"/>
      <c r="B129" s="1"/>
      <c r="C129" s="2" t="s">
        <v>111</v>
      </c>
      <c r="D129" s="1"/>
      <c r="E129" s="1" t="s">
        <v>112</v>
      </c>
      <c r="F129" s="13">
        <v>0</v>
      </c>
      <c r="G129" s="14">
        <v>0</v>
      </c>
      <c r="H129" s="6"/>
    </row>
    <row r="130" spans="1:15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15" ht="14.1" customHeight="1" x14ac:dyDescent="0.2">
      <c r="A131" s="1"/>
      <c r="B131" s="1"/>
      <c r="C131" s="2" t="s">
        <v>123</v>
      </c>
      <c r="D131" s="1"/>
      <c r="E131" s="1"/>
      <c r="F131" s="9">
        <v>3002.1743870800001</v>
      </c>
      <c r="G131" s="10">
        <v>8.3330398999999999E-2</v>
      </c>
      <c r="H131" s="6"/>
    </row>
    <row r="132" spans="1:15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15" ht="14.1" customHeight="1" x14ac:dyDescent="0.2">
      <c r="A133" s="1"/>
      <c r="B133" s="1"/>
      <c r="C133" s="2" t="s">
        <v>124</v>
      </c>
      <c r="D133" s="1"/>
      <c r="E133" s="1"/>
      <c r="F133" s="12"/>
      <c r="G133" s="12"/>
      <c r="H133" s="6"/>
    </row>
    <row r="134" spans="1:15" ht="14.1" customHeight="1" x14ac:dyDescent="0.2">
      <c r="A134" s="1"/>
      <c r="B134" s="1"/>
      <c r="C134" s="2" t="s">
        <v>125</v>
      </c>
      <c r="D134" s="1"/>
      <c r="E134" s="1"/>
      <c r="F134" s="12"/>
      <c r="G134" s="12"/>
      <c r="H134" s="6"/>
    </row>
    <row r="135" spans="1:15" ht="14.1" customHeight="1" x14ac:dyDescent="0.2">
      <c r="A135" s="1"/>
      <c r="B135" s="1"/>
      <c r="C135" s="2" t="s">
        <v>111</v>
      </c>
      <c r="D135" s="1"/>
      <c r="E135" s="1" t="s">
        <v>112</v>
      </c>
      <c r="F135" s="13">
        <v>0</v>
      </c>
      <c r="G135" s="14">
        <v>0</v>
      </c>
      <c r="H135" s="6"/>
    </row>
    <row r="136" spans="1:15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15" ht="14.1" customHeight="1" x14ac:dyDescent="0.2">
      <c r="A137" s="1"/>
      <c r="B137" s="1"/>
      <c r="C137" s="2" t="s">
        <v>126</v>
      </c>
      <c r="D137" s="1"/>
      <c r="E137" s="1"/>
      <c r="F137" s="12"/>
      <c r="G137" s="12"/>
      <c r="H137" s="6"/>
    </row>
    <row r="138" spans="1:15" ht="14.1" customHeight="1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6"/>
    </row>
    <row r="139" spans="1:15" ht="14.1" customHeight="1" x14ac:dyDescent="0.2">
      <c r="A139" s="1"/>
      <c r="B139" s="1"/>
      <c r="C139" s="11"/>
      <c r="D139" s="1"/>
      <c r="E139" s="1"/>
      <c r="F139" s="12"/>
      <c r="G139" s="12"/>
      <c r="H139" s="6"/>
      <c r="J139" s="27"/>
      <c r="K139" s="27"/>
      <c r="L139" s="27"/>
      <c r="M139" s="27"/>
      <c r="N139" s="27"/>
      <c r="O139" s="27"/>
    </row>
    <row r="140" spans="1:15" ht="14.1" customHeight="1" x14ac:dyDescent="0.2">
      <c r="A140" s="1"/>
      <c r="B140" s="1"/>
      <c r="C140" s="2" t="s">
        <v>127</v>
      </c>
      <c r="D140" s="1"/>
      <c r="E140" s="1"/>
      <c r="F140" s="12"/>
      <c r="G140" s="12"/>
      <c r="H140" s="6"/>
    </row>
    <row r="141" spans="1:15" ht="17.100000000000001" customHeight="1" x14ac:dyDescent="0.2">
      <c r="A141" s="3">
        <v>1</v>
      </c>
      <c r="B141" s="4" t="s">
        <v>623</v>
      </c>
      <c r="C141" s="4" t="s">
        <v>927</v>
      </c>
      <c r="D141" s="4" t="s">
        <v>565</v>
      </c>
      <c r="E141" s="5">
        <v>1000000</v>
      </c>
      <c r="F141" s="6">
        <v>986.04399999999998</v>
      </c>
      <c r="G141" s="7">
        <v>2.7369309000000001E-2</v>
      </c>
      <c r="H141" s="6">
        <v>4.2</v>
      </c>
    </row>
    <row r="142" spans="1:15" ht="17.100000000000001" customHeight="1" x14ac:dyDescent="0.2">
      <c r="A142" s="3">
        <v>2</v>
      </c>
      <c r="B142" s="4" t="s">
        <v>624</v>
      </c>
      <c r="C142" s="4" t="s">
        <v>929</v>
      </c>
      <c r="D142" s="4" t="s">
        <v>565</v>
      </c>
      <c r="E142" s="5">
        <v>1000000</v>
      </c>
      <c r="F142" s="6">
        <v>985.26199999999994</v>
      </c>
      <c r="G142" s="7">
        <v>2.7347604000000001E-2</v>
      </c>
      <c r="H142" s="6">
        <v>4.2</v>
      </c>
    </row>
    <row r="143" spans="1:15" ht="14.1" customHeight="1" x14ac:dyDescent="0.2">
      <c r="A143" s="1"/>
      <c r="B143" s="1"/>
      <c r="C143" s="2" t="s">
        <v>111</v>
      </c>
      <c r="D143" s="1"/>
      <c r="E143" s="1" t="s">
        <v>112</v>
      </c>
      <c r="F143" s="9">
        <v>1971.306</v>
      </c>
      <c r="G143" s="10">
        <v>5.4716912999999999E-2</v>
      </c>
      <c r="H143" s="6"/>
    </row>
    <row r="144" spans="1:15" ht="14.1" customHeight="1" x14ac:dyDescent="0.2">
      <c r="A144" s="1"/>
      <c r="B144" s="1"/>
      <c r="C144" s="11"/>
      <c r="D144" s="1"/>
      <c r="E144" s="1"/>
      <c r="F144" s="12"/>
      <c r="G144" s="12"/>
      <c r="H144" s="6"/>
    </row>
    <row r="145" spans="1:15" ht="14.1" customHeight="1" x14ac:dyDescent="0.2">
      <c r="A145" s="1"/>
      <c r="B145" s="1"/>
      <c r="C145" s="2" t="s">
        <v>128</v>
      </c>
      <c r="D145" s="1"/>
      <c r="E145" s="1"/>
      <c r="F145" s="12"/>
      <c r="G145" s="12"/>
      <c r="H145" s="6"/>
    </row>
    <row r="146" spans="1:15" ht="17.100000000000001" customHeight="1" x14ac:dyDescent="0.2">
      <c r="A146" s="3">
        <v>1</v>
      </c>
      <c r="B146" s="4"/>
      <c r="C146" s="4" t="s">
        <v>129</v>
      </c>
      <c r="D146" s="4"/>
      <c r="E146" s="8"/>
      <c r="F146" s="6">
        <v>2222.9894413000002</v>
      </c>
      <c r="G146" s="7">
        <v>6.1702809999999997E-2</v>
      </c>
      <c r="H146" s="6">
        <v>3.9343919198424624</v>
      </c>
    </row>
    <row r="147" spans="1:15" ht="17.100000000000001" customHeight="1" x14ac:dyDescent="0.2">
      <c r="A147" s="3">
        <v>2</v>
      </c>
      <c r="B147" s="4"/>
      <c r="C147" s="4" t="s">
        <v>130</v>
      </c>
      <c r="D147" s="4"/>
      <c r="E147" s="8"/>
      <c r="F147" s="6">
        <v>146.00491249999999</v>
      </c>
      <c r="G147" s="7">
        <v>4.0526119999999997E-3</v>
      </c>
      <c r="H147" s="6">
        <v>3.8</v>
      </c>
    </row>
    <row r="148" spans="1:15" ht="14.1" customHeight="1" x14ac:dyDescent="0.2">
      <c r="A148" s="1"/>
      <c r="B148" s="1"/>
      <c r="C148" s="2" t="s">
        <v>111</v>
      </c>
      <c r="D148" s="1"/>
      <c r="E148" s="1" t="s">
        <v>112</v>
      </c>
      <c r="F148" s="9">
        <v>2368.9943538000002</v>
      </c>
      <c r="G148" s="10">
        <v>6.5755421999999994E-2</v>
      </c>
      <c r="H148" s="6"/>
    </row>
    <row r="149" spans="1:15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15" ht="14.1" customHeight="1" x14ac:dyDescent="0.2">
      <c r="A150" s="1"/>
      <c r="B150" s="1"/>
      <c r="C150" s="2" t="s">
        <v>131</v>
      </c>
      <c r="D150" s="1"/>
      <c r="E150" s="1"/>
      <c r="F150" s="9">
        <v>4340.3003538000003</v>
      </c>
      <c r="G150" s="10">
        <v>0.120472335</v>
      </c>
      <c r="H150" s="6"/>
    </row>
    <row r="151" spans="1:15" ht="14.1" customHeight="1" x14ac:dyDescent="0.2">
      <c r="A151" s="1"/>
      <c r="B151" s="1"/>
      <c r="C151" s="12"/>
      <c r="D151" s="1"/>
      <c r="E151" s="1"/>
      <c r="F151" s="1"/>
      <c r="G151" s="1"/>
      <c r="H151" s="6"/>
    </row>
    <row r="152" spans="1:15" ht="14.1" customHeight="1" x14ac:dyDescent="0.2">
      <c r="A152" s="1"/>
      <c r="B152" s="1"/>
      <c r="C152" s="2" t="s">
        <v>132</v>
      </c>
      <c r="D152" s="1"/>
      <c r="E152" s="1"/>
      <c r="F152" s="1"/>
      <c r="G152" s="1"/>
      <c r="H152" s="6"/>
    </row>
    <row r="153" spans="1:15" ht="14.1" customHeight="1" x14ac:dyDescent="0.2">
      <c r="A153" s="1"/>
      <c r="B153" s="1"/>
      <c r="C153" s="2" t="s">
        <v>133</v>
      </c>
      <c r="D153" s="1"/>
      <c r="E153" s="1"/>
      <c r="F153" s="1"/>
      <c r="G153" s="1"/>
      <c r="H153" s="6"/>
    </row>
    <row r="154" spans="1:15" ht="14.1" customHeight="1" x14ac:dyDescent="0.2">
      <c r="A154" s="1"/>
      <c r="B154" s="1"/>
      <c r="C154" s="2" t="s">
        <v>111</v>
      </c>
      <c r="D154" s="1"/>
      <c r="E154" s="1" t="s">
        <v>112</v>
      </c>
      <c r="F154" s="13">
        <v>0</v>
      </c>
      <c r="G154" s="14">
        <v>0</v>
      </c>
      <c r="H154" s="6"/>
      <c r="J154" s="66"/>
      <c r="K154" s="66"/>
      <c r="L154" s="66"/>
      <c r="M154" s="66"/>
      <c r="N154" s="66"/>
      <c r="O154" s="66"/>
    </row>
    <row r="155" spans="1:15" ht="14.1" customHeight="1" x14ac:dyDescent="0.2">
      <c r="A155" s="1"/>
      <c r="B155" s="1"/>
      <c r="C155" s="11"/>
      <c r="D155" s="1"/>
      <c r="E155" s="1"/>
      <c r="F155" s="12"/>
      <c r="G155" s="12"/>
      <c r="H155" s="6"/>
    </row>
    <row r="156" spans="1:15" ht="14.1" customHeight="1" x14ac:dyDescent="0.2">
      <c r="A156" s="1"/>
      <c r="B156" s="1"/>
      <c r="C156" s="2" t="s">
        <v>134</v>
      </c>
      <c r="D156" s="1"/>
      <c r="E156" s="1"/>
      <c r="F156" s="1"/>
      <c r="G156" s="1"/>
      <c r="H156" s="6"/>
    </row>
    <row r="157" spans="1:15" ht="14.1" customHeight="1" x14ac:dyDescent="0.2">
      <c r="A157" s="1"/>
      <c r="B157" s="1"/>
      <c r="C157" s="2" t="s">
        <v>135</v>
      </c>
      <c r="D157" s="1"/>
      <c r="E157" s="1"/>
      <c r="F157" s="1"/>
      <c r="G157" s="1"/>
      <c r="H157" s="6"/>
    </row>
    <row r="158" spans="1:15" ht="14.1" customHeight="1" x14ac:dyDescent="0.2">
      <c r="A158" s="1"/>
      <c r="B158" s="1"/>
      <c r="C158" s="2" t="s">
        <v>111</v>
      </c>
      <c r="D158" s="1"/>
      <c r="E158" s="1" t="s">
        <v>112</v>
      </c>
      <c r="F158" s="13">
        <v>0</v>
      </c>
      <c r="G158" s="14">
        <v>0</v>
      </c>
      <c r="H158" s="6"/>
    </row>
    <row r="159" spans="1:15" ht="14.1" customHeight="1" x14ac:dyDescent="0.2">
      <c r="A159" s="1"/>
      <c r="B159" s="1"/>
      <c r="C159" s="11"/>
      <c r="D159" s="1"/>
      <c r="E159" s="1"/>
      <c r="F159" s="12"/>
      <c r="G159" s="12"/>
      <c r="H159" s="6"/>
    </row>
    <row r="160" spans="1:15" ht="14.1" customHeight="1" x14ac:dyDescent="0.2">
      <c r="A160" s="1"/>
      <c r="B160" s="1"/>
      <c r="C160" s="11"/>
      <c r="D160" s="1"/>
      <c r="E160" s="1"/>
      <c r="F160" s="12"/>
      <c r="G160" s="12"/>
      <c r="H160" s="6"/>
    </row>
    <row r="161" spans="1:15" ht="24" customHeight="1" x14ac:dyDescent="0.2">
      <c r="A161" s="1"/>
      <c r="B161" s="1"/>
      <c r="C161" s="2" t="s">
        <v>136</v>
      </c>
      <c r="D161" s="1"/>
      <c r="E161" s="1"/>
      <c r="F161" s="12"/>
      <c r="G161" s="12"/>
      <c r="H161" s="6"/>
    </row>
    <row r="162" spans="1:15" ht="14.1" customHeight="1" x14ac:dyDescent="0.2">
      <c r="A162" s="1"/>
      <c r="B162" s="1"/>
      <c r="C162" s="2" t="s">
        <v>111</v>
      </c>
      <c r="D162" s="1"/>
      <c r="E162" s="1" t="s">
        <v>112</v>
      </c>
      <c r="F162" s="13">
        <v>0</v>
      </c>
      <c r="G162" s="14">
        <v>0</v>
      </c>
      <c r="H162" s="6"/>
    </row>
    <row r="163" spans="1:15" ht="14.1" customHeight="1" x14ac:dyDescent="0.2">
      <c r="A163" s="1"/>
      <c r="B163" s="1"/>
      <c r="C163" s="11"/>
      <c r="D163" s="1"/>
      <c r="E163" s="1"/>
      <c r="F163" s="12"/>
      <c r="G163" s="12"/>
      <c r="H163" s="6"/>
    </row>
    <row r="164" spans="1:15" ht="18" customHeight="1" x14ac:dyDescent="0.2">
      <c r="A164" s="8"/>
      <c r="B164" s="4"/>
      <c r="C164" s="4" t="s">
        <v>567</v>
      </c>
      <c r="D164" s="4"/>
      <c r="E164" s="8"/>
      <c r="F164" s="6">
        <v>3545.3469868000002</v>
      </c>
      <c r="G164" s="7">
        <v>9.840706719520341E-2</v>
      </c>
      <c r="H164" s="6"/>
    </row>
    <row r="165" spans="1:15" ht="18" customHeight="1" x14ac:dyDescent="0.2">
      <c r="A165" s="8"/>
      <c r="B165" s="4"/>
      <c r="C165" s="4" t="s">
        <v>994</v>
      </c>
      <c r="D165" s="4"/>
      <c r="E165" s="8"/>
      <c r="F165" s="6">
        <v>987.94179330999941</v>
      </c>
      <c r="G165" s="7">
        <v>2.7421985718514175E-2</v>
      </c>
      <c r="H165" s="6"/>
    </row>
    <row r="166" spans="1:15" ht="14.1" customHeight="1" x14ac:dyDescent="0.2">
      <c r="A166" s="11"/>
      <c r="B166" s="11"/>
      <c r="C166" s="2" t="s">
        <v>138</v>
      </c>
      <c r="D166" s="15"/>
      <c r="E166" s="15"/>
      <c r="F166" s="9">
        <v>36027.361528489986</v>
      </c>
      <c r="G166" s="10">
        <v>1</v>
      </c>
      <c r="H166" s="6"/>
    </row>
    <row r="167" spans="1:15" ht="14.1" customHeight="1" x14ac:dyDescent="0.2">
      <c r="A167" s="16"/>
      <c r="B167" s="16"/>
      <c r="C167" s="16"/>
      <c r="D167" s="17"/>
      <c r="E167" s="17"/>
      <c r="F167" s="17"/>
      <c r="G167" s="17"/>
    </row>
    <row r="168" spans="1:15" ht="17.100000000000001" customHeight="1" x14ac:dyDescent="0.2">
      <c r="A168" s="18"/>
      <c r="B168" s="297" t="s">
        <v>590</v>
      </c>
      <c r="C168" s="297"/>
      <c r="D168" s="297"/>
      <c r="E168" s="297"/>
      <c r="F168" s="297"/>
      <c r="G168" s="20"/>
    </row>
    <row r="169" spans="1:15" ht="17.100000000000001" customHeight="1" x14ac:dyDescent="0.2">
      <c r="A169" s="18"/>
      <c r="B169" s="297" t="s">
        <v>139</v>
      </c>
      <c r="C169" s="297"/>
      <c r="D169" s="297"/>
      <c r="E169" s="297"/>
      <c r="F169" s="297"/>
      <c r="G169" s="20"/>
    </row>
    <row r="170" spans="1:15" s="27" customFormat="1" ht="17.100000000000001" customHeight="1" x14ac:dyDescent="0.2">
      <c r="A170" s="48"/>
      <c r="B170" s="298" t="s">
        <v>749</v>
      </c>
      <c r="C170" s="298"/>
      <c r="D170" s="298"/>
      <c r="E170" s="298"/>
      <c r="F170" s="298"/>
      <c r="G170" s="45"/>
      <c r="H170"/>
      <c r="I170"/>
      <c r="J170"/>
      <c r="K170"/>
      <c r="L170"/>
      <c r="M170"/>
      <c r="N170"/>
      <c r="O170"/>
    </row>
    <row r="171" spans="1:15" ht="14.1" customHeight="1" x14ac:dyDescent="0.2">
      <c r="A171" s="18"/>
      <c r="B171" s="18"/>
      <c r="C171" s="18"/>
      <c r="D171" s="20"/>
      <c r="E171" s="20"/>
      <c r="F171" s="20"/>
      <c r="G171" s="20"/>
    </row>
    <row r="172" spans="1:15" ht="14.1" customHeight="1" x14ac:dyDescent="0.2">
      <c r="A172" s="18"/>
      <c r="B172" s="294" t="s">
        <v>140</v>
      </c>
      <c r="C172" s="295"/>
      <c r="D172" s="12" t="s">
        <v>112</v>
      </c>
      <c r="E172" s="21"/>
      <c r="F172" s="20"/>
      <c r="G172" s="20"/>
      <c r="I172" s="27"/>
    </row>
    <row r="173" spans="1:15" ht="29.1" customHeight="1" x14ac:dyDescent="0.2">
      <c r="A173" s="18"/>
      <c r="B173" s="288" t="s">
        <v>141</v>
      </c>
      <c r="C173" s="289"/>
      <c r="D173" s="2" t="s">
        <v>142</v>
      </c>
      <c r="E173" s="21"/>
      <c r="F173" s="20"/>
      <c r="G173" s="20"/>
    </row>
    <row r="174" spans="1:15" ht="17.100000000000001" customHeight="1" x14ac:dyDescent="0.2">
      <c r="A174" s="18"/>
      <c r="B174" s="288" t="s">
        <v>143</v>
      </c>
      <c r="C174" s="289"/>
      <c r="D174" s="2" t="s">
        <v>142</v>
      </c>
      <c r="E174" s="21"/>
      <c r="F174" s="20"/>
      <c r="G174" s="20"/>
    </row>
    <row r="175" spans="1:15" ht="17.100000000000001" customHeight="1" x14ac:dyDescent="0.2">
      <c r="A175" s="18"/>
      <c r="B175" s="288" t="s">
        <v>144</v>
      </c>
      <c r="C175" s="289"/>
      <c r="D175" s="12" t="s">
        <v>112</v>
      </c>
      <c r="E175" s="21"/>
      <c r="F175" s="20"/>
      <c r="G175" s="20"/>
    </row>
    <row r="176" spans="1:15" ht="24" customHeight="1" x14ac:dyDescent="0.2">
      <c r="A176" s="22"/>
      <c r="B176" s="23" t="s">
        <v>112</v>
      </c>
      <c r="C176" s="23" t="s">
        <v>145</v>
      </c>
      <c r="D176" s="23" t="s">
        <v>146</v>
      </c>
      <c r="E176" s="22"/>
      <c r="F176" s="22"/>
      <c r="G176" s="22"/>
    </row>
    <row r="177" spans="1:7" ht="18" customHeight="1" x14ac:dyDescent="0.2">
      <c r="A177" s="22"/>
      <c r="B177" s="23" t="s">
        <v>147</v>
      </c>
      <c r="C177" s="23" t="s">
        <v>148</v>
      </c>
      <c r="D177" s="23" t="s">
        <v>149</v>
      </c>
      <c r="E177" s="22"/>
      <c r="F177" s="22"/>
      <c r="G177" s="22"/>
    </row>
    <row r="178" spans="1:7" ht="17.100000000000001" customHeight="1" x14ac:dyDescent="0.2">
      <c r="A178" s="22"/>
      <c r="B178" s="4" t="s">
        <v>150</v>
      </c>
      <c r="C178" s="24">
        <v>55.244500000000002</v>
      </c>
      <c r="D178" s="24">
        <v>55.160800000000002</v>
      </c>
      <c r="E178" s="22"/>
      <c r="F178" s="19"/>
      <c r="G178" s="25"/>
    </row>
    <row r="179" spans="1:7" ht="29.1" customHeight="1" x14ac:dyDescent="0.2">
      <c r="A179" s="22"/>
      <c r="B179" s="4" t="s">
        <v>1117</v>
      </c>
      <c r="C179" s="24">
        <v>14.1212</v>
      </c>
      <c r="D179" s="24">
        <v>14.0997</v>
      </c>
      <c r="E179" s="22"/>
      <c r="F179" s="19"/>
      <c r="G179" s="25"/>
    </row>
    <row r="180" spans="1:7" ht="29.1" customHeight="1" x14ac:dyDescent="0.2">
      <c r="A180" s="22"/>
      <c r="B180" s="4" t="s">
        <v>1120</v>
      </c>
      <c r="C180" s="24">
        <v>20.5852</v>
      </c>
      <c r="D180" s="24">
        <v>20.553799999999999</v>
      </c>
      <c r="E180" s="22"/>
      <c r="F180" s="19"/>
      <c r="G180" s="25"/>
    </row>
    <row r="181" spans="1:7" ht="17.100000000000001" customHeight="1" x14ac:dyDescent="0.2">
      <c r="A181" s="22"/>
      <c r="B181" s="4" t="s">
        <v>151</v>
      </c>
      <c r="C181" s="24">
        <v>50.260300000000001</v>
      </c>
      <c r="D181" s="24">
        <v>50.112400000000001</v>
      </c>
      <c r="E181" s="22"/>
      <c r="F181" s="19"/>
      <c r="G181" s="25"/>
    </row>
    <row r="182" spans="1:7" ht="29.1" customHeight="1" x14ac:dyDescent="0.2">
      <c r="A182" s="22"/>
      <c r="B182" s="4" t="s">
        <v>1118</v>
      </c>
      <c r="C182" s="24">
        <v>13.903</v>
      </c>
      <c r="D182" s="24">
        <v>13.8621</v>
      </c>
      <c r="E182" s="22"/>
      <c r="F182" s="19"/>
      <c r="G182" s="25"/>
    </row>
    <row r="183" spans="1:7" ht="29.1" customHeight="1" x14ac:dyDescent="0.2">
      <c r="A183" s="22"/>
      <c r="B183" s="4" t="s">
        <v>1122</v>
      </c>
      <c r="C183" s="24">
        <v>14.970800000000001</v>
      </c>
      <c r="D183" s="24">
        <v>14.9267</v>
      </c>
      <c r="E183" s="22"/>
      <c r="F183" s="19"/>
      <c r="G183" s="25"/>
    </row>
    <row r="184" spans="1:7" ht="14.1" customHeight="1" x14ac:dyDescent="0.2">
      <c r="A184" s="22"/>
      <c r="B184" s="22"/>
      <c r="C184" s="22"/>
      <c r="D184" s="22"/>
      <c r="E184" s="22"/>
      <c r="F184" s="22"/>
      <c r="G184" s="22"/>
    </row>
    <row r="185" spans="1:7" ht="17.100000000000001" customHeight="1" x14ac:dyDescent="0.2">
      <c r="A185" s="22"/>
      <c r="B185" s="288" t="s">
        <v>1116</v>
      </c>
      <c r="C185" s="289"/>
      <c r="D185" s="2" t="s">
        <v>142</v>
      </c>
      <c r="E185" s="22"/>
      <c r="F185" s="22"/>
      <c r="G185" s="22"/>
    </row>
    <row r="186" spans="1:7" ht="14.1" customHeight="1" x14ac:dyDescent="0.2">
      <c r="A186" s="22"/>
      <c r="B186" s="19"/>
      <c r="C186" s="19"/>
      <c r="D186" s="22"/>
      <c r="E186" s="22"/>
      <c r="F186" s="22"/>
      <c r="G186" s="22"/>
    </row>
    <row r="187" spans="1:7" ht="29.1" customHeight="1" x14ac:dyDescent="0.2">
      <c r="A187" s="22"/>
      <c r="B187" s="288" t="s">
        <v>153</v>
      </c>
      <c r="C187" s="289"/>
      <c r="D187" s="2" t="s">
        <v>1172</v>
      </c>
      <c r="E187" s="22"/>
      <c r="F187" s="22"/>
      <c r="G187" s="22"/>
    </row>
    <row r="188" spans="1:7" ht="29.1" customHeight="1" x14ac:dyDescent="0.2">
      <c r="A188" s="22"/>
      <c r="B188" s="288" t="s">
        <v>154</v>
      </c>
      <c r="C188" s="289"/>
      <c r="D188" s="2" t="s">
        <v>142</v>
      </c>
      <c r="E188" s="22"/>
      <c r="F188" s="22"/>
      <c r="G188" s="22"/>
    </row>
    <row r="189" spans="1:7" ht="17.100000000000001" customHeight="1" x14ac:dyDescent="0.2">
      <c r="A189" s="22"/>
      <c r="B189" s="288" t="s">
        <v>155</v>
      </c>
      <c r="C189" s="289"/>
      <c r="D189" s="26">
        <v>4.4448081317809098</v>
      </c>
      <c r="E189" s="22"/>
      <c r="F189" s="19"/>
      <c r="G189" s="25"/>
    </row>
    <row r="190" spans="1:7" ht="17.100000000000001" customHeight="1" x14ac:dyDescent="0.2">
      <c r="A190" s="22"/>
      <c r="B190" s="288" t="s">
        <v>156</v>
      </c>
      <c r="C190" s="289"/>
      <c r="D190" s="2" t="s">
        <v>142</v>
      </c>
      <c r="E190" s="22"/>
      <c r="F190" s="22"/>
      <c r="G190" s="22"/>
    </row>
  </sheetData>
  <mergeCells count="16">
    <mergeCell ref="A1:H1"/>
    <mergeCell ref="A2:H2"/>
    <mergeCell ref="A3:H3"/>
    <mergeCell ref="J2:N2"/>
    <mergeCell ref="B170:F170"/>
    <mergeCell ref="B168:F168"/>
    <mergeCell ref="B169:F169"/>
    <mergeCell ref="B172:C172"/>
    <mergeCell ref="B189:C189"/>
    <mergeCell ref="B190:C190"/>
    <mergeCell ref="B173:C173"/>
    <mergeCell ref="B174:C174"/>
    <mergeCell ref="B175:C175"/>
    <mergeCell ref="B185:C185"/>
    <mergeCell ref="B187:C187"/>
    <mergeCell ref="B188:C18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12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1132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755230</v>
      </c>
      <c r="F7" s="6">
        <v>5613.6245900000004</v>
      </c>
      <c r="G7" s="7">
        <v>8.1774756000000004E-2</v>
      </c>
      <c r="H7" s="6"/>
    </row>
    <row r="8" spans="1:14" x14ac:dyDescent="0.2">
      <c r="A8" s="3">
        <v>2</v>
      </c>
      <c r="B8" s="4" t="s">
        <v>380</v>
      </c>
      <c r="C8" s="4" t="s">
        <v>381</v>
      </c>
      <c r="D8" s="4" t="s">
        <v>947</v>
      </c>
      <c r="E8" s="5">
        <v>311470</v>
      </c>
      <c r="F8" s="6">
        <v>4882.4479849999998</v>
      </c>
      <c r="G8" s="7">
        <v>7.1123565E-2</v>
      </c>
      <c r="H8" s="6"/>
    </row>
    <row r="9" spans="1:14" x14ac:dyDescent="0.2">
      <c r="A9" s="3">
        <v>3</v>
      </c>
      <c r="B9" s="4" t="s">
        <v>11</v>
      </c>
      <c r="C9" s="4" t="s">
        <v>12</v>
      </c>
      <c r="D9" s="4" t="s">
        <v>13</v>
      </c>
      <c r="E9" s="5">
        <v>169781</v>
      </c>
      <c r="F9" s="6">
        <v>4737.3143524999996</v>
      </c>
      <c r="G9" s="7">
        <v>6.9009374999999998E-2</v>
      </c>
      <c r="H9" s="6"/>
    </row>
    <row r="10" spans="1:14" x14ac:dyDescent="0.2">
      <c r="A10" s="3">
        <v>4</v>
      </c>
      <c r="B10" s="4" t="s">
        <v>48</v>
      </c>
      <c r="C10" s="4" t="s">
        <v>49</v>
      </c>
      <c r="D10" s="4" t="s">
        <v>18</v>
      </c>
      <c r="E10" s="5">
        <v>595460</v>
      </c>
      <c r="F10" s="6">
        <v>2955.2679800000001</v>
      </c>
      <c r="G10" s="7">
        <v>4.3049960999999998E-2</v>
      </c>
      <c r="H10" s="6"/>
    </row>
    <row r="11" spans="1:14" x14ac:dyDescent="0.2">
      <c r="A11" s="3">
        <v>5</v>
      </c>
      <c r="B11" s="4" t="s">
        <v>416</v>
      </c>
      <c r="C11" s="4" t="s">
        <v>417</v>
      </c>
      <c r="D11" s="4" t="s">
        <v>18</v>
      </c>
      <c r="E11" s="5">
        <v>1213820</v>
      </c>
      <c r="F11" s="6">
        <v>2787.5376299999998</v>
      </c>
      <c r="G11" s="7">
        <v>4.06066E-2</v>
      </c>
      <c r="H11" s="6"/>
    </row>
    <row r="12" spans="1:14" ht="25.5" x14ac:dyDescent="0.2">
      <c r="A12" s="3">
        <v>6</v>
      </c>
      <c r="B12" s="4" t="s">
        <v>382</v>
      </c>
      <c r="C12" s="4" t="s">
        <v>383</v>
      </c>
      <c r="D12" s="4" t="s">
        <v>82</v>
      </c>
      <c r="E12" s="5">
        <v>117412</v>
      </c>
      <c r="F12" s="6">
        <v>2617.9353639999999</v>
      </c>
      <c r="G12" s="7">
        <v>3.8135970999999998E-2</v>
      </c>
      <c r="H12" s="6"/>
    </row>
    <row r="13" spans="1:14" x14ac:dyDescent="0.2">
      <c r="A13" s="3">
        <v>7</v>
      </c>
      <c r="B13" s="4" t="s">
        <v>428</v>
      </c>
      <c r="C13" s="4" t="s">
        <v>429</v>
      </c>
      <c r="D13" s="4" t="s">
        <v>302</v>
      </c>
      <c r="E13" s="5">
        <v>64955</v>
      </c>
      <c r="F13" s="6">
        <v>2561.9875874999998</v>
      </c>
      <c r="G13" s="7">
        <v>3.7320969000000002E-2</v>
      </c>
      <c r="H13" s="6"/>
    </row>
    <row r="14" spans="1:14" x14ac:dyDescent="0.2">
      <c r="A14" s="3">
        <v>8</v>
      </c>
      <c r="B14" s="4" t="s">
        <v>355</v>
      </c>
      <c r="C14" s="4" t="s">
        <v>356</v>
      </c>
      <c r="D14" s="4" t="s">
        <v>82</v>
      </c>
      <c r="E14" s="5">
        <v>17122</v>
      </c>
      <c r="F14" s="6">
        <v>2553.0871029999998</v>
      </c>
      <c r="G14" s="7">
        <v>3.7191314000000003E-2</v>
      </c>
      <c r="H14" s="6"/>
    </row>
    <row r="15" spans="1:14" x14ac:dyDescent="0.2">
      <c r="A15" s="3">
        <v>9</v>
      </c>
      <c r="B15" s="4" t="s">
        <v>14</v>
      </c>
      <c r="C15" s="4" t="s">
        <v>15</v>
      </c>
      <c r="D15" s="4" t="s">
        <v>64</v>
      </c>
      <c r="E15" s="5">
        <v>140450</v>
      </c>
      <c r="F15" s="6">
        <v>2379.714575</v>
      </c>
      <c r="G15" s="7">
        <v>3.4665763000000002E-2</v>
      </c>
      <c r="H15" s="6"/>
    </row>
    <row r="16" spans="1:14" ht="25.5" x14ac:dyDescent="0.2">
      <c r="A16" s="3">
        <v>10</v>
      </c>
      <c r="B16" s="4" t="s">
        <v>409</v>
      </c>
      <c r="C16" s="4" t="s">
        <v>926</v>
      </c>
      <c r="D16" s="4" t="s">
        <v>21</v>
      </c>
      <c r="E16" s="5">
        <v>677624</v>
      </c>
      <c r="F16" s="6">
        <v>2323.9115080000001</v>
      </c>
      <c r="G16" s="7">
        <v>3.3852869000000001E-2</v>
      </c>
      <c r="H16" s="6"/>
      <c r="J16" s="192" t="s">
        <v>1158</v>
      </c>
    </row>
    <row r="17" spans="1:10" x14ac:dyDescent="0.2">
      <c r="A17" s="3">
        <v>11</v>
      </c>
      <c r="B17" s="4" t="s">
        <v>349</v>
      </c>
      <c r="C17" s="4" t="s">
        <v>350</v>
      </c>
      <c r="D17" s="4" t="s">
        <v>18</v>
      </c>
      <c r="E17" s="5">
        <v>162831</v>
      </c>
      <c r="F17" s="6">
        <v>2254.5580260000002</v>
      </c>
      <c r="G17" s="7">
        <v>3.2842583000000002E-2</v>
      </c>
      <c r="H17" s="6"/>
    </row>
    <row r="18" spans="1:10" ht="51" x14ac:dyDescent="0.2">
      <c r="A18" s="3">
        <v>12</v>
      </c>
      <c r="B18" s="4" t="s">
        <v>83</v>
      </c>
      <c r="C18" s="4" t="s">
        <v>84</v>
      </c>
      <c r="D18" s="4" t="s">
        <v>939</v>
      </c>
      <c r="E18" s="5">
        <v>127025</v>
      </c>
      <c r="F18" s="6">
        <v>2108.4244625000001</v>
      </c>
      <c r="G18" s="7">
        <v>3.0713826999999999E-2</v>
      </c>
      <c r="H18" s="6"/>
    </row>
    <row r="19" spans="1:10" ht="25.5" x14ac:dyDescent="0.2">
      <c r="A19" s="3">
        <v>13</v>
      </c>
      <c r="B19" s="4" t="s">
        <v>325</v>
      </c>
      <c r="C19" s="4" t="s">
        <v>326</v>
      </c>
      <c r="D19" s="4" t="s">
        <v>945</v>
      </c>
      <c r="E19" s="5">
        <v>61209</v>
      </c>
      <c r="F19" s="6">
        <v>1959.8203665000001</v>
      </c>
      <c r="G19" s="7">
        <v>2.8549082999999999E-2</v>
      </c>
      <c r="H19" s="6"/>
    </row>
    <row r="20" spans="1:10" ht="51" x14ac:dyDescent="0.2">
      <c r="A20" s="3">
        <v>14</v>
      </c>
      <c r="B20" s="4" t="s">
        <v>78</v>
      </c>
      <c r="C20" s="4" t="s">
        <v>79</v>
      </c>
      <c r="D20" s="4" t="s">
        <v>939</v>
      </c>
      <c r="E20" s="5">
        <v>1482942</v>
      </c>
      <c r="F20" s="6">
        <v>1884.8192819999999</v>
      </c>
      <c r="G20" s="7">
        <v>2.7456527000000001E-2</v>
      </c>
      <c r="H20" s="6"/>
    </row>
    <row r="21" spans="1:10" ht="25.5" x14ac:dyDescent="0.2">
      <c r="A21" s="3">
        <v>15</v>
      </c>
      <c r="B21" s="4" t="s">
        <v>80</v>
      </c>
      <c r="C21" s="4" t="s">
        <v>81</v>
      </c>
      <c r="D21" s="4" t="s">
        <v>82</v>
      </c>
      <c r="E21" s="5">
        <v>247885</v>
      </c>
      <c r="F21" s="6">
        <v>1831.2504375000001</v>
      </c>
      <c r="G21" s="7">
        <v>2.6676180000000001E-2</v>
      </c>
      <c r="H21" s="6"/>
    </row>
    <row r="22" spans="1:10" x14ac:dyDescent="0.2">
      <c r="A22" s="3">
        <v>16</v>
      </c>
      <c r="B22" s="4" t="s">
        <v>309</v>
      </c>
      <c r="C22" s="4" t="s">
        <v>310</v>
      </c>
      <c r="D22" s="4" t="s">
        <v>949</v>
      </c>
      <c r="E22" s="5">
        <v>744800</v>
      </c>
      <c r="F22" s="6">
        <v>1776.7203999999999</v>
      </c>
      <c r="G22" s="7">
        <v>2.5881830000000002E-2</v>
      </c>
      <c r="H22" s="6"/>
    </row>
    <row r="23" spans="1:10" ht="25.5" x14ac:dyDescent="0.2">
      <c r="A23" s="3">
        <v>17</v>
      </c>
      <c r="B23" s="4" t="s">
        <v>432</v>
      </c>
      <c r="C23" s="4" t="s">
        <v>433</v>
      </c>
      <c r="D23" s="4" t="s">
        <v>935</v>
      </c>
      <c r="E23" s="5">
        <v>6842</v>
      </c>
      <c r="F23" s="6">
        <v>1773.5490299999999</v>
      </c>
      <c r="G23" s="7">
        <v>2.5835632000000001E-2</v>
      </c>
      <c r="H23" s="6"/>
    </row>
    <row r="24" spans="1:10" ht="15" x14ac:dyDescent="0.2">
      <c r="A24" s="3">
        <v>18</v>
      </c>
      <c r="B24" s="4" t="s">
        <v>367</v>
      </c>
      <c r="C24" s="4" t="s">
        <v>368</v>
      </c>
      <c r="D24" s="4" t="s">
        <v>233</v>
      </c>
      <c r="E24" s="5">
        <v>609355</v>
      </c>
      <c r="F24" s="6">
        <v>1627.8918825000001</v>
      </c>
      <c r="G24" s="7">
        <v>2.3713815999999999E-2</v>
      </c>
      <c r="H24" s="6"/>
      <c r="J24" s="192" t="s">
        <v>1159</v>
      </c>
    </row>
    <row r="25" spans="1:10" x14ac:dyDescent="0.2">
      <c r="A25" s="3">
        <v>19</v>
      </c>
      <c r="B25" s="4" t="s">
        <v>363</v>
      </c>
      <c r="C25" s="4" t="s">
        <v>364</v>
      </c>
      <c r="D25" s="4" t="s">
        <v>923</v>
      </c>
      <c r="E25" s="5">
        <v>166802</v>
      </c>
      <c r="F25" s="6">
        <v>1601.7162049999999</v>
      </c>
      <c r="G25" s="7">
        <v>2.3332510000000001E-2</v>
      </c>
      <c r="H25" s="6"/>
    </row>
    <row r="26" spans="1:10" ht="25.5" x14ac:dyDescent="0.2">
      <c r="A26" s="3">
        <v>20</v>
      </c>
      <c r="B26" s="4" t="s">
        <v>217</v>
      </c>
      <c r="C26" s="4" t="s">
        <v>218</v>
      </c>
      <c r="D26" s="4" t="s">
        <v>946</v>
      </c>
      <c r="E26" s="5">
        <v>40584</v>
      </c>
      <c r="F26" s="6">
        <v>1595.6817120000001</v>
      </c>
      <c r="G26" s="7">
        <v>2.3244603999999999E-2</v>
      </c>
      <c r="H26" s="6"/>
    </row>
    <row r="27" spans="1:10" x14ac:dyDescent="0.2">
      <c r="A27" s="3">
        <v>21</v>
      </c>
      <c r="B27" s="4" t="s">
        <v>38</v>
      </c>
      <c r="C27" s="4" t="s">
        <v>39</v>
      </c>
      <c r="D27" s="4" t="s">
        <v>29</v>
      </c>
      <c r="E27" s="5">
        <v>657694</v>
      </c>
      <c r="F27" s="6">
        <v>1593.921409</v>
      </c>
      <c r="G27" s="7">
        <v>2.3218961999999999E-2</v>
      </c>
      <c r="H27" s="6"/>
    </row>
    <row r="28" spans="1:10" x14ac:dyDescent="0.2">
      <c r="A28" s="3">
        <v>22</v>
      </c>
      <c r="B28" s="4" t="s">
        <v>424</v>
      </c>
      <c r="C28" s="4" t="s">
        <v>425</v>
      </c>
      <c r="D28" s="4" t="s">
        <v>959</v>
      </c>
      <c r="E28" s="5">
        <v>362330</v>
      </c>
      <c r="F28" s="6">
        <v>1585.5560800000001</v>
      </c>
      <c r="G28" s="7">
        <v>2.3097102000000001E-2</v>
      </c>
      <c r="H28" s="6"/>
    </row>
    <row r="29" spans="1:10" x14ac:dyDescent="0.2">
      <c r="A29" s="3">
        <v>23</v>
      </c>
      <c r="B29" s="4" t="s">
        <v>351</v>
      </c>
      <c r="C29" s="4" t="s">
        <v>352</v>
      </c>
      <c r="D29" s="4" t="s">
        <v>71</v>
      </c>
      <c r="E29" s="5">
        <v>32050</v>
      </c>
      <c r="F29" s="6">
        <v>1408.9981250000001</v>
      </c>
      <c r="G29" s="7">
        <v>2.0525148999999999E-2</v>
      </c>
      <c r="H29" s="6"/>
    </row>
    <row r="30" spans="1:10" x14ac:dyDescent="0.2">
      <c r="A30" s="3">
        <v>24</v>
      </c>
      <c r="B30" s="4" t="s">
        <v>392</v>
      </c>
      <c r="C30" s="4" t="s">
        <v>393</v>
      </c>
      <c r="D30" s="4" t="s">
        <v>947</v>
      </c>
      <c r="E30" s="5">
        <v>260811</v>
      </c>
      <c r="F30" s="6">
        <v>1327.0063680000001</v>
      </c>
      <c r="G30" s="7">
        <v>1.9330758999999999E-2</v>
      </c>
      <c r="H30" s="6"/>
    </row>
    <row r="31" spans="1:10" x14ac:dyDescent="0.2">
      <c r="A31" s="3">
        <v>25</v>
      </c>
      <c r="B31" s="4" t="s">
        <v>404</v>
      </c>
      <c r="C31" s="4" t="s">
        <v>405</v>
      </c>
      <c r="D31" s="4" t="s">
        <v>406</v>
      </c>
      <c r="E31" s="5">
        <v>272500</v>
      </c>
      <c r="F31" s="6">
        <v>1315.2212500000001</v>
      </c>
      <c r="G31" s="7">
        <v>1.9159083E-2</v>
      </c>
      <c r="H31" s="6"/>
    </row>
    <row r="32" spans="1:10" x14ac:dyDescent="0.2">
      <c r="A32" s="3">
        <v>26</v>
      </c>
      <c r="B32" s="4" t="s">
        <v>412</v>
      </c>
      <c r="C32" s="4" t="s">
        <v>413</v>
      </c>
      <c r="D32" s="4" t="s">
        <v>940</v>
      </c>
      <c r="E32" s="5">
        <v>190518</v>
      </c>
      <c r="F32" s="6">
        <v>1210.837149</v>
      </c>
      <c r="G32" s="7">
        <v>1.7638498999999998E-2</v>
      </c>
      <c r="H32" s="6"/>
    </row>
    <row r="33" spans="1:8" x14ac:dyDescent="0.2">
      <c r="A33" s="3">
        <v>27</v>
      </c>
      <c r="B33" s="4" t="s">
        <v>516</v>
      </c>
      <c r="C33" s="4" t="s">
        <v>517</v>
      </c>
      <c r="D33" s="4" t="s">
        <v>947</v>
      </c>
      <c r="E33" s="5">
        <v>66777</v>
      </c>
      <c r="F33" s="6">
        <v>993.70853699999998</v>
      </c>
      <c r="G33" s="7">
        <v>1.4475544999999999E-2</v>
      </c>
      <c r="H33" s="6"/>
    </row>
    <row r="34" spans="1:8" x14ac:dyDescent="0.2">
      <c r="A34" s="3">
        <v>28</v>
      </c>
      <c r="B34" s="4" t="s">
        <v>440</v>
      </c>
      <c r="C34" s="4" t="s">
        <v>441</v>
      </c>
      <c r="D34" s="4" t="s">
        <v>940</v>
      </c>
      <c r="E34" s="5">
        <v>695514</v>
      </c>
      <c r="F34" s="6">
        <v>957.02726399999995</v>
      </c>
      <c r="G34" s="7">
        <v>1.3941201E-2</v>
      </c>
      <c r="H34" s="6"/>
    </row>
    <row r="35" spans="1:8" x14ac:dyDescent="0.2">
      <c r="A35" s="3">
        <v>29</v>
      </c>
      <c r="B35" s="4" t="s">
        <v>436</v>
      </c>
      <c r="C35" s="4" t="s">
        <v>437</v>
      </c>
      <c r="D35" s="4" t="s">
        <v>71</v>
      </c>
      <c r="E35" s="5">
        <v>86708</v>
      </c>
      <c r="F35" s="6">
        <v>937.83372799999995</v>
      </c>
      <c r="G35" s="7">
        <v>1.3661606E-2</v>
      </c>
      <c r="H35" s="6"/>
    </row>
    <row r="36" spans="1:8" ht="14.1" customHeight="1" x14ac:dyDescent="0.2">
      <c r="A36" s="1"/>
      <c r="B36" s="1"/>
      <c r="C36" s="2" t="s">
        <v>111</v>
      </c>
      <c r="D36" s="1"/>
      <c r="E36" s="1" t="s">
        <v>112</v>
      </c>
      <c r="F36" s="9">
        <v>63157.370388999989</v>
      </c>
      <c r="G36" s="10">
        <v>0.92002564100000017</v>
      </c>
      <c r="H36" s="6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6"/>
    </row>
    <row r="38" spans="1:8" ht="14.1" customHeight="1" x14ac:dyDescent="0.2">
      <c r="A38" s="1"/>
      <c r="B38" s="1"/>
      <c r="C38" s="2" t="s">
        <v>113</v>
      </c>
      <c r="D38" s="1"/>
      <c r="E38" s="1"/>
      <c r="F38" s="1"/>
      <c r="G38" s="1"/>
      <c r="H38" s="6"/>
    </row>
    <row r="39" spans="1:8" ht="14.1" customHeight="1" x14ac:dyDescent="0.2">
      <c r="A39" s="1"/>
      <c r="B39" s="1"/>
      <c r="C39" s="2" t="s">
        <v>111</v>
      </c>
      <c r="D39" s="1"/>
      <c r="E39" s="1" t="s">
        <v>112</v>
      </c>
      <c r="F39" s="13">
        <v>0</v>
      </c>
      <c r="G39" s="14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4.1" customHeight="1" x14ac:dyDescent="0.2">
      <c r="A41" s="1"/>
      <c r="B41" s="1"/>
      <c r="C41" s="2" t="s">
        <v>114</v>
      </c>
      <c r="D41" s="1"/>
      <c r="E41" s="1"/>
      <c r="F41" s="1"/>
      <c r="G41" s="1"/>
      <c r="H41" s="6"/>
    </row>
    <row r="42" spans="1:8" ht="14.1" customHeight="1" x14ac:dyDescent="0.2">
      <c r="A42" s="1"/>
      <c r="B42" s="1"/>
      <c r="C42" s="2" t="s">
        <v>111</v>
      </c>
      <c r="D42" s="1"/>
      <c r="E42" s="1" t="s">
        <v>112</v>
      </c>
      <c r="F42" s="13">
        <v>0</v>
      </c>
      <c r="G42" s="14">
        <v>0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115</v>
      </c>
      <c r="D44" s="1"/>
      <c r="E44" s="1"/>
      <c r="F44" s="1"/>
      <c r="G44" s="1"/>
      <c r="H44" s="6"/>
    </row>
    <row r="45" spans="1:8" ht="14.1" customHeight="1" x14ac:dyDescent="0.2">
      <c r="A45" s="1"/>
      <c r="B45" s="1"/>
      <c r="C45" s="2" t="s">
        <v>111</v>
      </c>
      <c r="D45" s="1"/>
      <c r="E45" s="1" t="s">
        <v>112</v>
      </c>
      <c r="F45" s="9">
        <v>0</v>
      </c>
      <c r="G45" s="10">
        <v>0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116</v>
      </c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111</v>
      </c>
      <c r="D48" s="1"/>
      <c r="E48" s="1" t="s">
        <v>112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117</v>
      </c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111</v>
      </c>
      <c r="D51" s="1"/>
      <c r="E51" s="1" t="s">
        <v>112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8" customHeight="1" x14ac:dyDescent="0.2">
      <c r="A53" s="1"/>
      <c r="B53" s="1"/>
      <c r="C53" s="2" t="s">
        <v>118</v>
      </c>
      <c r="D53" s="1"/>
      <c r="E53" s="1"/>
      <c r="F53" s="9">
        <v>63157.370389000003</v>
      </c>
      <c r="G53" s="10">
        <v>0.92002564099999995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119</v>
      </c>
      <c r="D55" s="1"/>
      <c r="E55" s="1"/>
      <c r="F55" s="12"/>
      <c r="G55" s="12"/>
      <c r="H55" s="6"/>
    </row>
    <row r="56" spans="1:8" ht="24" customHeight="1" x14ac:dyDescent="0.2">
      <c r="A56" s="1"/>
      <c r="B56" s="1"/>
      <c r="C56" s="2" t="s">
        <v>10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111</v>
      </c>
      <c r="D57" s="1"/>
      <c r="E57" s="1" t="s">
        <v>112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120</v>
      </c>
      <c r="D59" s="1"/>
      <c r="E59" s="1"/>
      <c r="F59" s="1"/>
      <c r="G59" s="1"/>
      <c r="H59" s="6"/>
    </row>
    <row r="60" spans="1:8" ht="14.1" customHeight="1" x14ac:dyDescent="0.2">
      <c r="A60" s="1"/>
      <c r="B60" s="1"/>
      <c r="C60" s="2" t="s">
        <v>111</v>
      </c>
      <c r="D60" s="1"/>
      <c r="E60" s="1" t="s">
        <v>112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121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111</v>
      </c>
      <c r="D63" s="1"/>
      <c r="E63" s="1" t="s">
        <v>112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122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123</v>
      </c>
      <c r="D68" s="1"/>
      <c r="E68" s="1"/>
      <c r="F68" s="9">
        <v>0</v>
      </c>
      <c r="G68" s="10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124</v>
      </c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125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126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127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128</v>
      </c>
      <c r="D80" s="1"/>
      <c r="E80" s="1"/>
      <c r="F80" s="12"/>
      <c r="G80" s="12"/>
      <c r="H80" s="6"/>
    </row>
    <row r="81" spans="1:8" ht="17.100000000000001" customHeight="1" x14ac:dyDescent="0.2">
      <c r="A81" s="3">
        <v>1</v>
      </c>
      <c r="B81" s="4"/>
      <c r="C81" s="4" t="s">
        <v>129</v>
      </c>
      <c r="D81" s="4"/>
      <c r="E81" s="8"/>
      <c r="F81" s="6">
        <v>5255.3860408999999</v>
      </c>
      <c r="G81" s="7">
        <v>7.6556226000000005E-2</v>
      </c>
      <c r="H81" s="6">
        <v>3.9343919198424624</v>
      </c>
    </row>
    <row r="82" spans="1:8" ht="17.100000000000001" customHeight="1" x14ac:dyDescent="0.2">
      <c r="A82" s="3">
        <v>2</v>
      </c>
      <c r="B82" s="4"/>
      <c r="C82" s="4" t="s">
        <v>130</v>
      </c>
      <c r="D82" s="4"/>
      <c r="E82" s="8"/>
      <c r="F82" s="6">
        <v>345.17133369999999</v>
      </c>
      <c r="G82" s="7">
        <v>5.0281780000000003E-3</v>
      </c>
      <c r="H82" s="6">
        <v>3.8</v>
      </c>
    </row>
    <row r="83" spans="1:8" ht="14.1" customHeight="1" x14ac:dyDescent="0.2">
      <c r="A83" s="1"/>
      <c r="B83" s="1"/>
      <c r="C83" s="2" t="s">
        <v>111</v>
      </c>
      <c r="D83" s="1"/>
      <c r="E83" s="1" t="s">
        <v>112</v>
      </c>
      <c r="F83" s="9">
        <v>5600.5573746</v>
      </c>
      <c r="G83" s="10">
        <v>8.1584403999999999E-2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131</v>
      </c>
      <c r="D85" s="1"/>
      <c r="E85" s="1"/>
      <c r="F85" s="9">
        <v>5600.5573746</v>
      </c>
      <c r="G85" s="10">
        <v>8.1584403999999999E-2</v>
      </c>
      <c r="H85" s="6"/>
    </row>
    <row r="86" spans="1:8" ht="14.1" customHeight="1" x14ac:dyDescent="0.2">
      <c r="A86" s="1"/>
      <c r="B86" s="1"/>
      <c r="C86" s="12"/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132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133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134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135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24" customHeight="1" x14ac:dyDescent="0.2">
      <c r="A96" s="1"/>
      <c r="B96" s="1"/>
      <c r="C96" s="2" t="s">
        <v>136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4"/>
      <c r="C99" s="4"/>
      <c r="D99" s="2"/>
      <c r="E99" s="1"/>
      <c r="F99" s="4"/>
      <c r="G99" s="8"/>
      <c r="H99" s="6"/>
    </row>
    <row r="100" spans="1:8" ht="18" customHeight="1" x14ac:dyDescent="0.2">
      <c r="A100" s="8"/>
      <c r="B100" s="4"/>
      <c r="C100" s="4" t="s">
        <v>137</v>
      </c>
      <c r="D100" s="4"/>
      <c r="E100" s="8"/>
      <c r="F100" s="6">
        <v>-110.52553372</v>
      </c>
      <c r="G100" s="7">
        <v>-1.6100470000000001E-3</v>
      </c>
      <c r="H100" s="6"/>
    </row>
    <row r="101" spans="1:8" ht="14.1" customHeight="1" x14ac:dyDescent="0.2">
      <c r="A101" s="11"/>
      <c r="B101" s="11"/>
      <c r="C101" s="2" t="s">
        <v>138</v>
      </c>
      <c r="D101" s="15"/>
      <c r="E101" s="15"/>
      <c r="F101" s="9">
        <v>68647.402229879997</v>
      </c>
      <c r="G101" s="10">
        <v>0.99999999799999995</v>
      </c>
      <c r="H101" s="6"/>
    </row>
    <row r="102" spans="1:8" ht="14.1" customHeight="1" x14ac:dyDescent="0.2">
      <c r="A102" s="18"/>
      <c r="B102" s="297" t="s">
        <v>112</v>
      </c>
      <c r="C102" s="297"/>
      <c r="D102" s="297"/>
      <c r="E102" s="297"/>
      <c r="F102" s="297"/>
      <c r="G102" s="20"/>
    </row>
    <row r="103" spans="1:8" ht="14.1" customHeight="1" x14ac:dyDescent="0.2">
      <c r="A103" s="18"/>
      <c r="B103" s="18"/>
      <c r="C103" s="18"/>
      <c r="D103" s="20"/>
      <c r="E103" s="20"/>
      <c r="F103" s="20"/>
      <c r="G103" s="20"/>
    </row>
    <row r="104" spans="1:8" ht="14.1" customHeight="1" x14ac:dyDescent="0.2">
      <c r="A104" s="18"/>
      <c r="B104" s="294" t="s">
        <v>140</v>
      </c>
      <c r="C104" s="295"/>
      <c r="D104" s="12" t="s">
        <v>112</v>
      </c>
      <c r="E104" s="21"/>
      <c r="F104" s="20"/>
      <c r="G104" s="20"/>
    </row>
    <row r="105" spans="1:8" ht="29.1" customHeight="1" x14ac:dyDescent="0.2">
      <c r="A105" s="18"/>
      <c r="B105" s="288" t="s">
        <v>141</v>
      </c>
      <c r="C105" s="289"/>
      <c r="D105" s="2" t="s">
        <v>142</v>
      </c>
      <c r="E105" s="21"/>
      <c r="F105" s="20"/>
      <c r="G105" s="20"/>
    </row>
    <row r="106" spans="1:8" ht="17.100000000000001" customHeight="1" x14ac:dyDescent="0.2">
      <c r="A106" s="18"/>
      <c r="B106" s="288" t="s">
        <v>143</v>
      </c>
      <c r="C106" s="289"/>
      <c r="D106" s="2" t="s">
        <v>142</v>
      </c>
      <c r="E106" s="21"/>
      <c r="F106" s="20"/>
      <c r="G106" s="20"/>
    </row>
    <row r="107" spans="1:8" ht="17.100000000000001" customHeight="1" x14ac:dyDescent="0.2">
      <c r="A107" s="18"/>
      <c r="B107" s="288" t="s">
        <v>144</v>
      </c>
      <c r="C107" s="289"/>
      <c r="D107" s="12" t="s">
        <v>112</v>
      </c>
      <c r="E107" s="21"/>
      <c r="F107" s="20"/>
      <c r="G107" s="20"/>
    </row>
    <row r="108" spans="1:8" ht="24" customHeight="1" x14ac:dyDescent="0.2">
      <c r="A108" s="22"/>
      <c r="B108" s="23" t="s">
        <v>112</v>
      </c>
      <c r="C108" s="23" t="s">
        <v>145</v>
      </c>
      <c r="D108" s="23" t="s">
        <v>146</v>
      </c>
      <c r="E108" s="22"/>
      <c r="F108" s="22"/>
      <c r="G108" s="22"/>
    </row>
    <row r="109" spans="1:8" ht="18" customHeight="1" x14ac:dyDescent="0.2">
      <c r="A109" s="22"/>
      <c r="B109" s="23" t="s">
        <v>147</v>
      </c>
      <c r="C109" s="23" t="s">
        <v>148</v>
      </c>
      <c r="D109" s="23" t="s">
        <v>149</v>
      </c>
      <c r="E109" s="22"/>
      <c r="F109" s="22"/>
      <c r="G109" s="22"/>
    </row>
    <row r="110" spans="1:8" ht="17.100000000000001" customHeight="1" x14ac:dyDescent="0.2">
      <c r="A110" s="22"/>
      <c r="B110" s="4" t="s">
        <v>150</v>
      </c>
      <c r="C110" s="24">
        <v>117.2132</v>
      </c>
      <c r="D110" s="24">
        <v>113.6024</v>
      </c>
      <c r="E110" s="22"/>
      <c r="F110" s="19"/>
      <c r="G110" s="25"/>
    </row>
    <row r="111" spans="1:8" ht="29.1" customHeight="1" x14ac:dyDescent="0.2">
      <c r="A111" s="22"/>
      <c r="B111" s="4" t="s">
        <v>1117</v>
      </c>
      <c r="C111" s="24">
        <v>37.104199999999999</v>
      </c>
      <c r="D111" s="24">
        <v>35.959800000000001</v>
      </c>
      <c r="E111" s="22"/>
      <c r="F111" s="19"/>
      <c r="G111" s="25"/>
    </row>
    <row r="112" spans="1:8" ht="17.100000000000001" customHeight="1" x14ac:dyDescent="0.2">
      <c r="A112" s="22"/>
      <c r="B112" s="4" t="s">
        <v>151</v>
      </c>
      <c r="C112" s="24">
        <v>109.5401</v>
      </c>
      <c r="D112" s="24">
        <v>106.07810000000001</v>
      </c>
      <c r="E112" s="22"/>
      <c r="F112" s="19"/>
      <c r="G112" s="25"/>
    </row>
    <row r="113" spans="1:15" ht="29.1" customHeight="1" x14ac:dyDescent="0.2">
      <c r="A113" s="22"/>
      <c r="B113" s="4" t="s">
        <v>1118</v>
      </c>
      <c r="C113" s="24">
        <v>35.311500000000002</v>
      </c>
      <c r="D113" s="24">
        <v>34.195500000000003</v>
      </c>
      <c r="E113" s="22"/>
      <c r="F113" s="19"/>
      <c r="G113" s="25"/>
    </row>
    <row r="114" spans="1:15" ht="14.1" customHeight="1" x14ac:dyDescent="0.2">
      <c r="A114" s="22"/>
      <c r="B114" s="22"/>
      <c r="C114" s="22"/>
      <c r="D114" s="22"/>
      <c r="E114" s="22"/>
      <c r="F114" s="22"/>
      <c r="G114" s="22"/>
    </row>
    <row r="115" spans="1:15" ht="17.100000000000001" customHeight="1" x14ac:dyDescent="0.2">
      <c r="A115" s="22"/>
      <c r="B115" s="288" t="s">
        <v>1116</v>
      </c>
      <c r="C115" s="289"/>
      <c r="D115" s="2" t="s">
        <v>142</v>
      </c>
      <c r="E115" s="22"/>
      <c r="F115" s="22"/>
      <c r="G115" s="22"/>
    </row>
    <row r="116" spans="1:15" ht="14.1" customHeight="1" x14ac:dyDescent="0.2">
      <c r="A116" s="22"/>
      <c r="B116" s="19"/>
      <c r="C116" s="19"/>
      <c r="D116" s="22"/>
      <c r="E116" s="22"/>
      <c r="F116" s="22"/>
      <c r="G116" s="22"/>
    </row>
    <row r="117" spans="1:15" ht="29.1" customHeight="1" x14ac:dyDescent="0.2">
      <c r="A117" s="22"/>
      <c r="B117" s="288" t="s">
        <v>153</v>
      </c>
      <c r="C117" s="289"/>
      <c r="D117" s="2" t="s">
        <v>142</v>
      </c>
      <c r="E117" s="22"/>
      <c r="F117" s="22"/>
      <c r="G117" s="22"/>
    </row>
    <row r="118" spans="1:15" ht="29.1" customHeight="1" x14ac:dyDescent="0.2">
      <c r="A118" s="22"/>
      <c r="B118" s="288" t="s">
        <v>154</v>
      </c>
      <c r="C118" s="289"/>
      <c r="D118" s="2" t="s">
        <v>142</v>
      </c>
      <c r="E118" s="22"/>
      <c r="F118" s="22"/>
      <c r="G118" s="22"/>
    </row>
    <row r="119" spans="1:15" ht="17.100000000000001" customHeight="1" x14ac:dyDescent="0.2">
      <c r="A119" s="22"/>
      <c r="B119" s="288" t="s">
        <v>155</v>
      </c>
      <c r="C119" s="289"/>
      <c r="D119" s="26">
        <v>0.49956534189462753</v>
      </c>
      <c r="E119" s="22"/>
      <c r="F119" s="19"/>
      <c r="G119" s="25"/>
    </row>
    <row r="120" spans="1:15" ht="17.100000000000001" customHeight="1" x14ac:dyDescent="0.2">
      <c r="A120" s="22"/>
      <c r="B120" s="288" t="s">
        <v>156</v>
      </c>
      <c r="C120" s="289"/>
      <c r="D120" s="2" t="s">
        <v>142</v>
      </c>
      <c r="E120" s="22"/>
      <c r="F120" s="22"/>
      <c r="G120" s="22"/>
    </row>
    <row r="121" spans="1:15" x14ac:dyDescent="0.2">
      <c r="J121" s="66"/>
      <c r="K121" s="66"/>
      <c r="L121" s="66"/>
      <c r="M121" s="66"/>
      <c r="N121" s="66"/>
      <c r="O121" s="66"/>
    </row>
  </sheetData>
  <mergeCells count="14">
    <mergeCell ref="A1:H1"/>
    <mergeCell ref="A2:H2"/>
    <mergeCell ref="A3:H3"/>
    <mergeCell ref="B104:C104"/>
    <mergeCell ref="J2:N2"/>
    <mergeCell ref="B102:F102"/>
    <mergeCell ref="B119:C119"/>
    <mergeCell ref="B120:C120"/>
    <mergeCell ref="B105:C105"/>
    <mergeCell ref="B106:C106"/>
    <mergeCell ref="B107:C107"/>
    <mergeCell ref="B115:C115"/>
    <mergeCell ref="B117:C117"/>
    <mergeCell ref="B118:C11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O18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1133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993969</v>
      </c>
      <c r="F7" s="6">
        <v>7388.1715770000001</v>
      </c>
      <c r="G7" s="7">
        <v>4.0862908000000003E-2</v>
      </c>
      <c r="H7" s="6"/>
    </row>
    <row r="8" spans="1:14" x14ac:dyDescent="0.2">
      <c r="A8" s="3">
        <v>2</v>
      </c>
      <c r="B8" s="4" t="s">
        <v>48</v>
      </c>
      <c r="C8" s="4" t="s">
        <v>49</v>
      </c>
      <c r="D8" s="4" t="s">
        <v>18</v>
      </c>
      <c r="E8" s="5">
        <v>1253000</v>
      </c>
      <c r="F8" s="6">
        <v>6218.6390000000001</v>
      </c>
      <c r="G8" s="7">
        <v>3.4394392000000003E-2</v>
      </c>
      <c r="H8" s="6"/>
    </row>
    <row r="9" spans="1:14" x14ac:dyDescent="0.2">
      <c r="A9" s="3">
        <v>3</v>
      </c>
      <c r="B9" s="4" t="s">
        <v>11</v>
      </c>
      <c r="C9" s="4" t="s">
        <v>12</v>
      </c>
      <c r="D9" s="4" t="s">
        <v>13</v>
      </c>
      <c r="E9" s="5">
        <v>217723</v>
      </c>
      <c r="F9" s="6">
        <v>6075.0160075000003</v>
      </c>
      <c r="G9" s="7">
        <v>3.3600034000000001E-2</v>
      </c>
      <c r="H9" s="6"/>
    </row>
    <row r="10" spans="1:14" x14ac:dyDescent="0.2">
      <c r="A10" s="3">
        <v>4</v>
      </c>
      <c r="B10" s="4" t="s">
        <v>294</v>
      </c>
      <c r="C10" s="4" t="s">
        <v>295</v>
      </c>
      <c r="D10" s="4" t="s">
        <v>18</v>
      </c>
      <c r="E10" s="5">
        <v>741897</v>
      </c>
      <c r="F10" s="6">
        <v>5405.461542</v>
      </c>
      <c r="G10" s="7">
        <v>2.9896824999999998E-2</v>
      </c>
      <c r="H10" s="6"/>
    </row>
    <row r="11" spans="1:14" x14ac:dyDescent="0.2">
      <c r="A11" s="3">
        <v>5</v>
      </c>
      <c r="B11" s="4" t="s">
        <v>380</v>
      </c>
      <c r="C11" s="4" t="s">
        <v>381</v>
      </c>
      <c r="D11" s="4" t="s">
        <v>947</v>
      </c>
      <c r="E11" s="5">
        <v>333000</v>
      </c>
      <c r="F11" s="6">
        <v>5219.9414999999999</v>
      </c>
      <c r="G11" s="7">
        <v>2.8870740999999998E-2</v>
      </c>
      <c r="H11" s="6"/>
    </row>
    <row r="12" spans="1:14" ht="51" x14ac:dyDescent="0.2">
      <c r="A12" s="3">
        <v>6</v>
      </c>
      <c r="B12" s="4" t="s">
        <v>78</v>
      </c>
      <c r="C12" s="4" t="s">
        <v>79</v>
      </c>
      <c r="D12" s="4" t="s">
        <v>939</v>
      </c>
      <c r="E12" s="5">
        <v>3870000</v>
      </c>
      <c r="F12" s="6">
        <v>4918.7700000000004</v>
      </c>
      <c r="G12" s="7">
        <v>2.7205005000000001E-2</v>
      </c>
      <c r="H12" s="6"/>
    </row>
    <row r="13" spans="1:14" x14ac:dyDescent="0.2">
      <c r="A13" s="3">
        <v>7</v>
      </c>
      <c r="B13" s="4" t="s">
        <v>24</v>
      </c>
      <c r="C13" s="4" t="s">
        <v>25</v>
      </c>
      <c r="D13" s="4" t="s">
        <v>26</v>
      </c>
      <c r="E13" s="5">
        <v>185969</v>
      </c>
      <c r="F13" s="6">
        <v>4623.4682935000001</v>
      </c>
      <c r="G13" s="7">
        <v>2.5571733999999999E-2</v>
      </c>
      <c r="H13" s="6"/>
    </row>
    <row r="14" spans="1:14" x14ac:dyDescent="0.2">
      <c r="A14" s="3">
        <v>8</v>
      </c>
      <c r="B14" s="4" t="s">
        <v>416</v>
      </c>
      <c r="C14" s="4" t="s">
        <v>417</v>
      </c>
      <c r="D14" s="4" t="s">
        <v>18</v>
      </c>
      <c r="E14" s="5">
        <v>1899000</v>
      </c>
      <c r="F14" s="6">
        <v>4361.0535</v>
      </c>
      <c r="G14" s="7">
        <v>2.4120355999999999E-2</v>
      </c>
      <c r="H14" s="6"/>
    </row>
    <row r="15" spans="1:14" ht="15" x14ac:dyDescent="0.2">
      <c r="A15" s="3">
        <v>9</v>
      </c>
      <c r="B15" s="4" t="s">
        <v>191</v>
      </c>
      <c r="C15" s="4" t="s">
        <v>192</v>
      </c>
      <c r="D15" s="4" t="s">
        <v>26</v>
      </c>
      <c r="E15" s="5">
        <v>339107</v>
      </c>
      <c r="F15" s="6">
        <v>4093.6997040000001</v>
      </c>
      <c r="G15" s="7">
        <v>2.2641661E-2</v>
      </c>
      <c r="H15" s="6"/>
      <c r="J15" s="192" t="s">
        <v>1160</v>
      </c>
    </row>
    <row r="16" spans="1:14" ht="25.5" x14ac:dyDescent="0.2">
      <c r="A16" s="3">
        <v>10</v>
      </c>
      <c r="B16" s="4" t="s">
        <v>382</v>
      </c>
      <c r="C16" s="4" t="s">
        <v>383</v>
      </c>
      <c r="D16" s="4" t="s">
        <v>82</v>
      </c>
      <c r="E16" s="5">
        <v>175000</v>
      </c>
      <c r="F16" s="6">
        <v>3901.9749999999999</v>
      </c>
      <c r="G16" s="7">
        <v>2.1581258999999998E-2</v>
      </c>
      <c r="H16" s="6"/>
    </row>
    <row r="17" spans="1:10" x14ac:dyDescent="0.2">
      <c r="A17" s="3">
        <v>11</v>
      </c>
      <c r="B17" s="4" t="s">
        <v>286</v>
      </c>
      <c r="C17" s="4" t="s">
        <v>287</v>
      </c>
      <c r="D17" s="4" t="s">
        <v>952</v>
      </c>
      <c r="E17" s="5">
        <v>8442</v>
      </c>
      <c r="F17" s="6">
        <v>3847.7580750000002</v>
      </c>
      <c r="G17" s="7">
        <v>2.1281392999999999E-2</v>
      </c>
      <c r="H17" s="6"/>
    </row>
    <row r="18" spans="1:10" x14ac:dyDescent="0.2">
      <c r="A18" s="3">
        <v>12</v>
      </c>
      <c r="B18" s="4" t="s">
        <v>349</v>
      </c>
      <c r="C18" s="4" t="s">
        <v>350</v>
      </c>
      <c r="D18" s="4" t="s">
        <v>18</v>
      </c>
      <c r="E18" s="5">
        <v>258000</v>
      </c>
      <c r="F18" s="6">
        <v>3572.268</v>
      </c>
      <c r="G18" s="7">
        <v>1.9757697000000001E-2</v>
      </c>
      <c r="H18" s="6"/>
    </row>
    <row r="19" spans="1:10" x14ac:dyDescent="0.2">
      <c r="A19" s="3">
        <v>13</v>
      </c>
      <c r="B19" s="4" t="s">
        <v>363</v>
      </c>
      <c r="C19" s="4" t="s">
        <v>364</v>
      </c>
      <c r="D19" s="4" t="s">
        <v>923</v>
      </c>
      <c r="E19" s="5">
        <v>355771</v>
      </c>
      <c r="F19" s="6">
        <v>3416.2910274999999</v>
      </c>
      <c r="G19" s="7">
        <v>1.8895011E-2</v>
      </c>
      <c r="H19" s="6"/>
    </row>
    <row r="20" spans="1:10" ht="51" x14ac:dyDescent="0.2">
      <c r="A20" s="3">
        <v>14</v>
      </c>
      <c r="B20" s="4" t="s">
        <v>83</v>
      </c>
      <c r="C20" s="4" t="s">
        <v>84</v>
      </c>
      <c r="D20" s="4" t="s">
        <v>939</v>
      </c>
      <c r="E20" s="5">
        <v>196629</v>
      </c>
      <c r="F20" s="6">
        <v>3263.7464565</v>
      </c>
      <c r="G20" s="7">
        <v>1.8051309000000001E-2</v>
      </c>
      <c r="H20" s="6"/>
    </row>
    <row r="21" spans="1:10" x14ac:dyDescent="0.2">
      <c r="A21" s="3">
        <v>15</v>
      </c>
      <c r="B21" s="4" t="s">
        <v>384</v>
      </c>
      <c r="C21" s="4" t="s">
        <v>385</v>
      </c>
      <c r="D21" s="4" t="s">
        <v>947</v>
      </c>
      <c r="E21" s="5">
        <v>92000</v>
      </c>
      <c r="F21" s="6">
        <v>3262.9639999999999</v>
      </c>
      <c r="G21" s="7">
        <v>1.8046982E-2</v>
      </c>
      <c r="H21" s="6"/>
    </row>
    <row r="22" spans="1:10" ht="25.5" x14ac:dyDescent="0.2">
      <c r="A22" s="3">
        <v>16</v>
      </c>
      <c r="B22" s="4" t="s">
        <v>284</v>
      </c>
      <c r="C22" s="4" t="s">
        <v>285</v>
      </c>
      <c r="D22" s="4" t="s">
        <v>946</v>
      </c>
      <c r="E22" s="5">
        <v>127085</v>
      </c>
      <c r="F22" s="6">
        <v>3193.264795</v>
      </c>
      <c r="G22" s="7">
        <v>1.7661485000000001E-2</v>
      </c>
      <c r="H22" s="6"/>
    </row>
    <row r="23" spans="1:10" x14ac:dyDescent="0.2">
      <c r="A23" s="3">
        <v>17</v>
      </c>
      <c r="B23" s="4" t="s">
        <v>193</v>
      </c>
      <c r="C23" s="4" t="s">
        <v>194</v>
      </c>
      <c r="D23" s="4" t="s">
        <v>947</v>
      </c>
      <c r="E23" s="5">
        <v>566505</v>
      </c>
      <c r="F23" s="6">
        <v>3137.5879424999998</v>
      </c>
      <c r="G23" s="7">
        <v>1.7353545000000001E-2</v>
      </c>
      <c r="H23" s="6"/>
    </row>
    <row r="24" spans="1:10" x14ac:dyDescent="0.2">
      <c r="A24" s="3">
        <v>18</v>
      </c>
      <c r="B24" s="4" t="s">
        <v>290</v>
      </c>
      <c r="C24" s="4" t="s">
        <v>291</v>
      </c>
      <c r="D24" s="4" t="s">
        <v>18</v>
      </c>
      <c r="E24" s="5">
        <v>2761290</v>
      </c>
      <c r="F24" s="6">
        <v>3117.4964100000002</v>
      </c>
      <c r="G24" s="7">
        <v>1.7242421000000001E-2</v>
      </c>
      <c r="H24" s="6"/>
    </row>
    <row r="25" spans="1:10" x14ac:dyDescent="0.2">
      <c r="A25" s="3">
        <v>19</v>
      </c>
      <c r="B25" s="4" t="s">
        <v>307</v>
      </c>
      <c r="C25" s="4" t="s">
        <v>308</v>
      </c>
      <c r="D25" s="4" t="s">
        <v>933</v>
      </c>
      <c r="E25" s="5">
        <v>377000</v>
      </c>
      <c r="F25" s="6">
        <v>2856.152</v>
      </c>
      <c r="G25" s="7">
        <v>1.5796963000000001E-2</v>
      </c>
      <c r="H25" s="6"/>
    </row>
    <row r="26" spans="1:10" x14ac:dyDescent="0.2">
      <c r="A26" s="3">
        <v>20</v>
      </c>
      <c r="B26" s="4" t="s">
        <v>434</v>
      </c>
      <c r="C26" s="4" t="s">
        <v>435</v>
      </c>
      <c r="D26" s="4" t="s">
        <v>959</v>
      </c>
      <c r="E26" s="5">
        <v>37000</v>
      </c>
      <c r="F26" s="6">
        <v>2855.5859999999998</v>
      </c>
      <c r="G26" s="7">
        <v>1.5793833E-2</v>
      </c>
      <c r="H26" s="6"/>
    </row>
    <row r="27" spans="1:10" x14ac:dyDescent="0.2">
      <c r="A27" s="3">
        <v>21</v>
      </c>
      <c r="B27" s="4" t="s">
        <v>424</v>
      </c>
      <c r="C27" s="4" t="s">
        <v>425</v>
      </c>
      <c r="D27" s="4" t="s">
        <v>959</v>
      </c>
      <c r="E27" s="5">
        <v>639435</v>
      </c>
      <c r="F27" s="6">
        <v>2798.1675599999999</v>
      </c>
      <c r="G27" s="7">
        <v>1.547626E-2</v>
      </c>
      <c r="H27" s="6"/>
    </row>
    <row r="28" spans="1:10" x14ac:dyDescent="0.2">
      <c r="A28" s="3">
        <v>22</v>
      </c>
      <c r="B28" s="4" t="s">
        <v>92</v>
      </c>
      <c r="C28" s="4" t="s">
        <v>93</v>
      </c>
      <c r="D28" s="4" t="s">
        <v>923</v>
      </c>
      <c r="E28" s="5">
        <v>604958</v>
      </c>
      <c r="F28" s="6">
        <v>2757.3985640000001</v>
      </c>
      <c r="G28" s="7">
        <v>1.5250771999999999E-2</v>
      </c>
      <c r="H28" s="6"/>
    </row>
    <row r="29" spans="1:10" x14ac:dyDescent="0.2">
      <c r="A29" s="3">
        <v>23</v>
      </c>
      <c r="B29" s="4" t="s">
        <v>14</v>
      </c>
      <c r="C29" s="4" t="s">
        <v>15</v>
      </c>
      <c r="D29" s="4" t="s">
        <v>64</v>
      </c>
      <c r="E29" s="5">
        <v>159697</v>
      </c>
      <c r="F29" s="6">
        <v>2705.8261195</v>
      </c>
      <c r="G29" s="7">
        <v>1.4965533E-2</v>
      </c>
      <c r="H29" s="6"/>
    </row>
    <row r="30" spans="1:10" x14ac:dyDescent="0.2">
      <c r="A30" s="3">
        <v>24</v>
      </c>
      <c r="B30" s="4" t="s">
        <v>355</v>
      </c>
      <c r="C30" s="4" t="s">
        <v>356</v>
      </c>
      <c r="D30" s="4" t="s">
        <v>82</v>
      </c>
      <c r="E30" s="5">
        <v>18101</v>
      </c>
      <c r="F30" s="6">
        <v>2699.0672614999999</v>
      </c>
      <c r="G30" s="7">
        <v>1.4928149999999999E-2</v>
      </c>
      <c r="H30" s="6"/>
    </row>
    <row r="31" spans="1:10" ht="15" x14ac:dyDescent="0.2">
      <c r="A31" s="3">
        <v>25</v>
      </c>
      <c r="B31" s="4" t="s">
        <v>516</v>
      </c>
      <c r="C31" s="4" t="s">
        <v>517</v>
      </c>
      <c r="D31" s="4" t="s">
        <v>947</v>
      </c>
      <c r="E31" s="5">
        <v>178535</v>
      </c>
      <c r="F31" s="6">
        <v>2656.7793350000002</v>
      </c>
      <c r="G31" s="7">
        <v>1.4694262E-2</v>
      </c>
      <c r="H31" s="6"/>
      <c r="J31" s="192" t="s">
        <v>1161</v>
      </c>
    </row>
    <row r="32" spans="1:10" x14ac:dyDescent="0.2">
      <c r="A32" s="3">
        <v>26</v>
      </c>
      <c r="B32" s="4" t="s">
        <v>412</v>
      </c>
      <c r="C32" s="4" t="s">
        <v>413</v>
      </c>
      <c r="D32" s="4" t="s">
        <v>940</v>
      </c>
      <c r="E32" s="5">
        <v>379063</v>
      </c>
      <c r="F32" s="6">
        <v>2409.1348965000002</v>
      </c>
      <c r="G32" s="7">
        <v>1.3324575999999999E-2</v>
      </c>
      <c r="H32" s="6"/>
    </row>
    <row r="33" spans="1:8" ht="25.5" x14ac:dyDescent="0.2">
      <c r="A33" s="3">
        <v>27</v>
      </c>
      <c r="B33" s="4" t="s">
        <v>325</v>
      </c>
      <c r="C33" s="4" t="s">
        <v>326</v>
      </c>
      <c r="D33" s="4" t="s">
        <v>945</v>
      </c>
      <c r="E33" s="5">
        <v>74265</v>
      </c>
      <c r="F33" s="6">
        <v>2377.8539025</v>
      </c>
      <c r="G33" s="7">
        <v>1.3151566E-2</v>
      </c>
      <c r="H33" s="6"/>
    </row>
    <row r="34" spans="1:8" x14ac:dyDescent="0.2">
      <c r="A34" s="3">
        <v>28</v>
      </c>
      <c r="B34" s="4" t="s">
        <v>418</v>
      </c>
      <c r="C34" s="4" t="s">
        <v>419</v>
      </c>
      <c r="D34" s="4" t="s">
        <v>82</v>
      </c>
      <c r="E34" s="5">
        <v>35258</v>
      </c>
      <c r="F34" s="6">
        <v>2352.3432440000001</v>
      </c>
      <c r="G34" s="7">
        <v>1.301047E-2</v>
      </c>
      <c r="H34" s="6"/>
    </row>
    <row r="35" spans="1:8" x14ac:dyDescent="0.2">
      <c r="A35" s="3">
        <v>29</v>
      </c>
      <c r="B35" s="4" t="s">
        <v>351</v>
      </c>
      <c r="C35" s="4" t="s">
        <v>352</v>
      </c>
      <c r="D35" s="4" t="s">
        <v>71</v>
      </c>
      <c r="E35" s="5">
        <v>52863</v>
      </c>
      <c r="F35" s="6">
        <v>2323.9896374999998</v>
      </c>
      <c r="G35" s="7">
        <v>1.2853649999999999E-2</v>
      </c>
      <c r="H35" s="6"/>
    </row>
    <row r="36" spans="1:8" ht="25.5" x14ac:dyDescent="0.2">
      <c r="A36" s="3">
        <v>30</v>
      </c>
      <c r="B36" s="4" t="s">
        <v>217</v>
      </c>
      <c r="C36" s="4" t="s">
        <v>218</v>
      </c>
      <c r="D36" s="4" t="s">
        <v>946</v>
      </c>
      <c r="E36" s="5">
        <v>58000</v>
      </c>
      <c r="F36" s="6">
        <v>2280.444</v>
      </c>
      <c r="G36" s="7">
        <v>1.2612806000000001E-2</v>
      </c>
      <c r="H36" s="6"/>
    </row>
    <row r="37" spans="1:8" ht="25.5" x14ac:dyDescent="0.2">
      <c r="A37" s="3">
        <v>31</v>
      </c>
      <c r="B37" s="4" t="s">
        <v>313</v>
      </c>
      <c r="C37" s="4" t="s">
        <v>314</v>
      </c>
      <c r="D37" s="4" t="s">
        <v>71</v>
      </c>
      <c r="E37" s="5">
        <v>580000</v>
      </c>
      <c r="F37" s="6">
        <v>2231.84</v>
      </c>
      <c r="G37" s="7">
        <v>1.2343984000000001E-2</v>
      </c>
      <c r="H37" s="6"/>
    </row>
    <row r="38" spans="1:8" x14ac:dyDescent="0.2">
      <c r="A38" s="3">
        <v>32</v>
      </c>
      <c r="B38" s="4" t="s">
        <v>504</v>
      </c>
      <c r="C38" s="4" t="s">
        <v>505</v>
      </c>
      <c r="D38" s="4" t="s">
        <v>934</v>
      </c>
      <c r="E38" s="5">
        <v>85000</v>
      </c>
      <c r="F38" s="6">
        <v>2106.64</v>
      </c>
      <c r="G38" s="7">
        <v>1.1651521E-2</v>
      </c>
      <c r="H38" s="6"/>
    </row>
    <row r="39" spans="1:8" x14ac:dyDescent="0.2">
      <c r="A39" s="3">
        <v>33</v>
      </c>
      <c r="B39" s="4" t="s">
        <v>519</v>
      </c>
      <c r="C39" s="4" t="s">
        <v>520</v>
      </c>
      <c r="D39" s="4" t="s">
        <v>71</v>
      </c>
      <c r="E39" s="5">
        <v>632189</v>
      </c>
      <c r="F39" s="6">
        <v>2083.3788494999999</v>
      </c>
      <c r="G39" s="7">
        <v>1.1522866999999999E-2</v>
      </c>
      <c r="H39" s="6"/>
    </row>
    <row r="40" spans="1:8" x14ac:dyDescent="0.2">
      <c r="A40" s="3">
        <v>34</v>
      </c>
      <c r="B40" s="4" t="s">
        <v>525</v>
      </c>
      <c r="C40" s="4" t="s">
        <v>526</v>
      </c>
      <c r="D40" s="4" t="s">
        <v>951</v>
      </c>
      <c r="E40" s="5">
        <v>119506</v>
      </c>
      <c r="F40" s="6">
        <v>2042.297787</v>
      </c>
      <c r="G40" s="7">
        <v>1.1295652999999999E-2</v>
      </c>
      <c r="H40" s="6"/>
    </row>
    <row r="41" spans="1:8" x14ac:dyDescent="0.2">
      <c r="A41" s="3">
        <v>35</v>
      </c>
      <c r="B41" s="4" t="s">
        <v>428</v>
      </c>
      <c r="C41" s="4" t="s">
        <v>429</v>
      </c>
      <c r="D41" s="4" t="s">
        <v>302</v>
      </c>
      <c r="E41" s="5">
        <v>51000</v>
      </c>
      <c r="F41" s="6">
        <v>2011.5675000000001</v>
      </c>
      <c r="G41" s="7">
        <v>1.1125688999999999E-2</v>
      </c>
      <c r="H41" s="6"/>
    </row>
    <row r="42" spans="1:8" ht="25.5" x14ac:dyDescent="0.2">
      <c r="A42" s="3">
        <v>36</v>
      </c>
      <c r="B42" s="4" t="s">
        <v>80</v>
      </c>
      <c r="C42" s="4" t="s">
        <v>81</v>
      </c>
      <c r="D42" s="4" t="s">
        <v>82</v>
      </c>
      <c r="E42" s="5">
        <v>260000</v>
      </c>
      <c r="F42" s="6">
        <v>1920.75</v>
      </c>
      <c r="G42" s="7">
        <v>1.062339E-2</v>
      </c>
      <c r="H42" s="6"/>
    </row>
    <row r="43" spans="1:8" x14ac:dyDescent="0.2">
      <c r="A43" s="3">
        <v>37</v>
      </c>
      <c r="B43" s="4" t="s">
        <v>337</v>
      </c>
      <c r="C43" s="4" t="s">
        <v>338</v>
      </c>
      <c r="D43" s="4" t="s">
        <v>944</v>
      </c>
      <c r="E43" s="5">
        <v>350000</v>
      </c>
      <c r="F43" s="6">
        <v>1911</v>
      </c>
      <c r="G43" s="7">
        <v>1.0569464000000001E-2</v>
      </c>
      <c r="H43" s="6"/>
    </row>
    <row r="44" spans="1:8" x14ac:dyDescent="0.2">
      <c r="A44" s="3">
        <v>38</v>
      </c>
      <c r="B44" s="4" t="s">
        <v>510</v>
      </c>
      <c r="C44" s="4" t="s">
        <v>511</v>
      </c>
      <c r="D44" s="4" t="s">
        <v>956</v>
      </c>
      <c r="E44" s="5">
        <v>210000</v>
      </c>
      <c r="F44" s="6">
        <v>1889.6849999999999</v>
      </c>
      <c r="G44" s="7">
        <v>1.0451574E-2</v>
      </c>
      <c r="H44" s="6"/>
    </row>
    <row r="45" spans="1:8" ht="25.5" x14ac:dyDescent="0.2">
      <c r="A45" s="3">
        <v>39</v>
      </c>
      <c r="B45" s="4" t="s">
        <v>523</v>
      </c>
      <c r="C45" s="4" t="s">
        <v>524</v>
      </c>
      <c r="D45" s="4" t="s">
        <v>945</v>
      </c>
      <c r="E45" s="5">
        <v>313000</v>
      </c>
      <c r="F45" s="6">
        <v>1889.1115</v>
      </c>
      <c r="G45" s="7">
        <v>1.0448402000000001E-2</v>
      </c>
      <c r="H45" s="6"/>
    </row>
    <row r="46" spans="1:8" x14ac:dyDescent="0.2">
      <c r="A46" s="3">
        <v>40</v>
      </c>
      <c r="B46" s="4" t="s">
        <v>19</v>
      </c>
      <c r="C46" s="4" t="s">
        <v>20</v>
      </c>
      <c r="D46" s="4" t="s">
        <v>21</v>
      </c>
      <c r="E46" s="5">
        <v>249739</v>
      </c>
      <c r="F46" s="6">
        <v>1845.5712100000001</v>
      </c>
      <c r="G46" s="7">
        <v>1.0207587000000001E-2</v>
      </c>
      <c r="H46" s="6"/>
    </row>
    <row r="47" spans="1:8" x14ac:dyDescent="0.2">
      <c r="A47" s="3">
        <v>41</v>
      </c>
      <c r="B47" s="4" t="s">
        <v>361</v>
      </c>
      <c r="C47" s="4" t="s">
        <v>362</v>
      </c>
      <c r="D47" s="4" t="s">
        <v>71</v>
      </c>
      <c r="E47" s="5">
        <v>314277</v>
      </c>
      <c r="F47" s="6">
        <v>1791.6931770000001</v>
      </c>
      <c r="G47" s="7">
        <v>9.9095959999999997E-3</v>
      </c>
      <c r="H47" s="6"/>
    </row>
    <row r="48" spans="1:8" x14ac:dyDescent="0.2">
      <c r="A48" s="3">
        <v>42</v>
      </c>
      <c r="B48" s="4" t="s">
        <v>30</v>
      </c>
      <c r="C48" s="4" t="s">
        <v>31</v>
      </c>
      <c r="D48" s="4" t="s">
        <v>26</v>
      </c>
      <c r="E48" s="5">
        <v>100996</v>
      </c>
      <c r="F48" s="6">
        <v>1730.010982</v>
      </c>
      <c r="G48" s="7">
        <v>9.5684399999999992E-3</v>
      </c>
      <c r="H48" s="6"/>
    </row>
    <row r="49" spans="1:8" x14ac:dyDescent="0.2">
      <c r="A49" s="3">
        <v>43</v>
      </c>
      <c r="B49" s="4" t="s">
        <v>288</v>
      </c>
      <c r="C49" s="4" t="s">
        <v>289</v>
      </c>
      <c r="D49" s="4" t="s">
        <v>18</v>
      </c>
      <c r="E49" s="5">
        <v>1800000</v>
      </c>
      <c r="F49" s="6">
        <v>1728</v>
      </c>
      <c r="G49" s="7">
        <v>9.5573180000000004E-3</v>
      </c>
      <c r="H49" s="6"/>
    </row>
    <row r="50" spans="1:8" x14ac:dyDescent="0.2">
      <c r="A50" s="3">
        <v>44</v>
      </c>
      <c r="B50" s="4" t="s">
        <v>531</v>
      </c>
      <c r="C50" s="4" t="s">
        <v>532</v>
      </c>
      <c r="D50" s="4" t="s">
        <v>959</v>
      </c>
      <c r="E50" s="5">
        <v>144000</v>
      </c>
      <c r="F50" s="6">
        <v>1727.856</v>
      </c>
      <c r="G50" s="7">
        <v>9.5565210000000001E-3</v>
      </c>
      <c r="H50" s="6"/>
    </row>
    <row r="51" spans="1:8" x14ac:dyDescent="0.2">
      <c r="A51" s="3">
        <v>45</v>
      </c>
      <c r="B51" s="4" t="s">
        <v>331</v>
      </c>
      <c r="C51" s="4" t="s">
        <v>332</v>
      </c>
      <c r="D51" s="4" t="s">
        <v>82</v>
      </c>
      <c r="E51" s="5">
        <v>265000</v>
      </c>
      <c r="F51" s="6">
        <v>1720.115</v>
      </c>
      <c r="G51" s="7">
        <v>9.5137069999999997E-3</v>
      </c>
      <c r="H51" s="6"/>
    </row>
    <row r="52" spans="1:8" x14ac:dyDescent="0.2">
      <c r="A52" s="3">
        <v>46</v>
      </c>
      <c r="B52" s="4" t="s">
        <v>533</v>
      </c>
      <c r="C52" s="4" t="s">
        <v>534</v>
      </c>
      <c r="D52" s="4" t="s">
        <v>940</v>
      </c>
      <c r="E52" s="5">
        <v>483624</v>
      </c>
      <c r="F52" s="6">
        <v>1619.898588</v>
      </c>
      <c r="G52" s="7">
        <v>8.959425E-3</v>
      </c>
      <c r="H52" s="6"/>
    </row>
    <row r="53" spans="1:8" ht="25.5" x14ac:dyDescent="0.2">
      <c r="A53" s="3">
        <v>47</v>
      </c>
      <c r="B53" s="4" t="s">
        <v>22</v>
      </c>
      <c r="C53" s="4" t="s">
        <v>23</v>
      </c>
      <c r="D53" s="4" t="s">
        <v>935</v>
      </c>
      <c r="E53" s="5">
        <v>23802</v>
      </c>
      <c r="F53" s="6">
        <v>1578.1321049999999</v>
      </c>
      <c r="G53" s="7">
        <v>8.7284200000000006E-3</v>
      </c>
      <c r="H53" s="6"/>
    </row>
    <row r="54" spans="1:8" x14ac:dyDescent="0.2">
      <c r="A54" s="3">
        <v>48</v>
      </c>
      <c r="B54" s="4" t="s">
        <v>369</v>
      </c>
      <c r="C54" s="4" t="s">
        <v>370</v>
      </c>
      <c r="D54" s="4" t="s">
        <v>71</v>
      </c>
      <c r="E54" s="5">
        <v>151432</v>
      </c>
      <c r="F54" s="6">
        <v>1565.04972</v>
      </c>
      <c r="G54" s="7">
        <v>8.6560630000000003E-3</v>
      </c>
      <c r="H54" s="6"/>
    </row>
    <row r="55" spans="1:8" ht="25.5" x14ac:dyDescent="0.2">
      <c r="A55" s="3">
        <v>49</v>
      </c>
      <c r="B55" s="4" t="s">
        <v>626</v>
      </c>
      <c r="C55" s="4" t="s">
        <v>627</v>
      </c>
      <c r="D55" s="4" t="s">
        <v>946</v>
      </c>
      <c r="E55" s="5">
        <v>80240</v>
      </c>
      <c r="F55" s="6">
        <v>1560.9889599999999</v>
      </c>
      <c r="G55" s="7">
        <v>8.6336039999999996E-3</v>
      </c>
      <c r="H55" s="6"/>
    </row>
    <row r="56" spans="1:8" ht="25.5" x14ac:dyDescent="0.2">
      <c r="A56" s="3">
        <v>50</v>
      </c>
      <c r="B56" s="4" t="s">
        <v>42</v>
      </c>
      <c r="C56" s="4" t="s">
        <v>43</v>
      </c>
      <c r="D56" s="4" t="s">
        <v>935</v>
      </c>
      <c r="E56" s="5">
        <v>58907</v>
      </c>
      <c r="F56" s="6">
        <v>1559.3271970000001</v>
      </c>
      <c r="G56" s="7">
        <v>8.6244129999999992E-3</v>
      </c>
      <c r="H56" s="6"/>
    </row>
    <row r="57" spans="1:8" x14ac:dyDescent="0.2">
      <c r="A57" s="3">
        <v>51</v>
      </c>
      <c r="B57" s="4" t="s">
        <v>426</v>
      </c>
      <c r="C57" s="4" t="s">
        <v>427</v>
      </c>
      <c r="D57" s="4" t="s">
        <v>938</v>
      </c>
      <c r="E57" s="5">
        <v>81602</v>
      </c>
      <c r="F57" s="6">
        <v>1524.0805539999999</v>
      </c>
      <c r="G57" s="7">
        <v>8.4294690000000002E-3</v>
      </c>
      <c r="H57" s="6"/>
    </row>
    <row r="58" spans="1:8" x14ac:dyDescent="0.2">
      <c r="A58" s="3">
        <v>52</v>
      </c>
      <c r="B58" s="4" t="s">
        <v>600</v>
      </c>
      <c r="C58" s="4" t="s">
        <v>601</v>
      </c>
      <c r="D58" s="4" t="s">
        <v>947</v>
      </c>
      <c r="E58" s="5">
        <v>33000</v>
      </c>
      <c r="F58" s="6">
        <v>1386.066</v>
      </c>
      <c r="G58" s="7">
        <v>7.6661300000000002E-3</v>
      </c>
      <c r="H58" s="6"/>
    </row>
    <row r="59" spans="1:8" ht="25.5" x14ac:dyDescent="0.2">
      <c r="A59" s="3">
        <v>53</v>
      </c>
      <c r="B59" s="4" t="s">
        <v>170</v>
      </c>
      <c r="C59" s="4" t="s">
        <v>171</v>
      </c>
      <c r="D59" s="4" t="s">
        <v>945</v>
      </c>
      <c r="E59" s="5">
        <v>355400</v>
      </c>
      <c r="F59" s="6">
        <v>1351.9416000000001</v>
      </c>
      <c r="G59" s="7">
        <v>7.4773929999999997E-3</v>
      </c>
      <c r="H59" s="6"/>
    </row>
    <row r="60" spans="1:8" x14ac:dyDescent="0.2">
      <c r="A60" s="3">
        <v>54</v>
      </c>
      <c r="B60" s="4" t="s">
        <v>62</v>
      </c>
      <c r="C60" s="4" t="s">
        <v>63</v>
      </c>
      <c r="D60" s="4" t="s">
        <v>64</v>
      </c>
      <c r="E60" s="5">
        <v>522185</v>
      </c>
      <c r="F60" s="6">
        <v>1338.8823400000001</v>
      </c>
      <c r="G60" s="7">
        <v>7.4051639999999997E-3</v>
      </c>
      <c r="H60" s="6"/>
    </row>
    <row r="61" spans="1:8" x14ac:dyDescent="0.2">
      <c r="A61" s="3">
        <v>55</v>
      </c>
      <c r="B61" s="4" t="s">
        <v>178</v>
      </c>
      <c r="C61" s="4" t="s">
        <v>179</v>
      </c>
      <c r="D61" s="4" t="s">
        <v>934</v>
      </c>
      <c r="E61" s="5">
        <v>88413</v>
      </c>
      <c r="F61" s="6">
        <v>1264.482726</v>
      </c>
      <c r="G61" s="7">
        <v>6.9936709999999999E-3</v>
      </c>
      <c r="H61" s="6"/>
    </row>
    <row r="62" spans="1:8" x14ac:dyDescent="0.2">
      <c r="A62" s="3">
        <v>56</v>
      </c>
      <c r="B62" s="4" t="s">
        <v>551</v>
      </c>
      <c r="C62" s="4" t="s">
        <v>552</v>
      </c>
      <c r="D62" s="4" t="s">
        <v>71</v>
      </c>
      <c r="E62" s="5">
        <v>187368</v>
      </c>
      <c r="F62" s="6">
        <v>1248.3393000000001</v>
      </c>
      <c r="G62" s="7">
        <v>6.9043840000000004E-3</v>
      </c>
      <c r="H62" s="6"/>
    </row>
    <row r="63" spans="1:8" x14ac:dyDescent="0.2">
      <c r="A63" s="3">
        <v>57</v>
      </c>
      <c r="B63" s="4" t="s">
        <v>541</v>
      </c>
      <c r="C63" s="4" t="s">
        <v>542</v>
      </c>
      <c r="D63" s="4" t="s">
        <v>64</v>
      </c>
      <c r="E63" s="5">
        <v>458712</v>
      </c>
      <c r="F63" s="6">
        <v>1240.127892</v>
      </c>
      <c r="G63" s="7">
        <v>6.858968E-3</v>
      </c>
      <c r="H63" s="6"/>
    </row>
    <row r="64" spans="1:8" x14ac:dyDescent="0.2">
      <c r="A64" s="3">
        <v>58</v>
      </c>
      <c r="B64" s="4" t="s">
        <v>390</v>
      </c>
      <c r="C64" s="4" t="s">
        <v>391</v>
      </c>
      <c r="D64" s="4" t="s">
        <v>960</v>
      </c>
      <c r="E64" s="5">
        <v>55280</v>
      </c>
      <c r="F64" s="6">
        <v>1235.42508</v>
      </c>
      <c r="G64" s="7">
        <v>6.8329569999999997E-3</v>
      </c>
      <c r="H64" s="6"/>
    </row>
    <row r="65" spans="1:8" x14ac:dyDescent="0.2">
      <c r="A65" s="3">
        <v>59</v>
      </c>
      <c r="B65" s="4" t="s">
        <v>87</v>
      </c>
      <c r="C65" s="4" t="s">
        <v>88</v>
      </c>
      <c r="D65" s="4" t="s">
        <v>940</v>
      </c>
      <c r="E65" s="5">
        <v>52890</v>
      </c>
      <c r="F65" s="6">
        <v>1220.48964</v>
      </c>
      <c r="G65" s="7">
        <v>6.7503520000000003E-3</v>
      </c>
      <c r="H65" s="6"/>
    </row>
    <row r="66" spans="1:8" x14ac:dyDescent="0.2">
      <c r="A66" s="3">
        <v>60</v>
      </c>
      <c r="B66" s="4" t="s">
        <v>203</v>
      </c>
      <c r="C66" s="4" t="s">
        <v>204</v>
      </c>
      <c r="D66" s="4" t="s">
        <v>82</v>
      </c>
      <c r="E66" s="5">
        <v>204020</v>
      </c>
      <c r="F66" s="6">
        <v>1208.1044300000001</v>
      </c>
      <c r="G66" s="7">
        <v>6.6818509999999999E-3</v>
      </c>
      <c r="H66" s="6"/>
    </row>
    <row r="67" spans="1:8" x14ac:dyDescent="0.2">
      <c r="A67" s="3">
        <v>61</v>
      </c>
      <c r="B67" s="4" t="s">
        <v>555</v>
      </c>
      <c r="C67" s="4" t="s">
        <v>556</v>
      </c>
      <c r="D67" s="4" t="s">
        <v>233</v>
      </c>
      <c r="E67" s="5">
        <v>50000</v>
      </c>
      <c r="F67" s="6">
        <v>1198.9000000000001</v>
      </c>
      <c r="G67" s="7">
        <v>6.6309419999999999E-3</v>
      </c>
      <c r="H67" s="6"/>
    </row>
    <row r="68" spans="1:8" x14ac:dyDescent="0.2">
      <c r="A68" s="3">
        <v>62</v>
      </c>
      <c r="B68" s="4" t="s">
        <v>335</v>
      </c>
      <c r="C68" s="4" t="s">
        <v>336</v>
      </c>
      <c r="D68" s="4" t="s">
        <v>958</v>
      </c>
      <c r="E68" s="5">
        <v>240639</v>
      </c>
      <c r="F68" s="6">
        <v>1183.3422825</v>
      </c>
      <c r="G68" s="7">
        <v>6.5448950000000002E-3</v>
      </c>
      <c r="H68" s="6"/>
    </row>
    <row r="69" spans="1:8" x14ac:dyDescent="0.2">
      <c r="A69" s="3">
        <v>63</v>
      </c>
      <c r="B69" s="4" t="s">
        <v>269</v>
      </c>
      <c r="C69" s="4" t="s">
        <v>270</v>
      </c>
      <c r="D69" s="4" t="s">
        <v>26</v>
      </c>
      <c r="E69" s="5">
        <v>59539</v>
      </c>
      <c r="F69" s="6">
        <v>1181.3430685000001</v>
      </c>
      <c r="G69" s="7">
        <v>6.5338380000000001E-3</v>
      </c>
      <c r="H69" s="6"/>
    </row>
    <row r="70" spans="1:8" x14ac:dyDescent="0.2">
      <c r="A70" s="3">
        <v>64</v>
      </c>
      <c r="B70" s="4" t="s">
        <v>74</v>
      </c>
      <c r="C70" s="4" t="s">
        <v>75</v>
      </c>
      <c r="D70" s="4" t="s">
        <v>71</v>
      </c>
      <c r="E70" s="5">
        <v>30850</v>
      </c>
      <c r="F70" s="6">
        <v>1144.44245</v>
      </c>
      <c r="G70" s="7">
        <v>6.3297459999999998E-3</v>
      </c>
      <c r="H70" s="6"/>
    </row>
    <row r="71" spans="1:8" x14ac:dyDescent="0.2">
      <c r="A71" s="3">
        <v>65</v>
      </c>
      <c r="B71" s="4" t="s">
        <v>367</v>
      </c>
      <c r="C71" s="4" t="s">
        <v>368</v>
      </c>
      <c r="D71" s="4" t="s">
        <v>233</v>
      </c>
      <c r="E71" s="5">
        <v>420000</v>
      </c>
      <c r="F71" s="6">
        <v>1122.03</v>
      </c>
      <c r="G71" s="7">
        <v>6.2057859999999996E-3</v>
      </c>
      <c r="H71" s="6"/>
    </row>
    <row r="72" spans="1:8" x14ac:dyDescent="0.2">
      <c r="A72" s="3">
        <v>66</v>
      </c>
      <c r="B72" s="4" t="s">
        <v>436</v>
      </c>
      <c r="C72" s="4" t="s">
        <v>437</v>
      </c>
      <c r="D72" s="4" t="s">
        <v>71</v>
      </c>
      <c r="E72" s="5">
        <v>91831</v>
      </c>
      <c r="F72" s="6">
        <v>993.24409600000001</v>
      </c>
      <c r="G72" s="7">
        <v>5.4934889999999998E-3</v>
      </c>
      <c r="H72" s="6"/>
    </row>
    <row r="73" spans="1:8" ht="25.5" x14ac:dyDescent="0.2">
      <c r="A73" s="3">
        <v>67</v>
      </c>
      <c r="B73" s="4" t="s">
        <v>388</v>
      </c>
      <c r="C73" s="4" t="s">
        <v>389</v>
      </c>
      <c r="D73" s="4" t="s">
        <v>945</v>
      </c>
      <c r="E73" s="5">
        <v>103909</v>
      </c>
      <c r="F73" s="6">
        <v>964.95092850000003</v>
      </c>
      <c r="G73" s="7">
        <v>5.3370040000000002E-3</v>
      </c>
      <c r="H73" s="6"/>
    </row>
    <row r="74" spans="1:8" ht="25.5" x14ac:dyDescent="0.2">
      <c r="A74" s="3">
        <v>68</v>
      </c>
      <c r="B74" s="4" t="s">
        <v>430</v>
      </c>
      <c r="C74" s="4" t="s">
        <v>431</v>
      </c>
      <c r="D74" s="4" t="s">
        <v>946</v>
      </c>
      <c r="E74" s="5">
        <v>10111</v>
      </c>
      <c r="F74" s="6">
        <v>905.21760800000004</v>
      </c>
      <c r="G74" s="7">
        <v>5.0066279999999999E-3</v>
      </c>
      <c r="H74" s="6"/>
    </row>
    <row r="75" spans="1:8" ht="25.5" x14ac:dyDescent="0.2">
      <c r="A75" s="3">
        <v>69</v>
      </c>
      <c r="B75" s="4" t="s">
        <v>502</v>
      </c>
      <c r="C75" s="4" t="s">
        <v>503</v>
      </c>
      <c r="D75" s="4" t="s">
        <v>945</v>
      </c>
      <c r="E75" s="5">
        <v>96183</v>
      </c>
      <c r="F75" s="6">
        <v>872.04316949999998</v>
      </c>
      <c r="G75" s="7">
        <v>4.823145E-3</v>
      </c>
      <c r="H75" s="6"/>
    </row>
    <row r="76" spans="1:8" x14ac:dyDescent="0.2">
      <c r="A76" s="3">
        <v>70</v>
      </c>
      <c r="B76" s="4" t="s">
        <v>298</v>
      </c>
      <c r="C76" s="4" t="s">
        <v>299</v>
      </c>
      <c r="D76" s="4" t="s">
        <v>947</v>
      </c>
      <c r="E76" s="5">
        <v>24000</v>
      </c>
      <c r="F76" s="6">
        <v>852.51599999999996</v>
      </c>
      <c r="G76" s="7">
        <v>4.7151429999999998E-3</v>
      </c>
      <c r="H76" s="6"/>
    </row>
    <row r="77" spans="1:8" x14ac:dyDescent="0.2">
      <c r="A77" s="3">
        <v>71</v>
      </c>
      <c r="B77" s="4" t="s">
        <v>359</v>
      </c>
      <c r="C77" s="4" t="s">
        <v>360</v>
      </c>
      <c r="D77" s="4" t="s">
        <v>940</v>
      </c>
      <c r="E77" s="5">
        <v>85300</v>
      </c>
      <c r="F77" s="6">
        <v>780.23910000000001</v>
      </c>
      <c r="G77" s="7">
        <v>4.3153899999999997E-3</v>
      </c>
      <c r="H77" s="6"/>
    </row>
    <row r="78" spans="1:8" ht="25.5" x14ac:dyDescent="0.2">
      <c r="A78" s="3">
        <v>72</v>
      </c>
      <c r="B78" s="4" t="s">
        <v>414</v>
      </c>
      <c r="C78" s="4" t="s">
        <v>415</v>
      </c>
      <c r="D78" s="4" t="s">
        <v>945</v>
      </c>
      <c r="E78" s="5">
        <v>17025</v>
      </c>
      <c r="F78" s="6">
        <v>767.04435000000001</v>
      </c>
      <c r="G78" s="7">
        <v>4.2424109999999998E-3</v>
      </c>
      <c r="H78" s="6"/>
    </row>
    <row r="79" spans="1:8" x14ac:dyDescent="0.2">
      <c r="A79" s="3">
        <v>73</v>
      </c>
      <c r="B79" s="4" t="s">
        <v>527</v>
      </c>
      <c r="C79" s="4" t="s">
        <v>528</v>
      </c>
      <c r="D79" s="4" t="s">
        <v>934</v>
      </c>
      <c r="E79" s="5">
        <v>16861</v>
      </c>
      <c r="F79" s="6">
        <v>688.75498900000002</v>
      </c>
      <c r="G79" s="7">
        <v>3.8094040000000002E-3</v>
      </c>
      <c r="H79" s="6"/>
    </row>
    <row r="80" spans="1:8" x14ac:dyDescent="0.2">
      <c r="A80" s="3">
        <v>74</v>
      </c>
      <c r="B80" s="4" t="s">
        <v>628</v>
      </c>
      <c r="C80" s="4" t="s">
        <v>629</v>
      </c>
      <c r="D80" s="4" t="s">
        <v>962</v>
      </c>
      <c r="E80" s="5">
        <v>3189</v>
      </c>
      <c r="F80" s="6">
        <v>636.66949950000003</v>
      </c>
      <c r="G80" s="7">
        <v>3.5213269999999999E-3</v>
      </c>
      <c r="H80" s="6"/>
    </row>
    <row r="81" spans="1:8" x14ac:dyDescent="0.2">
      <c r="A81" s="3">
        <v>75</v>
      </c>
      <c r="B81" s="4" t="s">
        <v>514</v>
      </c>
      <c r="C81" s="4" t="s">
        <v>515</v>
      </c>
      <c r="D81" s="4" t="s">
        <v>934</v>
      </c>
      <c r="E81" s="5">
        <v>11302</v>
      </c>
      <c r="F81" s="6">
        <v>89.500538000000006</v>
      </c>
      <c r="G81" s="7">
        <v>4.9501500000000002E-4</v>
      </c>
      <c r="H81" s="6"/>
    </row>
    <row r="82" spans="1:8" ht="14.1" customHeight="1" x14ac:dyDescent="0.2">
      <c r="A82" s="1"/>
      <c r="B82" s="1"/>
      <c r="C82" s="2" t="s">
        <v>111</v>
      </c>
      <c r="D82" s="1"/>
      <c r="E82" s="1" t="s">
        <v>112</v>
      </c>
      <c r="F82" s="9">
        <v>173055.290656545</v>
      </c>
      <c r="G82" s="10">
        <v>0.95714376400000001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113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114</v>
      </c>
      <c r="D87" s="1"/>
      <c r="E87" s="1"/>
      <c r="F87" s="1"/>
      <c r="G87" s="1"/>
      <c r="H87" s="6"/>
    </row>
    <row r="88" spans="1:8" x14ac:dyDescent="0.2">
      <c r="A88" s="3">
        <v>1</v>
      </c>
      <c r="B88" s="4" t="s">
        <v>630</v>
      </c>
      <c r="C88" s="4" t="s">
        <v>976</v>
      </c>
      <c r="D88" s="4" t="s">
        <v>944</v>
      </c>
      <c r="E88" s="5">
        <v>511578</v>
      </c>
      <c r="F88" s="6">
        <v>32.024782799999997</v>
      </c>
      <c r="G88" s="7">
        <v>1.7712399999999999E-4</v>
      </c>
      <c r="H88" s="6"/>
    </row>
    <row r="89" spans="1:8" x14ac:dyDescent="0.2">
      <c r="A89" s="3">
        <v>2</v>
      </c>
      <c r="B89" s="4" t="s">
        <v>631</v>
      </c>
      <c r="C89" s="4" t="s">
        <v>977</v>
      </c>
      <c r="D89" s="4" t="s">
        <v>934</v>
      </c>
      <c r="E89" s="5">
        <v>39500</v>
      </c>
      <c r="F89" s="6">
        <v>21.859300000000001</v>
      </c>
      <c r="G89" s="7">
        <v>1.20901E-4</v>
      </c>
      <c r="H89" s="6"/>
    </row>
    <row r="90" spans="1:8" ht="25.5" x14ac:dyDescent="0.2">
      <c r="A90" s="3">
        <v>3</v>
      </c>
      <c r="B90" s="4" t="s">
        <v>632</v>
      </c>
      <c r="C90" s="4" t="s">
        <v>978</v>
      </c>
      <c r="D90" s="4" t="s">
        <v>954</v>
      </c>
      <c r="E90" s="5">
        <v>50800</v>
      </c>
      <c r="F90" s="6">
        <v>5.0800000000000005E-7</v>
      </c>
      <c r="G90" s="8" t="s">
        <v>110</v>
      </c>
      <c r="H90" s="6"/>
    </row>
    <row r="91" spans="1:8" x14ac:dyDescent="0.2">
      <c r="A91" s="3">
        <v>4</v>
      </c>
      <c r="B91" s="4" t="s">
        <v>633</v>
      </c>
      <c r="C91" s="4" t="s">
        <v>979</v>
      </c>
      <c r="D91" s="4" t="s">
        <v>938</v>
      </c>
      <c r="E91" s="5">
        <v>54000</v>
      </c>
      <c r="F91" s="6">
        <v>5.4000000000000002E-7</v>
      </c>
      <c r="G91" s="8" t="s">
        <v>110</v>
      </c>
      <c r="H91" s="6"/>
    </row>
    <row r="92" spans="1:8" x14ac:dyDescent="0.2">
      <c r="A92" s="3">
        <v>5</v>
      </c>
      <c r="B92" s="4" t="s">
        <v>634</v>
      </c>
      <c r="C92" s="4" t="s">
        <v>980</v>
      </c>
      <c r="D92" s="4"/>
      <c r="E92" s="5">
        <v>176305</v>
      </c>
      <c r="F92" s="6">
        <v>1.7630000000000001E-6</v>
      </c>
      <c r="G92" s="8" t="s">
        <v>110</v>
      </c>
      <c r="H92" s="6"/>
    </row>
    <row r="93" spans="1:8" x14ac:dyDescent="0.2">
      <c r="A93" s="3">
        <v>6</v>
      </c>
      <c r="B93" s="4" t="s">
        <v>635</v>
      </c>
      <c r="C93" s="4" t="s">
        <v>981</v>
      </c>
      <c r="D93" s="4"/>
      <c r="E93" s="5">
        <v>200</v>
      </c>
      <c r="F93" s="6">
        <v>2.0000000000000001E-9</v>
      </c>
      <c r="G93" s="8" t="s">
        <v>110</v>
      </c>
      <c r="H93" s="6"/>
    </row>
    <row r="94" spans="1:8" x14ac:dyDescent="0.2">
      <c r="A94" s="3">
        <v>7</v>
      </c>
      <c r="B94" s="4" t="s">
        <v>636</v>
      </c>
      <c r="C94" s="4" t="s">
        <v>982</v>
      </c>
      <c r="D94" s="4"/>
      <c r="E94" s="5">
        <v>93200</v>
      </c>
      <c r="F94" s="6">
        <v>9.3200000000000003E-7</v>
      </c>
      <c r="G94" s="8" t="s">
        <v>110</v>
      </c>
      <c r="H94" s="6"/>
    </row>
    <row r="95" spans="1:8" ht="38.25" x14ac:dyDescent="0.2">
      <c r="A95" s="3">
        <v>8</v>
      </c>
      <c r="B95" s="4" t="s">
        <v>637</v>
      </c>
      <c r="C95" s="4" t="s">
        <v>983</v>
      </c>
      <c r="D95" s="4" t="s">
        <v>953</v>
      </c>
      <c r="E95" s="5">
        <v>200000</v>
      </c>
      <c r="F95" s="6">
        <v>1.9999999999999999E-6</v>
      </c>
      <c r="G95" s="8" t="s">
        <v>110</v>
      </c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53.884088545000004</v>
      </c>
      <c r="G96" s="14">
        <v>2.9802499999999999E-4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115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116</v>
      </c>
      <c r="D101" s="1"/>
      <c r="E101" s="1"/>
      <c r="F101" s="12"/>
      <c r="G101" s="12"/>
      <c r="H101" s="6"/>
    </row>
    <row r="102" spans="1:8" ht="25.5" x14ac:dyDescent="0.2">
      <c r="A102" s="3">
        <v>1</v>
      </c>
      <c r="B102" s="4" t="s">
        <v>924</v>
      </c>
      <c r="C102" s="4" t="s">
        <v>925</v>
      </c>
      <c r="D102" s="4" t="s">
        <v>82</v>
      </c>
      <c r="E102" s="5">
        <v>399600</v>
      </c>
      <c r="F102" s="6">
        <v>1983.6144000000002</v>
      </c>
      <c r="G102" s="7">
        <v>1.0971079999999999E-2</v>
      </c>
      <c r="H102" s="6"/>
    </row>
    <row r="103" spans="1:8" ht="14.1" customHeight="1" x14ac:dyDescent="0.2">
      <c r="A103" s="1"/>
      <c r="B103" s="1"/>
      <c r="C103" s="2" t="s">
        <v>111</v>
      </c>
      <c r="D103" s="1"/>
      <c r="E103" s="1" t="s">
        <v>112</v>
      </c>
      <c r="F103" s="13">
        <v>1983.6144000000002</v>
      </c>
      <c r="G103" s="14">
        <v>1.0971079999999999E-2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117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8" customHeight="1" x14ac:dyDescent="0.2">
      <c r="A108" s="1"/>
      <c r="B108" s="1"/>
      <c r="C108" s="2" t="s">
        <v>118</v>
      </c>
      <c r="D108" s="1"/>
      <c r="E108" s="1"/>
      <c r="F108" s="9">
        <v>175038.90505654499</v>
      </c>
      <c r="G108" s="10">
        <v>0.96811484400000003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119</v>
      </c>
      <c r="D110" s="1"/>
      <c r="E110" s="1"/>
      <c r="F110" s="12"/>
      <c r="G110" s="12"/>
      <c r="H110" s="6"/>
    </row>
    <row r="111" spans="1:8" ht="24" customHeight="1" x14ac:dyDescent="0.2">
      <c r="A111" s="1"/>
      <c r="B111" s="1"/>
      <c r="C111" s="2" t="s">
        <v>10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120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111</v>
      </c>
      <c r="D115" s="1"/>
      <c r="E115" s="1" t="s">
        <v>112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121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122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123</v>
      </c>
      <c r="D123" s="1"/>
      <c r="E123" s="1"/>
      <c r="F123" s="9">
        <v>0</v>
      </c>
      <c r="G123" s="10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124</v>
      </c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125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111</v>
      </c>
      <c r="D127" s="1"/>
      <c r="E127" s="1" t="s">
        <v>112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126</v>
      </c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111</v>
      </c>
      <c r="D130" s="1"/>
      <c r="E130" s="1" t="s">
        <v>112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127</v>
      </c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128</v>
      </c>
      <c r="D135" s="1"/>
      <c r="E135" s="1"/>
      <c r="F135" s="12"/>
      <c r="G135" s="12"/>
      <c r="H135" s="6"/>
    </row>
    <row r="136" spans="1:8" ht="17.100000000000001" customHeight="1" x14ac:dyDescent="0.2">
      <c r="A136" s="3">
        <v>1</v>
      </c>
      <c r="B136" s="4"/>
      <c r="C136" s="4" t="s">
        <v>129</v>
      </c>
      <c r="D136" s="4"/>
      <c r="E136" s="8"/>
      <c r="F136" s="6">
        <v>5606.8673806999996</v>
      </c>
      <c r="G136" s="7">
        <v>3.1010771999999999E-2</v>
      </c>
      <c r="H136" s="6">
        <v>3.9343919198424624</v>
      </c>
    </row>
    <row r="137" spans="1:8" ht="17.100000000000001" customHeight="1" x14ac:dyDescent="0.2">
      <c r="A137" s="3">
        <v>2</v>
      </c>
      <c r="B137" s="4"/>
      <c r="C137" s="4" t="s">
        <v>130</v>
      </c>
      <c r="D137" s="4"/>
      <c r="E137" s="8"/>
      <c r="F137" s="6">
        <v>368.25646690000002</v>
      </c>
      <c r="G137" s="7">
        <v>2.036773E-3</v>
      </c>
      <c r="H137" s="6">
        <v>3.8</v>
      </c>
    </row>
    <row r="138" spans="1:8" ht="14.1" customHeight="1" x14ac:dyDescent="0.2">
      <c r="A138" s="1"/>
      <c r="B138" s="1"/>
      <c r="C138" s="2" t="s">
        <v>111</v>
      </c>
      <c r="D138" s="1"/>
      <c r="E138" s="1" t="s">
        <v>112</v>
      </c>
      <c r="F138" s="9">
        <v>5975.1238475999999</v>
      </c>
      <c r="G138" s="10">
        <v>3.3047544999999998E-2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2" t="s">
        <v>131</v>
      </c>
      <c r="D140" s="1"/>
      <c r="E140" s="1"/>
      <c r="F140" s="9">
        <v>5975.1238475999999</v>
      </c>
      <c r="G140" s="10">
        <v>3.3047544999999998E-2</v>
      </c>
      <c r="H140" s="6"/>
    </row>
    <row r="141" spans="1:8" ht="14.1" customHeight="1" x14ac:dyDescent="0.2">
      <c r="A141" s="1"/>
      <c r="B141" s="1"/>
      <c r="C141" s="12"/>
      <c r="D141" s="1"/>
      <c r="E141" s="1"/>
      <c r="F141" s="1"/>
      <c r="G141" s="1"/>
      <c r="H141" s="6"/>
    </row>
    <row r="142" spans="1:8" ht="14.1" customHeight="1" x14ac:dyDescent="0.2">
      <c r="A142" s="1"/>
      <c r="B142" s="1"/>
      <c r="C142" s="2" t="s">
        <v>132</v>
      </c>
      <c r="D142" s="1"/>
      <c r="E142" s="1"/>
      <c r="F142" s="1"/>
      <c r="G142" s="1"/>
      <c r="H142" s="6"/>
    </row>
    <row r="143" spans="1:8" ht="14.1" customHeight="1" x14ac:dyDescent="0.2">
      <c r="A143" s="1"/>
      <c r="B143" s="1"/>
      <c r="C143" s="2" t="s">
        <v>133</v>
      </c>
      <c r="D143" s="1"/>
      <c r="E143" s="1"/>
      <c r="F143" s="1"/>
      <c r="G143" s="1"/>
      <c r="H143" s="6"/>
    </row>
    <row r="144" spans="1:8" ht="14.1" customHeight="1" x14ac:dyDescent="0.2">
      <c r="A144" s="1"/>
      <c r="B144" s="1"/>
      <c r="C144" s="2" t="s">
        <v>111</v>
      </c>
      <c r="D144" s="1"/>
      <c r="E144" s="1" t="s">
        <v>112</v>
      </c>
      <c r="F144" s="13">
        <v>0</v>
      </c>
      <c r="G144" s="14">
        <v>0</v>
      </c>
      <c r="H144" s="6"/>
    </row>
    <row r="145" spans="1:15" ht="14.1" customHeight="1" x14ac:dyDescent="0.2">
      <c r="A145" s="1"/>
      <c r="B145" s="1"/>
      <c r="C145" s="11"/>
      <c r="D145" s="1"/>
      <c r="E145" s="1"/>
      <c r="F145" s="12"/>
      <c r="G145" s="12"/>
      <c r="H145" s="6"/>
    </row>
    <row r="146" spans="1:15" ht="14.1" customHeight="1" x14ac:dyDescent="0.2">
      <c r="A146" s="1"/>
      <c r="B146" s="1"/>
      <c r="C146" s="2" t="s">
        <v>134</v>
      </c>
      <c r="D146" s="1"/>
      <c r="E146" s="1"/>
      <c r="F146" s="1"/>
      <c r="G146" s="1"/>
      <c r="H146" s="6"/>
    </row>
    <row r="147" spans="1:15" ht="14.1" customHeight="1" x14ac:dyDescent="0.2">
      <c r="A147" s="1"/>
      <c r="B147" s="1"/>
      <c r="C147" s="2" t="s">
        <v>135</v>
      </c>
      <c r="D147" s="1"/>
      <c r="E147" s="1"/>
      <c r="F147" s="1"/>
      <c r="G147" s="1"/>
      <c r="H147" s="6"/>
    </row>
    <row r="148" spans="1:15" ht="14.1" customHeight="1" x14ac:dyDescent="0.2">
      <c r="A148" s="1"/>
      <c r="B148" s="1"/>
      <c r="C148" s="2" t="s">
        <v>111</v>
      </c>
      <c r="D148" s="1"/>
      <c r="E148" s="1" t="s">
        <v>112</v>
      </c>
      <c r="F148" s="13">
        <v>0</v>
      </c>
      <c r="G148" s="14">
        <v>0</v>
      </c>
      <c r="H148" s="6"/>
    </row>
    <row r="149" spans="1:15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15" ht="14.1" customHeight="1" x14ac:dyDescent="0.2">
      <c r="A150" s="1"/>
      <c r="B150" s="1"/>
      <c r="C150" s="11"/>
      <c r="D150" s="1"/>
      <c r="E150" s="1"/>
      <c r="F150" s="12"/>
      <c r="G150" s="12"/>
      <c r="H150" s="6"/>
    </row>
    <row r="151" spans="1:15" ht="24" customHeight="1" x14ac:dyDescent="0.2">
      <c r="A151" s="1"/>
      <c r="B151" s="1"/>
      <c r="C151" s="2" t="s">
        <v>136</v>
      </c>
      <c r="D151" s="1"/>
      <c r="E151" s="1"/>
      <c r="F151" s="12"/>
      <c r="G151" s="12"/>
      <c r="H151" s="6"/>
    </row>
    <row r="152" spans="1:15" ht="14.1" customHeight="1" x14ac:dyDescent="0.2">
      <c r="A152" s="1"/>
      <c r="B152" s="1"/>
      <c r="C152" s="2" t="s">
        <v>111</v>
      </c>
      <c r="D152" s="1"/>
      <c r="E152" s="1" t="s">
        <v>112</v>
      </c>
      <c r="F152" s="13">
        <v>0</v>
      </c>
      <c r="G152" s="14">
        <v>0</v>
      </c>
      <c r="H152" s="6"/>
      <c r="J152" s="66"/>
      <c r="K152" s="66"/>
      <c r="L152" s="66"/>
      <c r="M152" s="66"/>
      <c r="N152" s="66"/>
      <c r="O152" s="66"/>
    </row>
    <row r="153" spans="1:15" ht="14.1" customHeight="1" x14ac:dyDescent="0.2">
      <c r="A153" s="1"/>
      <c r="B153" s="1"/>
      <c r="C153" s="11"/>
      <c r="D153" s="1"/>
      <c r="E153" s="1"/>
      <c r="F153" s="12"/>
      <c r="G153" s="12"/>
      <c r="H153" s="6"/>
    </row>
    <row r="154" spans="1:15" ht="14.1" customHeight="1" x14ac:dyDescent="0.2">
      <c r="A154" s="1"/>
      <c r="B154" s="4"/>
      <c r="C154" s="4"/>
      <c r="D154" s="2"/>
      <c r="E154" s="1"/>
      <c r="F154" s="4"/>
      <c r="G154" s="8"/>
      <c r="H154" s="6"/>
    </row>
    <row r="155" spans="1:15" ht="18" customHeight="1" x14ac:dyDescent="0.2">
      <c r="A155" s="8"/>
      <c r="B155" s="4"/>
      <c r="C155" s="4" t="s">
        <v>137</v>
      </c>
      <c r="D155" s="4"/>
      <c r="E155" s="8"/>
      <c r="F155" s="6">
        <v>-210.16564174999999</v>
      </c>
      <c r="G155" s="7">
        <v>-1.162396E-3</v>
      </c>
      <c r="H155" s="6"/>
    </row>
    <row r="156" spans="1:15" ht="14.1" customHeight="1" x14ac:dyDescent="0.2">
      <c r="A156" s="11"/>
      <c r="B156" s="11"/>
      <c r="C156" s="2" t="s">
        <v>138</v>
      </c>
      <c r="D156" s="15"/>
      <c r="E156" s="15"/>
      <c r="F156" s="9">
        <v>180803.863262395</v>
      </c>
      <c r="G156" s="10">
        <v>0.99999999299999998</v>
      </c>
      <c r="H156" s="6"/>
    </row>
    <row r="157" spans="1:15" ht="14.1" customHeight="1" x14ac:dyDescent="0.2">
      <c r="A157" s="16"/>
      <c r="B157" s="16"/>
      <c r="C157" s="16"/>
      <c r="D157" s="17"/>
      <c r="E157" s="17"/>
      <c r="F157" s="17"/>
      <c r="G157" s="17"/>
    </row>
    <row r="158" spans="1:15" ht="17.100000000000001" customHeight="1" x14ac:dyDescent="0.2">
      <c r="A158" s="18"/>
      <c r="B158" s="297" t="s">
        <v>139</v>
      </c>
      <c r="C158" s="297"/>
      <c r="D158" s="297"/>
      <c r="E158" s="297"/>
      <c r="F158" s="297"/>
      <c r="G158" s="20"/>
    </row>
    <row r="159" spans="1:15" ht="14.1" customHeight="1" x14ac:dyDescent="0.2">
      <c r="A159" s="18"/>
      <c r="B159" s="18"/>
      <c r="C159" s="18"/>
      <c r="D159" s="20"/>
      <c r="E159" s="20"/>
      <c r="F159" s="20"/>
      <c r="G159" s="20"/>
    </row>
    <row r="160" spans="1:15" ht="14.1" customHeight="1" x14ac:dyDescent="0.2">
      <c r="A160" s="18"/>
      <c r="B160" s="294" t="s">
        <v>140</v>
      </c>
      <c r="C160" s="295"/>
      <c r="D160" s="12" t="s">
        <v>112</v>
      </c>
      <c r="E160" s="21"/>
      <c r="F160" s="20"/>
      <c r="G160" s="20"/>
    </row>
    <row r="161" spans="1:7" ht="29.1" customHeight="1" x14ac:dyDescent="0.2">
      <c r="A161" s="18"/>
      <c r="B161" s="288" t="s">
        <v>141</v>
      </c>
      <c r="C161" s="289"/>
      <c r="D161" s="2" t="s">
        <v>1028</v>
      </c>
      <c r="E161" s="21"/>
      <c r="F161" s="20"/>
      <c r="G161" s="20"/>
    </row>
    <row r="162" spans="1:7" ht="17.100000000000001" customHeight="1" x14ac:dyDescent="0.2">
      <c r="A162" s="18"/>
      <c r="B162" s="288" t="s">
        <v>971</v>
      </c>
      <c r="C162" s="289"/>
      <c r="D162" s="67" t="s">
        <v>984</v>
      </c>
      <c r="E162" s="21"/>
      <c r="F162" s="20"/>
      <c r="G162" s="20"/>
    </row>
    <row r="163" spans="1:7" ht="17.100000000000001" customHeight="1" x14ac:dyDescent="0.2">
      <c r="A163" s="18"/>
      <c r="B163" s="288" t="s">
        <v>144</v>
      </c>
      <c r="C163" s="289"/>
      <c r="D163" s="12" t="s">
        <v>112</v>
      </c>
      <c r="E163" s="21"/>
      <c r="F163" s="20"/>
      <c r="G163" s="20"/>
    </row>
    <row r="164" spans="1:7" ht="24" customHeight="1" x14ac:dyDescent="0.2">
      <c r="A164" s="22"/>
      <c r="B164" s="23" t="s">
        <v>112</v>
      </c>
      <c r="C164" s="23" t="s">
        <v>145</v>
      </c>
      <c r="D164" s="23" t="s">
        <v>146</v>
      </c>
      <c r="E164" s="22"/>
      <c r="F164" s="22"/>
      <c r="G164" s="22"/>
    </row>
    <row r="165" spans="1:7" ht="18" customHeight="1" x14ac:dyDescent="0.2">
      <c r="A165" s="22"/>
      <c r="B165" s="23" t="s">
        <v>147</v>
      </c>
      <c r="C165" s="23" t="s">
        <v>148</v>
      </c>
      <c r="D165" s="23" t="s">
        <v>149</v>
      </c>
      <c r="E165" s="22"/>
      <c r="F165" s="22"/>
      <c r="G165" s="22"/>
    </row>
    <row r="166" spans="1:7" ht="17.100000000000001" customHeight="1" x14ac:dyDescent="0.2">
      <c r="A166" s="22"/>
      <c r="B166" s="4" t="s">
        <v>150</v>
      </c>
      <c r="C166" s="24">
        <v>253.8229</v>
      </c>
      <c r="D166" s="24">
        <v>250.42339999999999</v>
      </c>
      <c r="E166" s="22"/>
      <c r="F166" s="19"/>
      <c r="G166" s="25"/>
    </row>
    <row r="167" spans="1:7" ht="29.1" customHeight="1" x14ac:dyDescent="0.2">
      <c r="A167" s="22"/>
      <c r="B167" s="4" t="s">
        <v>1117</v>
      </c>
      <c r="C167" s="24">
        <v>67.498000000000005</v>
      </c>
      <c r="D167" s="24">
        <v>66.593100000000007</v>
      </c>
      <c r="E167" s="22"/>
      <c r="F167" s="19"/>
      <c r="G167" s="25"/>
    </row>
    <row r="168" spans="1:7" ht="17.100000000000001" customHeight="1" x14ac:dyDescent="0.2">
      <c r="A168" s="22"/>
      <c r="B168" s="4" t="s">
        <v>151</v>
      </c>
      <c r="C168" s="24">
        <v>236.57230000000001</v>
      </c>
      <c r="D168" s="24">
        <v>233.1694</v>
      </c>
      <c r="E168" s="22"/>
      <c r="F168" s="19"/>
      <c r="G168" s="25"/>
    </row>
    <row r="169" spans="1:7" ht="29.1" customHeight="1" x14ac:dyDescent="0.2">
      <c r="A169" s="22"/>
      <c r="B169" s="4" t="s">
        <v>1118</v>
      </c>
      <c r="C169" s="24">
        <v>51.936599999999999</v>
      </c>
      <c r="D169" s="24">
        <v>51.189500000000002</v>
      </c>
      <c r="E169" s="22"/>
      <c r="F169" s="19"/>
      <c r="G169" s="25"/>
    </row>
    <row r="170" spans="1:7" ht="14.1" customHeight="1" x14ac:dyDescent="0.2">
      <c r="A170" s="22"/>
      <c r="B170" s="22"/>
      <c r="C170" s="22"/>
      <c r="D170" s="22"/>
      <c r="E170" s="22"/>
      <c r="F170" s="22"/>
      <c r="G170" s="22"/>
    </row>
    <row r="171" spans="1:7" ht="17.100000000000001" customHeight="1" x14ac:dyDescent="0.2">
      <c r="A171" s="22"/>
      <c r="B171" s="288" t="s">
        <v>1116</v>
      </c>
      <c r="C171" s="289"/>
      <c r="D171" s="2" t="s">
        <v>142</v>
      </c>
      <c r="E171" s="22"/>
      <c r="F171" s="22"/>
      <c r="G171" s="22"/>
    </row>
    <row r="172" spans="1:7" ht="14.1" customHeight="1" x14ac:dyDescent="0.2">
      <c r="A172" s="22"/>
      <c r="B172" s="19"/>
      <c r="C172" s="19"/>
      <c r="D172" s="22"/>
      <c r="E172" s="22"/>
      <c r="F172" s="22"/>
      <c r="G172" s="22"/>
    </row>
    <row r="173" spans="1:7" ht="29.1" customHeight="1" x14ac:dyDescent="0.2">
      <c r="A173" s="22"/>
      <c r="B173" s="288" t="s">
        <v>153</v>
      </c>
      <c r="C173" s="289"/>
      <c r="D173" s="2" t="s">
        <v>142</v>
      </c>
      <c r="E173" s="22"/>
      <c r="F173" s="22"/>
      <c r="G173" s="22"/>
    </row>
    <row r="174" spans="1:7" ht="29.1" customHeight="1" x14ac:dyDescent="0.2">
      <c r="A174" s="22"/>
      <c r="B174" s="288" t="s">
        <v>154</v>
      </c>
      <c r="C174" s="289"/>
      <c r="D174" s="2" t="s">
        <v>142</v>
      </c>
      <c r="E174" s="22"/>
      <c r="F174" s="22"/>
      <c r="G174" s="22"/>
    </row>
    <row r="175" spans="1:7" ht="17.100000000000001" customHeight="1" x14ac:dyDescent="0.2">
      <c r="A175" s="22"/>
      <c r="B175" s="288" t="s">
        <v>155</v>
      </c>
      <c r="C175" s="289"/>
      <c r="D175" s="26">
        <v>0.6446324441216198</v>
      </c>
      <c r="E175" s="22"/>
      <c r="F175" s="19"/>
      <c r="G175" s="25"/>
    </row>
    <row r="176" spans="1:7" ht="17.100000000000001" customHeight="1" x14ac:dyDescent="0.2">
      <c r="A176" s="22"/>
      <c r="B176" s="288" t="s">
        <v>156</v>
      </c>
      <c r="C176" s="289"/>
      <c r="D176" s="2" t="s">
        <v>142</v>
      </c>
      <c r="E176" s="22"/>
      <c r="F176" s="22"/>
      <c r="G176" s="22"/>
    </row>
    <row r="178" spans="2:6" x14ac:dyDescent="0.2">
      <c r="B178" s="116" t="s">
        <v>1027</v>
      </c>
    </row>
    <row r="179" spans="2:6" ht="38.25" x14ac:dyDescent="0.2">
      <c r="B179" s="73" t="s">
        <v>998</v>
      </c>
      <c r="C179" s="73" t="s">
        <v>999</v>
      </c>
      <c r="D179" s="73" t="s">
        <v>1000</v>
      </c>
      <c r="E179" s="73" t="s">
        <v>1001</v>
      </c>
      <c r="F179" s="73" t="s">
        <v>1002</v>
      </c>
    </row>
    <row r="180" spans="2:6" x14ac:dyDescent="0.2">
      <c r="B180" s="111" t="s">
        <v>1029</v>
      </c>
      <c r="C180" s="112" t="s">
        <v>1025</v>
      </c>
      <c r="D180" s="113">
        <v>0</v>
      </c>
      <c r="E180" s="114">
        <v>0</v>
      </c>
      <c r="F180" s="115">
        <v>29.407129999999999</v>
      </c>
    </row>
  </sheetData>
  <mergeCells count="14">
    <mergeCell ref="A1:H1"/>
    <mergeCell ref="A2:H2"/>
    <mergeCell ref="A3:H3"/>
    <mergeCell ref="B160:C160"/>
    <mergeCell ref="J2:N2"/>
    <mergeCell ref="B158:F158"/>
    <mergeCell ref="B175:C175"/>
    <mergeCell ref="B176:C176"/>
    <mergeCell ref="B161:C161"/>
    <mergeCell ref="B162:C162"/>
    <mergeCell ref="B163:C163"/>
    <mergeCell ref="B171:C171"/>
    <mergeCell ref="B173:C173"/>
    <mergeCell ref="B174:C17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19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1134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638</v>
      </c>
      <c r="C7" s="4" t="s">
        <v>639</v>
      </c>
      <c r="D7" s="4" t="s">
        <v>29</v>
      </c>
      <c r="E7" s="5">
        <v>2881</v>
      </c>
      <c r="F7" s="6">
        <v>83.053467999999995</v>
      </c>
      <c r="G7" s="7">
        <v>1.448346E-2</v>
      </c>
      <c r="H7" s="6"/>
    </row>
    <row r="8" spans="1:14" ht="25.5" x14ac:dyDescent="0.2">
      <c r="A8" s="3">
        <v>2</v>
      </c>
      <c r="B8" s="4" t="s">
        <v>640</v>
      </c>
      <c r="C8" s="4" t="s">
        <v>641</v>
      </c>
      <c r="D8" s="4" t="s">
        <v>935</v>
      </c>
      <c r="E8" s="5">
        <v>18789</v>
      </c>
      <c r="F8" s="6">
        <v>69.932658000000004</v>
      </c>
      <c r="G8" s="7">
        <v>1.2195358999999999E-2</v>
      </c>
      <c r="H8" s="6"/>
    </row>
    <row r="9" spans="1:14" ht="25.5" x14ac:dyDescent="0.2">
      <c r="A9" s="3">
        <v>3</v>
      </c>
      <c r="B9" s="4" t="s">
        <v>642</v>
      </c>
      <c r="C9" s="4" t="s">
        <v>643</v>
      </c>
      <c r="D9" s="4" t="s">
        <v>963</v>
      </c>
      <c r="E9" s="5">
        <v>2891</v>
      </c>
      <c r="F9" s="6">
        <v>67.418120000000002</v>
      </c>
      <c r="G9" s="7">
        <v>1.1756856E-2</v>
      </c>
      <c r="H9" s="6"/>
    </row>
    <row r="10" spans="1:14" x14ac:dyDescent="0.2">
      <c r="A10" s="3">
        <v>4</v>
      </c>
      <c r="B10" s="4" t="s">
        <v>396</v>
      </c>
      <c r="C10" s="4" t="s">
        <v>397</v>
      </c>
      <c r="D10" s="4" t="s">
        <v>959</v>
      </c>
      <c r="E10" s="5">
        <v>7187</v>
      </c>
      <c r="F10" s="6">
        <v>66.271326999999999</v>
      </c>
      <c r="G10" s="7">
        <v>1.155687E-2</v>
      </c>
      <c r="H10" s="6"/>
    </row>
    <row r="11" spans="1:14" x14ac:dyDescent="0.2">
      <c r="A11" s="3">
        <v>5</v>
      </c>
      <c r="B11" s="4" t="s">
        <v>27</v>
      </c>
      <c r="C11" s="4" t="s">
        <v>28</v>
      </c>
      <c r="D11" s="4" t="s">
        <v>29</v>
      </c>
      <c r="E11" s="5">
        <v>41291</v>
      </c>
      <c r="F11" s="6">
        <v>64.496542000000005</v>
      </c>
      <c r="G11" s="7">
        <v>1.124737E-2</v>
      </c>
      <c r="H11" s="6"/>
    </row>
    <row r="12" spans="1:14" x14ac:dyDescent="0.2">
      <c r="A12" s="3">
        <v>6</v>
      </c>
      <c r="B12" s="4" t="s">
        <v>644</v>
      </c>
      <c r="C12" s="4" t="s">
        <v>645</v>
      </c>
      <c r="D12" s="4" t="s">
        <v>71</v>
      </c>
      <c r="E12" s="5">
        <v>4881</v>
      </c>
      <c r="F12" s="6">
        <v>64.028958000000003</v>
      </c>
      <c r="G12" s="7">
        <v>1.1165829E-2</v>
      </c>
      <c r="H12" s="6"/>
    </row>
    <row r="13" spans="1:14" ht="25.5" x14ac:dyDescent="0.2">
      <c r="A13" s="3">
        <v>7</v>
      </c>
      <c r="B13" s="4" t="s">
        <v>46</v>
      </c>
      <c r="C13" s="4" t="s">
        <v>47</v>
      </c>
      <c r="D13" s="4" t="s">
        <v>937</v>
      </c>
      <c r="E13" s="5">
        <v>7459</v>
      </c>
      <c r="F13" s="6">
        <v>63.878875999999998</v>
      </c>
      <c r="G13" s="7">
        <v>1.1139657000000001E-2</v>
      </c>
      <c r="H13" s="6"/>
    </row>
    <row r="14" spans="1:14" x14ac:dyDescent="0.2">
      <c r="A14" s="3">
        <v>8</v>
      </c>
      <c r="B14" s="4" t="s">
        <v>646</v>
      </c>
      <c r="C14" s="4" t="s">
        <v>647</v>
      </c>
      <c r="D14" s="4" t="s">
        <v>29</v>
      </c>
      <c r="E14" s="5">
        <v>2253</v>
      </c>
      <c r="F14" s="6">
        <v>62.847434999999997</v>
      </c>
      <c r="G14" s="7">
        <v>1.0959787E-2</v>
      </c>
      <c r="H14" s="6"/>
    </row>
    <row r="15" spans="1:14" ht="25.5" x14ac:dyDescent="0.2">
      <c r="A15" s="3">
        <v>9</v>
      </c>
      <c r="B15" s="4" t="s">
        <v>648</v>
      </c>
      <c r="C15" s="4" t="s">
        <v>649</v>
      </c>
      <c r="D15" s="4" t="s">
        <v>935</v>
      </c>
      <c r="E15" s="5">
        <v>2679</v>
      </c>
      <c r="F15" s="6">
        <v>62.391230999999998</v>
      </c>
      <c r="G15" s="7">
        <v>1.0880231000000001E-2</v>
      </c>
      <c r="H15" s="6"/>
      <c r="J15" s="192" t="s">
        <v>1162</v>
      </c>
    </row>
    <row r="16" spans="1:14" x14ac:dyDescent="0.2">
      <c r="A16" s="3">
        <v>10</v>
      </c>
      <c r="B16" s="4" t="s">
        <v>561</v>
      </c>
      <c r="C16" s="4" t="s">
        <v>562</v>
      </c>
      <c r="D16" s="4" t="s">
        <v>933</v>
      </c>
      <c r="E16" s="5">
        <v>10686</v>
      </c>
      <c r="F16" s="6">
        <v>62.235264000000001</v>
      </c>
      <c r="G16" s="7">
        <v>1.0853032E-2</v>
      </c>
      <c r="H16" s="6"/>
    </row>
    <row r="17" spans="1:8" x14ac:dyDescent="0.2">
      <c r="A17" s="3">
        <v>11</v>
      </c>
      <c r="B17" s="4" t="s">
        <v>390</v>
      </c>
      <c r="C17" s="4" t="s">
        <v>391</v>
      </c>
      <c r="D17" s="4" t="s">
        <v>960</v>
      </c>
      <c r="E17" s="5">
        <v>2782</v>
      </c>
      <c r="F17" s="6">
        <v>62.173527</v>
      </c>
      <c r="G17" s="7">
        <v>1.0842266E-2</v>
      </c>
      <c r="H17" s="6"/>
    </row>
    <row r="18" spans="1:8" x14ac:dyDescent="0.2">
      <c r="A18" s="3">
        <v>12</v>
      </c>
      <c r="B18" s="4" t="s">
        <v>650</v>
      </c>
      <c r="C18" s="4" t="s">
        <v>651</v>
      </c>
      <c r="D18" s="4" t="s">
        <v>958</v>
      </c>
      <c r="E18" s="5">
        <v>7933</v>
      </c>
      <c r="F18" s="6">
        <v>62.067791999999997</v>
      </c>
      <c r="G18" s="7">
        <v>1.0823826999999999E-2</v>
      </c>
      <c r="H18" s="6"/>
    </row>
    <row r="19" spans="1:8" x14ac:dyDescent="0.2">
      <c r="A19" s="3">
        <v>13</v>
      </c>
      <c r="B19" s="4" t="s">
        <v>652</v>
      </c>
      <c r="C19" s="4" t="s">
        <v>653</v>
      </c>
      <c r="D19" s="4" t="s">
        <v>18</v>
      </c>
      <c r="E19" s="5">
        <v>18351</v>
      </c>
      <c r="F19" s="6">
        <v>61.365743999999999</v>
      </c>
      <c r="G19" s="7">
        <v>1.0701399E-2</v>
      </c>
      <c r="H19" s="6"/>
    </row>
    <row r="20" spans="1:8" ht="25.5" x14ac:dyDescent="0.2">
      <c r="A20" s="3">
        <v>14</v>
      </c>
      <c r="B20" s="4" t="s">
        <v>357</v>
      </c>
      <c r="C20" s="4" t="s">
        <v>358</v>
      </c>
      <c r="D20" s="4" t="s">
        <v>950</v>
      </c>
      <c r="E20" s="5">
        <v>7434</v>
      </c>
      <c r="F20" s="6">
        <v>61.237575</v>
      </c>
      <c r="G20" s="7">
        <v>1.0679048E-2</v>
      </c>
      <c r="H20" s="6"/>
    </row>
    <row r="21" spans="1:8" ht="25.5" x14ac:dyDescent="0.2">
      <c r="A21" s="3">
        <v>15</v>
      </c>
      <c r="B21" s="4" t="s">
        <v>432</v>
      </c>
      <c r="C21" s="4" t="s">
        <v>433</v>
      </c>
      <c r="D21" s="4" t="s">
        <v>935</v>
      </c>
      <c r="E21" s="5">
        <v>236</v>
      </c>
      <c r="F21" s="6">
        <v>61.17474</v>
      </c>
      <c r="G21" s="7">
        <v>1.066809E-2</v>
      </c>
      <c r="H21" s="6"/>
    </row>
    <row r="22" spans="1:8" ht="25.5" x14ac:dyDescent="0.2">
      <c r="A22" s="3">
        <v>16</v>
      </c>
      <c r="B22" s="4" t="s">
        <v>654</v>
      </c>
      <c r="C22" s="4" t="s">
        <v>655</v>
      </c>
      <c r="D22" s="4" t="s">
        <v>933</v>
      </c>
      <c r="E22" s="5">
        <v>11602</v>
      </c>
      <c r="F22" s="6">
        <v>60.997515</v>
      </c>
      <c r="G22" s="7">
        <v>1.0637183999999999E-2</v>
      </c>
      <c r="H22" s="6"/>
    </row>
    <row r="23" spans="1:8" x14ac:dyDescent="0.2">
      <c r="A23" s="3">
        <v>17</v>
      </c>
      <c r="B23" s="4" t="s">
        <v>656</v>
      </c>
      <c r="C23" s="4" t="s">
        <v>657</v>
      </c>
      <c r="D23" s="4" t="s">
        <v>959</v>
      </c>
      <c r="E23" s="5">
        <v>2310</v>
      </c>
      <c r="F23" s="6">
        <v>60.761085000000001</v>
      </c>
      <c r="G23" s="7">
        <v>1.0595953999999999E-2</v>
      </c>
      <c r="H23" s="6"/>
    </row>
    <row r="24" spans="1:8" x14ac:dyDescent="0.2">
      <c r="A24" s="3">
        <v>18</v>
      </c>
      <c r="B24" s="4" t="s">
        <v>658</v>
      </c>
      <c r="C24" s="4" t="s">
        <v>659</v>
      </c>
      <c r="D24" s="4" t="s">
        <v>958</v>
      </c>
      <c r="E24" s="5">
        <v>11517</v>
      </c>
      <c r="F24" s="6">
        <v>60.084189000000002</v>
      </c>
      <c r="G24" s="7">
        <v>1.0477912000000001E-2</v>
      </c>
      <c r="H24" s="6"/>
    </row>
    <row r="25" spans="1:8" x14ac:dyDescent="0.2">
      <c r="A25" s="3">
        <v>19</v>
      </c>
      <c r="B25" s="4" t="s">
        <v>660</v>
      </c>
      <c r="C25" s="4" t="s">
        <v>661</v>
      </c>
      <c r="D25" s="4" t="s">
        <v>958</v>
      </c>
      <c r="E25" s="5">
        <v>3623</v>
      </c>
      <c r="F25" s="6">
        <v>59.944346500000002</v>
      </c>
      <c r="G25" s="7">
        <v>1.0453525E-2</v>
      </c>
      <c r="H25" s="6"/>
    </row>
    <row r="26" spans="1:8" ht="25.5" x14ac:dyDescent="0.2">
      <c r="A26" s="3">
        <v>20</v>
      </c>
      <c r="B26" s="4" t="s">
        <v>662</v>
      </c>
      <c r="C26" s="4" t="s">
        <v>663</v>
      </c>
      <c r="D26" s="4" t="s">
        <v>964</v>
      </c>
      <c r="E26" s="5">
        <v>10296</v>
      </c>
      <c r="F26" s="6">
        <v>59.886684000000002</v>
      </c>
      <c r="G26" s="7">
        <v>1.044347E-2</v>
      </c>
      <c r="H26" s="6"/>
    </row>
    <row r="27" spans="1:8" x14ac:dyDescent="0.2">
      <c r="A27" s="3">
        <v>21</v>
      </c>
      <c r="B27" s="4" t="s">
        <v>664</v>
      </c>
      <c r="C27" s="4" t="s">
        <v>665</v>
      </c>
      <c r="D27" s="4" t="s">
        <v>951</v>
      </c>
      <c r="E27" s="5">
        <v>326</v>
      </c>
      <c r="F27" s="6">
        <v>59.756777999999997</v>
      </c>
      <c r="G27" s="7">
        <v>1.0420815999999999E-2</v>
      </c>
      <c r="H27" s="6"/>
    </row>
    <row r="28" spans="1:8" x14ac:dyDescent="0.2">
      <c r="A28" s="3">
        <v>22</v>
      </c>
      <c r="B28" s="4" t="s">
        <v>67</v>
      </c>
      <c r="C28" s="4" t="s">
        <v>68</v>
      </c>
      <c r="D28" s="4" t="s">
        <v>29</v>
      </c>
      <c r="E28" s="5">
        <v>26069</v>
      </c>
      <c r="F28" s="6">
        <v>59.372147499999997</v>
      </c>
      <c r="G28" s="7">
        <v>1.0353741E-2</v>
      </c>
      <c r="H28" s="6"/>
    </row>
    <row r="29" spans="1:8" x14ac:dyDescent="0.2">
      <c r="A29" s="3">
        <v>23</v>
      </c>
      <c r="B29" s="4" t="s">
        <v>559</v>
      </c>
      <c r="C29" s="4" t="s">
        <v>560</v>
      </c>
      <c r="D29" s="4" t="s">
        <v>958</v>
      </c>
      <c r="E29" s="5">
        <v>10658</v>
      </c>
      <c r="F29" s="6">
        <v>59.333086000000002</v>
      </c>
      <c r="G29" s="7">
        <v>1.0346929E-2</v>
      </c>
      <c r="H29" s="6"/>
    </row>
    <row r="30" spans="1:8" x14ac:dyDescent="0.2">
      <c r="A30" s="3">
        <v>24</v>
      </c>
      <c r="B30" s="4" t="s">
        <v>11</v>
      </c>
      <c r="C30" s="4" t="s">
        <v>12</v>
      </c>
      <c r="D30" s="4" t="s">
        <v>13</v>
      </c>
      <c r="E30" s="5">
        <v>2118</v>
      </c>
      <c r="F30" s="6">
        <v>59.097495000000002</v>
      </c>
      <c r="G30" s="7">
        <v>1.0305844999999999E-2</v>
      </c>
      <c r="H30" s="6"/>
    </row>
    <row r="31" spans="1:8" x14ac:dyDescent="0.2">
      <c r="A31" s="3">
        <v>25</v>
      </c>
      <c r="B31" s="4" t="s">
        <v>592</v>
      </c>
      <c r="C31" s="4" t="s">
        <v>593</v>
      </c>
      <c r="D31" s="4" t="s">
        <v>71</v>
      </c>
      <c r="E31" s="5">
        <v>1823</v>
      </c>
      <c r="F31" s="6">
        <v>59.014156</v>
      </c>
      <c r="G31" s="7">
        <v>1.0291312E-2</v>
      </c>
      <c r="H31" s="6"/>
    </row>
    <row r="32" spans="1:8" ht="25.5" x14ac:dyDescent="0.2">
      <c r="A32" s="3">
        <v>26</v>
      </c>
      <c r="B32" s="4" t="s">
        <v>666</v>
      </c>
      <c r="C32" s="4" t="s">
        <v>667</v>
      </c>
      <c r="D32" s="4" t="s">
        <v>945</v>
      </c>
      <c r="E32" s="5">
        <v>15910</v>
      </c>
      <c r="F32" s="6">
        <v>58.620395000000002</v>
      </c>
      <c r="G32" s="7">
        <v>1.0222645000000001E-2</v>
      </c>
      <c r="H32" s="6"/>
    </row>
    <row r="33" spans="1:8" x14ac:dyDescent="0.2">
      <c r="A33" s="3">
        <v>27</v>
      </c>
      <c r="B33" s="4" t="s">
        <v>438</v>
      </c>
      <c r="C33" s="4" t="s">
        <v>439</v>
      </c>
      <c r="D33" s="4" t="s">
        <v>302</v>
      </c>
      <c r="E33" s="5">
        <v>3447</v>
      </c>
      <c r="F33" s="6">
        <v>58.399073999999999</v>
      </c>
      <c r="G33" s="7">
        <v>1.018405E-2</v>
      </c>
      <c r="H33" s="6"/>
    </row>
    <row r="34" spans="1:8" x14ac:dyDescent="0.2">
      <c r="A34" s="3">
        <v>28</v>
      </c>
      <c r="B34" s="4" t="s">
        <v>581</v>
      </c>
      <c r="C34" s="4" t="s">
        <v>582</v>
      </c>
      <c r="D34" s="4" t="s">
        <v>951</v>
      </c>
      <c r="E34" s="5">
        <v>1778</v>
      </c>
      <c r="F34" s="6">
        <v>58.305064999999999</v>
      </c>
      <c r="G34" s="7">
        <v>1.0167656000000001E-2</v>
      </c>
      <c r="H34" s="6"/>
    </row>
    <row r="35" spans="1:8" x14ac:dyDescent="0.2">
      <c r="A35" s="3">
        <v>29</v>
      </c>
      <c r="B35" s="4" t="s">
        <v>668</v>
      </c>
      <c r="C35" s="4" t="s">
        <v>669</v>
      </c>
      <c r="D35" s="4" t="s">
        <v>71</v>
      </c>
      <c r="E35" s="5">
        <v>8110</v>
      </c>
      <c r="F35" s="6">
        <v>58.225745000000003</v>
      </c>
      <c r="G35" s="7">
        <v>1.0153822999999999E-2</v>
      </c>
      <c r="H35" s="6"/>
    </row>
    <row r="36" spans="1:8" x14ac:dyDescent="0.2">
      <c r="A36" s="3">
        <v>30</v>
      </c>
      <c r="B36" s="4" t="s">
        <v>670</v>
      </c>
      <c r="C36" s="4" t="s">
        <v>671</v>
      </c>
      <c r="D36" s="4" t="s">
        <v>302</v>
      </c>
      <c r="E36" s="5">
        <v>1250</v>
      </c>
      <c r="F36" s="6">
        <v>58.140625</v>
      </c>
      <c r="G36" s="7">
        <v>1.0138978999999999E-2</v>
      </c>
      <c r="H36" s="6"/>
    </row>
    <row r="37" spans="1:8" x14ac:dyDescent="0.2">
      <c r="A37" s="3">
        <v>31</v>
      </c>
      <c r="B37" s="4" t="s">
        <v>65</v>
      </c>
      <c r="C37" s="4" t="s">
        <v>66</v>
      </c>
      <c r="D37" s="4" t="s">
        <v>13</v>
      </c>
      <c r="E37" s="5">
        <v>46033</v>
      </c>
      <c r="F37" s="6">
        <v>58.001579999999997</v>
      </c>
      <c r="G37" s="7">
        <v>1.0114732E-2</v>
      </c>
      <c r="H37" s="6"/>
    </row>
    <row r="38" spans="1:8" ht="25.5" x14ac:dyDescent="0.2">
      <c r="A38" s="3">
        <v>32</v>
      </c>
      <c r="B38" s="4" t="s">
        <v>672</v>
      </c>
      <c r="C38" s="4" t="s">
        <v>673</v>
      </c>
      <c r="D38" s="4" t="s">
        <v>957</v>
      </c>
      <c r="E38" s="5">
        <v>7032</v>
      </c>
      <c r="F38" s="6">
        <v>57.866328000000003</v>
      </c>
      <c r="G38" s="7">
        <v>1.0091146E-2</v>
      </c>
      <c r="H38" s="6"/>
    </row>
    <row r="39" spans="1:8" x14ac:dyDescent="0.2">
      <c r="A39" s="3">
        <v>33</v>
      </c>
      <c r="B39" s="4" t="s">
        <v>16</v>
      </c>
      <c r="C39" s="4" t="s">
        <v>17</v>
      </c>
      <c r="D39" s="4" t="s">
        <v>18</v>
      </c>
      <c r="E39" s="5">
        <v>7774</v>
      </c>
      <c r="F39" s="6">
        <v>57.784142000000003</v>
      </c>
      <c r="G39" s="7">
        <v>1.0076813E-2</v>
      </c>
      <c r="H39" s="6"/>
    </row>
    <row r="40" spans="1:8" ht="25.5" x14ac:dyDescent="0.2">
      <c r="A40" s="3">
        <v>34</v>
      </c>
      <c r="B40" s="4" t="s">
        <v>674</v>
      </c>
      <c r="C40" s="4" t="s">
        <v>675</v>
      </c>
      <c r="D40" s="4" t="s">
        <v>935</v>
      </c>
      <c r="E40" s="5">
        <v>3410</v>
      </c>
      <c r="F40" s="6">
        <v>57.707430000000002</v>
      </c>
      <c r="G40" s="7">
        <v>1.0063436E-2</v>
      </c>
      <c r="H40" s="6"/>
    </row>
    <row r="41" spans="1:8" x14ac:dyDescent="0.2">
      <c r="A41" s="3">
        <v>35</v>
      </c>
      <c r="B41" s="4" t="s">
        <v>55</v>
      </c>
      <c r="C41" s="4" t="s">
        <v>56</v>
      </c>
      <c r="D41" s="4" t="s">
        <v>57</v>
      </c>
      <c r="E41" s="5">
        <v>36061</v>
      </c>
      <c r="F41" s="6">
        <v>57.391081499999999</v>
      </c>
      <c r="G41" s="7">
        <v>1.0008269E-2</v>
      </c>
      <c r="H41" s="6"/>
    </row>
    <row r="42" spans="1:8" x14ac:dyDescent="0.2">
      <c r="A42" s="3">
        <v>36</v>
      </c>
      <c r="B42" s="4" t="s">
        <v>676</v>
      </c>
      <c r="C42" s="4" t="s">
        <v>677</v>
      </c>
      <c r="D42" s="4" t="s">
        <v>959</v>
      </c>
      <c r="E42" s="5">
        <v>2281</v>
      </c>
      <c r="F42" s="6">
        <v>57.176686500000002</v>
      </c>
      <c r="G42" s="7">
        <v>9.9708809999999991E-3</v>
      </c>
      <c r="H42" s="6"/>
    </row>
    <row r="43" spans="1:8" ht="25.5" x14ac:dyDescent="0.2">
      <c r="A43" s="3">
        <v>37</v>
      </c>
      <c r="B43" s="4" t="s">
        <v>22</v>
      </c>
      <c r="C43" s="4" t="s">
        <v>23</v>
      </c>
      <c r="D43" s="4" t="s">
        <v>935</v>
      </c>
      <c r="E43" s="5">
        <v>862</v>
      </c>
      <c r="F43" s="6">
        <v>57.152754999999999</v>
      </c>
      <c r="G43" s="7">
        <v>9.9667079999999995E-3</v>
      </c>
      <c r="H43" s="6"/>
    </row>
    <row r="44" spans="1:8" ht="25.5" x14ac:dyDescent="0.2">
      <c r="A44" s="3">
        <v>38</v>
      </c>
      <c r="B44" s="4" t="s">
        <v>333</v>
      </c>
      <c r="C44" s="4" t="s">
        <v>334</v>
      </c>
      <c r="D44" s="4" t="s">
        <v>957</v>
      </c>
      <c r="E44" s="5">
        <v>2006</v>
      </c>
      <c r="F44" s="6">
        <v>57.129877</v>
      </c>
      <c r="G44" s="7">
        <v>9.9627180000000006E-3</v>
      </c>
      <c r="H44" s="6"/>
    </row>
    <row r="45" spans="1:8" x14ac:dyDescent="0.2">
      <c r="A45" s="3">
        <v>39</v>
      </c>
      <c r="B45" s="4" t="s">
        <v>678</v>
      </c>
      <c r="C45" s="4" t="s">
        <v>679</v>
      </c>
      <c r="D45" s="4" t="s">
        <v>18</v>
      </c>
      <c r="E45" s="5">
        <v>5837</v>
      </c>
      <c r="F45" s="6">
        <v>57.117963500000002</v>
      </c>
      <c r="G45" s="7">
        <v>9.9606399999999998E-3</v>
      </c>
      <c r="H45" s="6"/>
    </row>
    <row r="46" spans="1:8" x14ac:dyDescent="0.2">
      <c r="A46" s="3">
        <v>40</v>
      </c>
      <c r="B46" s="4" t="s">
        <v>407</v>
      </c>
      <c r="C46" s="4" t="s">
        <v>408</v>
      </c>
      <c r="D46" s="4" t="s">
        <v>18</v>
      </c>
      <c r="E46" s="5">
        <v>3187</v>
      </c>
      <c r="F46" s="6">
        <v>57.071202499999998</v>
      </c>
      <c r="G46" s="7">
        <v>9.952486E-3</v>
      </c>
      <c r="H46" s="6"/>
    </row>
    <row r="47" spans="1:8" ht="25.5" x14ac:dyDescent="0.2">
      <c r="A47" s="3">
        <v>41</v>
      </c>
      <c r="B47" s="4" t="s">
        <v>680</v>
      </c>
      <c r="C47" s="4" t="s">
        <v>681</v>
      </c>
      <c r="D47" s="4" t="s">
        <v>945</v>
      </c>
      <c r="E47" s="5">
        <v>2025</v>
      </c>
      <c r="F47" s="6">
        <v>56.990587499999997</v>
      </c>
      <c r="G47" s="7">
        <v>9.9384279999999992E-3</v>
      </c>
      <c r="H47" s="6"/>
    </row>
    <row r="48" spans="1:8" ht="25.5" x14ac:dyDescent="0.2">
      <c r="A48" s="3">
        <v>42</v>
      </c>
      <c r="B48" s="4" t="s">
        <v>80</v>
      </c>
      <c r="C48" s="4" t="s">
        <v>81</v>
      </c>
      <c r="D48" s="4" t="s">
        <v>82</v>
      </c>
      <c r="E48" s="5">
        <v>7700</v>
      </c>
      <c r="F48" s="6">
        <v>56.883749999999999</v>
      </c>
      <c r="G48" s="7">
        <v>9.9197969999999993E-3</v>
      </c>
      <c r="H48" s="6"/>
    </row>
    <row r="49" spans="1:8" x14ac:dyDescent="0.2">
      <c r="A49" s="3">
        <v>43</v>
      </c>
      <c r="B49" s="4" t="s">
        <v>337</v>
      </c>
      <c r="C49" s="4" t="s">
        <v>338</v>
      </c>
      <c r="D49" s="4" t="s">
        <v>944</v>
      </c>
      <c r="E49" s="5">
        <v>10396</v>
      </c>
      <c r="F49" s="6">
        <v>56.762160000000002</v>
      </c>
      <c r="G49" s="7">
        <v>9.8985930000000007E-3</v>
      </c>
      <c r="H49" s="6"/>
    </row>
    <row r="50" spans="1:8" x14ac:dyDescent="0.2">
      <c r="A50" s="3">
        <v>44</v>
      </c>
      <c r="B50" s="4" t="s">
        <v>434</v>
      </c>
      <c r="C50" s="4" t="s">
        <v>435</v>
      </c>
      <c r="D50" s="4" t="s">
        <v>959</v>
      </c>
      <c r="E50" s="5">
        <v>735</v>
      </c>
      <c r="F50" s="6">
        <v>56.725830000000002</v>
      </c>
      <c r="G50" s="7">
        <v>9.8922569999999998E-3</v>
      </c>
      <c r="H50" s="6"/>
    </row>
    <row r="51" spans="1:8" x14ac:dyDescent="0.2">
      <c r="A51" s="3">
        <v>45</v>
      </c>
      <c r="B51" s="4" t="s">
        <v>682</v>
      </c>
      <c r="C51" s="4" t="s">
        <v>683</v>
      </c>
      <c r="D51" s="4" t="s">
        <v>940</v>
      </c>
      <c r="E51" s="5">
        <v>391</v>
      </c>
      <c r="F51" s="6">
        <v>56.662156000000003</v>
      </c>
      <c r="G51" s="7">
        <v>9.8811530000000002E-3</v>
      </c>
      <c r="H51" s="6"/>
    </row>
    <row r="52" spans="1:8" x14ac:dyDescent="0.2">
      <c r="A52" s="3">
        <v>46</v>
      </c>
      <c r="B52" s="4" t="s">
        <v>386</v>
      </c>
      <c r="C52" s="4" t="s">
        <v>387</v>
      </c>
      <c r="D52" s="4" t="s">
        <v>933</v>
      </c>
      <c r="E52" s="5">
        <v>5117</v>
      </c>
      <c r="F52" s="6">
        <v>56.568435000000001</v>
      </c>
      <c r="G52" s="7">
        <v>9.8648099999999999E-3</v>
      </c>
      <c r="H52" s="6"/>
    </row>
    <row r="53" spans="1:8" x14ac:dyDescent="0.2">
      <c r="A53" s="3">
        <v>47</v>
      </c>
      <c r="B53" s="4" t="s">
        <v>684</v>
      </c>
      <c r="C53" s="4" t="s">
        <v>685</v>
      </c>
      <c r="D53" s="4" t="s">
        <v>82</v>
      </c>
      <c r="E53" s="5">
        <v>1093</v>
      </c>
      <c r="F53" s="6">
        <v>56.502088499999999</v>
      </c>
      <c r="G53" s="7">
        <v>9.8532399999999992E-3</v>
      </c>
      <c r="H53" s="6"/>
    </row>
    <row r="54" spans="1:8" ht="25.5" x14ac:dyDescent="0.2">
      <c r="A54" s="3">
        <v>48</v>
      </c>
      <c r="B54" s="4" t="s">
        <v>388</v>
      </c>
      <c r="C54" s="4" t="s">
        <v>389</v>
      </c>
      <c r="D54" s="4" t="s">
        <v>945</v>
      </c>
      <c r="E54" s="5">
        <v>6084</v>
      </c>
      <c r="F54" s="6">
        <v>56.499065999999999</v>
      </c>
      <c r="G54" s="7">
        <v>9.8527130000000008E-3</v>
      </c>
      <c r="H54" s="6"/>
    </row>
    <row r="55" spans="1:8" ht="25.5" x14ac:dyDescent="0.2">
      <c r="A55" s="3">
        <v>49</v>
      </c>
      <c r="B55" s="4" t="s">
        <v>414</v>
      </c>
      <c r="C55" s="4" t="s">
        <v>415</v>
      </c>
      <c r="D55" s="4" t="s">
        <v>945</v>
      </c>
      <c r="E55" s="5">
        <v>1252</v>
      </c>
      <c r="F55" s="6">
        <v>56.407608000000003</v>
      </c>
      <c r="G55" s="7">
        <v>9.8367639999999996E-3</v>
      </c>
      <c r="H55" s="6"/>
    </row>
    <row r="56" spans="1:8" x14ac:dyDescent="0.2">
      <c r="A56" s="3">
        <v>50</v>
      </c>
      <c r="B56" s="4" t="s">
        <v>686</v>
      </c>
      <c r="C56" s="4" t="s">
        <v>687</v>
      </c>
      <c r="D56" s="4" t="s">
        <v>923</v>
      </c>
      <c r="E56" s="5">
        <v>15106</v>
      </c>
      <c r="F56" s="6">
        <v>56.171661</v>
      </c>
      <c r="G56" s="7">
        <v>9.7956169999999995E-3</v>
      </c>
      <c r="H56" s="6"/>
    </row>
    <row r="57" spans="1:8" x14ac:dyDescent="0.2">
      <c r="A57" s="3">
        <v>51</v>
      </c>
      <c r="B57" s="4" t="s">
        <v>400</v>
      </c>
      <c r="C57" s="4" t="s">
        <v>401</v>
      </c>
      <c r="D57" s="4" t="s">
        <v>960</v>
      </c>
      <c r="E57" s="5">
        <v>21522</v>
      </c>
      <c r="F57" s="6">
        <v>55.860351000000001</v>
      </c>
      <c r="G57" s="7">
        <v>9.741329E-3</v>
      </c>
      <c r="H57" s="6"/>
    </row>
    <row r="58" spans="1:8" ht="25.5" x14ac:dyDescent="0.2">
      <c r="A58" s="3">
        <v>52</v>
      </c>
      <c r="B58" s="4" t="s">
        <v>688</v>
      </c>
      <c r="C58" s="4" t="s">
        <v>689</v>
      </c>
      <c r="D58" s="4" t="s">
        <v>946</v>
      </c>
      <c r="E58" s="5">
        <v>2303</v>
      </c>
      <c r="F58" s="6">
        <v>55.817810999999999</v>
      </c>
      <c r="G58" s="7">
        <v>9.7339100000000001E-3</v>
      </c>
      <c r="H58" s="6"/>
    </row>
    <row r="59" spans="1:8" x14ac:dyDescent="0.2">
      <c r="A59" s="3">
        <v>53</v>
      </c>
      <c r="B59" s="4" t="s">
        <v>424</v>
      </c>
      <c r="C59" s="4" t="s">
        <v>425</v>
      </c>
      <c r="D59" s="4" t="s">
        <v>959</v>
      </c>
      <c r="E59" s="5">
        <v>12722</v>
      </c>
      <c r="F59" s="6">
        <v>55.671472000000001</v>
      </c>
      <c r="G59" s="7">
        <v>9.7083910000000002E-3</v>
      </c>
      <c r="H59" s="6"/>
    </row>
    <row r="60" spans="1:8" x14ac:dyDescent="0.2">
      <c r="A60" s="3">
        <v>54</v>
      </c>
      <c r="B60" s="4" t="s">
        <v>19</v>
      </c>
      <c r="C60" s="4" t="s">
        <v>20</v>
      </c>
      <c r="D60" s="4" t="s">
        <v>21</v>
      </c>
      <c r="E60" s="5">
        <v>7522</v>
      </c>
      <c r="F60" s="6">
        <v>55.587580000000003</v>
      </c>
      <c r="G60" s="7">
        <v>9.6937610000000004E-3</v>
      </c>
      <c r="H60" s="6"/>
    </row>
    <row r="61" spans="1:8" ht="25.5" x14ac:dyDescent="0.2">
      <c r="A61" s="3">
        <v>55</v>
      </c>
      <c r="B61" s="4" t="s">
        <v>690</v>
      </c>
      <c r="C61" s="4" t="s">
        <v>691</v>
      </c>
      <c r="D61" s="4" t="s">
        <v>933</v>
      </c>
      <c r="E61" s="5">
        <v>4338</v>
      </c>
      <c r="F61" s="6">
        <v>55.535075999999997</v>
      </c>
      <c r="G61" s="7">
        <v>9.6846050000000006E-3</v>
      </c>
      <c r="H61" s="6"/>
    </row>
    <row r="62" spans="1:8" x14ac:dyDescent="0.2">
      <c r="A62" s="3">
        <v>56</v>
      </c>
      <c r="B62" s="4" t="s">
        <v>569</v>
      </c>
      <c r="C62" s="4" t="s">
        <v>570</v>
      </c>
      <c r="D62" s="4" t="s">
        <v>959</v>
      </c>
      <c r="E62" s="5">
        <v>1489</v>
      </c>
      <c r="F62" s="6">
        <v>55.532999500000003</v>
      </c>
      <c r="G62" s="7">
        <v>9.6842430000000004E-3</v>
      </c>
      <c r="H62" s="6"/>
    </row>
    <row r="63" spans="1:8" x14ac:dyDescent="0.2">
      <c r="A63" s="3">
        <v>57</v>
      </c>
      <c r="B63" s="4" t="s">
        <v>290</v>
      </c>
      <c r="C63" s="4" t="s">
        <v>291</v>
      </c>
      <c r="D63" s="4" t="s">
        <v>18</v>
      </c>
      <c r="E63" s="5">
        <v>49151</v>
      </c>
      <c r="F63" s="6">
        <v>55.491478999999998</v>
      </c>
      <c r="G63" s="7">
        <v>9.6770020000000005E-3</v>
      </c>
      <c r="H63" s="6"/>
    </row>
    <row r="64" spans="1:8" x14ac:dyDescent="0.2">
      <c r="A64" s="3">
        <v>58</v>
      </c>
      <c r="B64" s="4" t="s">
        <v>40</v>
      </c>
      <c r="C64" s="4" t="s">
        <v>41</v>
      </c>
      <c r="D64" s="4" t="s">
        <v>13</v>
      </c>
      <c r="E64" s="5">
        <v>15242</v>
      </c>
      <c r="F64" s="6">
        <v>55.267491999999997</v>
      </c>
      <c r="G64" s="7">
        <v>9.637942E-3</v>
      </c>
      <c r="H64" s="6"/>
    </row>
    <row r="65" spans="1:8" x14ac:dyDescent="0.2">
      <c r="A65" s="3">
        <v>59</v>
      </c>
      <c r="B65" s="4" t="s">
        <v>692</v>
      </c>
      <c r="C65" s="4" t="s">
        <v>693</v>
      </c>
      <c r="D65" s="4" t="s">
        <v>955</v>
      </c>
      <c r="E65" s="5">
        <v>2428</v>
      </c>
      <c r="F65" s="6">
        <v>55.148378000000001</v>
      </c>
      <c r="G65" s="7">
        <v>9.6171699999999995E-3</v>
      </c>
      <c r="H65" s="6"/>
    </row>
    <row r="66" spans="1:8" x14ac:dyDescent="0.2">
      <c r="A66" s="3">
        <v>60</v>
      </c>
      <c r="B66" s="4" t="s">
        <v>694</v>
      </c>
      <c r="C66" s="4" t="s">
        <v>695</v>
      </c>
      <c r="D66" s="4" t="s">
        <v>965</v>
      </c>
      <c r="E66" s="5">
        <v>34323</v>
      </c>
      <c r="F66" s="6">
        <v>55.139899499999999</v>
      </c>
      <c r="G66" s="7">
        <v>9.6156910000000009E-3</v>
      </c>
      <c r="H66" s="6"/>
    </row>
    <row r="67" spans="1:8" x14ac:dyDescent="0.2">
      <c r="A67" s="3">
        <v>61</v>
      </c>
      <c r="B67" s="4" t="s">
        <v>48</v>
      </c>
      <c r="C67" s="4" t="s">
        <v>49</v>
      </c>
      <c r="D67" s="4" t="s">
        <v>18</v>
      </c>
      <c r="E67" s="5">
        <v>11098</v>
      </c>
      <c r="F67" s="6">
        <v>55.079374000000001</v>
      </c>
      <c r="G67" s="7">
        <v>9.6051369999999997E-3</v>
      </c>
      <c r="H67" s="6"/>
    </row>
    <row r="68" spans="1:8" ht="25.5" x14ac:dyDescent="0.2">
      <c r="A68" s="3">
        <v>62</v>
      </c>
      <c r="B68" s="4" t="s">
        <v>325</v>
      </c>
      <c r="C68" s="4" t="s">
        <v>326</v>
      </c>
      <c r="D68" s="4" t="s">
        <v>945</v>
      </c>
      <c r="E68" s="5">
        <v>1709</v>
      </c>
      <c r="F68" s="6">
        <v>54.719616500000001</v>
      </c>
      <c r="G68" s="7">
        <v>9.542399E-3</v>
      </c>
      <c r="H68" s="6"/>
    </row>
    <row r="69" spans="1:8" x14ac:dyDescent="0.2">
      <c r="A69" s="3">
        <v>63</v>
      </c>
      <c r="B69" s="4" t="s">
        <v>96</v>
      </c>
      <c r="C69" s="4" t="s">
        <v>97</v>
      </c>
      <c r="D69" s="4" t="s">
        <v>21</v>
      </c>
      <c r="E69" s="5">
        <v>26178</v>
      </c>
      <c r="F69" s="6">
        <v>54.712020000000003</v>
      </c>
      <c r="G69" s="7">
        <v>9.5410749999999996E-3</v>
      </c>
      <c r="H69" s="6"/>
    </row>
    <row r="70" spans="1:8" x14ac:dyDescent="0.2">
      <c r="A70" s="3">
        <v>64</v>
      </c>
      <c r="B70" s="4" t="s">
        <v>294</v>
      </c>
      <c r="C70" s="4" t="s">
        <v>295</v>
      </c>
      <c r="D70" s="4" t="s">
        <v>18</v>
      </c>
      <c r="E70" s="5">
        <v>7494</v>
      </c>
      <c r="F70" s="6">
        <v>54.601284</v>
      </c>
      <c r="G70" s="7">
        <v>9.5217640000000003E-3</v>
      </c>
      <c r="H70" s="6"/>
    </row>
    <row r="71" spans="1:8" ht="25.5" x14ac:dyDescent="0.2">
      <c r="A71" s="3">
        <v>65</v>
      </c>
      <c r="B71" s="4" t="s">
        <v>696</v>
      </c>
      <c r="C71" s="4" t="s">
        <v>697</v>
      </c>
      <c r="D71" s="4" t="s">
        <v>945</v>
      </c>
      <c r="E71" s="5">
        <v>15499</v>
      </c>
      <c r="F71" s="6">
        <v>54.571978999999999</v>
      </c>
      <c r="G71" s="7">
        <v>9.5166529999999999E-3</v>
      </c>
      <c r="H71" s="6"/>
    </row>
    <row r="72" spans="1:8" x14ac:dyDescent="0.2">
      <c r="A72" s="3">
        <v>66</v>
      </c>
      <c r="B72" s="4" t="s">
        <v>475</v>
      </c>
      <c r="C72" s="4" t="s">
        <v>476</v>
      </c>
      <c r="D72" s="4" t="s">
        <v>956</v>
      </c>
      <c r="E72" s="5">
        <v>6316</v>
      </c>
      <c r="F72" s="6">
        <v>54.497605999999998</v>
      </c>
      <c r="G72" s="7">
        <v>9.5036840000000001E-3</v>
      </c>
      <c r="H72" s="6"/>
    </row>
    <row r="73" spans="1:8" x14ac:dyDescent="0.2">
      <c r="A73" s="3">
        <v>67</v>
      </c>
      <c r="B73" s="4" t="s">
        <v>698</v>
      </c>
      <c r="C73" s="4" t="s">
        <v>699</v>
      </c>
      <c r="D73" s="4" t="s">
        <v>91</v>
      </c>
      <c r="E73" s="5">
        <v>7480</v>
      </c>
      <c r="F73" s="6">
        <v>54.390819999999998</v>
      </c>
      <c r="G73" s="7">
        <v>9.4850620000000007E-3</v>
      </c>
      <c r="H73" s="6"/>
    </row>
    <row r="74" spans="1:8" x14ac:dyDescent="0.2">
      <c r="A74" s="3">
        <v>68</v>
      </c>
      <c r="B74" s="4" t="s">
        <v>700</v>
      </c>
      <c r="C74" s="4" t="s">
        <v>701</v>
      </c>
      <c r="D74" s="4" t="s">
        <v>966</v>
      </c>
      <c r="E74" s="5">
        <v>13284</v>
      </c>
      <c r="F74" s="6">
        <v>54.245213999999997</v>
      </c>
      <c r="G74" s="7">
        <v>9.4596699999999999E-3</v>
      </c>
      <c r="H74" s="6"/>
    </row>
    <row r="75" spans="1:8" ht="25.5" x14ac:dyDescent="0.2">
      <c r="A75" s="3">
        <v>69</v>
      </c>
      <c r="B75" s="4" t="s">
        <v>598</v>
      </c>
      <c r="C75" s="4" t="s">
        <v>599</v>
      </c>
      <c r="D75" s="4" t="s">
        <v>945</v>
      </c>
      <c r="E75" s="5">
        <v>7275</v>
      </c>
      <c r="F75" s="6">
        <v>54.173287500000001</v>
      </c>
      <c r="G75" s="7">
        <v>9.4471269999999996E-3</v>
      </c>
      <c r="H75" s="6"/>
    </row>
    <row r="76" spans="1:8" x14ac:dyDescent="0.2">
      <c r="A76" s="3">
        <v>70</v>
      </c>
      <c r="B76" s="4" t="s">
        <v>702</v>
      </c>
      <c r="C76" s="4" t="s">
        <v>703</v>
      </c>
      <c r="D76" s="4" t="s">
        <v>82</v>
      </c>
      <c r="E76" s="5">
        <v>2507</v>
      </c>
      <c r="F76" s="6">
        <v>54.151200000000003</v>
      </c>
      <c r="G76" s="7">
        <v>9.4432749999999992E-3</v>
      </c>
      <c r="H76" s="6"/>
    </row>
    <row r="77" spans="1:8" x14ac:dyDescent="0.2">
      <c r="A77" s="3">
        <v>71</v>
      </c>
      <c r="B77" s="4" t="s">
        <v>704</v>
      </c>
      <c r="C77" s="4" t="s">
        <v>705</v>
      </c>
      <c r="D77" s="4" t="s">
        <v>18</v>
      </c>
      <c r="E77" s="5">
        <v>153821</v>
      </c>
      <c r="F77" s="6">
        <v>53.991171000000001</v>
      </c>
      <c r="G77" s="7">
        <v>9.4153680000000003E-3</v>
      </c>
      <c r="H77" s="6"/>
    </row>
    <row r="78" spans="1:8" x14ac:dyDescent="0.2">
      <c r="A78" s="3">
        <v>72</v>
      </c>
      <c r="B78" s="4" t="s">
        <v>706</v>
      </c>
      <c r="C78" s="4" t="s">
        <v>707</v>
      </c>
      <c r="D78" s="4" t="s">
        <v>82</v>
      </c>
      <c r="E78" s="5">
        <v>4273</v>
      </c>
      <c r="F78" s="6">
        <v>53.965853500000001</v>
      </c>
      <c r="G78" s="7">
        <v>9.4109529999999997E-3</v>
      </c>
      <c r="H78" s="6"/>
    </row>
    <row r="79" spans="1:8" ht="25.5" x14ac:dyDescent="0.2">
      <c r="A79" s="3">
        <v>73</v>
      </c>
      <c r="B79" s="4" t="s">
        <v>382</v>
      </c>
      <c r="C79" s="4" t="s">
        <v>383</v>
      </c>
      <c r="D79" s="4" t="s">
        <v>82</v>
      </c>
      <c r="E79" s="5">
        <v>2417</v>
      </c>
      <c r="F79" s="6">
        <v>53.891849000000001</v>
      </c>
      <c r="G79" s="7">
        <v>9.3980469999999997E-3</v>
      </c>
      <c r="H79" s="6"/>
    </row>
    <row r="80" spans="1:8" x14ac:dyDescent="0.2">
      <c r="A80" s="3">
        <v>74</v>
      </c>
      <c r="B80" s="4" t="s">
        <v>428</v>
      </c>
      <c r="C80" s="4" t="s">
        <v>429</v>
      </c>
      <c r="D80" s="4" t="s">
        <v>302</v>
      </c>
      <c r="E80" s="5">
        <v>1364</v>
      </c>
      <c r="F80" s="6">
        <v>53.799570000000003</v>
      </c>
      <c r="G80" s="7">
        <v>9.3819550000000008E-3</v>
      </c>
      <c r="H80" s="6"/>
    </row>
    <row r="81" spans="1:8" x14ac:dyDescent="0.2">
      <c r="A81" s="3">
        <v>75</v>
      </c>
      <c r="B81" s="4" t="s">
        <v>444</v>
      </c>
      <c r="C81" s="4" t="s">
        <v>445</v>
      </c>
      <c r="D81" s="4" t="s">
        <v>71</v>
      </c>
      <c r="E81" s="5">
        <v>2188</v>
      </c>
      <c r="F81" s="6">
        <v>53.785415999999998</v>
      </c>
      <c r="G81" s="7">
        <v>9.3794870000000006E-3</v>
      </c>
      <c r="H81" s="6"/>
    </row>
    <row r="82" spans="1:8" x14ac:dyDescent="0.2">
      <c r="A82" s="3">
        <v>76</v>
      </c>
      <c r="B82" s="4" t="s">
        <v>708</v>
      </c>
      <c r="C82" s="4" t="s">
        <v>709</v>
      </c>
      <c r="D82" s="4" t="s">
        <v>82</v>
      </c>
      <c r="E82" s="5">
        <v>6468</v>
      </c>
      <c r="F82" s="6">
        <v>53.739378000000002</v>
      </c>
      <c r="G82" s="7">
        <v>9.3714579999999992E-3</v>
      </c>
      <c r="H82" s="6"/>
    </row>
    <row r="83" spans="1:8" x14ac:dyDescent="0.2">
      <c r="A83" s="3">
        <v>77</v>
      </c>
      <c r="B83" s="4" t="s">
        <v>14</v>
      </c>
      <c r="C83" s="4" t="s">
        <v>15</v>
      </c>
      <c r="D83" s="4" t="s">
        <v>64</v>
      </c>
      <c r="E83" s="5">
        <v>3165</v>
      </c>
      <c r="F83" s="6">
        <v>53.626177499999997</v>
      </c>
      <c r="G83" s="7">
        <v>9.3517180000000002E-3</v>
      </c>
      <c r="H83" s="6"/>
    </row>
    <row r="84" spans="1:8" ht="25.5" x14ac:dyDescent="0.2">
      <c r="A84" s="3">
        <v>78</v>
      </c>
      <c r="B84" s="4" t="s">
        <v>494</v>
      </c>
      <c r="C84" s="4" t="s">
        <v>495</v>
      </c>
      <c r="D84" s="4" t="s">
        <v>945</v>
      </c>
      <c r="E84" s="5">
        <v>5449</v>
      </c>
      <c r="F84" s="6">
        <v>53.465587999999997</v>
      </c>
      <c r="G84" s="7">
        <v>9.3237130000000008E-3</v>
      </c>
      <c r="H84" s="6"/>
    </row>
    <row r="85" spans="1:8" x14ac:dyDescent="0.2">
      <c r="A85" s="3">
        <v>79</v>
      </c>
      <c r="B85" s="4" t="s">
        <v>710</v>
      </c>
      <c r="C85" s="4" t="s">
        <v>711</v>
      </c>
      <c r="D85" s="4" t="s">
        <v>934</v>
      </c>
      <c r="E85" s="5">
        <v>2605</v>
      </c>
      <c r="F85" s="6">
        <v>53.187587499999999</v>
      </c>
      <c r="G85" s="7">
        <v>9.2752330000000008E-3</v>
      </c>
      <c r="H85" s="6"/>
    </row>
    <row r="86" spans="1:8" ht="25.5" x14ac:dyDescent="0.2">
      <c r="A86" s="3">
        <v>80</v>
      </c>
      <c r="B86" s="4" t="s">
        <v>712</v>
      </c>
      <c r="C86" s="4" t="s">
        <v>713</v>
      </c>
      <c r="D86" s="4" t="s">
        <v>945</v>
      </c>
      <c r="E86" s="5">
        <v>1287</v>
      </c>
      <c r="F86" s="6">
        <v>53.178196499999999</v>
      </c>
      <c r="G86" s="7">
        <v>9.2735960000000003E-3</v>
      </c>
      <c r="H86" s="6"/>
    </row>
    <row r="87" spans="1:8" ht="25.5" x14ac:dyDescent="0.2">
      <c r="A87" s="3">
        <v>81</v>
      </c>
      <c r="B87" s="4" t="s">
        <v>284</v>
      </c>
      <c r="C87" s="4" t="s">
        <v>285</v>
      </c>
      <c r="D87" s="4" t="s">
        <v>946</v>
      </c>
      <c r="E87" s="5">
        <v>2116</v>
      </c>
      <c r="F87" s="6">
        <v>53.168731999999999</v>
      </c>
      <c r="G87" s="7">
        <v>9.2719450000000002E-3</v>
      </c>
      <c r="H87" s="6"/>
    </row>
    <row r="88" spans="1:8" x14ac:dyDescent="0.2">
      <c r="A88" s="3">
        <v>82</v>
      </c>
      <c r="B88" s="4" t="s">
        <v>349</v>
      </c>
      <c r="C88" s="4" t="s">
        <v>350</v>
      </c>
      <c r="D88" s="4" t="s">
        <v>18</v>
      </c>
      <c r="E88" s="5">
        <v>3835</v>
      </c>
      <c r="F88" s="6">
        <v>53.099409999999999</v>
      </c>
      <c r="G88" s="7">
        <v>9.2598560000000003E-3</v>
      </c>
      <c r="H88" s="6"/>
    </row>
    <row r="89" spans="1:8" x14ac:dyDescent="0.2">
      <c r="A89" s="3">
        <v>83</v>
      </c>
      <c r="B89" s="4" t="s">
        <v>714</v>
      </c>
      <c r="C89" s="4" t="s">
        <v>715</v>
      </c>
      <c r="D89" s="4" t="s">
        <v>967</v>
      </c>
      <c r="E89" s="5">
        <v>28944</v>
      </c>
      <c r="F89" s="6">
        <v>52.924104</v>
      </c>
      <c r="G89" s="7">
        <v>9.2292850000000003E-3</v>
      </c>
      <c r="H89" s="6"/>
    </row>
    <row r="90" spans="1:8" x14ac:dyDescent="0.2">
      <c r="A90" s="3">
        <v>84</v>
      </c>
      <c r="B90" s="4" t="s">
        <v>716</v>
      </c>
      <c r="C90" s="4" t="s">
        <v>717</v>
      </c>
      <c r="D90" s="4" t="s">
        <v>938</v>
      </c>
      <c r="E90" s="5">
        <v>2846</v>
      </c>
      <c r="F90" s="6">
        <v>52.881526000000001</v>
      </c>
      <c r="G90" s="7">
        <v>9.2218600000000001E-3</v>
      </c>
      <c r="H90" s="6"/>
    </row>
    <row r="91" spans="1:8" ht="25.5" x14ac:dyDescent="0.2">
      <c r="A91" s="3">
        <v>85</v>
      </c>
      <c r="B91" s="4" t="s">
        <v>718</v>
      </c>
      <c r="C91" s="4" t="s">
        <v>719</v>
      </c>
      <c r="D91" s="4" t="s">
        <v>958</v>
      </c>
      <c r="E91" s="5">
        <v>377</v>
      </c>
      <c r="F91" s="6">
        <v>52.870103</v>
      </c>
      <c r="G91" s="7">
        <v>9.2198680000000009E-3</v>
      </c>
      <c r="H91" s="6"/>
    </row>
    <row r="92" spans="1:8" x14ac:dyDescent="0.2">
      <c r="A92" s="3">
        <v>86</v>
      </c>
      <c r="B92" s="4" t="s">
        <v>89</v>
      </c>
      <c r="C92" s="4" t="s">
        <v>90</v>
      </c>
      <c r="D92" s="4" t="s">
        <v>91</v>
      </c>
      <c r="E92" s="5">
        <v>54598</v>
      </c>
      <c r="F92" s="6">
        <v>52.823565000000002</v>
      </c>
      <c r="G92" s="7">
        <v>9.2117520000000001E-3</v>
      </c>
      <c r="H92" s="6"/>
    </row>
    <row r="93" spans="1:8" x14ac:dyDescent="0.2">
      <c r="A93" s="3">
        <v>87</v>
      </c>
      <c r="B93" s="4" t="s">
        <v>418</v>
      </c>
      <c r="C93" s="4" t="s">
        <v>419</v>
      </c>
      <c r="D93" s="4" t="s">
        <v>82</v>
      </c>
      <c r="E93" s="5">
        <v>791</v>
      </c>
      <c r="F93" s="6">
        <v>52.773938000000001</v>
      </c>
      <c r="G93" s="7">
        <v>9.2030979999999998E-3</v>
      </c>
      <c r="H93" s="6"/>
    </row>
    <row r="94" spans="1:8" x14ac:dyDescent="0.2">
      <c r="A94" s="3">
        <v>88</v>
      </c>
      <c r="B94" s="4" t="s">
        <v>384</v>
      </c>
      <c r="C94" s="4" t="s">
        <v>385</v>
      </c>
      <c r="D94" s="4" t="s">
        <v>947</v>
      </c>
      <c r="E94" s="5">
        <v>1485</v>
      </c>
      <c r="F94" s="6">
        <v>52.668495</v>
      </c>
      <c r="G94" s="7">
        <v>9.1847100000000004E-3</v>
      </c>
      <c r="H94" s="6"/>
    </row>
    <row r="95" spans="1:8" x14ac:dyDescent="0.2">
      <c r="A95" s="3">
        <v>89</v>
      </c>
      <c r="B95" s="4" t="s">
        <v>292</v>
      </c>
      <c r="C95" s="4" t="s">
        <v>293</v>
      </c>
      <c r="D95" s="4" t="s">
        <v>233</v>
      </c>
      <c r="E95" s="5">
        <v>1179</v>
      </c>
      <c r="F95" s="6">
        <v>52.516786500000002</v>
      </c>
      <c r="G95" s="7">
        <v>9.1582539999999994E-3</v>
      </c>
      <c r="H95" s="6"/>
    </row>
    <row r="96" spans="1:8" x14ac:dyDescent="0.2">
      <c r="A96" s="3">
        <v>90</v>
      </c>
      <c r="B96" s="4" t="s">
        <v>402</v>
      </c>
      <c r="C96" s="4" t="s">
        <v>403</v>
      </c>
      <c r="D96" s="4" t="s">
        <v>91</v>
      </c>
      <c r="E96" s="5">
        <v>4058</v>
      </c>
      <c r="F96" s="6">
        <v>51.579208999999999</v>
      </c>
      <c r="G96" s="7">
        <v>8.9947529999999994E-3</v>
      </c>
      <c r="H96" s="6"/>
    </row>
    <row r="97" spans="1:8" x14ac:dyDescent="0.2">
      <c r="A97" s="3">
        <v>91</v>
      </c>
      <c r="B97" s="4" t="s">
        <v>394</v>
      </c>
      <c r="C97" s="4" t="s">
        <v>395</v>
      </c>
      <c r="D97" s="4" t="s">
        <v>947</v>
      </c>
      <c r="E97" s="5">
        <v>4713</v>
      </c>
      <c r="F97" s="6">
        <v>50.865052499999997</v>
      </c>
      <c r="G97" s="7">
        <v>8.8702130000000001E-3</v>
      </c>
      <c r="H97" s="6"/>
    </row>
    <row r="98" spans="1:8" x14ac:dyDescent="0.2">
      <c r="A98" s="3">
        <v>92</v>
      </c>
      <c r="B98" s="4" t="s">
        <v>52</v>
      </c>
      <c r="C98" s="4" t="s">
        <v>53</v>
      </c>
      <c r="D98" s="4" t="s">
        <v>54</v>
      </c>
      <c r="E98" s="5">
        <v>31480</v>
      </c>
      <c r="F98" s="6">
        <v>50.509659999999997</v>
      </c>
      <c r="G98" s="7">
        <v>8.808237E-3</v>
      </c>
      <c r="H98" s="6"/>
    </row>
    <row r="99" spans="1:8" x14ac:dyDescent="0.2">
      <c r="A99" s="3">
        <v>93</v>
      </c>
      <c r="B99" s="4" t="s">
        <v>355</v>
      </c>
      <c r="C99" s="4" t="s">
        <v>356</v>
      </c>
      <c r="D99" s="4" t="s">
        <v>82</v>
      </c>
      <c r="E99" s="5">
        <v>335</v>
      </c>
      <c r="F99" s="6">
        <v>49.952352500000003</v>
      </c>
      <c r="G99" s="7">
        <v>8.7110499999999997E-3</v>
      </c>
      <c r="H99" s="6"/>
    </row>
    <row r="100" spans="1:8" x14ac:dyDescent="0.2">
      <c r="A100" s="3">
        <v>94</v>
      </c>
      <c r="B100" s="4" t="s">
        <v>720</v>
      </c>
      <c r="C100" s="4" t="s">
        <v>721</v>
      </c>
      <c r="D100" s="4" t="s">
        <v>302</v>
      </c>
      <c r="E100" s="5">
        <v>69235</v>
      </c>
      <c r="F100" s="6">
        <v>49.676112500000002</v>
      </c>
      <c r="G100" s="7">
        <v>8.6628769999999994E-3</v>
      </c>
      <c r="H100" s="6"/>
    </row>
    <row r="101" spans="1:8" x14ac:dyDescent="0.2">
      <c r="A101" s="3">
        <v>95</v>
      </c>
      <c r="B101" s="4" t="s">
        <v>392</v>
      </c>
      <c r="C101" s="4" t="s">
        <v>393</v>
      </c>
      <c r="D101" s="4" t="s">
        <v>947</v>
      </c>
      <c r="E101" s="5">
        <v>9174</v>
      </c>
      <c r="F101" s="6">
        <v>46.677312000000001</v>
      </c>
      <c r="G101" s="7">
        <v>8.1399249999999992E-3</v>
      </c>
      <c r="H101" s="6"/>
    </row>
    <row r="102" spans="1:8" x14ac:dyDescent="0.2">
      <c r="A102" s="3">
        <v>96</v>
      </c>
      <c r="B102" s="4" t="s">
        <v>298</v>
      </c>
      <c r="C102" s="4" t="s">
        <v>299</v>
      </c>
      <c r="D102" s="4" t="s">
        <v>947</v>
      </c>
      <c r="E102" s="5">
        <v>1302</v>
      </c>
      <c r="F102" s="6">
        <v>46.248992999999999</v>
      </c>
      <c r="G102" s="7">
        <v>8.0652310000000008E-3</v>
      </c>
      <c r="H102" s="6"/>
    </row>
    <row r="103" spans="1:8" x14ac:dyDescent="0.2">
      <c r="A103" s="3">
        <v>97</v>
      </c>
      <c r="B103" s="4" t="s">
        <v>380</v>
      </c>
      <c r="C103" s="4" t="s">
        <v>381</v>
      </c>
      <c r="D103" s="4" t="s">
        <v>947</v>
      </c>
      <c r="E103" s="5">
        <v>2930</v>
      </c>
      <c r="F103" s="6">
        <v>45.929214999999999</v>
      </c>
      <c r="G103" s="7">
        <v>8.0094659999999998E-3</v>
      </c>
      <c r="H103" s="6"/>
    </row>
    <row r="104" spans="1:8" x14ac:dyDescent="0.2">
      <c r="A104" s="3">
        <v>98</v>
      </c>
      <c r="B104" s="4" t="s">
        <v>398</v>
      </c>
      <c r="C104" s="4" t="s">
        <v>399</v>
      </c>
      <c r="D104" s="4" t="s">
        <v>947</v>
      </c>
      <c r="E104" s="5">
        <v>3611</v>
      </c>
      <c r="F104" s="6">
        <v>45.462490000000003</v>
      </c>
      <c r="G104" s="7">
        <v>7.9280749999999997E-3</v>
      </c>
      <c r="H104" s="6"/>
    </row>
    <row r="105" spans="1:8" x14ac:dyDescent="0.2">
      <c r="A105" s="3">
        <v>99</v>
      </c>
      <c r="B105" s="4" t="s">
        <v>594</v>
      </c>
      <c r="C105" s="4" t="s">
        <v>595</v>
      </c>
      <c r="D105" s="4" t="s">
        <v>947</v>
      </c>
      <c r="E105" s="5">
        <v>903</v>
      </c>
      <c r="F105" s="6">
        <v>43.696621499999999</v>
      </c>
      <c r="G105" s="7">
        <v>7.6201300000000001E-3</v>
      </c>
      <c r="H105" s="6"/>
    </row>
    <row r="106" spans="1:8" x14ac:dyDescent="0.2">
      <c r="A106" s="3">
        <v>100</v>
      </c>
      <c r="B106" s="4" t="s">
        <v>404</v>
      </c>
      <c r="C106" s="4" t="s">
        <v>405</v>
      </c>
      <c r="D106" s="4" t="s">
        <v>406</v>
      </c>
      <c r="E106" s="5">
        <v>8673</v>
      </c>
      <c r="F106" s="6">
        <v>41.860234499999997</v>
      </c>
      <c r="G106" s="7">
        <v>7.299888E-3</v>
      </c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 t="s">
        <v>112</v>
      </c>
      <c r="F107" s="9">
        <v>5640.0936689999999</v>
      </c>
      <c r="G107" s="10">
        <v>0.98356001400000004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113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114</v>
      </c>
      <c r="D112" s="1"/>
      <c r="E112" s="1"/>
      <c r="F112" s="1"/>
      <c r="G112" s="1"/>
      <c r="H112" s="6"/>
    </row>
    <row r="113" spans="1:8" ht="17.100000000000001" customHeight="1" x14ac:dyDescent="0.2">
      <c r="A113" s="3">
        <v>1</v>
      </c>
      <c r="B113" s="4" t="s">
        <v>722</v>
      </c>
      <c r="C113" s="68" t="s">
        <v>985</v>
      </c>
      <c r="D113" s="4"/>
      <c r="E113" s="5">
        <v>26586</v>
      </c>
      <c r="F113" s="6">
        <v>2.6600000000000003E-7</v>
      </c>
      <c r="G113" s="8" t="s">
        <v>110</v>
      </c>
      <c r="H113" s="6"/>
    </row>
    <row r="114" spans="1:8" ht="14.1" customHeight="1" x14ac:dyDescent="0.2">
      <c r="A114" s="1"/>
      <c r="B114" s="1"/>
      <c r="C114" s="2" t="s">
        <v>111</v>
      </c>
      <c r="D114" s="1"/>
      <c r="E114" s="1" t="s">
        <v>112</v>
      </c>
      <c r="F114" s="9">
        <v>2.6600000000000003E-7</v>
      </c>
      <c r="G114" s="10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115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116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117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8" customHeight="1" x14ac:dyDescent="0.2">
      <c r="A125" s="1"/>
      <c r="B125" s="1"/>
      <c r="C125" s="2" t="s">
        <v>118</v>
      </c>
      <c r="D125" s="1"/>
      <c r="E125" s="1"/>
      <c r="F125" s="9">
        <v>5640.0936692659998</v>
      </c>
      <c r="G125" s="10">
        <v>0.98356001400000004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119</v>
      </c>
      <c r="D127" s="1"/>
      <c r="E127" s="1"/>
      <c r="F127" s="12"/>
      <c r="G127" s="12"/>
      <c r="H127" s="6"/>
    </row>
    <row r="128" spans="1:8" ht="24" customHeight="1" x14ac:dyDescent="0.2">
      <c r="A128" s="1"/>
      <c r="B128" s="1"/>
      <c r="C128" s="2" t="s">
        <v>10</v>
      </c>
      <c r="D128" s="1"/>
      <c r="E128" s="1"/>
      <c r="F128" s="12"/>
      <c r="G128" s="12"/>
      <c r="H128" s="6"/>
    </row>
    <row r="129" spans="1:8" ht="29.1" customHeight="1" x14ac:dyDescent="0.2">
      <c r="A129" s="3">
        <v>1</v>
      </c>
      <c r="B129" s="4" t="s">
        <v>587</v>
      </c>
      <c r="C129" s="4" t="s">
        <v>588</v>
      </c>
      <c r="D129" s="4" t="s">
        <v>589</v>
      </c>
      <c r="E129" s="5">
        <v>828</v>
      </c>
      <c r="F129" s="6">
        <v>0.238295916</v>
      </c>
      <c r="G129" s="8" t="s">
        <v>110</v>
      </c>
      <c r="H129" s="6">
        <v>5.89</v>
      </c>
    </row>
    <row r="130" spans="1:8" ht="14.1" customHeight="1" x14ac:dyDescent="0.2">
      <c r="A130" s="1"/>
      <c r="B130" s="1"/>
      <c r="C130" s="2" t="s">
        <v>111</v>
      </c>
      <c r="D130" s="1"/>
      <c r="E130" s="1" t="s">
        <v>112</v>
      </c>
      <c r="F130" s="9">
        <v>0.238295916</v>
      </c>
      <c r="G130" s="10">
        <v>4.1556E-5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120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121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111</v>
      </c>
      <c r="D136" s="1"/>
      <c r="E136" s="1" t="s">
        <v>112</v>
      </c>
      <c r="F136" s="13">
        <v>0</v>
      </c>
      <c r="G136" s="14">
        <v>0</v>
      </c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2" t="s">
        <v>122</v>
      </c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111</v>
      </c>
      <c r="D139" s="1"/>
      <c r="E139" s="1" t="s">
        <v>112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123</v>
      </c>
      <c r="D141" s="1"/>
      <c r="E141" s="1"/>
      <c r="F141" s="9">
        <v>0.238295916</v>
      </c>
      <c r="G141" s="10">
        <v>4.1556E-5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2" t="s">
        <v>124</v>
      </c>
      <c r="D143" s="1"/>
      <c r="E143" s="1"/>
      <c r="F143" s="12"/>
      <c r="G143" s="12"/>
      <c r="H143" s="6"/>
    </row>
    <row r="144" spans="1:8" ht="14.1" customHeight="1" x14ac:dyDescent="0.2">
      <c r="A144" s="1"/>
      <c r="B144" s="1"/>
      <c r="C144" s="2" t="s">
        <v>125</v>
      </c>
      <c r="D144" s="1"/>
      <c r="E144" s="1"/>
      <c r="F144" s="12"/>
      <c r="G144" s="12"/>
      <c r="H144" s="6"/>
    </row>
    <row r="145" spans="1:8" ht="14.1" customHeight="1" x14ac:dyDescent="0.2">
      <c r="A145" s="1"/>
      <c r="B145" s="1"/>
      <c r="C145" s="2" t="s">
        <v>111</v>
      </c>
      <c r="D145" s="1"/>
      <c r="E145" s="1" t="s">
        <v>112</v>
      </c>
      <c r="F145" s="13">
        <v>0</v>
      </c>
      <c r="G145" s="14">
        <v>0</v>
      </c>
      <c r="H145" s="6"/>
    </row>
    <row r="146" spans="1:8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8" ht="14.1" customHeight="1" x14ac:dyDescent="0.2">
      <c r="A147" s="1"/>
      <c r="B147" s="1"/>
      <c r="C147" s="2" t="s">
        <v>126</v>
      </c>
      <c r="D147" s="1"/>
      <c r="E147" s="1"/>
      <c r="F147" s="12"/>
      <c r="G147" s="12"/>
      <c r="H147" s="6"/>
    </row>
    <row r="148" spans="1:8" ht="14.1" customHeight="1" x14ac:dyDescent="0.2">
      <c r="A148" s="1"/>
      <c r="B148" s="1"/>
      <c r="C148" s="2" t="s">
        <v>111</v>
      </c>
      <c r="D148" s="1"/>
      <c r="E148" s="1" t="s">
        <v>112</v>
      </c>
      <c r="F148" s="13">
        <v>0</v>
      </c>
      <c r="G148" s="14">
        <v>0</v>
      </c>
      <c r="H148" s="6"/>
    </row>
    <row r="149" spans="1:8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8" ht="14.1" customHeight="1" x14ac:dyDescent="0.2">
      <c r="A150" s="1"/>
      <c r="B150" s="1"/>
      <c r="C150" s="2" t="s">
        <v>127</v>
      </c>
      <c r="D150" s="1"/>
      <c r="E150" s="1"/>
      <c r="F150" s="12"/>
      <c r="G150" s="12"/>
      <c r="H150" s="6"/>
    </row>
    <row r="151" spans="1:8" ht="14.1" customHeight="1" x14ac:dyDescent="0.2">
      <c r="A151" s="1"/>
      <c r="B151" s="1"/>
      <c r="C151" s="2" t="s">
        <v>111</v>
      </c>
      <c r="D151" s="1"/>
      <c r="E151" s="1" t="s">
        <v>112</v>
      </c>
      <c r="F151" s="13">
        <v>0</v>
      </c>
      <c r="G151" s="14">
        <v>0</v>
      </c>
      <c r="H151" s="6"/>
    </row>
    <row r="152" spans="1:8" ht="14.1" customHeight="1" x14ac:dyDescent="0.2">
      <c r="A152" s="1"/>
      <c r="B152" s="1"/>
      <c r="C152" s="11"/>
      <c r="D152" s="1"/>
      <c r="E152" s="1"/>
      <c r="F152" s="12"/>
      <c r="G152" s="12"/>
      <c r="H152" s="6"/>
    </row>
    <row r="153" spans="1:8" ht="14.1" customHeight="1" x14ac:dyDescent="0.2">
      <c r="A153" s="1"/>
      <c r="B153" s="1"/>
      <c r="C153" s="2" t="s">
        <v>128</v>
      </c>
      <c r="D153" s="1"/>
      <c r="E153" s="1"/>
      <c r="F153" s="12"/>
      <c r="G153" s="12"/>
      <c r="H153" s="6"/>
    </row>
    <row r="154" spans="1:8" ht="17.100000000000001" customHeight="1" x14ac:dyDescent="0.2">
      <c r="A154" s="3">
        <v>1</v>
      </c>
      <c r="B154" s="4"/>
      <c r="C154" s="4" t="s">
        <v>129</v>
      </c>
      <c r="D154" s="4"/>
      <c r="E154" s="8"/>
      <c r="F154" s="6">
        <v>243.21585020000001</v>
      </c>
      <c r="G154" s="7">
        <v>4.2413724999999999E-2</v>
      </c>
      <c r="H154" s="6">
        <v>3.9343919198424624</v>
      </c>
    </row>
    <row r="155" spans="1:8" ht="17.100000000000001" customHeight="1" x14ac:dyDescent="0.2">
      <c r="A155" s="3">
        <v>2</v>
      </c>
      <c r="B155" s="4"/>
      <c r="C155" s="4" t="s">
        <v>130</v>
      </c>
      <c r="D155" s="4"/>
      <c r="E155" s="8"/>
      <c r="F155" s="6">
        <v>15.9742982</v>
      </c>
      <c r="G155" s="7">
        <v>2.785713E-3</v>
      </c>
      <c r="H155" s="6">
        <v>3.8</v>
      </c>
    </row>
    <row r="156" spans="1:8" ht="14.1" customHeight="1" x14ac:dyDescent="0.2">
      <c r="A156" s="1"/>
      <c r="B156" s="1"/>
      <c r="C156" s="2" t="s">
        <v>111</v>
      </c>
      <c r="D156" s="1"/>
      <c r="E156" s="1" t="s">
        <v>112</v>
      </c>
      <c r="F156" s="9">
        <v>259.1901484</v>
      </c>
      <c r="G156" s="10">
        <v>4.5199438000000002E-2</v>
      </c>
      <c r="H156" s="6"/>
    </row>
    <row r="157" spans="1:8" ht="14.1" customHeight="1" x14ac:dyDescent="0.2">
      <c r="A157" s="1"/>
      <c r="B157" s="1"/>
      <c r="C157" s="11"/>
      <c r="D157" s="1"/>
      <c r="E157" s="1"/>
      <c r="F157" s="12"/>
      <c r="G157" s="12"/>
      <c r="H157" s="6"/>
    </row>
    <row r="158" spans="1:8" ht="14.1" customHeight="1" x14ac:dyDescent="0.2">
      <c r="A158" s="1"/>
      <c r="B158" s="1"/>
      <c r="C158" s="2" t="s">
        <v>131</v>
      </c>
      <c r="D158" s="1"/>
      <c r="E158" s="1"/>
      <c r="F158" s="9">
        <v>259.1901484</v>
      </c>
      <c r="G158" s="10">
        <v>4.5199438000000002E-2</v>
      </c>
      <c r="H158" s="6"/>
    </row>
    <row r="159" spans="1:8" ht="14.1" customHeight="1" x14ac:dyDescent="0.2">
      <c r="A159" s="1"/>
      <c r="B159" s="1"/>
      <c r="C159" s="12"/>
      <c r="D159" s="1"/>
      <c r="E159" s="1"/>
      <c r="F159" s="1"/>
      <c r="G159" s="1"/>
      <c r="H159" s="6"/>
    </row>
    <row r="160" spans="1:8" ht="14.1" customHeight="1" x14ac:dyDescent="0.2">
      <c r="A160" s="1"/>
      <c r="B160" s="1"/>
      <c r="C160" s="2" t="s">
        <v>132</v>
      </c>
      <c r="D160" s="1"/>
      <c r="E160" s="1"/>
      <c r="F160" s="1"/>
      <c r="G160" s="1"/>
      <c r="H160" s="6"/>
    </row>
    <row r="161" spans="1:15" ht="14.1" customHeight="1" x14ac:dyDescent="0.2">
      <c r="A161" s="1"/>
      <c r="B161" s="1"/>
      <c r="C161" s="2" t="s">
        <v>133</v>
      </c>
      <c r="D161" s="1"/>
      <c r="E161" s="1"/>
      <c r="F161" s="1"/>
      <c r="G161" s="1"/>
      <c r="H161" s="6"/>
    </row>
    <row r="162" spans="1:15" ht="14.1" customHeight="1" x14ac:dyDescent="0.2">
      <c r="A162" s="1"/>
      <c r="B162" s="1"/>
      <c r="C162" s="2" t="s">
        <v>111</v>
      </c>
      <c r="D162" s="1"/>
      <c r="E162" s="1" t="s">
        <v>112</v>
      </c>
      <c r="F162" s="13">
        <v>0</v>
      </c>
      <c r="G162" s="14">
        <v>0</v>
      </c>
      <c r="H162" s="6"/>
    </row>
    <row r="163" spans="1:15" ht="14.1" customHeight="1" x14ac:dyDescent="0.2">
      <c r="A163" s="1"/>
      <c r="B163" s="1"/>
      <c r="C163" s="11"/>
      <c r="D163" s="1"/>
      <c r="E163" s="1"/>
      <c r="F163" s="12"/>
      <c r="G163" s="12"/>
      <c r="H163" s="6"/>
    </row>
    <row r="164" spans="1:15" ht="14.1" customHeight="1" x14ac:dyDescent="0.2">
      <c r="A164" s="1"/>
      <c r="B164" s="1"/>
      <c r="C164" s="2" t="s">
        <v>134</v>
      </c>
      <c r="D164" s="1"/>
      <c r="E164" s="1"/>
      <c r="F164" s="1"/>
      <c r="G164" s="1"/>
      <c r="H164" s="6"/>
    </row>
    <row r="165" spans="1:15" ht="14.1" customHeight="1" x14ac:dyDescent="0.2">
      <c r="A165" s="1"/>
      <c r="B165" s="1"/>
      <c r="C165" s="2" t="s">
        <v>135</v>
      </c>
      <c r="D165" s="1"/>
      <c r="E165" s="1"/>
      <c r="F165" s="1"/>
      <c r="G165" s="1"/>
      <c r="H165" s="6"/>
    </row>
    <row r="166" spans="1:15" ht="14.1" customHeight="1" x14ac:dyDescent="0.2">
      <c r="A166" s="1"/>
      <c r="B166" s="1"/>
      <c r="C166" s="2" t="s">
        <v>111</v>
      </c>
      <c r="D166" s="1"/>
      <c r="E166" s="1" t="s">
        <v>112</v>
      </c>
      <c r="F166" s="13">
        <v>0</v>
      </c>
      <c r="G166" s="14">
        <v>0</v>
      </c>
      <c r="H166" s="6"/>
    </row>
    <row r="167" spans="1:15" ht="14.1" customHeight="1" x14ac:dyDescent="0.2">
      <c r="A167" s="1"/>
      <c r="B167" s="1"/>
      <c r="C167" s="11"/>
      <c r="D167" s="1"/>
      <c r="E167" s="1"/>
      <c r="F167" s="12"/>
      <c r="G167" s="12"/>
      <c r="H167" s="6"/>
    </row>
    <row r="168" spans="1:15" ht="14.1" customHeight="1" x14ac:dyDescent="0.2">
      <c r="A168" s="1"/>
      <c r="B168" s="1"/>
      <c r="C168" s="11"/>
      <c r="D168" s="1"/>
      <c r="E168" s="1"/>
      <c r="F168" s="12"/>
      <c r="G168" s="12"/>
      <c r="H168" s="6"/>
    </row>
    <row r="169" spans="1:15" ht="24" customHeight="1" x14ac:dyDescent="0.2">
      <c r="A169" s="1"/>
      <c r="B169" s="1"/>
      <c r="C169" s="2" t="s">
        <v>136</v>
      </c>
      <c r="D169" s="1"/>
      <c r="E169" s="1"/>
      <c r="F169" s="12"/>
      <c r="G169" s="12"/>
      <c r="H169" s="6"/>
    </row>
    <row r="170" spans="1:15" ht="14.1" customHeight="1" x14ac:dyDescent="0.2">
      <c r="A170" s="1"/>
      <c r="B170" s="1"/>
      <c r="C170" s="2" t="s">
        <v>111</v>
      </c>
      <c r="D170" s="1"/>
      <c r="E170" s="1" t="s">
        <v>112</v>
      </c>
      <c r="F170" s="13">
        <v>0</v>
      </c>
      <c r="G170" s="14">
        <v>0</v>
      </c>
      <c r="H170" s="6"/>
    </row>
    <row r="171" spans="1:15" ht="14.1" customHeight="1" x14ac:dyDescent="0.2">
      <c r="A171" s="1"/>
      <c r="B171" s="1"/>
      <c r="C171" s="11"/>
      <c r="D171" s="1"/>
      <c r="E171" s="1"/>
      <c r="F171" s="12"/>
      <c r="G171" s="12"/>
      <c r="H171" s="6"/>
    </row>
    <row r="172" spans="1:15" ht="14.1" customHeight="1" x14ac:dyDescent="0.2">
      <c r="A172" s="1"/>
      <c r="B172" s="4"/>
      <c r="C172" s="4"/>
      <c r="D172" s="2"/>
      <c r="E172" s="1"/>
      <c r="F172" s="4"/>
      <c r="G172" s="8"/>
      <c r="H172" s="6"/>
    </row>
    <row r="173" spans="1:15" ht="18" customHeight="1" x14ac:dyDescent="0.2">
      <c r="A173" s="8"/>
      <c r="B173" s="4"/>
      <c r="C173" s="4" t="s">
        <v>994</v>
      </c>
      <c r="D173" s="4"/>
      <c r="E173" s="8"/>
      <c r="F173" s="6">
        <v>-165.15552191</v>
      </c>
      <c r="G173" s="7">
        <v>-2.8801005000000001E-2</v>
      </c>
      <c r="H173" s="6"/>
    </row>
    <row r="174" spans="1:15" ht="14.1" customHeight="1" x14ac:dyDescent="0.2">
      <c r="A174" s="11"/>
      <c r="B174" s="11"/>
      <c r="C174" s="2" t="s">
        <v>138</v>
      </c>
      <c r="D174" s="15"/>
      <c r="E174" s="15"/>
      <c r="F174" s="9">
        <v>5734.3665916720001</v>
      </c>
      <c r="G174" s="10">
        <v>1.000000003</v>
      </c>
      <c r="H174" s="6"/>
    </row>
    <row r="175" spans="1:15" ht="14.1" customHeight="1" x14ac:dyDescent="0.2">
      <c r="A175" s="16"/>
      <c r="B175" s="16"/>
      <c r="C175" s="16"/>
      <c r="D175" s="17"/>
      <c r="E175" s="17"/>
      <c r="F175" s="17"/>
      <c r="G175" s="17"/>
    </row>
    <row r="176" spans="1:15" ht="17.100000000000001" customHeight="1" x14ac:dyDescent="0.2">
      <c r="A176" s="18"/>
      <c r="B176" s="297" t="s">
        <v>590</v>
      </c>
      <c r="C176" s="297"/>
      <c r="D176" s="297"/>
      <c r="E176" s="297"/>
      <c r="F176" s="297"/>
      <c r="G176" s="20"/>
      <c r="J176" s="27"/>
      <c r="K176" s="27"/>
      <c r="L176" s="27"/>
      <c r="M176" s="27"/>
      <c r="N176" s="27"/>
      <c r="O176" s="27"/>
    </row>
    <row r="177" spans="1:15" ht="17.100000000000001" customHeight="1" x14ac:dyDescent="0.2">
      <c r="A177" s="18"/>
      <c r="B177" s="297" t="s">
        <v>139</v>
      </c>
      <c r="C177" s="297"/>
      <c r="D177" s="297"/>
      <c r="E177" s="297"/>
      <c r="F177" s="297"/>
      <c r="G177" s="20"/>
    </row>
    <row r="178" spans="1:15" ht="14.1" customHeight="1" x14ac:dyDescent="0.2">
      <c r="A178" s="18"/>
      <c r="B178" s="69" t="s">
        <v>986</v>
      </c>
      <c r="C178" s="18"/>
      <c r="D178" s="20"/>
      <c r="E178" s="20"/>
      <c r="F178" s="20"/>
      <c r="G178" s="20"/>
    </row>
    <row r="179" spans="1:15" s="27" customFormat="1" ht="17.100000000000001" customHeight="1" x14ac:dyDescent="0.2">
      <c r="A179" s="48"/>
      <c r="B179" s="298" t="s">
        <v>749</v>
      </c>
      <c r="C179" s="298"/>
      <c r="D179" s="298"/>
      <c r="E179" s="298"/>
      <c r="F179" s="298"/>
      <c r="G179" s="45"/>
      <c r="H179"/>
      <c r="J179"/>
      <c r="K179"/>
      <c r="L179"/>
      <c r="M179"/>
      <c r="N179"/>
      <c r="O179"/>
    </row>
    <row r="180" spans="1:15" ht="14.1" customHeight="1" x14ac:dyDescent="0.2">
      <c r="A180" s="18"/>
      <c r="B180" s="18"/>
      <c r="C180" s="18"/>
      <c r="D180" s="20"/>
      <c r="E180" s="20"/>
      <c r="F180" s="20"/>
      <c r="G180" s="20"/>
    </row>
    <row r="181" spans="1:15" ht="14.1" customHeight="1" x14ac:dyDescent="0.2">
      <c r="A181" s="18"/>
      <c r="B181" s="294" t="s">
        <v>140</v>
      </c>
      <c r="C181" s="295"/>
      <c r="D181" s="12" t="s">
        <v>112</v>
      </c>
      <c r="E181" s="21"/>
      <c r="F181" s="20"/>
      <c r="G181" s="20"/>
    </row>
    <row r="182" spans="1:15" ht="29.1" customHeight="1" x14ac:dyDescent="0.2">
      <c r="A182" s="18"/>
      <c r="B182" s="288" t="s">
        <v>141</v>
      </c>
      <c r="C182" s="289"/>
      <c r="D182" s="2" t="s">
        <v>142</v>
      </c>
      <c r="E182" s="21"/>
      <c r="F182" s="20"/>
      <c r="G182" s="20"/>
    </row>
    <row r="183" spans="1:15" ht="17.100000000000001" customHeight="1" x14ac:dyDescent="0.2">
      <c r="A183" s="18"/>
      <c r="B183" s="288" t="s">
        <v>143</v>
      </c>
      <c r="C183" s="289"/>
      <c r="D183" s="2" t="s">
        <v>142</v>
      </c>
      <c r="E183" s="21"/>
      <c r="F183" s="20"/>
      <c r="G183" s="20"/>
    </row>
    <row r="184" spans="1:15" ht="17.100000000000001" customHeight="1" x14ac:dyDescent="0.2">
      <c r="A184" s="18"/>
      <c r="B184" s="288" t="s">
        <v>144</v>
      </c>
      <c r="C184" s="289"/>
      <c r="D184" s="12" t="s">
        <v>112</v>
      </c>
      <c r="E184" s="21"/>
      <c r="F184" s="20"/>
      <c r="G184" s="20"/>
    </row>
    <row r="185" spans="1:15" ht="24" customHeight="1" x14ac:dyDescent="0.2">
      <c r="A185" s="22"/>
      <c r="B185" s="23" t="s">
        <v>112</v>
      </c>
      <c r="C185" s="23" t="s">
        <v>145</v>
      </c>
      <c r="D185" s="23" t="s">
        <v>146</v>
      </c>
      <c r="E185" s="22"/>
      <c r="F185" s="22"/>
      <c r="G185" s="22"/>
    </row>
    <row r="186" spans="1:15" ht="18" customHeight="1" x14ac:dyDescent="0.2">
      <c r="A186" s="22"/>
      <c r="B186" s="23" t="s">
        <v>147</v>
      </c>
      <c r="C186" s="23" t="s">
        <v>148</v>
      </c>
      <c r="D186" s="23" t="s">
        <v>149</v>
      </c>
      <c r="E186" s="22"/>
      <c r="F186" s="22"/>
      <c r="G186" s="22"/>
    </row>
    <row r="187" spans="1:15" ht="17.100000000000001" customHeight="1" x14ac:dyDescent="0.2">
      <c r="A187" s="22"/>
      <c r="B187" s="4" t="s">
        <v>150</v>
      </c>
      <c r="C187" s="24">
        <v>111.9973</v>
      </c>
      <c r="D187" s="24">
        <v>112.9815</v>
      </c>
      <c r="E187" s="22"/>
      <c r="F187" s="19"/>
      <c r="G187" s="25"/>
    </row>
    <row r="188" spans="1:15" ht="17.100000000000001" customHeight="1" x14ac:dyDescent="0.2">
      <c r="A188" s="22"/>
      <c r="B188" s="4" t="s">
        <v>1114</v>
      </c>
      <c r="C188" s="24">
        <v>65.819199999999995</v>
      </c>
      <c r="D188" s="24">
        <v>66.397599999999997</v>
      </c>
      <c r="E188" s="22"/>
      <c r="F188" s="19"/>
      <c r="G188" s="25"/>
    </row>
    <row r="189" spans="1:15" ht="17.100000000000001" customHeight="1" x14ac:dyDescent="0.2">
      <c r="A189" s="22"/>
      <c r="B189" s="4" t="s">
        <v>151</v>
      </c>
      <c r="C189" s="24">
        <v>107.98009999999999</v>
      </c>
      <c r="D189" s="24">
        <v>108.8914</v>
      </c>
      <c r="E189" s="22"/>
      <c r="F189" s="19"/>
      <c r="G189" s="25"/>
    </row>
    <row r="190" spans="1:15" ht="17.100000000000001" customHeight="1" x14ac:dyDescent="0.2">
      <c r="A190" s="22"/>
      <c r="B190" s="4" t="s">
        <v>1115</v>
      </c>
      <c r="C190" s="24">
        <v>63.462000000000003</v>
      </c>
      <c r="D190" s="24">
        <v>63.997599999999998</v>
      </c>
      <c r="E190" s="22"/>
      <c r="F190" s="19"/>
      <c r="G190" s="25"/>
    </row>
    <row r="191" spans="1:15" ht="14.1" customHeight="1" x14ac:dyDescent="0.2">
      <c r="A191" s="22"/>
      <c r="B191" s="22"/>
      <c r="C191" s="22"/>
      <c r="D191" s="22"/>
      <c r="E191" s="22"/>
      <c r="F191" s="22"/>
      <c r="G191" s="22"/>
    </row>
    <row r="192" spans="1:15" ht="17.100000000000001" customHeight="1" x14ac:dyDescent="0.2">
      <c r="A192" s="22"/>
      <c r="B192" s="288" t="s">
        <v>1116</v>
      </c>
      <c r="C192" s="289"/>
      <c r="D192" s="2" t="s">
        <v>142</v>
      </c>
      <c r="E192" s="22"/>
      <c r="F192" s="22"/>
      <c r="G192" s="22"/>
    </row>
    <row r="193" spans="1:15" ht="14.1" customHeight="1" x14ac:dyDescent="0.2">
      <c r="A193" s="22"/>
      <c r="B193" s="19"/>
      <c r="C193" s="19"/>
      <c r="D193" s="22"/>
      <c r="E193" s="22"/>
      <c r="F193" s="22"/>
      <c r="G193" s="22"/>
      <c r="J193" s="66"/>
      <c r="K193" s="66"/>
      <c r="L193" s="66"/>
      <c r="M193" s="66"/>
      <c r="N193" s="66"/>
      <c r="O193" s="66"/>
    </row>
    <row r="194" spans="1:15" ht="29.1" customHeight="1" x14ac:dyDescent="0.2">
      <c r="A194" s="22"/>
      <c r="B194" s="288" t="s">
        <v>153</v>
      </c>
      <c r="C194" s="289"/>
      <c r="D194" s="2" t="s">
        <v>142</v>
      </c>
      <c r="E194" s="22"/>
      <c r="F194" s="22"/>
      <c r="G194" s="22"/>
    </row>
    <row r="195" spans="1:15" ht="29.1" customHeight="1" x14ac:dyDescent="0.2">
      <c r="A195" s="22"/>
      <c r="B195" s="288" t="s">
        <v>154</v>
      </c>
      <c r="C195" s="289"/>
      <c r="D195" s="2" t="s">
        <v>142</v>
      </c>
      <c r="E195" s="22"/>
      <c r="F195" s="22"/>
      <c r="G195" s="22"/>
    </row>
    <row r="196" spans="1:15" ht="17.100000000000001" customHeight="1" x14ac:dyDescent="0.2">
      <c r="A196" s="22"/>
      <c r="B196" s="288" t="s">
        <v>155</v>
      </c>
      <c r="C196" s="289"/>
      <c r="D196" s="26">
        <v>0.60592362904805686</v>
      </c>
      <c r="E196" s="22"/>
      <c r="F196" s="19"/>
      <c r="G196" s="25"/>
    </row>
    <row r="197" spans="1:15" ht="17.100000000000001" customHeight="1" x14ac:dyDescent="0.2">
      <c r="A197" s="22"/>
      <c r="B197" s="288" t="s">
        <v>156</v>
      </c>
      <c r="C197" s="289"/>
      <c r="D197" s="2" t="s">
        <v>142</v>
      </c>
      <c r="E197" s="22"/>
      <c r="F197" s="22"/>
      <c r="G197" s="22"/>
      <c r="J197" s="27"/>
      <c r="K197" s="27"/>
      <c r="L197" s="27"/>
      <c r="M197" s="27"/>
      <c r="N197" s="27"/>
      <c r="O197" s="27"/>
    </row>
    <row r="198" spans="1:15" x14ac:dyDescent="0.2">
      <c r="J198" s="27"/>
      <c r="K198" s="27"/>
      <c r="L198" s="27"/>
      <c r="M198" s="27"/>
      <c r="N198" s="27"/>
      <c r="O198" s="27"/>
    </row>
  </sheetData>
  <mergeCells count="16">
    <mergeCell ref="A1:H1"/>
    <mergeCell ref="A2:H2"/>
    <mergeCell ref="A3:H3"/>
    <mergeCell ref="J2:N2"/>
    <mergeCell ref="B179:F179"/>
    <mergeCell ref="B176:F176"/>
    <mergeCell ref="B177:F177"/>
    <mergeCell ref="B181:C181"/>
    <mergeCell ref="B196:C196"/>
    <mergeCell ref="B197:C197"/>
    <mergeCell ref="B182:C182"/>
    <mergeCell ref="B183:C183"/>
    <mergeCell ref="B184:C184"/>
    <mergeCell ref="B192:C192"/>
    <mergeCell ref="B194:C194"/>
    <mergeCell ref="B195:C19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1135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1044215</v>
      </c>
      <c r="F7" s="6">
        <v>7761.650095</v>
      </c>
      <c r="G7" s="7">
        <v>8.4400077000000004E-2</v>
      </c>
      <c r="H7" s="6"/>
    </row>
    <row r="8" spans="1:14" x14ac:dyDescent="0.2">
      <c r="A8" s="3">
        <v>2</v>
      </c>
      <c r="B8" s="4" t="s">
        <v>349</v>
      </c>
      <c r="C8" s="4" t="s">
        <v>350</v>
      </c>
      <c r="D8" s="4" t="s">
        <v>18</v>
      </c>
      <c r="E8" s="5">
        <v>335117</v>
      </c>
      <c r="F8" s="6">
        <v>4640.029982</v>
      </c>
      <c r="G8" s="7">
        <v>5.0455622999999998E-2</v>
      </c>
      <c r="H8" s="6"/>
    </row>
    <row r="9" spans="1:14" x14ac:dyDescent="0.2">
      <c r="A9" s="3">
        <v>3</v>
      </c>
      <c r="B9" s="4" t="s">
        <v>380</v>
      </c>
      <c r="C9" s="4" t="s">
        <v>381</v>
      </c>
      <c r="D9" s="4" t="s">
        <v>947</v>
      </c>
      <c r="E9" s="5">
        <v>288000</v>
      </c>
      <c r="F9" s="6">
        <v>4514.5439999999999</v>
      </c>
      <c r="G9" s="7">
        <v>4.9091089999999997E-2</v>
      </c>
      <c r="H9" s="6"/>
    </row>
    <row r="10" spans="1:14" x14ac:dyDescent="0.2">
      <c r="A10" s="3">
        <v>4</v>
      </c>
      <c r="B10" s="4" t="s">
        <v>24</v>
      </c>
      <c r="C10" s="4" t="s">
        <v>25</v>
      </c>
      <c r="D10" s="4" t="s">
        <v>26</v>
      </c>
      <c r="E10" s="5">
        <v>172375</v>
      </c>
      <c r="F10" s="6">
        <v>4285.5010625000004</v>
      </c>
      <c r="G10" s="7">
        <v>4.660048E-2</v>
      </c>
      <c r="H10" s="6"/>
    </row>
    <row r="11" spans="1:14" x14ac:dyDescent="0.2">
      <c r="A11" s="3">
        <v>5</v>
      </c>
      <c r="B11" s="4" t="s">
        <v>48</v>
      </c>
      <c r="C11" s="4" t="s">
        <v>49</v>
      </c>
      <c r="D11" s="4" t="s">
        <v>18</v>
      </c>
      <c r="E11" s="5">
        <v>787020</v>
      </c>
      <c r="F11" s="6">
        <v>3905.9802599999998</v>
      </c>
      <c r="G11" s="7">
        <v>4.2473575999999999E-2</v>
      </c>
      <c r="H11" s="6"/>
    </row>
    <row r="12" spans="1:14" x14ac:dyDescent="0.2">
      <c r="A12" s="3">
        <v>6</v>
      </c>
      <c r="B12" s="4" t="s">
        <v>11</v>
      </c>
      <c r="C12" s="4" t="s">
        <v>12</v>
      </c>
      <c r="D12" s="4" t="s">
        <v>13</v>
      </c>
      <c r="E12" s="5">
        <v>137512</v>
      </c>
      <c r="F12" s="6">
        <v>3836.9285799999998</v>
      </c>
      <c r="G12" s="7">
        <v>4.1722708999999997E-2</v>
      </c>
      <c r="H12" s="6"/>
    </row>
    <row r="13" spans="1:14" ht="51" x14ac:dyDescent="0.2">
      <c r="A13" s="3">
        <v>7</v>
      </c>
      <c r="B13" s="4" t="s">
        <v>78</v>
      </c>
      <c r="C13" s="4" t="s">
        <v>79</v>
      </c>
      <c r="D13" s="4" t="s">
        <v>939</v>
      </c>
      <c r="E13" s="5">
        <v>2405310</v>
      </c>
      <c r="F13" s="6">
        <v>3057.1490100000001</v>
      </c>
      <c r="G13" s="7">
        <v>3.3243396000000001E-2</v>
      </c>
      <c r="H13" s="6"/>
    </row>
    <row r="14" spans="1:14" x14ac:dyDescent="0.2">
      <c r="A14" s="3">
        <v>8</v>
      </c>
      <c r="B14" s="4" t="s">
        <v>294</v>
      </c>
      <c r="C14" s="4" t="s">
        <v>295</v>
      </c>
      <c r="D14" s="4" t="s">
        <v>18</v>
      </c>
      <c r="E14" s="5">
        <v>410005</v>
      </c>
      <c r="F14" s="6">
        <v>2987.2964299999999</v>
      </c>
      <c r="G14" s="7">
        <v>3.2483819999999997E-2</v>
      </c>
      <c r="H14" s="6"/>
    </row>
    <row r="15" spans="1:14" ht="25.5" x14ac:dyDescent="0.2">
      <c r="A15" s="3">
        <v>9</v>
      </c>
      <c r="B15" s="4" t="s">
        <v>382</v>
      </c>
      <c r="C15" s="4" t="s">
        <v>383</v>
      </c>
      <c r="D15" s="4" t="s">
        <v>82</v>
      </c>
      <c r="E15" s="5">
        <v>125000</v>
      </c>
      <c r="F15" s="6">
        <v>2787.125</v>
      </c>
      <c r="G15" s="7">
        <v>3.0307159E-2</v>
      </c>
      <c r="H15" s="6"/>
      <c r="J15" s="192" t="s">
        <v>1155</v>
      </c>
    </row>
    <row r="16" spans="1:14" x14ac:dyDescent="0.2">
      <c r="A16" s="3">
        <v>10</v>
      </c>
      <c r="B16" s="4" t="s">
        <v>384</v>
      </c>
      <c r="C16" s="4" t="s">
        <v>385</v>
      </c>
      <c r="D16" s="4" t="s">
        <v>947</v>
      </c>
      <c r="E16" s="5">
        <v>78000</v>
      </c>
      <c r="F16" s="6">
        <v>2766.4259999999999</v>
      </c>
      <c r="G16" s="7">
        <v>3.0082078000000002E-2</v>
      </c>
      <c r="H16" s="6"/>
    </row>
    <row r="17" spans="1:10" x14ac:dyDescent="0.2">
      <c r="A17" s="3">
        <v>11</v>
      </c>
      <c r="B17" s="4" t="s">
        <v>434</v>
      </c>
      <c r="C17" s="4" t="s">
        <v>435</v>
      </c>
      <c r="D17" s="4" t="s">
        <v>959</v>
      </c>
      <c r="E17" s="5">
        <v>33000</v>
      </c>
      <c r="F17" s="6">
        <v>2546.8739999999998</v>
      </c>
      <c r="G17" s="7">
        <v>2.7694673E-2</v>
      </c>
      <c r="H17" s="6"/>
    </row>
    <row r="18" spans="1:10" x14ac:dyDescent="0.2">
      <c r="A18" s="3">
        <v>12</v>
      </c>
      <c r="B18" s="4" t="s">
        <v>337</v>
      </c>
      <c r="C18" s="4" t="s">
        <v>338</v>
      </c>
      <c r="D18" s="4" t="s">
        <v>944</v>
      </c>
      <c r="E18" s="5">
        <v>361925</v>
      </c>
      <c r="F18" s="6">
        <v>1976.1105</v>
      </c>
      <c r="G18" s="7">
        <v>2.1488198999999999E-2</v>
      </c>
      <c r="H18" s="6"/>
    </row>
    <row r="19" spans="1:10" x14ac:dyDescent="0.2">
      <c r="A19" s="3">
        <v>13</v>
      </c>
      <c r="B19" s="4" t="s">
        <v>424</v>
      </c>
      <c r="C19" s="4" t="s">
        <v>425</v>
      </c>
      <c r="D19" s="4" t="s">
        <v>959</v>
      </c>
      <c r="E19" s="5">
        <v>403269</v>
      </c>
      <c r="F19" s="6">
        <v>1764.705144</v>
      </c>
      <c r="G19" s="7">
        <v>1.9189379999999999E-2</v>
      </c>
      <c r="H19" s="6"/>
    </row>
    <row r="20" spans="1:10" ht="25.5" x14ac:dyDescent="0.2">
      <c r="A20" s="3">
        <v>14</v>
      </c>
      <c r="B20" s="4" t="s">
        <v>388</v>
      </c>
      <c r="C20" s="4" t="s">
        <v>389</v>
      </c>
      <c r="D20" s="4" t="s">
        <v>945</v>
      </c>
      <c r="E20" s="5">
        <v>185514</v>
      </c>
      <c r="F20" s="6">
        <v>1722.7757610000001</v>
      </c>
      <c r="G20" s="7">
        <v>1.8733440000000001E-2</v>
      </c>
      <c r="H20" s="6"/>
    </row>
    <row r="21" spans="1:10" ht="25.5" x14ac:dyDescent="0.2">
      <c r="A21" s="3">
        <v>15</v>
      </c>
      <c r="B21" s="4" t="s">
        <v>409</v>
      </c>
      <c r="C21" s="4" t="s">
        <v>926</v>
      </c>
      <c r="D21" s="4" t="s">
        <v>21</v>
      </c>
      <c r="E21" s="5">
        <v>493578</v>
      </c>
      <c r="F21" s="6">
        <v>1692.7257509999999</v>
      </c>
      <c r="G21" s="7">
        <v>1.8406677E-2</v>
      </c>
      <c r="H21" s="6"/>
    </row>
    <row r="22" spans="1:10" ht="51" x14ac:dyDescent="0.2">
      <c r="A22" s="3">
        <v>16</v>
      </c>
      <c r="B22" s="4" t="s">
        <v>83</v>
      </c>
      <c r="C22" s="4" t="s">
        <v>84</v>
      </c>
      <c r="D22" s="4" t="s">
        <v>939</v>
      </c>
      <c r="E22" s="5">
        <v>98510</v>
      </c>
      <c r="F22" s="6">
        <v>1635.1182349999999</v>
      </c>
      <c r="G22" s="7">
        <v>1.7780252999999999E-2</v>
      </c>
      <c r="H22" s="6"/>
    </row>
    <row r="23" spans="1:10" x14ac:dyDescent="0.2">
      <c r="A23" s="3">
        <v>17</v>
      </c>
      <c r="B23" s="4" t="s">
        <v>390</v>
      </c>
      <c r="C23" s="4" t="s">
        <v>391</v>
      </c>
      <c r="D23" s="4" t="s">
        <v>960</v>
      </c>
      <c r="E23" s="5">
        <v>68396</v>
      </c>
      <c r="F23" s="6">
        <v>1528.548006</v>
      </c>
      <c r="G23" s="7">
        <v>1.662141E-2</v>
      </c>
      <c r="H23" s="6"/>
    </row>
    <row r="24" spans="1:10" ht="25.5" x14ac:dyDescent="0.2">
      <c r="A24" s="3">
        <v>18</v>
      </c>
      <c r="B24" s="4" t="s">
        <v>313</v>
      </c>
      <c r="C24" s="4" t="s">
        <v>314</v>
      </c>
      <c r="D24" s="4" t="s">
        <v>71</v>
      </c>
      <c r="E24" s="5">
        <v>394000</v>
      </c>
      <c r="F24" s="6">
        <v>1516.1120000000001</v>
      </c>
      <c r="G24" s="7">
        <v>1.6486180999999999E-2</v>
      </c>
      <c r="H24" s="6"/>
    </row>
    <row r="25" spans="1:10" ht="25.5" x14ac:dyDescent="0.2">
      <c r="A25" s="3">
        <v>19</v>
      </c>
      <c r="B25" s="4" t="s">
        <v>80</v>
      </c>
      <c r="C25" s="4" t="s">
        <v>81</v>
      </c>
      <c r="D25" s="4" t="s">
        <v>82</v>
      </c>
      <c r="E25" s="5">
        <v>197572</v>
      </c>
      <c r="F25" s="6">
        <v>1459.56315</v>
      </c>
      <c r="G25" s="7">
        <v>1.587127E-2</v>
      </c>
      <c r="H25" s="6"/>
    </row>
    <row r="26" spans="1:10" ht="15" x14ac:dyDescent="0.2">
      <c r="A26" s="3">
        <v>20</v>
      </c>
      <c r="B26" s="4" t="s">
        <v>288</v>
      </c>
      <c r="C26" s="4" t="s">
        <v>289</v>
      </c>
      <c r="D26" s="4" t="s">
        <v>18</v>
      </c>
      <c r="E26" s="5">
        <v>1460988</v>
      </c>
      <c r="F26" s="6">
        <v>1402.5484799999999</v>
      </c>
      <c r="G26" s="7">
        <v>1.5251293000000001E-2</v>
      </c>
      <c r="H26" s="6"/>
      <c r="J26" s="192" t="s">
        <v>1156</v>
      </c>
    </row>
    <row r="27" spans="1:10" x14ac:dyDescent="0.2">
      <c r="A27" s="3">
        <v>21</v>
      </c>
      <c r="B27" s="4" t="s">
        <v>87</v>
      </c>
      <c r="C27" s="4" t="s">
        <v>88</v>
      </c>
      <c r="D27" s="4" t="s">
        <v>940</v>
      </c>
      <c r="E27" s="5">
        <v>59495</v>
      </c>
      <c r="F27" s="6">
        <v>1372.90662</v>
      </c>
      <c r="G27" s="7">
        <v>1.4928968000000001E-2</v>
      </c>
      <c r="H27" s="6"/>
    </row>
    <row r="28" spans="1:10" x14ac:dyDescent="0.2">
      <c r="A28" s="3">
        <v>22</v>
      </c>
      <c r="B28" s="4" t="s">
        <v>307</v>
      </c>
      <c r="C28" s="4" t="s">
        <v>308</v>
      </c>
      <c r="D28" s="4" t="s">
        <v>933</v>
      </c>
      <c r="E28" s="5">
        <v>175000</v>
      </c>
      <c r="F28" s="6">
        <v>1325.8</v>
      </c>
      <c r="G28" s="7">
        <v>1.4416731E-2</v>
      </c>
      <c r="H28" s="6"/>
    </row>
    <row r="29" spans="1:10" ht="25.5" x14ac:dyDescent="0.2">
      <c r="A29" s="3">
        <v>23</v>
      </c>
      <c r="B29" s="4" t="s">
        <v>325</v>
      </c>
      <c r="C29" s="4" t="s">
        <v>326</v>
      </c>
      <c r="D29" s="4" t="s">
        <v>945</v>
      </c>
      <c r="E29" s="5">
        <v>40650</v>
      </c>
      <c r="F29" s="6">
        <v>1301.552025</v>
      </c>
      <c r="G29" s="7">
        <v>1.4153059000000001E-2</v>
      </c>
      <c r="H29" s="6"/>
    </row>
    <row r="30" spans="1:10" x14ac:dyDescent="0.2">
      <c r="A30" s="3">
        <v>24</v>
      </c>
      <c r="B30" s="4" t="s">
        <v>422</v>
      </c>
      <c r="C30" s="4" t="s">
        <v>423</v>
      </c>
      <c r="D30" s="4" t="s">
        <v>955</v>
      </c>
      <c r="E30" s="5">
        <v>60212</v>
      </c>
      <c r="F30" s="6">
        <v>1262.3746860000001</v>
      </c>
      <c r="G30" s="7">
        <v>1.3727045E-2</v>
      </c>
      <c r="H30" s="6"/>
    </row>
    <row r="31" spans="1:10" x14ac:dyDescent="0.2">
      <c r="A31" s="3">
        <v>25</v>
      </c>
      <c r="B31" s="4" t="s">
        <v>527</v>
      </c>
      <c r="C31" s="4" t="s">
        <v>528</v>
      </c>
      <c r="D31" s="4" t="s">
        <v>934</v>
      </c>
      <c r="E31" s="5">
        <v>30201</v>
      </c>
      <c r="F31" s="6">
        <v>1233.6806489999999</v>
      </c>
      <c r="G31" s="7">
        <v>1.3415026E-2</v>
      </c>
      <c r="H31" s="6"/>
    </row>
    <row r="32" spans="1:10" x14ac:dyDescent="0.2">
      <c r="A32" s="3">
        <v>26</v>
      </c>
      <c r="B32" s="4" t="s">
        <v>290</v>
      </c>
      <c r="C32" s="4" t="s">
        <v>291</v>
      </c>
      <c r="D32" s="4" t="s">
        <v>18</v>
      </c>
      <c r="E32" s="5">
        <v>1077030</v>
      </c>
      <c r="F32" s="6">
        <v>1215.96687</v>
      </c>
      <c r="G32" s="7">
        <v>1.3222407E-2</v>
      </c>
      <c r="H32" s="6"/>
    </row>
    <row r="33" spans="1:8" x14ac:dyDescent="0.2">
      <c r="A33" s="3">
        <v>27</v>
      </c>
      <c r="B33" s="4" t="s">
        <v>416</v>
      </c>
      <c r="C33" s="4" t="s">
        <v>417</v>
      </c>
      <c r="D33" s="4" t="s">
        <v>18</v>
      </c>
      <c r="E33" s="5">
        <v>522654</v>
      </c>
      <c r="F33" s="6">
        <v>1200.274911</v>
      </c>
      <c r="G33" s="7">
        <v>1.3051772999999999E-2</v>
      </c>
      <c r="H33" s="6"/>
    </row>
    <row r="34" spans="1:8" x14ac:dyDescent="0.2">
      <c r="A34" s="3">
        <v>28</v>
      </c>
      <c r="B34" s="4" t="s">
        <v>551</v>
      </c>
      <c r="C34" s="4" t="s">
        <v>552</v>
      </c>
      <c r="D34" s="4" t="s">
        <v>71</v>
      </c>
      <c r="E34" s="5">
        <v>180000</v>
      </c>
      <c r="F34" s="6">
        <v>1199.25</v>
      </c>
      <c r="G34" s="7">
        <v>1.3040628E-2</v>
      </c>
      <c r="H34" s="6"/>
    </row>
    <row r="35" spans="1:8" x14ac:dyDescent="0.2">
      <c r="A35" s="3">
        <v>29</v>
      </c>
      <c r="B35" s="4" t="s">
        <v>14</v>
      </c>
      <c r="C35" s="4" t="s">
        <v>15</v>
      </c>
      <c r="D35" s="4" t="s">
        <v>64</v>
      </c>
      <c r="E35" s="5">
        <v>70588</v>
      </c>
      <c r="F35" s="6">
        <v>1196.0077779999999</v>
      </c>
      <c r="G35" s="7">
        <v>1.3005371999999999E-2</v>
      </c>
      <c r="H35" s="6"/>
    </row>
    <row r="36" spans="1:8" ht="25.5" x14ac:dyDescent="0.2">
      <c r="A36" s="3">
        <v>30</v>
      </c>
      <c r="B36" s="4" t="s">
        <v>217</v>
      </c>
      <c r="C36" s="4" t="s">
        <v>218</v>
      </c>
      <c r="D36" s="4" t="s">
        <v>946</v>
      </c>
      <c r="E36" s="5">
        <v>28290</v>
      </c>
      <c r="F36" s="6">
        <v>1112.3062199999999</v>
      </c>
      <c r="G36" s="7">
        <v>1.2095203000000001E-2</v>
      </c>
      <c r="H36" s="6"/>
    </row>
    <row r="37" spans="1:8" x14ac:dyDescent="0.2">
      <c r="A37" s="3">
        <v>31</v>
      </c>
      <c r="B37" s="4" t="s">
        <v>407</v>
      </c>
      <c r="C37" s="4" t="s">
        <v>408</v>
      </c>
      <c r="D37" s="4" t="s">
        <v>18</v>
      </c>
      <c r="E37" s="5">
        <v>59557</v>
      </c>
      <c r="F37" s="6">
        <v>1066.5169774999999</v>
      </c>
      <c r="G37" s="7">
        <v>1.1597290999999999E-2</v>
      </c>
      <c r="H37" s="6"/>
    </row>
    <row r="38" spans="1:8" x14ac:dyDescent="0.2">
      <c r="A38" s="3">
        <v>32</v>
      </c>
      <c r="B38" s="4" t="s">
        <v>428</v>
      </c>
      <c r="C38" s="4" t="s">
        <v>429</v>
      </c>
      <c r="D38" s="4" t="s">
        <v>302</v>
      </c>
      <c r="E38" s="5">
        <v>26000</v>
      </c>
      <c r="F38" s="6">
        <v>1025.5050000000001</v>
      </c>
      <c r="G38" s="7">
        <v>1.1151327000000001E-2</v>
      </c>
      <c r="H38" s="6"/>
    </row>
    <row r="39" spans="1:8" x14ac:dyDescent="0.2">
      <c r="A39" s="3">
        <v>33</v>
      </c>
      <c r="B39" s="4" t="s">
        <v>596</v>
      </c>
      <c r="C39" s="4" t="s">
        <v>597</v>
      </c>
      <c r="D39" s="4" t="s">
        <v>18</v>
      </c>
      <c r="E39" s="5">
        <v>624396</v>
      </c>
      <c r="F39" s="6">
        <v>1020.88746</v>
      </c>
      <c r="G39" s="7">
        <v>1.1101115999999999E-2</v>
      </c>
      <c r="H39" s="6"/>
    </row>
    <row r="40" spans="1:8" x14ac:dyDescent="0.2">
      <c r="A40" s="3">
        <v>34</v>
      </c>
      <c r="B40" s="4" t="s">
        <v>286</v>
      </c>
      <c r="C40" s="4" t="s">
        <v>287</v>
      </c>
      <c r="D40" s="4" t="s">
        <v>952</v>
      </c>
      <c r="E40" s="5">
        <v>2238</v>
      </c>
      <c r="F40" s="6">
        <v>1020.052425</v>
      </c>
      <c r="G40" s="7">
        <v>1.1092036E-2</v>
      </c>
      <c r="H40" s="6"/>
    </row>
    <row r="41" spans="1:8" x14ac:dyDescent="0.2">
      <c r="A41" s="3">
        <v>35</v>
      </c>
      <c r="B41" s="4" t="s">
        <v>412</v>
      </c>
      <c r="C41" s="4" t="s">
        <v>413</v>
      </c>
      <c r="D41" s="4" t="s">
        <v>940</v>
      </c>
      <c r="E41" s="5">
        <v>154394</v>
      </c>
      <c r="F41" s="6">
        <v>981.25106700000003</v>
      </c>
      <c r="G41" s="7">
        <v>1.0670110999999999E-2</v>
      </c>
      <c r="H41" s="6"/>
    </row>
    <row r="42" spans="1:8" x14ac:dyDescent="0.2">
      <c r="A42" s="3">
        <v>36</v>
      </c>
      <c r="B42" s="4" t="s">
        <v>525</v>
      </c>
      <c r="C42" s="4" t="s">
        <v>526</v>
      </c>
      <c r="D42" s="4" t="s">
        <v>951</v>
      </c>
      <c r="E42" s="5">
        <v>56776</v>
      </c>
      <c r="F42" s="6">
        <v>970.27345200000002</v>
      </c>
      <c r="G42" s="7">
        <v>1.0550739999999999E-2</v>
      </c>
      <c r="H42" s="6"/>
    </row>
    <row r="43" spans="1:8" x14ac:dyDescent="0.2">
      <c r="A43" s="3">
        <v>37</v>
      </c>
      <c r="B43" s="4" t="s">
        <v>533</v>
      </c>
      <c r="C43" s="4" t="s">
        <v>534</v>
      </c>
      <c r="D43" s="4" t="s">
        <v>940</v>
      </c>
      <c r="E43" s="5">
        <v>278622</v>
      </c>
      <c r="F43" s="6">
        <v>933.24438899999996</v>
      </c>
      <c r="G43" s="7">
        <v>1.0148087E-2</v>
      </c>
      <c r="H43" s="6"/>
    </row>
    <row r="44" spans="1:8" x14ac:dyDescent="0.2">
      <c r="A44" s="3">
        <v>38</v>
      </c>
      <c r="B44" s="4" t="s">
        <v>355</v>
      </c>
      <c r="C44" s="4" t="s">
        <v>356</v>
      </c>
      <c r="D44" s="4" t="s">
        <v>82</v>
      </c>
      <c r="E44" s="5">
        <v>6000</v>
      </c>
      <c r="F44" s="6">
        <v>894.66899999999998</v>
      </c>
      <c r="G44" s="7">
        <v>9.7286179999999996E-3</v>
      </c>
      <c r="H44" s="6"/>
    </row>
    <row r="45" spans="1:8" x14ac:dyDescent="0.2">
      <c r="A45" s="3">
        <v>39</v>
      </c>
      <c r="B45" s="4" t="s">
        <v>504</v>
      </c>
      <c r="C45" s="4" t="s">
        <v>505</v>
      </c>
      <c r="D45" s="4" t="s">
        <v>934</v>
      </c>
      <c r="E45" s="5">
        <v>36000</v>
      </c>
      <c r="F45" s="6">
        <v>892.22400000000005</v>
      </c>
      <c r="G45" s="7">
        <v>9.7020319999999993E-3</v>
      </c>
      <c r="H45" s="6"/>
    </row>
    <row r="46" spans="1:8" ht="25.5" x14ac:dyDescent="0.2">
      <c r="A46" s="3">
        <v>40</v>
      </c>
      <c r="B46" s="4" t="s">
        <v>22</v>
      </c>
      <c r="C46" s="4" t="s">
        <v>23</v>
      </c>
      <c r="D46" s="4" t="s">
        <v>935</v>
      </c>
      <c r="E46" s="5">
        <v>13315</v>
      </c>
      <c r="F46" s="6">
        <v>882.81778750000001</v>
      </c>
      <c r="G46" s="7">
        <v>9.5997489999999994E-3</v>
      </c>
      <c r="H46" s="6"/>
    </row>
    <row r="47" spans="1:8" x14ac:dyDescent="0.2">
      <c r="A47" s="3">
        <v>41</v>
      </c>
      <c r="B47" s="4" t="s">
        <v>531</v>
      </c>
      <c r="C47" s="4" t="s">
        <v>532</v>
      </c>
      <c r="D47" s="4" t="s">
        <v>959</v>
      </c>
      <c r="E47" s="5">
        <v>68000</v>
      </c>
      <c r="F47" s="6">
        <v>815.93200000000002</v>
      </c>
      <c r="G47" s="7">
        <v>8.8724330000000007E-3</v>
      </c>
      <c r="H47" s="6"/>
    </row>
    <row r="48" spans="1:8" ht="25.5" x14ac:dyDescent="0.2">
      <c r="A48" s="3">
        <v>42</v>
      </c>
      <c r="B48" s="4" t="s">
        <v>319</v>
      </c>
      <c r="C48" s="4" t="s">
        <v>320</v>
      </c>
      <c r="D48" s="4" t="s">
        <v>945</v>
      </c>
      <c r="E48" s="5">
        <v>79880</v>
      </c>
      <c r="F48" s="6">
        <v>808.18589999999995</v>
      </c>
      <c r="G48" s="7">
        <v>8.7882020000000002E-3</v>
      </c>
      <c r="H48" s="6"/>
    </row>
    <row r="49" spans="1:8" x14ac:dyDescent="0.2">
      <c r="A49" s="3">
        <v>43</v>
      </c>
      <c r="B49" s="4" t="s">
        <v>363</v>
      </c>
      <c r="C49" s="4" t="s">
        <v>364</v>
      </c>
      <c r="D49" s="4" t="s">
        <v>923</v>
      </c>
      <c r="E49" s="5">
        <v>82001</v>
      </c>
      <c r="F49" s="6">
        <v>787.4146025</v>
      </c>
      <c r="G49" s="7">
        <v>8.5623360000000003E-3</v>
      </c>
      <c r="H49" s="6"/>
    </row>
    <row r="50" spans="1:8" ht="25.5" x14ac:dyDescent="0.2">
      <c r="A50" s="3">
        <v>44</v>
      </c>
      <c r="B50" s="4" t="s">
        <v>690</v>
      </c>
      <c r="C50" s="4" t="s">
        <v>691</v>
      </c>
      <c r="D50" s="4" t="s">
        <v>933</v>
      </c>
      <c r="E50" s="5">
        <v>61375</v>
      </c>
      <c r="F50" s="6">
        <v>785.72275000000002</v>
      </c>
      <c r="G50" s="7">
        <v>8.5439379999999992E-3</v>
      </c>
      <c r="H50" s="6"/>
    </row>
    <row r="51" spans="1:8" x14ac:dyDescent="0.2">
      <c r="A51" s="3">
        <v>45</v>
      </c>
      <c r="B51" s="4" t="s">
        <v>359</v>
      </c>
      <c r="C51" s="4" t="s">
        <v>360</v>
      </c>
      <c r="D51" s="4" t="s">
        <v>940</v>
      </c>
      <c r="E51" s="5">
        <v>80545</v>
      </c>
      <c r="F51" s="6">
        <v>736.74511500000006</v>
      </c>
      <c r="G51" s="7">
        <v>8.0113560000000007E-3</v>
      </c>
      <c r="H51" s="6"/>
    </row>
    <row r="52" spans="1:8" x14ac:dyDescent="0.2">
      <c r="A52" s="3">
        <v>46</v>
      </c>
      <c r="B52" s="4" t="s">
        <v>386</v>
      </c>
      <c r="C52" s="4" t="s">
        <v>387</v>
      </c>
      <c r="D52" s="4" t="s">
        <v>933</v>
      </c>
      <c r="E52" s="5">
        <v>66146</v>
      </c>
      <c r="F52" s="6">
        <v>731.24402999999995</v>
      </c>
      <c r="G52" s="7">
        <v>7.9515379999999993E-3</v>
      </c>
      <c r="H52" s="6"/>
    </row>
    <row r="53" spans="1:8" x14ac:dyDescent="0.2">
      <c r="A53" s="3">
        <v>47</v>
      </c>
      <c r="B53" s="4" t="s">
        <v>600</v>
      </c>
      <c r="C53" s="4" t="s">
        <v>601</v>
      </c>
      <c r="D53" s="4" t="s">
        <v>947</v>
      </c>
      <c r="E53" s="5">
        <v>17000</v>
      </c>
      <c r="F53" s="6">
        <v>714.03399999999999</v>
      </c>
      <c r="G53" s="7">
        <v>7.7643959999999998E-3</v>
      </c>
      <c r="H53" s="6"/>
    </row>
    <row r="54" spans="1:8" x14ac:dyDescent="0.2">
      <c r="A54" s="3">
        <v>48</v>
      </c>
      <c r="B54" s="4" t="s">
        <v>516</v>
      </c>
      <c r="C54" s="4" t="s">
        <v>517</v>
      </c>
      <c r="D54" s="4" t="s">
        <v>947</v>
      </c>
      <c r="E54" s="5">
        <v>45851</v>
      </c>
      <c r="F54" s="6">
        <v>682.30873099999997</v>
      </c>
      <c r="G54" s="7">
        <v>7.4194159999999999E-3</v>
      </c>
      <c r="H54" s="6"/>
    </row>
    <row r="55" spans="1:8" ht="25.5" x14ac:dyDescent="0.2">
      <c r="A55" s="3">
        <v>49</v>
      </c>
      <c r="B55" s="4" t="s">
        <v>414</v>
      </c>
      <c r="C55" s="4" t="s">
        <v>415</v>
      </c>
      <c r="D55" s="4" t="s">
        <v>945</v>
      </c>
      <c r="E55" s="5">
        <v>14839</v>
      </c>
      <c r="F55" s="6">
        <v>668.55630599999995</v>
      </c>
      <c r="G55" s="7">
        <v>7.2698720000000001E-3</v>
      </c>
      <c r="H55" s="6"/>
    </row>
    <row r="56" spans="1:8" ht="25.5" x14ac:dyDescent="0.2">
      <c r="A56" s="3">
        <v>50</v>
      </c>
      <c r="B56" s="4" t="s">
        <v>494</v>
      </c>
      <c r="C56" s="4" t="s">
        <v>495</v>
      </c>
      <c r="D56" s="4" t="s">
        <v>945</v>
      </c>
      <c r="E56" s="5">
        <v>63000</v>
      </c>
      <c r="F56" s="6">
        <v>618.15599999999995</v>
      </c>
      <c r="G56" s="7">
        <v>6.7218199999999999E-3</v>
      </c>
      <c r="H56" s="6"/>
    </row>
    <row r="57" spans="1:8" x14ac:dyDescent="0.2">
      <c r="A57" s="3">
        <v>51</v>
      </c>
      <c r="B57" s="4" t="s">
        <v>402</v>
      </c>
      <c r="C57" s="4" t="s">
        <v>403</v>
      </c>
      <c r="D57" s="4" t="s">
        <v>91</v>
      </c>
      <c r="E57" s="5">
        <v>42773</v>
      </c>
      <c r="F57" s="6">
        <v>543.66621650000002</v>
      </c>
      <c r="G57" s="7">
        <v>5.9118189999999996E-3</v>
      </c>
      <c r="H57" s="6"/>
    </row>
    <row r="58" spans="1:8" x14ac:dyDescent="0.2">
      <c r="A58" s="3">
        <v>52</v>
      </c>
      <c r="B58" s="4" t="s">
        <v>392</v>
      </c>
      <c r="C58" s="4" t="s">
        <v>393</v>
      </c>
      <c r="D58" s="4" t="s">
        <v>947</v>
      </c>
      <c r="E58" s="5">
        <v>91000</v>
      </c>
      <c r="F58" s="6">
        <v>463.00799999999998</v>
      </c>
      <c r="G58" s="7">
        <v>5.0347430000000004E-3</v>
      </c>
      <c r="H58" s="6"/>
    </row>
    <row r="59" spans="1:8" x14ac:dyDescent="0.2">
      <c r="A59" s="3">
        <v>53</v>
      </c>
      <c r="B59" s="4" t="s">
        <v>514</v>
      </c>
      <c r="C59" s="4" t="s">
        <v>515</v>
      </c>
      <c r="D59" s="4" t="s">
        <v>934</v>
      </c>
      <c r="E59" s="5">
        <v>55010</v>
      </c>
      <c r="F59" s="6">
        <v>435.62419</v>
      </c>
      <c r="G59" s="7">
        <v>4.7369710000000004E-3</v>
      </c>
      <c r="H59" s="6"/>
    </row>
    <row r="60" spans="1:8" ht="25.5" x14ac:dyDescent="0.2">
      <c r="A60" s="3">
        <v>54</v>
      </c>
      <c r="B60" s="4" t="s">
        <v>712</v>
      </c>
      <c r="C60" s="4" t="s">
        <v>713</v>
      </c>
      <c r="D60" s="4" t="s">
        <v>945</v>
      </c>
      <c r="E60" s="5">
        <v>10000</v>
      </c>
      <c r="F60" s="6">
        <v>413.19499999999999</v>
      </c>
      <c r="G60" s="7">
        <v>4.4930769999999998E-3</v>
      </c>
      <c r="H60" s="6"/>
    </row>
    <row r="61" spans="1:8" x14ac:dyDescent="0.2">
      <c r="A61" s="3">
        <v>55</v>
      </c>
      <c r="B61" s="4" t="s">
        <v>298</v>
      </c>
      <c r="C61" s="4" t="s">
        <v>299</v>
      </c>
      <c r="D61" s="4" t="s">
        <v>947</v>
      </c>
      <c r="E61" s="5">
        <v>9000</v>
      </c>
      <c r="F61" s="6">
        <v>319.69349999999997</v>
      </c>
      <c r="G61" s="7">
        <v>3.4763429999999998E-3</v>
      </c>
      <c r="H61" s="6"/>
    </row>
    <row r="62" spans="1:8" x14ac:dyDescent="0.2">
      <c r="A62" s="3">
        <v>56</v>
      </c>
      <c r="B62" s="4" t="s">
        <v>720</v>
      </c>
      <c r="C62" s="4" t="s">
        <v>721</v>
      </c>
      <c r="D62" s="4" t="s">
        <v>302</v>
      </c>
      <c r="E62" s="5">
        <v>370890</v>
      </c>
      <c r="F62" s="6">
        <v>266.11357500000003</v>
      </c>
      <c r="G62" s="7">
        <v>2.8937149999999998E-3</v>
      </c>
      <c r="H62" s="6"/>
    </row>
    <row r="63" spans="1:8" x14ac:dyDescent="0.2">
      <c r="A63" s="3">
        <v>57</v>
      </c>
      <c r="B63" s="4" t="s">
        <v>557</v>
      </c>
      <c r="C63" s="4" t="s">
        <v>558</v>
      </c>
      <c r="D63" s="4" t="s">
        <v>302</v>
      </c>
      <c r="E63" s="5">
        <v>12531</v>
      </c>
      <c r="F63" s="6">
        <v>136.78213049999999</v>
      </c>
      <c r="G63" s="7">
        <v>1.4873670000000001E-3</v>
      </c>
      <c r="H63" s="6"/>
    </row>
    <row r="64" spans="1:8" ht="14.1" customHeight="1" x14ac:dyDescent="0.2">
      <c r="A64" s="1"/>
      <c r="B64" s="1"/>
      <c r="C64" s="2" t="s">
        <v>111</v>
      </c>
      <c r="D64" s="1"/>
      <c r="E64" s="1" t="s">
        <v>112</v>
      </c>
      <c r="F64" s="9">
        <v>89845.067337199958</v>
      </c>
      <c r="G64" s="10">
        <v>0.97697403199999977</v>
      </c>
      <c r="H64" s="6"/>
    </row>
    <row r="65" spans="1:15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15" ht="14.1" customHeight="1" x14ac:dyDescent="0.2">
      <c r="A66" s="1"/>
      <c r="B66" s="1"/>
      <c r="C66" s="2" t="s">
        <v>113</v>
      </c>
      <c r="D66" s="1"/>
      <c r="E66" s="1"/>
      <c r="F66" s="1"/>
      <c r="G66" s="1"/>
      <c r="H66" s="6"/>
    </row>
    <row r="67" spans="1:15" ht="14.1" customHeight="1" x14ac:dyDescent="0.2">
      <c r="A67" s="1"/>
      <c r="B67" s="1"/>
      <c r="C67" s="2" t="s">
        <v>111</v>
      </c>
      <c r="D67" s="1"/>
      <c r="E67" s="1" t="s">
        <v>112</v>
      </c>
      <c r="F67" s="13">
        <v>0</v>
      </c>
      <c r="G67" s="14">
        <v>0</v>
      </c>
      <c r="H67" s="6"/>
      <c r="J67" s="27"/>
      <c r="K67" s="27"/>
      <c r="L67" s="27"/>
      <c r="M67" s="27"/>
      <c r="N67" s="27"/>
      <c r="O67" s="27"/>
    </row>
    <row r="68" spans="1:15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15" ht="14.1" customHeight="1" x14ac:dyDescent="0.2">
      <c r="A69" s="1"/>
      <c r="B69" s="1"/>
      <c r="C69" s="2" t="s">
        <v>114</v>
      </c>
      <c r="D69" s="1"/>
      <c r="E69" s="1"/>
      <c r="F69" s="1"/>
      <c r="G69" s="1"/>
      <c r="H69" s="6"/>
    </row>
    <row r="70" spans="1:15" ht="17.100000000000001" customHeight="1" x14ac:dyDescent="0.2">
      <c r="A70" s="3">
        <v>1</v>
      </c>
      <c r="B70" s="4" t="s">
        <v>630</v>
      </c>
      <c r="C70" s="4" t="s">
        <v>976</v>
      </c>
      <c r="D70" s="4" t="s">
        <v>944</v>
      </c>
      <c r="E70" s="5">
        <v>374002</v>
      </c>
      <c r="F70" s="6">
        <v>23.412525200000001</v>
      </c>
      <c r="G70" s="7">
        <v>2.5458700000000002E-4</v>
      </c>
      <c r="H70" s="6"/>
    </row>
    <row r="71" spans="1:15" ht="17.100000000000001" customHeight="1" x14ac:dyDescent="0.2">
      <c r="A71" s="3">
        <v>2</v>
      </c>
      <c r="B71" s="4" t="s">
        <v>634</v>
      </c>
      <c r="C71" s="4" t="s">
        <v>980</v>
      </c>
      <c r="D71" s="4"/>
      <c r="E71" s="5">
        <v>200000</v>
      </c>
      <c r="F71" s="6">
        <v>1.9999999999999999E-6</v>
      </c>
      <c r="G71" s="8" t="s">
        <v>110</v>
      </c>
      <c r="H71" s="6"/>
    </row>
    <row r="72" spans="1:15" ht="14.1" customHeight="1" x14ac:dyDescent="0.2">
      <c r="A72" s="1"/>
      <c r="B72" s="1"/>
      <c r="C72" s="2" t="s">
        <v>111</v>
      </c>
      <c r="D72" s="1"/>
      <c r="E72" s="1" t="s">
        <v>112</v>
      </c>
      <c r="F72" s="13">
        <f>SUM(F70:F71)</f>
        <v>23.4125272</v>
      </c>
      <c r="G72" s="14">
        <f>SUM(G70:G71)</f>
        <v>2.5458700000000002E-4</v>
      </c>
      <c r="H72" s="6"/>
    </row>
    <row r="73" spans="1:15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15" ht="14.1" customHeight="1" x14ac:dyDescent="0.2">
      <c r="A74" s="1"/>
      <c r="B74" s="1"/>
      <c r="C74" s="2" t="s">
        <v>115</v>
      </c>
      <c r="D74" s="1"/>
      <c r="E74" s="1"/>
      <c r="F74" s="1"/>
      <c r="G74" s="1"/>
      <c r="H74" s="6"/>
    </row>
    <row r="75" spans="1:15" ht="14.1" customHeight="1" x14ac:dyDescent="0.2">
      <c r="A75" s="1"/>
      <c r="B75" s="1"/>
      <c r="C75" s="2" t="s">
        <v>111</v>
      </c>
      <c r="D75" s="1"/>
      <c r="E75" s="1" t="s">
        <v>112</v>
      </c>
      <c r="F75" s="9">
        <v>0</v>
      </c>
      <c r="G75" s="10">
        <v>0</v>
      </c>
      <c r="H75" s="6"/>
    </row>
    <row r="76" spans="1:15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15" ht="14.1" customHeight="1" x14ac:dyDescent="0.2">
      <c r="A77" s="1"/>
      <c r="B77" s="1"/>
      <c r="C77" s="2" t="s">
        <v>116</v>
      </c>
      <c r="D77" s="1"/>
      <c r="E77" s="1"/>
      <c r="F77" s="12"/>
      <c r="G77" s="12"/>
      <c r="H77" s="6"/>
    </row>
    <row r="78" spans="1:15" ht="14.1" customHeight="1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6"/>
    </row>
    <row r="79" spans="1:15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15" ht="14.1" customHeight="1" x14ac:dyDescent="0.2">
      <c r="A80" s="1"/>
      <c r="B80" s="1"/>
      <c r="C80" s="2" t="s">
        <v>117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8" customHeight="1" x14ac:dyDescent="0.2">
      <c r="A83" s="1"/>
      <c r="B83" s="1"/>
      <c r="C83" s="2" t="s">
        <v>118</v>
      </c>
      <c r="D83" s="1"/>
      <c r="E83" s="1"/>
      <c r="F83" s="9">
        <v>89845.067337200002</v>
      </c>
      <c r="G83" s="10">
        <v>0.97697403199999999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119</v>
      </c>
      <c r="D85" s="1"/>
      <c r="E85" s="1"/>
      <c r="F85" s="12"/>
      <c r="G85" s="12"/>
      <c r="H85" s="6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120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121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122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123</v>
      </c>
      <c r="D98" s="1"/>
      <c r="E98" s="1"/>
      <c r="F98" s="9">
        <v>0</v>
      </c>
      <c r="G98" s="10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124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125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126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127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128</v>
      </c>
      <c r="D110" s="1"/>
      <c r="E110" s="1"/>
      <c r="F110" s="12"/>
      <c r="G110" s="12"/>
      <c r="H110" s="6"/>
    </row>
    <row r="111" spans="1:8" ht="17.100000000000001" customHeight="1" x14ac:dyDescent="0.2">
      <c r="A111" s="3">
        <v>1</v>
      </c>
      <c r="B111" s="4"/>
      <c r="C111" s="4" t="s">
        <v>129</v>
      </c>
      <c r="D111" s="4"/>
      <c r="E111" s="8"/>
      <c r="F111" s="6">
        <v>2182.4756425</v>
      </c>
      <c r="G111" s="7">
        <v>2.373221E-2</v>
      </c>
      <c r="H111" s="6">
        <v>3.9343919198424624</v>
      </c>
    </row>
    <row r="112" spans="1:8" ht="17.100000000000001" customHeight="1" x14ac:dyDescent="0.2">
      <c r="A112" s="3">
        <v>2</v>
      </c>
      <c r="B112" s="4"/>
      <c r="C112" s="4" t="s">
        <v>130</v>
      </c>
      <c r="D112" s="4"/>
      <c r="E112" s="8"/>
      <c r="F112" s="6">
        <v>143.34398959999999</v>
      </c>
      <c r="G112" s="7">
        <v>1.5587210000000001E-3</v>
      </c>
      <c r="H112" s="6">
        <v>3.8</v>
      </c>
    </row>
    <row r="113" spans="1:8" ht="14.1" customHeight="1" x14ac:dyDescent="0.2">
      <c r="A113" s="1"/>
      <c r="B113" s="1"/>
      <c r="C113" s="2" t="s">
        <v>111</v>
      </c>
      <c r="D113" s="1"/>
      <c r="E113" s="1" t="s">
        <v>112</v>
      </c>
      <c r="F113" s="9">
        <v>2325.8196321</v>
      </c>
      <c r="G113" s="10">
        <v>2.5290930999999999E-2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131</v>
      </c>
      <c r="D115" s="1"/>
      <c r="E115" s="1"/>
      <c r="F115" s="9">
        <v>2325.8196321</v>
      </c>
      <c r="G115" s="10">
        <v>2.5290930999999999E-2</v>
      </c>
      <c r="H115" s="6"/>
    </row>
    <row r="116" spans="1:8" ht="14.1" customHeight="1" x14ac:dyDescent="0.2">
      <c r="A116" s="1"/>
      <c r="B116" s="1"/>
      <c r="C116" s="12"/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132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133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134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135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136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111</v>
      </c>
      <c r="D127" s="1"/>
      <c r="E127" s="1" t="s">
        <v>112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15" ht="14.1" customHeight="1" x14ac:dyDescent="0.2">
      <c r="A129" s="1"/>
      <c r="B129" s="4"/>
      <c r="C129" s="4"/>
      <c r="D129" s="2"/>
      <c r="E129" s="1"/>
      <c r="F129" s="4"/>
      <c r="G129" s="8"/>
      <c r="H129" s="6"/>
    </row>
    <row r="130" spans="1:15" ht="18" customHeight="1" x14ac:dyDescent="0.2">
      <c r="A130" s="8"/>
      <c r="B130" s="4"/>
      <c r="C130" s="4" t="s">
        <v>137</v>
      </c>
      <c r="D130" s="4"/>
      <c r="E130" s="8"/>
      <c r="F130" s="6">
        <v>-208.29192771999999</v>
      </c>
      <c r="G130" s="7">
        <v>-2.264964E-3</v>
      </c>
      <c r="H130" s="6"/>
    </row>
    <row r="131" spans="1:15" ht="14.1" customHeight="1" x14ac:dyDescent="0.2">
      <c r="A131" s="11"/>
      <c r="B131" s="11"/>
      <c r="C131" s="2" t="s">
        <v>138</v>
      </c>
      <c r="D131" s="15"/>
      <c r="E131" s="15"/>
      <c r="F131" s="9">
        <v>91962.595041580003</v>
      </c>
      <c r="G131" s="10">
        <v>0.99999999900000003</v>
      </c>
      <c r="H131" s="6"/>
    </row>
    <row r="132" spans="1:15" ht="14.1" customHeight="1" x14ac:dyDescent="0.2">
      <c r="A132" s="18"/>
      <c r="B132" s="297" t="s">
        <v>112</v>
      </c>
      <c r="C132" s="297"/>
      <c r="D132" s="297"/>
      <c r="E132" s="297"/>
      <c r="F132" s="297"/>
      <c r="G132" s="20"/>
    </row>
    <row r="133" spans="1:15" ht="17.100000000000001" customHeight="1" x14ac:dyDescent="0.2">
      <c r="A133" s="18"/>
      <c r="B133" s="297" t="s">
        <v>139</v>
      </c>
      <c r="C133" s="297"/>
      <c r="D133" s="297"/>
      <c r="E133" s="297"/>
      <c r="F133" s="297"/>
      <c r="G133" s="20"/>
    </row>
    <row r="134" spans="1:15" ht="14.1" customHeight="1" x14ac:dyDescent="0.2">
      <c r="A134" s="18"/>
      <c r="B134" s="18"/>
      <c r="C134" s="18"/>
      <c r="D134" s="20"/>
      <c r="E134" s="20"/>
      <c r="F134" s="20"/>
      <c r="G134" s="20"/>
    </row>
    <row r="135" spans="1:15" ht="14.1" customHeight="1" x14ac:dyDescent="0.2">
      <c r="A135" s="18"/>
      <c r="B135" s="294" t="s">
        <v>140</v>
      </c>
      <c r="C135" s="295"/>
      <c r="D135" s="12" t="s">
        <v>112</v>
      </c>
      <c r="E135" s="21"/>
      <c r="F135" s="20"/>
      <c r="G135" s="20"/>
    </row>
    <row r="136" spans="1:15" ht="29.1" customHeight="1" x14ac:dyDescent="0.2">
      <c r="A136" s="18"/>
      <c r="B136" s="288" t="s">
        <v>141</v>
      </c>
      <c r="C136" s="289"/>
      <c r="D136" s="2" t="s">
        <v>1028</v>
      </c>
      <c r="E136" s="21"/>
      <c r="F136" s="20"/>
      <c r="G136" s="20"/>
    </row>
    <row r="137" spans="1:15" ht="17.100000000000001" customHeight="1" x14ac:dyDescent="0.2">
      <c r="A137" s="18"/>
      <c r="B137" s="288" t="s">
        <v>971</v>
      </c>
      <c r="C137" s="289"/>
      <c r="D137" s="67" t="s">
        <v>987</v>
      </c>
      <c r="E137" s="21"/>
      <c r="F137" s="20"/>
      <c r="G137" s="20"/>
    </row>
    <row r="138" spans="1:15" ht="17.100000000000001" customHeight="1" x14ac:dyDescent="0.2">
      <c r="A138" s="18"/>
      <c r="B138" s="288" t="s">
        <v>144</v>
      </c>
      <c r="C138" s="289"/>
      <c r="D138" s="12" t="s">
        <v>112</v>
      </c>
      <c r="E138" s="21"/>
      <c r="F138" s="20"/>
      <c r="G138" s="20"/>
    </row>
    <row r="139" spans="1:15" ht="24" customHeight="1" x14ac:dyDescent="0.2">
      <c r="A139" s="22"/>
      <c r="B139" s="23" t="s">
        <v>112</v>
      </c>
      <c r="C139" s="23" t="s">
        <v>145</v>
      </c>
      <c r="D139" s="23" t="s">
        <v>146</v>
      </c>
      <c r="E139" s="22"/>
      <c r="F139" s="22"/>
      <c r="G139" s="22"/>
    </row>
    <row r="140" spans="1:15" ht="18" customHeight="1" x14ac:dyDescent="0.2">
      <c r="A140" s="22"/>
      <c r="B140" s="23" t="s">
        <v>147</v>
      </c>
      <c r="C140" s="23" t="s">
        <v>148</v>
      </c>
      <c r="D140" s="23" t="s">
        <v>149</v>
      </c>
      <c r="E140" s="22"/>
      <c r="F140" s="22"/>
      <c r="G140" s="22"/>
      <c r="J140" s="27"/>
      <c r="K140" s="27"/>
      <c r="L140" s="27"/>
      <c r="M140" s="27"/>
      <c r="N140" s="27"/>
      <c r="O140" s="27"/>
    </row>
    <row r="141" spans="1:15" ht="17.100000000000001" customHeight="1" x14ac:dyDescent="0.2">
      <c r="A141" s="22"/>
      <c r="B141" s="4" t="s">
        <v>150</v>
      </c>
      <c r="C141" s="24">
        <v>342.40019999999998</v>
      </c>
      <c r="D141" s="24">
        <v>337.44470000000001</v>
      </c>
      <c r="E141" s="22"/>
      <c r="F141" s="19"/>
      <c r="G141" s="25"/>
    </row>
    <row r="142" spans="1:15" ht="29.1" customHeight="1" x14ac:dyDescent="0.2">
      <c r="A142" s="22"/>
      <c r="B142" s="4" t="s">
        <v>1117</v>
      </c>
      <c r="C142" s="24">
        <v>342.32350000000002</v>
      </c>
      <c r="D142" s="24">
        <v>337.34550000000002</v>
      </c>
      <c r="E142" s="22"/>
      <c r="F142" s="19"/>
      <c r="G142" s="25"/>
    </row>
    <row r="143" spans="1:15" ht="17.100000000000001" customHeight="1" x14ac:dyDescent="0.2">
      <c r="A143" s="22"/>
      <c r="B143" s="4" t="s">
        <v>151</v>
      </c>
      <c r="C143" s="24">
        <v>326.24250000000001</v>
      </c>
      <c r="D143" s="24">
        <v>321.35579999999999</v>
      </c>
      <c r="E143" s="22"/>
      <c r="F143" s="19"/>
      <c r="G143" s="25"/>
    </row>
    <row r="144" spans="1:15" ht="29.1" customHeight="1" x14ac:dyDescent="0.2">
      <c r="A144" s="22"/>
      <c r="B144" s="4" t="s">
        <v>1118</v>
      </c>
      <c r="C144" s="24">
        <v>326.24259999999998</v>
      </c>
      <c r="D144" s="24">
        <v>321.35599999999999</v>
      </c>
      <c r="E144" s="22"/>
      <c r="F144" s="19"/>
      <c r="G144" s="25"/>
      <c r="J144" s="66"/>
      <c r="K144" s="66"/>
      <c r="L144" s="66"/>
      <c r="M144" s="66"/>
      <c r="N144" s="66"/>
      <c r="O144" s="66"/>
    </row>
    <row r="145" spans="1:7" ht="14.1" customHeight="1" x14ac:dyDescent="0.2">
      <c r="A145" s="22"/>
      <c r="B145" s="22"/>
      <c r="C145" s="22"/>
      <c r="D145" s="22"/>
      <c r="E145" s="22"/>
      <c r="F145" s="22"/>
      <c r="G145" s="22"/>
    </row>
    <row r="146" spans="1:7" ht="17.100000000000001" customHeight="1" x14ac:dyDescent="0.2">
      <c r="A146" s="22"/>
      <c r="B146" s="288" t="s">
        <v>1116</v>
      </c>
      <c r="C146" s="289"/>
      <c r="D146" s="2" t="s">
        <v>142</v>
      </c>
      <c r="E146" s="22"/>
      <c r="F146" s="22"/>
      <c r="G146" s="22"/>
    </row>
    <row r="147" spans="1:7" ht="14.1" customHeight="1" x14ac:dyDescent="0.2">
      <c r="A147" s="22"/>
      <c r="B147" s="19"/>
      <c r="C147" s="19"/>
      <c r="D147" s="22"/>
      <c r="E147" s="22"/>
      <c r="F147" s="22"/>
      <c r="G147" s="22"/>
    </row>
    <row r="148" spans="1:7" ht="29.1" customHeight="1" x14ac:dyDescent="0.2">
      <c r="A148" s="22"/>
      <c r="B148" s="288" t="s">
        <v>153</v>
      </c>
      <c r="C148" s="289"/>
      <c r="D148" s="2" t="s">
        <v>142</v>
      </c>
      <c r="E148" s="22"/>
      <c r="F148" s="22"/>
      <c r="G148" s="22"/>
    </row>
    <row r="149" spans="1:7" ht="29.1" customHeight="1" x14ac:dyDescent="0.2">
      <c r="A149" s="22"/>
      <c r="B149" s="288" t="s">
        <v>154</v>
      </c>
      <c r="C149" s="289"/>
      <c r="D149" s="2" t="s">
        <v>142</v>
      </c>
      <c r="E149" s="22"/>
      <c r="F149" s="22"/>
      <c r="G149" s="22"/>
    </row>
    <row r="150" spans="1:7" ht="17.100000000000001" customHeight="1" x14ac:dyDescent="0.2">
      <c r="A150" s="22"/>
      <c r="B150" s="288" t="s">
        <v>155</v>
      </c>
      <c r="C150" s="289"/>
      <c r="D150" s="26">
        <v>0.56898420608938594</v>
      </c>
      <c r="E150" s="22"/>
      <c r="F150" s="19"/>
      <c r="G150" s="25"/>
    </row>
    <row r="151" spans="1:7" ht="17.100000000000001" customHeight="1" x14ac:dyDescent="0.2">
      <c r="A151" s="22"/>
      <c r="B151" s="288" t="s">
        <v>156</v>
      </c>
      <c r="C151" s="289"/>
      <c r="D151" s="2" t="s">
        <v>142</v>
      </c>
      <c r="E151" s="22"/>
      <c r="F151" s="22"/>
      <c r="G151" s="22"/>
    </row>
    <row r="153" spans="1:7" x14ac:dyDescent="0.2">
      <c r="B153" s="72" t="s">
        <v>1027</v>
      </c>
      <c r="C153" s="72"/>
      <c r="D153" s="72"/>
      <c r="E153" s="108"/>
      <c r="F153" s="101"/>
    </row>
    <row r="154" spans="1:7" ht="38.25" x14ac:dyDescent="0.2">
      <c r="B154" s="110" t="s">
        <v>998</v>
      </c>
      <c r="C154" s="110" t="s">
        <v>999</v>
      </c>
      <c r="D154" s="110" t="s">
        <v>1000</v>
      </c>
      <c r="E154" s="110" t="s">
        <v>1001</v>
      </c>
      <c r="F154" s="110" t="s">
        <v>1002</v>
      </c>
    </row>
    <row r="155" spans="1:7" x14ac:dyDescent="0.2">
      <c r="B155" s="111" t="s">
        <v>1030</v>
      </c>
      <c r="C155" s="112" t="s">
        <v>1025</v>
      </c>
      <c r="D155" s="117">
        <v>0</v>
      </c>
      <c r="E155" s="118">
        <v>0</v>
      </c>
      <c r="F155" s="119">
        <v>0.54925000000000002</v>
      </c>
    </row>
  </sheetData>
  <mergeCells count="15">
    <mergeCell ref="A1:H1"/>
    <mergeCell ref="A2:H2"/>
    <mergeCell ref="A3:H3"/>
    <mergeCell ref="J2:N2"/>
    <mergeCell ref="B135:C135"/>
    <mergeCell ref="B132:F132"/>
    <mergeCell ref="B133:F133"/>
    <mergeCell ref="B150:C150"/>
    <mergeCell ref="B151:C151"/>
    <mergeCell ref="B136:C136"/>
    <mergeCell ref="B137:C137"/>
    <mergeCell ref="B138:C138"/>
    <mergeCell ref="B146:C146"/>
    <mergeCell ref="B148:C148"/>
    <mergeCell ref="B149:C149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O12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723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390</v>
      </c>
      <c r="C7" s="4" t="s">
        <v>391</v>
      </c>
      <c r="D7" s="4" t="s">
        <v>960</v>
      </c>
      <c r="E7" s="5">
        <v>366606</v>
      </c>
      <c r="F7" s="6">
        <v>8193.0941910000001</v>
      </c>
      <c r="G7" s="7">
        <v>7.0821581999999994E-2</v>
      </c>
      <c r="H7" s="6"/>
    </row>
    <row r="8" spans="1:14" x14ac:dyDescent="0.2">
      <c r="A8" s="3">
        <v>2</v>
      </c>
      <c r="B8" s="4" t="s">
        <v>444</v>
      </c>
      <c r="C8" s="4" t="s">
        <v>445</v>
      </c>
      <c r="D8" s="4" t="s">
        <v>71</v>
      </c>
      <c r="E8" s="5">
        <v>306141</v>
      </c>
      <c r="F8" s="6">
        <v>7525.5580620000001</v>
      </c>
      <c r="G8" s="7">
        <v>6.5051361000000002E-2</v>
      </c>
      <c r="H8" s="6"/>
    </row>
    <row r="9" spans="1:14" x14ac:dyDescent="0.2">
      <c r="A9" s="3">
        <v>3</v>
      </c>
      <c r="B9" s="4" t="s">
        <v>296</v>
      </c>
      <c r="C9" s="4" t="s">
        <v>297</v>
      </c>
      <c r="D9" s="4" t="s">
        <v>956</v>
      </c>
      <c r="E9" s="5">
        <v>665418</v>
      </c>
      <c r="F9" s="6">
        <v>7210.1367389999996</v>
      </c>
      <c r="G9" s="7">
        <v>6.2324840999999999E-2</v>
      </c>
      <c r="H9" s="6"/>
    </row>
    <row r="10" spans="1:14" x14ac:dyDescent="0.2">
      <c r="A10" s="3">
        <v>4</v>
      </c>
      <c r="B10" s="4" t="s">
        <v>434</v>
      </c>
      <c r="C10" s="4" t="s">
        <v>435</v>
      </c>
      <c r="D10" s="4" t="s">
        <v>959</v>
      </c>
      <c r="E10" s="5">
        <v>87655</v>
      </c>
      <c r="F10" s="6">
        <v>6765.0375899999999</v>
      </c>
      <c r="G10" s="7">
        <v>5.8477378000000003E-2</v>
      </c>
      <c r="H10" s="6"/>
    </row>
    <row r="11" spans="1:14" ht="25.5" x14ac:dyDescent="0.2">
      <c r="A11" s="3">
        <v>5</v>
      </c>
      <c r="B11" s="4" t="s">
        <v>357</v>
      </c>
      <c r="C11" s="4" t="s">
        <v>358</v>
      </c>
      <c r="D11" s="4" t="s">
        <v>950</v>
      </c>
      <c r="E11" s="5">
        <v>799477</v>
      </c>
      <c r="F11" s="6">
        <v>6585.6917874999999</v>
      </c>
      <c r="G11" s="7">
        <v>5.6927102E-2</v>
      </c>
      <c r="H11" s="6"/>
    </row>
    <row r="12" spans="1:14" ht="15" x14ac:dyDescent="0.2">
      <c r="A12" s="3">
        <v>6</v>
      </c>
      <c r="B12" s="4" t="s">
        <v>16</v>
      </c>
      <c r="C12" s="4" t="s">
        <v>17</v>
      </c>
      <c r="D12" s="4" t="s">
        <v>18</v>
      </c>
      <c r="E12" s="5">
        <v>856113</v>
      </c>
      <c r="F12" s="6">
        <v>6363.4879289999999</v>
      </c>
      <c r="G12" s="7">
        <v>5.5006358999999998E-2</v>
      </c>
      <c r="H12" s="6"/>
      <c r="J12" s="192"/>
    </row>
    <row r="13" spans="1:14" x14ac:dyDescent="0.2">
      <c r="A13" s="3">
        <v>7</v>
      </c>
      <c r="B13" s="4" t="s">
        <v>349</v>
      </c>
      <c r="C13" s="4" t="s">
        <v>350</v>
      </c>
      <c r="D13" s="4" t="s">
        <v>18</v>
      </c>
      <c r="E13" s="5">
        <v>446466</v>
      </c>
      <c r="F13" s="6">
        <v>6181.7682359999999</v>
      </c>
      <c r="G13" s="7">
        <v>5.3435563999999998E-2</v>
      </c>
      <c r="H13" s="6"/>
    </row>
    <row r="14" spans="1:14" x14ac:dyDescent="0.2">
      <c r="A14" s="3">
        <v>8</v>
      </c>
      <c r="B14" s="4" t="s">
        <v>286</v>
      </c>
      <c r="C14" s="4" t="s">
        <v>287</v>
      </c>
      <c r="D14" s="4" t="s">
        <v>952</v>
      </c>
      <c r="E14" s="5">
        <v>12350</v>
      </c>
      <c r="F14" s="6">
        <v>5628.975625</v>
      </c>
      <c r="G14" s="7">
        <v>4.8657192000000002E-2</v>
      </c>
      <c r="H14" s="6"/>
    </row>
    <row r="15" spans="1:14" ht="15" x14ac:dyDescent="0.2">
      <c r="A15" s="3">
        <v>9</v>
      </c>
      <c r="B15" s="4" t="s">
        <v>592</v>
      </c>
      <c r="C15" s="4" t="s">
        <v>593</v>
      </c>
      <c r="D15" s="4" t="s">
        <v>71</v>
      </c>
      <c r="E15" s="5">
        <v>161556</v>
      </c>
      <c r="F15" s="6">
        <v>5229.890832</v>
      </c>
      <c r="G15" s="7">
        <v>4.5207480000000001E-2</v>
      </c>
      <c r="H15" s="6"/>
      <c r="J15" s="192" t="s">
        <v>1163</v>
      </c>
    </row>
    <row r="16" spans="1:14" ht="25.5" x14ac:dyDescent="0.2">
      <c r="A16" s="3">
        <v>10</v>
      </c>
      <c r="B16" s="4" t="s">
        <v>313</v>
      </c>
      <c r="C16" s="4" t="s">
        <v>314</v>
      </c>
      <c r="D16" s="4" t="s">
        <v>71</v>
      </c>
      <c r="E16" s="5">
        <v>1320000</v>
      </c>
      <c r="F16" s="6">
        <v>5079.3599999999997</v>
      </c>
      <c r="G16" s="7">
        <v>4.3906282999999997E-2</v>
      </c>
      <c r="H16" s="6"/>
    </row>
    <row r="17" spans="1:8" x14ac:dyDescent="0.2">
      <c r="A17" s="3">
        <v>11</v>
      </c>
      <c r="B17" s="4" t="s">
        <v>400</v>
      </c>
      <c r="C17" s="4" t="s">
        <v>401</v>
      </c>
      <c r="D17" s="4" t="s">
        <v>960</v>
      </c>
      <c r="E17" s="5">
        <v>1670266</v>
      </c>
      <c r="F17" s="6">
        <v>4335.1754030000002</v>
      </c>
      <c r="G17" s="7">
        <v>3.7473508000000003E-2</v>
      </c>
      <c r="H17" s="6"/>
    </row>
    <row r="18" spans="1:8" x14ac:dyDescent="0.2">
      <c r="A18" s="3">
        <v>12</v>
      </c>
      <c r="B18" s="4" t="s">
        <v>475</v>
      </c>
      <c r="C18" s="4" t="s">
        <v>476</v>
      </c>
      <c r="D18" s="4" t="s">
        <v>956</v>
      </c>
      <c r="E18" s="5">
        <v>496138</v>
      </c>
      <c r="F18" s="6">
        <v>4280.9267330000002</v>
      </c>
      <c r="G18" s="7">
        <v>3.7004579000000003E-2</v>
      </c>
      <c r="H18" s="6"/>
    </row>
    <row r="19" spans="1:8" x14ac:dyDescent="0.2">
      <c r="A19" s="3">
        <v>13</v>
      </c>
      <c r="B19" s="4" t="s">
        <v>305</v>
      </c>
      <c r="C19" s="4" t="s">
        <v>306</v>
      </c>
      <c r="D19" s="4" t="s">
        <v>71</v>
      </c>
      <c r="E19" s="5">
        <v>292989</v>
      </c>
      <c r="F19" s="6">
        <v>3696.2027294999998</v>
      </c>
      <c r="G19" s="7">
        <v>3.1950191000000003E-2</v>
      </c>
      <c r="H19" s="6"/>
    </row>
    <row r="20" spans="1:8" x14ac:dyDescent="0.2">
      <c r="A20" s="3">
        <v>14</v>
      </c>
      <c r="B20" s="4" t="s">
        <v>386</v>
      </c>
      <c r="C20" s="4" t="s">
        <v>387</v>
      </c>
      <c r="D20" s="4" t="s">
        <v>933</v>
      </c>
      <c r="E20" s="5">
        <v>259383</v>
      </c>
      <c r="F20" s="6">
        <v>2867.479065</v>
      </c>
      <c r="G20" s="7">
        <v>2.4786656000000001E-2</v>
      </c>
      <c r="H20" s="6"/>
    </row>
    <row r="21" spans="1:8" x14ac:dyDescent="0.2">
      <c r="A21" s="3">
        <v>15</v>
      </c>
      <c r="B21" s="4" t="s">
        <v>418</v>
      </c>
      <c r="C21" s="4" t="s">
        <v>419</v>
      </c>
      <c r="D21" s="4" t="s">
        <v>82</v>
      </c>
      <c r="E21" s="5">
        <v>42500</v>
      </c>
      <c r="F21" s="6">
        <v>2835.5149999999999</v>
      </c>
      <c r="G21" s="7">
        <v>2.4510356000000001E-2</v>
      </c>
      <c r="H21" s="6"/>
    </row>
    <row r="22" spans="1:8" x14ac:dyDescent="0.2">
      <c r="A22" s="3">
        <v>16</v>
      </c>
      <c r="B22" s="4" t="s">
        <v>164</v>
      </c>
      <c r="C22" s="4" t="s">
        <v>165</v>
      </c>
      <c r="D22" s="4" t="s">
        <v>944</v>
      </c>
      <c r="E22" s="5">
        <v>509013</v>
      </c>
      <c r="F22" s="6">
        <v>2426.2104644999999</v>
      </c>
      <c r="G22" s="7">
        <v>2.0972304000000001E-2</v>
      </c>
      <c r="H22" s="6"/>
    </row>
    <row r="23" spans="1:8" ht="25.5" x14ac:dyDescent="0.2">
      <c r="A23" s="3">
        <v>17</v>
      </c>
      <c r="B23" s="4" t="s">
        <v>22</v>
      </c>
      <c r="C23" s="4" t="s">
        <v>23</v>
      </c>
      <c r="D23" s="4" t="s">
        <v>935</v>
      </c>
      <c r="E23" s="5">
        <v>36081</v>
      </c>
      <c r="F23" s="6">
        <v>2392.2605024999998</v>
      </c>
      <c r="G23" s="7">
        <v>2.0678839000000001E-2</v>
      </c>
      <c r="H23" s="6"/>
    </row>
    <row r="24" spans="1:8" x14ac:dyDescent="0.2">
      <c r="A24" s="3">
        <v>18</v>
      </c>
      <c r="B24" s="4" t="s">
        <v>650</v>
      </c>
      <c r="C24" s="4" t="s">
        <v>651</v>
      </c>
      <c r="D24" s="4" t="s">
        <v>958</v>
      </c>
      <c r="E24" s="5">
        <v>300218</v>
      </c>
      <c r="F24" s="6">
        <v>2348.905632</v>
      </c>
      <c r="G24" s="7">
        <v>2.0304077E-2</v>
      </c>
      <c r="H24" s="6"/>
    </row>
    <row r="25" spans="1:8" x14ac:dyDescent="0.2">
      <c r="A25" s="3">
        <v>19</v>
      </c>
      <c r="B25" s="4" t="s">
        <v>664</v>
      </c>
      <c r="C25" s="4" t="s">
        <v>665</v>
      </c>
      <c r="D25" s="4" t="s">
        <v>951</v>
      </c>
      <c r="E25" s="5">
        <v>11926</v>
      </c>
      <c r="F25" s="6">
        <v>2186.071578</v>
      </c>
      <c r="G25" s="7">
        <v>1.8896530000000002E-2</v>
      </c>
      <c r="H25" s="6"/>
    </row>
    <row r="26" spans="1:8" x14ac:dyDescent="0.2">
      <c r="A26" s="3">
        <v>20</v>
      </c>
      <c r="B26" s="4" t="s">
        <v>428</v>
      </c>
      <c r="C26" s="4" t="s">
        <v>429</v>
      </c>
      <c r="D26" s="4" t="s">
        <v>302</v>
      </c>
      <c r="E26" s="5">
        <v>46158</v>
      </c>
      <c r="F26" s="6">
        <v>1820.5869150000001</v>
      </c>
      <c r="G26" s="7">
        <v>1.5737259E-2</v>
      </c>
      <c r="H26" s="6"/>
    </row>
    <row r="27" spans="1:8" x14ac:dyDescent="0.2">
      <c r="A27" s="3">
        <v>21</v>
      </c>
      <c r="B27" s="4" t="s">
        <v>724</v>
      </c>
      <c r="C27" s="4" t="s">
        <v>725</v>
      </c>
      <c r="D27" s="4" t="s">
        <v>71</v>
      </c>
      <c r="E27" s="5">
        <v>88000</v>
      </c>
      <c r="F27" s="6">
        <v>1714.8119999999999</v>
      </c>
      <c r="G27" s="7">
        <v>1.4822933999999999E-2</v>
      </c>
      <c r="H27" s="6"/>
    </row>
    <row r="28" spans="1:8" x14ac:dyDescent="0.2">
      <c r="A28" s="3">
        <v>22</v>
      </c>
      <c r="B28" s="4" t="s">
        <v>345</v>
      </c>
      <c r="C28" s="4" t="s">
        <v>346</v>
      </c>
      <c r="D28" s="4" t="s">
        <v>71</v>
      </c>
      <c r="E28" s="5">
        <v>2700040</v>
      </c>
      <c r="F28" s="6">
        <v>1644.3243600000001</v>
      </c>
      <c r="G28" s="7">
        <v>1.4213635000000001E-2</v>
      </c>
      <c r="H28" s="6"/>
    </row>
    <row r="29" spans="1:8" x14ac:dyDescent="0.2">
      <c r="A29" s="3">
        <v>23</v>
      </c>
      <c r="B29" s="4" t="s">
        <v>438</v>
      </c>
      <c r="C29" s="4" t="s">
        <v>439</v>
      </c>
      <c r="D29" s="4" t="s">
        <v>302</v>
      </c>
      <c r="E29" s="5">
        <v>92714</v>
      </c>
      <c r="F29" s="6">
        <v>1570.7605880000001</v>
      </c>
      <c r="G29" s="7">
        <v>1.3577746E-2</v>
      </c>
      <c r="H29" s="6"/>
    </row>
    <row r="30" spans="1:8" x14ac:dyDescent="0.2">
      <c r="A30" s="3">
        <v>24</v>
      </c>
      <c r="B30" s="4" t="s">
        <v>726</v>
      </c>
      <c r="C30" s="4" t="s">
        <v>727</v>
      </c>
      <c r="D30" s="4" t="s">
        <v>944</v>
      </c>
      <c r="E30" s="5">
        <v>854940</v>
      </c>
      <c r="F30" s="6">
        <v>1476.90885</v>
      </c>
      <c r="G30" s="7">
        <v>1.2766486000000001E-2</v>
      </c>
      <c r="H30" s="6"/>
    </row>
    <row r="31" spans="1:8" x14ac:dyDescent="0.2">
      <c r="A31" s="3">
        <v>25</v>
      </c>
      <c r="B31" s="4" t="s">
        <v>670</v>
      </c>
      <c r="C31" s="4" t="s">
        <v>671</v>
      </c>
      <c r="D31" s="4" t="s">
        <v>302</v>
      </c>
      <c r="E31" s="5">
        <v>30432</v>
      </c>
      <c r="F31" s="6">
        <v>1415.4684</v>
      </c>
      <c r="G31" s="7">
        <v>1.2235391E-2</v>
      </c>
      <c r="H31" s="6"/>
    </row>
    <row r="32" spans="1:8" ht="25.5" x14ac:dyDescent="0.2">
      <c r="A32" s="3">
        <v>26</v>
      </c>
      <c r="B32" s="4" t="s">
        <v>718</v>
      </c>
      <c r="C32" s="4" t="s">
        <v>719</v>
      </c>
      <c r="D32" s="4" t="s">
        <v>958</v>
      </c>
      <c r="E32" s="5">
        <v>9746</v>
      </c>
      <c r="F32" s="6">
        <v>1366.7692939999999</v>
      </c>
      <c r="G32" s="7">
        <v>1.1814432999999999E-2</v>
      </c>
      <c r="H32" s="6"/>
    </row>
    <row r="33" spans="1:8" x14ac:dyDescent="0.2">
      <c r="A33" s="3">
        <v>27</v>
      </c>
      <c r="B33" s="4" t="s">
        <v>581</v>
      </c>
      <c r="C33" s="4" t="s">
        <v>582</v>
      </c>
      <c r="D33" s="4" t="s">
        <v>951</v>
      </c>
      <c r="E33" s="5">
        <v>40685</v>
      </c>
      <c r="F33" s="6">
        <v>1334.1628625000001</v>
      </c>
      <c r="G33" s="7">
        <v>1.1532581E-2</v>
      </c>
      <c r="H33" s="6"/>
    </row>
    <row r="34" spans="1:8" x14ac:dyDescent="0.2">
      <c r="A34" s="3">
        <v>28</v>
      </c>
      <c r="B34" s="4" t="s">
        <v>92</v>
      </c>
      <c r="C34" s="4" t="s">
        <v>93</v>
      </c>
      <c r="D34" s="4" t="s">
        <v>923</v>
      </c>
      <c r="E34" s="5">
        <v>281257</v>
      </c>
      <c r="F34" s="6">
        <v>1281.9694059999999</v>
      </c>
      <c r="G34" s="7">
        <v>1.1081418000000001E-2</v>
      </c>
      <c r="H34" s="6"/>
    </row>
    <row r="35" spans="1:8" x14ac:dyDescent="0.2">
      <c r="A35" s="3">
        <v>29</v>
      </c>
      <c r="B35" s="4" t="s">
        <v>658</v>
      </c>
      <c r="C35" s="4" t="s">
        <v>659</v>
      </c>
      <c r="D35" s="4" t="s">
        <v>958</v>
      </c>
      <c r="E35" s="5">
        <v>219290</v>
      </c>
      <c r="F35" s="6">
        <v>1144.03593</v>
      </c>
      <c r="G35" s="7">
        <v>9.8891129999999997E-3</v>
      </c>
      <c r="H35" s="6"/>
    </row>
    <row r="36" spans="1:8" x14ac:dyDescent="0.2">
      <c r="A36" s="3">
        <v>30</v>
      </c>
      <c r="B36" s="4" t="s">
        <v>225</v>
      </c>
      <c r="C36" s="4" t="s">
        <v>226</v>
      </c>
      <c r="D36" s="4" t="s">
        <v>951</v>
      </c>
      <c r="E36" s="5">
        <v>285173</v>
      </c>
      <c r="F36" s="6">
        <v>894.15994149999995</v>
      </c>
      <c r="G36" s="7">
        <v>7.7291699999999996E-3</v>
      </c>
      <c r="H36" s="6"/>
    </row>
    <row r="37" spans="1:8" x14ac:dyDescent="0.2">
      <c r="A37" s="3">
        <v>31</v>
      </c>
      <c r="B37" s="4" t="s">
        <v>396</v>
      </c>
      <c r="C37" s="4" t="s">
        <v>397</v>
      </c>
      <c r="D37" s="4" t="s">
        <v>959</v>
      </c>
      <c r="E37" s="5">
        <v>92686</v>
      </c>
      <c r="F37" s="6">
        <v>854.65760599999999</v>
      </c>
      <c r="G37" s="7">
        <v>7.3877099999999996E-3</v>
      </c>
      <c r="H37" s="6"/>
    </row>
    <row r="38" spans="1:8" x14ac:dyDescent="0.2">
      <c r="A38" s="3">
        <v>32</v>
      </c>
      <c r="B38" s="4" t="s">
        <v>551</v>
      </c>
      <c r="C38" s="4" t="s">
        <v>552</v>
      </c>
      <c r="D38" s="4" t="s">
        <v>71</v>
      </c>
      <c r="E38" s="5">
        <v>126504</v>
      </c>
      <c r="F38" s="6">
        <v>842.8329</v>
      </c>
      <c r="G38" s="7">
        <v>7.2854970000000002E-3</v>
      </c>
      <c r="H38" s="6"/>
    </row>
    <row r="39" spans="1:8" x14ac:dyDescent="0.2">
      <c r="A39" s="3">
        <v>33</v>
      </c>
      <c r="B39" s="4" t="s">
        <v>424</v>
      </c>
      <c r="C39" s="4" t="s">
        <v>425</v>
      </c>
      <c r="D39" s="4" t="s">
        <v>959</v>
      </c>
      <c r="E39" s="5">
        <v>158319</v>
      </c>
      <c r="F39" s="6">
        <v>692.803944</v>
      </c>
      <c r="G39" s="7">
        <v>5.9886380000000001E-3</v>
      </c>
      <c r="H39" s="6"/>
    </row>
    <row r="40" spans="1:8" x14ac:dyDescent="0.2">
      <c r="A40" s="3">
        <v>34</v>
      </c>
      <c r="B40" s="4" t="s">
        <v>728</v>
      </c>
      <c r="C40" s="4" t="s">
        <v>729</v>
      </c>
      <c r="D40" s="4" t="s">
        <v>71</v>
      </c>
      <c r="E40" s="5">
        <v>68024</v>
      </c>
      <c r="F40" s="6">
        <v>435.04749199999998</v>
      </c>
      <c r="G40" s="7">
        <v>3.7605759999999998E-3</v>
      </c>
      <c r="H40" s="6"/>
    </row>
    <row r="41" spans="1:8" x14ac:dyDescent="0.2">
      <c r="A41" s="3">
        <v>35</v>
      </c>
      <c r="B41" s="4" t="s">
        <v>377</v>
      </c>
      <c r="C41" s="4" t="s">
        <v>378</v>
      </c>
      <c r="D41" s="4" t="s">
        <v>959</v>
      </c>
      <c r="E41" s="5">
        <v>52248</v>
      </c>
      <c r="F41" s="6">
        <v>342.146028</v>
      </c>
      <c r="G41" s="7">
        <v>2.9575299999999999E-3</v>
      </c>
      <c r="H41" s="6"/>
    </row>
    <row r="42" spans="1:8" x14ac:dyDescent="0.2">
      <c r="A42" s="3">
        <v>36</v>
      </c>
      <c r="B42" s="4" t="s">
        <v>451</v>
      </c>
      <c r="C42" s="4" t="s">
        <v>452</v>
      </c>
      <c r="D42" s="4" t="s">
        <v>71</v>
      </c>
      <c r="E42" s="5">
        <v>35175</v>
      </c>
      <c r="F42" s="6">
        <v>331.26056249999999</v>
      </c>
      <c r="G42" s="7">
        <v>2.863436E-3</v>
      </c>
      <c r="H42" s="6"/>
    </row>
    <row r="43" spans="1:8" x14ac:dyDescent="0.2">
      <c r="A43" s="3">
        <v>37</v>
      </c>
      <c r="B43" s="4" t="s">
        <v>504</v>
      </c>
      <c r="C43" s="4" t="s">
        <v>505</v>
      </c>
      <c r="D43" s="4" t="s">
        <v>934</v>
      </c>
      <c r="E43" s="5">
        <v>7500</v>
      </c>
      <c r="F43" s="6">
        <v>185.88</v>
      </c>
      <c r="G43" s="7">
        <v>1.606758E-3</v>
      </c>
      <c r="H43" s="6"/>
    </row>
    <row r="44" spans="1:8" x14ac:dyDescent="0.2">
      <c r="A44" s="3">
        <v>38</v>
      </c>
      <c r="B44" s="4" t="s">
        <v>730</v>
      </c>
      <c r="C44" s="4" t="s">
        <v>731</v>
      </c>
      <c r="D44" s="4" t="s">
        <v>948</v>
      </c>
      <c r="E44" s="5">
        <v>11462</v>
      </c>
      <c r="F44" s="6">
        <v>178.910358</v>
      </c>
      <c r="G44" s="7">
        <v>1.5465120000000001E-3</v>
      </c>
      <c r="H44" s="6"/>
    </row>
    <row r="45" spans="1:8" ht="14.1" customHeight="1" x14ac:dyDescent="0.2">
      <c r="A45" s="1"/>
      <c r="B45" s="1"/>
      <c r="C45" s="2" t="s">
        <v>111</v>
      </c>
      <c r="D45" s="1"/>
      <c r="E45" s="1" t="s">
        <v>112</v>
      </c>
      <c r="F45" s="9">
        <v>111659.24553650001</v>
      </c>
      <c r="G45" s="10">
        <v>0.96518900500000004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113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111</v>
      </c>
      <c r="D48" s="1"/>
      <c r="E48" s="1" t="s">
        <v>112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114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111</v>
      </c>
      <c r="D51" s="1"/>
      <c r="E51" s="1" t="s">
        <v>112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115</v>
      </c>
      <c r="D53" s="1"/>
      <c r="E53" s="1"/>
      <c r="F53" s="1"/>
      <c r="G53" s="1"/>
      <c r="H53" s="6"/>
    </row>
    <row r="54" spans="1:8" ht="14.1" customHeight="1" x14ac:dyDescent="0.2">
      <c r="A54" s="1"/>
      <c r="B54" s="1"/>
      <c r="C54" s="2" t="s">
        <v>111</v>
      </c>
      <c r="D54" s="1"/>
      <c r="E54" s="1" t="s">
        <v>112</v>
      </c>
      <c r="F54" s="13">
        <v>0</v>
      </c>
      <c r="G54" s="14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116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111</v>
      </c>
      <c r="D57" s="1"/>
      <c r="E57" s="1" t="s">
        <v>112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117</v>
      </c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111</v>
      </c>
      <c r="D60" s="1"/>
      <c r="E60" s="1" t="s">
        <v>112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8" customHeight="1" x14ac:dyDescent="0.2">
      <c r="A62" s="1"/>
      <c r="B62" s="1"/>
      <c r="C62" s="2" t="s">
        <v>118</v>
      </c>
      <c r="D62" s="1"/>
      <c r="E62" s="1"/>
      <c r="F62" s="9">
        <v>111659.24553650001</v>
      </c>
      <c r="G62" s="10">
        <v>0.96518900500000004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119</v>
      </c>
      <c r="D64" s="1"/>
      <c r="E64" s="1"/>
      <c r="F64" s="12"/>
      <c r="G64" s="12"/>
      <c r="H64" s="6"/>
    </row>
    <row r="65" spans="1:8" ht="24" customHeight="1" x14ac:dyDescent="0.2">
      <c r="A65" s="1"/>
      <c r="B65" s="1"/>
      <c r="C65" s="2" t="s">
        <v>10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120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111</v>
      </c>
      <c r="D69" s="1"/>
      <c r="E69" s="1" t="s">
        <v>112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121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122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123</v>
      </c>
      <c r="D77" s="1"/>
      <c r="E77" s="1"/>
      <c r="F77" s="9">
        <v>0</v>
      </c>
      <c r="G77" s="10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124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125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126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127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128</v>
      </c>
      <c r="D89" s="1"/>
      <c r="E89" s="1"/>
      <c r="F89" s="12"/>
      <c r="G89" s="12"/>
      <c r="H89" s="6"/>
    </row>
    <row r="90" spans="1:8" ht="17.100000000000001" customHeight="1" x14ac:dyDescent="0.2">
      <c r="A90" s="3">
        <v>1</v>
      </c>
      <c r="B90" s="4"/>
      <c r="C90" s="4" t="s">
        <v>129</v>
      </c>
      <c r="D90" s="4"/>
      <c r="E90" s="8"/>
      <c r="F90" s="6">
        <v>3319.3827956999999</v>
      </c>
      <c r="G90" s="7">
        <v>2.8692938000000001E-2</v>
      </c>
      <c r="H90" s="6">
        <v>3.9343919198424624</v>
      </c>
    </row>
    <row r="91" spans="1:8" ht="17.100000000000001" customHeight="1" x14ac:dyDescent="0.2">
      <c r="A91" s="3">
        <v>2</v>
      </c>
      <c r="B91" s="4"/>
      <c r="C91" s="4" t="s">
        <v>130</v>
      </c>
      <c r="D91" s="4"/>
      <c r="E91" s="8"/>
      <c r="F91" s="6">
        <v>218.01553129999999</v>
      </c>
      <c r="G91" s="7">
        <v>1.884539E-3</v>
      </c>
      <c r="H91" s="6">
        <v>3.8</v>
      </c>
    </row>
    <row r="92" spans="1:8" ht="14.1" customHeight="1" x14ac:dyDescent="0.2">
      <c r="A92" s="1"/>
      <c r="B92" s="1"/>
      <c r="C92" s="2" t="s">
        <v>111</v>
      </c>
      <c r="D92" s="1"/>
      <c r="E92" s="1" t="s">
        <v>112</v>
      </c>
      <c r="F92" s="9">
        <v>3537.3983269999999</v>
      </c>
      <c r="G92" s="10">
        <v>3.0577476999999999E-2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131</v>
      </c>
      <c r="D94" s="1"/>
      <c r="E94" s="1"/>
      <c r="F94" s="9">
        <v>3537.3983269999999</v>
      </c>
      <c r="G94" s="10">
        <v>3.0577476999999999E-2</v>
      </c>
      <c r="H94" s="6"/>
    </row>
    <row r="95" spans="1:8" ht="14.1" customHeight="1" x14ac:dyDescent="0.2">
      <c r="A95" s="1"/>
      <c r="B95" s="1"/>
      <c r="C95" s="12"/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132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133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134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135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24" customHeight="1" x14ac:dyDescent="0.2">
      <c r="A105" s="1"/>
      <c r="B105" s="1"/>
      <c r="C105" s="2" t="s">
        <v>136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4"/>
      <c r="C108" s="4"/>
      <c r="D108" s="2"/>
      <c r="E108" s="1"/>
      <c r="F108" s="4"/>
      <c r="G108" s="8"/>
      <c r="H108" s="6"/>
    </row>
    <row r="109" spans="1:8" ht="18" customHeight="1" x14ac:dyDescent="0.2">
      <c r="A109" s="8"/>
      <c r="B109" s="4"/>
      <c r="C109" s="4" t="s">
        <v>137</v>
      </c>
      <c r="D109" s="4"/>
      <c r="E109" s="8"/>
      <c r="F109" s="6">
        <v>489.76104409999999</v>
      </c>
      <c r="G109" s="7">
        <v>4.2335230000000003E-3</v>
      </c>
      <c r="H109" s="6"/>
    </row>
    <row r="110" spans="1:8" ht="14.1" customHeight="1" x14ac:dyDescent="0.2">
      <c r="A110" s="11"/>
      <c r="B110" s="11"/>
      <c r="C110" s="2" t="s">
        <v>138</v>
      </c>
      <c r="D110" s="15"/>
      <c r="E110" s="15"/>
      <c r="F110" s="9">
        <v>115686.40490760001</v>
      </c>
      <c r="G110" s="10">
        <v>1.000000005</v>
      </c>
      <c r="H110" s="6"/>
    </row>
    <row r="111" spans="1:8" ht="14.1" customHeight="1" x14ac:dyDescent="0.2">
      <c r="A111" s="18"/>
      <c r="B111" s="297" t="s">
        <v>112</v>
      </c>
      <c r="C111" s="297"/>
      <c r="D111" s="297"/>
      <c r="E111" s="297"/>
      <c r="F111" s="297"/>
      <c r="G111" s="20"/>
    </row>
    <row r="112" spans="1:8" ht="14.1" customHeight="1" x14ac:dyDescent="0.2">
      <c r="A112" s="18"/>
      <c r="B112" s="18"/>
      <c r="C112" s="18"/>
      <c r="D112" s="20"/>
      <c r="E112" s="20"/>
      <c r="F112" s="20"/>
      <c r="G112" s="20"/>
    </row>
    <row r="113" spans="1:15" ht="14.1" customHeight="1" x14ac:dyDescent="0.2">
      <c r="A113" s="18"/>
      <c r="B113" s="294" t="s">
        <v>140</v>
      </c>
      <c r="C113" s="295"/>
      <c r="D113" s="12" t="s">
        <v>112</v>
      </c>
      <c r="E113" s="21"/>
      <c r="F113" s="20"/>
      <c r="G113" s="20"/>
    </row>
    <row r="114" spans="1:15" ht="29.1" customHeight="1" x14ac:dyDescent="0.2">
      <c r="A114" s="18"/>
      <c r="B114" s="288" t="s">
        <v>141</v>
      </c>
      <c r="C114" s="289"/>
      <c r="D114" s="2" t="s">
        <v>142</v>
      </c>
      <c r="E114" s="21"/>
      <c r="F114" s="20"/>
      <c r="G114" s="20"/>
    </row>
    <row r="115" spans="1:15" ht="17.100000000000001" customHeight="1" x14ac:dyDescent="0.2">
      <c r="A115" s="18"/>
      <c r="B115" s="288" t="s">
        <v>143</v>
      </c>
      <c r="C115" s="289"/>
      <c r="D115" s="2" t="s">
        <v>142</v>
      </c>
      <c r="E115" s="21"/>
      <c r="F115" s="20"/>
      <c r="G115" s="20"/>
    </row>
    <row r="116" spans="1:15" ht="17.100000000000001" customHeight="1" x14ac:dyDescent="0.2">
      <c r="A116" s="18"/>
      <c r="B116" s="288" t="s">
        <v>144</v>
      </c>
      <c r="C116" s="289"/>
      <c r="D116" s="12" t="s">
        <v>112</v>
      </c>
      <c r="E116" s="21"/>
      <c r="F116" s="20"/>
      <c r="G116" s="20"/>
    </row>
    <row r="117" spans="1:15" ht="24" customHeight="1" x14ac:dyDescent="0.2">
      <c r="A117" s="22"/>
      <c r="B117" s="23" t="s">
        <v>112</v>
      </c>
      <c r="C117" s="23" t="s">
        <v>145</v>
      </c>
      <c r="D117" s="23" t="s">
        <v>146</v>
      </c>
      <c r="E117" s="22"/>
      <c r="F117" s="22"/>
      <c r="G117" s="22"/>
    </row>
    <row r="118" spans="1:15" ht="18" customHeight="1" x14ac:dyDescent="0.2">
      <c r="A118" s="22"/>
      <c r="B118" s="23" t="s">
        <v>147</v>
      </c>
      <c r="C118" s="23" t="s">
        <v>148</v>
      </c>
      <c r="D118" s="23" t="s">
        <v>149</v>
      </c>
      <c r="E118" s="22"/>
      <c r="F118" s="22"/>
      <c r="G118" s="22"/>
    </row>
    <row r="119" spans="1:15" ht="17.100000000000001" customHeight="1" x14ac:dyDescent="0.2">
      <c r="A119" s="22"/>
      <c r="B119" s="4" t="s">
        <v>150</v>
      </c>
      <c r="C119" s="24">
        <v>59.4437</v>
      </c>
      <c r="D119" s="24">
        <v>60.670999999999999</v>
      </c>
      <c r="E119" s="22"/>
      <c r="F119" s="19"/>
      <c r="G119" s="25"/>
    </row>
    <row r="120" spans="1:15" ht="17.100000000000001" customHeight="1" x14ac:dyDescent="0.2">
      <c r="A120" s="22"/>
      <c r="B120" s="4" t="s">
        <v>1114</v>
      </c>
      <c r="C120" s="24">
        <v>22.895700000000001</v>
      </c>
      <c r="D120" s="24">
        <v>23.368400000000001</v>
      </c>
      <c r="E120" s="22"/>
      <c r="F120" s="19"/>
      <c r="G120" s="25"/>
    </row>
    <row r="121" spans="1:15" ht="17.100000000000001" customHeight="1" x14ac:dyDescent="0.2">
      <c r="A121" s="22"/>
      <c r="B121" s="4" t="s">
        <v>151</v>
      </c>
      <c r="C121" s="24">
        <v>55.8217</v>
      </c>
      <c r="D121" s="24">
        <v>56.927700000000002</v>
      </c>
      <c r="E121" s="22"/>
      <c r="F121" s="19"/>
      <c r="G121" s="25"/>
    </row>
    <row r="122" spans="1:15" ht="17.100000000000001" customHeight="1" x14ac:dyDescent="0.2">
      <c r="A122" s="22"/>
      <c r="B122" s="4" t="s">
        <v>1115</v>
      </c>
      <c r="C122" s="24">
        <v>21.1462</v>
      </c>
      <c r="D122" s="24">
        <v>21.565200000000001</v>
      </c>
      <c r="E122" s="22"/>
      <c r="F122" s="19"/>
      <c r="G122" s="25"/>
    </row>
    <row r="123" spans="1:15" ht="14.1" customHeight="1" x14ac:dyDescent="0.2">
      <c r="A123" s="22"/>
      <c r="B123" s="22"/>
      <c r="C123" s="22"/>
      <c r="D123" s="22"/>
      <c r="E123" s="22"/>
      <c r="F123" s="22"/>
      <c r="G123" s="22"/>
    </row>
    <row r="124" spans="1:15" ht="17.100000000000001" customHeight="1" x14ac:dyDescent="0.2">
      <c r="A124" s="22"/>
      <c r="B124" s="288" t="s">
        <v>1116</v>
      </c>
      <c r="C124" s="289"/>
      <c r="D124" s="2" t="s">
        <v>142</v>
      </c>
      <c r="E124" s="22"/>
      <c r="F124" s="22"/>
      <c r="G124" s="22"/>
    </row>
    <row r="125" spans="1:15" ht="14.1" customHeight="1" x14ac:dyDescent="0.2">
      <c r="A125" s="22"/>
      <c r="B125" s="19"/>
      <c r="C125" s="19"/>
      <c r="D125" s="22"/>
      <c r="E125" s="22"/>
      <c r="F125" s="22"/>
      <c r="G125" s="22"/>
    </row>
    <row r="126" spans="1:15" ht="29.1" customHeight="1" x14ac:dyDescent="0.2">
      <c r="A126" s="22"/>
      <c r="B126" s="288" t="s">
        <v>153</v>
      </c>
      <c r="C126" s="289"/>
      <c r="D126" s="2" t="s">
        <v>142</v>
      </c>
      <c r="E126" s="22"/>
      <c r="F126" s="22"/>
      <c r="G126" s="22"/>
      <c r="J126" s="66"/>
      <c r="K126" s="66"/>
      <c r="L126" s="66"/>
      <c r="M126" s="66"/>
      <c r="N126" s="66"/>
      <c r="O126" s="66"/>
    </row>
    <row r="127" spans="1:15" ht="29.1" customHeight="1" x14ac:dyDescent="0.2">
      <c r="A127" s="22"/>
      <c r="B127" s="288" t="s">
        <v>154</v>
      </c>
      <c r="C127" s="289"/>
      <c r="D127" s="2" t="s">
        <v>142</v>
      </c>
      <c r="E127" s="22"/>
      <c r="F127" s="22"/>
      <c r="G127" s="22"/>
    </row>
    <row r="128" spans="1:15" ht="17.100000000000001" customHeight="1" x14ac:dyDescent="0.2">
      <c r="A128" s="22"/>
      <c r="B128" s="288" t="s">
        <v>155</v>
      </c>
      <c r="C128" s="289"/>
      <c r="D128" s="26">
        <v>0.38561424733746485</v>
      </c>
      <c r="E128" s="22"/>
      <c r="F128" s="19"/>
      <c r="G128" s="25"/>
    </row>
    <row r="129" spans="1:7" ht="17.100000000000001" customHeight="1" x14ac:dyDescent="0.2">
      <c r="A129" s="22"/>
      <c r="B129" s="288" t="s">
        <v>156</v>
      </c>
      <c r="C129" s="289"/>
      <c r="D129" s="2" t="s">
        <v>142</v>
      </c>
      <c r="E129" s="22"/>
      <c r="F129" s="22"/>
      <c r="G129" s="22"/>
    </row>
  </sheetData>
  <mergeCells count="14">
    <mergeCell ref="A1:H1"/>
    <mergeCell ref="A2:H2"/>
    <mergeCell ref="A3:H3"/>
    <mergeCell ref="B113:C113"/>
    <mergeCell ref="J2:N2"/>
    <mergeCell ref="B111:F111"/>
    <mergeCell ref="B128:C128"/>
    <mergeCell ref="B129:C129"/>
    <mergeCell ref="B114:C114"/>
    <mergeCell ref="B115:C115"/>
    <mergeCell ref="B116:C116"/>
    <mergeCell ref="B124:C124"/>
    <mergeCell ref="B126:C126"/>
    <mergeCell ref="B127:C12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O13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5.710937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732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2608588</v>
      </c>
      <c r="F7" s="6">
        <v>19389.634603999999</v>
      </c>
      <c r="G7" s="7">
        <v>9.2119582000000005E-2</v>
      </c>
      <c r="H7" s="6"/>
    </row>
    <row r="8" spans="1:14" x14ac:dyDescent="0.2">
      <c r="A8" s="3">
        <v>2</v>
      </c>
      <c r="B8" s="4" t="s">
        <v>349</v>
      </c>
      <c r="C8" s="4" t="s">
        <v>350</v>
      </c>
      <c r="D8" s="4" t="s">
        <v>18</v>
      </c>
      <c r="E8" s="5">
        <v>1208510</v>
      </c>
      <c r="F8" s="6">
        <v>16733.029460000002</v>
      </c>
      <c r="G8" s="7">
        <v>7.9498129000000001E-2</v>
      </c>
      <c r="H8" s="6"/>
    </row>
    <row r="9" spans="1:14" x14ac:dyDescent="0.2">
      <c r="A9" s="3">
        <v>3</v>
      </c>
      <c r="B9" s="4" t="s">
        <v>11</v>
      </c>
      <c r="C9" s="4" t="s">
        <v>12</v>
      </c>
      <c r="D9" s="4" t="s">
        <v>13</v>
      </c>
      <c r="E9" s="5">
        <v>495783</v>
      </c>
      <c r="F9" s="6">
        <v>13833.5851575</v>
      </c>
      <c r="G9" s="7">
        <v>6.5722955E-2</v>
      </c>
      <c r="H9" s="6"/>
    </row>
    <row r="10" spans="1:14" x14ac:dyDescent="0.2">
      <c r="A10" s="3">
        <v>4</v>
      </c>
      <c r="B10" s="4" t="s">
        <v>19</v>
      </c>
      <c r="C10" s="4" t="s">
        <v>20</v>
      </c>
      <c r="D10" s="4" t="s">
        <v>21</v>
      </c>
      <c r="E10" s="5">
        <v>1849236</v>
      </c>
      <c r="F10" s="6">
        <v>13665.85404</v>
      </c>
      <c r="G10" s="7">
        <v>6.4926069000000003E-2</v>
      </c>
      <c r="H10" s="6"/>
    </row>
    <row r="11" spans="1:14" ht="25.5" x14ac:dyDescent="0.2">
      <c r="A11" s="3">
        <v>5</v>
      </c>
      <c r="B11" s="4" t="s">
        <v>382</v>
      </c>
      <c r="C11" s="4" t="s">
        <v>383</v>
      </c>
      <c r="D11" s="4" t="s">
        <v>82</v>
      </c>
      <c r="E11" s="5">
        <v>446630</v>
      </c>
      <c r="F11" s="6">
        <v>9958.5091100000009</v>
      </c>
      <c r="G11" s="7">
        <v>4.7312582999999998E-2</v>
      </c>
      <c r="H11" s="6"/>
    </row>
    <row r="12" spans="1:14" x14ac:dyDescent="0.2">
      <c r="A12" s="3">
        <v>6</v>
      </c>
      <c r="B12" s="4" t="s">
        <v>298</v>
      </c>
      <c r="C12" s="4" t="s">
        <v>299</v>
      </c>
      <c r="D12" s="4" t="s">
        <v>947</v>
      </c>
      <c r="E12" s="5">
        <v>173955</v>
      </c>
      <c r="F12" s="6">
        <v>6179.1425325</v>
      </c>
      <c r="G12" s="7">
        <v>2.9356924E-2</v>
      </c>
      <c r="H12" s="6"/>
    </row>
    <row r="13" spans="1:14" x14ac:dyDescent="0.2">
      <c r="A13" s="3">
        <v>7</v>
      </c>
      <c r="B13" s="4" t="s">
        <v>294</v>
      </c>
      <c r="C13" s="4" t="s">
        <v>295</v>
      </c>
      <c r="D13" s="4" t="s">
        <v>18</v>
      </c>
      <c r="E13" s="5">
        <v>785346</v>
      </c>
      <c r="F13" s="6">
        <v>5722.0309559999996</v>
      </c>
      <c r="G13" s="7">
        <v>2.71852E-2</v>
      </c>
      <c r="H13" s="6"/>
    </row>
    <row r="14" spans="1:14" x14ac:dyDescent="0.2">
      <c r="A14" s="3">
        <v>8</v>
      </c>
      <c r="B14" s="4" t="s">
        <v>50</v>
      </c>
      <c r="C14" s="4" t="s">
        <v>51</v>
      </c>
      <c r="D14" s="4" t="s">
        <v>938</v>
      </c>
      <c r="E14" s="5">
        <v>774290</v>
      </c>
      <c r="F14" s="6">
        <v>5005.0105599999997</v>
      </c>
      <c r="G14" s="7">
        <v>2.3778657000000002E-2</v>
      </c>
      <c r="H14" s="6"/>
    </row>
    <row r="15" spans="1:14" ht="15" x14ac:dyDescent="0.2">
      <c r="A15" s="3">
        <v>9</v>
      </c>
      <c r="B15" s="4" t="s">
        <v>386</v>
      </c>
      <c r="C15" s="4" t="s">
        <v>387</v>
      </c>
      <c r="D15" s="4" t="s">
        <v>933</v>
      </c>
      <c r="E15" s="5">
        <v>426938</v>
      </c>
      <c r="F15" s="6">
        <v>4719.7995899999996</v>
      </c>
      <c r="G15" s="7">
        <v>2.2423629E-2</v>
      </c>
      <c r="H15" s="6"/>
      <c r="J15" s="192" t="s">
        <v>1164</v>
      </c>
    </row>
    <row r="16" spans="1:14" x14ac:dyDescent="0.2">
      <c r="A16" s="3">
        <v>10</v>
      </c>
      <c r="B16" s="4" t="s">
        <v>347</v>
      </c>
      <c r="C16" s="4" t="s">
        <v>348</v>
      </c>
      <c r="D16" s="4" t="s">
        <v>948</v>
      </c>
      <c r="E16" s="5">
        <v>1888659</v>
      </c>
      <c r="F16" s="6">
        <v>4686.7073085000002</v>
      </c>
      <c r="G16" s="7">
        <v>2.2266408000000001E-2</v>
      </c>
      <c r="H16" s="6"/>
    </row>
    <row r="17" spans="1:10" x14ac:dyDescent="0.2">
      <c r="A17" s="3">
        <v>11</v>
      </c>
      <c r="B17" s="4" t="s">
        <v>407</v>
      </c>
      <c r="C17" s="4" t="s">
        <v>408</v>
      </c>
      <c r="D17" s="4" t="s">
        <v>18</v>
      </c>
      <c r="E17" s="5">
        <v>254049</v>
      </c>
      <c r="F17" s="6">
        <v>4549.3824674999996</v>
      </c>
      <c r="G17" s="7">
        <v>2.1613982E-2</v>
      </c>
      <c r="H17" s="6"/>
    </row>
    <row r="18" spans="1:10" x14ac:dyDescent="0.2">
      <c r="A18" s="3">
        <v>12</v>
      </c>
      <c r="B18" s="4" t="s">
        <v>201</v>
      </c>
      <c r="C18" s="4" t="s">
        <v>202</v>
      </c>
      <c r="D18" s="4" t="s">
        <v>923</v>
      </c>
      <c r="E18" s="5">
        <v>400823</v>
      </c>
      <c r="F18" s="6">
        <v>4354.7414835</v>
      </c>
      <c r="G18" s="7">
        <v>2.0689248E-2</v>
      </c>
      <c r="H18" s="6"/>
    </row>
    <row r="19" spans="1:10" x14ac:dyDescent="0.2">
      <c r="A19" s="3">
        <v>13</v>
      </c>
      <c r="B19" s="4" t="s">
        <v>197</v>
      </c>
      <c r="C19" s="4" t="s">
        <v>198</v>
      </c>
      <c r="D19" s="4" t="s">
        <v>82</v>
      </c>
      <c r="E19" s="5">
        <v>609563</v>
      </c>
      <c r="F19" s="6">
        <v>4281.5705120000002</v>
      </c>
      <c r="G19" s="7">
        <v>2.0341615E-2</v>
      </c>
      <c r="H19" s="6"/>
    </row>
    <row r="20" spans="1:10" x14ac:dyDescent="0.2">
      <c r="A20" s="3">
        <v>14</v>
      </c>
      <c r="B20" s="4" t="s">
        <v>292</v>
      </c>
      <c r="C20" s="4" t="s">
        <v>293</v>
      </c>
      <c r="D20" s="4" t="s">
        <v>233</v>
      </c>
      <c r="E20" s="5">
        <v>95620</v>
      </c>
      <c r="F20" s="6">
        <v>4259.2494699999997</v>
      </c>
      <c r="G20" s="7">
        <v>2.0235568999999998E-2</v>
      </c>
      <c r="H20" s="6"/>
    </row>
    <row r="21" spans="1:10" x14ac:dyDescent="0.2">
      <c r="A21" s="3">
        <v>15</v>
      </c>
      <c r="B21" s="4" t="s">
        <v>286</v>
      </c>
      <c r="C21" s="4" t="s">
        <v>287</v>
      </c>
      <c r="D21" s="4" t="s">
        <v>952</v>
      </c>
      <c r="E21" s="5">
        <v>8958</v>
      </c>
      <c r="F21" s="6">
        <v>4082.9444250000001</v>
      </c>
      <c r="G21" s="7">
        <v>1.9397948000000002E-2</v>
      </c>
      <c r="H21" s="6"/>
    </row>
    <row r="22" spans="1:10" x14ac:dyDescent="0.2">
      <c r="A22" s="3">
        <v>16</v>
      </c>
      <c r="B22" s="4" t="s">
        <v>102</v>
      </c>
      <c r="C22" s="4" t="s">
        <v>103</v>
      </c>
      <c r="D22" s="4" t="s">
        <v>57</v>
      </c>
      <c r="E22" s="5">
        <v>1151772</v>
      </c>
      <c r="F22" s="6">
        <v>4058.8445280000001</v>
      </c>
      <c r="G22" s="7">
        <v>1.9283451E-2</v>
      </c>
      <c r="H22" s="6"/>
    </row>
    <row r="23" spans="1:10" x14ac:dyDescent="0.2">
      <c r="A23" s="3">
        <v>17</v>
      </c>
      <c r="B23" s="4" t="s">
        <v>355</v>
      </c>
      <c r="C23" s="4" t="s">
        <v>356</v>
      </c>
      <c r="D23" s="4" t="s">
        <v>82</v>
      </c>
      <c r="E23" s="5">
        <v>25000</v>
      </c>
      <c r="F23" s="6">
        <v>3727.7874999999999</v>
      </c>
      <c r="G23" s="7">
        <v>1.7710607999999999E-2</v>
      </c>
      <c r="H23" s="6"/>
    </row>
    <row r="24" spans="1:10" x14ac:dyDescent="0.2">
      <c r="A24" s="3">
        <v>18</v>
      </c>
      <c r="B24" s="4" t="s">
        <v>160</v>
      </c>
      <c r="C24" s="4" t="s">
        <v>161</v>
      </c>
      <c r="D24" s="4" t="s">
        <v>942</v>
      </c>
      <c r="E24" s="5">
        <v>281609</v>
      </c>
      <c r="F24" s="6">
        <v>3440.5579575000002</v>
      </c>
      <c r="G24" s="7">
        <v>1.6345988999999998E-2</v>
      </c>
      <c r="H24" s="6"/>
    </row>
    <row r="25" spans="1:10" x14ac:dyDescent="0.2">
      <c r="A25" s="3">
        <v>19</v>
      </c>
      <c r="B25" s="4" t="s">
        <v>207</v>
      </c>
      <c r="C25" s="4" t="s">
        <v>208</v>
      </c>
      <c r="D25" s="4" t="s">
        <v>948</v>
      </c>
      <c r="E25" s="5">
        <v>670829</v>
      </c>
      <c r="F25" s="6">
        <v>3362.1949479999998</v>
      </c>
      <c r="G25" s="7">
        <v>1.5973688999999999E-2</v>
      </c>
      <c r="H25" s="6"/>
    </row>
    <row r="26" spans="1:10" x14ac:dyDescent="0.2">
      <c r="A26" s="3">
        <v>20</v>
      </c>
      <c r="B26" s="4" t="s">
        <v>236</v>
      </c>
      <c r="C26" s="4" t="s">
        <v>237</v>
      </c>
      <c r="D26" s="4" t="s">
        <v>947</v>
      </c>
      <c r="E26" s="5">
        <v>77599</v>
      </c>
      <c r="F26" s="6">
        <v>3352.7811935</v>
      </c>
      <c r="G26" s="7">
        <v>1.5928964E-2</v>
      </c>
      <c r="H26" s="6"/>
    </row>
    <row r="27" spans="1:10" x14ac:dyDescent="0.2">
      <c r="A27" s="3">
        <v>21</v>
      </c>
      <c r="B27" s="4" t="s">
        <v>209</v>
      </c>
      <c r="C27" s="4" t="s">
        <v>210</v>
      </c>
      <c r="D27" s="4" t="s">
        <v>934</v>
      </c>
      <c r="E27" s="5">
        <v>166336</v>
      </c>
      <c r="F27" s="6">
        <v>3242.2213120000001</v>
      </c>
      <c r="G27" s="7">
        <v>1.5403698E-2</v>
      </c>
      <c r="H27" s="6"/>
    </row>
    <row r="28" spans="1:10" ht="25.5" x14ac:dyDescent="0.2">
      <c r="A28" s="3">
        <v>22</v>
      </c>
      <c r="B28" s="4" t="s">
        <v>80</v>
      </c>
      <c r="C28" s="4" t="s">
        <v>81</v>
      </c>
      <c r="D28" s="4" t="s">
        <v>82</v>
      </c>
      <c r="E28" s="5">
        <v>438458</v>
      </c>
      <c r="F28" s="6">
        <v>3239.108475</v>
      </c>
      <c r="G28" s="7">
        <v>1.5388908999999999E-2</v>
      </c>
      <c r="H28" s="6"/>
    </row>
    <row r="29" spans="1:10" x14ac:dyDescent="0.2">
      <c r="A29" s="3">
        <v>23</v>
      </c>
      <c r="B29" s="4" t="s">
        <v>178</v>
      </c>
      <c r="C29" s="4" t="s">
        <v>179</v>
      </c>
      <c r="D29" s="4" t="s">
        <v>934</v>
      </c>
      <c r="E29" s="5">
        <v>224451</v>
      </c>
      <c r="F29" s="6">
        <v>3210.0982020000001</v>
      </c>
      <c r="G29" s="7">
        <v>1.5251081999999999E-2</v>
      </c>
      <c r="H29" s="6"/>
    </row>
    <row r="30" spans="1:10" ht="15" x14ac:dyDescent="0.2">
      <c r="A30" s="3">
        <v>24</v>
      </c>
      <c r="B30" s="4" t="s">
        <v>444</v>
      </c>
      <c r="C30" s="4" t="s">
        <v>445</v>
      </c>
      <c r="D30" s="4" t="s">
        <v>71</v>
      </c>
      <c r="E30" s="5">
        <v>130291</v>
      </c>
      <c r="F30" s="6">
        <v>3202.8133619999999</v>
      </c>
      <c r="G30" s="7">
        <v>1.5216472E-2</v>
      </c>
      <c r="H30" s="6"/>
      <c r="J30" s="192" t="s">
        <v>1165</v>
      </c>
    </row>
    <row r="31" spans="1:10" x14ac:dyDescent="0.2">
      <c r="A31" s="3">
        <v>25</v>
      </c>
      <c r="B31" s="4" t="s">
        <v>164</v>
      </c>
      <c r="C31" s="4" t="s">
        <v>165</v>
      </c>
      <c r="D31" s="4" t="s">
        <v>944</v>
      </c>
      <c r="E31" s="5">
        <v>667345</v>
      </c>
      <c r="F31" s="6">
        <v>3180.8999425000002</v>
      </c>
      <c r="G31" s="7">
        <v>1.5112362000000001E-2</v>
      </c>
      <c r="H31" s="6"/>
    </row>
    <row r="32" spans="1:10" x14ac:dyDescent="0.2">
      <c r="A32" s="3">
        <v>26</v>
      </c>
      <c r="B32" s="4" t="s">
        <v>453</v>
      </c>
      <c r="C32" s="4" t="s">
        <v>454</v>
      </c>
      <c r="D32" s="4" t="s">
        <v>938</v>
      </c>
      <c r="E32" s="5">
        <v>448642</v>
      </c>
      <c r="F32" s="6">
        <v>3152.6073339999998</v>
      </c>
      <c r="G32" s="7">
        <v>1.4977944E-2</v>
      </c>
      <c r="H32" s="6"/>
    </row>
    <row r="33" spans="1:8" x14ac:dyDescent="0.2">
      <c r="A33" s="3">
        <v>27</v>
      </c>
      <c r="B33" s="4" t="s">
        <v>168</v>
      </c>
      <c r="C33" s="4" t="s">
        <v>169</v>
      </c>
      <c r="D33" s="4" t="s">
        <v>944</v>
      </c>
      <c r="E33" s="5">
        <v>232518</v>
      </c>
      <c r="F33" s="6">
        <v>3086.560191</v>
      </c>
      <c r="G33" s="7">
        <v>1.4664155999999999E-2</v>
      </c>
      <c r="H33" s="6"/>
    </row>
    <row r="34" spans="1:8" ht="25.5" x14ac:dyDescent="0.2">
      <c r="A34" s="3">
        <v>28</v>
      </c>
      <c r="B34" s="4" t="s">
        <v>158</v>
      </c>
      <c r="C34" s="4" t="s">
        <v>159</v>
      </c>
      <c r="D34" s="4" t="s">
        <v>941</v>
      </c>
      <c r="E34" s="5">
        <v>378624</v>
      </c>
      <c r="F34" s="6">
        <v>2684.633472</v>
      </c>
      <c r="G34" s="7">
        <v>1.2754613999999999E-2</v>
      </c>
      <c r="H34" s="6"/>
    </row>
    <row r="35" spans="1:8" x14ac:dyDescent="0.2">
      <c r="A35" s="3">
        <v>29</v>
      </c>
      <c r="B35" s="4" t="s">
        <v>418</v>
      </c>
      <c r="C35" s="4" t="s">
        <v>419</v>
      </c>
      <c r="D35" s="4" t="s">
        <v>82</v>
      </c>
      <c r="E35" s="5">
        <v>39471</v>
      </c>
      <c r="F35" s="6">
        <v>2633.4261780000002</v>
      </c>
      <c r="G35" s="7">
        <v>1.2511329999999999E-2</v>
      </c>
      <c r="H35" s="6"/>
    </row>
    <row r="36" spans="1:8" ht="25.5" x14ac:dyDescent="0.2">
      <c r="A36" s="3">
        <v>30</v>
      </c>
      <c r="B36" s="4" t="s">
        <v>690</v>
      </c>
      <c r="C36" s="4" t="s">
        <v>691</v>
      </c>
      <c r="D36" s="4" t="s">
        <v>933</v>
      </c>
      <c r="E36" s="5">
        <v>191985</v>
      </c>
      <c r="F36" s="6">
        <v>2457.7919700000002</v>
      </c>
      <c r="G36" s="7">
        <v>1.1676897E-2</v>
      </c>
      <c r="H36" s="6"/>
    </row>
    <row r="37" spans="1:8" x14ac:dyDescent="0.2">
      <c r="A37" s="3">
        <v>31</v>
      </c>
      <c r="B37" s="4" t="s">
        <v>670</v>
      </c>
      <c r="C37" s="4" t="s">
        <v>671</v>
      </c>
      <c r="D37" s="4" t="s">
        <v>302</v>
      </c>
      <c r="E37" s="5">
        <v>46747</v>
      </c>
      <c r="F37" s="6">
        <v>2174.3198375000002</v>
      </c>
      <c r="G37" s="7">
        <v>1.0330129E-2</v>
      </c>
      <c r="H37" s="6"/>
    </row>
    <row r="38" spans="1:8" x14ac:dyDescent="0.2">
      <c r="A38" s="3">
        <v>32</v>
      </c>
      <c r="B38" s="4" t="s">
        <v>367</v>
      </c>
      <c r="C38" s="4" t="s">
        <v>368</v>
      </c>
      <c r="D38" s="4" t="s">
        <v>233</v>
      </c>
      <c r="E38" s="5">
        <v>791463</v>
      </c>
      <c r="F38" s="6">
        <v>2114.3934045000001</v>
      </c>
      <c r="G38" s="7">
        <v>1.0045421000000001E-2</v>
      </c>
      <c r="H38" s="6"/>
    </row>
    <row r="39" spans="1:8" x14ac:dyDescent="0.2">
      <c r="A39" s="3">
        <v>33</v>
      </c>
      <c r="B39" s="4" t="s">
        <v>733</v>
      </c>
      <c r="C39" s="4" t="s">
        <v>734</v>
      </c>
      <c r="D39" s="4" t="s">
        <v>948</v>
      </c>
      <c r="E39" s="5">
        <v>114424</v>
      </c>
      <c r="F39" s="6">
        <v>2092.757748</v>
      </c>
      <c r="G39" s="7">
        <v>9.9426299999999992E-3</v>
      </c>
      <c r="H39" s="6"/>
    </row>
    <row r="40" spans="1:8" x14ac:dyDescent="0.2">
      <c r="A40" s="3">
        <v>34</v>
      </c>
      <c r="B40" s="4" t="s">
        <v>327</v>
      </c>
      <c r="C40" s="4" t="s">
        <v>328</v>
      </c>
      <c r="D40" s="4" t="s">
        <v>942</v>
      </c>
      <c r="E40" s="5">
        <v>50820</v>
      </c>
      <c r="F40" s="6">
        <v>2079.37653</v>
      </c>
      <c r="G40" s="7">
        <v>9.8790570000000001E-3</v>
      </c>
      <c r="H40" s="6"/>
    </row>
    <row r="41" spans="1:8" ht="25.5" x14ac:dyDescent="0.2">
      <c r="A41" s="3">
        <v>35</v>
      </c>
      <c r="B41" s="4" t="s">
        <v>180</v>
      </c>
      <c r="C41" s="4" t="s">
        <v>181</v>
      </c>
      <c r="D41" s="4" t="s">
        <v>941</v>
      </c>
      <c r="E41" s="5">
        <v>380798</v>
      </c>
      <c r="F41" s="6">
        <v>1930.455461</v>
      </c>
      <c r="G41" s="7">
        <v>9.1715370000000004E-3</v>
      </c>
      <c r="H41" s="6"/>
    </row>
    <row r="42" spans="1:8" x14ac:dyDescent="0.2">
      <c r="A42" s="3">
        <v>36</v>
      </c>
      <c r="B42" s="4" t="s">
        <v>561</v>
      </c>
      <c r="C42" s="4" t="s">
        <v>562</v>
      </c>
      <c r="D42" s="4" t="s">
        <v>933</v>
      </c>
      <c r="E42" s="5">
        <v>258965</v>
      </c>
      <c r="F42" s="6">
        <v>1508.21216</v>
      </c>
      <c r="G42" s="7">
        <v>7.1654709999999996E-3</v>
      </c>
      <c r="H42" s="6"/>
    </row>
    <row r="43" spans="1:8" x14ac:dyDescent="0.2">
      <c r="A43" s="3">
        <v>37</v>
      </c>
      <c r="B43" s="4" t="s">
        <v>176</v>
      </c>
      <c r="C43" s="4" t="s">
        <v>177</v>
      </c>
      <c r="D43" s="4" t="s">
        <v>944</v>
      </c>
      <c r="E43" s="5">
        <v>1460793</v>
      </c>
      <c r="F43" s="6">
        <v>1482.7048950000001</v>
      </c>
      <c r="G43" s="7">
        <v>7.0442869999999998E-3</v>
      </c>
      <c r="H43" s="6"/>
    </row>
    <row r="44" spans="1:8" x14ac:dyDescent="0.2">
      <c r="A44" s="3">
        <v>38</v>
      </c>
      <c r="B44" s="4" t="s">
        <v>735</v>
      </c>
      <c r="C44" s="4" t="s">
        <v>736</v>
      </c>
      <c r="D44" s="4" t="s">
        <v>944</v>
      </c>
      <c r="E44" s="5">
        <v>2164038</v>
      </c>
      <c r="F44" s="6">
        <v>1436.9212319999999</v>
      </c>
      <c r="G44" s="7">
        <v>6.8267700000000002E-3</v>
      </c>
      <c r="H44" s="6"/>
    </row>
    <row r="45" spans="1:8" x14ac:dyDescent="0.2">
      <c r="A45" s="3">
        <v>39</v>
      </c>
      <c r="B45" s="4" t="s">
        <v>737</v>
      </c>
      <c r="C45" s="4" t="s">
        <v>738</v>
      </c>
      <c r="D45" s="4" t="s">
        <v>947</v>
      </c>
      <c r="E45" s="5">
        <v>139876</v>
      </c>
      <c r="F45" s="6">
        <v>1398.620124</v>
      </c>
      <c r="G45" s="7">
        <v>6.6448030000000003E-3</v>
      </c>
      <c r="H45" s="6"/>
    </row>
    <row r="46" spans="1:8" x14ac:dyDescent="0.2">
      <c r="A46" s="3">
        <v>40</v>
      </c>
      <c r="B46" s="4" t="s">
        <v>514</v>
      </c>
      <c r="C46" s="4" t="s">
        <v>515</v>
      </c>
      <c r="D46" s="4" t="s">
        <v>934</v>
      </c>
      <c r="E46" s="5">
        <v>168338</v>
      </c>
      <c r="F46" s="6">
        <v>1333.068622</v>
      </c>
      <c r="G46" s="7">
        <v>6.3333699999999996E-3</v>
      </c>
      <c r="H46" s="6"/>
    </row>
    <row r="47" spans="1:8" x14ac:dyDescent="0.2">
      <c r="A47" s="3">
        <v>41</v>
      </c>
      <c r="B47" s="4" t="s">
        <v>516</v>
      </c>
      <c r="C47" s="4" t="s">
        <v>517</v>
      </c>
      <c r="D47" s="4" t="s">
        <v>947</v>
      </c>
      <c r="E47" s="5">
        <v>77412</v>
      </c>
      <c r="F47" s="6">
        <v>1151.9679719999999</v>
      </c>
      <c r="G47" s="7">
        <v>5.4729660000000001E-3</v>
      </c>
      <c r="H47" s="6"/>
    </row>
    <row r="48" spans="1:8" x14ac:dyDescent="0.2">
      <c r="A48" s="3">
        <v>42</v>
      </c>
      <c r="B48" s="4" t="s">
        <v>465</v>
      </c>
      <c r="C48" s="4" t="s">
        <v>466</v>
      </c>
      <c r="D48" s="4" t="s">
        <v>944</v>
      </c>
      <c r="E48" s="5">
        <v>1648788</v>
      </c>
      <c r="F48" s="6">
        <v>1064.2926540000001</v>
      </c>
      <c r="G48" s="7">
        <v>5.056423E-3</v>
      </c>
      <c r="H48" s="6"/>
    </row>
    <row r="49" spans="1:8" x14ac:dyDescent="0.2">
      <c r="A49" s="3">
        <v>43</v>
      </c>
      <c r="B49" s="4" t="s">
        <v>555</v>
      </c>
      <c r="C49" s="4" t="s">
        <v>556</v>
      </c>
      <c r="D49" s="4" t="s">
        <v>233</v>
      </c>
      <c r="E49" s="5">
        <v>30137</v>
      </c>
      <c r="F49" s="6">
        <v>722.62498600000004</v>
      </c>
      <c r="G49" s="7">
        <v>3.4331700000000001E-3</v>
      </c>
      <c r="H49" s="6"/>
    </row>
    <row r="50" spans="1:8" x14ac:dyDescent="0.2">
      <c r="A50" s="3">
        <v>44</v>
      </c>
      <c r="B50" s="4" t="s">
        <v>428</v>
      </c>
      <c r="C50" s="4" t="s">
        <v>429</v>
      </c>
      <c r="D50" s="4" t="s">
        <v>302</v>
      </c>
      <c r="E50" s="5">
        <v>14214</v>
      </c>
      <c r="F50" s="6">
        <v>560.63569500000006</v>
      </c>
      <c r="G50" s="7">
        <v>2.6635640000000002E-3</v>
      </c>
      <c r="H50" s="6"/>
    </row>
    <row r="51" spans="1:8" x14ac:dyDescent="0.2">
      <c r="A51" s="3">
        <v>45</v>
      </c>
      <c r="B51" s="4" t="s">
        <v>739</v>
      </c>
      <c r="C51" s="4" t="s">
        <v>740</v>
      </c>
      <c r="D51" s="4" t="s">
        <v>947</v>
      </c>
      <c r="E51" s="5">
        <v>117635</v>
      </c>
      <c r="F51" s="6">
        <v>416.95725750000003</v>
      </c>
      <c r="G51" s="7">
        <v>1.9809519999999998E-3</v>
      </c>
      <c r="H51" s="6"/>
    </row>
    <row r="52" spans="1:8" x14ac:dyDescent="0.2">
      <c r="A52" s="3">
        <v>46</v>
      </c>
      <c r="B52" s="4" t="s">
        <v>409</v>
      </c>
      <c r="C52" s="4" t="s">
        <v>926</v>
      </c>
      <c r="D52" s="4" t="s">
        <v>21</v>
      </c>
      <c r="E52" s="5">
        <v>92315</v>
      </c>
      <c r="F52" s="6">
        <v>316.59429249999999</v>
      </c>
      <c r="G52" s="7">
        <v>1.50413E-3</v>
      </c>
      <c r="H52" s="6"/>
    </row>
    <row r="53" spans="1:8" x14ac:dyDescent="0.2">
      <c r="A53" s="3">
        <v>47</v>
      </c>
      <c r="B53" s="4" t="s">
        <v>300</v>
      </c>
      <c r="C53" s="4" t="s">
        <v>301</v>
      </c>
      <c r="D53" s="4" t="s">
        <v>302</v>
      </c>
      <c r="E53" s="5">
        <v>18319</v>
      </c>
      <c r="F53" s="6">
        <v>225.030596</v>
      </c>
      <c r="G53" s="7">
        <v>1.0691139999999999E-3</v>
      </c>
      <c r="H53" s="6"/>
    </row>
    <row r="54" spans="1:8" ht="14.1" customHeight="1" x14ac:dyDescent="0.2">
      <c r="A54" s="1"/>
      <c r="B54" s="1"/>
      <c r="C54" s="2" t="s">
        <v>111</v>
      </c>
      <c r="D54" s="1"/>
      <c r="E54" s="1" t="s">
        <v>112</v>
      </c>
      <c r="F54" s="9">
        <v>191462.45170899993</v>
      </c>
      <c r="G54" s="10">
        <v>0.90963245699999995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113</v>
      </c>
      <c r="D56" s="1"/>
      <c r="E56" s="1"/>
      <c r="F56" s="1"/>
      <c r="G56" s="1"/>
      <c r="H56" s="6"/>
    </row>
    <row r="57" spans="1:8" ht="17.100000000000001" customHeight="1" x14ac:dyDescent="0.2">
      <c r="A57" s="3">
        <v>1</v>
      </c>
      <c r="B57" s="4" t="s">
        <v>741</v>
      </c>
      <c r="C57" s="4" t="s">
        <v>742</v>
      </c>
      <c r="D57" s="4"/>
      <c r="E57" s="5">
        <v>37829</v>
      </c>
      <c r="F57" s="6">
        <v>742.13280756400002</v>
      </c>
      <c r="G57" s="7">
        <v>3.525851E-3</v>
      </c>
      <c r="H57" s="6"/>
    </row>
    <row r="58" spans="1:8" ht="14.1" customHeight="1" x14ac:dyDescent="0.2">
      <c r="A58" s="1"/>
      <c r="B58" s="1"/>
      <c r="C58" s="2" t="s">
        <v>111</v>
      </c>
      <c r="D58" s="1"/>
      <c r="E58" s="1" t="s">
        <v>112</v>
      </c>
      <c r="F58" s="9">
        <v>742.13280756400002</v>
      </c>
      <c r="G58" s="10">
        <v>3.525851E-3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114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111</v>
      </c>
      <c r="D61" s="1"/>
      <c r="E61" s="1" t="s">
        <v>112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115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111</v>
      </c>
      <c r="D64" s="1"/>
      <c r="E64" s="1" t="s">
        <v>112</v>
      </c>
      <c r="F64" s="9">
        <v>0</v>
      </c>
      <c r="G64" s="10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116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111</v>
      </c>
      <c r="D67" s="1"/>
      <c r="E67" s="1" t="s">
        <v>112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117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8" customHeight="1" x14ac:dyDescent="0.2">
      <c r="A72" s="1"/>
      <c r="B72" s="1"/>
      <c r="C72" s="2" t="s">
        <v>118</v>
      </c>
      <c r="D72" s="1"/>
      <c r="E72" s="1"/>
      <c r="F72" s="9">
        <v>192204.58451656401</v>
      </c>
      <c r="G72" s="10">
        <v>0.91315830799999997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119</v>
      </c>
      <c r="D74" s="1"/>
      <c r="E74" s="1"/>
      <c r="F74" s="12"/>
      <c r="G74" s="12"/>
      <c r="H74" s="6"/>
    </row>
    <row r="75" spans="1:8" ht="24" customHeight="1" x14ac:dyDescent="0.2">
      <c r="A75" s="1"/>
      <c r="B75" s="1"/>
      <c r="C75" s="2" t="s">
        <v>10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111</v>
      </c>
      <c r="D76" s="1"/>
      <c r="E76" s="1" t="s">
        <v>112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120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121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122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123</v>
      </c>
      <c r="D87" s="1"/>
      <c r="E87" s="1"/>
      <c r="F87" s="9">
        <v>0</v>
      </c>
      <c r="G87" s="10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124</v>
      </c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125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111</v>
      </c>
      <c r="D91" s="1"/>
      <c r="E91" s="1" t="s">
        <v>112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126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127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128</v>
      </c>
      <c r="D99" s="1"/>
      <c r="E99" s="1"/>
      <c r="F99" s="12"/>
      <c r="G99" s="12"/>
      <c r="H99" s="6"/>
    </row>
    <row r="100" spans="1:8" ht="17.100000000000001" customHeight="1" x14ac:dyDescent="0.2">
      <c r="A100" s="3">
        <v>1</v>
      </c>
      <c r="B100" s="4"/>
      <c r="C100" s="4" t="s">
        <v>129</v>
      </c>
      <c r="D100" s="4"/>
      <c r="E100" s="8"/>
      <c r="F100" s="6">
        <v>16545.9257655</v>
      </c>
      <c r="G100" s="7">
        <v>7.8609205000000001E-2</v>
      </c>
      <c r="H100" s="6">
        <v>3.9343919198424624</v>
      </c>
    </row>
    <row r="101" spans="1:8" ht="17.100000000000001" customHeight="1" x14ac:dyDescent="0.2">
      <c r="A101" s="3">
        <v>2</v>
      </c>
      <c r="B101" s="4"/>
      <c r="C101" s="4" t="s">
        <v>130</v>
      </c>
      <c r="D101" s="4"/>
      <c r="E101" s="8"/>
      <c r="F101" s="6">
        <v>1086.7287587000001</v>
      </c>
      <c r="G101" s="7">
        <v>5.1630160000000003E-3</v>
      </c>
      <c r="H101" s="6">
        <v>3.8</v>
      </c>
    </row>
    <row r="102" spans="1:8" ht="14.1" customHeight="1" x14ac:dyDescent="0.2">
      <c r="A102" s="1"/>
      <c r="B102" s="1"/>
      <c r="C102" s="2" t="s">
        <v>111</v>
      </c>
      <c r="D102" s="1"/>
      <c r="E102" s="1" t="s">
        <v>112</v>
      </c>
      <c r="F102" s="9">
        <v>17632.654524199999</v>
      </c>
      <c r="G102" s="10">
        <v>8.3772220999999994E-2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131</v>
      </c>
      <c r="D104" s="1"/>
      <c r="E104" s="1"/>
      <c r="F104" s="9">
        <v>17632.654524199999</v>
      </c>
      <c r="G104" s="10">
        <v>8.3772220999999994E-2</v>
      </c>
      <c r="H104" s="6"/>
    </row>
    <row r="105" spans="1:8" ht="14.1" customHeight="1" x14ac:dyDescent="0.2">
      <c r="A105" s="1"/>
      <c r="B105" s="1"/>
      <c r="C105" s="12"/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132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133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134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135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24" customHeight="1" x14ac:dyDescent="0.2">
      <c r="A115" s="1"/>
      <c r="B115" s="1"/>
      <c r="C115" s="2" t="s">
        <v>136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4"/>
      <c r="C118" s="4"/>
      <c r="D118" s="2"/>
      <c r="E118" s="1"/>
      <c r="F118" s="4"/>
      <c r="G118" s="8"/>
      <c r="H118" s="6"/>
    </row>
    <row r="119" spans="1:8" ht="18" customHeight="1" x14ac:dyDescent="0.2">
      <c r="A119" s="8"/>
      <c r="B119" s="4"/>
      <c r="C119" s="4" t="s">
        <v>137</v>
      </c>
      <c r="D119" s="4"/>
      <c r="E119" s="8"/>
      <c r="F119" s="6">
        <v>646.07230901000003</v>
      </c>
      <c r="G119" s="7">
        <v>3.0694699999999999E-3</v>
      </c>
      <c r="H119" s="6"/>
    </row>
    <row r="120" spans="1:8" ht="14.1" customHeight="1" x14ac:dyDescent="0.2">
      <c r="A120" s="11"/>
      <c r="B120" s="11"/>
      <c r="C120" s="2" t="s">
        <v>138</v>
      </c>
      <c r="D120" s="15"/>
      <c r="E120" s="15"/>
      <c r="F120" s="9">
        <v>210483.31134977401</v>
      </c>
      <c r="G120" s="10">
        <v>0.99999999899999992</v>
      </c>
      <c r="H120" s="6"/>
    </row>
    <row r="121" spans="1:8" ht="14.1" customHeight="1" x14ac:dyDescent="0.2">
      <c r="A121" s="18"/>
      <c r="B121" s="297" t="s">
        <v>112</v>
      </c>
      <c r="C121" s="297"/>
      <c r="D121" s="297"/>
      <c r="E121" s="297"/>
      <c r="F121" s="297"/>
      <c r="G121" s="20"/>
    </row>
    <row r="122" spans="1:8" ht="14.1" customHeight="1" x14ac:dyDescent="0.2">
      <c r="A122" s="18"/>
      <c r="B122" s="18"/>
      <c r="C122" s="18"/>
      <c r="D122" s="20"/>
      <c r="E122" s="20"/>
      <c r="F122" s="20"/>
      <c r="G122" s="20"/>
    </row>
    <row r="123" spans="1:8" ht="14.1" customHeight="1" x14ac:dyDescent="0.2">
      <c r="A123" s="18"/>
      <c r="B123" s="294" t="s">
        <v>140</v>
      </c>
      <c r="C123" s="295"/>
      <c r="D123" s="12" t="s">
        <v>112</v>
      </c>
      <c r="E123" s="21"/>
      <c r="F123" s="20"/>
      <c r="G123" s="20"/>
    </row>
    <row r="124" spans="1:8" ht="29.1" customHeight="1" x14ac:dyDescent="0.2">
      <c r="A124" s="18"/>
      <c r="B124" s="288" t="s">
        <v>141</v>
      </c>
      <c r="C124" s="289"/>
      <c r="D124" s="2" t="s">
        <v>142</v>
      </c>
      <c r="E124" s="21"/>
      <c r="F124" s="20"/>
      <c r="G124" s="20"/>
    </row>
    <row r="125" spans="1:8" ht="17.100000000000001" customHeight="1" x14ac:dyDescent="0.2">
      <c r="A125" s="18"/>
      <c r="B125" s="288" t="s">
        <v>143</v>
      </c>
      <c r="C125" s="289"/>
      <c r="D125" s="2" t="s">
        <v>142</v>
      </c>
      <c r="E125" s="21"/>
      <c r="F125" s="20"/>
      <c r="G125" s="20"/>
    </row>
    <row r="126" spans="1:8" ht="17.100000000000001" customHeight="1" x14ac:dyDescent="0.2">
      <c r="A126" s="18"/>
      <c r="B126" s="288" t="s">
        <v>144</v>
      </c>
      <c r="C126" s="289"/>
      <c r="D126" s="12" t="s">
        <v>112</v>
      </c>
      <c r="E126" s="21"/>
      <c r="F126" s="20"/>
      <c r="G126" s="20"/>
    </row>
    <row r="127" spans="1:8" ht="24" customHeight="1" x14ac:dyDescent="0.2">
      <c r="A127" s="22"/>
      <c r="B127" s="23" t="s">
        <v>112</v>
      </c>
      <c r="C127" s="23" t="s">
        <v>145</v>
      </c>
      <c r="D127" s="23" t="s">
        <v>146</v>
      </c>
      <c r="E127" s="22"/>
      <c r="F127" s="22"/>
      <c r="G127" s="22"/>
    </row>
    <row r="128" spans="1:8" ht="18" customHeight="1" x14ac:dyDescent="0.2">
      <c r="A128" s="22"/>
      <c r="B128" s="23" t="s">
        <v>147</v>
      </c>
      <c r="C128" s="23" t="s">
        <v>148</v>
      </c>
      <c r="D128" s="23" t="s">
        <v>149</v>
      </c>
      <c r="E128" s="22"/>
      <c r="F128" s="22"/>
      <c r="G128" s="22"/>
    </row>
    <row r="129" spans="1:15" ht="17.100000000000001" customHeight="1" x14ac:dyDescent="0.2">
      <c r="A129" s="22"/>
      <c r="B129" s="4" t="s">
        <v>150</v>
      </c>
      <c r="C129" s="24">
        <v>21.7468</v>
      </c>
      <c r="D129" s="24">
        <v>21.216699999999999</v>
      </c>
      <c r="E129" s="22"/>
      <c r="F129" s="19"/>
      <c r="G129" s="25"/>
    </row>
    <row r="130" spans="1:15" ht="17.100000000000001" customHeight="1" x14ac:dyDescent="0.2">
      <c r="A130" s="22"/>
      <c r="B130" s="4" t="s">
        <v>1114</v>
      </c>
      <c r="C130" s="24">
        <v>18.533799999999999</v>
      </c>
      <c r="D130" s="24">
        <v>18.082000000000001</v>
      </c>
      <c r="E130" s="22"/>
      <c r="F130" s="19"/>
      <c r="G130" s="25"/>
    </row>
    <row r="131" spans="1:15" ht="17.100000000000001" customHeight="1" x14ac:dyDescent="0.2">
      <c r="A131" s="22"/>
      <c r="B131" s="4" t="s">
        <v>151</v>
      </c>
      <c r="C131" s="24">
        <v>20.915500000000002</v>
      </c>
      <c r="D131" s="24">
        <v>20.380299999999998</v>
      </c>
      <c r="E131" s="22"/>
      <c r="F131" s="19"/>
      <c r="G131" s="25"/>
    </row>
    <row r="132" spans="1:15" ht="17.100000000000001" customHeight="1" x14ac:dyDescent="0.2">
      <c r="A132" s="22"/>
      <c r="B132" s="4" t="s">
        <v>1115</v>
      </c>
      <c r="C132" s="24">
        <v>17.808900000000001</v>
      </c>
      <c r="D132" s="24">
        <v>17.353200000000001</v>
      </c>
      <c r="E132" s="22"/>
      <c r="F132" s="19"/>
      <c r="G132" s="25"/>
    </row>
    <row r="133" spans="1:15" ht="14.1" customHeight="1" x14ac:dyDescent="0.2">
      <c r="A133" s="22"/>
      <c r="B133" s="22"/>
      <c r="C133" s="22"/>
      <c r="D133" s="22"/>
      <c r="E133" s="22"/>
      <c r="F133" s="22"/>
      <c r="G133" s="22"/>
    </row>
    <row r="134" spans="1:15" ht="17.100000000000001" customHeight="1" x14ac:dyDescent="0.2">
      <c r="A134" s="22"/>
      <c r="B134" s="288" t="s">
        <v>1116</v>
      </c>
      <c r="C134" s="289"/>
      <c r="D134" s="2" t="s">
        <v>142</v>
      </c>
      <c r="E134" s="22"/>
      <c r="F134" s="22"/>
      <c r="G134" s="22"/>
    </row>
    <row r="135" spans="1:15" ht="14.1" customHeight="1" x14ac:dyDescent="0.2">
      <c r="A135" s="22"/>
      <c r="B135" s="19"/>
      <c r="C135" s="19"/>
      <c r="D135" s="22"/>
      <c r="E135" s="22"/>
      <c r="F135" s="22"/>
      <c r="G135" s="22"/>
    </row>
    <row r="136" spans="1:15" ht="29.1" customHeight="1" x14ac:dyDescent="0.2">
      <c r="A136" s="22"/>
      <c r="B136" s="288" t="s">
        <v>153</v>
      </c>
      <c r="C136" s="289"/>
      <c r="D136" s="2" t="s">
        <v>142</v>
      </c>
      <c r="E136" s="22"/>
      <c r="F136" s="22"/>
      <c r="G136" s="22"/>
    </row>
    <row r="137" spans="1:15" ht="29.1" customHeight="1" x14ac:dyDescent="0.2">
      <c r="A137" s="22"/>
      <c r="B137" s="288" t="s">
        <v>154</v>
      </c>
      <c r="C137" s="289"/>
      <c r="D137" s="2" t="s">
        <v>1138</v>
      </c>
      <c r="E137" s="22"/>
      <c r="F137" s="22"/>
      <c r="G137" s="22"/>
    </row>
    <row r="138" spans="1:15" ht="17.100000000000001" customHeight="1" x14ac:dyDescent="0.2">
      <c r="A138" s="22"/>
      <c r="B138" s="288" t="s">
        <v>155</v>
      </c>
      <c r="C138" s="289"/>
      <c r="D138" s="26">
        <v>0.50724823491681947</v>
      </c>
      <c r="E138" s="22"/>
      <c r="F138" s="19"/>
      <c r="G138" s="25"/>
      <c r="J138" s="66"/>
      <c r="K138" s="66"/>
      <c r="L138" s="66"/>
      <c r="M138" s="66"/>
      <c r="N138" s="66"/>
      <c r="O138" s="66"/>
    </row>
    <row r="139" spans="1:15" ht="17.100000000000001" customHeight="1" x14ac:dyDescent="0.2">
      <c r="A139" s="22"/>
      <c r="B139" s="288" t="s">
        <v>156</v>
      </c>
      <c r="C139" s="289"/>
      <c r="D139" s="2" t="s">
        <v>142</v>
      </c>
      <c r="E139" s="22"/>
      <c r="F139" s="22"/>
      <c r="G139" s="22"/>
    </row>
  </sheetData>
  <mergeCells count="14">
    <mergeCell ref="A1:H1"/>
    <mergeCell ref="A2:H2"/>
    <mergeCell ref="A3:H3"/>
    <mergeCell ref="B123:C123"/>
    <mergeCell ref="J2:N2"/>
    <mergeCell ref="B121:F121"/>
    <mergeCell ref="B138:C138"/>
    <mergeCell ref="B139:C139"/>
    <mergeCell ref="B124:C124"/>
    <mergeCell ref="B125:C125"/>
    <mergeCell ref="B126:C126"/>
    <mergeCell ref="B134:C134"/>
    <mergeCell ref="B136:C136"/>
    <mergeCell ref="B137:C13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743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2200000</v>
      </c>
      <c r="F7" s="6">
        <v>16352.6</v>
      </c>
      <c r="G7" s="7">
        <v>8.8445180999999998E-2</v>
      </c>
      <c r="H7" s="6"/>
    </row>
    <row r="8" spans="1:14" x14ac:dyDescent="0.2">
      <c r="A8" s="3">
        <v>2</v>
      </c>
      <c r="B8" s="4" t="s">
        <v>11</v>
      </c>
      <c r="C8" s="4" t="s">
        <v>12</v>
      </c>
      <c r="D8" s="4" t="s">
        <v>13</v>
      </c>
      <c r="E8" s="5">
        <v>400000</v>
      </c>
      <c r="F8" s="6">
        <v>11161</v>
      </c>
      <c r="G8" s="7">
        <v>6.0365731999999998E-2</v>
      </c>
      <c r="H8" s="6"/>
    </row>
    <row r="9" spans="1:14" x14ac:dyDescent="0.2">
      <c r="A9" s="3">
        <v>3</v>
      </c>
      <c r="B9" s="4" t="s">
        <v>349</v>
      </c>
      <c r="C9" s="4" t="s">
        <v>350</v>
      </c>
      <c r="D9" s="4" t="s">
        <v>18</v>
      </c>
      <c r="E9" s="5">
        <v>796000</v>
      </c>
      <c r="F9" s="6">
        <v>11021.415999999999</v>
      </c>
      <c r="G9" s="7">
        <v>5.9610772999999999E-2</v>
      </c>
      <c r="H9" s="6"/>
    </row>
    <row r="10" spans="1:14" x14ac:dyDescent="0.2">
      <c r="A10" s="3">
        <v>4</v>
      </c>
      <c r="B10" s="4" t="s">
        <v>380</v>
      </c>
      <c r="C10" s="4" t="s">
        <v>381</v>
      </c>
      <c r="D10" s="4" t="s">
        <v>947</v>
      </c>
      <c r="E10" s="5">
        <v>592000</v>
      </c>
      <c r="F10" s="6">
        <v>9279.8960000000006</v>
      </c>
      <c r="G10" s="7">
        <v>5.0191534000000003E-2</v>
      </c>
      <c r="H10" s="6"/>
    </row>
    <row r="11" spans="1:14" x14ac:dyDescent="0.2">
      <c r="A11" s="3">
        <v>5</v>
      </c>
      <c r="B11" s="4" t="s">
        <v>294</v>
      </c>
      <c r="C11" s="4" t="s">
        <v>295</v>
      </c>
      <c r="D11" s="4" t="s">
        <v>18</v>
      </c>
      <c r="E11" s="5">
        <v>1170000</v>
      </c>
      <c r="F11" s="6">
        <v>8524.6200000000008</v>
      </c>
      <c r="G11" s="7">
        <v>4.6106525000000002E-2</v>
      </c>
      <c r="H11" s="6"/>
    </row>
    <row r="12" spans="1:14" x14ac:dyDescent="0.2">
      <c r="A12" s="3">
        <v>6</v>
      </c>
      <c r="B12" s="4" t="s">
        <v>48</v>
      </c>
      <c r="C12" s="4" t="s">
        <v>49</v>
      </c>
      <c r="D12" s="4" t="s">
        <v>18</v>
      </c>
      <c r="E12" s="5">
        <v>1715000</v>
      </c>
      <c r="F12" s="6">
        <v>8511.5450000000001</v>
      </c>
      <c r="G12" s="7">
        <v>4.6035806999999998E-2</v>
      </c>
      <c r="H12" s="6"/>
    </row>
    <row r="13" spans="1:14" ht="25.5" x14ac:dyDescent="0.2">
      <c r="A13" s="3">
        <v>7</v>
      </c>
      <c r="B13" s="4" t="s">
        <v>382</v>
      </c>
      <c r="C13" s="4" t="s">
        <v>383</v>
      </c>
      <c r="D13" s="4" t="s">
        <v>82</v>
      </c>
      <c r="E13" s="5">
        <v>272000</v>
      </c>
      <c r="F13" s="6">
        <v>6064.7839999999997</v>
      </c>
      <c r="G13" s="7">
        <v>3.2802179000000001E-2</v>
      </c>
      <c r="H13" s="6"/>
    </row>
    <row r="14" spans="1:14" x14ac:dyDescent="0.2">
      <c r="A14" s="3">
        <v>8</v>
      </c>
      <c r="B14" s="4" t="s">
        <v>384</v>
      </c>
      <c r="C14" s="4" t="s">
        <v>385</v>
      </c>
      <c r="D14" s="4" t="s">
        <v>947</v>
      </c>
      <c r="E14" s="5">
        <v>165000</v>
      </c>
      <c r="F14" s="6">
        <v>5852.0550000000003</v>
      </c>
      <c r="G14" s="7">
        <v>3.1651606999999998E-2</v>
      </c>
      <c r="H14" s="6"/>
    </row>
    <row r="15" spans="1:14" ht="15" x14ac:dyDescent="0.2">
      <c r="A15" s="3">
        <v>9</v>
      </c>
      <c r="B15" s="4" t="s">
        <v>30</v>
      </c>
      <c r="C15" s="4" t="s">
        <v>31</v>
      </c>
      <c r="D15" s="4" t="s">
        <v>26</v>
      </c>
      <c r="E15" s="5">
        <v>336182</v>
      </c>
      <c r="F15" s="6">
        <v>5758.6295689999997</v>
      </c>
      <c r="G15" s="7">
        <v>3.1146303E-2</v>
      </c>
      <c r="H15" s="6"/>
      <c r="J15" s="192" t="s">
        <v>1166</v>
      </c>
    </row>
    <row r="16" spans="1:14" x14ac:dyDescent="0.2">
      <c r="A16" s="3">
        <v>10</v>
      </c>
      <c r="B16" s="4" t="s">
        <v>24</v>
      </c>
      <c r="C16" s="4" t="s">
        <v>25</v>
      </c>
      <c r="D16" s="4" t="s">
        <v>26</v>
      </c>
      <c r="E16" s="5">
        <v>229000</v>
      </c>
      <c r="F16" s="6">
        <v>5693.2834999999995</v>
      </c>
      <c r="G16" s="7">
        <v>3.079287E-2</v>
      </c>
      <c r="H16" s="6"/>
    </row>
    <row r="17" spans="1:10" ht="51" x14ac:dyDescent="0.2">
      <c r="A17" s="3">
        <v>11</v>
      </c>
      <c r="B17" s="4" t="s">
        <v>78</v>
      </c>
      <c r="C17" s="4" t="s">
        <v>79</v>
      </c>
      <c r="D17" s="4" t="s">
        <v>939</v>
      </c>
      <c r="E17" s="5">
        <v>4089762</v>
      </c>
      <c r="F17" s="6">
        <v>5198.0875020000003</v>
      </c>
      <c r="G17" s="7">
        <v>2.8114538000000001E-2</v>
      </c>
      <c r="H17" s="6"/>
    </row>
    <row r="18" spans="1:10" x14ac:dyDescent="0.2">
      <c r="A18" s="3">
        <v>12</v>
      </c>
      <c r="B18" s="4" t="s">
        <v>19</v>
      </c>
      <c r="C18" s="4" t="s">
        <v>20</v>
      </c>
      <c r="D18" s="4" t="s">
        <v>21</v>
      </c>
      <c r="E18" s="5">
        <v>603513</v>
      </c>
      <c r="F18" s="6">
        <v>4459.9610700000003</v>
      </c>
      <c r="G18" s="7">
        <v>2.4122284000000001E-2</v>
      </c>
      <c r="H18" s="6"/>
    </row>
    <row r="19" spans="1:10" x14ac:dyDescent="0.2">
      <c r="A19" s="3">
        <v>13</v>
      </c>
      <c r="B19" s="4" t="s">
        <v>14</v>
      </c>
      <c r="C19" s="4" t="s">
        <v>15</v>
      </c>
      <c r="D19" s="4" t="s">
        <v>64</v>
      </c>
      <c r="E19" s="5">
        <v>262761</v>
      </c>
      <c r="F19" s="6">
        <v>4452.0910034999997</v>
      </c>
      <c r="G19" s="7">
        <v>2.4079718E-2</v>
      </c>
      <c r="H19" s="6"/>
    </row>
    <row r="20" spans="1:10" x14ac:dyDescent="0.2">
      <c r="A20" s="3">
        <v>14</v>
      </c>
      <c r="B20" s="4" t="s">
        <v>337</v>
      </c>
      <c r="C20" s="4" t="s">
        <v>338</v>
      </c>
      <c r="D20" s="4" t="s">
        <v>944</v>
      </c>
      <c r="E20" s="5">
        <v>715000</v>
      </c>
      <c r="F20" s="6">
        <v>3903.9</v>
      </c>
      <c r="G20" s="7">
        <v>2.1114754999999999E-2</v>
      </c>
      <c r="H20" s="6"/>
    </row>
    <row r="21" spans="1:10" ht="25.5" x14ac:dyDescent="0.2">
      <c r="A21" s="3">
        <v>15</v>
      </c>
      <c r="B21" s="4" t="s">
        <v>388</v>
      </c>
      <c r="C21" s="4" t="s">
        <v>389</v>
      </c>
      <c r="D21" s="4" t="s">
        <v>945</v>
      </c>
      <c r="E21" s="5">
        <v>397908</v>
      </c>
      <c r="F21" s="6">
        <v>3695.172642</v>
      </c>
      <c r="G21" s="7">
        <v>1.9985826000000002E-2</v>
      </c>
      <c r="H21" s="6"/>
    </row>
    <row r="22" spans="1:10" x14ac:dyDescent="0.2">
      <c r="A22" s="3">
        <v>16</v>
      </c>
      <c r="B22" s="4" t="s">
        <v>296</v>
      </c>
      <c r="C22" s="4" t="s">
        <v>297</v>
      </c>
      <c r="D22" s="4" t="s">
        <v>956</v>
      </c>
      <c r="E22" s="5">
        <v>335000</v>
      </c>
      <c r="F22" s="6">
        <v>3629.8924999999999</v>
      </c>
      <c r="G22" s="7">
        <v>1.9632749000000001E-2</v>
      </c>
      <c r="H22" s="6"/>
    </row>
    <row r="23" spans="1:10" ht="25.5" x14ac:dyDescent="0.2">
      <c r="A23" s="3">
        <v>17</v>
      </c>
      <c r="B23" s="4" t="s">
        <v>217</v>
      </c>
      <c r="C23" s="4" t="s">
        <v>218</v>
      </c>
      <c r="D23" s="4" t="s">
        <v>946</v>
      </c>
      <c r="E23" s="5">
        <v>87000</v>
      </c>
      <c r="F23" s="6">
        <v>3420.6660000000002</v>
      </c>
      <c r="G23" s="7">
        <v>1.8501119999999999E-2</v>
      </c>
      <c r="H23" s="6"/>
    </row>
    <row r="24" spans="1:10" x14ac:dyDescent="0.2">
      <c r="A24" s="3">
        <v>18</v>
      </c>
      <c r="B24" s="4" t="s">
        <v>434</v>
      </c>
      <c r="C24" s="4" t="s">
        <v>435</v>
      </c>
      <c r="D24" s="4" t="s">
        <v>959</v>
      </c>
      <c r="E24" s="5">
        <v>44000</v>
      </c>
      <c r="F24" s="6">
        <v>3395.8319999999999</v>
      </c>
      <c r="G24" s="7">
        <v>1.8366803000000001E-2</v>
      </c>
      <c r="H24" s="6"/>
    </row>
    <row r="25" spans="1:10" x14ac:dyDescent="0.2">
      <c r="A25" s="3">
        <v>19</v>
      </c>
      <c r="B25" s="4" t="s">
        <v>355</v>
      </c>
      <c r="C25" s="4" t="s">
        <v>356</v>
      </c>
      <c r="D25" s="4" t="s">
        <v>82</v>
      </c>
      <c r="E25" s="5">
        <v>21000</v>
      </c>
      <c r="F25" s="6">
        <v>3131.3415</v>
      </c>
      <c r="G25" s="7">
        <v>1.6936270999999999E-2</v>
      </c>
      <c r="H25" s="6"/>
    </row>
    <row r="26" spans="1:10" x14ac:dyDescent="0.2">
      <c r="A26" s="3">
        <v>20</v>
      </c>
      <c r="B26" s="4" t="s">
        <v>390</v>
      </c>
      <c r="C26" s="4" t="s">
        <v>391</v>
      </c>
      <c r="D26" s="4" t="s">
        <v>960</v>
      </c>
      <c r="E26" s="5">
        <v>140000</v>
      </c>
      <c r="F26" s="6">
        <v>3128.79</v>
      </c>
      <c r="G26" s="7">
        <v>1.6922471000000001E-2</v>
      </c>
      <c r="H26" s="6"/>
    </row>
    <row r="27" spans="1:10" x14ac:dyDescent="0.2">
      <c r="A27" s="3">
        <v>21</v>
      </c>
      <c r="B27" s="4" t="s">
        <v>412</v>
      </c>
      <c r="C27" s="4" t="s">
        <v>413</v>
      </c>
      <c r="D27" s="4" t="s">
        <v>940</v>
      </c>
      <c r="E27" s="5">
        <v>484905</v>
      </c>
      <c r="F27" s="6">
        <v>3081.8137274999999</v>
      </c>
      <c r="G27" s="7">
        <v>1.6668394E-2</v>
      </c>
      <c r="H27" s="6"/>
    </row>
    <row r="28" spans="1:10" ht="25.5" x14ac:dyDescent="0.2">
      <c r="A28" s="3">
        <v>22</v>
      </c>
      <c r="B28" s="4" t="s">
        <v>80</v>
      </c>
      <c r="C28" s="4" t="s">
        <v>81</v>
      </c>
      <c r="D28" s="4" t="s">
        <v>82</v>
      </c>
      <c r="E28" s="5">
        <v>416756</v>
      </c>
      <c r="F28" s="6">
        <v>3078.7849500000002</v>
      </c>
      <c r="G28" s="7">
        <v>1.6652012000000001E-2</v>
      </c>
      <c r="H28" s="6"/>
      <c r="J28" s="192" t="s">
        <v>1167</v>
      </c>
    </row>
    <row r="29" spans="1:10" ht="25.5" x14ac:dyDescent="0.2">
      <c r="A29" s="3">
        <v>23</v>
      </c>
      <c r="B29" s="4" t="s">
        <v>313</v>
      </c>
      <c r="C29" s="4" t="s">
        <v>314</v>
      </c>
      <c r="D29" s="4" t="s">
        <v>71</v>
      </c>
      <c r="E29" s="5">
        <v>800000</v>
      </c>
      <c r="F29" s="6">
        <v>3078.4</v>
      </c>
      <c r="G29" s="7">
        <v>1.664993E-2</v>
      </c>
      <c r="H29" s="6"/>
    </row>
    <row r="30" spans="1:10" x14ac:dyDescent="0.2">
      <c r="A30" s="3">
        <v>24</v>
      </c>
      <c r="B30" s="4" t="s">
        <v>87</v>
      </c>
      <c r="C30" s="4" t="s">
        <v>88</v>
      </c>
      <c r="D30" s="4" t="s">
        <v>940</v>
      </c>
      <c r="E30" s="5">
        <v>131530</v>
      </c>
      <c r="F30" s="6">
        <v>3035.1862799999999</v>
      </c>
      <c r="G30" s="7">
        <v>1.6416203000000001E-2</v>
      </c>
      <c r="H30" s="6"/>
    </row>
    <row r="31" spans="1:10" ht="25.5" x14ac:dyDescent="0.2">
      <c r="A31" s="3">
        <v>25</v>
      </c>
      <c r="B31" s="4" t="s">
        <v>325</v>
      </c>
      <c r="C31" s="4" t="s">
        <v>326</v>
      </c>
      <c r="D31" s="4" t="s">
        <v>945</v>
      </c>
      <c r="E31" s="5">
        <v>88928</v>
      </c>
      <c r="F31" s="6">
        <v>2847.3411679999999</v>
      </c>
      <c r="G31" s="7">
        <v>1.5400218E-2</v>
      </c>
      <c r="H31" s="6"/>
    </row>
    <row r="32" spans="1:10" x14ac:dyDescent="0.2">
      <c r="A32" s="3">
        <v>26</v>
      </c>
      <c r="B32" s="4" t="s">
        <v>307</v>
      </c>
      <c r="C32" s="4" t="s">
        <v>308</v>
      </c>
      <c r="D32" s="4" t="s">
        <v>933</v>
      </c>
      <c r="E32" s="5">
        <v>371000</v>
      </c>
      <c r="F32" s="6">
        <v>2810.6959999999999</v>
      </c>
      <c r="G32" s="7">
        <v>1.5202017999999999E-2</v>
      </c>
      <c r="H32" s="6"/>
    </row>
    <row r="33" spans="1:8" x14ac:dyDescent="0.2">
      <c r="A33" s="3">
        <v>27</v>
      </c>
      <c r="B33" s="4" t="s">
        <v>527</v>
      </c>
      <c r="C33" s="4" t="s">
        <v>528</v>
      </c>
      <c r="D33" s="4" t="s">
        <v>934</v>
      </c>
      <c r="E33" s="5">
        <v>63944</v>
      </c>
      <c r="F33" s="6">
        <v>2612.048456</v>
      </c>
      <c r="G33" s="7">
        <v>1.4127605999999999E-2</v>
      </c>
      <c r="H33" s="6"/>
    </row>
    <row r="34" spans="1:8" ht="25.5" x14ac:dyDescent="0.2">
      <c r="A34" s="3">
        <v>28</v>
      </c>
      <c r="B34" s="4" t="s">
        <v>22</v>
      </c>
      <c r="C34" s="4" t="s">
        <v>23</v>
      </c>
      <c r="D34" s="4" t="s">
        <v>935</v>
      </c>
      <c r="E34" s="5">
        <v>38000</v>
      </c>
      <c r="F34" s="6">
        <v>2519.4949999999999</v>
      </c>
      <c r="G34" s="7">
        <v>1.3627019000000001E-2</v>
      </c>
      <c r="H34" s="6"/>
    </row>
    <row r="35" spans="1:8" x14ac:dyDescent="0.2">
      <c r="A35" s="3">
        <v>29</v>
      </c>
      <c r="B35" s="4" t="s">
        <v>424</v>
      </c>
      <c r="C35" s="4" t="s">
        <v>425</v>
      </c>
      <c r="D35" s="4" t="s">
        <v>959</v>
      </c>
      <c r="E35" s="5">
        <v>533583</v>
      </c>
      <c r="F35" s="6">
        <v>2334.9592080000002</v>
      </c>
      <c r="G35" s="7">
        <v>1.2628933E-2</v>
      </c>
      <c r="H35" s="6"/>
    </row>
    <row r="36" spans="1:8" x14ac:dyDescent="0.2">
      <c r="A36" s="3">
        <v>30</v>
      </c>
      <c r="B36" s="4" t="s">
        <v>286</v>
      </c>
      <c r="C36" s="4" t="s">
        <v>287</v>
      </c>
      <c r="D36" s="4" t="s">
        <v>952</v>
      </c>
      <c r="E36" s="5">
        <v>4715</v>
      </c>
      <c r="F36" s="6">
        <v>2149.0380624999998</v>
      </c>
      <c r="G36" s="7">
        <v>1.1623354000000001E-2</v>
      </c>
      <c r="H36" s="6"/>
    </row>
    <row r="37" spans="1:8" x14ac:dyDescent="0.2">
      <c r="A37" s="3">
        <v>31</v>
      </c>
      <c r="B37" s="4" t="s">
        <v>416</v>
      </c>
      <c r="C37" s="4" t="s">
        <v>417</v>
      </c>
      <c r="D37" s="4" t="s">
        <v>18</v>
      </c>
      <c r="E37" s="5">
        <v>925292</v>
      </c>
      <c r="F37" s="6">
        <v>2124.933078</v>
      </c>
      <c r="G37" s="7">
        <v>1.1492979E-2</v>
      </c>
      <c r="H37" s="6"/>
    </row>
    <row r="38" spans="1:8" x14ac:dyDescent="0.2">
      <c r="A38" s="3">
        <v>32</v>
      </c>
      <c r="B38" s="4" t="s">
        <v>386</v>
      </c>
      <c r="C38" s="4" t="s">
        <v>387</v>
      </c>
      <c r="D38" s="4" t="s">
        <v>933</v>
      </c>
      <c r="E38" s="5">
        <v>191374</v>
      </c>
      <c r="F38" s="6">
        <v>2115.6395699999998</v>
      </c>
      <c r="G38" s="7">
        <v>1.1442714E-2</v>
      </c>
      <c r="H38" s="6"/>
    </row>
    <row r="39" spans="1:8" x14ac:dyDescent="0.2">
      <c r="A39" s="3">
        <v>33</v>
      </c>
      <c r="B39" s="4" t="s">
        <v>422</v>
      </c>
      <c r="C39" s="4" t="s">
        <v>423</v>
      </c>
      <c r="D39" s="4" t="s">
        <v>955</v>
      </c>
      <c r="E39" s="5">
        <v>100000</v>
      </c>
      <c r="F39" s="6">
        <v>2096.5500000000002</v>
      </c>
      <c r="G39" s="7">
        <v>1.1339465999999999E-2</v>
      </c>
      <c r="H39" s="6"/>
    </row>
    <row r="40" spans="1:8" ht="51" x14ac:dyDescent="0.2">
      <c r="A40" s="3">
        <v>34</v>
      </c>
      <c r="B40" s="4" t="s">
        <v>83</v>
      </c>
      <c r="C40" s="4" t="s">
        <v>84</v>
      </c>
      <c r="D40" s="4" t="s">
        <v>939</v>
      </c>
      <c r="E40" s="5">
        <v>125775</v>
      </c>
      <c r="F40" s="6">
        <v>2087.6763375</v>
      </c>
      <c r="G40" s="7">
        <v>1.1291471000000001E-2</v>
      </c>
      <c r="H40" s="6"/>
    </row>
    <row r="41" spans="1:8" x14ac:dyDescent="0.2">
      <c r="A41" s="3">
        <v>35</v>
      </c>
      <c r="B41" s="4" t="s">
        <v>428</v>
      </c>
      <c r="C41" s="4" t="s">
        <v>429</v>
      </c>
      <c r="D41" s="4" t="s">
        <v>302</v>
      </c>
      <c r="E41" s="5">
        <v>52000</v>
      </c>
      <c r="F41" s="6">
        <v>2051.0100000000002</v>
      </c>
      <c r="G41" s="7">
        <v>1.1093156E-2</v>
      </c>
      <c r="H41" s="6"/>
    </row>
    <row r="42" spans="1:8" x14ac:dyDescent="0.2">
      <c r="A42" s="3">
        <v>36</v>
      </c>
      <c r="B42" s="4" t="s">
        <v>525</v>
      </c>
      <c r="C42" s="4" t="s">
        <v>526</v>
      </c>
      <c r="D42" s="4" t="s">
        <v>951</v>
      </c>
      <c r="E42" s="5">
        <v>115680</v>
      </c>
      <c r="F42" s="6">
        <v>1976.91336</v>
      </c>
      <c r="G42" s="7">
        <v>1.0692395E-2</v>
      </c>
      <c r="H42" s="6"/>
    </row>
    <row r="43" spans="1:8" x14ac:dyDescent="0.2">
      <c r="A43" s="3">
        <v>37</v>
      </c>
      <c r="B43" s="4" t="s">
        <v>504</v>
      </c>
      <c r="C43" s="4" t="s">
        <v>505</v>
      </c>
      <c r="D43" s="4" t="s">
        <v>934</v>
      </c>
      <c r="E43" s="5">
        <v>75000</v>
      </c>
      <c r="F43" s="6">
        <v>1858.8</v>
      </c>
      <c r="G43" s="7">
        <v>1.0053563E-2</v>
      </c>
      <c r="H43" s="6"/>
    </row>
    <row r="44" spans="1:8" x14ac:dyDescent="0.2">
      <c r="A44" s="3">
        <v>38</v>
      </c>
      <c r="B44" s="4" t="s">
        <v>288</v>
      </c>
      <c r="C44" s="4" t="s">
        <v>289</v>
      </c>
      <c r="D44" s="4" t="s">
        <v>18</v>
      </c>
      <c r="E44" s="5">
        <v>1809981</v>
      </c>
      <c r="F44" s="6">
        <v>1737.58176</v>
      </c>
      <c r="G44" s="7">
        <v>9.3979389999999993E-3</v>
      </c>
      <c r="H44" s="6"/>
    </row>
    <row r="45" spans="1:8" x14ac:dyDescent="0.2">
      <c r="A45" s="3">
        <v>39</v>
      </c>
      <c r="B45" s="4" t="s">
        <v>363</v>
      </c>
      <c r="C45" s="4" t="s">
        <v>364</v>
      </c>
      <c r="D45" s="4" t="s">
        <v>923</v>
      </c>
      <c r="E45" s="5">
        <v>173919</v>
      </c>
      <c r="F45" s="6">
        <v>1670.0571975</v>
      </c>
      <c r="G45" s="7">
        <v>9.0327229999999994E-3</v>
      </c>
      <c r="H45" s="6"/>
    </row>
    <row r="46" spans="1:8" ht="25.5" x14ac:dyDescent="0.2">
      <c r="A46" s="3">
        <v>40</v>
      </c>
      <c r="B46" s="4" t="s">
        <v>690</v>
      </c>
      <c r="C46" s="4" t="s">
        <v>691</v>
      </c>
      <c r="D46" s="4" t="s">
        <v>933</v>
      </c>
      <c r="E46" s="5">
        <v>130000</v>
      </c>
      <c r="F46" s="6">
        <v>1664.26</v>
      </c>
      <c r="G46" s="7">
        <v>9.0013679999999992E-3</v>
      </c>
      <c r="H46" s="6"/>
    </row>
    <row r="47" spans="1:8" x14ac:dyDescent="0.2">
      <c r="A47" s="3">
        <v>41</v>
      </c>
      <c r="B47" s="4" t="s">
        <v>407</v>
      </c>
      <c r="C47" s="4" t="s">
        <v>408</v>
      </c>
      <c r="D47" s="4" t="s">
        <v>18</v>
      </c>
      <c r="E47" s="5">
        <v>86000</v>
      </c>
      <c r="F47" s="6">
        <v>1540.0450000000001</v>
      </c>
      <c r="G47" s="7">
        <v>8.3295350000000008E-3</v>
      </c>
      <c r="H47" s="6"/>
    </row>
    <row r="48" spans="1:8" x14ac:dyDescent="0.2">
      <c r="A48" s="3">
        <v>42</v>
      </c>
      <c r="B48" s="4" t="s">
        <v>600</v>
      </c>
      <c r="C48" s="4" t="s">
        <v>601</v>
      </c>
      <c r="D48" s="4" t="s">
        <v>947</v>
      </c>
      <c r="E48" s="5">
        <v>36000</v>
      </c>
      <c r="F48" s="6">
        <v>1512.0719999999999</v>
      </c>
      <c r="G48" s="7">
        <v>8.1782399999999998E-3</v>
      </c>
      <c r="H48" s="6"/>
    </row>
    <row r="49" spans="1:8" x14ac:dyDescent="0.2">
      <c r="A49" s="3">
        <v>43</v>
      </c>
      <c r="B49" s="4" t="s">
        <v>516</v>
      </c>
      <c r="C49" s="4" t="s">
        <v>517</v>
      </c>
      <c r="D49" s="4" t="s">
        <v>947</v>
      </c>
      <c r="E49" s="5">
        <v>96636</v>
      </c>
      <c r="F49" s="6">
        <v>1438.0403160000001</v>
      </c>
      <c r="G49" s="7">
        <v>7.7778300000000003E-3</v>
      </c>
      <c r="H49" s="6"/>
    </row>
    <row r="50" spans="1:8" ht="25.5" x14ac:dyDescent="0.2">
      <c r="A50" s="3">
        <v>44</v>
      </c>
      <c r="B50" s="4" t="s">
        <v>494</v>
      </c>
      <c r="C50" s="4" t="s">
        <v>495</v>
      </c>
      <c r="D50" s="4" t="s">
        <v>945</v>
      </c>
      <c r="E50" s="5">
        <v>130000</v>
      </c>
      <c r="F50" s="6">
        <v>1275.56</v>
      </c>
      <c r="G50" s="7">
        <v>6.8990329999999997E-3</v>
      </c>
      <c r="H50" s="6"/>
    </row>
    <row r="51" spans="1:8" x14ac:dyDescent="0.2">
      <c r="A51" s="3">
        <v>45</v>
      </c>
      <c r="B51" s="4" t="s">
        <v>303</v>
      </c>
      <c r="C51" s="4" t="s">
        <v>304</v>
      </c>
      <c r="D51" s="4" t="s">
        <v>91</v>
      </c>
      <c r="E51" s="5">
        <v>229000</v>
      </c>
      <c r="F51" s="6">
        <v>1236.7145</v>
      </c>
      <c r="G51" s="7">
        <v>6.6889319999999999E-3</v>
      </c>
      <c r="H51" s="6"/>
    </row>
    <row r="52" spans="1:8" x14ac:dyDescent="0.2">
      <c r="A52" s="3">
        <v>46</v>
      </c>
      <c r="B52" s="4" t="s">
        <v>290</v>
      </c>
      <c r="C52" s="4" t="s">
        <v>291</v>
      </c>
      <c r="D52" s="4" t="s">
        <v>18</v>
      </c>
      <c r="E52" s="5">
        <v>1000000</v>
      </c>
      <c r="F52" s="6">
        <v>1129</v>
      </c>
      <c r="G52" s="7">
        <v>6.106345E-3</v>
      </c>
      <c r="H52" s="6"/>
    </row>
    <row r="53" spans="1:8" x14ac:dyDescent="0.2">
      <c r="A53" s="3">
        <v>47</v>
      </c>
      <c r="B53" s="4" t="s">
        <v>392</v>
      </c>
      <c r="C53" s="4" t="s">
        <v>393</v>
      </c>
      <c r="D53" s="4" t="s">
        <v>947</v>
      </c>
      <c r="E53" s="5">
        <v>188000</v>
      </c>
      <c r="F53" s="6">
        <v>956.54399999999998</v>
      </c>
      <c r="G53" s="7">
        <v>5.1735940000000001E-3</v>
      </c>
      <c r="H53" s="6"/>
    </row>
    <row r="54" spans="1:8" ht="25.5" x14ac:dyDescent="0.2">
      <c r="A54" s="3">
        <v>48</v>
      </c>
      <c r="B54" s="4" t="s">
        <v>712</v>
      </c>
      <c r="C54" s="4" t="s">
        <v>713</v>
      </c>
      <c r="D54" s="4" t="s">
        <v>945</v>
      </c>
      <c r="E54" s="5">
        <v>21000</v>
      </c>
      <c r="F54" s="6">
        <v>867.70950000000005</v>
      </c>
      <c r="G54" s="7">
        <v>4.6931209999999998E-3</v>
      </c>
      <c r="H54" s="6"/>
    </row>
    <row r="55" spans="1:8" x14ac:dyDescent="0.2">
      <c r="A55" s="3">
        <v>49</v>
      </c>
      <c r="B55" s="4" t="s">
        <v>514</v>
      </c>
      <c r="C55" s="4" t="s">
        <v>515</v>
      </c>
      <c r="D55" s="4" t="s">
        <v>934</v>
      </c>
      <c r="E55" s="5">
        <v>101941</v>
      </c>
      <c r="F55" s="6">
        <v>807.27077899999995</v>
      </c>
      <c r="G55" s="7">
        <v>4.3662299999999996E-3</v>
      </c>
      <c r="H55" s="6"/>
    </row>
    <row r="56" spans="1:8" x14ac:dyDescent="0.2">
      <c r="A56" s="3">
        <v>50</v>
      </c>
      <c r="B56" s="4" t="s">
        <v>557</v>
      </c>
      <c r="C56" s="4" t="s">
        <v>558</v>
      </c>
      <c r="D56" s="4" t="s">
        <v>302</v>
      </c>
      <c r="E56" s="5">
        <v>26971</v>
      </c>
      <c r="F56" s="6">
        <v>294.4019505</v>
      </c>
      <c r="G56" s="7">
        <v>1.592312E-3</v>
      </c>
      <c r="H56" s="6"/>
    </row>
    <row r="57" spans="1:8" ht="14.1" customHeight="1" x14ac:dyDescent="0.2">
      <c r="A57" s="1"/>
      <c r="B57" s="1"/>
      <c r="C57" s="2" t="s">
        <v>111</v>
      </c>
      <c r="D57" s="1"/>
      <c r="E57" s="1" t="s">
        <v>112</v>
      </c>
      <c r="F57" s="9">
        <v>184624.10548699999</v>
      </c>
      <c r="G57" s="10">
        <v>0.99856367899999998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113</v>
      </c>
      <c r="D59" s="1"/>
      <c r="E59" s="1"/>
      <c r="F59" s="1"/>
      <c r="G59" s="1"/>
      <c r="H59" s="6"/>
    </row>
    <row r="60" spans="1:8" ht="14.1" customHeight="1" x14ac:dyDescent="0.2">
      <c r="A60" s="1"/>
      <c r="B60" s="1"/>
      <c r="C60" s="2" t="s">
        <v>111</v>
      </c>
      <c r="D60" s="1"/>
      <c r="E60" s="1" t="s">
        <v>112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114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111</v>
      </c>
      <c r="D63" s="1"/>
      <c r="E63" s="1" t="s">
        <v>112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15" ht="14.1" customHeight="1" x14ac:dyDescent="0.2">
      <c r="A65" s="1"/>
      <c r="B65" s="1"/>
      <c r="C65" s="2" t="s">
        <v>115</v>
      </c>
      <c r="D65" s="1"/>
      <c r="E65" s="1"/>
      <c r="F65" s="1"/>
      <c r="G65" s="1"/>
      <c r="H65" s="6"/>
    </row>
    <row r="66" spans="1:15" ht="14.1" customHeight="1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6"/>
    </row>
    <row r="67" spans="1:15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15" ht="14.1" customHeight="1" x14ac:dyDescent="0.2">
      <c r="A68" s="1"/>
      <c r="B68" s="1"/>
      <c r="C68" s="2" t="s">
        <v>116</v>
      </c>
      <c r="D68" s="1"/>
      <c r="E68" s="1"/>
      <c r="F68" s="12"/>
      <c r="G68" s="12"/>
      <c r="H68" s="6"/>
    </row>
    <row r="69" spans="1:15" ht="14.1" customHeight="1" x14ac:dyDescent="0.2">
      <c r="A69" s="1"/>
      <c r="B69" s="1"/>
      <c r="C69" s="2" t="s">
        <v>111</v>
      </c>
      <c r="D69" s="1"/>
      <c r="E69" s="1" t="s">
        <v>112</v>
      </c>
      <c r="F69" s="13">
        <v>0</v>
      </c>
      <c r="G69" s="14">
        <v>0</v>
      </c>
      <c r="H69" s="6"/>
      <c r="J69" s="27"/>
      <c r="K69" s="27"/>
      <c r="L69" s="27"/>
      <c r="M69" s="27"/>
      <c r="N69" s="27"/>
      <c r="O69" s="27"/>
    </row>
    <row r="70" spans="1:15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15" ht="14.1" customHeight="1" x14ac:dyDescent="0.2">
      <c r="A71" s="1"/>
      <c r="B71" s="1"/>
      <c r="C71" s="2" t="s">
        <v>117</v>
      </c>
      <c r="D71" s="1"/>
      <c r="E71" s="1"/>
      <c r="F71" s="12"/>
      <c r="G71" s="12"/>
      <c r="H71" s="6"/>
    </row>
    <row r="72" spans="1:15" ht="14.1" customHeight="1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6"/>
    </row>
    <row r="73" spans="1:15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15" ht="18" customHeight="1" x14ac:dyDescent="0.2">
      <c r="A74" s="1"/>
      <c r="B74" s="1"/>
      <c r="C74" s="2" t="s">
        <v>118</v>
      </c>
      <c r="D74" s="1"/>
      <c r="E74" s="1"/>
      <c r="F74" s="9">
        <v>184624.10548699999</v>
      </c>
      <c r="G74" s="10">
        <v>0.99856367899999998</v>
      </c>
      <c r="H74" s="6"/>
    </row>
    <row r="75" spans="1:15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15" ht="14.1" customHeight="1" x14ac:dyDescent="0.2">
      <c r="A76" s="1"/>
      <c r="B76" s="1"/>
      <c r="C76" s="2" t="s">
        <v>119</v>
      </c>
      <c r="D76" s="1"/>
      <c r="E76" s="1"/>
      <c r="F76" s="12"/>
      <c r="G76" s="12"/>
      <c r="H76" s="6"/>
    </row>
    <row r="77" spans="1:15" ht="24" customHeight="1" x14ac:dyDescent="0.2">
      <c r="A77" s="1"/>
      <c r="B77" s="1"/>
      <c r="C77" s="2" t="s">
        <v>10</v>
      </c>
      <c r="D77" s="1"/>
      <c r="E77" s="1"/>
      <c r="F77" s="12"/>
      <c r="G77" s="12"/>
      <c r="H77" s="6"/>
    </row>
    <row r="78" spans="1:15" ht="14.1" customHeight="1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6"/>
    </row>
    <row r="79" spans="1:15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15" ht="14.1" customHeight="1" x14ac:dyDescent="0.2">
      <c r="A80" s="1"/>
      <c r="B80" s="1"/>
      <c r="C80" s="2" t="s">
        <v>120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121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122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123</v>
      </c>
      <c r="D89" s="1"/>
      <c r="E89" s="1"/>
      <c r="F89" s="9">
        <v>0</v>
      </c>
      <c r="G89" s="10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124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125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127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128</v>
      </c>
      <c r="D101" s="1"/>
      <c r="E101" s="1"/>
      <c r="F101" s="12"/>
      <c r="G101" s="12"/>
      <c r="H101" s="6"/>
    </row>
    <row r="102" spans="1:8" ht="17.100000000000001" customHeight="1" x14ac:dyDescent="0.2">
      <c r="A102" s="3">
        <v>1</v>
      </c>
      <c r="B102" s="4"/>
      <c r="C102" s="4" t="s">
        <v>129</v>
      </c>
      <c r="D102" s="4"/>
      <c r="E102" s="8"/>
      <c r="F102" s="6">
        <v>438.56238020000001</v>
      </c>
      <c r="G102" s="7">
        <v>2.3720220000000001E-3</v>
      </c>
      <c r="H102" s="6">
        <v>3.9343919198424624</v>
      </c>
    </row>
    <row r="103" spans="1:8" ht="17.100000000000001" customHeight="1" x14ac:dyDescent="0.2">
      <c r="A103" s="3">
        <v>2</v>
      </c>
      <c r="B103" s="4"/>
      <c r="C103" s="4" t="s">
        <v>130</v>
      </c>
      <c r="D103" s="4"/>
      <c r="E103" s="8"/>
      <c r="F103" s="6">
        <v>28.804580300000001</v>
      </c>
      <c r="G103" s="7">
        <v>1.5579299999999999E-4</v>
      </c>
      <c r="H103" s="6">
        <v>3.8</v>
      </c>
    </row>
    <row r="104" spans="1:8" ht="14.1" customHeight="1" x14ac:dyDescent="0.2">
      <c r="A104" s="1"/>
      <c r="B104" s="1"/>
      <c r="C104" s="2" t="s">
        <v>111</v>
      </c>
      <c r="D104" s="1"/>
      <c r="E104" s="1" t="s">
        <v>112</v>
      </c>
      <c r="F104" s="9">
        <v>467.3669605</v>
      </c>
      <c r="G104" s="10">
        <v>2.5278150000000001E-3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131</v>
      </c>
      <c r="D106" s="1"/>
      <c r="E106" s="1"/>
      <c r="F106" s="9">
        <v>467.3669605</v>
      </c>
      <c r="G106" s="10">
        <v>2.5278150000000001E-3</v>
      </c>
      <c r="H106" s="6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132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133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134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135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111</v>
      </c>
      <c r="D114" s="1"/>
      <c r="E114" s="1" t="s">
        <v>112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24" customHeight="1" x14ac:dyDescent="0.2">
      <c r="A117" s="1"/>
      <c r="B117" s="1"/>
      <c r="C117" s="2" t="s">
        <v>136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4"/>
      <c r="C120" s="4"/>
      <c r="D120" s="2"/>
      <c r="E120" s="1"/>
      <c r="F120" s="4"/>
      <c r="G120" s="8"/>
      <c r="H120" s="6"/>
    </row>
    <row r="121" spans="1:8" ht="18" customHeight="1" x14ac:dyDescent="0.2">
      <c r="A121" s="8"/>
      <c r="B121" s="4"/>
      <c r="C121" s="4" t="s">
        <v>137</v>
      </c>
      <c r="D121" s="4"/>
      <c r="E121" s="8"/>
      <c r="F121" s="6">
        <v>-201.80581549999999</v>
      </c>
      <c r="G121" s="7">
        <v>-1.091493E-3</v>
      </c>
      <c r="H121" s="6"/>
    </row>
    <row r="122" spans="1:8" ht="14.1" customHeight="1" x14ac:dyDescent="0.2">
      <c r="A122" s="11"/>
      <c r="B122" s="11"/>
      <c r="C122" s="2" t="s">
        <v>138</v>
      </c>
      <c r="D122" s="15"/>
      <c r="E122" s="15"/>
      <c r="F122" s="9">
        <v>184889.66663200001</v>
      </c>
      <c r="G122" s="10">
        <v>1.0000000010000001</v>
      </c>
      <c r="H122" s="6"/>
    </row>
    <row r="123" spans="1:8" ht="14.1" customHeight="1" x14ac:dyDescent="0.2">
      <c r="A123" s="18"/>
      <c r="B123" s="297" t="s">
        <v>112</v>
      </c>
      <c r="C123" s="297"/>
      <c r="D123" s="297"/>
      <c r="E123" s="297"/>
      <c r="F123" s="297"/>
      <c r="G123" s="20"/>
    </row>
    <row r="124" spans="1:8" ht="14.1" customHeight="1" x14ac:dyDescent="0.2">
      <c r="A124" s="18"/>
      <c r="B124" s="18"/>
      <c r="C124" s="18"/>
      <c r="D124" s="20"/>
      <c r="E124" s="20"/>
      <c r="F124" s="20"/>
      <c r="G124" s="20"/>
    </row>
    <row r="125" spans="1:8" ht="14.1" customHeight="1" x14ac:dyDescent="0.2">
      <c r="A125" s="18"/>
      <c r="B125" s="294" t="s">
        <v>140</v>
      </c>
      <c r="C125" s="295"/>
      <c r="D125" s="12" t="s">
        <v>112</v>
      </c>
      <c r="E125" s="21"/>
      <c r="F125" s="20"/>
      <c r="G125" s="20"/>
    </row>
    <row r="126" spans="1:8" ht="29.1" customHeight="1" x14ac:dyDescent="0.2">
      <c r="A126" s="18"/>
      <c r="B126" s="288" t="s">
        <v>141</v>
      </c>
      <c r="C126" s="289"/>
      <c r="D126" s="2" t="s">
        <v>142</v>
      </c>
      <c r="E126" s="21"/>
      <c r="F126" s="20"/>
      <c r="G126" s="20"/>
    </row>
    <row r="127" spans="1:8" ht="17.100000000000001" customHeight="1" x14ac:dyDescent="0.2">
      <c r="A127" s="18"/>
      <c r="B127" s="288" t="s">
        <v>143</v>
      </c>
      <c r="C127" s="289"/>
      <c r="D127" s="2" t="s">
        <v>142</v>
      </c>
      <c r="E127" s="21"/>
      <c r="F127" s="20"/>
      <c r="G127" s="20"/>
    </row>
    <row r="128" spans="1:8" ht="17.100000000000001" customHeight="1" x14ac:dyDescent="0.2">
      <c r="A128" s="18"/>
      <c r="B128" s="288" t="s">
        <v>144</v>
      </c>
      <c r="C128" s="289"/>
      <c r="D128" s="12" t="s">
        <v>112</v>
      </c>
      <c r="E128" s="21"/>
      <c r="F128" s="20"/>
      <c r="G128" s="20"/>
    </row>
    <row r="129" spans="1:15" ht="24" customHeight="1" x14ac:dyDescent="0.2">
      <c r="A129" s="22"/>
      <c r="B129" s="23" t="s">
        <v>112</v>
      </c>
      <c r="C129" s="23" t="s">
        <v>145</v>
      </c>
      <c r="D129" s="23" t="s">
        <v>146</v>
      </c>
      <c r="E129" s="22"/>
      <c r="F129" s="22"/>
      <c r="G129" s="22"/>
    </row>
    <row r="130" spans="1:15" ht="18" customHeight="1" x14ac:dyDescent="0.2">
      <c r="A130" s="22"/>
      <c r="B130" s="23" t="s">
        <v>147</v>
      </c>
      <c r="C130" s="23" t="s">
        <v>148</v>
      </c>
      <c r="D130" s="23" t="s">
        <v>149</v>
      </c>
      <c r="E130" s="22"/>
      <c r="F130" s="22"/>
      <c r="G130" s="22"/>
    </row>
    <row r="131" spans="1:15" ht="17.100000000000001" customHeight="1" x14ac:dyDescent="0.2">
      <c r="A131" s="22"/>
      <c r="B131" s="4" t="s">
        <v>150</v>
      </c>
      <c r="C131" s="24">
        <v>152.53059999999999</v>
      </c>
      <c r="D131" s="24">
        <v>150.3818</v>
      </c>
      <c r="E131" s="22"/>
      <c r="F131" s="19"/>
      <c r="G131" s="25"/>
    </row>
    <row r="132" spans="1:15" ht="17.100000000000001" customHeight="1" x14ac:dyDescent="0.2">
      <c r="A132" s="22"/>
      <c r="B132" s="4" t="s">
        <v>1114</v>
      </c>
      <c r="C132" s="24">
        <v>16.0349</v>
      </c>
      <c r="D132" s="24">
        <v>15.808999999999999</v>
      </c>
      <c r="E132" s="22"/>
      <c r="F132" s="19"/>
      <c r="G132" s="25"/>
    </row>
    <row r="133" spans="1:15" ht="17.100000000000001" customHeight="1" x14ac:dyDescent="0.2">
      <c r="A133" s="22"/>
      <c r="B133" s="4" t="s">
        <v>151</v>
      </c>
      <c r="C133" s="24">
        <v>146.7252</v>
      </c>
      <c r="D133" s="24">
        <v>144.5797</v>
      </c>
      <c r="E133" s="22"/>
      <c r="F133" s="19"/>
      <c r="G133" s="25"/>
    </row>
    <row r="134" spans="1:15" ht="17.100000000000001" customHeight="1" x14ac:dyDescent="0.2">
      <c r="A134" s="22"/>
      <c r="B134" s="4" t="s">
        <v>1115</v>
      </c>
      <c r="C134" s="24">
        <v>13.448</v>
      </c>
      <c r="D134" s="24">
        <v>13.2514</v>
      </c>
      <c r="E134" s="22"/>
      <c r="F134" s="19"/>
      <c r="G134" s="25"/>
    </row>
    <row r="135" spans="1:15" ht="14.1" customHeight="1" x14ac:dyDescent="0.2">
      <c r="A135" s="22"/>
      <c r="B135" s="22"/>
      <c r="C135" s="22"/>
      <c r="D135" s="22"/>
      <c r="E135" s="22"/>
      <c r="F135" s="22"/>
      <c r="G135" s="22"/>
    </row>
    <row r="136" spans="1:15" ht="17.100000000000001" customHeight="1" x14ac:dyDescent="0.2">
      <c r="A136" s="22"/>
      <c r="B136" s="288" t="s">
        <v>1116</v>
      </c>
      <c r="C136" s="289"/>
      <c r="D136" s="2" t="s">
        <v>142</v>
      </c>
      <c r="E136" s="22"/>
      <c r="F136" s="22"/>
      <c r="G136" s="22"/>
    </row>
    <row r="137" spans="1:15" ht="14.1" customHeight="1" x14ac:dyDescent="0.2">
      <c r="A137" s="22"/>
      <c r="B137" s="19"/>
      <c r="C137" s="19"/>
      <c r="D137" s="22"/>
      <c r="E137" s="22"/>
      <c r="F137" s="22"/>
      <c r="G137" s="22"/>
    </row>
    <row r="138" spans="1:15" ht="29.1" customHeight="1" x14ac:dyDescent="0.2">
      <c r="A138" s="22"/>
      <c r="B138" s="288" t="s">
        <v>153</v>
      </c>
      <c r="C138" s="289"/>
      <c r="D138" s="2" t="s">
        <v>142</v>
      </c>
      <c r="E138" s="22"/>
      <c r="F138" s="22"/>
      <c r="G138" s="22"/>
    </row>
    <row r="139" spans="1:15" ht="29.1" customHeight="1" x14ac:dyDescent="0.2">
      <c r="A139" s="22"/>
      <c r="B139" s="288" t="s">
        <v>154</v>
      </c>
      <c r="C139" s="289"/>
      <c r="D139" s="2" t="s">
        <v>142</v>
      </c>
      <c r="E139" s="22"/>
      <c r="F139" s="22"/>
      <c r="G139" s="22"/>
      <c r="J139" s="27"/>
      <c r="K139" s="27"/>
      <c r="L139" s="27"/>
      <c r="M139" s="27"/>
      <c r="N139" s="27"/>
      <c r="O139" s="27"/>
    </row>
    <row r="140" spans="1:15" ht="17.100000000000001" customHeight="1" x14ac:dyDescent="0.2">
      <c r="A140" s="22"/>
      <c r="B140" s="288" t="s">
        <v>155</v>
      </c>
      <c r="C140" s="289"/>
      <c r="D140" s="26">
        <v>0.45916329023966279</v>
      </c>
      <c r="E140" s="22"/>
      <c r="F140" s="19"/>
      <c r="G140" s="25"/>
    </row>
    <row r="141" spans="1:15" ht="17.100000000000001" customHeight="1" x14ac:dyDescent="0.2">
      <c r="A141" s="22"/>
      <c r="B141" s="288" t="s">
        <v>156</v>
      </c>
      <c r="C141" s="289"/>
      <c r="D141" s="2" t="s">
        <v>142</v>
      </c>
      <c r="E141" s="22"/>
      <c r="F141" s="22"/>
      <c r="G141" s="22"/>
    </row>
    <row r="143" spans="1:15" x14ac:dyDescent="0.2">
      <c r="J143" s="66"/>
      <c r="K143" s="66"/>
      <c r="L143" s="66"/>
      <c r="M143" s="66"/>
      <c r="N143" s="66"/>
      <c r="O143" s="66"/>
    </row>
  </sheetData>
  <mergeCells count="14">
    <mergeCell ref="A1:H1"/>
    <mergeCell ref="A2:H2"/>
    <mergeCell ref="A3:H3"/>
    <mergeCell ref="B125:C125"/>
    <mergeCell ref="J2:N2"/>
    <mergeCell ref="B123:F123"/>
    <mergeCell ref="B140:C140"/>
    <mergeCell ref="B141:C141"/>
    <mergeCell ref="B126:C126"/>
    <mergeCell ref="B127:C127"/>
    <mergeCell ref="B128:C128"/>
    <mergeCell ref="B136:C136"/>
    <mergeCell ref="B138:C138"/>
    <mergeCell ref="B139:C139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O15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1136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3722916</v>
      </c>
      <c r="F7" s="6">
        <v>27672.434627999999</v>
      </c>
      <c r="G7" s="7">
        <v>9.1094691000000005E-2</v>
      </c>
      <c r="H7" s="6"/>
    </row>
    <row r="8" spans="1:14" x14ac:dyDescent="0.2">
      <c r="A8" s="3">
        <v>2</v>
      </c>
      <c r="B8" s="4" t="s">
        <v>11</v>
      </c>
      <c r="C8" s="4" t="s">
        <v>12</v>
      </c>
      <c r="D8" s="4" t="s">
        <v>13</v>
      </c>
      <c r="E8" s="5">
        <v>872776</v>
      </c>
      <c r="F8" s="6">
        <v>24352.63234</v>
      </c>
      <c r="G8" s="7">
        <v>8.0166257000000005E-2</v>
      </c>
      <c r="H8" s="6"/>
    </row>
    <row r="9" spans="1:14" x14ac:dyDescent="0.2">
      <c r="A9" s="3">
        <v>3</v>
      </c>
      <c r="B9" s="4" t="s">
        <v>349</v>
      </c>
      <c r="C9" s="4" t="s">
        <v>350</v>
      </c>
      <c r="D9" s="4" t="s">
        <v>18</v>
      </c>
      <c r="E9" s="5">
        <v>1729890</v>
      </c>
      <c r="F9" s="6">
        <v>23952.056939999999</v>
      </c>
      <c r="G9" s="7">
        <v>7.8847606000000001E-2</v>
      </c>
      <c r="H9" s="6"/>
    </row>
    <row r="10" spans="1:14" x14ac:dyDescent="0.2">
      <c r="A10" s="3">
        <v>4</v>
      </c>
      <c r="B10" s="4" t="s">
        <v>380</v>
      </c>
      <c r="C10" s="4" t="s">
        <v>381</v>
      </c>
      <c r="D10" s="4" t="s">
        <v>947</v>
      </c>
      <c r="E10" s="5">
        <v>1465546</v>
      </c>
      <c r="F10" s="6">
        <v>22973.166323000001</v>
      </c>
      <c r="G10" s="7">
        <v>7.5625203000000002E-2</v>
      </c>
      <c r="H10" s="6"/>
    </row>
    <row r="11" spans="1:14" ht="25.5" x14ac:dyDescent="0.2">
      <c r="A11" s="3">
        <v>5</v>
      </c>
      <c r="B11" s="4" t="s">
        <v>382</v>
      </c>
      <c r="C11" s="4" t="s">
        <v>383</v>
      </c>
      <c r="D11" s="4" t="s">
        <v>82</v>
      </c>
      <c r="E11" s="5">
        <v>686176</v>
      </c>
      <c r="F11" s="6">
        <v>15299.666272</v>
      </c>
      <c r="G11" s="7">
        <v>5.0364863000000003E-2</v>
      </c>
      <c r="H11" s="6"/>
    </row>
    <row r="12" spans="1:14" ht="25.5" x14ac:dyDescent="0.2">
      <c r="A12" s="3">
        <v>6</v>
      </c>
      <c r="B12" s="4" t="s">
        <v>388</v>
      </c>
      <c r="C12" s="4" t="s">
        <v>389</v>
      </c>
      <c r="D12" s="4" t="s">
        <v>945</v>
      </c>
      <c r="E12" s="5">
        <v>1538340</v>
      </c>
      <c r="F12" s="6">
        <v>14285.79441</v>
      </c>
      <c r="G12" s="7">
        <v>4.7027304999999998E-2</v>
      </c>
      <c r="H12" s="6"/>
    </row>
    <row r="13" spans="1:14" x14ac:dyDescent="0.2">
      <c r="A13" s="3">
        <v>7</v>
      </c>
      <c r="B13" s="4" t="s">
        <v>14</v>
      </c>
      <c r="C13" s="4" t="s">
        <v>15</v>
      </c>
      <c r="D13" s="4" t="s">
        <v>64</v>
      </c>
      <c r="E13" s="5">
        <v>800306</v>
      </c>
      <c r="F13" s="6">
        <v>13559.984710999999</v>
      </c>
      <c r="G13" s="7">
        <v>4.4638017000000002E-2</v>
      </c>
      <c r="H13" s="6"/>
    </row>
    <row r="14" spans="1:14" x14ac:dyDescent="0.2">
      <c r="A14" s="3">
        <v>8</v>
      </c>
      <c r="B14" s="4" t="s">
        <v>48</v>
      </c>
      <c r="C14" s="4" t="s">
        <v>49</v>
      </c>
      <c r="D14" s="4" t="s">
        <v>18</v>
      </c>
      <c r="E14" s="5">
        <v>2379541</v>
      </c>
      <c r="F14" s="6">
        <v>11809.661983</v>
      </c>
      <c r="G14" s="7">
        <v>3.8876142000000002E-2</v>
      </c>
      <c r="H14" s="6"/>
    </row>
    <row r="15" spans="1:14" ht="15" x14ac:dyDescent="0.2">
      <c r="A15" s="3">
        <v>9</v>
      </c>
      <c r="B15" s="4" t="s">
        <v>19</v>
      </c>
      <c r="C15" s="4" t="s">
        <v>20</v>
      </c>
      <c r="D15" s="4" t="s">
        <v>21</v>
      </c>
      <c r="E15" s="5">
        <v>1503271</v>
      </c>
      <c r="F15" s="6">
        <v>11109.172689999999</v>
      </c>
      <c r="G15" s="7">
        <v>3.6570207E-2</v>
      </c>
      <c r="H15" s="6"/>
      <c r="J15" s="192" t="s">
        <v>1168</v>
      </c>
    </row>
    <row r="16" spans="1:14" x14ac:dyDescent="0.2">
      <c r="A16" s="3">
        <v>10</v>
      </c>
      <c r="B16" s="4" t="s">
        <v>294</v>
      </c>
      <c r="C16" s="4" t="s">
        <v>295</v>
      </c>
      <c r="D16" s="4" t="s">
        <v>18</v>
      </c>
      <c r="E16" s="5">
        <v>1494828</v>
      </c>
      <c r="F16" s="6">
        <v>10891.316808</v>
      </c>
      <c r="G16" s="7">
        <v>3.5853047999999998E-2</v>
      </c>
      <c r="H16" s="6"/>
    </row>
    <row r="17" spans="1:10" x14ac:dyDescent="0.2">
      <c r="A17" s="3">
        <v>11</v>
      </c>
      <c r="B17" s="4" t="s">
        <v>384</v>
      </c>
      <c r="C17" s="4" t="s">
        <v>385</v>
      </c>
      <c r="D17" s="4" t="s">
        <v>947</v>
      </c>
      <c r="E17" s="5">
        <v>280401</v>
      </c>
      <c r="F17" s="6">
        <v>9944.9822669999994</v>
      </c>
      <c r="G17" s="7">
        <v>3.2737816000000003E-2</v>
      </c>
      <c r="H17" s="6"/>
    </row>
    <row r="18" spans="1:10" x14ac:dyDescent="0.2">
      <c r="A18" s="3">
        <v>12</v>
      </c>
      <c r="B18" s="4" t="s">
        <v>296</v>
      </c>
      <c r="C18" s="4" t="s">
        <v>297</v>
      </c>
      <c r="D18" s="4" t="s">
        <v>956</v>
      </c>
      <c r="E18" s="5">
        <v>646291</v>
      </c>
      <c r="F18" s="6">
        <v>7002.8861305</v>
      </c>
      <c r="G18" s="7">
        <v>2.3052751E-2</v>
      </c>
      <c r="H18" s="6"/>
    </row>
    <row r="19" spans="1:10" x14ac:dyDescent="0.2">
      <c r="A19" s="3">
        <v>13</v>
      </c>
      <c r="B19" s="4" t="s">
        <v>355</v>
      </c>
      <c r="C19" s="4" t="s">
        <v>356</v>
      </c>
      <c r="D19" s="4" t="s">
        <v>82</v>
      </c>
      <c r="E19" s="5">
        <v>39898</v>
      </c>
      <c r="F19" s="6">
        <v>5949.2506270000003</v>
      </c>
      <c r="G19" s="7">
        <v>1.9584296000000001E-2</v>
      </c>
      <c r="H19" s="6"/>
    </row>
    <row r="20" spans="1:10" ht="25.5" x14ac:dyDescent="0.2">
      <c r="A20" s="3">
        <v>14</v>
      </c>
      <c r="B20" s="4" t="s">
        <v>494</v>
      </c>
      <c r="C20" s="4" t="s">
        <v>495</v>
      </c>
      <c r="D20" s="4" t="s">
        <v>945</v>
      </c>
      <c r="E20" s="5">
        <v>584570</v>
      </c>
      <c r="F20" s="6">
        <v>5735.8008399999999</v>
      </c>
      <c r="G20" s="7">
        <v>1.8881642000000001E-2</v>
      </c>
      <c r="H20" s="6"/>
    </row>
    <row r="21" spans="1:10" x14ac:dyDescent="0.2">
      <c r="A21" s="3">
        <v>15</v>
      </c>
      <c r="B21" s="4" t="s">
        <v>475</v>
      </c>
      <c r="C21" s="4" t="s">
        <v>476</v>
      </c>
      <c r="D21" s="4" t="s">
        <v>956</v>
      </c>
      <c r="E21" s="5">
        <v>649734</v>
      </c>
      <c r="F21" s="6">
        <v>5606.2298190000001</v>
      </c>
      <c r="G21" s="7">
        <v>1.8455108000000001E-2</v>
      </c>
      <c r="H21" s="6"/>
    </row>
    <row r="22" spans="1:10" ht="25.5" x14ac:dyDescent="0.2">
      <c r="A22" s="3">
        <v>16</v>
      </c>
      <c r="B22" s="4" t="s">
        <v>357</v>
      </c>
      <c r="C22" s="4" t="s">
        <v>358</v>
      </c>
      <c r="D22" s="4" t="s">
        <v>950</v>
      </c>
      <c r="E22" s="5">
        <v>634201</v>
      </c>
      <c r="F22" s="6">
        <v>5224.2307375</v>
      </c>
      <c r="G22" s="7">
        <v>1.7197608E-2</v>
      </c>
      <c r="H22" s="6"/>
    </row>
    <row r="23" spans="1:10" x14ac:dyDescent="0.2">
      <c r="A23" s="3">
        <v>17</v>
      </c>
      <c r="B23" s="4" t="s">
        <v>569</v>
      </c>
      <c r="C23" s="4" t="s">
        <v>570</v>
      </c>
      <c r="D23" s="4" t="s">
        <v>959</v>
      </c>
      <c r="E23" s="5">
        <v>137022</v>
      </c>
      <c r="F23" s="6">
        <v>5110.3040010000004</v>
      </c>
      <c r="G23" s="7">
        <v>1.6822573E-2</v>
      </c>
      <c r="H23" s="6"/>
    </row>
    <row r="24" spans="1:10" ht="51" x14ac:dyDescent="0.2">
      <c r="A24" s="3">
        <v>18</v>
      </c>
      <c r="B24" s="4" t="s">
        <v>78</v>
      </c>
      <c r="C24" s="4" t="s">
        <v>79</v>
      </c>
      <c r="D24" s="4" t="s">
        <v>939</v>
      </c>
      <c r="E24" s="5">
        <v>3807694</v>
      </c>
      <c r="F24" s="6">
        <v>4839.5790740000002</v>
      </c>
      <c r="G24" s="7">
        <v>1.5931376000000001E-2</v>
      </c>
      <c r="H24" s="6"/>
    </row>
    <row r="25" spans="1:10" ht="25.5" x14ac:dyDescent="0.2">
      <c r="A25" s="3">
        <v>19</v>
      </c>
      <c r="B25" s="4" t="s">
        <v>325</v>
      </c>
      <c r="C25" s="4" t="s">
        <v>326</v>
      </c>
      <c r="D25" s="4" t="s">
        <v>945</v>
      </c>
      <c r="E25" s="5">
        <v>149613</v>
      </c>
      <c r="F25" s="6">
        <v>4790.3838404999997</v>
      </c>
      <c r="G25" s="7">
        <v>1.5769431E-2</v>
      </c>
      <c r="H25" s="6"/>
    </row>
    <row r="26" spans="1:10" ht="25.5" x14ac:dyDescent="0.2">
      <c r="A26" s="3">
        <v>20</v>
      </c>
      <c r="B26" s="4" t="s">
        <v>80</v>
      </c>
      <c r="C26" s="4" t="s">
        <v>81</v>
      </c>
      <c r="D26" s="4" t="s">
        <v>82</v>
      </c>
      <c r="E26" s="5">
        <v>639055</v>
      </c>
      <c r="F26" s="6">
        <v>4721.0188125000004</v>
      </c>
      <c r="G26" s="7">
        <v>1.5541088E-2</v>
      </c>
      <c r="H26" s="6"/>
    </row>
    <row r="27" spans="1:10" x14ac:dyDescent="0.2">
      <c r="A27" s="3">
        <v>21</v>
      </c>
      <c r="B27" s="4" t="s">
        <v>434</v>
      </c>
      <c r="C27" s="4" t="s">
        <v>435</v>
      </c>
      <c r="D27" s="4" t="s">
        <v>959</v>
      </c>
      <c r="E27" s="5">
        <v>60621</v>
      </c>
      <c r="F27" s="6">
        <v>4678.6075380000002</v>
      </c>
      <c r="G27" s="7">
        <v>1.5401475E-2</v>
      </c>
      <c r="H27" s="6"/>
    </row>
    <row r="28" spans="1:10" ht="15" x14ac:dyDescent="0.2">
      <c r="A28" s="3">
        <v>22</v>
      </c>
      <c r="B28" s="4" t="s">
        <v>386</v>
      </c>
      <c r="C28" s="4" t="s">
        <v>387</v>
      </c>
      <c r="D28" s="4" t="s">
        <v>933</v>
      </c>
      <c r="E28" s="5">
        <v>415888</v>
      </c>
      <c r="F28" s="6">
        <v>4597.6418400000002</v>
      </c>
      <c r="G28" s="7">
        <v>1.5134945E-2</v>
      </c>
      <c r="H28" s="6"/>
      <c r="J28" s="192" t="s">
        <v>1169</v>
      </c>
    </row>
    <row r="29" spans="1:10" x14ac:dyDescent="0.2">
      <c r="A29" s="3">
        <v>23</v>
      </c>
      <c r="B29" s="4" t="s">
        <v>27</v>
      </c>
      <c r="C29" s="4" t="s">
        <v>28</v>
      </c>
      <c r="D29" s="4" t="s">
        <v>29</v>
      </c>
      <c r="E29" s="5">
        <v>2904289</v>
      </c>
      <c r="F29" s="6">
        <v>4536.4994180000003</v>
      </c>
      <c r="G29" s="7">
        <v>1.493367E-2</v>
      </c>
      <c r="H29" s="6"/>
    </row>
    <row r="30" spans="1:10" x14ac:dyDescent="0.2">
      <c r="A30" s="3">
        <v>24</v>
      </c>
      <c r="B30" s="4" t="s">
        <v>407</v>
      </c>
      <c r="C30" s="4" t="s">
        <v>408</v>
      </c>
      <c r="D30" s="4" t="s">
        <v>18</v>
      </c>
      <c r="E30" s="5">
        <v>213122</v>
      </c>
      <c r="F30" s="6">
        <v>3816.482215</v>
      </c>
      <c r="G30" s="7">
        <v>1.2563451E-2</v>
      </c>
      <c r="H30" s="6"/>
    </row>
    <row r="31" spans="1:10" x14ac:dyDescent="0.2">
      <c r="A31" s="3">
        <v>25</v>
      </c>
      <c r="B31" s="4" t="s">
        <v>678</v>
      </c>
      <c r="C31" s="4" t="s">
        <v>679</v>
      </c>
      <c r="D31" s="4" t="s">
        <v>18</v>
      </c>
      <c r="E31" s="5">
        <v>331924</v>
      </c>
      <c r="F31" s="6">
        <v>3248.0423019999998</v>
      </c>
      <c r="G31" s="7">
        <v>1.0692207E-2</v>
      </c>
      <c r="H31" s="6"/>
    </row>
    <row r="32" spans="1:10" x14ac:dyDescent="0.2">
      <c r="A32" s="3">
        <v>26</v>
      </c>
      <c r="B32" s="4" t="s">
        <v>394</v>
      </c>
      <c r="C32" s="4" t="s">
        <v>395</v>
      </c>
      <c r="D32" s="4" t="s">
        <v>947</v>
      </c>
      <c r="E32" s="5">
        <v>285965</v>
      </c>
      <c r="F32" s="6">
        <v>3086.2772624999998</v>
      </c>
      <c r="G32" s="7">
        <v>1.0159694E-2</v>
      </c>
      <c r="H32" s="6"/>
    </row>
    <row r="33" spans="1:8" x14ac:dyDescent="0.2">
      <c r="A33" s="3">
        <v>27</v>
      </c>
      <c r="B33" s="4" t="s">
        <v>392</v>
      </c>
      <c r="C33" s="4" t="s">
        <v>393</v>
      </c>
      <c r="D33" s="4" t="s">
        <v>947</v>
      </c>
      <c r="E33" s="5">
        <v>571413</v>
      </c>
      <c r="F33" s="6">
        <v>2907.3493440000002</v>
      </c>
      <c r="G33" s="7">
        <v>9.570683E-3</v>
      </c>
      <c r="H33" s="6"/>
    </row>
    <row r="34" spans="1:8" x14ac:dyDescent="0.2">
      <c r="A34" s="3">
        <v>28</v>
      </c>
      <c r="B34" s="4" t="s">
        <v>404</v>
      </c>
      <c r="C34" s="4" t="s">
        <v>405</v>
      </c>
      <c r="D34" s="4" t="s">
        <v>406</v>
      </c>
      <c r="E34" s="5">
        <v>518576</v>
      </c>
      <c r="F34" s="6">
        <v>2502.907064</v>
      </c>
      <c r="G34" s="7">
        <v>8.2393020000000004E-3</v>
      </c>
      <c r="H34" s="6"/>
    </row>
    <row r="35" spans="1:8" ht="25.5" x14ac:dyDescent="0.2">
      <c r="A35" s="3">
        <v>29</v>
      </c>
      <c r="B35" s="4" t="s">
        <v>718</v>
      </c>
      <c r="C35" s="4" t="s">
        <v>719</v>
      </c>
      <c r="D35" s="4" t="s">
        <v>958</v>
      </c>
      <c r="E35" s="5">
        <v>16757</v>
      </c>
      <c r="F35" s="6">
        <v>2349.984923</v>
      </c>
      <c r="G35" s="7">
        <v>7.7358990000000001E-3</v>
      </c>
      <c r="H35" s="6"/>
    </row>
    <row r="36" spans="1:8" ht="25.5" x14ac:dyDescent="0.2">
      <c r="A36" s="3">
        <v>30</v>
      </c>
      <c r="B36" s="4" t="s">
        <v>640</v>
      </c>
      <c r="C36" s="4" t="s">
        <v>641</v>
      </c>
      <c r="D36" s="4" t="s">
        <v>935</v>
      </c>
      <c r="E36" s="5">
        <v>511927</v>
      </c>
      <c r="F36" s="6">
        <v>1905.392294</v>
      </c>
      <c r="G36" s="7">
        <v>6.2723470000000002E-3</v>
      </c>
      <c r="H36" s="6"/>
    </row>
    <row r="37" spans="1:8" x14ac:dyDescent="0.2">
      <c r="A37" s="3">
        <v>31</v>
      </c>
      <c r="B37" s="4" t="s">
        <v>390</v>
      </c>
      <c r="C37" s="4" t="s">
        <v>391</v>
      </c>
      <c r="D37" s="4" t="s">
        <v>960</v>
      </c>
      <c r="E37" s="5">
        <v>81167</v>
      </c>
      <c r="F37" s="6">
        <v>1813.9606994999999</v>
      </c>
      <c r="G37" s="7">
        <v>5.9713639999999998E-3</v>
      </c>
      <c r="H37" s="6"/>
    </row>
    <row r="38" spans="1:8" x14ac:dyDescent="0.2">
      <c r="A38" s="3">
        <v>32</v>
      </c>
      <c r="B38" s="4" t="s">
        <v>347</v>
      </c>
      <c r="C38" s="4" t="s">
        <v>348</v>
      </c>
      <c r="D38" s="4" t="s">
        <v>948</v>
      </c>
      <c r="E38" s="5">
        <v>695601</v>
      </c>
      <c r="F38" s="6">
        <v>1726.1338814999999</v>
      </c>
      <c r="G38" s="7">
        <v>5.682248E-3</v>
      </c>
      <c r="H38" s="6"/>
    </row>
    <row r="39" spans="1:8" x14ac:dyDescent="0.2">
      <c r="A39" s="3">
        <v>33</v>
      </c>
      <c r="B39" s="4" t="s">
        <v>292</v>
      </c>
      <c r="C39" s="4" t="s">
        <v>293</v>
      </c>
      <c r="D39" s="4" t="s">
        <v>233</v>
      </c>
      <c r="E39" s="5">
        <v>36866</v>
      </c>
      <c r="F39" s="6">
        <v>1642.1406710000001</v>
      </c>
      <c r="G39" s="7">
        <v>5.4057510000000003E-3</v>
      </c>
      <c r="H39" s="6"/>
    </row>
    <row r="40" spans="1:8" ht="25.5" x14ac:dyDescent="0.2">
      <c r="A40" s="3">
        <v>34</v>
      </c>
      <c r="B40" s="4" t="s">
        <v>22</v>
      </c>
      <c r="C40" s="4" t="s">
        <v>23</v>
      </c>
      <c r="D40" s="4" t="s">
        <v>935</v>
      </c>
      <c r="E40" s="5">
        <v>24067</v>
      </c>
      <c r="F40" s="6">
        <v>1595.7022675000001</v>
      </c>
      <c r="G40" s="7">
        <v>5.252881E-3</v>
      </c>
      <c r="H40" s="6"/>
    </row>
    <row r="41" spans="1:8" x14ac:dyDescent="0.2">
      <c r="A41" s="3">
        <v>35</v>
      </c>
      <c r="B41" s="4" t="s">
        <v>418</v>
      </c>
      <c r="C41" s="4" t="s">
        <v>419</v>
      </c>
      <c r="D41" s="4" t="s">
        <v>82</v>
      </c>
      <c r="E41" s="5">
        <v>23230</v>
      </c>
      <c r="F41" s="6">
        <v>1549.85914</v>
      </c>
      <c r="G41" s="7">
        <v>5.1019699999999999E-3</v>
      </c>
      <c r="H41" s="6"/>
    </row>
    <row r="42" spans="1:8" x14ac:dyDescent="0.2">
      <c r="A42" s="3">
        <v>36</v>
      </c>
      <c r="B42" s="4" t="s">
        <v>102</v>
      </c>
      <c r="C42" s="4" t="s">
        <v>103</v>
      </c>
      <c r="D42" s="4" t="s">
        <v>57</v>
      </c>
      <c r="E42" s="5">
        <v>413190</v>
      </c>
      <c r="F42" s="6">
        <v>1456.0815600000001</v>
      </c>
      <c r="G42" s="7">
        <v>4.7932649999999997E-3</v>
      </c>
      <c r="H42" s="6"/>
    </row>
    <row r="43" spans="1:8" ht="25.5" x14ac:dyDescent="0.2">
      <c r="A43" s="3">
        <v>37</v>
      </c>
      <c r="B43" s="4" t="s">
        <v>414</v>
      </c>
      <c r="C43" s="4" t="s">
        <v>415</v>
      </c>
      <c r="D43" s="4" t="s">
        <v>945</v>
      </c>
      <c r="E43" s="5">
        <v>27517</v>
      </c>
      <c r="F43" s="6">
        <v>1239.750918</v>
      </c>
      <c r="G43" s="7">
        <v>4.0811270000000004E-3</v>
      </c>
      <c r="H43" s="6"/>
    </row>
    <row r="44" spans="1:8" ht="25.5" x14ac:dyDescent="0.2">
      <c r="A44" s="3">
        <v>38</v>
      </c>
      <c r="B44" s="4" t="s">
        <v>46</v>
      </c>
      <c r="C44" s="4" t="s">
        <v>47</v>
      </c>
      <c r="D44" s="4" t="s">
        <v>937</v>
      </c>
      <c r="E44" s="5">
        <v>139388</v>
      </c>
      <c r="F44" s="6">
        <v>1193.718832</v>
      </c>
      <c r="G44" s="7">
        <v>3.9295950000000001E-3</v>
      </c>
      <c r="H44" s="6"/>
    </row>
    <row r="45" spans="1:8" x14ac:dyDescent="0.2">
      <c r="A45" s="3">
        <v>39</v>
      </c>
      <c r="B45" s="4" t="s">
        <v>650</v>
      </c>
      <c r="C45" s="4" t="s">
        <v>651</v>
      </c>
      <c r="D45" s="4" t="s">
        <v>958</v>
      </c>
      <c r="E45" s="5">
        <v>142550</v>
      </c>
      <c r="F45" s="6">
        <v>1115.3112000000001</v>
      </c>
      <c r="G45" s="7">
        <v>3.6714849999999999E-3</v>
      </c>
      <c r="H45" s="6"/>
    </row>
    <row r="46" spans="1:8" ht="25.5" x14ac:dyDescent="0.2">
      <c r="A46" s="3">
        <v>40</v>
      </c>
      <c r="B46" s="4" t="s">
        <v>409</v>
      </c>
      <c r="C46" s="4" t="s">
        <v>926</v>
      </c>
      <c r="D46" s="4" t="s">
        <v>21</v>
      </c>
      <c r="E46" s="5">
        <v>312079</v>
      </c>
      <c r="F46" s="6">
        <v>1070.2749305</v>
      </c>
      <c r="G46" s="7">
        <v>3.52323E-3</v>
      </c>
      <c r="H46" s="6"/>
    </row>
    <row r="47" spans="1:8" x14ac:dyDescent="0.2">
      <c r="A47" s="3">
        <v>41</v>
      </c>
      <c r="B47" s="4" t="s">
        <v>518</v>
      </c>
      <c r="C47" s="4" t="s">
        <v>993</v>
      </c>
      <c r="D47" s="4" t="s">
        <v>959</v>
      </c>
      <c r="E47" s="5">
        <v>480575</v>
      </c>
      <c r="F47" s="6">
        <v>1044.0491875</v>
      </c>
      <c r="G47" s="7">
        <v>3.4368979999999999E-3</v>
      </c>
      <c r="H47" s="6"/>
    </row>
    <row r="48" spans="1:8" ht="25.5" x14ac:dyDescent="0.2">
      <c r="A48" s="3">
        <v>42</v>
      </c>
      <c r="B48" s="4" t="s">
        <v>333</v>
      </c>
      <c r="C48" s="4" t="s">
        <v>334</v>
      </c>
      <c r="D48" s="4" t="s">
        <v>957</v>
      </c>
      <c r="E48" s="5">
        <v>36544</v>
      </c>
      <c r="F48" s="6">
        <v>1040.754848</v>
      </c>
      <c r="G48" s="7">
        <v>3.4260530000000001E-3</v>
      </c>
      <c r="H48" s="6"/>
    </row>
    <row r="49" spans="1:8" ht="25.5" x14ac:dyDescent="0.2">
      <c r="A49" s="3">
        <v>43</v>
      </c>
      <c r="B49" s="4" t="s">
        <v>690</v>
      </c>
      <c r="C49" s="4" t="s">
        <v>691</v>
      </c>
      <c r="D49" s="4" t="s">
        <v>933</v>
      </c>
      <c r="E49" s="5">
        <v>79207</v>
      </c>
      <c r="F49" s="6">
        <v>1014.008014</v>
      </c>
      <c r="G49" s="7">
        <v>3.3380060000000001E-3</v>
      </c>
      <c r="H49" s="6"/>
    </row>
    <row r="50" spans="1:8" x14ac:dyDescent="0.2">
      <c r="A50" s="3">
        <v>44</v>
      </c>
      <c r="B50" s="4" t="s">
        <v>365</v>
      </c>
      <c r="C50" s="4" t="s">
        <v>366</v>
      </c>
      <c r="D50" s="4" t="s">
        <v>26</v>
      </c>
      <c r="E50" s="5">
        <v>38585</v>
      </c>
      <c r="F50" s="6">
        <v>830.88939000000005</v>
      </c>
      <c r="G50" s="7">
        <v>2.7351989999999998E-3</v>
      </c>
      <c r="H50" s="6"/>
    </row>
    <row r="51" spans="1:8" ht="25.5" x14ac:dyDescent="0.2">
      <c r="A51" s="3">
        <v>45</v>
      </c>
      <c r="B51" s="4" t="s">
        <v>284</v>
      </c>
      <c r="C51" s="4" t="s">
        <v>285</v>
      </c>
      <c r="D51" s="4" t="s">
        <v>946</v>
      </c>
      <c r="E51" s="5">
        <v>32417</v>
      </c>
      <c r="F51" s="6">
        <v>814.54195900000002</v>
      </c>
      <c r="G51" s="7">
        <v>2.6813850000000001E-3</v>
      </c>
      <c r="H51" s="6"/>
    </row>
    <row r="52" spans="1:8" x14ac:dyDescent="0.2">
      <c r="A52" s="3">
        <v>46</v>
      </c>
      <c r="B52" s="4" t="s">
        <v>440</v>
      </c>
      <c r="C52" s="4" t="s">
        <v>441</v>
      </c>
      <c r="D52" s="4" t="s">
        <v>940</v>
      </c>
      <c r="E52" s="5">
        <v>573020</v>
      </c>
      <c r="F52" s="6">
        <v>788.47551999999996</v>
      </c>
      <c r="G52" s="7">
        <v>2.595577E-3</v>
      </c>
      <c r="H52" s="6"/>
    </row>
    <row r="53" spans="1:8" ht="25.5" x14ac:dyDescent="0.2">
      <c r="A53" s="3">
        <v>47</v>
      </c>
      <c r="B53" s="4" t="s">
        <v>313</v>
      </c>
      <c r="C53" s="4" t="s">
        <v>314</v>
      </c>
      <c r="D53" s="4" t="s">
        <v>71</v>
      </c>
      <c r="E53" s="5">
        <v>193043</v>
      </c>
      <c r="F53" s="6">
        <v>742.82946400000003</v>
      </c>
      <c r="G53" s="7">
        <v>2.445315E-3</v>
      </c>
      <c r="H53" s="6"/>
    </row>
    <row r="54" spans="1:8" x14ac:dyDescent="0.2">
      <c r="A54" s="3">
        <v>48</v>
      </c>
      <c r="B54" s="4" t="s">
        <v>444</v>
      </c>
      <c r="C54" s="4" t="s">
        <v>445</v>
      </c>
      <c r="D54" s="4" t="s">
        <v>71</v>
      </c>
      <c r="E54" s="5">
        <v>15569</v>
      </c>
      <c r="F54" s="6">
        <v>382.71715799999998</v>
      </c>
      <c r="G54" s="7">
        <v>1.2598640000000001E-3</v>
      </c>
      <c r="H54" s="6"/>
    </row>
    <row r="55" spans="1:8" x14ac:dyDescent="0.2">
      <c r="A55" s="3">
        <v>49</v>
      </c>
      <c r="B55" s="4" t="s">
        <v>424</v>
      </c>
      <c r="C55" s="4" t="s">
        <v>425</v>
      </c>
      <c r="D55" s="4" t="s">
        <v>959</v>
      </c>
      <c r="E55" s="5">
        <v>58791</v>
      </c>
      <c r="F55" s="6">
        <v>257.26941599999998</v>
      </c>
      <c r="G55" s="7">
        <v>8.4690299999999998E-4</v>
      </c>
      <c r="H55" s="6"/>
    </row>
    <row r="56" spans="1:8" ht="14.1" customHeight="1" x14ac:dyDescent="0.2">
      <c r="A56" s="1"/>
      <c r="B56" s="1"/>
      <c r="C56" s="2" t="s">
        <v>111</v>
      </c>
      <c r="D56" s="1"/>
      <c r="E56" s="1" t="s">
        <v>112</v>
      </c>
      <c r="F56" s="9">
        <v>289778.206511</v>
      </c>
      <c r="G56" s="10">
        <v>0.95391881700000025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113</v>
      </c>
      <c r="D58" s="1"/>
      <c r="E58" s="1"/>
      <c r="F58" s="1"/>
      <c r="G58" s="1"/>
      <c r="H58" s="6"/>
    </row>
    <row r="59" spans="1:8" ht="14.1" customHeight="1" x14ac:dyDescent="0.2">
      <c r="A59" s="1"/>
      <c r="B59" s="1"/>
      <c r="C59" s="2" t="s">
        <v>111</v>
      </c>
      <c r="D59" s="1"/>
      <c r="E59" s="1" t="s">
        <v>112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114</v>
      </c>
      <c r="D61" s="1"/>
      <c r="E61" s="1"/>
      <c r="F61" s="1"/>
      <c r="G61" s="1"/>
      <c r="H61" s="6"/>
    </row>
    <row r="62" spans="1:8" ht="14.1" customHeight="1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115</v>
      </c>
      <c r="D64" s="1"/>
      <c r="E64" s="1"/>
      <c r="F64" s="1"/>
      <c r="G64" s="1"/>
      <c r="H64" s="6"/>
    </row>
    <row r="65" spans="1:8" ht="14.1" customHeight="1" x14ac:dyDescent="0.2">
      <c r="A65" s="1"/>
      <c r="B65" s="1"/>
      <c r="C65" s="2" t="s">
        <v>111</v>
      </c>
      <c r="D65" s="1"/>
      <c r="E65" s="1" t="s">
        <v>112</v>
      </c>
      <c r="F65" s="9">
        <v>0</v>
      </c>
      <c r="G65" s="10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116</v>
      </c>
      <c r="D67" s="1"/>
      <c r="E67" s="1"/>
      <c r="F67" s="12"/>
      <c r="G67" s="12"/>
      <c r="H67" s="6"/>
    </row>
    <row r="68" spans="1:8" ht="25.5" x14ac:dyDescent="0.2">
      <c r="A68" s="3">
        <v>1</v>
      </c>
      <c r="B68" s="4" t="s">
        <v>924</v>
      </c>
      <c r="C68" s="4" t="s">
        <v>925</v>
      </c>
      <c r="D68" s="4" t="s">
        <v>82</v>
      </c>
      <c r="E68" s="5">
        <v>90000</v>
      </c>
      <c r="F68" s="6">
        <v>446.76</v>
      </c>
      <c r="G68" s="7">
        <v>1.47069E-3</v>
      </c>
      <c r="H68" s="6"/>
    </row>
    <row r="69" spans="1:8" ht="14.1" customHeight="1" x14ac:dyDescent="0.2">
      <c r="A69" s="1"/>
      <c r="B69" s="1"/>
      <c r="C69" s="2" t="s">
        <v>111</v>
      </c>
      <c r="D69" s="1"/>
      <c r="E69" s="1" t="s">
        <v>112</v>
      </c>
      <c r="F69" s="13">
        <v>446.76</v>
      </c>
      <c r="G69" s="14">
        <v>1.47069E-3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117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8" customHeight="1" x14ac:dyDescent="0.2">
      <c r="A74" s="1"/>
      <c r="B74" s="1"/>
      <c r="C74" s="2" t="s">
        <v>118</v>
      </c>
      <c r="D74" s="1"/>
      <c r="E74" s="1"/>
      <c r="F74" s="9">
        <v>289778.206511</v>
      </c>
      <c r="G74" s="10">
        <v>0.95538950700000025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119</v>
      </c>
      <c r="D76" s="1"/>
      <c r="E76" s="1"/>
      <c r="F76" s="12"/>
      <c r="G76" s="12"/>
      <c r="H76" s="6"/>
    </row>
    <row r="77" spans="1:8" ht="24" customHeight="1" x14ac:dyDescent="0.2">
      <c r="A77" s="1"/>
      <c r="B77" s="1"/>
      <c r="C77" s="2" t="s">
        <v>10</v>
      </c>
      <c r="D77" s="1"/>
      <c r="E77" s="1"/>
      <c r="F77" s="12"/>
      <c r="G77" s="12"/>
      <c r="H77" s="6"/>
    </row>
    <row r="78" spans="1:8" ht="29.1" customHeight="1" x14ac:dyDescent="0.2">
      <c r="A78" s="3">
        <v>1</v>
      </c>
      <c r="B78" s="4" t="s">
        <v>587</v>
      </c>
      <c r="C78" s="4" t="s">
        <v>588</v>
      </c>
      <c r="D78" s="4" t="s">
        <v>589</v>
      </c>
      <c r="E78" s="5">
        <v>28980</v>
      </c>
      <c r="F78" s="6">
        <v>8.3403570600000005</v>
      </c>
      <c r="G78" s="8" t="s">
        <v>110</v>
      </c>
      <c r="H78" s="6">
        <v>5.89</v>
      </c>
    </row>
    <row r="79" spans="1:8" ht="14.1" customHeight="1" x14ac:dyDescent="0.2">
      <c r="A79" s="1"/>
      <c r="B79" s="1"/>
      <c r="C79" s="2" t="s">
        <v>111</v>
      </c>
      <c r="D79" s="1"/>
      <c r="E79" s="1" t="s">
        <v>112</v>
      </c>
      <c r="F79" s="9">
        <v>8.3403570600000005</v>
      </c>
      <c r="G79" s="10">
        <v>2.7455999999999999E-5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120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121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122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123</v>
      </c>
      <c r="D90" s="1"/>
      <c r="E90" s="1"/>
      <c r="F90" s="9">
        <v>8.3403570600000005</v>
      </c>
      <c r="G90" s="10">
        <v>2.7455999999999999E-5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124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125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126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127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128</v>
      </c>
      <c r="D102" s="1"/>
      <c r="E102" s="1"/>
      <c r="F102" s="12"/>
      <c r="G102" s="12"/>
      <c r="H102" s="6"/>
    </row>
    <row r="103" spans="1:8" ht="17.100000000000001" customHeight="1" x14ac:dyDescent="0.2">
      <c r="A103" s="3">
        <v>1</v>
      </c>
      <c r="B103" s="4"/>
      <c r="C103" s="4" t="s">
        <v>129</v>
      </c>
      <c r="D103" s="4"/>
      <c r="E103" s="8"/>
      <c r="F103" s="6">
        <v>6710.2367788000001</v>
      </c>
      <c r="G103" s="7">
        <v>2.2089381000000002E-2</v>
      </c>
      <c r="H103" s="6">
        <v>3.9343919198424624</v>
      </c>
    </row>
    <row r="104" spans="1:8" ht="17.100000000000001" customHeight="1" x14ac:dyDescent="0.2">
      <c r="A104" s="3">
        <v>2</v>
      </c>
      <c r="B104" s="4"/>
      <c r="C104" s="4" t="s">
        <v>130</v>
      </c>
      <c r="D104" s="4"/>
      <c r="E104" s="8"/>
      <c r="F104" s="6">
        <v>440.725256</v>
      </c>
      <c r="G104" s="7">
        <v>1.45082E-3</v>
      </c>
      <c r="H104" s="6">
        <v>3.8</v>
      </c>
    </row>
    <row r="105" spans="1:8" ht="14.1" customHeight="1" x14ac:dyDescent="0.2">
      <c r="A105" s="1"/>
      <c r="B105" s="1"/>
      <c r="C105" s="2" t="s">
        <v>111</v>
      </c>
      <c r="D105" s="1"/>
      <c r="E105" s="1" t="s">
        <v>112</v>
      </c>
      <c r="F105" s="9">
        <v>7150.9620347999999</v>
      </c>
      <c r="G105" s="10">
        <v>2.3540201E-2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131</v>
      </c>
      <c r="D107" s="1"/>
      <c r="E107" s="1"/>
      <c r="F107" s="9">
        <v>7150.9620347999999</v>
      </c>
      <c r="G107" s="10">
        <v>2.3540201E-2</v>
      </c>
      <c r="H107" s="6"/>
    </row>
    <row r="108" spans="1:8" ht="14.1" customHeight="1" x14ac:dyDescent="0.2">
      <c r="A108" s="1"/>
      <c r="B108" s="1"/>
      <c r="C108" s="12"/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132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133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15" ht="14.1" customHeight="1" x14ac:dyDescent="0.2">
      <c r="A113" s="1"/>
      <c r="B113" s="1"/>
      <c r="C113" s="2" t="s">
        <v>134</v>
      </c>
      <c r="D113" s="1"/>
      <c r="E113" s="1"/>
      <c r="F113" s="1"/>
      <c r="G113" s="1"/>
      <c r="H113" s="6"/>
    </row>
    <row r="114" spans="1:15" ht="14.1" customHeight="1" x14ac:dyDescent="0.2">
      <c r="A114" s="1"/>
      <c r="B114" s="1"/>
      <c r="C114" s="2" t="s">
        <v>135</v>
      </c>
      <c r="D114" s="1"/>
      <c r="E114" s="1"/>
      <c r="F114" s="1"/>
      <c r="G114" s="1"/>
      <c r="H114" s="6"/>
    </row>
    <row r="115" spans="1:15" ht="14.1" customHeight="1" x14ac:dyDescent="0.2">
      <c r="A115" s="1"/>
      <c r="B115" s="1"/>
      <c r="C115" s="2" t="s">
        <v>111</v>
      </c>
      <c r="D115" s="1"/>
      <c r="E115" s="1" t="s">
        <v>112</v>
      </c>
      <c r="F115" s="13">
        <v>0</v>
      </c>
      <c r="G115" s="14">
        <v>0</v>
      </c>
      <c r="H115" s="6"/>
    </row>
    <row r="116" spans="1:15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15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15" ht="24" customHeight="1" x14ac:dyDescent="0.2">
      <c r="A118" s="1"/>
      <c r="B118" s="1"/>
      <c r="C118" s="2" t="s">
        <v>136</v>
      </c>
      <c r="D118" s="1"/>
      <c r="E118" s="1"/>
      <c r="F118" s="12"/>
      <c r="G118" s="12"/>
      <c r="H118" s="6"/>
    </row>
    <row r="119" spans="1:15" ht="14.1" customHeight="1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6"/>
    </row>
    <row r="120" spans="1:15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15" ht="14.1" customHeight="1" x14ac:dyDescent="0.2">
      <c r="A121" s="1"/>
      <c r="B121" s="4"/>
      <c r="C121" s="4"/>
      <c r="D121" s="2"/>
      <c r="E121" s="1"/>
      <c r="F121" s="4"/>
      <c r="G121" s="8"/>
      <c r="H121" s="6"/>
    </row>
    <row r="122" spans="1:15" ht="18" customHeight="1" x14ac:dyDescent="0.2">
      <c r="A122" s="8"/>
      <c r="B122" s="4"/>
      <c r="C122" s="4" t="s">
        <v>994</v>
      </c>
      <c r="D122" s="4"/>
      <c r="E122" s="8"/>
      <c r="F122" s="6">
        <v>6392.3215041900003</v>
      </c>
      <c r="G122" s="7">
        <v>2.1042837750020544E-2</v>
      </c>
      <c r="H122" s="6"/>
    </row>
    <row r="123" spans="1:15" ht="14.1" customHeight="1" x14ac:dyDescent="0.2">
      <c r="A123" s="11"/>
      <c r="B123" s="11"/>
      <c r="C123" s="2" t="s">
        <v>138</v>
      </c>
      <c r="D123" s="15"/>
      <c r="E123" s="15"/>
      <c r="F123" s="9">
        <v>303776.59040704998</v>
      </c>
      <c r="G123" s="10">
        <v>1.0000000017500208</v>
      </c>
      <c r="H123" s="6"/>
    </row>
    <row r="124" spans="1:15" ht="14.1" customHeight="1" x14ac:dyDescent="0.2">
      <c r="A124" s="16"/>
      <c r="B124" s="16"/>
      <c r="C124" s="16"/>
      <c r="D124" s="17"/>
      <c r="E124" s="17"/>
      <c r="F124" s="17"/>
      <c r="G124" s="17"/>
    </row>
    <row r="125" spans="1:15" ht="17.100000000000001" customHeight="1" x14ac:dyDescent="0.2">
      <c r="A125" s="18"/>
      <c r="B125" s="297" t="s">
        <v>590</v>
      </c>
      <c r="C125" s="297"/>
      <c r="D125" s="297"/>
      <c r="E125" s="297"/>
      <c r="F125" s="297"/>
      <c r="G125" s="20"/>
    </row>
    <row r="126" spans="1:15" ht="17.100000000000001" customHeight="1" x14ac:dyDescent="0.2">
      <c r="A126" s="18"/>
      <c r="B126" s="297" t="s">
        <v>139</v>
      </c>
      <c r="C126" s="297"/>
      <c r="D126" s="297"/>
      <c r="E126" s="297"/>
      <c r="F126" s="297"/>
      <c r="G126" s="20"/>
    </row>
    <row r="127" spans="1:15" s="27" customFormat="1" ht="17.100000000000001" customHeight="1" x14ac:dyDescent="0.2">
      <c r="A127" s="48"/>
      <c r="B127" s="298" t="s">
        <v>749</v>
      </c>
      <c r="C127" s="298"/>
      <c r="D127" s="298"/>
      <c r="E127" s="298"/>
      <c r="F127" s="298"/>
      <c r="G127" s="45"/>
      <c r="H127"/>
      <c r="J127"/>
      <c r="K127"/>
      <c r="L127"/>
      <c r="M127"/>
      <c r="N127"/>
      <c r="O127"/>
    </row>
    <row r="128" spans="1:15" ht="14.1" customHeight="1" x14ac:dyDescent="0.2">
      <c r="A128" s="18"/>
      <c r="B128" s="18"/>
      <c r="C128" s="18"/>
      <c r="D128" s="20"/>
      <c r="E128" s="20"/>
      <c r="F128" s="20"/>
      <c r="G128" s="20"/>
    </row>
    <row r="129" spans="1:15" ht="14.1" customHeight="1" x14ac:dyDescent="0.2">
      <c r="A129" s="18"/>
      <c r="B129" s="294" t="s">
        <v>140</v>
      </c>
      <c r="C129" s="295"/>
      <c r="D129" s="12" t="s">
        <v>112</v>
      </c>
      <c r="E129" s="21"/>
      <c r="F129" s="20"/>
      <c r="G129" s="20"/>
    </row>
    <row r="130" spans="1:15" ht="29.1" customHeight="1" x14ac:dyDescent="0.2">
      <c r="A130" s="18"/>
      <c r="B130" s="288" t="s">
        <v>141</v>
      </c>
      <c r="C130" s="289"/>
      <c r="D130" s="2" t="s">
        <v>142</v>
      </c>
      <c r="E130" s="21"/>
      <c r="F130" s="20"/>
      <c r="G130" s="20"/>
    </row>
    <row r="131" spans="1:15" ht="17.100000000000001" customHeight="1" x14ac:dyDescent="0.2">
      <c r="A131" s="18"/>
      <c r="B131" s="288" t="s">
        <v>143</v>
      </c>
      <c r="C131" s="289"/>
      <c r="D131" s="2" t="s">
        <v>142</v>
      </c>
      <c r="E131" s="21"/>
      <c r="F131" s="20"/>
      <c r="G131" s="20"/>
    </row>
    <row r="132" spans="1:15" ht="17.100000000000001" customHeight="1" x14ac:dyDescent="0.2">
      <c r="A132" s="18"/>
      <c r="B132" s="288" t="s">
        <v>144</v>
      </c>
      <c r="C132" s="289"/>
      <c r="D132" s="12" t="s">
        <v>112</v>
      </c>
      <c r="E132" s="21"/>
      <c r="F132" s="20"/>
      <c r="G132" s="20"/>
    </row>
    <row r="133" spans="1:15" ht="24" customHeight="1" x14ac:dyDescent="0.2">
      <c r="A133" s="22"/>
      <c r="B133" s="23" t="s">
        <v>112</v>
      </c>
      <c r="C133" s="23" t="s">
        <v>145</v>
      </c>
      <c r="D133" s="23" t="s">
        <v>146</v>
      </c>
      <c r="E133" s="22"/>
      <c r="F133" s="22"/>
      <c r="G133" s="22"/>
    </row>
    <row r="134" spans="1:15" ht="18" customHeight="1" x14ac:dyDescent="0.2">
      <c r="A134" s="22"/>
      <c r="B134" s="23" t="s">
        <v>147</v>
      </c>
      <c r="C134" s="23" t="s">
        <v>148</v>
      </c>
      <c r="D134" s="23" t="s">
        <v>149</v>
      </c>
      <c r="E134" s="22"/>
      <c r="F134" s="22"/>
      <c r="G134" s="22"/>
    </row>
    <row r="135" spans="1:15" ht="17.100000000000001" customHeight="1" x14ac:dyDescent="0.2">
      <c r="A135" s="22"/>
      <c r="B135" s="4" t="s">
        <v>150</v>
      </c>
      <c r="C135" s="24">
        <v>15.089700000000001</v>
      </c>
      <c r="D135" s="24">
        <v>14.7531</v>
      </c>
      <c r="E135" s="22"/>
      <c r="F135" s="19"/>
      <c r="G135" s="25"/>
    </row>
    <row r="136" spans="1:15" ht="17.100000000000001" customHeight="1" x14ac:dyDescent="0.2">
      <c r="A136" s="22"/>
      <c r="B136" s="4" t="s">
        <v>1114</v>
      </c>
      <c r="C136" s="24">
        <v>14.058299999999999</v>
      </c>
      <c r="D136" s="24">
        <v>13.7447</v>
      </c>
      <c r="E136" s="22"/>
      <c r="F136" s="19"/>
      <c r="G136" s="25"/>
    </row>
    <row r="137" spans="1:15" ht="17.100000000000001" customHeight="1" x14ac:dyDescent="0.2">
      <c r="A137" s="22"/>
      <c r="B137" s="4" t="s">
        <v>151</v>
      </c>
      <c r="C137" s="24">
        <v>14.678699999999999</v>
      </c>
      <c r="D137" s="24">
        <v>14.3345</v>
      </c>
      <c r="E137" s="22"/>
      <c r="F137" s="19"/>
      <c r="G137" s="25"/>
      <c r="J137" s="66"/>
      <c r="K137" s="66"/>
      <c r="L137" s="66"/>
      <c r="M137" s="66"/>
      <c r="N137" s="66"/>
      <c r="O137" s="66"/>
    </row>
    <row r="138" spans="1:15" ht="17.100000000000001" customHeight="1" x14ac:dyDescent="0.2">
      <c r="A138" s="22"/>
      <c r="B138" s="4" t="s">
        <v>1115</v>
      </c>
      <c r="C138" s="24">
        <v>13.676600000000001</v>
      </c>
      <c r="D138" s="24">
        <v>13.3559</v>
      </c>
      <c r="E138" s="22"/>
      <c r="F138" s="19"/>
      <c r="G138" s="25"/>
    </row>
    <row r="139" spans="1:15" ht="14.1" customHeight="1" x14ac:dyDescent="0.2">
      <c r="A139" s="22"/>
      <c r="B139" s="22"/>
      <c r="C139" s="22"/>
      <c r="D139" s="22"/>
      <c r="E139" s="22"/>
      <c r="F139" s="22"/>
      <c r="G139" s="22"/>
    </row>
    <row r="140" spans="1:15" ht="17.100000000000001" customHeight="1" x14ac:dyDescent="0.2">
      <c r="A140" s="22"/>
      <c r="B140" s="288" t="s">
        <v>1116</v>
      </c>
      <c r="C140" s="289"/>
      <c r="D140" s="2" t="s">
        <v>142</v>
      </c>
      <c r="E140" s="22"/>
      <c r="F140" s="22"/>
      <c r="G140" s="22"/>
    </row>
    <row r="141" spans="1:15" ht="14.1" customHeight="1" x14ac:dyDescent="0.2">
      <c r="A141" s="22"/>
      <c r="B141" s="19"/>
      <c r="C141" s="19"/>
      <c r="D141" s="22"/>
      <c r="E141" s="22"/>
      <c r="F141" s="22"/>
      <c r="G141" s="22"/>
    </row>
    <row r="142" spans="1:15" ht="29.1" customHeight="1" x14ac:dyDescent="0.2">
      <c r="A142" s="22"/>
      <c r="B142" s="288" t="s">
        <v>153</v>
      </c>
      <c r="C142" s="289"/>
      <c r="D142" s="2" t="s">
        <v>142</v>
      </c>
      <c r="E142" s="22"/>
      <c r="F142" s="22"/>
      <c r="G142" s="22"/>
    </row>
    <row r="143" spans="1:15" ht="29.1" customHeight="1" x14ac:dyDescent="0.2">
      <c r="A143" s="22"/>
      <c r="B143" s="288" t="s">
        <v>154</v>
      </c>
      <c r="C143" s="289"/>
      <c r="D143" s="2" t="s">
        <v>142</v>
      </c>
      <c r="E143" s="22"/>
      <c r="F143" s="22"/>
      <c r="G143" s="22"/>
    </row>
    <row r="144" spans="1:15" s="27" customFormat="1" ht="17.100000000000001" customHeight="1" x14ac:dyDescent="0.2">
      <c r="A144" s="31"/>
      <c r="B144" s="315" t="s">
        <v>989</v>
      </c>
      <c r="C144" s="316"/>
      <c r="D144" s="35">
        <v>0</v>
      </c>
      <c r="E144" s="33"/>
      <c r="F144" s="31"/>
      <c r="G144" s="31"/>
      <c r="I144"/>
      <c r="J144"/>
      <c r="K144"/>
      <c r="L144"/>
      <c r="M144"/>
      <c r="N144"/>
      <c r="O144"/>
    </row>
    <row r="145" spans="1:15" s="27" customFormat="1" ht="17.100000000000001" customHeight="1" x14ac:dyDescent="0.2">
      <c r="A145" s="31"/>
      <c r="B145" s="315" t="s">
        <v>990</v>
      </c>
      <c r="C145" s="316"/>
      <c r="D145" s="35">
        <v>0</v>
      </c>
      <c r="E145" s="33"/>
      <c r="F145" s="31"/>
      <c r="G145" s="31"/>
      <c r="I145"/>
      <c r="J145"/>
      <c r="K145"/>
      <c r="L145"/>
      <c r="M145"/>
      <c r="N145"/>
      <c r="O145"/>
    </row>
    <row r="146" spans="1:15" ht="17.100000000000001" customHeight="1" x14ac:dyDescent="0.2">
      <c r="A146" s="22"/>
      <c r="B146" s="288" t="s">
        <v>991</v>
      </c>
      <c r="C146" s="289"/>
      <c r="D146" s="26">
        <v>0.66915747898387257</v>
      </c>
      <c r="E146" s="22"/>
      <c r="F146" s="19"/>
      <c r="G146" s="25"/>
    </row>
    <row r="147" spans="1:15" ht="17.100000000000001" customHeight="1" x14ac:dyDescent="0.2">
      <c r="A147" s="22"/>
      <c r="B147" s="288" t="s">
        <v>992</v>
      </c>
      <c r="C147" s="289"/>
      <c r="D147" s="2" t="s">
        <v>142</v>
      </c>
      <c r="E147" s="22"/>
      <c r="F147" s="22"/>
      <c r="G147" s="22"/>
    </row>
    <row r="149" spans="1:15" x14ac:dyDescent="0.2">
      <c r="I149" s="27"/>
    </row>
    <row r="150" spans="1:15" x14ac:dyDescent="0.2">
      <c r="I150" s="27"/>
    </row>
  </sheetData>
  <mergeCells count="18">
    <mergeCell ref="A1:H1"/>
    <mergeCell ref="A2:H2"/>
    <mergeCell ref="A3:H3"/>
    <mergeCell ref="J2:N2"/>
    <mergeCell ref="B127:F127"/>
    <mergeCell ref="B125:F125"/>
    <mergeCell ref="B126:F126"/>
    <mergeCell ref="B129:C129"/>
    <mergeCell ref="B146:C146"/>
    <mergeCell ref="B147:C147"/>
    <mergeCell ref="B130:C130"/>
    <mergeCell ref="B131:C131"/>
    <mergeCell ref="B132:C132"/>
    <mergeCell ref="B140:C140"/>
    <mergeCell ref="B142:C142"/>
    <mergeCell ref="B143:C143"/>
    <mergeCell ref="B144:C144"/>
    <mergeCell ref="B145:C14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O11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90" t="s">
        <v>0</v>
      </c>
      <c r="B1" s="290"/>
      <c r="C1" s="290"/>
      <c r="D1" s="290"/>
      <c r="E1" s="290"/>
      <c r="F1" s="290"/>
      <c r="G1" s="290"/>
      <c r="H1" s="290"/>
    </row>
    <row r="2" spans="1:14" ht="17.100000000000001" customHeight="1" x14ac:dyDescent="0.2">
      <c r="A2" s="291" t="s">
        <v>744</v>
      </c>
      <c r="B2" s="292"/>
      <c r="C2" s="292"/>
      <c r="D2" s="292"/>
      <c r="E2" s="292"/>
      <c r="F2" s="292"/>
      <c r="G2" s="292"/>
      <c r="H2" s="293"/>
      <c r="J2" s="296" t="s">
        <v>1139</v>
      </c>
      <c r="K2" s="296"/>
      <c r="L2" s="296"/>
      <c r="M2" s="296"/>
      <c r="N2" s="296"/>
    </row>
    <row r="3" spans="1:14" ht="21" customHeight="1" x14ac:dyDescent="0.2">
      <c r="A3" s="290" t="s">
        <v>1124</v>
      </c>
      <c r="B3" s="290"/>
      <c r="C3" s="290"/>
      <c r="D3" s="290"/>
      <c r="E3" s="290"/>
      <c r="F3" s="290"/>
      <c r="G3" s="290"/>
      <c r="H3" s="290"/>
    </row>
    <row r="4" spans="1:14" s="186" customFormat="1" ht="30" x14ac:dyDescent="0.2">
      <c r="A4" s="185" t="s">
        <v>2</v>
      </c>
      <c r="B4" s="185" t="s">
        <v>3</v>
      </c>
      <c r="C4" s="185" t="s">
        <v>4</v>
      </c>
      <c r="D4" s="185" t="s">
        <v>5</v>
      </c>
      <c r="E4" s="185" t="s">
        <v>6</v>
      </c>
      <c r="F4" s="185" t="s">
        <v>7</v>
      </c>
      <c r="G4" s="185" t="s">
        <v>8</v>
      </c>
      <c r="H4" s="71" t="s">
        <v>997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1248167</v>
      </c>
      <c r="F7" s="6">
        <v>9277.6253109999998</v>
      </c>
      <c r="G7" s="7">
        <v>0.181492406</v>
      </c>
      <c r="H7" s="6"/>
    </row>
    <row r="8" spans="1:14" ht="25.5" x14ac:dyDescent="0.2">
      <c r="A8" s="3">
        <v>2</v>
      </c>
      <c r="B8" s="4" t="s">
        <v>382</v>
      </c>
      <c r="C8" s="4" t="s">
        <v>383</v>
      </c>
      <c r="D8" s="4" t="s">
        <v>82</v>
      </c>
      <c r="E8" s="5">
        <v>311044</v>
      </c>
      <c r="F8" s="6">
        <v>6935.3480680000002</v>
      </c>
      <c r="G8" s="7">
        <v>0.13567189499999999</v>
      </c>
      <c r="H8" s="6"/>
    </row>
    <row r="9" spans="1:14" x14ac:dyDescent="0.2">
      <c r="A9" s="3">
        <v>3</v>
      </c>
      <c r="B9" s="4" t="s">
        <v>349</v>
      </c>
      <c r="C9" s="4" t="s">
        <v>350</v>
      </c>
      <c r="D9" s="4" t="s">
        <v>18</v>
      </c>
      <c r="E9" s="5">
        <v>497665</v>
      </c>
      <c r="F9" s="6">
        <v>6890.6695900000004</v>
      </c>
      <c r="G9" s="7">
        <v>0.13479787800000001</v>
      </c>
      <c r="H9" s="6"/>
    </row>
    <row r="10" spans="1:14" x14ac:dyDescent="0.2">
      <c r="A10" s="3">
        <v>4</v>
      </c>
      <c r="B10" s="4" t="s">
        <v>48</v>
      </c>
      <c r="C10" s="4" t="s">
        <v>49</v>
      </c>
      <c r="D10" s="4" t="s">
        <v>18</v>
      </c>
      <c r="E10" s="5">
        <v>988726</v>
      </c>
      <c r="F10" s="6">
        <v>4907.0471379999999</v>
      </c>
      <c r="G10" s="7">
        <v>9.5993507000000006E-2</v>
      </c>
      <c r="H10" s="6"/>
    </row>
    <row r="11" spans="1:14" x14ac:dyDescent="0.2">
      <c r="A11" s="3">
        <v>5</v>
      </c>
      <c r="B11" s="4" t="s">
        <v>294</v>
      </c>
      <c r="C11" s="4" t="s">
        <v>295</v>
      </c>
      <c r="D11" s="4" t="s">
        <v>18</v>
      </c>
      <c r="E11" s="5">
        <v>527281</v>
      </c>
      <c r="F11" s="6">
        <v>3841.769366</v>
      </c>
      <c r="G11" s="7">
        <v>7.5154140999999994E-2</v>
      </c>
      <c r="H11" s="6"/>
    </row>
    <row r="12" spans="1:14" x14ac:dyDescent="0.2">
      <c r="A12" s="3">
        <v>6</v>
      </c>
      <c r="B12" s="4" t="s">
        <v>678</v>
      </c>
      <c r="C12" s="4" t="s">
        <v>679</v>
      </c>
      <c r="D12" s="4" t="s">
        <v>18</v>
      </c>
      <c r="E12" s="5">
        <v>160075</v>
      </c>
      <c r="F12" s="6">
        <v>1566.4139124999999</v>
      </c>
      <c r="G12" s="7">
        <v>3.0642780000000001E-2</v>
      </c>
      <c r="H12" s="6"/>
    </row>
    <row r="13" spans="1:14" x14ac:dyDescent="0.2">
      <c r="A13" s="3">
        <v>7</v>
      </c>
      <c r="B13" s="4" t="s">
        <v>355</v>
      </c>
      <c r="C13" s="4" t="s">
        <v>356</v>
      </c>
      <c r="D13" s="4" t="s">
        <v>82</v>
      </c>
      <c r="E13" s="5">
        <v>10365</v>
      </c>
      <c r="F13" s="6">
        <v>1545.5406975000001</v>
      </c>
      <c r="G13" s="7">
        <v>3.023445E-2</v>
      </c>
      <c r="H13" s="6"/>
    </row>
    <row r="14" spans="1:14" x14ac:dyDescent="0.2">
      <c r="A14" s="3">
        <v>8</v>
      </c>
      <c r="B14" s="4" t="s">
        <v>418</v>
      </c>
      <c r="C14" s="4" t="s">
        <v>419</v>
      </c>
      <c r="D14" s="4" t="s">
        <v>82</v>
      </c>
      <c r="E14" s="5">
        <v>22768</v>
      </c>
      <c r="F14" s="6">
        <v>1519.0354239999999</v>
      </c>
      <c r="G14" s="7">
        <v>2.9715944000000001E-2</v>
      </c>
      <c r="H14" s="6"/>
    </row>
    <row r="15" spans="1:14" ht="15" x14ac:dyDescent="0.2">
      <c r="A15" s="3">
        <v>9</v>
      </c>
      <c r="B15" s="4" t="s">
        <v>407</v>
      </c>
      <c r="C15" s="4" t="s">
        <v>408</v>
      </c>
      <c r="D15" s="4" t="s">
        <v>18</v>
      </c>
      <c r="E15" s="5">
        <v>79317</v>
      </c>
      <c r="F15" s="6">
        <v>1420.3691775</v>
      </c>
      <c r="G15" s="7">
        <v>2.7785798E-2</v>
      </c>
      <c r="H15" s="6"/>
      <c r="J15" s="192" t="s">
        <v>1170</v>
      </c>
    </row>
    <row r="16" spans="1:14" x14ac:dyDescent="0.2">
      <c r="A16" s="3">
        <v>10</v>
      </c>
      <c r="B16" s="4" t="s">
        <v>197</v>
      </c>
      <c r="C16" s="4" t="s">
        <v>198</v>
      </c>
      <c r="D16" s="4" t="s">
        <v>82</v>
      </c>
      <c r="E16" s="5">
        <v>198851</v>
      </c>
      <c r="F16" s="6">
        <v>1396.7294240000001</v>
      </c>
      <c r="G16" s="7">
        <v>2.7323348000000001E-2</v>
      </c>
      <c r="H16" s="6"/>
    </row>
    <row r="17" spans="1:8" x14ac:dyDescent="0.2">
      <c r="A17" s="3">
        <v>11</v>
      </c>
      <c r="B17" s="4" t="s">
        <v>290</v>
      </c>
      <c r="C17" s="4" t="s">
        <v>291</v>
      </c>
      <c r="D17" s="4" t="s">
        <v>18</v>
      </c>
      <c r="E17" s="5">
        <v>1236985</v>
      </c>
      <c r="F17" s="6">
        <v>1396.556065</v>
      </c>
      <c r="G17" s="7">
        <v>2.7319956999999999E-2</v>
      </c>
      <c r="H17" s="6"/>
    </row>
    <row r="18" spans="1:8" ht="25.5" x14ac:dyDescent="0.2">
      <c r="A18" s="3">
        <v>12</v>
      </c>
      <c r="B18" s="4" t="s">
        <v>80</v>
      </c>
      <c r="C18" s="4" t="s">
        <v>81</v>
      </c>
      <c r="D18" s="4" t="s">
        <v>82</v>
      </c>
      <c r="E18" s="5">
        <v>182440</v>
      </c>
      <c r="F18" s="6">
        <v>1347.7755</v>
      </c>
      <c r="G18" s="7">
        <v>2.6365692999999999E-2</v>
      </c>
      <c r="H18" s="6"/>
    </row>
    <row r="19" spans="1:8" x14ac:dyDescent="0.2">
      <c r="A19" s="3">
        <v>13</v>
      </c>
      <c r="B19" s="4" t="s">
        <v>279</v>
      </c>
      <c r="C19" s="4" t="s">
        <v>280</v>
      </c>
      <c r="D19" s="4" t="s">
        <v>18</v>
      </c>
      <c r="E19" s="5">
        <v>511983</v>
      </c>
      <c r="F19" s="6">
        <v>1096.667586</v>
      </c>
      <c r="G19" s="7">
        <v>2.1453425000000002E-2</v>
      </c>
      <c r="H19" s="6"/>
    </row>
    <row r="20" spans="1:8" x14ac:dyDescent="0.2">
      <c r="A20" s="3">
        <v>14</v>
      </c>
      <c r="B20" s="4" t="s">
        <v>561</v>
      </c>
      <c r="C20" s="4" t="s">
        <v>562</v>
      </c>
      <c r="D20" s="4" t="s">
        <v>933</v>
      </c>
      <c r="E20" s="5">
        <v>187384</v>
      </c>
      <c r="F20" s="6">
        <v>1091.3244159999999</v>
      </c>
      <c r="G20" s="7">
        <v>2.1348900000000001E-2</v>
      </c>
      <c r="H20" s="6"/>
    </row>
    <row r="21" spans="1:8" x14ac:dyDescent="0.2">
      <c r="A21" s="3">
        <v>15</v>
      </c>
      <c r="B21" s="4" t="s">
        <v>321</v>
      </c>
      <c r="C21" s="4" t="s">
        <v>322</v>
      </c>
      <c r="D21" s="4" t="s">
        <v>82</v>
      </c>
      <c r="E21" s="5">
        <v>84541</v>
      </c>
      <c r="F21" s="6">
        <v>1016.2250905</v>
      </c>
      <c r="G21" s="7">
        <v>1.9879779E-2</v>
      </c>
      <c r="H21" s="6"/>
    </row>
    <row r="22" spans="1:8" x14ac:dyDescent="0.2">
      <c r="A22" s="3">
        <v>16</v>
      </c>
      <c r="B22" s="4" t="s">
        <v>209</v>
      </c>
      <c r="C22" s="4" t="s">
        <v>210</v>
      </c>
      <c r="D22" s="4" t="s">
        <v>934</v>
      </c>
      <c r="E22" s="5">
        <v>46083</v>
      </c>
      <c r="F22" s="6">
        <v>898.24983599999996</v>
      </c>
      <c r="G22" s="7">
        <v>1.7571902E-2</v>
      </c>
      <c r="H22" s="6"/>
    </row>
    <row r="23" spans="1:8" x14ac:dyDescent="0.2">
      <c r="A23" s="3">
        <v>17</v>
      </c>
      <c r="B23" s="4" t="s">
        <v>178</v>
      </c>
      <c r="C23" s="4" t="s">
        <v>179</v>
      </c>
      <c r="D23" s="4" t="s">
        <v>934</v>
      </c>
      <c r="E23" s="5">
        <v>56202</v>
      </c>
      <c r="F23" s="6">
        <v>803.80100400000003</v>
      </c>
      <c r="G23" s="7">
        <v>1.5724258000000001E-2</v>
      </c>
      <c r="H23" s="6"/>
    </row>
    <row r="24" spans="1:8" x14ac:dyDescent="0.2">
      <c r="A24" s="3">
        <v>18</v>
      </c>
      <c r="B24" s="4" t="s">
        <v>386</v>
      </c>
      <c r="C24" s="4" t="s">
        <v>387</v>
      </c>
      <c r="D24" s="4" t="s">
        <v>933</v>
      </c>
      <c r="E24" s="5">
        <v>54246</v>
      </c>
      <c r="F24" s="6">
        <v>599.68952999999999</v>
      </c>
      <c r="G24" s="7">
        <v>1.1731353E-2</v>
      </c>
      <c r="H24" s="6"/>
    </row>
    <row r="25" spans="1:8" ht="25.5" x14ac:dyDescent="0.2">
      <c r="A25" s="3">
        <v>19</v>
      </c>
      <c r="B25" s="4" t="s">
        <v>690</v>
      </c>
      <c r="C25" s="4" t="s">
        <v>691</v>
      </c>
      <c r="D25" s="4" t="s">
        <v>933</v>
      </c>
      <c r="E25" s="5">
        <v>19277</v>
      </c>
      <c r="F25" s="6">
        <v>246.784154</v>
      </c>
      <c r="G25" s="7">
        <v>4.827685E-3</v>
      </c>
      <c r="H25" s="6"/>
    </row>
    <row r="26" spans="1:8" x14ac:dyDescent="0.2">
      <c r="A26" s="1"/>
      <c r="B26" s="1"/>
      <c r="C26" s="2" t="s">
        <v>111</v>
      </c>
      <c r="D26" s="1"/>
      <c r="E26" s="1" t="s">
        <v>112</v>
      </c>
      <c r="F26" s="9">
        <v>47797.621290000003</v>
      </c>
      <c r="G26" s="10">
        <v>0.93503509900000004</v>
      </c>
      <c r="H26" s="6"/>
    </row>
    <row r="27" spans="1:8" x14ac:dyDescent="0.2">
      <c r="A27" s="1"/>
      <c r="B27" s="1"/>
      <c r="C27" s="11"/>
      <c r="D27" s="1"/>
      <c r="E27" s="1"/>
      <c r="F27" s="12"/>
      <c r="G27" s="12"/>
      <c r="H27" s="6"/>
    </row>
    <row r="28" spans="1:8" x14ac:dyDescent="0.2">
      <c r="A28" s="1"/>
      <c r="B28" s="1"/>
      <c r="C28" s="2" t="s">
        <v>113</v>
      </c>
      <c r="D28" s="1"/>
      <c r="E28" s="1"/>
      <c r="F28" s="1"/>
      <c r="G28" s="1"/>
      <c r="H28" s="6"/>
    </row>
    <row r="29" spans="1:8" x14ac:dyDescent="0.2">
      <c r="A29" s="1"/>
      <c r="B29" s="1"/>
      <c r="C29" s="2" t="s">
        <v>111</v>
      </c>
      <c r="D29" s="1"/>
      <c r="E29" s="1" t="s">
        <v>112</v>
      </c>
      <c r="F29" s="13">
        <v>0</v>
      </c>
      <c r="G29" s="14">
        <v>0</v>
      </c>
      <c r="H29" s="6"/>
    </row>
    <row r="30" spans="1:8" x14ac:dyDescent="0.2">
      <c r="A30" s="1"/>
      <c r="B30" s="1"/>
      <c r="C30" s="11"/>
      <c r="D30" s="1"/>
      <c r="E30" s="1"/>
      <c r="F30" s="12"/>
      <c r="G30" s="12"/>
      <c r="H30" s="6"/>
    </row>
    <row r="31" spans="1:8" x14ac:dyDescent="0.2">
      <c r="A31" s="1"/>
      <c r="B31" s="1"/>
      <c r="C31" s="2" t="s">
        <v>114</v>
      </c>
      <c r="D31" s="1"/>
      <c r="E31" s="1"/>
      <c r="F31" s="1"/>
      <c r="G31" s="1"/>
      <c r="H31" s="6"/>
    </row>
    <row r="32" spans="1:8" x14ac:dyDescent="0.2">
      <c r="A32" s="1"/>
      <c r="B32" s="1"/>
      <c r="C32" s="2" t="s">
        <v>111</v>
      </c>
      <c r="D32" s="1"/>
      <c r="E32" s="1" t="s">
        <v>112</v>
      </c>
      <c r="F32" s="13">
        <v>0</v>
      </c>
      <c r="G32" s="14">
        <v>0</v>
      </c>
      <c r="H32" s="6"/>
    </row>
    <row r="33" spans="1:8" x14ac:dyDescent="0.2">
      <c r="A33" s="1"/>
      <c r="B33" s="1"/>
      <c r="C33" s="11"/>
      <c r="D33" s="1"/>
      <c r="E33" s="1"/>
      <c r="F33" s="12"/>
      <c r="G33" s="12"/>
      <c r="H33" s="6"/>
    </row>
    <row r="34" spans="1:8" x14ac:dyDescent="0.2">
      <c r="A34" s="1"/>
      <c r="B34" s="1"/>
      <c r="C34" s="2" t="s">
        <v>115</v>
      </c>
      <c r="D34" s="1"/>
      <c r="E34" s="1"/>
      <c r="F34" s="1"/>
      <c r="G34" s="1"/>
      <c r="H34" s="6"/>
    </row>
    <row r="35" spans="1:8" x14ac:dyDescent="0.2">
      <c r="A35" s="1"/>
      <c r="B35" s="1"/>
      <c r="C35" s="2" t="s">
        <v>111</v>
      </c>
      <c r="D35" s="1"/>
      <c r="E35" s="1" t="s">
        <v>112</v>
      </c>
      <c r="F35" s="13">
        <v>0</v>
      </c>
      <c r="G35" s="14">
        <v>0</v>
      </c>
      <c r="H35" s="6"/>
    </row>
    <row r="36" spans="1:8" x14ac:dyDescent="0.2">
      <c r="A36" s="1"/>
      <c r="B36" s="1"/>
      <c r="C36" s="11"/>
      <c r="D36" s="1"/>
      <c r="E36" s="1"/>
      <c r="F36" s="12"/>
      <c r="G36" s="12"/>
      <c r="H36" s="6"/>
    </row>
    <row r="37" spans="1:8" x14ac:dyDescent="0.2">
      <c r="A37" s="1"/>
      <c r="B37" s="1"/>
      <c r="C37" s="2" t="s">
        <v>116</v>
      </c>
      <c r="D37" s="1"/>
      <c r="E37" s="1"/>
      <c r="F37" s="12"/>
      <c r="G37" s="12"/>
      <c r="H37" s="6"/>
    </row>
    <row r="38" spans="1:8" x14ac:dyDescent="0.2">
      <c r="A38" s="1"/>
      <c r="B38" s="1"/>
      <c r="C38" s="2" t="s">
        <v>111</v>
      </c>
      <c r="D38" s="1"/>
      <c r="E38" s="1" t="s">
        <v>112</v>
      </c>
      <c r="F38" s="13">
        <v>0</v>
      </c>
      <c r="G38" s="14">
        <v>0</v>
      </c>
      <c r="H38" s="6"/>
    </row>
    <row r="39" spans="1:8" x14ac:dyDescent="0.2">
      <c r="A39" s="1"/>
      <c r="B39" s="1"/>
      <c r="C39" s="11"/>
      <c r="D39" s="1"/>
      <c r="E39" s="1"/>
      <c r="F39" s="12"/>
      <c r="G39" s="12"/>
      <c r="H39" s="6"/>
    </row>
    <row r="40" spans="1:8" x14ac:dyDescent="0.2">
      <c r="A40" s="1"/>
      <c r="B40" s="1"/>
      <c r="C40" s="2" t="s">
        <v>117</v>
      </c>
      <c r="D40" s="1"/>
      <c r="E40" s="1"/>
      <c r="F40" s="12"/>
      <c r="G40" s="12"/>
      <c r="H40" s="6"/>
    </row>
    <row r="41" spans="1:8" x14ac:dyDescent="0.2">
      <c r="A41" s="1"/>
      <c r="B41" s="1"/>
      <c r="C41" s="2" t="s">
        <v>111</v>
      </c>
      <c r="D41" s="1"/>
      <c r="E41" s="1" t="s">
        <v>112</v>
      </c>
      <c r="F41" s="13">
        <v>0</v>
      </c>
      <c r="G41" s="14">
        <v>0</v>
      </c>
      <c r="H41" s="6"/>
    </row>
    <row r="42" spans="1:8" x14ac:dyDescent="0.2">
      <c r="A42" s="1"/>
      <c r="B42" s="1"/>
      <c r="C42" s="11"/>
      <c r="D42" s="1"/>
      <c r="E42" s="1"/>
      <c r="F42" s="12"/>
      <c r="G42" s="12"/>
      <c r="H42" s="6"/>
    </row>
    <row r="43" spans="1:8" x14ac:dyDescent="0.2">
      <c r="A43" s="1"/>
      <c r="B43" s="1"/>
      <c r="C43" s="2" t="s">
        <v>118</v>
      </c>
      <c r="D43" s="1"/>
      <c r="E43" s="1"/>
      <c r="F43" s="9">
        <v>47797.621290000003</v>
      </c>
      <c r="G43" s="10">
        <v>0.93503509900000004</v>
      </c>
      <c r="H43" s="6"/>
    </row>
    <row r="44" spans="1:8" x14ac:dyDescent="0.2">
      <c r="A44" s="1"/>
      <c r="B44" s="1"/>
      <c r="C44" s="11"/>
      <c r="D44" s="1"/>
      <c r="E44" s="1"/>
      <c r="F44" s="12"/>
      <c r="G44" s="12"/>
      <c r="H44" s="6"/>
    </row>
    <row r="45" spans="1:8" x14ac:dyDescent="0.2">
      <c r="A45" s="1"/>
      <c r="B45" s="1"/>
      <c r="C45" s="2" t="s">
        <v>119</v>
      </c>
      <c r="D45" s="1"/>
      <c r="E45" s="1"/>
      <c r="F45" s="12"/>
      <c r="G45" s="12"/>
      <c r="H45" s="6"/>
    </row>
    <row r="46" spans="1:8" ht="25.5" x14ac:dyDescent="0.2">
      <c r="A46" s="1"/>
      <c r="B46" s="1"/>
      <c r="C46" s="2" t="s">
        <v>10</v>
      </c>
      <c r="D46" s="1"/>
      <c r="E46" s="1"/>
      <c r="F46" s="12"/>
      <c r="G46" s="12"/>
      <c r="H46" s="6"/>
    </row>
    <row r="47" spans="1:8" x14ac:dyDescent="0.2">
      <c r="A47" s="1"/>
      <c r="B47" s="1"/>
      <c r="C47" s="2" t="s">
        <v>111</v>
      </c>
      <c r="D47" s="1"/>
      <c r="E47" s="1" t="s">
        <v>112</v>
      </c>
      <c r="F47" s="13">
        <v>0</v>
      </c>
      <c r="G47" s="14">
        <v>0</v>
      </c>
      <c r="H47" s="6"/>
    </row>
    <row r="48" spans="1:8" x14ac:dyDescent="0.2">
      <c r="A48" s="1"/>
      <c r="B48" s="1"/>
      <c r="C48" s="11"/>
      <c r="D48" s="1"/>
      <c r="E48" s="1"/>
      <c r="F48" s="12"/>
      <c r="G48" s="12"/>
      <c r="H48" s="6"/>
    </row>
    <row r="49" spans="1:8" x14ac:dyDescent="0.2">
      <c r="A49" s="1"/>
      <c r="B49" s="1"/>
      <c r="C49" s="2" t="s">
        <v>120</v>
      </c>
      <c r="D49" s="1"/>
      <c r="E49" s="1"/>
      <c r="F49" s="1"/>
      <c r="G49" s="1"/>
      <c r="H49" s="6"/>
    </row>
    <row r="50" spans="1:8" x14ac:dyDescent="0.2">
      <c r="A50" s="1"/>
      <c r="B50" s="1"/>
      <c r="C50" s="2" t="s">
        <v>111</v>
      </c>
      <c r="D50" s="1"/>
      <c r="E50" s="1" t="s">
        <v>112</v>
      </c>
      <c r="F50" s="13">
        <v>0</v>
      </c>
      <c r="G50" s="14">
        <v>0</v>
      </c>
      <c r="H50" s="6"/>
    </row>
    <row r="51" spans="1:8" x14ac:dyDescent="0.2">
      <c r="A51" s="1"/>
      <c r="B51" s="1"/>
      <c r="C51" s="11"/>
      <c r="D51" s="1"/>
      <c r="E51" s="1"/>
      <c r="F51" s="12"/>
      <c r="G51" s="12"/>
      <c r="H51" s="6"/>
    </row>
    <row r="52" spans="1:8" x14ac:dyDescent="0.2">
      <c r="A52" s="1"/>
      <c r="B52" s="1"/>
      <c r="C52" s="2" t="s">
        <v>121</v>
      </c>
      <c r="D52" s="1"/>
      <c r="E52" s="1"/>
      <c r="F52" s="1"/>
      <c r="G52" s="1"/>
      <c r="H52" s="6"/>
    </row>
    <row r="53" spans="1:8" x14ac:dyDescent="0.2">
      <c r="A53" s="1"/>
      <c r="B53" s="1"/>
      <c r="C53" s="2" t="s">
        <v>111</v>
      </c>
      <c r="D53" s="1"/>
      <c r="E53" s="1" t="s">
        <v>112</v>
      </c>
      <c r="F53" s="13">
        <v>0</v>
      </c>
      <c r="G53" s="14">
        <v>0</v>
      </c>
      <c r="H53" s="6"/>
    </row>
    <row r="54" spans="1:8" x14ac:dyDescent="0.2">
      <c r="A54" s="1"/>
      <c r="B54" s="1"/>
      <c r="C54" s="11"/>
      <c r="D54" s="1"/>
      <c r="E54" s="1"/>
      <c r="F54" s="12"/>
      <c r="G54" s="12"/>
      <c r="H54" s="6"/>
    </row>
    <row r="55" spans="1:8" x14ac:dyDescent="0.2">
      <c r="A55" s="1"/>
      <c r="B55" s="1"/>
      <c r="C55" s="2" t="s">
        <v>122</v>
      </c>
      <c r="D55" s="1"/>
      <c r="E55" s="1"/>
      <c r="F55" s="12"/>
      <c r="G55" s="12"/>
      <c r="H55" s="6"/>
    </row>
    <row r="56" spans="1:8" x14ac:dyDescent="0.2">
      <c r="A56" s="1"/>
      <c r="B56" s="1"/>
      <c r="C56" s="2" t="s">
        <v>111</v>
      </c>
      <c r="D56" s="1"/>
      <c r="E56" s="1" t="s">
        <v>112</v>
      </c>
      <c r="F56" s="13">
        <v>0</v>
      </c>
      <c r="G56" s="14">
        <v>0</v>
      </c>
      <c r="H56" s="6"/>
    </row>
    <row r="57" spans="1:8" x14ac:dyDescent="0.2">
      <c r="A57" s="1"/>
      <c r="B57" s="1"/>
      <c r="C57" s="11"/>
      <c r="D57" s="1"/>
      <c r="E57" s="1"/>
      <c r="F57" s="12"/>
      <c r="G57" s="12"/>
      <c r="H57" s="6"/>
    </row>
    <row r="58" spans="1:8" x14ac:dyDescent="0.2">
      <c r="A58" s="1"/>
      <c r="B58" s="1"/>
      <c r="C58" s="2" t="s">
        <v>123</v>
      </c>
      <c r="D58" s="1"/>
      <c r="E58" s="1"/>
      <c r="F58" s="9">
        <v>0</v>
      </c>
      <c r="G58" s="10">
        <v>0</v>
      </c>
      <c r="H58" s="6"/>
    </row>
    <row r="59" spans="1:8" x14ac:dyDescent="0.2">
      <c r="A59" s="1"/>
      <c r="B59" s="1"/>
      <c r="C59" s="11"/>
      <c r="D59" s="1"/>
      <c r="E59" s="1"/>
      <c r="F59" s="12"/>
      <c r="G59" s="12"/>
      <c r="H59" s="6"/>
    </row>
    <row r="60" spans="1:8" x14ac:dyDescent="0.2">
      <c r="A60" s="1"/>
      <c r="B60" s="1"/>
      <c r="C60" s="2" t="s">
        <v>124</v>
      </c>
      <c r="D60" s="1"/>
      <c r="E60" s="1"/>
      <c r="F60" s="12"/>
      <c r="G60" s="12"/>
      <c r="H60" s="6"/>
    </row>
    <row r="61" spans="1:8" x14ac:dyDescent="0.2">
      <c r="A61" s="1"/>
      <c r="B61" s="1"/>
      <c r="C61" s="2" t="s">
        <v>125</v>
      </c>
      <c r="D61" s="1"/>
      <c r="E61" s="1"/>
      <c r="F61" s="12"/>
      <c r="G61" s="12"/>
      <c r="H61" s="6"/>
    </row>
    <row r="62" spans="1:8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6"/>
    </row>
    <row r="63" spans="1:8" x14ac:dyDescent="0.2">
      <c r="A63" s="1"/>
      <c r="B63" s="1"/>
      <c r="C63" s="11"/>
      <c r="D63" s="1"/>
      <c r="E63" s="1"/>
      <c r="F63" s="12"/>
      <c r="G63" s="12"/>
      <c r="H63" s="6"/>
    </row>
    <row r="64" spans="1:8" x14ac:dyDescent="0.2">
      <c r="A64" s="1"/>
      <c r="B64" s="1"/>
      <c r="C64" s="2" t="s">
        <v>126</v>
      </c>
      <c r="D64" s="1"/>
      <c r="E64" s="1"/>
      <c r="F64" s="12"/>
      <c r="G64" s="12"/>
      <c r="H64" s="6"/>
    </row>
    <row r="65" spans="1:8" x14ac:dyDescent="0.2">
      <c r="A65" s="1"/>
      <c r="B65" s="1"/>
      <c r="C65" s="2" t="s">
        <v>111</v>
      </c>
      <c r="D65" s="1"/>
      <c r="E65" s="1" t="s">
        <v>112</v>
      </c>
      <c r="F65" s="13">
        <v>0</v>
      </c>
      <c r="G65" s="14">
        <v>0</v>
      </c>
      <c r="H65" s="6"/>
    </row>
    <row r="66" spans="1:8" x14ac:dyDescent="0.2">
      <c r="A66" s="1"/>
      <c r="B66" s="1"/>
      <c r="C66" s="11"/>
      <c r="D66" s="1"/>
      <c r="E66" s="1"/>
      <c r="F66" s="12"/>
      <c r="G66" s="12"/>
      <c r="H66" s="6"/>
    </row>
    <row r="67" spans="1:8" x14ac:dyDescent="0.2">
      <c r="A67" s="1"/>
      <c r="B67" s="1"/>
      <c r="C67" s="2" t="s">
        <v>127</v>
      </c>
      <c r="D67" s="1"/>
      <c r="E67" s="1"/>
      <c r="F67" s="12"/>
      <c r="G67" s="12"/>
      <c r="H67" s="6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13">
        <v>0</v>
      </c>
      <c r="G68" s="14">
        <v>0</v>
      </c>
      <c r="H68" s="6"/>
    </row>
    <row r="69" spans="1:8" x14ac:dyDescent="0.2">
      <c r="A69" s="1"/>
      <c r="B69" s="1"/>
      <c r="C69" s="11"/>
      <c r="D69" s="1"/>
      <c r="E69" s="1"/>
      <c r="F69" s="12"/>
      <c r="G69" s="12"/>
      <c r="H69" s="6"/>
    </row>
    <row r="70" spans="1:8" x14ac:dyDescent="0.2">
      <c r="A70" s="1"/>
      <c r="B70" s="1"/>
      <c r="C70" s="2" t="s">
        <v>128</v>
      </c>
      <c r="D70" s="1"/>
      <c r="E70" s="1"/>
      <c r="F70" s="12"/>
      <c r="G70" s="12"/>
      <c r="H70" s="6"/>
    </row>
    <row r="71" spans="1:8" x14ac:dyDescent="0.2">
      <c r="A71" s="3">
        <v>1</v>
      </c>
      <c r="B71" s="4"/>
      <c r="C71" s="4" t="s">
        <v>129</v>
      </c>
      <c r="D71" s="4"/>
      <c r="E71" s="8"/>
      <c r="F71" s="6">
        <v>2843.2864531</v>
      </c>
      <c r="G71" s="7">
        <v>5.5621442E-2</v>
      </c>
      <c r="H71" s="6">
        <v>3.9343919198424624</v>
      </c>
    </row>
    <row r="72" spans="1:8" x14ac:dyDescent="0.2">
      <c r="A72" s="3">
        <v>2</v>
      </c>
      <c r="B72" s="4"/>
      <c r="C72" s="4" t="s">
        <v>130</v>
      </c>
      <c r="D72" s="4"/>
      <c r="E72" s="8"/>
      <c r="F72" s="6">
        <v>186.74574469999999</v>
      </c>
      <c r="G72" s="7">
        <v>3.6531910000000001E-3</v>
      </c>
      <c r="H72" s="6">
        <v>3.8</v>
      </c>
    </row>
    <row r="73" spans="1:8" x14ac:dyDescent="0.2">
      <c r="A73" s="1"/>
      <c r="B73" s="1"/>
      <c r="C73" s="2" t="s">
        <v>111</v>
      </c>
      <c r="D73" s="1"/>
      <c r="E73" s="1" t="s">
        <v>112</v>
      </c>
      <c r="F73" s="9">
        <v>3030.0321978000002</v>
      </c>
      <c r="G73" s="10">
        <v>5.9274633E-2</v>
      </c>
      <c r="H73" s="6"/>
    </row>
    <row r="74" spans="1:8" x14ac:dyDescent="0.2">
      <c r="A74" s="1"/>
      <c r="B74" s="1"/>
      <c r="C74" s="11"/>
      <c r="D74" s="1"/>
      <c r="E74" s="1"/>
      <c r="F74" s="12"/>
      <c r="G74" s="12"/>
      <c r="H74" s="6"/>
    </row>
    <row r="75" spans="1:8" x14ac:dyDescent="0.2">
      <c r="A75" s="1"/>
      <c r="B75" s="1"/>
      <c r="C75" s="2" t="s">
        <v>131</v>
      </c>
      <c r="D75" s="1"/>
      <c r="E75" s="1"/>
      <c r="F75" s="9">
        <v>3030.0321978000002</v>
      </c>
      <c r="G75" s="10">
        <v>5.9274633E-2</v>
      </c>
      <c r="H75" s="6"/>
    </row>
    <row r="76" spans="1:8" x14ac:dyDescent="0.2">
      <c r="A76" s="1"/>
      <c r="B76" s="1"/>
      <c r="C76" s="12"/>
      <c r="D76" s="1"/>
      <c r="E76" s="1"/>
      <c r="F76" s="1"/>
      <c r="G76" s="1"/>
      <c r="H76" s="6"/>
    </row>
    <row r="77" spans="1:8" x14ac:dyDescent="0.2">
      <c r="A77" s="1"/>
      <c r="B77" s="1"/>
      <c r="C77" s="2" t="s">
        <v>132</v>
      </c>
      <c r="D77" s="1"/>
      <c r="E77" s="1"/>
      <c r="F77" s="1"/>
      <c r="G77" s="1"/>
      <c r="H77" s="6"/>
    </row>
    <row r="78" spans="1:8" x14ac:dyDescent="0.2">
      <c r="A78" s="1"/>
      <c r="B78" s="1"/>
      <c r="C78" s="2" t="s">
        <v>133</v>
      </c>
      <c r="D78" s="1"/>
      <c r="E78" s="1"/>
      <c r="F78" s="1"/>
      <c r="G78" s="1"/>
      <c r="H78" s="6"/>
    </row>
    <row r="79" spans="1:8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6"/>
    </row>
    <row r="80" spans="1:8" x14ac:dyDescent="0.2">
      <c r="A80" s="1"/>
      <c r="B80" s="1"/>
      <c r="C80" s="11"/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134</v>
      </c>
      <c r="D81" s="1"/>
      <c r="E81" s="1"/>
      <c r="F81" s="1"/>
      <c r="G81" s="1"/>
      <c r="H81" s="6"/>
    </row>
    <row r="82" spans="1:8" x14ac:dyDescent="0.2">
      <c r="A82" s="1"/>
      <c r="B82" s="1"/>
      <c r="C82" s="2" t="s">
        <v>135</v>
      </c>
      <c r="D82" s="1"/>
      <c r="E82" s="1"/>
      <c r="F82" s="1"/>
      <c r="G82" s="1"/>
      <c r="H82" s="6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6"/>
    </row>
    <row r="84" spans="1:8" x14ac:dyDescent="0.2">
      <c r="A84" s="1"/>
      <c r="B84" s="1"/>
      <c r="C84" s="11"/>
      <c r="D84" s="1"/>
      <c r="E84" s="1"/>
      <c r="F84" s="12"/>
      <c r="G84" s="12"/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ht="25.5" x14ac:dyDescent="0.2">
      <c r="A86" s="1"/>
      <c r="B86" s="1"/>
      <c r="C86" s="2" t="s">
        <v>136</v>
      </c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4"/>
      <c r="C89" s="4"/>
      <c r="D89" s="2"/>
      <c r="E89" s="1"/>
      <c r="F89" s="4"/>
      <c r="G89" s="8"/>
      <c r="H89" s="6"/>
    </row>
    <row r="90" spans="1:8" x14ac:dyDescent="0.2">
      <c r="A90" s="8"/>
      <c r="B90" s="4"/>
      <c r="C90" s="4" t="s">
        <v>137</v>
      </c>
      <c r="D90" s="4"/>
      <c r="E90" s="8"/>
      <c r="F90" s="6">
        <v>290.87826639000002</v>
      </c>
      <c r="G90" s="7">
        <v>5.6902699999999999E-3</v>
      </c>
      <c r="H90" s="6"/>
    </row>
    <row r="91" spans="1:8" x14ac:dyDescent="0.2">
      <c r="A91" s="11"/>
      <c r="B91" s="11"/>
      <c r="C91" s="2" t="s">
        <v>138</v>
      </c>
      <c r="D91" s="15"/>
      <c r="E91" s="15"/>
      <c r="F91" s="9">
        <v>51118.53175419</v>
      </c>
      <c r="G91" s="10">
        <v>1.0000000019999999</v>
      </c>
      <c r="H91" s="6"/>
    </row>
    <row r="92" spans="1:8" ht="14.1" customHeight="1" x14ac:dyDescent="0.2">
      <c r="A92" s="18"/>
      <c r="B92" s="297" t="s">
        <v>112</v>
      </c>
      <c r="C92" s="297"/>
      <c r="D92" s="297"/>
      <c r="E92" s="297"/>
      <c r="F92" s="297"/>
      <c r="G92" s="20"/>
    </row>
    <row r="93" spans="1:8" ht="14.1" customHeight="1" x14ac:dyDescent="0.2">
      <c r="A93" s="18"/>
      <c r="B93" s="18"/>
      <c r="C93" s="18"/>
      <c r="D93" s="20"/>
      <c r="E93" s="20"/>
      <c r="F93" s="20"/>
      <c r="G93" s="20"/>
    </row>
    <row r="94" spans="1:8" ht="14.1" customHeight="1" x14ac:dyDescent="0.2">
      <c r="A94" s="18"/>
      <c r="B94" s="294" t="s">
        <v>140</v>
      </c>
      <c r="C94" s="295"/>
      <c r="D94" s="12" t="s">
        <v>112</v>
      </c>
      <c r="E94" s="21"/>
      <c r="F94" s="20"/>
      <c r="G94" s="20"/>
    </row>
    <row r="95" spans="1:8" ht="29.1" customHeight="1" x14ac:dyDescent="0.2">
      <c r="A95" s="18"/>
      <c r="B95" s="288" t="s">
        <v>141</v>
      </c>
      <c r="C95" s="289"/>
      <c r="D95" s="2" t="s">
        <v>142</v>
      </c>
      <c r="E95" s="21"/>
      <c r="F95" s="20"/>
      <c r="G95" s="20"/>
    </row>
    <row r="96" spans="1:8" ht="17.100000000000001" customHeight="1" x14ac:dyDescent="0.2">
      <c r="A96" s="18"/>
      <c r="B96" s="288" t="s">
        <v>143</v>
      </c>
      <c r="C96" s="289"/>
      <c r="D96" s="2" t="s">
        <v>142</v>
      </c>
      <c r="E96" s="21"/>
      <c r="F96" s="20"/>
      <c r="G96" s="20"/>
    </row>
    <row r="97" spans="1:7" ht="17.100000000000001" customHeight="1" x14ac:dyDescent="0.2">
      <c r="A97" s="18"/>
      <c r="B97" s="288" t="s">
        <v>144</v>
      </c>
      <c r="C97" s="289"/>
      <c r="D97" s="12" t="s">
        <v>112</v>
      </c>
      <c r="E97" s="21"/>
      <c r="F97" s="20"/>
      <c r="G97" s="20"/>
    </row>
    <row r="98" spans="1:7" ht="24" customHeight="1" x14ac:dyDescent="0.2">
      <c r="A98" s="22"/>
      <c r="B98" s="23" t="s">
        <v>112</v>
      </c>
      <c r="C98" s="23" t="s">
        <v>145</v>
      </c>
      <c r="D98" s="23" t="s">
        <v>146</v>
      </c>
      <c r="E98" s="22"/>
      <c r="F98" s="22"/>
      <c r="G98" s="22"/>
    </row>
    <row r="99" spans="1:7" ht="18" customHeight="1" x14ac:dyDescent="0.2">
      <c r="A99" s="22"/>
      <c r="B99" s="23" t="s">
        <v>147</v>
      </c>
      <c r="C99" s="23" t="s">
        <v>148</v>
      </c>
      <c r="D99" s="23" t="s">
        <v>149</v>
      </c>
      <c r="E99" s="22"/>
      <c r="F99" s="22"/>
      <c r="G99" s="22"/>
    </row>
    <row r="100" spans="1:7" ht="17.100000000000001" customHeight="1" x14ac:dyDescent="0.2">
      <c r="A100" s="22"/>
      <c r="B100" s="4" t="s">
        <v>150</v>
      </c>
      <c r="C100" s="24">
        <v>62.393300000000004</v>
      </c>
      <c r="D100" s="24">
        <v>61.352699999999999</v>
      </c>
      <c r="E100" s="22"/>
      <c r="F100" s="19"/>
      <c r="G100" s="25"/>
    </row>
    <row r="101" spans="1:7" ht="17.100000000000001" customHeight="1" x14ac:dyDescent="0.2">
      <c r="A101" s="22"/>
      <c r="B101" s="4" t="s">
        <v>1114</v>
      </c>
      <c r="C101" s="24">
        <v>24.504200000000001</v>
      </c>
      <c r="D101" s="24">
        <v>24.095500000000001</v>
      </c>
      <c r="E101" s="22"/>
      <c r="F101" s="19"/>
      <c r="G101" s="25"/>
    </row>
    <row r="102" spans="1:7" ht="29.1" customHeight="1" x14ac:dyDescent="0.2">
      <c r="A102" s="22"/>
      <c r="B102" s="4" t="s">
        <v>745</v>
      </c>
      <c r="C102" s="24">
        <v>64.151600000000002</v>
      </c>
      <c r="D102" s="24">
        <v>63.081600000000002</v>
      </c>
      <c r="E102" s="22"/>
      <c r="F102" s="19"/>
      <c r="G102" s="25"/>
    </row>
    <row r="103" spans="1:7" ht="25.5" x14ac:dyDescent="0.2">
      <c r="A103" s="22"/>
      <c r="B103" s="4" t="s">
        <v>1123</v>
      </c>
      <c r="C103" s="24">
        <v>24.935700000000001</v>
      </c>
      <c r="D103" s="24">
        <v>24.519400000000001</v>
      </c>
      <c r="E103" s="22"/>
      <c r="F103" s="19"/>
      <c r="G103" s="25"/>
    </row>
    <row r="104" spans="1:7" ht="17.100000000000001" customHeight="1" x14ac:dyDescent="0.2">
      <c r="A104" s="22"/>
      <c r="B104" s="4" t="s">
        <v>151</v>
      </c>
      <c r="C104" s="24">
        <v>57.951900000000002</v>
      </c>
      <c r="D104" s="24">
        <v>56.917700000000004</v>
      </c>
      <c r="E104" s="22"/>
      <c r="F104" s="19"/>
      <c r="G104" s="25"/>
    </row>
    <row r="105" spans="1:7" ht="17.100000000000001" customHeight="1" x14ac:dyDescent="0.2">
      <c r="A105" s="22"/>
      <c r="B105" s="4" t="s">
        <v>1115</v>
      </c>
      <c r="C105" s="24">
        <v>22.389900000000001</v>
      </c>
      <c r="D105" s="24">
        <v>21.990400000000001</v>
      </c>
      <c r="E105" s="22"/>
      <c r="F105" s="19"/>
      <c r="G105" s="25"/>
    </row>
    <row r="106" spans="1:7" ht="14.1" customHeight="1" x14ac:dyDescent="0.2">
      <c r="A106" s="22"/>
      <c r="B106" s="22"/>
      <c r="C106" s="22"/>
      <c r="D106" s="22"/>
      <c r="E106" s="22"/>
      <c r="F106" s="22"/>
      <c r="G106" s="22"/>
    </row>
    <row r="107" spans="1:7" ht="17.100000000000001" customHeight="1" x14ac:dyDescent="0.2">
      <c r="A107" s="22"/>
      <c r="B107" s="288" t="s">
        <v>1116</v>
      </c>
      <c r="C107" s="289"/>
      <c r="D107" s="2" t="s">
        <v>142</v>
      </c>
      <c r="E107" s="22"/>
      <c r="F107" s="22"/>
      <c r="G107" s="22"/>
    </row>
    <row r="108" spans="1:7" ht="14.1" customHeight="1" x14ac:dyDescent="0.2">
      <c r="A108" s="22"/>
      <c r="B108" s="19"/>
      <c r="C108" s="19"/>
      <c r="D108" s="22"/>
      <c r="E108" s="22"/>
      <c r="F108" s="22"/>
      <c r="G108" s="22"/>
    </row>
    <row r="109" spans="1:7" ht="29.1" customHeight="1" x14ac:dyDescent="0.2">
      <c r="A109" s="22"/>
      <c r="B109" s="288" t="s">
        <v>153</v>
      </c>
      <c r="C109" s="289"/>
      <c r="D109" s="2" t="s">
        <v>142</v>
      </c>
      <c r="E109" s="22"/>
      <c r="F109" s="22"/>
      <c r="G109" s="22"/>
    </row>
    <row r="110" spans="1:7" ht="29.1" customHeight="1" x14ac:dyDescent="0.2">
      <c r="A110" s="22"/>
      <c r="B110" s="288" t="s">
        <v>154</v>
      </c>
      <c r="C110" s="289"/>
      <c r="D110" s="2" t="s">
        <v>142</v>
      </c>
      <c r="E110" s="22"/>
      <c r="F110" s="22"/>
      <c r="G110" s="22"/>
    </row>
    <row r="111" spans="1:7" ht="17.100000000000001" customHeight="1" x14ac:dyDescent="0.2">
      <c r="A111" s="22"/>
      <c r="B111" s="288" t="s">
        <v>155</v>
      </c>
      <c r="C111" s="289"/>
      <c r="D111" s="26">
        <v>0.34285014728145535</v>
      </c>
      <c r="E111" s="22"/>
      <c r="F111" s="19"/>
      <c r="G111" s="25"/>
    </row>
    <row r="112" spans="1:7" ht="17.100000000000001" customHeight="1" x14ac:dyDescent="0.2">
      <c r="A112" s="22"/>
      <c r="B112" s="288" t="s">
        <v>156</v>
      </c>
      <c r="C112" s="289"/>
      <c r="D112" s="2" t="s">
        <v>142</v>
      </c>
      <c r="E112" s="22"/>
      <c r="F112" s="22"/>
      <c r="G112" s="22"/>
    </row>
    <row r="117" spans="10:15" x14ac:dyDescent="0.2">
      <c r="J117" s="66"/>
      <c r="K117" s="66"/>
      <c r="L117" s="66"/>
      <c r="M117" s="66"/>
      <c r="N117" s="66"/>
      <c r="O117" s="66"/>
    </row>
  </sheetData>
  <mergeCells count="14">
    <mergeCell ref="A1:H1"/>
    <mergeCell ref="A2:H2"/>
    <mergeCell ref="A3:H3"/>
    <mergeCell ref="B94:C94"/>
    <mergeCell ref="J2:N2"/>
    <mergeCell ref="B92:F92"/>
    <mergeCell ref="B111:C111"/>
    <mergeCell ref="B112:C112"/>
    <mergeCell ref="B95:C95"/>
    <mergeCell ref="B96:C96"/>
    <mergeCell ref="B97:C97"/>
    <mergeCell ref="B107:C107"/>
    <mergeCell ref="B109:C109"/>
    <mergeCell ref="B110:C11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2486-AB4B-4BEA-ADCB-B2073BE34A24}">
  <dimension ref="A1:O35"/>
  <sheetViews>
    <sheetView workbookViewId="0">
      <selection sqref="A1:H1"/>
    </sheetView>
  </sheetViews>
  <sheetFormatPr defaultRowHeight="15" x14ac:dyDescent="0.25"/>
  <cols>
    <col min="1" max="1" width="5.42578125" style="120" bestFit="1" customWidth="1"/>
    <col min="2" max="2" width="19.7109375" style="120" bestFit="1" customWidth="1"/>
    <col min="3" max="3" width="40.28515625" style="120" bestFit="1" customWidth="1"/>
    <col min="4" max="4" width="15.28515625" style="120" bestFit="1" customWidth="1"/>
    <col min="5" max="5" width="12.42578125" style="120" bestFit="1" customWidth="1"/>
    <col min="6" max="6" width="10.140625" style="120" bestFit="1" customWidth="1"/>
    <col min="7" max="7" width="8.5703125" style="120" bestFit="1" customWidth="1"/>
    <col min="8" max="8" width="8.42578125" style="120" bestFit="1" customWidth="1"/>
    <col min="9" max="9" width="9.140625" style="120"/>
    <col min="10" max="10" width="9.140625" style="199"/>
    <col min="11" max="11" width="10.5703125" style="199" bestFit="1" customWidth="1"/>
    <col min="12" max="15" width="9.140625" style="199"/>
    <col min="16" max="250" width="9.140625" style="120"/>
    <col min="251" max="251" width="5.42578125" style="120" bestFit="1" customWidth="1"/>
    <col min="252" max="252" width="20.42578125" style="120" bestFit="1" customWidth="1"/>
    <col min="253" max="253" width="41.42578125" style="120" customWidth="1"/>
    <col min="254" max="254" width="15.28515625" style="120" bestFit="1" customWidth="1"/>
    <col min="255" max="255" width="16.7109375" style="120" bestFit="1" customWidth="1"/>
    <col min="256" max="256" width="11.28515625" style="120" bestFit="1" customWidth="1"/>
    <col min="257" max="257" width="14" style="120" bestFit="1" customWidth="1"/>
    <col min="258" max="258" width="11.85546875" style="120" bestFit="1" customWidth="1"/>
    <col min="259" max="259" width="14.85546875" style="120" bestFit="1" customWidth="1"/>
    <col min="260" max="260" width="9.7109375" style="120" customWidth="1"/>
    <col min="261" max="261" width="4.85546875" style="120" customWidth="1"/>
    <col min="262" max="506" width="9.140625" style="120"/>
    <col min="507" max="507" width="5.42578125" style="120" bestFit="1" customWidth="1"/>
    <col min="508" max="508" width="20.42578125" style="120" bestFit="1" customWidth="1"/>
    <col min="509" max="509" width="41.42578125" style="120" customWidth="1"/>
    <col min="510" max="510" width="15.28515625" style="120" bestFit="1" customWidth="1"/>
    <col min="511" max="511" width="16.7109375" style="120" bestFit="1" customWidth="1"/>
    <col min="512" max="512" width="11.28515625" style="120" bestFit="1" customWidth="1"/>
    <col min="513" max="513" width="14" style="120" bestFit="1" customWidth="1"/>
    <col min="514" max="514" width="11.85546875" style="120" bestFit="1" customWidth="1"/>
    <col min="515" max="515" width="14.85546875" style="120" bestFit="1" customWidth="1"/>
    <col min="516" max="516" width="9.7109375" style="120" customWidth="1"/>
    <col min="517" max="517" width="4.85546875" style="120" customWidth="1"/>
    <col min="518" max="762" width="9.140625" style="120"/>
    <col min="763" max="763" width="5.42578125" style="120" bestFit="1" customWidth="1"/>
    <col min="764" max="764" width="20.42578125" style="120" bestFit="1" customWidth="1"/>
    <col min="765" max="765" width="41.42578125" style="120" customWidth="1"/>
    <col min="766" max="766" width="15.28515625" style="120" bestFit="1" customWidth="1"/>
    <col min="767" max="767" width="16.7109375" style="120" bestFit="1" customWidth="1"/>
    <col min="768" max="768" width="11.28515625" style="120" bestFit="1" customWidth="1"/>
    <col min="769" max="769" width="14" style="120" bestFit="1" customWidth="1"/>
    <col min="770" max="770" width="11.85546875" style="120" bestFit="1" customWidth="1"/>
    <col min="771" max="771" width="14.85546875" style="120" bestFit="1" customWidth="1"/>
    <col min="772" max="772" width="9.7109375" style="120" customWidth="1"/>
    <col min="773" max="773" width="4.85546875" style="120" customWidth="1"/>
    <col min="774" max="1018" width="9.140625" style="120"/>
    <col min="1019" max="1019" width="5.42578125" style="120" bestFit="1" customWidth="1"/>
    <col min="1020" max="1020" width="20.42578125" style="120" bestFit="1" customWidth="1"/>
    <col min="1021" max="1021" width="41.42578125" style="120" customWidth="1"/>
    <col min="1022" max="1022" width="15.28515625" style="120" bestFit="1" customWidth="1"/>
    <col min="1023" max="1023" width="16.7109375" style="120" bestFit="1" customWidth="1"/>
    <col min="1024" max="1024" width="11.28515625" style="120" bestFit="1" customWidth="1"/>
    <col min="1025" max="1025" width="14" style="120" bestFit="1" customWidth="1"/>
    <col min="1026" max="1026" width="11.85546875" style="120" bestFit="1" customWidth="1"/>
    <col min="1027" max="1027" width="14.85546875" style="120" bestFit="1" customWidth="1"/>
    <col min="1028" max="1028" width="9.7109375" style="120" customWidth="1"/>
    <col min="1029" max="1029" width="4.85546875" style="120" customWidth="1"/>
    <col min="1030" max="1274" width="9.140625" style="120"/>
    <col min="1275" max="1275" width="5.42578125" style="120" bestFit="1" customWidth="1"/>
    <col min="1276" max="1276" width="20.42578125" style="120" bestFit="1" customWidth="1"/>
    <col min="1277" max="1277" width="41.42578125" style="120" customWidth="1"/>
    <col min="1278" max="1278" width="15.28515625" style="120" bestFit="1" customWidth="1"/>
    <col min="1279" max="1279" width="16.7109375" style="120" bestFit="1" customWidth="1"/>
    <col min="1280" max="1280" width="11.28515625" style="120" bestFit="1" customWidth="1"/>
    <col min="1281" max="1281" width="14" style="120" bestFit="1" customWidth="1"/>
    <col min="1282" max="1282" width="11.85546875" style="120" bestFit="1" customWidth="1"/>
    <col min="1283" max="1283" width="14.85546875" style="120" bestFit="1" customWidth="1"/>
    <col min="1284" max="1284" width="9.7109375" style="120" customWidth="1"/>
    <col min="1285" max="1285" width="4.85546875" style="120" customWidth="1"/>
    <col min="1286" max="1530" width="9.140625" style="120"/>
    <col min="1531" max="1531" width="5.42578125" style="120" bestFit="1" customWidth="1"/>
    <col min="1532" max="1532" width="20.42578125" style="120" bestFit="1" customWidth="1"/>
    <col min="1533" max="1533" width="41.42578125" style="120" customWidth="1"/>
    <col min="1534" max="1534" width="15.28515625" style="120" bestFit="1" customWidth="1"/>
    <col min="1535" max="1535" width="16.7109375" style="120" bestFit="1" customWidth="1"/>
    <col min="1536" max="1536" width="11.28515625" style="120" bestFit="1" customWidth="1"/>
    <col min="1537" max="1537" width="14" style="120" bestFit="1" customWidth="1"/>
    <col min="1538" max="1538" width="11.85546875" style="120" bestFit="1" customWidth="1"/>
    <col min="1539" max="1539" width="14.85546875" style="120" bestFit="1" customWidth="1"/>
    <col min="1540" max="1540" width="9.7109375" style="120" customWidth="1"/>
    <col min="1541" max="1541" width="4.85546875" style="120" customWidth="1"/>
    <col min="1542" max="1786" width="9.140625" style="120"/>
    <col min="1787" max="1787" width="5.42578125" style="120" bestFit="1" customWidth="1"/>
    <col min="1788" max="1788" width="20.42578125" style="120" bestFit="1" customWidth="1"/>
    <col min="1789" max="1789" width="41.42578125" style="120" customWidth="1"/>
    <col min="1790" max="1790" width="15.28515625" style="120" bestFit="1" customWidth="1"/>
    <col min="1791" max="1791" width="16.7109375" style="120" bestFit="1" customWidth="1"/>
    <col min="1792" max="1792" width="11.28515625" style="120" bestFit="1" customWidth="1"/>
    <col min="1793" max="1793" width="14" style="120" bestFit="1" customWidth="1"/>
    <col min="1794" max="1794" width="11.85546875" style="120" bestFit="1" customWidth="1"/>
    <col min="1795" max="1795" width="14.85546875" style="120" bestFit="1" customWidth="1"/>
    <col min="1796" max="1796" width="9.7109375" style="120" customWidth="1"/>
    <col min="1797" max="1797" width="4.85546875" style="120" customWidth="1"/>
    <col min="1798" max="2042" width="9.140625" style="120"/>
    <col min="2043" max="2043" width="5.42578125" style="120" bestFit="1" customWidth="1"/>
    <col min="2044" max="2044" width="20.42578125" style="120" bestFit="1" customWidth="1"/>
    <col min="2045" max="2045" width="41.42578125" style="120" customWidth="1"/>
    <col min="2046" max="2046" width="15.28515625" style="120" bestFit="1" customWidth="1"/>
    <col min="2047" max="2047" width="16.7109375" style="120" bestFit="1" customWidth="1"/>
    <col min="2048" max="2048" width="11.28515625" style="120" bestFit="1" customWidth="1"/>
    <col min="2049" max="2049" width="14" style="120" bestFit="1" customWidth="1"/>
    <col min="2050" max="2050" width="11.85546875" style="120" bestFit="1" customWidth="1"/>
    <col min="2051" max="2051" width="14.85546875" style="120" bestFit="1" customWidth="1"/>
    <col min="2052" max="2052" width="9.7109375" style="120" customWidth="1"/>
    <col min="2053" max="2053" width="4.85546875" style="120" customWidth="1"/>
    <col min="2054" max="2298" width="9.140625" style="120"/>
    <col min="2299" max="2299" width="5.42578125" style="120" bestFit="1" customWidth="1"/>
    <col min="2300" max="2300" width="20.42578125" style="120" bestFit="1" customWidth="1"/>
    <col min="2301" max="2301" width="41.42578125" style="120" customWidth="1"/>
    <col min="2302" max="2302" width="15.28515625" style="120" bestFit="1" customWidth="1"/>
    <col min="2303" max="2303" width="16.7109375" style="120" bestFit="1" customWidth="1"/>
    <col min="2304" max="2304" width="11.28515625" style="120" bestFit="1" customWidth="1"/>
    <col min="2305" max="2305" width="14" style="120" bestFit="1" customWidth="1"/>
    <col min="2306" max="2306" width="11.85546875" style="120" bestFit="1" customWidth="1"/>
    <col min="2307" max="2307" width="14.85546875" style="120" bestFit="1" customWidth="1"/>
    <col min="2308" max="2308" width="9.7109375" style="120" customWidth="1"/>
    <col min="2309" max="2309" width="4.85546875" style="120" customWidth="1"/>
    <col min="2310" max="2554" width="9.140625" style="120"/>
    <col min="2555" max="2555" width="5.42578125" style="120" bestFit="1" customWidth="1"/>
    <col min="2556" max="2556" width="20.42578125" style="120" bestFit="1" customWidth="1"/>
    <col min="2557" max="2557" width="41.42578125" style="120" customWidth="1"/>
    <col min="2558" max="2558" width="15.28515625" style="120" bestFit="1" customWidth="1"/>
    <col min="2559" max="2559" width="16.7109375" style="120" bestFit="1" customWidth="1"/>
    <col min="2560" max="2560" width="11.28515625" style="120" bestFit="1" customWidth="1"/>
    <col min="2561" max="2561" width="14" style="120" bestFit="1" customWidth="1"/>
    <col min="2562" max="2562" width="11.85546875" style="120" bestFit="1" customWidth="1"/>
    <col min="2563" max="2563" width="14.85546875" style="120" bestFit="1" customWidth="1"/>
    <col min="2564" max="2564" width="9.7109375" style="120" customWidth="1"/>
    <col min="2565" max="2565" width="4.85546875" style="120" customWidth="1"/>
    <col min="2566" max="2810" width="9.140625" style="120"/>
    <col min="2811" max="2811" width="5.42578125" style="120" bestFit="1" customWidth="1"/>
    <col min="2812" max="2812" width="20.42578125" style="120" bestFit="1" customWidth="1"/>
    <col min="2813" max="2813" width="41.42578125" style="120" customWidth="1"/>
    <col min="2814" max="2814" width="15.28515625" style="120" bestFit="1" customWidth="1"/>
    <col min="2815" max="2815" width="16.7109375" style="120" bestFit="1" customWidth="1"/>
    <col min="2816" max="2816" width="11.28515625" style="120" bestFit="1" customWidth="1"/>
    <col min="2817" max="2817" width="14" style="120" bestFit="1" customWidth="1"/>
    <col min="2818" max="2818" width="11.85546875" style="120" bestFit="1" customWidth="1"/>
    <col min="2819" max="2819" width="14.85546875" style="120" bestFit="1" customWidth="1"/>
    <col min="2820" max="2820" width="9.7109375" style="120" customWidth="1"/>
    <col min="2821" max="2821" width="4.85546875" style="120" customWidth="1"/>
    <col min="2822" max="3066" width="9.140625" style="120"/>
    <col min="3067" max="3067" width="5.42578125" style="120" bestFit="1" customWidth="1"/>
    <col min="3068" max="3068" width="20.42578125" style="120" bestFit="1" customWidth="1"/>
    <col min="3069" max="3069" width="41.42578125" style="120" customWidth="1"/>
    <col min="3070" max="3070" width="15.28515625" style="120" bestFit="1" customWidth="1"/>
    <col min="3071" max="3071" width="16.7109375" style="120" bestFit="1" customWidth="1"/>
    <col min="3072" max="3072" width="11.28515625" style="120" bestFit="1" customWidth="1"/>
    <col min="3073" max="3073" width="14" style="120" bestFit="1" customWidth="1"/>
    <col min="3074" max="3074" width="11.85546875" style="120" bestFit="1" customWidth="1"/>
    <col min="3075" max="3075" width="14.85546875" style="120" bestFit="1" customWidth="1"/>
    <col min="3076" max="3076" width="9.7109375" style="120" customWidth="1"/>
    <col min="3077" max="3077" width="4.85546875" style="120" customWidth="1"/>
    <col min="3078" max="3322" width="9.140625" style="120"/>
    <col min="3323" max="3323" width="5.42578125" style="120" bestFit="1" customWidth="1"/>
    <col min="3324" max="3324" width="20.42578125" style="120" bestFit="1" customWidth="1"/>
    <col min="3325" max="3325" width="41.42578125" style="120" customWidth="1"/>
    <col min="3326" max="3326" width="15.28515625" style="120" bestFit="1" customWidth="1"/>
    <col min="3327" max="3327" width="16.7109375" style="120" bestFit="1" customWidth="1"/>
    <col min="3328" max="3328" width="11.28515625" style="120" bestFit="1" customWidth="1"/>
    <col min="3329" max="3329" width="14" style="120" bestFit="1" customWidth="1"/>
    <col min="3330" max="3330" width="11.85546875" style="120" bestFit="1" customWidth="1"/>
    <col min="3331" max="3331" width="14.85546875" style="120" bestFit="1" customWidth="1"/>
    <col min="3332" max="3332" width="9.7109375" style="120" customWidth="1"/>
    <col min="3333" max="3333" width="4.85546875" style="120" customWidth="1"/>
    <col min="3334" max="3578" width="9.140625" style="120"/>
    <col min="3579" max="3579" width="5.42578125" style="120" bestFit="1" customWidth="1"/>
    <col min="3580" max="3580" width="20.42578125" style="120" bestFit="1" customWidth="1"/>
    <col min="3581" max="3581" width="41.42578125" style="120" customWidth="1"/>
    <col min="3582" max="3582" width="15.28515625" style="120" bestFit="1" customWidth="1"/>
    <col min="3583" max="3583" width="16.7109375" style="120" bestFit="1" customWidth="1"/>
    <col min="3584" max="3584" width="11.28515625" style="120" bestFit="1" customWidth="1"/>
    <col min="3585" max="3585" width="14" style="120" bestFit="1" customWidth="1"/>
    <col min="3586" max="3586" width="11.85546875" style="120" bestFit="1" customWidth="1"/>
    <col min="3587" max="3587" width="14.85546875" style="120" bestFit="1" customWidth="1"/>
    <col min="3588" max="3588" width="9.7109375" style="120" customWidth="1"/>
    <col min="3589" max="3589" width="4.85546875" style="120" customWidth="1"/>
    <col min="3590" max="3834" width="9.140625" style="120"/>
    <col min="3835" max="3835" width="5.42578125" style="120" bestFit="1" customWidth="1"/>
    <col min="3836" max="3836" width="20.42578125" style="120" bestFit="1" customWidth="1"/>
    <col min="3837" max="3837" width="41.42578125" style="120" customWidth="1"/>
    <col min="3838" max="3838" width="15.28515625" style="120" bestFit="1" customWidth="1"/>
    <col min="3839" max="3839" width="16.7109375" style="120" bestFit="1" customWidth="1"/>
    <col min="3840" max="3840" width="11.28515625" style="120" bestFit="1" customWidth="1"/>
    <col min="3841" max="3841" width="14" style="120" bestFit="1" customWidth="1"/>
    <col min="3842" max="3842" width="11.85546875" style="120" bestFit="1" customWidth="1"/>
    <col min="3843" max="3843" width="14.85546875" style="120" bestFit="1" customWidth="1"/>
    <col min="3844" max="3844" width="9.7109375" style="120" customWidth="1"/>
    <col min="3845" max="3845" width="4.85546875" style="120" customWidth="1"/>
    <col min="3846" max="4090" width="9.140625" style="120"/>
    <col min="4091" max="4091" width="5.42578125" style="120" bestFit="1" customWidth="1"/>
    <col min="4092" max="4092" width="20.42578125" style="120" bestFit="1" customWidth="1"/>
    <col min="4093" max="4093" width="41.42578125" style="120" customWidth="1"/>
    <col min="4094" max="4094" width="15.28515625" style="120" bestFit="1" customWidth="1"/>
    <col min="4095" max="4095" width="16.7109375" style="120" bestFit="1" customWidth="1"/>
    <col min="4096" max="4096" width="11.28515625" style="120" bestFit="1" customWidth="1"/>
    <col min="4097" max="4097" width="14" style="120" bestFit="1" customWidth="1"/>
    <col min="4098" max="4098" width="11.85546875" style="120" bestFit="1" customWidth="1"/>
    <col min="4099" max="4099" width="14.85546875" style="120" bestFit="1" customWidth="1"/>
    <col min="4100" max="4100" width="9.7109375" style="120" customWidth="1"/>
    <col min="4101" max="4101" width="4.85546875" style="120" customWidth="1"/>
    <col min="4102" max="4346" width="9.140625" style="120"/>
    <col min="4347" max="4347" width="5.42578125" style="120" bestFit="1" customWidth="1"/>
    <col min="4348" max="4348" width="20.42578125" style="120" bestFit="1" customWidth="1"/>
    <col min="4349" max="4349" width="41.42578125" style="120" customWidth="1"/>
    <col min="4350" max="4350" width="15.28515625" style="120" bestFit="1" customWidth="1"/>
    <col min="4351" max="4351" width="16.7109375" style="120" bestFit="1" customWidth="1"/>
    <col min="4352" max="4352" width="11.28515625" style="120" bestFit="1" customWidth="1"/>
    <col min="4353" max="4353" width="14" style="120" bestFit="1" customWidth="1"/>
    <col min="4354" max="4354" width="11.85546875" style="120" bestFit="1" customWidth="1"/>
    <col min="4355" max="4355" width="14.85546875" style="120" bestFit="1" customWidth="1"/>
    <col min="4356" max="4356" width="9.7109375" style="120" customWidth="1"/>
    <col min="4357" max="4357" width="4.85546875" style="120" customWidth="1"/>
    <col min="4358" max="4602" width="9.140625" style="120"/>
    <col min="4603" max="4603" width="5.42578125" style="120" bestFit="1" customWidth="1"/>
    <col min="4604" max="4604" width="20.42578125" style="120" bestFit="1" customWidth="1"/>
    <col min="4605" max="4605" width="41.42578125" style="120" customWidth="1"/>
    <col min="4606" max="4606" width="15.28515625" style="120" bestFit="1" customWidth="1"/>
    <col min="4607" max="4607" width="16.7109375" style="120" bestFit="1" customWidth="1"/>
    <col min="4608" max="4608" width="11.28515625" style="120" bestFit="1" customWidth="1"/>
    <col min="4609" max="4609" width="14" style="120" bestFit="1" customWidth="1"/>
    <col min="4610" max="4610" width="11.85546875" style="120" bestFit="1" customWidth="1"/>
    <col min="4611" max="4611" width="14.85546875" style="120" bestFit="1" customWidth="1"/>
    <col min="4612" max="4612" width="9.7109375" style="120" customWidth="1"/>
    <col min="4613" max="4613" width="4.85546875" style="120" customWidth="1"/>
    <col min="4614" max="4858" width="9.140625" style="120"/>
    <col min="4859" max="4859" width="5.42578125" style="120" bestFit="1" customWidth="1"/>
    <col min="4860" max="4860" width="20.42578125" style="120" bestFit="1" customWidth="1"/>
    <col min="4861" max="4861" width="41.42578125" style="120" customWidth="1"/>
    <col min="4862" max="4862" width="15.28515625" style="120" bestFit="1" customWidth="1"/>
    <col min="4863" max="4863" width="16.7109375" style="120" bestFit="1" customWidth="1"/>
    <col min="4864" max="4864" width="11.28515625" style="120" bestFit="1" customWidth="1"/>
    <col min="4865" max="4865" width="14" style="120" bestFit="1" customWidth="1"/>
    <col min="4866" max="4866" width="11.85546875" style="120" bestFit="1" customWidth="1"/>
    <col min="4867" max="4867" width="14.85546875" style="120" bestFit="1" customWidth="1"/>
    <col min="4868" max="4868" width="9.7109375" style="120" customWidth="1"/>
    <col min="4869" max="4869" width="4.85546875" style="120" customWidth="1"/>
    <col min="4870" max="5114" width="9.140625" style="120"/>
    <col min="5115" max="5115" width="5.42578125" style="120" bestFit="1" customWidth="1"/>
    <col min="5116" max="5116" width="20.42578125" style="120" bestFit="1" customWidth="1"/>
    <col min="5117" max="5117" width="41.42578125" style="120" customWidth="1"/>
    <col min="5118" max="5118" width="15.28515625" style="120" bestFit="1" customWidth="1"/>
    <col min="5119" max="5119" width="16.7109375" style="120" bestFit="1" customWidth="1"/>
    <col min="5120" max="5120" width="11.28515625" style="120" bestFit="1" customWidth="1"/>
    <col min="5121" max="5121" width="14" style="120" bestFit="1" customWidth="1"/>
    <col min="5122" max="5122" width="11.85546875" style="120" bestFit="1" customWidth="1"/>
    <col min="5123" max="5123" width="14.85546875" style="120" bestFit="1" customWidth="1"/>
    <col min="5124" max="5124" width="9.7109375" style="120" customWidth="1"/>
    <col min="5125" max="5125" width="4.85546875" style="120" customWidth="1"/>
    <col min="5126" max="5370" width="9.140625" style="120"/>
    <col min="5371" max="5371" width="5.42578125" style="120" bestFit="1" customWidth="1"/>
    <col min="5372" max="5372" width="20.42578125" style="120" bestFit="1" customWidth="1"/>
    <col min="5373" max="5373" width="41.42578125" style="120" customWidth="1"/>
    <col min="5374" max="5374" width="15.28515625" style="120" bestFit="1" customWidth="1"/>
    <col min="5375" max="5375" width="16.7109375" style="120" bestFit="1" customWidth="1"/>
    <col min="5376" max="5376" width="11.28515625" style="120" bestFit="1" customWidth="1"/>
    <col min="5377" max="5377" width="14" style="120" bestFit="1" customWidth="1"/>
    <col min="5378" max="5378" width="11.85546875" style="120" bestFit="1" customWidth="1"/>
    <col min="5379" max="5379" width="14.85546875" style="120" bestFit="1" customWidth="1"/>
    <col min="5380" max="5380" width="9.7109375" style="120" customWidth="1"/>
    <col min="5381" max="5381" width="4.85546875" style="120" customWidth="1"/>
    <col min="5382" max="5626" width="9.140625" style="120"/>
    <col min="5627" max="5627" width="5.42578125" style="120" bestFit="1" customWidth="1"/>
    <col min="5628" max="5628" width="20.42578125" style="120" bestFit="1" customWidth="1"/>
    <col min="5629" max="5629" width="41.42578125" style="120" customWidth="1"/>
    <col min="5630" max="5630" width="15.28515625" style="120" bestFit="1" customWidth="1"/>
    <col min="5631" max="5631" width="16.7109375" style="120" bestFit="1" customWidth="1"/>
    <col min="5632" max="5632" width="11.28515625" style="120" bestFit="1" customWidth="1"/>
    <col min="5633" max="5633" width="14" style="120" bestFit="1" customWidth="1"/>
    <col min="5634" max="5634" width="11.85546875" style="120" bestFit="1" customWidth="1"/>
    <col min="5635" max="5635" width="14.85546875" style="120" bestFit="1" customWidth="1"/>
    <col min="5636" max="5636" width="9.7109375" style="120" customWidth="1"/>
    <col min="5637" max="5637" width="4.85546875" style="120" customWidth="1"/>
    <col min="5638" max="5882" width="9.140625" style="120"/>
    <col min="5883" max="5883" width="5.42578125" style="120" bestFit="1" customWidth="1"/>
    <col min="5884" max="5884" width="20.42578125" style="120" bestFit="1" customWidth="1"/>
    <col min="5885" max="5885" width="41.42578125" style="120" customWidth="1"/>
    <col min="5886" max="5886" width="15.28515625" style="120" bestFit="1" customWidth="1"/>
    <col min="5887" max="5887" width="16.7109375" style="120" bestFit="1" customWidth="1"/>
    <col min="5888" max="5888" width="11.28515625" style="120" bestFit="1" customWidth="1"/>
    <col min="5889" max="5889" width="14" style="120" bestFit="1" customWidth="1"/>
    <col min="5890" max="5890" width="11.85546875" style="120" bestFit="1" customWidth="1"/>
    <col min="5891" max="5891" width="14.85546875" style="120" bestFit="1" customWidth="1"/>
    <col min="5892" max="5892" width="9.7109375" style="120" customWidth="1"/>
    <col min="5893" max="5893" width="4.85546875" style="120" customWidth="1"/>
    <col min="5894" max="6138" width="9.140625" style="120"/>
    <col min="6139" max="6139" width="5.42578125" style="120" bestFit="1" customWidth="1"/>
    <col min="6140" max="6140" width="20.42578125" style="120" bestFit="1" customWidth="1"/>
    <col min="6141" max="6141" width="41.42578125" style="120" customWidth="1"/>
    <col min="6142" max="6142" width="15.28515625" style="120" bestFit="1" customWidth="1"/>
    <col min="6143" max="6143" width="16.7109375" style="120" bestFit="1" customWidth="1"/>
    <col min="6144" max="6144" width="11.28515625" style="120" bestFit="1" customWidth="1"/>
    <col min="6145" max="6145" width="14" style="120" bestFit="1" customWidth="1"/>
    <col min="6146" max="6146" width="11.85546875" style="120" bestFit="1" customWidth="1"/>
    <col min="6147" max="6147" width="14.85546875" style="120" bestFit="1" customWidth="1"/>
    <col min="6148" max="6148" width="9.7109375" style="120" customWidth="1"/>
    <col min="6149" max="6149" width="4.85546875" style="120" customWidth="1"/>
    <col min="6150" max="6394" width="9.140625" style="120"/>
    <col min="6395" max="6395" width="5.42578125" style="120" bestFit="1" customWidth="1"/>
    <col min="6396" max="6396" width="20.42578125" style="120" bestFit="1" customWidth="1"/>
    <col min="6397" max="6397" width="41.42578125" style="120" customWidth="1"/>
    <col min="6398" max="6398" width="15.28515625" style="120" bestFit="1" customWidth="1"/>
    <col min="6399" max="6399" width="16.7109375" style="120" bestFit="1" customWidth="1"/>
    <col min="6400" max="6400" width="11.28515625" style="120" bestFit="1" customWidth="1"/>
    <col min="6401" max="6401" width="14" style="120" bestFit="1" customWidth="1"/>
    <col min="6402" max="6402" width="11.85546875" style="120" bestFit="1" customWidth="1"/>
    <col min="6403" max="6403" width="14.85546875" style="120" bestFit="1" customWidth="1"/>
    <col min="6404" max="6404" width="9.7109375" style="120" customWidth="1"/>
    <col min="6405" max="6405" width="4.85546875" style="120" customWidth="1"/>
    <col min="6406" max="6650" width="9.140625" style="120"/>
    <col min="6651" max="6651" width="5.42578125" style="120" bestFit="1" customWidth="1"/>
    <col min="6652" max="6652" width="20.42578125" style="120" bestFit="1" customWidth="1"/>
    <col min="6653" max="6653" width="41.42578125" style="120" customWidth="1"/>
    <col min="6654" max="6654" width="15.28515625" style="120" bestFit="1" customWidth="1"/>
    <col min="6655" max="6655" width="16.7109375" style="120" bestFit="1" customWidth="1"/>
    <col min="6656" max="6656" width="11.28515625" style="120" bestFit="1" customWidth="1"/>
    <col min="6657" max="6657" width="14" style="120" bestFit="1" customWidth="1"/>
    <col min="6658" max="6658" width="11.85546875" style="120" bestFit="1" customWidth="1"/>
    <col min="6659" max="6659" width="14.85546875" style="120" bestFit="1" customWidth="1"/>
    <col min="6660" max="6660" width="9.7109375" style="120" customWidth="1"/>
    <col min="6661" max="6661" width="4.85546875" style="120" customWidth="1"/>
    <col min="6662" max="6906" width="9.140625" style="120"/>
    <col min="6907" max="6907" width="5.42578125" style="120" bestFit="1" customWidth="1"/>
    <col min="6908" max="6908" width="20.42578125" style="120" bestFit="1" customWidth="1"/>
    <col min="6909" max="6909" width="41.42578125" style="120" customWidth="1"/>
    <col min="6910" max="6910" width="15.28515625" style="120" bestFit="1" customWidth="1"/>
    <col min="6911" max="6911" width="16.7109375" style="120" bestFit="1" customWidth="1"/>
    <col min="6912" max="6912" width="11.28515625" style="120" bestFit="1" customWidth="1"/>
    <col min="6913" max="6913" width="14" style="120" bestFit="1" customWidth="1"/>
    <col min="6914" max="6914" width="11.85546875" style="120" bestFit="1" customWidth="1"/>
    <col min="6915" max="6915" width="14.85546875" style="120" bestFit="1" customWidth="1"/>
    <col min="6916" max="6916" width="9.7109375" style="120" customWidth="1"/>
    <col min="6917" max="6917" width="4.85546875" style="120" customWidth="1"/>
    <col min="6918" max="7162" width="9.140625" style="120"/>
    <col min="7163" max="7163" width="5.42578125" style="120" bestFit="1" customWidth="1"/>
    <col min="7164" max="7164" width="20.42578125" style="120" bestFit="1" customWidth="1"/>
    <col min="7165" max="7165" width="41.42578125" style="120" customWidth="1"/>
    <col min="7166" max="7166" width="15.28515625" style="120" bestFit="1" customWidth="1"/>
    <col min="7167" max="7167" width="16.7109375" style="120" bestFit="1" customWidth="1"/>
    <col min="7168" max="7168" width="11.28515625" style="120" bestFit="1" customWidth="1"/>
    <col min="7169" max="7169" width="14" style="120" bestFit="1" customWidth="1"/>
    <col min="7170" max="7170" width="11.85546875" style="120" bestFit="1" customWidth="1"/>
    <col min="7171" max="7171" width="14.85546875" style="120" bestFit="1" customWidth="1"/>
    <col min="7172" max="7172" width="9.7109375" style="120" customWidth="1"/>
    <col min="7173" max="7173" width="4.85546875" style="120" customWidth="1"/>
    <col min="7174" max="7418" width="9.140625" style="120"/>
    <col min="7419" max="7419" width="5.42578125" style="120" bestFit="1" customWidth="1"/>
    <col min="7420" max="7420" width="20.42578125" style="120" bestFit="1" customWidth="1"/>
    <col min="7421" max="7421" width="41.42578125" style="120" customWidth="1"/>
    <col min="7422" max="7422" width="15.28515625" style="120" bestFit="1" customWidth="1"/>
    <col min="7423" max="7423" width="16.7109375" style="120" bestFit="1" customWidth="1"/>
    <col min="7424" max="7424" width="11.28515625" style="120" bestFit="1" customWidth="1"/>
    <col min="7425" max="7425" width="14" style="120" bestFit="1" customWidth="1"/>
    <col min="7426" max="7426" width="11.85546875" style="120" bestFit="1" customWidth="1"/>
    <col min="7427" max="7427" width="14.85546875" style="120" bestFit="1" customWidth="1"/>
    <col min="7428" max="7428" width="9.7109375" style="120" customWidth="1"/>
    <col min="7429" max="7429" width="4.85546875" style="120" customWidth="1"/>
    <col min="7430" max="7674" width="9.140625" style="120"/>
    <col min="7675" max="7675" width="5.42578125" style="120" bestFit="1" customWidth="1"/>
    <col min="7676" max="7676" width="20.42578125" style="120" bestFit="1" customWidth="1"/>
    <col min="7677" max="7677" width="41.42578125" style="120" customWidth="1"/>
    <col min="7678" max="7678" width="15.28515625" style="120" bestFit="1" customWidth="1"/>
    <col min="7679" max="7679" width="16.7109375" style="120" bestFit="1" customWidth="1"/>
    <col min="7680" max="7680" width="11.28515625" style="120" bestFit="1" customWidth="1"/>
    <col min="7681" max="7681" width="14" style="120" bestFit="1" customWidth="1"/>
    <col min="7682" max="7682" width="11.85546875" style="120" bestFit="1" customWidth="1"/>
    <col min="7683" max="7683" width="14.85546875" style="120" bestFit="1" customWidth="1"/>
    <col min="7684" max="7684" width="9.7109375" style="120" customWidth="1"/>
    <col min="7685" max="7685" width="4.85546875" style="120" customWidth="1"/>
    <col min="7686" max="7930" width="9.140625" style="120"/>
    <col min="7931" max="7931" width="5.42578125" style="120" bestFit="1" customWidth="1"/>
    <col min="7932" max="7932" width="20.42578125" style="120" bestFit="1" customWidth="1"/>
    <col min="7933" max="7933" width="41.42578125" style="120" customWidth="1"/>
    <col min="7934" max="7934" width="15.28515625" style="120" bestFit="1" customWidth="1"/>
    <col min="7935" max="7935" width="16.7109375" style="120" bestFit="1" customWidth="1"/>
    <col min="7936" max="7936" width="11.28515625" style="120" bestFit="1" customWidth="1"/>
    <col min="7937" max="7937" width="14" style="120" bestFit="1" customWidth="1"/>
    <col min="7938" max="7938" width="11.85546875" style="120" bestFit="1" customWidth="1"/>
    <col min="7939" max="7939" width="14.85546875" style="120" bestFit="1" customWidth="1"/>
    <col min="7940" max="7940" width="9.7109375" style="120" customWidth="1"/>
    <col min="7941" max="7941" width="4.85546875" style="120" customWidth="1"/>
    <col min="7942" max="8186" width="9.140625" style="120"/>
    <col min="8187" max="8187" width="5.42578125" style="120" bestFit="1" customWidth="1"/>
    <col min="8188" max="8188" width="20.42578125" style="120" bestFit="1" customWidth="1"/>
    <col min="8189" max="8189" width="41.42578125" style="120" customWidth="1"/>
    <col min="8190" max="8190" width="15.28515625" style="120" bestFit="1" customWidth="1"/>
    <col min="8191" max="8191" width="16.7109375" style="120" bestFit="1" customWidth="1"/>
    <col min="8192" max="8192" width="11.28515625" style="120" bestFit="1" customWidth="1"/>
    <col min="8193" max="8193" width="14" style="120" bestFit="1" customWidth="1"/>
    <col min="8194" max="8194" width="11.85546875" style="120" bestFit="1" customWidth="1"/>
    <col min="8195" max="8195" width="14.85546875" style="120" bestFit="1" customWidth="1"/>
    <col min="8196" max="8196" width="9.7109375" style="120" customWidth="1"/>
    <col min="8197" max="8197" width="4.85546875" style="120" customWidth="1"/>
    <col min="8198" max="8442" width="9.140625" style="120"/>
    <col min="8443" max="8443" width="5.42578125" style="120" bestFit="1" customWidth="1"/>
    <col min="8444" max="8444" width="20.42578125" style="120" bestFit="1" customWidth="1"/>
    <col min="8445" max="8445" width="41.42578125" style="120" customWidth="1"/>
    <col min="8446" max="8446" width="15.28515625" style="120" bestFit="1" customWidth="1"/>
    <col min="8447" max="8447" width="16.7109375" style="120" bestFit="1" customWidth="1"/>
    <col min="8448" max="8448" width="11.28515625" style="120" bestFit="1" customWidth="1"/>
    <col min="8449" max="8449" width="14" style="120" bestFit="1" customWidth="1"/>
    <col min="8450" max="8450" width="11.85546875" style="120" bestFit="1" customWidth="1"/>
    <col min="8451" max="8451" width="14.85546875" style="120" bestFit="1" customWidth="1"/>
    <col min="8452" max="8452" width="9.7109375" style="120" customWidth="1"/>
    <col min="8453" max="8453" width="4.85546875" style="120" customWidth="1"/>
    <col min="8454" max="8698" width="9.140625" style="120"/>
    <col min="8699" max="8699" width="5.42578125" style="120" bestFit="1" customWidth="1"/>
    <col min="8700" max="8700" width="20.42578125" style="120" bestFit="1" customWidth="1"/>
    <col min="8701" max="8701" width="41.42578125" style="120" customWidth="1"/>
    <col min="8702" max="8702" width="15.28515625" style="120" bestFit="1" customWidth="1"/>
    <col min="8703" max="8703" width="16.7109375" style="120" bestFit="1" customWidth="1"/>
    <col min="8704" max="8704" width="11.28515625" style="120" bestFit="1" customWidth="1"/>
    <col min="8705" max="8705" width="14" style="120" bestFit="1" customWidth="1"/>
    <col min="8706" max="8706" width="11.85546875" style="120" bestFit="1" customWidth="1"/>
    <col min="8707" max="8707" width="14.85546875" style="120" bestFit="1" customWidth="1"/>
    <col min="8708" max="8708" width="9.7109375" style="120" customWidth="1"/>
    <col min="8709" max="8709" width="4.85546875" style="120" customWidth="1"/>
    <col min="8710" max="8954" width="9.140625" style="120"/>
    <col min="8955" max="8955" width="5.42578125" style="120" bestFit="1" customWidth="1"/>
    <col min="8956" max="8956" width="20.42578125" style="120" bestFit="1" customWidth="1"/>
    <col min="8957" max="8957" width="41.42578125" style="120" customWidth="1"/>
    <col min="8958" max="8958" width="15.28515625" style="120" bestFit="1" customWidth="1"/>
    <col min="8959" max="8959" width="16.7109375" style="120" bestFit="1" customWidth="1"/>
    <col min="8960" max="8960" width="11.28515625" style="120" bestFit="1" customWidth="1"/>
    <col min="8961" max="8961" width="14" style="120" bestFit="1" customWidth="1"/>
    <col min="8962" max="8962" width="11.85546875" style="120" bestFit="1" customWidth="1"/>
    <col min="8963" max="8963" width="14.85546875" style="120" bestFit="1" customWidth="1"/>
    <col min="8964" max="8964" width="9.7109375" style="120" customWidth="1"/>
    <col min="8965" max="8965" width="4.85546875" style="120" customWidth="1"/>
    <col min="8966" max="9210" width="9.140625" style="120"/>
    <col min="9211" max="9211" width="5.42578125" style="120" bestFit="1" customWidth="1"/>
    <col min="9212" max="9212" width="20.42578125" style="120" bestFit="1" customWidth="1"/>
    <col min="9213" max="9213" width="41.42578125" style="120" customWidth="1"/>
    <col min="9214" max="9214" width="15.28515625" style="120" bestFit="1" customWidth="1"/>
    <col min="9215" max="9215" width="16.7109375" style="120" bestFit="1" customWidth="1"/>
    <col min="9216" max="9216" width="11.28515625" style="120" bestFit="1" customWidth="1"/>
    <col min="9217" max="9217" width="14" style="120" bestFit="1" customWidth="1"/>
    <col min="9218" max="9218" width="11.85546875" style="120" bestFit="1" customWidth="1"/>
    <col min="9219" max="9219" width="14.85546875" style="120" bestFit="1" customWidth="1"/>
    <col min="9220" max="9220" width="9.7109375" style="120" customWidth="1"/>
    <col min="9221" max="9221" width="4.85546875" style="120" customWidth="1"/>
    <col min="9222" max="9466" width="9.140625" style="120"/>
    <col min="9467" max="9467" width="5.42578125" style="120" bestFit="1" customWidth="1"/>
    <col min="9468" max="9468" width="20.42578125" style="120" bestFit="1" customWidth="1"/>
    <col min="9469" max="9469" width="41.42578125" style="120" customWidth="1"/>
    <col min="9470" max="9470" width="15.28515625" style="120" bestFit="1" customWidth="1"/>
    <col min="9471" max="9471" width="16.7109375" style="120" bestFit="1" customWidth="1"/>
    <col min="9472" max="9472" width="11.28515625" style="120" bestFit="1" customWidth="1"/>
    <col min="9473" max="9473" width="14" style="120" bestFit="1" customWidth="1"/>
    <col min="9474" max="9474" width="11.85546875" style="120" bestFit="1" customWidth="1"/>
    <col min="9475" max="9475" width="14.85546875" style="120" bestFit="1" customWidth="1"/>
    <col min="9476" max="9476" width="9.7109375" style="120" customWidth="1"/>
    <col min="9477" max="9477" width="4.85546875" style="120" customWidth="1"/>
    <col min="9478" max="9722" width="9.140625" style="120"/>
    <col min="9723" max="9723" width="5.42578125" style="120" bestFit="1" customWidth="1"/>
    <col min="9724" max="9724" width="20.42578125" style="120" bestFit="1" customWidth="1"/>
    <col min="9725" max="9725" width="41.42578125" style="120" customWidth="1"/>
    <col min="9726" max="9726" width="15.28515625" style="120" bestFit="1" customWidth="1"/>
    <col min="9727" max="9727" width="16.7109375" style="120" bestFit="1" customWidth="1"/>
    <col min="9728" max="9728" width="11.28515625" style="120" bestFit="1" customWidth="1"/>
    <col min="9729" max="9729" width="14" style="120" bestFit="1" customWidth="1"/>
    <col min="9730" max="9730" width="11.85546875" style="120" bestFit="1" customWidth="1"/>
    <col min="9731" max="9731" width="14.85546875" style="120" bestFit="1" customWidth="1"/>
    <col min="9732" max="9732" width="9.7109375" style="120" customWidth="1"/>
    <col min="9733" max="9733" width="4.85546875" style="120" customWidth="1"/>
    <col min="9734" max="9978" width="9.140625" style="120"/>
    <col min="9979" max="9979" width="5.42578125" style="120" bestFit="1" customWidth="1"/>
    <col min="9980" max="9980" width="20.42578125" style="120" bestFit="1" customWidth="1"/>
    <col min="9981" max="9981" width="41.42578125" style="120" customWidth="1"/>
    <col min="9982" max="9982" width="15.28515625" style="120" bestFit="1" customWidth="1"/>
    <col min="9983" max="9983" width="16.7109375" style="120" bestFit="1" customWidth="1"/>
    <col min="9984" max="9984" width="11.28515625" style="120" bestFit="1" customWidth="1"/>
    <col min="9985" max="9985" width="14" style="120" bestFit="1" customWidth="1"/>
    <col min="9986" max="9986" width="11.85546875" style="120" bestFit="1" customWidth="1"/>
    <col min="9987" max="9987" width="14.85546875" style="120" bestFit="1" customWidth="1"/>
    <col min="9988" max="9988" width="9.7109375" style="120" customWidth="1"/>
    <col min="9989" max="9989" width="4.85546875" style="120" customWidth="1"/>
    <col min="9990" max="10234" width="9.140625" style="120"/>
    <col min="10235" max="10235" width="5.42578125" style="120" bestFit="1" customWidth="1"/>
    <col min="10236" max="10236" width="20.42578125" style="120" bestFit="1" customWidth="1"/>
    <col min="10237" max="10237" width="41.42578125" style="120" customWidth="1"/>
    <col min="10238" max="10238" width="15.28515625" style="120" bestFit="1" customWidth="1"/>
    <col min="10239" max="10239" width="16.7109375" style="120" bestFit="1" customWidth="1"/>
    <col min="10240" max="10240" width="11.28515625" style="120" bestFit="1" customWidth="1"/>
    <col min="10241" max="10241" width="14" style="120" bestFit="1" customWidth="1"/>
    <col min="10242" max="10242" width="11.85546875" style="120" bestFit="1" customWidth="1"/>
    <col min="10243" max="10243" width="14.85546875" style="120" bestFit="1" customWidth="1"/>
    <col min="10244" max="10244" width="9.7109375" style="120" customWidth="1"/>
    <col min="10245" max="10245" width="4.85546875" style="120" customWidth="1"/>
    <col min="10246" max="10490" width="9.140625" style="120"/>
    <col min="10491" max="10491" width="5.42578125" style="120" bestFit="1" customWidth="1"/>
    <col min="10492" max="10492" width="20.42578125" style="120" bestFit="1" customWidth="1"/>
    <col min="10493" max="10493" width="41.42578125" style="120" customWidth="1"/>
    <col min="10494" max="10494" width="15.28515625" style="120" bestFit="1" customWidth="1"/>
    <col min="10495" max="10495" width="16.7109375" style="120" bestFit="1" customWidth="1"/>
    <col min="10496" max="10496" width="11.28515625" style="120" bestFit="1" customWidth="1"/>
    <col min="10497" max="10497" width="14" style="120" bestFit="1" customWidth="1"/>
    <col min="10498" max="10498" width="11.85546875" style="120" bestFit="1" customWidth="1"/>
    <col min="10499" max="10499" width="14.85546875" style="120" bestFit="1" customWidth="1"/>
    <col min="10500" max="10500" width="9.7109375" style="120" customWidth="1"/>
    <col min="10501" max="10501" width="4.85546875" style="120" customWidth="1"/>
    <col min="10502" max="10746" width="9.140625" style="120"/>
    <col min="10747" max="10747" width="5.42578125" style="120" bestFit="1" customWidth="1"/>
    <col min="10748" max="10748" width="20.42578125" style="120" bestFit="1" customWidth="1"/>
    <col min="10749" max="10749" width="41.42578125" style="120" customWidth="1"/>
    <col min="10750" max="10750" width="15.28515625" style="120" bestFit="1" customWidth="1"/>
    <col min="10751" max="10751" width="16.7109375" style="120" bestFit="1" customWidth="1"/>
    <col min="10752" max="10752" width="11.28515625" style="120" bestFit="1" customWidth="1"/>
    <col min="10753" max="10753" width="14" style="120" bestFit="1" customWidth="1"/>
    <col min="10754" max="10754" width="11.85546875" style="120" bestFit="1" customWidth="1"/>
    <col min="10755" max="10755" width="14.85546875" style="120" bestFit="1" customWidth="1"/>
    <col min="10756" max="10756" width="9.7109375" style="120" customWidth="1"/>
    <col min="10757" max="10757" width="4.85546875" style="120" customWidth="1"/>
    <col min="10758" max="11002" width="9.140625" style="120"/>
    <col min="11003" max="11003" width="5.42578125" style="120" bestFit="1" customWidth="1"/>
    <col min="11004" max="11004" width="20.42578125" style="120" bestFit="1" customWidth="1"/>
    <col min="11005" max="11005" width="41.42578125" style="120" customWidth="1"/>
    <col min="11006" max="11006" width="15.28515625" style="120" bestFit="1" customWidth="1"/>
    <col min="11007" max="11007" width="16.7109375" style="120" bestFit="1" customWidth="1"/>
    <col min="11008" max="11008" width="11.28515625" style="120" bestFit="1" customWidth="1"/>
    <col min="11009" max="11009" width="14" style="120" bestFit="1" customWidth="1"/>
    <col min="11010" max="11010" width="11.85546875" style="120" bestFit="1" customWidth="1"/>
    <col min="11011" max="11011" width="14.85546875" style="120" bestFit="1" customWidth="1"/>
    <col min="11012" max="11012" width="9.7109375" style="120" customWidth="1"/>
    <col min="11013" max="11013" width="4.85546875" style="120" customWidth="1"/>
    <col min="11014" max="11258" width="9.140625" style="120"/>
    <col min="11259" max="11259" width="5.42578125" style="120" bestFit="1" customWidth="1"/>
    <col min="11260" max="11260" width="20.42578125" style="120" bestFit="1" customWidth="1"/>
    <col min="11261" max="11261" width="41.42578125" style="120" customWidth="1"/>
    <col min="11262" max="11262" width="15.28515625" style="120" bestFit="1" customWidth="1"/>
    <col min="11263" max="11263" width="16.7109375" style="120" bestFit="1" customWidth="1"/>
    <col min="11264" max="11264" width="11.28515625" style="120" bestFit="1" customWidth="1"/>
    <col min="11265" max="11265" width="14" style="120" bestFit="1" customWidth="1"/>
    <col min="11266" max="11266" width="11.85546875" style="120" bestFit="1" customWidth="1"/>
    <col min="11267" max="11267" width="14.85546875" style="120" bestFit="1" customWidth="1"/>
    <col min="11268" max="11268" width="9.7109375" style="120" customWidth="1"/>
    <col min="11269" max="11269" width="4.85546875" style="120" customWidth="1"/>
    <col min="11270" max="11514" width="9.140625" style="120"/>
    <col min="11515" max="11515" width="5.42578125" style="120" bestFit="1" customWidth="1"/>
    <col min="11516" max="11516" width="20.42578125" style="120" bestFit="1" customWidth="1"/>
    <col min="11517" max="11517" width="41.42578125" style="120" customWidth="1"/>
    <col min="11518" max="11518" width="15.28515625" style="120" bestFit="1" customWidth="1"/>
    <col min="11519" max="11519" width="16.7109375" style="120" bestFit="1" customWidth="1"/>
    <col min="11520" max="11520" width="11.28515625" style="120" bestFit="1" customWidth="1"/>
    <col min="11521" max="11521" width="14" style="120" bestFit="1" customWidth="1"/>
    <col min="11522" max="11522" width="11.85546875" style="120" bestFit="1" customWidth="1"/>
    <col min="11523" max="11523" width="14.85546875" style="120" bestFit="1" customWidth="1"/>
    <col min="11524" max="11524" width="9.7109375" style="120" customWidth="1"/>
    <col min="11525" max="11525" width="4.85546875" style="120" customWidth="1"/>
    <col min="11526" max="11770" width="9.140625" style="120"/>
    <col min="11771" max="11771" width="5.42578125" style="120" bestFit="1" customWidth="1"/>
    <col min="11772" max="11772" width="20.42578125" style="120" bestFit="1" customWidth="1"/>
    <col min="11773" max="11773" width="41.42578125" style="120" customWidth="1"/>
    <col min="11774" max="11774" width="15.28515625" style="120" bestFit="1" customWidth="1"/>
    <col min="11775" max="11775" width="16.7109375" style="120" bestFit="1" customWidth="1"/>
    <col min="11776" max="11776" width="11.28515625" style="120" bestFit="1" customWidth="1"/>
    <col min="11777" max="11777" width="14" style="120" bestFit="1" customWidth="1"/>
    <col min="11778" max="11778" width="11.85546875" style="120" bestFit="1" customWidth="1"/>
    <col min="11779" max="11779" width="14.85546875" style="120" bestFit="1" customWidth="1"/>
    <col min="11780" max="11780" width="9.7109375" style="120" customWidth="1"/>
    <col min="11781" max="11781" width="4.85546875" style="120" customWidth="1"/>
    <col min="11782" max="12026" width="9.140625" style="120"/>
    <col min="12027" max="12027" width="5.42578125" style="120" bestFit="1" customWidth="1"/>
    <col min="12028" max="12028" width="20.42578125" style="120" bestFit="1" customWidth="1"/>
    <col min="12029" max="12029" width="41.42578125" style="120" customWidth="1"/>
    <col min="12030" max="12030" width="15.28515625" style="120" bestFit="1" customWidth="1"/>
    <col min="12031" max="12031" width="16.7109375" style="120" bestFit="1" customWidth="1"/>
    <col min="12032" max="12032" width="11.28515625" style="120" bestFit="1" customWidth="1"/>
    <col min="12033" max="12033" width="14" style="120" bestFit="1" customWidth="1"/>
    <col min="12034" max="12034" width="11.85546875" style="120" bestFit="1" customWidth="1"/>
    <col min="12035" max="12035" width="14.85546875" style="120" bestFit="1" customWidth="1"/>
    <col min="12036" max="12036" width="9.7109375" style="120" customWidth="1"/>
    <col min="12037" max="12037" width="4.85546875" style="120" customWidth="1"/>
    <col min="12038" max="12282" width="9.140625" style="120"/>
    <col min="12283" max="12283" width="5.42578125" style="120" bestFit="1" customWidth="1"/>
    <col min="12284" max="12284" width="20.42578125" style="120" bestFit="1" customWidth="1"/>
    <col min="12285" max="12285" width="41.42578125" style="120" customWidth="1"/>
    <col min="12286" max="12286" width="15.28515625" style="120" bestFit="1" customWidth="1"/>
    <col min="12287" max="12287" width="16.7109375" style="120" bestFit="1" customWidth="1"/>
    <col min="12288" max="12288" width="11.28515625" style="120" bestFit="1" customWidth="1"/>
    <col min="12289" max="12289" width="14" style="120" bestFit="1" customWidth="1"/>
    <col min="12290" max="12290" width="11.85546875" style="120" bestFit="1" customWidth="1"/>
    <col min="12291" max="12291" width="14.85546875" style="120" bestFit="1" customWidth="1"/>
    <col min="12292" max="12292" width="9.7109375" style="120" customWidth="1"/>
    <col min="12293" max="12293" width="4.85546875" style="120" customWidth="1"/>
    <col min="12294" max="12538" width="9.140625" style="120"/>
    <col min="12539" max="12539" width="5.42578125" style="120" bestFit="1" customWidth="1"/>
    <col min="12540" max="12540" width="20.42578125" style="120" bestFit="1" customWidth="1"/>
    <col min="12541" max="12541" width="41.42578125" style="120" customWidth="1"/>
    <col min="12542" max="12542" width="15.28515625" style="120" bestFit="1" customWidth="1"/>
    <col min="12543" max="12543" width="16.7109375" style="120" bestFit="1" customWidth="1"/>
    <col min="12544" max="12544" width="11.28515625" style="120" bestFit="1" customWidth="1"/>
    <col min="12545" max="12545" width="14" style="120" bestFit="1" customWidth="1"/>
    <col min="12546" max="12546" width="11.85546875" style="120" bestFit="1" customWidth="1"/>
    <col min="12547" max="12547" width="14.85546875" style="120" bestFit="1" customWidth="1"/>
    <col min="12548" max="12548" width="9.7109375" style="120" customWidth="1"/>
    <col min="12549" max="12549" width="4.85546875" style="120" customWidth="1"/>
    <col min="12550" max="12794" width="9.140625" style="120"/>
    <col min="12795" max="12795" width="5.42578125" style="120" bestFit="1" customWidth="1"/>
    <col min="12796" max="12796" width="20.42578125" style="120" bestFit="1" customWidth="1"/>
    <col min="12797" max="12797" width="41.42578125" style="120" customWidth="1"/>
    <col min="12798" max="12798" width="15.28515625" style="120" bestFit="1" customWidth="1"/>
    <col min="12799" max="12799" width="16.7109375" style="120" bestFit="1" customWidth="1"/>
    <col min="12800" max="12800" width="11.28515625" style="120" bestFit="1" customWidth="1"/>
    <col min="12801" max="12801" width="14" style="120" bestFit="1" customWidth="1"/>
    <col min="12802" max="12802" width="11.85546875" style="120" bestFit="1" customWidth="1"/>
    <col min="12803" max="12803" width="14.85546875" style="120" bestFit="1" customWidth="1"/>
    <col min="12804" max="12804" width="9.7109375" style="120" customWidth="1"/>
    <col min="12805" max="12805" width="4.85546875" style="120" customWidth="1"/>
    <col min="12806" max="13050" width="9.140625" style="120"/>
    <col min="13051" max="13051" width="5.42578125" style="120" bestFit="1" customWidth="1"/>
    <col min="13052" max="13052" width="20.42578125" style="120" bestFit="1" customWidth="1"/>
    <col min="13053" max="13053" width="41.42578125" style="120" customWidth="1"/>
    <col min="13054" max="13054" width="15.28515625" style="120" bestFit="1" customWidth="1"/>
    <col min="13055" max="13055" width="16.7109375" style="120" bestFit="1" customWidth="1"/>
    <col min="13056" max="13056" width="11.28515625" style="120" bestFit="1" customWidth="1"/>
    <col min="13057" max="13057" width="14" style="120" bestFit="1" customWidth="1"/>
    <col min="13058" max="13058" width="11.85546875" style="120" bestFit="1" customWidth="1"/>
    <col min="13059" max="13059" width="14.85546875" style="120" bestFit="1" customWidth="1"/>
    <col min="13060" max="13060" width="9.7109375" style="120" customWidth="1"/>
    <col min="13061" max="13061" width="4.85546875" style="120" customWidth="1"/>
    <col min="13062" max="13306" width="9.140625" style="120"/>
    <col min="13307" max="13307" width="5.42578125" style="120" bestFit="1" customWidth="1"/>
    <col min="13308" max="13308" width="20.42578125" style="120" bestFit="1" customWidth="1"/>
    <col min="13309" max="13309" width="41.42578125" style="120" customWidth="1"/>
    <col min="13310" max="13310" width="15.28515625" style="120" bestFit="1" customWidth="1"/>
    <col min="13311" max="13311" width="16.7109375" style="120" bestFit="1" customWidth="1"/>
    <col min="13312" max="13312" width="11.28515625" style="120" bestFit="1" customWidth="1"/>
    <col min="13313" max="13313" width="14" style="120" bestFit="1" customWidth="1"/>
    <col min="13314" max="13314" width="11.85546875" style="120" bestFit="1" customWidth="1"/>
    <col min="13315" max="13315" width="14.85546875" style="120" bestFit="1" customWidth="1"/>
    <col min="13316" max="13316" width="9.7109375" style="120" customWidth="1"/>
    <col min="13317" max="13317" width="4.85546875" style="120" customWidth="1"/>
    <col min="13318" max="13562" width="9.140625" style="120"/>
    <col min="13563" max="13563" width="5.42578125" style="120" bestFit="1" customWidth="1"/>
    <col min="13564" max="13564" width="20.42578125" style="120" bestFit="1" customWidth="1"/>
    <col min="13565" max="13565" width="41.42578125" style="120" customWidth="1"/>
    <col min="13566" max="13566" width="15.28515625" style="120" bestFit="1" customWidth="1"/>
    <col min="13567" max="13567" width="16.7109375" style="120" bestFit="1" customWidth="1"/>
    <col min="13568" max="13568" width="11.28515625" style="120" bestFit="1" customWidth="1"/>
    <col min="13569" max="13569" width="14" style="120" bestFit="1" customWidth="1"/>
    <col min="13570" max="13570" width="11.85546875" style="120" bestFit="1" customWidth="1"/>
    <col min="13571" max="13571" width="14.85546875" style="120" bestFit="1" customWidth="1"/>
    <col min="13572" max="13572" width="9.7109375" style="120" customWidth="1"/>
    <col min="13573" max="13573" width="4.85546875" style="120" customWidth="1"/>
    <col min="13574" max="13818" width="9.140625" style="120"/>
    <col min="13819" max="13819" width="5.42578125" style="120" bestFit="1" customWidth="1"/>
    <col min="13820" max="13820" width="20.42578125" style="120" bestFit="1" customWidth="1"/>
    <col min="13821" max="13821" width="41.42578125" style="120" customWidth="1"/>
    <col min="13822" max="13822" width="15.28515625" style="120" bestFit="1" customWidth="1"/>
    <col min="13823" max="13823" width="16.7109375" style="120" bestFit="1" customWidth="1"/>
    <col min="13824" max="13824" width="11.28515625" style="120" bestFit="1" customWidth="1"/>
    <col min="13825" max="13825" width="14" style="120" bestFit="1" customWidth="1"/>
    <col min="13826" max="13826" width="11.85546875" style="120" bestFit="1" customWidth="1"/>
    <col min="13827" max="13827" width="14.85546875" style="120" bestFit="1" customWidth="1"/>
    <col min="13828" max="13828" width="9.7109375" style="120" customWidth="1"/>
    <col min="13829" max="13829" width="4.85546875" style="120" customWidth="1"/>
    <col min="13830" max="14074" width="9.140625" style="120"/>
    <col min="14075" max="14075" width="5.42578125" style="120" bestFit="1" customWidth="1"/>
    <col min="14076" max="14076" width="20.42578125" style="120" bestFit="1" customWidth="1"/>
    <col min="14077" max="14077" width="41.42578125" style="120" customWidth="1"/>
    <col min="14078" max="14078" width="15.28515625" style="120" bestFit="1" customWidth="1"/>
    <col min="14079" max="14079" width="16.7109375" style="120" bestFit="1" customWidth="1"/>
    <col min="14080" max="14080" width="11.28515625" style="120" bestFit="1" customWidth="1"/>
    <col min="14081" max="14081" width="14" style="120" bestFit="1" customWidth="1"/>
    <col min="14082" max="14082" width="11.85546875" style="120" bestFit="1" customWidth="1"/>
    <col min="14083" max="14083" width="14.85546875" style="120" bestFit="1" customWidth="1"/>
    <col min="14084" max="14084" width="9.7109375" style="120" customWidth="1"/>
    <col min="14085" max="14085" width="4.85546875" style="120" customWidth="1"/>
    <col min="14086" max="14330" width="9.140625" style="120"/>
    <col min="14331" max="14331" width="5.42578125" style="120" bestFit="1" customWidth="1"/>
    <col min="14332" max="14332" width="20.42578125" style="120" bestFit="1" customWidth="1"/>
    <col min="14333" max="14333" width="41.42578125" style="120" customWidth="1"/>
    <col min="14334" max="14334" width="15.28515625" style="120" bestFit="1" customWidth="1"/>
    <col min="14335" max="14335" width="16.7109375" style="120" bestFit="1" customWidth="1"/>
    <col min="14336" max="14336" width="11.28515625" style="120" bestFit="1" customWidth="1"/>
    <col min="14337" max="14337" width="14" style="120" bestFit="1" customWidth="1"/>
    <col min="14338" max="14338" width="11.85546875" style="120" bestFit="1" customWidth="1"/>
    <col min="14339" max="14339" width="14.85546875" style="120" bestFit="1" customWidth="1"/>
    <col min="14340" max="14340" width="9.7109375" style="120" customWidth="1"/>
    <col min="14341" max="14341" width="4.85546875" style="120" customWidth="1"/>
    <col min="14342" max="14586" width="9.140625" style="120"/>
    <col min="14587" max="14587" width="5.42578125" style="120" bestFit="1" customWidth="1"/>
    <col min="14588" max="14588" width="20.42578125" style="120" bestFit="1" customWidth="1"/>
    <col min="14589" max="14589" width="41.42578125" style="120" customWidth="1"/>
    <col min="14590" max="14590" width="15.28515625" style="120" bestFit="1" customWidth="1"/>
    <col min="14591" max="14591" width="16.7109375" style="120" bestFit="1" customWidth="1"/>
    <col min="14592" max="14592" width="11.28515625" style="120" bestFit="1" customWidth="1"/>
    <col min="14593" max="14593" width="14" style="120" bestFit="1" customWidth="1"/>
    <col min="14594" max="14594" width="11.85546875" style="120" bestFit="1" customWidth="1"/>
    <col min="14595" max="14595" width="14.85546875" style="120" bestFit="1" customWidth="1"/>
    <col min="14596" max="14596" width="9.7109375" style="120" customWidth="1"/>
    <col min="14597" max="14597" width="4.85546875" style="120" customWidth="1"/>
    <col min="14598" max="14842" width="9.140625" style="120"/>
    <col min="14843" max="14843" width="5.42578125" style="120" bestFit="1" customWidth="1"/>
    <col min="14844" max="14844" width="20.42578125" style="120" bestFit="1" customWidth="1"/>
    <col min="14845" max="14845" width="41.42578125" style="120" customWidth="1"/>
    <col min="14846" max="14846" width="15.28515625" style="120" bestFit="1" customWidth="1"/>
    <col min="14847" max="14847" width="16.7109375" style="120" bestFit="1" customWidth="1"/>
    <col min="14848" max="14848" width="11.28515625" style="120" bestFit="1" customWidth="1"/>
    <col min="14849" max="14849" width="14" style="120" bestFit="1" customWidth="1"/>
    <col min="14850" max="14850" width="11.85546875" style="120" bestFit="1" customWidth="1"/>
    <col min="14851" max="14851" width="14.85546875" style="120" bestFit="1" customWidth="1"/>
    <col min="14852" max="14852" width="9.7109375" style="120" customWidth="1"/>
    <col min="14853" max="14853" width="4.85546875" style="120" customWidth="1"/>
    <col min="14854" max="15098" width="9.140625" style="120"/>
    <col min="15099" max="15099" width="5.42578125" style="120" bestFit="1" customWidth="1"/>
    <col min="15100" max="15100" width="20.42578125" style="120" bestFit="1" customWidth="1"/>
    <col min="15101" max="15101" width="41.42578125" style="120" customWidth="1"/>
    <col min="15102" max="15102" width="15.28515625" style="120" bestFit="1" customWidth="1"/>
    <col min="15103" max="15103" width="16.7109375" style="120" bestFit="1" customWidth="1"/>
    <col min="15104" max="15104" width="11.28515625" style="120" bestFit="1" customWidth="1"/>
    <col min="15105" max="15105" width="14" style="120" bestFit="1" customWidth="1"/>
    <col min="15106" max="15106" width="11.85546875" style="120" bestFit="1" customWidth="1"/>
    <col min="15107" max="15107" width="14.85546875" style="120" bestFit="1" customWidth="1"/>
    <col min="15108" max="15108" width="9.7109375" style="120" customWidth="1"/>
    <col min="15109" max="15109" width="4.85546875" style="120" customWidth="1"/>
    <col min="15110" max="15354" width="9.140625" style="120"/>
    <col min="15355" max="15355" width="5.42578125" style="120" bestFit="1" customWidth="1"/>
    <col min="15356" max="15356" width="20.42578125" style="120" bestFit="1" customWidth="1"/>
    <col min="15357" max="15357" width="41.42578125" style="120" customWidth="1"/>
    <col min="15358" max="15358" width="15.28515625" style="120" bestFit="1" customWidth="1"/>
    <col min="15359" max="15359" width="16.7109375" style="120" bestFit="1" customWidth="1"/>
    <col min="15360" max="15360" width="11.28515625" style="120" bestFit="1" customWidth="1"/>
    <col min="15361" max="15361" width="14" style="120" bestFit="1" customWidth="1"/>
    <col min="15362" max="15362" width="11.85546875" style="120" bestFit="1" customWidth="1"/>
    <col min="15363" max="15363" width="14.85546875" style="120" bestFit="1" customWidth="1"/>
    <col min="15364" max="15364" width="9.7109375" style="120" customWidth="1"/>
    <col min="15365" max="15365" width="4.85546875" style="120" customWidth="1"/>
    <col min="15366" max="15610" width="9.140625" style="120"/>
    <col min="15611" max="15611" width="5.42578125" style="120" bestFit="1" customWidth="1"/>
    <col min="15612" max="15612" width="20.42578125" style="120" bestFit="1" customWidth="1"/>
    <col min="15613" max="15613" width="41.42578125" style="120" customWidth="1"/>
    <col min="15614" max="15614" width="15.28515625" style="120" bestFit="1" customWidth="1"/>
    <col min="15615" max="15615" width="16.7109375" style="120" bestFit="1" customWidth="1"/>
    <col min="15616" max="15616" width="11.28515625" style="120" bestFit="1" customWidth="1"/>
    <col min="15617" max="15617" width="14" style="120" bestFit="1" customWidth="1"/>
    <col min="15618" max="15618" width="11.85546875" style="120" bestFit="1" customWidth="1"/>
    <col min="15619" max="15619" width="14.85546875" style="120" bestFit="1" customWidth="1"/>
    <col min="15620" max="15620" width="9.7109375" style="120" customWidth="1"/>
    <col min="15621" max="15621" width="4.85546875" style="120" customWidth="1"/>
    <col min="15622" max="15866" width="9.140625" style="120"/>
    <col min="15867" max="15867" width="5.42578125" style="120" bestFit="1" customWidth="1"/>
    <col min="15868" max="15868" width="20.42578125" style="120" bestFit="1" customWidth="1"/>
    <col min="15869" max="15869" width="41.42578125" style="120" customWidth="1"/>
    <col min="15870" max="15870" width="15.28515625" style="120" bestFit="1" customWidth="1"/>
    <col min="15871" max="15871" width="16.7109375" style="120" bestFit="1" customWidth="1"/>
    <col min="15872" max="15872" width="11.28515625" style="120" bestFit="1" customWidth="1"/>
    <col min="15873" max="15873" width="14" style="120" bestFit="1" customWidth="1"/>
    <col min="15874" max="15874" width="11.85546875" style="120" bestFit="1" customWidth="1"/>
    <col min="15875" max="15875" width="14.85546875" style="120" bestFit="1" customWidth="1"/>
    <col min="15876" max="15876" width="9.7109375" style="120" customWidth="1"/>
    <col min="15877" max="15877" width="4.85546875" style="120" customWidth="1"/>
    <col min="15878" max="16122" width="9.140625" style="120"/>
    <col min="16123" max="16123" width="5.42578125" style="120" bestFit="1" customWidth="1"/>
    <col min="16124" max="16124" width="20.42578125" style="120" bestFit="1" customWidth="1"/>
    <col min="16125" max="16125" width="41.42578125" style="120" customWidth="1"/>
    <col min="16126" max="16126" width="15.28515625" style="120" bestFit="1" customWidth="1"/>
    <col min="16127" max="16127" width="16.7109375" style="120" bestFit="1" customWidth="1"/>
    <col min="16128" max="16128" width="11.28515625" style="120" bestFit="1" customWidth="1"/>
    <col min="16129" max="16129" width="14" style="120" bestFit="1" customWidth="1"/>
    <col min="16130" max="16130" width="11.85546875" style="120" bestFit="1" customWidth="1"/>
    <col min="16131" max="16131" width="14.85546875" style="120" bestFit="1" customWidth="1"/>
    <col min="16132" max="16132" width="9.7109375" style="120" customWidth="1"/>
    <col min="16133" max="16133" width="4.85546875" style="120" customWidth="1"/>
    <col min="16134" max="16384" width="9.140625" style="120"/>
  </cols>
  <sheetData>
    <row r="1" spans="1:15" x14ac:dyDescent="0.25">
      <c r="A1" s="319" t="s">
        <v>0</v>
      </c>
      <c r="B1" s="319"/>
      <c r="C1" s="319"/>
      <c r="D1" s="319"/>
      <c r="E1" s="319"/>
      <c r="F1" s="319"/>
      <c r="G1" s="319"/>
      <c r="H1" s="319"/>
    </row>
    <row r="2" spans="1:15" x14ac:dyDescent="0.25">
      <c r="A2" s="320" t="s">
        <v>1032</v>
      </c>
      <c r="B2" s="320"/>
      <c r="C2" s="320"/>
      <c r="D2" s="320"/>
      <c r="E2" s="320"/>
      <c r="F2" s="320"/>
      <c r="G2" s="320"/>
      <c r="H2" s="320"/>
      <c r="J2" s="296" t="s">
        <v>1139</v>
      </c>
      <c r="K2" s="296"/>
      <c r="L2" s="296"/>
      <c r="M2" s="296"/>
      <c r="N2" s="296"/>
    </row>
    <row r="3" spans="1:15" ht="15" customHeight="1" x14ac:dyDescent="0.25">
      <c r="A3" s="321" t="s">
        <v>1033</v>
      </c>
      <c r="B3" s="321"/>
      <c r="C3" s="321"/>
      <c r="D3" s="321"/>
      <c r="E3" s="321"/>
      <c r="F3" s="321"/>
      <c r="G3" s="321"/>
      <c r="H3" s="321"/>
    </row>
    <row r="4" spans="1:15" s="187" customFormat="1" ht="30" x14ac:dyDescent="0.2">
      <c r="A4" s="121" t="s">
        <v>1034</v>
      </c>
      <c r="B4" s="121" t="s">
        <v>1035</v>
      </c>
      <c r="C4" s="121" t="s">
        <v>1036</v>
      </c>
      <c r="D4" s="121" t="s">
        <v>1037</v>
      </c>
      <c r="E4" s="121" t="s">
        <v>6</v>
      </c>
      <c r="F4" s="121" t="s">
        <v>7</v>
      </c>
      <c r="G4" s="121" t="s">
        <v>8</v>
      </c>
      <c r="H4" s="122" t="s">
        <v>997</v>
      </c>
      <c r="J4" s="200"/>
      <c r="K4" s="200"/>
      <c r="L4" s="200"/>
      <c r="M4" s="200"/>
      <c r="N4" s="200"/>
      <c r="O4" s="200"/>
    </row>
    <row r="5" spans="1:15" ht="26.25" x14ac:dyDescent="0.25">
      <c r="A5" s="123"/>
      <c r="B5" s="123"/>
      <c r="C5" s="124" t="s">
        <v>1038</v>
      </c>
      <c r="D5" s="123"/>
      <c r="E5" s="123"/>
      <c r="F5" s="125"/>
      <c r="G5" s="125"/>
      <c r="H5" s="126"/>
    </row>
    <row r="6" spans="1:15" ht="26.25" x14ac:dyDescent="0.25">
      <c r="A6" s="123">
        <v>1</v>
      </c>
      <c r="B6" s="123" t="s">
        <v>1039</v>
      </c>
      <c r="C6" s="127" t="s">
        <v>1040</v>
      </c>
      <c r="D6" s="123" t="s">
        <v>1041</v>
      </c>
      <c r="E6" s="128">
        <v>13585595.022</v>
      </c>
      <c r="F6" s="129">
        <v>12064.676848499999</v>
      </c>
      <c r="G6" s="130">
        <v>97.78607611302489</v>
      </c>
      <c r="H6" s="126"/>
      <c r="I6" s="131"/>
      <c r="K6" s="201"/>
    </row>
    <row r="7" spans="1:15" x14ac:dyDescent="0.25">
      <c r="A7" s="132"/>
      <c r="B7" s="126"/>
      <c r="C7" s="126"/>
      <c r="D7" s="126"/>
      <c r="E7" s="126"/>
      <c r="F7" s="126"/>
      <c r="G7" s="126"/>
      <c r="H7" s="133"/>
    </row>
    <row r="8" spans="1:15" ht="25.5" x14ac:dyDescent="0.25">
      <c r="A8" s="134"/>
      <c r="B8" s="134"/>
      <c r="C8" s="135" t="s">
        <v>1042</v>
      </c>
      <c r="D8" s="135"/>
      <c r="E8" s="136"/>
      <c r="F8" s="137">
        <v>12064.676848499999</v>
      </c>
      <c r="G8" s="138">
        <v>97.78607611302489</v>
      </c>
      <c r="H8" s="139"/>
    </row>
    <row r="9" spans="1:15" x14ac:dyDescent="0.25">
      <c r="A9" s="134"/>
      <c r="B9" s="134"/>
      <c r="C9" s="134"/>
      <c r="D9" s="134"/>
      <c r="E9" s="134"/>
      <c r="F9" s="140"/>
      <c r="G9" s="134"/>
      <c r="H9" s="126"/>
    </row>
    <row r="10" spans="1:15" x14ac:dyDescent="0.25">
      <c r="A10" s="123"/>
      <c r="B10" s="123"/>
      <c r="C10" s="141" t="s">
        <v>1043</v>
      </c>
      <c r="D10" s="141"/>
      <c r="E10" s="141"/>
      <c r="F10" s="142"/>
      <c r="G10" s="134"/>
      <c r="H10" s="126"/>
    </row>
    <row r="11" spans="1:15" x14ac:dyDescent="0.25">
      <c r="A11" s="123"/>
      <c r="B11" s="123"/>
      <c r="C11" s="143" t="s">
        <v>1044</v>
      </c>
      <c r="D11" s="141"/>
      <c r="E11" s="141"/>
      <c r="F11" s="142"/>
      <c r="G11" s="134"/>
      <c r="H11" s="126"/>
    </row>
    <row r="12" spans="1:15" x14ac:dyDescent="0.25">
      <c r="A12" s="134"/>
      <c r="B12" s="134"/>
      <c r="C12" s="144" t="s">
        <v>129</v>
      </c>
      <c r="D12" s="141"/>
      <c r="E12" s="141"/>
      <c r="F12" s="145">
        <v>293.77463818299998</v>
      </c>
      <c r="G12" s="145">
        <v>2.3810889831674871</v>
      </c>
      <c r="H12" s="146">
        <v>3.93</v>
      </c>
    </row>
    <row r="13" spans="1:15" x14ac:dyDescent="0.25">
      <c r="A13" s="134"/>
      <c r="B13" s="134"/>
      <c r="C13" s="144" t="s">
        <v>130</v>
      </c>
      <c r="D13" s="141"/>
      <c r="E13" s="141"/>
      <c r="F13" s="145">
        <v>19.294982569999998</v>
      </c>
      <c r="G13" s="145">
        <v>0.15638882482161898</v>
      </c>
      <c r="H13" s="146">
        <v>3.8</v>
      </c>
      <c r="J13" s="202" t="s">
        <v>1171</v>
      </c>
    </row>
    <row r="14" spans="1:15" x14ac:dyDescent="0.25">
      <c r="A14" s="134"/>
      <c r="B14" s="134"/>
      <c r="C14" s="144"/>
      <c r="D14" s="141"/>
      <c r="E14" s="141"/>
      <c r="F14" s="145"/>
      <c r="G14" s="130"/>
      <c r="H14" s="126"/>
    </row>
    <row r="15" spans="1:15" x14ac:dyDescent="0.25">
      <c r="A15" s="134"/>
      <c r="B15" s="134"/>
      <c r="C15" s="147" t="s">
        <v>131</v>
      </c>
      <c r="D15" s="134"/>
      <c r="E15" s="134"/>
      <c r="F15" s="148">
        <v>313.06962075299998</v>
      </c>
      <c r="G15" s="138">
        <v>2.5374778079891058</v>
      </c>
      <c r="H15" s="126"/>
    </row>
    <row r="16" spans="1:15" x14ac:dyDescent="0.25">
      <c r="A16" s="134"/>
      <c r="B16" s="134"/>
      <c r="C16" s="134"/>
      <c r="D16" s="134"/>
      <c r="E16" s="134"/>
      <c r="F16" s="140"/>
      <c r="G16" s="134"/>
      <c r="H16" s="126"/>
    </row>
    <row r="17" spans="1:9" x14ac:dyDescent="0.25">
      <c r="A17" s="134"/>
      <c r="B17" s="134"/>
      <c r="C17" s="144" t="s">
        <v>1045</v>
      </c>
      <c r="D17" s="141"/>
      <c r="E17" s="141"/>
      <c r="F17" s="145">
        <v>-39.919522852998853</v>
      </c>
      <c r="G17" s="145">
        <v>-0.32355392101399827</v>
      </c>
      <c r="H17" s="149"/>
    </row>
    <row r="18" spans="1:9" x14ac:dyDescent="0.25">
      <c r="A18" s="134"/>
      <c r="B18" s="134"/>
      <c r="C18" s="134"/>
      <c r="D18" s="134"/>
      <c r="E18" s="134"/>
      <c r="F18" s="140"/>
      <c r="G18" s="134"/>
      <c r="H18" s="126"/>
    </row>
    <row r="19" spans="1:9" x14ac:dyDescent="0.25">
      <c r="A19" s="134"/>
      <c r="B19" s="134"/>
      <c r="C19" s="147" t="s">
        <v>138</v>
      </c>
      <c r="D19" s="134"/>
      <c r="E19" s="134"/>
      <c r="F19" s="148">
        <v>12337.8269464</v>
      </c>
      <c r="G19" s="150">
        <v>100</v>
      </c>
      <c r="H19" s="151"/>
      <c r="I19" s="131"/>
    </row>
    <row r="20" spans="1:9" x14ac:dyDescent="0.25">
      <c r="F20" s="152"/>
      <c r="H20" s="153"/>
    </row>
    <row r="21" spans="1:9" x14ac:dyDescent="0.25">
      <c r="B21" s="154" t="s">
        <v>140</v>
      </c>
      <c r="C21" s="155"/>
      <c r="D21" s="155"/>
      <c r="E21" s="155"/>
      <c r="F21" s="156"/>
      <c r="G21" s="155"/>
    </row>
    <row r="22" spans="1:9" x14ac:dyDescent="0.25">
      <c r="B22" s="155" t="s">
        <v>1046</v>
      </c>
      <c r="C22" s="155"/>
      <c r="D22" s="155"/>
      <c r="E22" s="155"/>
      <c r="F22" s="157"/>
      <c r="G22" s="157"/>
    </row>
    <row r="23" spans="1:9" x14ac:dyDescent="0.25">
      <c r="B23" s="317" t="s">
        <v>1047</v>
      </c>
      <c r="C23" s="317"/>
      <c r="D23" s="155"/>
      <c r="E23" s="155"/>
      <c r="F23" s="158"/>
      <c r="G23" s="158"/>
    </row>
    <row r="24" spans="1:9" x14ac:dyDescent="0.25">
      <c r="B24" s="322" t="s">
        <v>144</v>
      </c>
      <c r="C24" s="323"/>
      <c r="D24" s="324"/>
      <c r="E24" s="159"/>
      <c r="F24" s="155" t="s">
        <v>152</v>
      </c>
      <c r="G24" s="155"/>
    </row>
    <row r="25" spans="1:9" x14ac:dyDescent="0.25">
      <c r="B25" s="160"/>
      <c r="C25" s="161" t="s">
        <v>145</v>
      </c>
      <c r="D25" s="161" t="s">
        <v>146</v>
      </c>
      <c r="E25" s="162"/>
      <c r="F25" s="162"/>
      <c r="G25" s="155"/>
    </row>
    <row r="26" spans="1:9" x14ac:dyDescent="0.25">
      <c r="B26" s="163" t="s">
        <v>1048</v>
      </c>
      <c r="C26" s="164">
        <v>44651</v>
      </c>
      <c r="D26" s="164">
        <v>44681</v>
      </c>
      <c r="E26" s="165"/>
      <c r="F26" s="165"/>
      <c r="G26" s="166"/>
    </row>
    <row r="27" spans="1:9" x14ac:dyDescent="0.25">
      <c r="B27" s="167" t="s">
        <v>150</v>
      </c>
      <c r="C27" s="168">
        <v>25.8445</v>
      </c>
      <c r="D27" s="168">
        <v>24.0809</v>
      </c>
      <c r="E27" s="169"/>
      <c r="F27" s="166"/>
      <c r="G27" s="166"/>
    </row>
    <row r="28" spans="1:9" x14ac:dyDescent="0.25">
      <c r="B28" s="170" t="s">
        <v>1114</v>
      </c>
      <c r="C28" s="168">
        <v>22.988700000000001</v>
      </c>
      <c r="D28" s="168">
        <v>21.419799999999999</v>
      </c>
      <c r="E28" s="169"/>
      <c r="F28" s="166"/>
      <c r="G28" s="166"/>
    </row>
    <row r="29" spans="1:9" x14ac:dyDescent="0.25">
      <c r="B29" s="167" t="s">
        <v>151</v>
      </c>
      <c r="C29" s="168">
        <v>24.3965</v>
      </c>
      <c r="D29" s="168">
        <v>22.708600000000001</v>
      </c>
      <c r="E29" s="169"/>
      <c r="F29" s="166"/>
      <c r="G29" s="166"/>
    </row>
    <row r="30" spans="1:9" x14ac:dyDescent="0.25">
      <c r="B30" s="171" t="s">
        <v>1115</v>
      </c>
      <c r="C30" s="168">
        <v>20.905799999999999</v>
      </c>
      <c r="D30" s="168">
        <v>19.459399999999999</v>
      </c>
      <c r="E30" s="169"/>
      <c r="F30" s="166"/>
      <c r="G30" s="166"/>
    </row>
    <row r="31" spans="1:9" ht="15" customHeight="1" x14ac:dyDescent="0.25">
      <c r="B31" s="172"/>
      <c r="C31" s="173"/>
      <c r="D31" s="173"/>
      <c r="E31" s="173"/>
      <c r="F31" s="173"/>
      <c r="G31" s="155"/>
    </row>
    <row r="32" spans="1:9" x14ac:dyDescent="0.25">
      <c r="B32" s="325" t="s">
        <v>1049</v>
      </c>
      <c r="C32" s="325"/>
      <c r="D32" s="325"/>
      <c r="E32" s="174"/>
      <c r="F32" s="174"/>
      <c r="G32" s="166"/>
    </row>
    <row r="33" spans="2:7" x14ac:dyDescent="0.25">
      <c r="B33" s="317" t="s">
        <v>1050</v>
      </c>
      <c r="C33" s="317"/>
      <c r="D33" s="317"/>
      <c r="E33" s="155"/>
      <c r="F33" s="155"/>
      <c r="G33" s="155"/>
    </row>
    <row r="34" spans="2:7" ht="15" customHeight="1" x14ac:dyDescent="0.25">
      <c r="B34" s="175" t="s">
        <v>1051</v>
      </c>
      <c r="C34" s="175"/>
      <c r="D34" s="175"/>
      <c r="E34" s="176"/>
      <c r="F34" s="176"/>
      <c r="G34" s="155"/>
    </row>
    <row r="35" spans="2:7" x14ac:dyDescent="0.25">
      <c r="B35" s="318" t="s">
        <v>1052</v>
      </c>
      <c r="C35" s="318"/>
      <c r="D35" s="318"/>
      <c r="E35" s="166"/>
      <c r="F35" s="166"/>
      <c r="G35" s="166"/>
    </row>
  </sheetData>
  <mergeCells count="9">
    <mergeCell ref="J2:N2"/>
    <mergeCell ref="B33:D33"/>
    <mergeCell ref="B35:D35"/>
    <mergeCell ref="A1:H1"/>
    <mergeCell ref="A2:H2"/>
    <mergeCell ref="A3:H3"/>
    <mergeCell ref="B23:C23"/>
    <mergeCell ref="B24:D24"/>
    <mergeCell ref="B32:D32"/>
  </mergeCell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85DC-8045-4EE9-A7F3-D17DBFD785AA}">
  <sheetPr>
    <pageSetUpPr fitToPage="1"/>
  </sheetPr>
  <dimension ref="B1:L192"/>
  <sheetViews>
    <sheetView topLeftCell="C8" zoomScaleNormal="100" workbookViewId="0">
      <selection activeCell="G8" sqref="G8"/>
    </sheetView>
  </sheetViews>
  <sheetFormatPr defaultRowHeight="12.75" x14ac:dyDescent="0.2"/>
  <cols>
    <col min="1" max="1" width="23" style="203" customWidth="1"/>
    <col min="2" max="2" width="41.140625" style="203" customWidth="1"/>
    <col min="3" max="3" width="49.42578125" style="203" customWidth="1"/>
    <col min="4" max="4" width="17.28515625" style="203" bestFit="1" customWidth="1"/>
    <col min="5" max="5" width="20.140625" style="203" bestFit="1" customWidth="1"/>
    <col min="6" max="6" width="16.5703125" style="203" customWidth="1"/>
    <col min="7" max="7" width="19" style="203" customWidth="1"/>
    <col min="8" max="8" width="17.5703125" style="203" customWidth="1"/>
    <col min="9" max="9" width="15.5703125" style="203" bestFit="1" customWidth="1"/>
    <col min="10" max="10" width="13.5703125" style="203" customWidth="1"/>
    <col min="11" max="11" width="20.5703125" style="203" customWidth="1"/>
    <col min="12" max="12" width="12.42578125" style="203" bestFit="1" customWidth="1"/>
    <col min="13" max="256" width="9.140625" style="203"/>
    <col min="257" max="257" width="23" style="203" customWidth="1"/>
    <col min="258" max="258" width="41.140625" style="203" customWidth="1"/>
    <col min="259" max="259" width="49.42578125" style="203" customWidth="1"/>
    <col min="260" max="260" width="17.28515625" style="203" bestFit="1" customWidth="1"/>
    <col min="261" max="261" width="20.140625" style="203" bestFit="1" customWidth="1"/>
    <col min="262" max="262" width="16.5703125" style="203" customWidth="1"/>
    <col min="263" max="263" width="19" style="203" customWidth="1"/>
    <col min="264" max="264" width="17.5703125" style="203" customWidth="1"/>
    <col min="265" max="265" width="15.5703125" style="203" bestFit="1" customWidth="1"/>
    <col min="266" max="266" width="13.5703125" style="203" customWidth="1"/>
    <col min="267" max="267" width="20.5703125" style="203" customWidth="1"/>
    <col min="268" max="268" width="12.42578125" style="203" bestFit="1" customWidth="1"/>
    <col min="269" max="512" width="9.140625" style="203"/>
    <col min="513" max="513" width="23" style="203" customWidth="1"/>
    <col min="514" max="514" width="41.140625" style="203" customWidth="1"/>
    <col min="515" max="515" width="49.42578125" style="203" customWidth="1"/>
    <col min="516" max="516" width="17.28515625" style="203" bestFit="1" customWidth="1"/>
    <col min="517" max="517" width="20.140625" style="203" bestFit="1" customWidth="1"/>
    <col min="518" max="518" width="16.5703125" style="203" customWidth="1"/>
    <col min="519" max="519" width="19" style="203" customWidth="1"/>
    <col min="520" max="520" width="17.5703125" style="203" customWidth="1"/>
    <col min="521" max="521" width="15.5703125" style="203" bestFit="1" customWidth="1"/>
    <col min="522" max="522" width="13.5703125" style="203" customWidth="1"/>
    <col min="523" max="523" width="20.5703125" style="203" customWidth="1"/>
    <col min="524" max="524" width="12.42578125" style="203" bestFit="1" customWidth="1"/>
    <col min="525" max="768" width="9.140625" style="203"/>
    <col min="769" max="769" width="23" style="203" customWidth="1"/>
    <col min="770" max="770" width="41.140625" style="203" customWidth="1"/>
    <col min="771" max="771" width="49.42578125" style="203" customWidth="1"/>
    <col min="772" max="772" width="17.28515625" style="203" bestFit="1" customWidth="1"/>
    <col min="773" max="773" width="20.140625" style="203" bestFit="1" customWidth="1"/>
    <col min="774" max="774" width="16.5703125" style="203" customWidth="1"/>
    <col min="775" max="775" width="19" style="203" customWidth="1"/>
    <col min="776" max="776" width="17.5703125" style="203" customWidth="1"/>
    <col min="777" max="777" width="15.5703125" style="203" bestFit="1" customWidth="1"/>
    <col min="778" max="778" width="13.5703125" style="203" customWidth="1"/>
    <col min="779" max="779" width="20.5703125" style="203" customWidth="1"/>
    <col min="780" max="780" width="12.42578125" style="203" bestFit="1" customWidth="1"/>
    <col min="781" max="1024" width="9.140625" style="203"/>
    <col min="1025" max="1025" width="23" style="203" customWidth="1"/>
    <col min="1026" max="1026" width="41.140625" style="203" customWidth="1"/>
    <col min="1027" max="1027" width="49.42578125" style="203" customWidth="1"/>
    <col min="1028" max="1028" width="17.28515625" style="203" bestFit="1" customWidth="1"/>
    <col min="1029" max="1029" width="20.140625" style="203" bestFit="1" customWidth="1"/>
    <col min="1030" max="1030" width="16.5703125" style="203" customWidth="1"/>
    <col min="1031" max="1031" width="19" style="203" customWidth="1"/>
    <col min="1032" max="1032" width="17.5703125" style="203" customWidth="1"/>
    <col min="1033" max="1033" width="15.5703125" style="203" bestFit="1" customWidth="1"/>
    <col min="1034" max="1034" width="13.5703125" style="203" customWidth="1"/>
    <col min="1035" max="1035" width="20.5703125" style="203" customWidth="1"/>
    <col min="1036" max="1036" width="12.42578125" style="203" bestFit="1" customWidth="1"/>
    <col min="1037" max="1280" width="9.140625" style="203"/>
    <col min="1281" max="1281" width="23" style="203" customWidth="1"/>
    <col min="1282" max="1282" width="41.140625" style="203" customWidth="1"/>
    <col min="1283" max="1283" width="49.42578125" style="203" customWidth="1"/>
    <col min="1284" max="1284" width="17.28515625" style="203" bestFit="1" customWidth="1"/>
    <col min="1285" max="1285" width="20.140625" style="203" bestFit="1" customWidth="1"/>
    <col min="1286" max="1286" width="16.5703125" style="203" customWidth="1"/>
    <col min="1287" max="1287" width="19" style="203" customWidth="1"/>
    <col min="1288" max="1288" width="17.5703125" style="203" customWidth="1"/>
    <col min="1289" max="1289" width="15.5703125" style="203" bestFit="1" customWidth="1"/>
    <col min="1290" max="1290" width="13.5703125" style="203" customWidth="1"/>
    <col min="1291" max="1291" width="20.5703125" style="203" customWidth="1"/>
    <col min="1292" max="1292" width="12.42578125" style="203" bestFit="1" customWidth="1"/>
    <col min="1293" max="1536" width="9.140625" style="203"/>
    <col min="1537" max="1537" width="23" style="203" customWidth="1"/>
    <col min="1538" max="1538" width="41.140625" style="203" customWidth="1"/>
    <col min="1539" max="1539" width="49.42578125" style="203" customWidth="1"/>
    <col min="1540" max="1540" width="17.28515625" style="203" bestFit="1" customWidth="1"/>
    <col min="1541" max="1541" width="20.140625" style="203" bestFit="1" customWidth="1"/>
    <col min="1542" max="1542" width="16.5703125" style="203" customWidth="1"/>
    <col min="1543" max="1543" width="19" style="203" customWidth="1"/>
    <col min="1544" max="1544" width="17.5703125" style="203" customWidth="1"/>
    <col min="1545" max="1545" width="15.5703125" style="203" bestFit="1" customWidth="1"/>
    <col min="1546" max="1546" width="13.5703125" style="203" customWidth="1"/>
    <col min="1547" max="1547" width="20.5703125" style="203" customWidth="1"/>
    <col min="1548" max="1548" width="12.42578125" style="203" bestFit="1" customWidth="1"/>
    <col min="1549" max="1792" width="9.140625" style="203"/>
    <col min="1793" max="1793" width="23" style="203" customWidth="1"/>
    <col min="1794" max="1794" width="41.140625" style="203" customWidth="1"/>
    <col min="1795" max="1795" width="49.42578125" style="203" customWidth="1"/>
    <col min="1796" max="1796" width="17.28515625" style="203" bestFit="1" customWidth="1"/>
    <col min="1797" max="1797" width="20.140625" style="203" bestFit="1" customWidth="1"/>
    <col min="1798" max="1798" width="16.5703125" style="203" customWidth="1"/>
    <col min="1799" max="1799" width="19" style="203" customWidth="1"/>
    <col min="1800" max="1800" width="17.5703125" style="203" customWidth="1"/>
    <col min="1801" max="1801" width="15.5703125" style="203" bestFit="1" customWidth="1"/>
    <col min="1802" max="1802" width="13.5703125" style="203" customWidth="1"/>
    <col min="1803" max="1803" width="20.5703125" style="203" customWidth="1"/>
    <col min="1804" max="1804" width="12.42578125" style="203" bestFit="1" customWidth="1"/>
    <col min="1805" max="2048" width="9.140625" style="203"/>
    <col min="2049" max="2049" width="23" style="203" customWidth="1"/>
    <col min="2050" max="2050" width="41.140625" style="203" customWidth="1"/>
    <col min="2051" max="2051" width="49.42578125" style="203" customWidth="1"/>
    <col min="2052" max="2052" width="17.28515625" style="203" bestFit="1" customWidth="1"/>
    <col min="2053" max="2053" width="20.140625" style="203" bestFit="1" customWidth="1"/>
    <col min="2054" max="2054" width="16.5703125" style="203" customWidth="1"/>
    <col min="2055" max="2055" width="19" style="203" customWidth="1"/>
    <col min="2056" max="2056" width="17.5703125" style="203" customWidth="1"/>
    <col min="2057" max="2057" width="15.5703125" style="203" bestFit="1" customWidth="1"/>
    <col min="2058" max="2058" width="13.5703125" style="203" customWidth="1"/>
    <col min="2059" max="2059" width="20.5703125" style="203" customWidth="1"/>
    <col min="2060" max="2060" width="12.42578125" style="203" bestFit="1" customWidth="1"/>
    <col min="2061" max="2304" width="9.140625" style="203"/>
    <col min="2305" max="2305" width="23" style="203" customWidth="1"/>
    <col min="2306" max="2306" width="41.140625" style="203" customWidth="1"/>
    <col min="2307" max="2307" width="49.42578125" style="203" customWidth="1"/>
    <col min="2308" max="2308" width="17.28515625" style="203" bestFit="1" customWidth="1"/>
    <col min="2309" max="2309" width="20.140625" style="203" bestFit="1" customWidth="1"/>
    <col min="2310" max="2310" width="16.5703125" style="203" customWidth="1"/>
    <col min="2311" max="2311" width="19" style="203" customWidth="1"/>
    <col min="2312" max="2312" width="17.5703125" style="203" customWidth="1"/>
    <col min="2313" max="2313" width="15.5703125" style="203" bestFit="1" customWidth="1"/>
    <col min="2314" max="2314" width="13.5703125" style="203" customWidth="1"/>
    <col min="2315" max="2315" width="20.5703125" style="203" customWidth="1"/>
    <col min="2316" max="2316" width="12.42578125" style="203" bestFit="1" customWidth="1"/>
    <col min="2317" max="2560" width="9.140625" style="203"/>
    <col min="2561" max="2561" width="23" style="203" customWidth="1"/>
    <col min="2562" max="2562" width="41.140625" style="203" customWidth="1"/>
    <col min="2563" max="2563" width="49.42578125" style="203" customWidth="1"/>
    <col min="2564" max="2564" width="17.28515625" style="203" bestFit="1" customWidth="1"/>
    <col min="2565" max="2565" width="20.140625" style="203" bestFit="1" customWidth="1"/>
    <col min="2566" max="2566" width="16.5703125" style="203" customWidth="1"/>
    <col min="2567" max="2567" width="19" style="203" customWidth="1"/>
    <col min="2568" max="2568" width="17.5703125" style="203" customWidth="1"/>
    <col min="2569" max="2569" width="15.5703125" style="203" bestFit="1" customWidth="1"/>
    <col min="2570" max="2570" width="13.5703125" style="203" customWidth="1"/>
    <col min="2571" max="2571" width="20.5703125" style="203" customWidth="1"/>
    <col min="2572" max="2572" width="12.42578125" style="203" bestFit="1" customWidth="1"/>
    <col min="2573" max="2816" width="9.140625" style="203"/>
    <col min="2817" max="2817" width="23" style="203" customWidth="1"/>
    <col min="2818" max="2818" width="41.140625" style="203" customWidth="1"/>
    <col min="2819" max="2819" width="49.42578125" style="203" customWidth="1"/>
    <col min="2820" max="2820" width="17.28515625" style="203" bestFit="1" customWidth="1"/>
    <col min="2821" max="2821" width="20.140625" style="203" bestFit="1" customWidth="1"/>
    <col min="2822" max="2822" width="16.5703125" style="203" customWidth="1"/>
    <col min="2823" max="2823" width="19" style="203" customWidth="1"/>
    <col min="2824" max="2824" width="17.5703125" style="203" customWidth="1"/>
    <col min="2825" max="2825" width="15.5703125" style="203" bestFit="1" customWidth="1"/>
    <col min="2826" max="2826" width="13.5703125" style="203" customWidth="1"/>
    <col min="2827" max="2827" width="20.5703125" style="203" customWidth="1"/>
    <col min="2828" max="2828" width="12.42578125" style="203" bestFit="1" customWidth="1"/>
    <col min="2829" max="3072" width="9.140625" style="203"/>
    <col min="3073" max="3073" width="23" style="203" customWidth="1"/>
    <col min="3074" max="3074" width="41.140625" style="203" customWidth="1"/>
    <col min="3075" max="3075" width="49.42578125" style="203" customWidth="1"/>
    <col min="3076" max="3076" width="17.28515625" style="203" bestFit="1" customWidth="1"/>
    <col min="3077" max="3077" width="20.140625" style="203" bestFit="1" customWidth="1"/>
    <col min="3078" max="3078" width="16.5703125" style="203" customWidth="1"/>
    <col min="3079" max="3079" width="19" style="203" customWidth="1"/>
    <col min="3080" max="3080" width="17.5703125" style="203" customWidth="1"/>
    <col min="3081" max="3081" width="15.5703125" style="203" bestFit="1" customWidth="1"/>
    <col min="3082" max="3082" width="13.5703125" style="203" customWidth="1"/>
    <col min="3083" max="3083" width="20.5703125" style="203" customWidth="1"/>
    <col min="3084" max="3084" width="12.42578125" style="203" bestFit="1" customWidth="1"/>
    <col min="3085" max="3328" width="9.140625" style="203"/>
    <col min="3329" max="3329" width="23" style="203" customWidth="1"/>
    <col min="3330" max="3330" width="41.140625" style="203" customWidth="1"/>
    <col min="3331" max="3331" width="49.42578125" style="203" customWidth="1"/>
    <col min="3332" max="3332" width="17.28515625" style="203" bestFit="1" customWidth="1"/>
    <col min="3333" max="3333" width="20.140625" style="203" bestFit="1" customWidth="1"/>
    <col min="3334" max="3334" width="16.5703125" style="203" customWidth="1"/>
    <col min="3335" max="3335" width="19" style="203" customWidth="1"/>
    <col min="3336" max="3336" width="17.5703125" style="203" customWidth="1"/>
    <col min="3337" max="3337" width="15.5703125" style="203" bestFit="1" customWidth="1"/>
    <col min="3338" max="3338" width="13.5703125" style="203" customWidth="1"/>
    <col min="3339" max="3339" width="20.5703125" style="203" customWidth="1"/>
    <col min="3340" max="3340" width="12.42578125" style="203" bestFit="1" customWidth="1"/>
    <col min="3341" max="3584" width="9.140625" style="203"/>
    <col min="3585" max="3585" width="23" style="203" customWidth="1"/>
    <col min="3586" max="3586" width="41.140625" style="203" customWidth="1"/>
    <col min="3587" max="3587" width="49.42578125" style="203" customWidth="1"/>
    <col min="3588" max="3588" width="17.28515625" style="203" bestFit="1" customWidth="1"/>
    <col min="3589" max="3589" width="20.140625" style="203" bestFit="1" customWidth="1"/>
    <col min="3590" max="3590" width="16.5703125" style="203" customWidth="1"/>
    <col min="3591" max="3591" width="19" style="203" customWidth="1"/>
    <col min="3592" max="3592" width="17.5703125" style="203" customWidth="1"/>
    <col min="3593" max="3593" width="15.5703125" style="203" bestFit="1" customWidth="1"/>
    <col min="3594" max="3594" width="13.5703125" style="203" customWidth="1"/>
    <col min="3595" max="3595" width="20.5703125" style="203" customWidth="1"/>
    <col min="3596" max="3596" width="12.42578125" style="203" bestFit="1" customWidth="1"/>
    <col min="3597" max="3840" width="9.140625" style="203"/>
    <col min="3841" max="3841" width="23" style="203" customWidth="1"/>
    <col min="3842" max="3842" width="41.140625" style="203" customWidth="1"/>
    <col min="3843" max="3843" width="49.42578125" style="203" customWidth="1"/>
    <col min="3844" max="3844" width="17.28515625" style="203" bestFit="1" customWidth="1"/>
    <col min="3845" max="3845" width="20.140625" style="203" bestFit="1" customWidth="1"/>
    <col min="3846" max="3846" width="16.5703125" style="203" customWidth="1"/>
    <col min="3847" max="3847" width="19" style="203" customWidth="1"/>
    <col min="3848" max="3848" width="17.5703125" style="203" customWidth="1"/>
    <col min="3849" max="3849" width="15.5703125" style="203" bestFit="1" customWidth="1"/>
    <col min="3850" max="3850" width="13.5703125" style="203" customWidth="1"/>
    <col min="3851" max="3851" width="20.5703125" style="203" customWidth="1"/>
    <col min="3852" max="3852" width="12.42578125" style="203" bestFit="1" customWidth="1"/>
    <col min="3853" max="4096" width="9.140625" style="203"/>
    <col min="4097" max="4097" width="23" style="203" customWidth="1"/>
    <col min="4098" max="4098" width="41.140625" style="203" customWidth="1"/>
    <col min="4099" max="4099" width="49.42578125" style="203" customWidth="1"/>
    <col min="4100" max="4100" width="17.28515625" style="203" bestFit="1" customWidth="1"/>
    <col min="4101" max="4101" width="20.140625" style="203" bestFit="1" customWidth="1"/>
    <col min="4102" max="4102" width="16.5703125" style="203" customWidth="1"/>
    <col min="4103" max="4103" width="19" style="203" customWidth="1"/>
    <col min="4104" max="4104" width="17.5703125" style="203" customWidth="1"/>
    <col min="4105" max="4105" width="15.5703125" style="203" bestFit="1" customWidth="1"/>
    <col min="4106" max="4106" width="13.5703125" style="203" customWidth="1"/>
    <col min="4107" max="4107" width="20.5703125" style="203" customWidth="1"/>
    <col min="4108" max="4108" width="12.42578125" style="203" bestFit="1" customWidth="1"/>
    <col min="4109" max="4352" width="9.140625" style="203"/>
    <col min="4353" max="4353" width="23" style="203" customWidth="1"/>
    <col min="4354" max="4354" width="41.140625" style="203" customWidth="1"/>
    <col min="4355" max="4355" width="49.42578125" style="203" customWidth="1"/>
    <col min="4356" max="4356" width="17.28515625" style="203" bestFit="1" customWidth="1"/>
    <col min="4357" max="4357" width="20.140625" style="203" bestFit="1" customWidth="1"/>
    <col min="4358" max="4358" width="16.5703125" style="203" customWidth="1"/>
    <col min="4359" max="4359" width="19" style="203" customWidth="1"/>
    <col min="4360" max="4360" width="17.5703125" style="203" customWidth="1"/>
    <col min="4361" max="4361" width="15.5703125" style="203" bestFit="1" customWidth="1"/>
    <col min="4362" max="4362" width="13.5703125" style="203" customWidth="1"/>
    <col min="4363" max="4363" width="20.5703125" style="203" customWidth="1"/>
    <col min="4364" max="4364" width="12.42578125" style="203" bestFit="1" customWidth="1"/>
    <col min="4365" max="4608" width="9.140625" style="203"/>
    <col min="4609" max="4609" width="23" style="203" customWidth="1"/>
    <col min="4610" max="4610" width="41.140625" style="203" customWidth="1"/>
    <col min="4611" max="4611" width="49.42578125" style="203" customWidth="1"/>
    <col min="4612" max="4612" width="17.28515625" style="203" bestFit="1" customWidth="1"/>
    <col min="4613" max="4613" width="20.140625" style="203" bestFit="1" customWidth="1"/>
    <col min="4614" max="4614" width="16.5703125" style="203" customWidth="1"/>
    <col min="4615" max="4615" width="19" style="203" customWidth="1"/>
    <col min="4616" max="4616" width="17.5703125" style="203" customWidth="1"/>
    <col min="4617" max="4617" width="15.5703125" style="203" bestFit="1" customWidth="1"/>
    <col min="4618" max="4618" width="13.5703125" style="203" customWidth="1"/>
    <col min="4619" max="4619" width="20.5703125" style="203" customWidth="1"/>
    <col min="4620" max="4620" width="12.42578125" style="203" bestFit="1" customWidth="1"/>
    <col min="4621" max="4864" width="9.140625" style="203"/>
    <col min="4865" max="4865" width="23" style="203" customWidth="1"/>
    <col min="4866" max="4866" width="41.140625" style="203" customWidth="1"/>
    <col min="4867" max="4867" width="49.42578125" style="203" customWidth="1"/>
    <col min="4868" max="4868" width="17.28515625" style="203" bestFit="1" customWidth="1"/>
    <col min="4869" max="4869" width="20.140625" style="203" bestFit="1" customWidth="1"/>
    <col min="4870" max="4870" width="16.5703125" style="203" customWidth="1"/>
    <col min="4871" max="4871" width="19" style="203" customWidth="1"/>
    <col min="4872" max="4872" width="17.5703125" style="203" customWidth="1"/>
    <col min="4873" max="4873" width="15.5703125" style="203" bestFit="1" customWidth="1"/>
    <col min="4874" max="4874" width="13.5703125" style="203" customWidth="1"/>
    <col min="4875" max="4875" width="20.5703125" style="203" customWidth="1"/>
    <col min="4876" max="4876" width="12.42578125" style="203" bestFit="1" customWidth="1"/>
    <col min="4877" max="5120" width="9.140625" style="203"/>
    <col min="5121" max="5121" width="23" style="203" customWidth="1"/>
    <col min="5122" max="5122" width="41.140625" style="203" customWidth="1"/>
    <col min="5123" max="5123" width="49.42578125" style="203" customWidth="1"/>
    <col min="5124" max="5124" width="17.28515625" style="203" bestFit="1" customWidth="1"/>
    <col min="5125" max="5125" width="20.140625" style="203" bestFit="1" customWidth="1"/>
    <col min="5126" max="5126" width="16.5703125" style="203" customWidth="1"/>
    <col min="5127" max="5127" width="19" style="203" customWidth="1"/>
    <col min="5128" max="5128" width="17.5703125" style="203" customWidth="1"/>
    <col min="5129" max="5129" width="15.5703125" style="203" bestFit="1" customWidth="1"/>
    <col min="5130" max="5130" width="13.5703125" style="203" customWidth="1"/>
    <col min="5131" max="5131" width="20.5703125" style="203" customWidth="1"/>
    <col min="5132" max="5132" width="12.42578125" style="203" bestFit="1" customWidth="1"/>
    <col min="5133" max="5376" width="9.140625" style="203"/>
    <col min="5377" max="5377" width="23" style="203" customWidth="1"/>
    <col min="5378" max="5378" width="41.140625" style="203" customWidth="1"/>
    <col min="5379" max="5379" width="49.42578125" style="203" customWidth="1"/>
    <col min="5380" max="5380" width="17.28515625" style="203" bestFit="1" customWidth="1"/>
    <col min="5381" max="5381" width="20.140625" style="203" bestFit="1" customWidth="1"/>
    <col min="5382" max="5382" width="16.5703125" style="203" customWidth="1"/>
    <col min="5383" max="5383" width="19" style="203" customWidth="1"/>
    <col min="5384" max="5384" width="17.5703125" style="203" customWidth="1"/>
    <col min="5385" max="5385" width="15.5703125" style="203" bestFit="1" customWidth="1"/>
    <col min="5386" max="5386" width="13.5703125" style="203" customWidth="1"/>
    <col min="5387" max="5387" width="20.5703125" style="203" customWidth="1"/>
    <col min="5388" max="5388" width="12.42578125" style="203" bestFit="1" customWidth="1"/>
    <col min="5389" max="5632" width="9.140625" style="203"/>
    <col min="5633" max="5633" width="23" style="203" customWidth="1"/>
    <col min="5634" max="5634" width="41.140625" style="203" customWidth="1"/>
    <col min="5635" max="5635" width="49.42578125" style="203" customWidth="1"/>
    <col min="5636" max="5636" width="17.28515625" style="203" bestFit="1" customWidth="1"/>
    <col min="5637" max="5637" width="20.140625" style="203" bestFit="1" customWidth="1"/>
    <col min="5638" max="5638" width="16.5703125" style="203" customWidth="1"/>
    <col min="5639" max="5639" width="19" style="203" customWidth="1"/>
    <col min="5640" max="5640" width="17.5703125" style="203" customWidth="1"/>
    <col min="5641" max="5641" width="15.5703125" style="203" bestFit="1" customWidth="1"/>
    <col min="5642" max="5642" width="13.5703125" style="203" customWidth="1"/>
    <col min="5643" max="5643" width="20.5703125" style="203" customWidth="1"/>
    <col min="5644" max="5644" width="12.42578125" style="203" bestFit="1" customWidth="1"/>
    <col min="5645" max="5888" width="9.140625" style="203"/>
    <col min="5889" max="5889" width="23" style="203" customWidth="1"/>
    <col min="5890" max="5890" width="41.140625" style="203" customWidth="1"/>
    <col min="5891" max="5891" width="49.42578125" style="203" customWidth="1"/>
    <col min="5892" max="5892" width="17.28515625" style="203" bestFit="1" customWidth="1"/>
    <col min="5893" max="5893" width="20.140625" style="203" bestFit="1" customWidth="1"/>
    <col min="5894" max="5894" width="16.5703125" style="203" customWidth="1"/>
    <col min="5895" max="5895" width="19" style="203" customWidth="1"/>
    <col min="5896" max="5896" width="17.5703125" style="203" customWidth="1"/>
    <col min="5897" max="5897" width="15.5703125" style="203" bestFit="1" customWidth="1"/>
    <col min="5898" max="5898" width="13.5703125" style="203" customWidth="1"/>
    <col min="5899" max="5899" width="20.5703125" style="203" customWidth="1"/>
    <col min="5900" max="5900" width="12.42578125" style="203" bestFit="1" customWidth="1"/>
    <col min="5901" max="6144" width="9.140625" style="203"/>
    <col min="6145" max="6145" width="23" style="203" customWidth="1"/>
    <col min="6146" max="6146" width="41.140625" style="203" customWidth="1"/>
    <col min="6147" max="6147" width="49.42578125" style="203" customWidth="1"/>
    <col min="6148" max="6148" width="17.28515625" style="203" bestFit="1" customWidth="1"/>
    <col min="6149" max="6149" width="20.140625" style="203" bestFit="1" customWidth="1"/>
    <col min="6150" max="6150" width="16.5703125" style="203" customWidth="1"/>
    <col min="6151" max="6151" width="19" style="203" customWidth="1"/>
    <col min="6152" max="6152" width="17.5703125" style="203" customWidth="1"/>
    <col min="6153" max="6153" width="15.5703125" style="203" bestFit="1" customWidth="1"/>
    <col min="6154" max="6154" width="13.5703125" style="203" customWidth="1"/>
    <col min="6155" max="6155" width="20.5703125" style="203" customWidth="1"/>
    <col min="6156" max="6156" width="12.42578125" style="203" bestFit="1" customWidth="1"/>
    <col min="6157" max="6400" width="9.140625" style="203"/>
    <col min="6401" max="6401" width="23" style="203" customWidth="1"/>
    <col min="6402" max="6402" width="41.140625" style="203" customWidth="1"/>
    <col min="6403" max="6403" width="49.42578125" style="203" customWidth="1"/>
    <col min="6404" max="6404" width="17.28515625" style="203" bestFit="1" customWidth="1"/>
    <col min="6405" max="6405" width="20.140625" style="203" bestFit="1" customWidth="1"/>
    <col min="6406" max="6406" width="16.5703125" style="203" customWidth="1"/>
    <col min="6407" max="6407" width="19" style="203" customWidth="1"/>
    <col min="6408" max="6408" width="17.5703125" style="203" customWidth="1"/>
    <col min="6409" max="6409" width="15.5703125" style="203" bestFit="1" customWidth="1"/>
    <col min="6410" max="6410" width="13.5703125" style="203" customWidth="1"/>
    <col min="6411" max="6411" width="20.5703125" style="203" customWidth="1"/>
    <col min="6412" max="6412" width="12.42578125" style="203" bestFit="1" customWidth="1"/>
    <col min="6413" max="6656" width="9.140625" style="203"/>
    <col min="6657" max="6657" width="23" style="203" customWidth="1"/>
    <col min="6658" max="6658" width="41.140625" style="203" customWidth="1"/>
    <col min="6659" max="6659" width="49.42578125" style="203" customWidth="1"/>
    <col min="6660" max="6660" width="17.28515625" style="203" bestFit="1" customWidth="1"/>
    <col min="6661" max="6661" width="20.140625" style="203" bestFit="1" customWidth="1"/>
    <col min="6662" max="6662" width="16.5703125" style="203" customWidth="1"/>
    <col min="6663" max="6663" width="19" style="203" customWidth="1"/>
    <col min="6664" max="6664" width="17.5703125" style="203" customWidth="1"/>
    <col min="6665" max="6665" width="15.5703125" style="203" bestFit="1" customWidth="1"/>
    <col min="6666" max="6666" width="13.5703125" style="203" customWidth="1"/>
    <col min="6667" max="6667" width="20.5703125" style="203" customWidth="1"/>
    <col min="6668" max="6668" width="12.42578125" style="203" bestFit="1" customWidth="1"/>
    <col min="6669" max="6912" width="9.140625" style="203"/>
    <col min="6913" max="6913" width="23" style="203" customWidth="1"/>
    <col min="6914" max="6914" width="41.140625" style="203" customWidth="1"/>
    <col min="6915" max="6915" width="49.42578125" style="203" customWidth="1"/>
    <col min="6916" max="6916" width="17.28515625" style="203" bestFit="1" customWidth="1"/>
    <col min="6917" max="6917" width="20.140625" style="203" bestFit="1" customWidth="1"/>
    <col min="6918" max="6918" width="16.5703125" style="203" customWidth="1"/>
    <col min="6919" max="6919" width="19" style="203" customWidth="1"/>
    <col min="6920" max="6920" width="17.5703125" style="203" customWidth="1"/>
    <col min="6921" max="6921" width="15.5703125" style="203" bestFit="1" customWidth="1"/>
    <col min="6922" max="6922" width="13.5703125" style="203" customWidth="1"/>
    <col min="6923" max="6923" width="20.5703125" style="203" customWidth="1"/>
    <col min="6924" max="6924" width="12.42578125" style="203" bestFit="1" customWidth="1"/>
    <col min="6925" max="7168" width="9.140625" style="203"/>
    <col min="7169" max="7169" width="23" style="203" customWidth="1"/>
    <col min="7170" max="7170" width="41.140625" style="203" customWidth="1"/>
    <col min="7171" max="7171" width="49.42578125" style="203" customWidth="1"/>
    <col min="7172" max="7172" width="17.28515625" style="203" bestFit="1" customWidth="1"/>
    <col min="7173" max="7173" width="20.140625" style="203" bestFit="1" customWidth="1"/>
    <col min="7174" max="7174" width="16.5703125" style="203" customWidth="1"/>
    <col min="7175" max="7175" width="19" style="203" customWidth="1"/>
    <col min="7176" max="7176" width="17.5703125" style="203" customWidth="1"/>
    <col min="7177" max="7177" width="15.5703125" style="203" bestFit="1" customWidth="1"/>
    <col min="7178" max="7178" width="13.5703125" style="203" customWidth="1"/>
    <col min="7179" max="7179" width="20.5703125" style="203" customWidth="1"/>
    <col min="7180" max="7180" width="12.42578125" style="203" bestFit="1" customWidth="1"/>
    <col min="7181" max="7424" width="9.140625" style="203"/>
    <col min="7425" max="7425" width="23" style="203" customWidth="1"/>
    <col min="7426" max="7426" width="41.140625" style="203" customWidth="1"/>
    <col min="7427" max="7427" width="49.42578125" style="203" customWidth="1"/>
    <col min="7428" max="7428" width="17.28515625" style="203" bestFit="1" customWidth="1"/>
    <col min="7429" max="7429" width="20.140625" style="203" bestFit="1" customWidth="1"/>
    <col min="7430" max="7430" width="16.5703125" style="203" customWidth="1"/>
    <col min="7431" max="7431" width="19" style="203" customWidth="1"/>
    <col min="7432" max="7432" width="17.5703125" style="203" customWidth="1"/>
    <col min="7433" max="7433" width="15.5703125" style="203" bestFit="1" customWidth="1"/>
    <col min="7434" max="7434" width="13.5703125" style="203" customWidth="1"/>
    <col min="7435" max="7435" width="20.5703125" style="203" customWidth="1"/>
    <col min="7436" max="7436" width="12.42578125" style="203" bestFit="1" customWidth="1"/>
    <col min="7437" max="7680" width="9.140625" style="203"/>
    <col min="7681" max="7681" width="23" style="203" customWidth="1"/>
    <col min="7682" max="7682" width="41.140625" style="203" customWidth="1"/>
    <col min="7683" max="7683" width="49.42578125" style="203" customWidth="1"/>
    <col min="7684" max="7684" width="17.28515625" style="203" bestFit="1" customWidth="1"/>
    <col min="7685" max="7685" width="20.140625" style="203" bestFit="1" customWidth="1"/>
    <col min="7686" max="7686" width="16.5703125" style="203" customWidth="1"/>
    <col min="7687" max="7687" width="19" style="203" customWidth="1"/>
    <col min="7688" max="7688" width="17.5703125" style="203" customWidth="1"/>
    <col min="7689" max="7689" width="15.5703125" style="203" bestFit="1" customWidth="1"/>
    <col min="7690" max="7690" width="13.5703125" style="203" customWidth="1"/>
    <col min="7691" max="7691" width="20.5703125" style="203" customWidth="1"/>
    <col min="7692" max="7692" width="12.42578125" style="203" bestFit="1" customWidth="1"/>
    <col min="7693" max="7936" width="9.140625" style="203"/>
    <col min="7937" max="7937" width="23" style="203" customWidth="1"/>
    <col min="7938" max="7938" width="41.140625" style="203" customWidth="1"/>
    <col min="7939" max="7939" width="49.42578125" style="203" customWidth="1"/>
    <col min="7940" max="7940" width="17.28515625" style="203" bestFit="1" customWidth="1"/>
    <col min="7941" max="7941" width="20.140625" style="203" bestFit="1" customWidth="1"/>
    <col min="7942" max="7942" width="16.5703125" style="203" customWidth="1"/>
    <col min="7943" max="7943" width="19" style="203" customWidth="1"/>
    <col min="7944" max="7944" width="17.5703125" style="203" customWidth="1"/>
    <col min="7945" max="7945" width="15.5703125" style="203" bestFit="1" customWidth="1"/>
    <col min="7946" max="7946" width="13.5703125" style="203" customWidth="1"/>
    <col min="7947" max="7947" width="20.5703125" style="203" customWidth="1"/>
    <col min="7948" max="7948" width="12.42578125" style="203" bestFit="1" customWidth="1"/>
    <col min="7949" max="8192" width="9.140625" style="203"/>
    <col min="8193" max="8193" width="23" style="203" customWidth="1"/>
    <col min="8194" max="8194" width="41.140625" style="203" customWidth="1"/>
    <col min="8195" max="8195" width="49.42578125" style="203" customWidth="1"/>
    <col min="8196" max="8196" width="17.28515625" style="203" bestFit="1" customWidth="1"/>
    <col min="8197" max="8197" width="20.140625" style="203" bestFit="1" customWidth="1"/>
    <col min="8198" max="8198" width="16.5703125" style="203" customWidth="1"/>
    <col min="8199" max="8199" width="19" style="203" customWidth="1"/>
    <col min="8200" max="8200" width="17.5703125" style="203" customWidth="1"/>
    <col min="8201" max="8201" width="15.5703125" style="203" bestFit="1" customWidth="1"/>
    <col min="8202" max="8202" width="13.5703125" style="203" customWidth="1"/>
    <col min="8203" max="8203" width="20.5703125" style="203" customWidth="1"/>
    <col min="8204" max="8204" width="12.42578125" style="203" bestFit="1" customWidth="1"/>
    <col min="8205" max="8448" width="9.140625" style="203"/>
    <col min="8449" max="8449" width="23" style="203" customWidth="1"/>
    <col min="8450" max="8450" width="41.140625" style="203" customWidth="1"/>
    <col min="8451" max="8451" width="49.42578125" style="203" customWidth="1"/>
    <col min="8452" max="8452" width="17.28515625" style="203" bestFit="1" customWidth="1"/>
    <col min="8453" max="8453" width="20.140625" style="203" bestFit="1" customWidth="1"/>
    <col min="8454" max="8454" width="16.5703125" style="203" customWidth="1"/>
    <col min="8455" max="8455" width="19" style="203" customWidth="1"/>
    <col min="8456" max="8456" width="17.5703125" style="203" customWidth="1"/>
    <col min="8457" max="8457" width="15.5703125" style="203" bestFit="1" customWidth="1"/>
    <col min="8458" max="8458" width="13.5703125" style="203" customWidth="1"/>
    <col min="8459" max="8459" width="20.5703125" style="203" customWidth="1"/>
    <col min="8460" max="8460" width="12.42578125" style="203" bestFit="1" customWidth="1"/>
    <col min="8461" max="8704" width="9.140625" style="203"/>
    <col min="8705" max="8705" width="23" style="203" customWidth="1"/>
    <col min="8706" max="8706" width="41.140625" style="203" customWidth="1"/>
    <col min="8707" max="8707" width="49.42578125" style="203" customWidth="1"/>
    <col min="8708" max="8708" width="17.28515625" style="203" bestFit="1" customWidth="1"/>
    <col min="8709" max="8709" width="20.140625" style="203" bestFit="1" customWidth="1"/>
    <col min="8710" max="8710" width="16.5703125" style="203" customWidth="1"/>
    <col min="8711" max="8711" width="19" style="203" customWidth="1"/>
    <col min="8712" max="8712" width="17.5703125" style="203" customWidth="1"/>
    <col min="8713" max="8713" width="15.5703125" style="203" bestFit="1" customWidth="1"/>
    <col min="8714" max="8714" width="13.5703125" style="203" customWidth="1"/>
    <col min="8715" max="8715" width="20.5703125" style="203" customWidth="1"/>
    <col min="8716" max="8716" width="12.42578125" style="203" bestFit="1" customWidth="1"/>
    <col min="8717" max="8960" width="9.140625" style="203"/>
    <col min="8961" max="8961" width="23" style="203" customWidth="1"/>
    <col min="8962" max="8962" width="41.140625" style="203" customWidth="1"/>
    <col min="8963" max="8963" width="49.42578125" style="203" customWidth="1"/>
    <col min="8964" max="8964" width="17.28515625" style="203" bestFit="1" customWidth="1"/>
    <col min="8965" max="8965" width="20.140625" style="203" bestFit="1" customWidth="1"/>
    <col min="8966" max="8966" width="16.5703125" style="203" customWidth="1"/>
    <col min="8967" max="8967" width="19" style="203" customWidth="1"/>
    <col min="8968" max="8968" width="17.5703125" style="203" customWidth="1"/>
    <col min="8969" max="8969" width="15.5703125" style="203" bestFit="1" customWidth="1"/>
    <col min="8970" max="8970" width="13.5703125" style="203" customWidth="1"/>
    <col min="8971" max="8971" width="20.5703125" style="203" customWidth="1"/>
    <col min="8972" max="8972" width="12.42578125" style="203" bestFit="1" customWidth="1"/>
    <col min="8973" max="9216" width="9.140625" style="203"/>
    <col min="9217" max="9217" width="23" style="203" customWidth="1"/>
    <col min="9218" max="9218" width="41.140625" style="203" customWidth="1"/>
    <col min="9219" max="9219" width="49.42578125" style="203" customWidth="1"/>
    <col min="9220" max="9220" width="17.28515625" style="203" bestFit="1" customWidth="1"/>
    <col min="9221" max="9221" width="20.140625" style="203" bestFit="1" customWidth="1"/>
    <col min="9222" max="9222" width="16.5703125" style="203" customWidth="1"/>
    <col min="9223" max="9223" width="19" style="203" customWidth="1"/>
    <col min="9224" max="9224" width="17.5703125" style="203" customWidth="1"/>
    <col min="9225" max="9225" width="15.5703125" style="203" bestFit="1" customWidth="1"/>
    <col min="9226" max="9226" width="13.5703125" style="203" customWidth="1"/>
    <col min="9227" max="9227" width="20.5703125" style="203" customWidth="1"/>
    <col min="9228" max="9228" width="12.42578125" style="203" bestFit="1" customWidth="1"/>
    <col min="9229" max="9472" width="9.140625" style="203"/>
    <col min="9473" max="9473" width="23" style="203" customWidth="1"/>
    <col min="9474" max="9474" width="41.140625" style="203" customWidth="1"/>
    <col min="9475" max="9475" width="49.42578125" style="203" customWidth="1"/>
    <col min="9476" max="9476" width="17.28515625" style="203" bestFit="1" customWidth="1"/>
    <col min="9477" max="9477" width="20.140625" style="203" bestFit="1" customWidth="1"/>
    <col min="9478" max="9478" width="16.5703125" style="203" customWidth="1"/>
    <col min="9479" max="9479" width="19" style="203" customWidth="1"/>
    <col min="9480" max="9480" width="17.5703125" style="203" customWidth="1"/>
    <col min="9481" max="9481" width="15.5703125" style="203" bestFit="1" customWidth="1"/>
    <col min="9482" max="9482" width="13.5703125" style="203" customWidth="1"/>
    <col min="9483" max="9483" width="20.5703125" style="203" customWidth="1"/>
    <col min="9484" max="9484" width="12.42578125" style="203" bestFit="1" customWidth="1"/>
    <col min="9485" max="9728" width="9.140625" style="203"/>
    <col min="9729" max="9729" width="23" style="203" customWidth="1"/>
    <col min="9730" max="9730" width="41.140625" style="203" customWidth="1"/>
    <col min="9731" max="9731" width="49.42578125" style="203" customWidth="1"/>
    <col min="9732" max="9732" width="17.28515625" style="203" bestFit="1" customWidth="1"/>
    <col min="9733" max="9733" width="20.140625" style="203" bestFit="1" customWidth="1"/>
    <col min="9734" max="9734" width="16.5703125" style="203" customWidth="1"/>
    <col min="9735" max="9735" width="19" style="203" customWidth="1"/>
    <col min="9736" max="9736" width="17.5703125" style="203" customWidth="1"/>
    <col min="9737" max="9737" width="15.5703125" style="203" bestFit="1" customWidth="1"/>
    <col min="9738" max="9738" width="13.5703125" style="203" customWidth="1"/>
    <col min="9739" max="9739" width="20.5703125" style="203" customWidth="1"/>
    <col min="9740" max="9740" width="12.42578125" style="203" bestFit="1" customWidth="1"/>
    <col min="9741" max="9984" width="9.140625" style="203"/>
    <col min="9985" max="9985" width="23" style="203" customWidth="1"/>
    <col min="9986" max="9986" width="41.140625" style="203" customWidth="1"/>
    <col min="9987" max="9987" width="49.42578125" style="203" customWidth="1"/>
    <col min="9988" max="9988" width="17.28515625" style="203" bestFit="1" customWidth="1"/>
    <col min="9989" max="9989" width="20.140625" style="203" bestFit="1" customWidth="1"/>
    <col min="9990" max="9990" width="16.5703125" style="203" customWidth="1"/>
    <col min="9991" max="9991" width="19" style="203" customWidth="1"/>
    <col min="9992" max="9992" width="17.5703125" style="203" customWidth="1"/>
    <col min="9993" max="9993" width="15.5703125" style="203" bestFit="1" customWidth="1"/>
    <col min="9994" max="9994" width="13.5703125" style="203" customWidth="1"/>
    <col min="9995" max="9995" width="20.5703125" style="203" customWidth="1"/>
    <col min="9996" max="9996" width="12.42578125" style="203" bestFit="1" customWidth="1"/>
    <col min="9997" max="10240" width="9.140625" style="203"/>
    <col min="10241" max="10241" width="23" style="203" customWidth="1"/>
    <col min="10242" max="10242" width="41.140625" style="203" customWidth="1"/>
    <col min="10243" max="10243" width="49.42578125" style="203" customWidth="1"/>
    <col min="10244" max="10244" width="17.28515625" style="203" bestFit="1" customWidth="1"/>
    <col min="10245" max="10245" width="20.140625" style="203" bestFit="1" customWidth="1"/>
    <col min="10246" max="10246" width="16.5703125" style="203" customWidth="1"/>
    <col min="10247" max="10247" width="19" style="203" customWidth="1"/>
    <col min="10248" max="10248" width="17.5703125" style="203" customWidth="1"/>
    <col min="10249" max="10249" width="15.5703125" style="203" bestFit="1" customWidth="1"/>
    <col min="10250" max="10250" width="13.5703125" style="203" customWidth="1"/>
    <col min="10251" max="10251" width="20.5703125" style="203" customWidth="1"/>
    <col min="10252" max="10252" width="12.42578125" style="203" bestFit="1" customWidth="1"/>
    <col min="10253" max="10496" width="9.140625" style="203"/>
    <col min="10497" max="10497" width="23" style="203" customWidth="1"/>
    <col min="10498" max="10498" width="41.140625" style="203" customWidth="1"/>
    <col min="10499" max="10499" width="49.42578125" style="203" customWidth="1"/>
    <col min="10500" max="10500" width="17.28515625" style="203" bestFit="1" customWidth="1"/>
    <col min="10501" max="10501" width="20.140625" style="203" bestFit="1" customWidth="1"/>
    <col min="10502" max="10502" width="16.5703125" style="203" customWidth="1"/>
    <col min="10503" max="10503" width="19" style="203" customWidth="1"/>
    <col min="10504" max="10504" width="17.5703125" style="203" customWidth="1"/>
    <col min="10505" max="10505" width="15.5703125" style="203" bestFit="1" customWidth="1"/>
    <col min="10506" max="10506" width="13.5703125" style="203" customWidth="1"/>
    <col min="10507" max="10507" width="20.5703125" style="203" customWidth="1"/>
    <col min="10508" max="10508" width="12.42578125" style="203" bestFit="1" customWidth="1"/>
    <col min="10509" max="10752" width="9.140625" style="203"/>
    <col min="10753" max="10753" width="23" style="203" customWidth="1"/>
    <col min="10754" max="10754" width="41.140625" style="203" customWidth="1"/>
    <col min="10755" max="10755" width="49.42578125" style="203" customWidth="1"/>
    <col min="10756" max="10756" width="17.28515625" style="203" bestFit="1" customWidth="1"/>
    <col min="10757" max="10757" width="20.140625" style="203" bestFit="1" customWidth="1"/>
    <col min="10758" max="10758" width="16.5703125" style="203" customWidth="1"/>
    <col min="10759" max="10759" width="19" style="203" customWidth="1"/>
    <col min="10760" max="10760" width="17.5703125" style="203" customWidth="1"/>
    <col min="10761" max="10761" width="15.5703125" style="203" bestFit="1" customWidth="1"/>
    <col min="10762" max="10762" width="13.5703125" style="203" customWidth="1"/>
    <col min="10763" max="10763" width="20.5703125" style="203" customWidth="1"/>
    <col min="10764" max="10764" width="12.42578125" style="203" bestFit="1" customWidth="1"/>
    <col min="10765" max="11008" width="9.140625" style="203"/>
    <col min="11009" max="11009" width="23" style="203" customWidth="1"/>
    <col min="11010" max="11010" width="41.140625" style="203" customWidth="1"/>
    <col min="11011" max="11011" width="49.42578125" style="203" customWidth="1"/>
    <col min="11012" max="11012" width="17.28515625" style="203" bestFit="1" customWidth="1"/>
    <col min="11013" max="11013" width="20.140625" style="203" bestFit="1" customWidth="1"/>
    <col min="11014" max="11014" width="16.5703125" style="203" customWidth="1"/>
    <col min="11015" max="11015" width="19" style="203" customWidth="1"/>
    <col min="11016" max="11016" width="17.5703125" style="203" customWidth="1"/>
    <col min="11017" max="11017" width="15.5703125" style="203" bestFit="1" customWidth="1"/>
    <col min="11018" max="11018" width="13.5703125" style="203" customWidth="1"/>
    <col min="11019" max="11019" width="20.5703125" style="203" customWidth="1"/>
    <col min="11020" max="11020" width="12.42578125" style="203" bestFit="1" customWidth="1"/>
    <col min="11021" max="11264" width="9.140625" style="203"/>
    <col min="11265" max="11265" width="23" style="203" customWidth="1"/>
    <col min="11266" max="11266" width="41.140625" style="203" customWidth="1"/>
    <col min="11267" max="11267" width="49.42578125" style="203" customWidth="1"/>
    <col min="11268" max="11268" width="17.28515625" style="203" bestFit="1" customWidth="1"/>
    <col min="11269" max="11269" width="20.140625" style="203" bestFit="1" customWidth="1"/>
    <col min="11270" max="11270" width="16.5703125" style="203" customWidth="1"/>
    <col min="11271" max="11271" width="19" style="203" customWidth="1"/>
    <col min="11272" max="11272" width="17.5703125" style="203" customWidth="1"/>
    <col min="11273" max="11273" width="15.5703125" style="203" bestFit="1" customWidth="1"/>
    <col min="11274" max="11274" width="13.5703125" style="203" customWidth="1"/>
    <col min="11275" max="11275" width="20.5703125" style="203" customWidth="1"/>
    <col min="11276" max="11276" width="12.42578125" style="203" bestFit="1" customWidth="1"/>
    <col min="11277" max="11520" width="9.140625" style="203"/>
    <col min="11521" max="11521" width="23" style="203" customWidth="1"/>
    <col min="11522" max="11522" width="41.140625" style="203" customWidth="1"/>
    <col min="11523" max="11523" width="49.42578125" style="203" customWidth="1"/>
    <col min="11524" max="11524" width="17.28515625" style="203" bestFit="1" customWidth="1"/>
    <col min="11525" max="11525" width="20.140625" style="203" bestFit="1" customWidth="1"/>
    <col min="11526" max="11526" width="16.5703125" style="203" customWidth="1"/>
    <col min="11527" max="11527" width="19" style="203" customWidth="1"/>
    <col min="11528" max="11528" width="17.5703125" style="203" customWidth="1"/>
    <col min="11529" max="11529" width="15.5703125" style="203" bestFit="1" customWidth="1"/>
    <col min="11530" max="11530" width="13.5703125" style="203" customWidth="1"/>
    <col min="11531" max="11531" width="20.5703125" style="203" customWidth="1"/>
    <col min="11532" max="11532" width="12.42578125" style="203" bestFit="1" customWidth="1"/>
    <col min="11533" max="11776" width="9.140625" style="203"/>
    <col min="11777" max="11777" width="23" style="203" customWidth="1"/>
    <col min="11778" max="11778" width="41.140625" style="203" customWidth="1"/>
    <col min="11779" max="11779" width="49.42578125" style="203" customWidth="1"/>
    <col min="11780" max="11780" width="17.28515625" style="203" bestFit="1" customWidth="1"/>
    <col min="11781" max="11781" width="20.140625" style="203" bestFit="1" customWidth="1"/>
    <col min="11782" max="11782" width="16.5703125" style="203" customWidth="1"/>
    <col min="11783" max="11783" width="19" style="203" customWidth="1"/>
    <col min="11784" max="11784" width="17.5703125" style="203" customWidth="1"/>
    <col min="11785" max="11785" width="15.5703125" style="203" bestFit="1" customWidth="1"/>
    <col min="11786" max="11786" width="13.5703125" style="203" customWidth="1"/>
    <col min="11787" max="11787" width="20.5703125" style="203" customWidth="1"/>
    <col min="11788" max="11788" width="12.42578125" style="203" bestFit="1" customWidth="1"/>
    <col min="11789" max="12032" width="9.140625" style="203"/>
    <col min="12033" max="12033" width="23" style="203" customWidth="1"/>
    <col min="12034" max="12034" width="41.140625" style="203" customWidth="1"/>
    <col min="12035" max="12035" width="49.42578125" style="203" customWidth="1"/>
    <col min="12036" max="12036" width="17.28515625" style="203" bestFit="1" customWidth="1"/>
    <col min="12037" max="12037" width="20.140625" style="203" bestFit="1" customWidth="1"/>
    <col min="12038" max="12038" width="16.5703125" style="203" customWidth="1"/>
    <col min="12039" max="12039" width="19" style="203" customWidth="1"/>
    <col min="12040" max="12040" width="17.5703125" style="203" customWidth="1"/>
    <col min="12041" max="12041" width="15.5703125" style="203" bestFit="1" customWidth="1"/>
    <col min="12042" max="12042" width="13.5703125" style="203" customWidth="1"/>
    <col min="12043" max="12043" width="20.5703125" style="203" customWidth="1"/>
    <col min="12044" max="12044" width="12.42578125" style="203" bestFit="1" customWidth="1"/>
    <col min="12045" max="12288" width="9.140625" style="203"/>
    <col min="12289" max="12289" width="23" style="203" customWidth="1"/>
    <col min="12290" max="12290" width="41.140625" style="203" customWidth="1"/>
    <col min="12291" max="12291" width="49.42578125" style="203" customWidth="1"/>
    <col min="12292" max="12292" width="17.28515625" style="203" bestFit="1" customWidth="1"/>
    <col min="12293" max="12293" width="20.140625" style="203" bestFit="1" customWidth="1"/>
    <col min="12294" max="12294" width="16.5703125" style="203" customWidth="1"/>
    <col min="12295" max="12295" width="19" style="203" customWidth="1"/>
    <col min="12296" max="12296" width="17.5703125" style="203" customWidth="1"/>
    <col min="12297" max="12297" width="15.5703125" style="203" bestFit="1" customWidth="1"/>
    <col min="12298" max="12298" width="13.5703125" style="203" customWidth="1"/>
    <col min="12299" max="12299" width="20.5703125" style="203" customWidth="1"/>
    <col min="12300" max="12300" width="12.42578125" style="203" bestFit="1" customWidth="1"/>
    <col min="12301" max="12544" width="9.140625" style="203"/>
    <col min="12545" max="12545" width="23" style="203" customWidth="1"/>
    <col min="12546" max="12546" width="41.140625" style="203" customWidth="1"/>
    <col min="12547" max="12547" width="49.42578125" style="203" customWidth="1"/>
    <col min="12548" max="12548" width="17.28515625" style="203" bestFit="1" customWidth="1"/>
    <col min="12549" max="12549" width="20.140625" style="203" bestFit="1" customWidth="1"/>
    <col min="12550" max="12550" width="16.5703125" style="203" customWidth="1"/>
    <col min="12551" max="12551" width="19" style="203" customWidth="1"/>
    <col min="12552" max="12552" width="17.5703125" style="203" customWidth="1"/>
    <col min="12553" max="12553" width="15.5703125" style="203" bestFit="1" customWidth="1"/>
    <col min="12554" max="12554" width="13.5703125" style="203" customWidth="1"/>
    <col min="12555" max="12555" width="20.5703125" style="203" customWidth="1"/>
    <col min="12556" max="12556" width="12.42578125" style="203" bestFit="1" customWidth="1"/>
    <col min="12557" max="12800" width="9.140625" style="203"/>
    <col min="12801" max="12801" width="23" style="203" customWidth="1"/>
    <col min="12802" max="12802" width="41.140625" style="203" customWidth="1"/>
    <col min="12803" max="12803" width="49.42578125" style="203" customWidth="1"/>
    <col min="12804" max="12804" width="17.28515625" style="203" bestFit="1" customWidth="1"/>
    <col min="12805" max="12805" width="20.140625" style="203" bestFit="1" customWidth="1"/>
    <col min="12806" max="12806" width="16.5703125" style="203" customWidth="1"/>
    <col min="12807" max="12807" width="19" style="203" customWidth="1"/>
    <col min="12808" max="12808" width="17.5703125" style="203" customWidth="1"/>
    <col min="12809" max="12809" width="15.5703125" style="203" bestFit="1" customWidth="1"/>
    <col min="12810" max="12810" width="13.5703125" style="203" customWidth="1"/>
    <col min="12811" max="12811" width="20.5703125" style="203" customWidth="1"/>
    <col min="12812" max="12812" width="12.42578125" style="203" bestFit="1" customWidth="1"/>
    <col min="12813" max="13056" width="9.140625" style="203"/>
    <col min="13057" max="13057" width="23" style="203" customWidth="1"/>
    <col min="13058" max="13058" width="41.140625" style="203" customWidth="1"/>
    <col min="13059" max="13059" width="49.42578125" style="203" customWidth="1"/>
    <col min="13060" max="13060" width="17.28515625" style="203" bestFit="1" customWidth="1"/>
    <col min="13061" max="13061" width="20.140625" style="203" bestFit="1" customWidth="1"/>
    <col min="13062" max="13062" width="16.5703125" style="203" customWidth="1"/>
    <col min="13063" max="13063" width="19" style="203" customWidth="1"/>
    <col min="13064" max="13064" width="17.5703125" style="203" customWidth="1"/>
    <col min="13065" max="13065" width="15.5703125" style="203" bestFit="1" customWidth="1"/>
    <col min="13066" max="13066" width="13.5703125" style="203" customWidth="1"/>
    <col min="13067" max="13067" width="20.5703125" style="203" customWidth="1"/>
    <col min="13068" max="13068" width="12.42578125" style="203" bestFit="1" customWidth="1"/>
    <col min="13069" max="13312" width="9.140625" style="203"/>
    <col min="13313" max="13313" width="23" style="203" customWidth="1"/>
    <col min="13314" max="13314" width="41.140625" style="203" customWidth="1"/>
    <col min="13315" max="13315" width="49.42578125" style="203" customWidth="1"/>
    <col min="13316" max="13316" width="17.28515625" style="203" bestFit="1" customWidth="1"/>
    <col min="13317" max="13317" width="20.140625" style="203" bestFit="1" customWidth="1"/>
    <col min="13318" max="13318" width="16.5703125" style="203" customWidth="1"/>
    <col min="13319" max="13319" width="19" style="203" customWidth="1"/>
    <col min="13320" max="13320" width="17.5703125" style="203" customWidth="1"/>
    <col min="13321" max="13321" width="15.5703125" style="203" bestFit="1" customWidth="1"/>
    <col min="13322" max="13322" width="13.5703125" style="203" customWidth="1"/>
    <col min="13323" max="13323" width="20.5703125" style="203" customWidth="1"/>
    <col min="13324" max="13324" width="12.42578125" style="203" bestFit="1" customWidth="1"/>
    <col min="13325" max="13568" width="9.140625" style="203"/>
    <col min="13569" max="13569" width="23" style="203" customWidth="1"/>
    <col min="13570" max="13570" width="41.140625" style="203" customWidth="1"/>
    <col min="13571" max="13571" width="49.42578125" style="203" customWidth="1"/>
    <col min="13572" max="13572" width="17.28515625" style="203" bestFit="1" customWidth="1"/>
    <col min="13573" max="13573" width="20.140625" style="203" bestFit="1" customWidth="1"/>
    <col min="13574" max="13574" width="16.5703125" style="203" customWidth="1"/>
    <col min="13575" max="13575" width="19" style="203" customWidth="1"/>
    <col min="13576" max="13576" width="17.5703125" style="203" customWidth="1"/>
    <col min="13577" max="13577" width="15.5703125" style="203" bestFit="1" customWidth="1"/>
    <col min="13578" max="13578" width="13.5703125" style="203" customWidth="1"/>
    <col min="13579" max="13579" width="20.5703125" style="203" customWidth="1"/>
    <col min="13580" max="13580" width="12.42578125" style="203" bestFit="1" customWidth="1"/>
    <col min="13581" max="13824" width="9.140625" style="203"/>
    <col min="13825" max="13825" width="23" style="203" customWidth="1"/>
    <col min="13826" max="13826" width="41.140625" style="203" customWidth="1"/>
    <col min="13827" max="13827" width="49.42578125" style="203" customWidth="1"/>
    <col min="13828" max="13828" width="17.28515625" style="203" bestFit="1" customWidth="1"/>
    <col min="13829" max="13829" width="20.140625" style="203" bestFit="1" customWidth="1"/>
    <col min="13830" max="13830" width="16.5703125" style="203" customWidth="1"/>
    <col min="13831" max="13831" width="19" style="203" customWidth="1"/>
    <col min="13832" max="13832" width="17.5703125" style="203" customWidth="1"/>
    <col min="13833" max="13833" width="15.5703125" style="203" bestFit="1" customWidth="1"/>
    <col min="13834" max="13834" width="13.5703125" style="203" customWidth="1"/>
    <col min="13835" max="13835" width="20.5703125" style="203" customWidth="1"/>
    <col min="13836" max="13836" width="12.42578125" style="203" bestFit="1" customWidth="1"/>
    <col min="13837" max="14080" width="9.140625" style="203"/>
    <col min="14081" max="14081" width="23" style="203" customWidth="1"/>
    <col min="14082" max="14082" width="41.140625" style="203" customWidth="1"/>
    <col min="14083" max="14083" width="49.42578125" style="203" customWidth="1"/>
    <col min="14084" max="14084" width="17.28515625" style="203" bestFit="1" customWidth="1"/>
    <col min="14085" max="14085" width="20.140625" style="203" bestFit="1" customWidth="1"/>
    <col min="14086" max="14086" width="16.5703125" style="203" customWidth="1"/>
    <col min="14087" max="14087" width="19" style="203" customWidth="1"/>
    <col min="14088" max="14088" width="17.5703125" style="203" customWidth="1"/>
    <col min="14089" max="14089" width="15.5703125" style="203" bestFit="1" customWidth="1"/>
    <col min="14090" max="14090" width="13.5703125" style="203" customWidth="1"/>
    <col min="14091" max="14091" width="20.5703125" style="203" customWidth="1"/>
    <col min="14092" max="14092" width="12.42578125" style="203" bestFit="1" customWidth="1"/>
    <col min="14093" max="14336" width="9.140625" style="203"/>
    <col min="14337" max="14337" width="23" style="203" customWidth="1"/>
    <col min="14338" max="14338" width="41.140625" style="203" customWidth="1"/>
    <col min="14339" max="14339" width="49.42578125" style="203" customWidth="1"/>
    <col min="14340" max="14340" width="17.28515625" style="203" bestFit="1" customWidth="1"/>
    <col min="14341" max="14341" width="20.140625" style="203" bestFit="1" customWidth="1"/>
    <col min="14342" max="14342" width="16.5703125" style="203" customWidth="1"/>
    <col min="14343" max="14343" width="19" style="203" customWidth="1"/>
    <col min="14344" max="14344" width="17.5703125" style="203" customWidth="1"/>
    <col min="14345" max="14345" width="15.5703125" style="203" bestFit="1" customWidth="1"/>
    <col min="14346" max="14346" width="13.5703125" style="203" customWidth="1"/>
    <col min="14347" max="14347" width="20.5703125" style="203" customWidth="1"/>
    <col min="14348" max="14348" width="12.42578125" style="203" bestFit="1" customWidth="1"/>
    <col min="14349" max="14592" width="9.140625" style="203"/>
    <col min="14593" max="14593" width="23" style="203" customWidth="1"/>
    <col min="14594" max="14594" width="41.140625" style="203" customWidth="1"/>
    <col min="14595" max="14595" width="49.42578125" style="203" customWidth="1"/>
    <col min="14596" max="14596" width="17.28515625" style="203" bestFit="1" customWidth="1"/>
    <col min="14597" max="14597" width="20.140625" style="203" bestFit="1" customWidth="1"/>
    <col min="14598" max="14598" width="16.5703125" style="203" customWidth="1"/>
    <col min="14599" max="14599" width="19" style="203" customWidth="1"/>
    <col min="14600" max="14600" width="17.5703125" style="203" customWidth="1"/>
    <col min="14601" max="14601" width="15.5703125" style="203" bestFit="1" customWidth="1"/>
    <col min="14602" max="14602" width="13.5703125" style="203" customWidth="1"/>
    <col min="14603" max="14603" width="20.5703125" style="203" customWidth="1"/>
    <col min="14604" max="14604" width="12.42578125" style="203" bestFit="1" customWidth="1"/>
    <col min="14605" max="14848" width="9.140625" style="203"/>
    <col min="14849" max="14849" width="23" style="203" customWidth="1"/>
    <col min="14850" max="14850" width="41.140625" style="203" customWidth="1"/>
    <col min="14851" max="14851" width="49.42578125" style="203" customWidth="1"/>
    <col min="14852" max="14852" width="17.28515625" style="203" bestFit="1" customWidth="1"/>
    <col min="14853" max="14853" width="20.140625" style="203" bestFit="1" customWidth="1"/>
    <col min="14854" max="14854" width="16.5703125" style="203" customWidth="1"/>
    <col min="14855" max="14855" width="19" style="203" customWidth="1"/>
    <col min="14856" max="14856" width="17.5703125" style="203" customWidth="1"/>
    <col min="14857" max="14857" width="15.5703125" style="203" bestFit="1" customWidth="1"/>
    <col min="14858" max="14858" width="13.5703125" style="203" customWidth="1"/>
    <col min="14859" max="14859" width="20.5703125" style="203" customWidth="1"/>
    <col min="14860" max="14860" width="12.42578125" style="203" bestFit="1" customWidth="1"/>
    <col min="14861" max="15104" width="9.140625" style="203"/>
    <col min="15105" max="15105" width="23" style="203" customWidth="1"/>
    <col min="15106" max="15106" width="41.140625" style="203" customWidth="1"/>
    <col min="15107" max="15107" width="49.42578125" style="203" customWidth="1"/>
    <col min="15108" max="15108" width="17.28515625" style="203" bestFit="1" customWidth="1"/>
    <col min="15109" max="15109" width="20.140625" style="203" bestFit="1" customWidth="1"/>
    <col min="15110" max="15110" width="16.5703125" style="203" customWidth="1"/>
    <col min="15111" max="15111" width="19" style="203" customWidth="1"/>
    <col min="15112" max="15112" width="17.5703125" style="203" customWidth="1"/>
    <col min="15113" max="15113" width="15.5703125" style="203" bestFit="1" customWidth="1"/>
    <col min="15114" max="15114" width="13.5703125" style="203" customWidth="1"/>
    <col min="15115" max="15115" width="20.5703125" style="203" customWidth="1"/>
    <col min="15116" max="15116" width="12.42578125" style="203" bestFit="1" customWidth="1"/>
    <col min="15117" max="15360" width="9.140625" style="203"/>
    <col min="15361" max="15361" width="23" style="203" customWidth="1"/>
    <col min="15362" max="15362" width="41.140625" style="203" customWidth="1"/>
    <col min="15363" max="15363" width="49.42578125" style="203" customWidth="1"/>
    <col min="15364" max="15364" width="17.28515625" style="203" bestFit="1" customWidth="1"/>
    <col min="15365" max="15365" width="20.140625" style="203" bestFit="1" customWidth="1"/>
    <col min="15366" max="15366" width="16.5703125" style="203" customWidth="1"/>
    <col min="15367" max="15367" width="19" style="203" customWidth="1"/>
    <col min="15368" max="15368" width="17.5703125" style="203" customWidth="1"/>
    <col min="15369" max="15369" width="15.5703125" style="203" bestFit="1" customWidth="1"/>
    <col min="15370" max="15370" width="13.5703125" style="203" customWidth="1"/>
    <col min="15371" max="15371" width="20.5703125" style="203" customWidth="1"/>
    <col min="15372" max="15372" width="12.42578125" style="203" bestFit="1" customWidth="1"/>
    <col min="15373" max="15616" width="9.140625" style="203"/>
    <col min="15617" max="15617" width="23" style="203" customWidth="1"/>
    <col min="15618" max="15618" width="41.140625" style="203" customWidth="1"/>
    <col min="15619" max="15619" width="49.42578125" style="203" customWidth="1"/>
    <col min="15620" max="15620" width="17.28515625" style="203" bestFit="1" customWidth="1"/>
    <col min="15621" max="15621" width="20.140625" style="203" bestFit="1" customWidth="1"/>
    <col min="15622" max="15622" width="16.5703125" style="203" customWidth="1"/>
    <col min="15623" max="15623" width="19" style="203" customWidth="1"/>
    <col min="15624" max="15624" width="17.5703125" style="203" customWidth="1"/>
    <col min="15625" max="15625" width="15.5703125" style="203" bestFit="1" customWidth="1"/>
    <col min="15626" max="15626" width="13.5703125" style="203" customWidth="1"/>
    <col min="15627" max="15627" width="20.5703125" style="203" customWidth="1"/>
    <col min="15628" max="15628" width="12.42578125" style="203" bestFit="1" customWidth="1"/>
    <col min="15629" max="15872" width="9.140625" style="203"/>
    <col min="15873" max="15873" width="23" style="203" customWidth="1"/>
    <col min="15874" max="15874" width="41.140625" style="203" customWidth="1"/>
    <col min="15875" max="15875" width="49.42578125" style="203" customWidth="1"/>
    <col min="15876" max="15876" width="17.28515625" style="203" bestFit="1" customWidth="1"/>
    <col min="15877" max="15877" width="20.140625" style="203" bestFit="1" customWidth="1"/>
    <col min="15878" max="15878" width="16.5703125" style="203" customWidth="1"/>
    <col min="15879" max="15879" width="19" style="203" customWidth="1"/>
    <col min="15880" max="15880" width="17.5703125" style="203" customWidth="1"/>
    <col min="15881" max="15881" width="15.5703125" style="203" bestFit="1" customWidth="1"/>
    <col min="15882" max="15882" width="13.5703125" style="203" customWidth="1"/>
    <col min="15883" max="15883" width="20.5703125" style="203" customWidth="1"/>
    <col min="15884" max="15884" width="12.42578125" style="203" bestFit="1" customWidth="1"/>
    <col min="15885" max="16128" width="9.140625" style="203"/>
    <col min="16129" max="16129" width="23" style="203" customWidth="1"/>
    <col min="16130" max="16130" width="41.140625" style="203" customWidth="1"/>
    <col min="16131" max="16131" width="49.42578125" style="203" customWidth="1"/>
    <col min="16132" max="16132" width="17.28515625" style="203" bestFit="1" customWidth="1"/>
    <col min="16133" max="16133" width="20.140625" style="203" bestFit="1" customWidth="1"/>
    <col min="16134" max="16134" width="16.5703125" style="203" customWidth="1"/>
    <col min="16135" max="16135" width="19" style="203" customWidth="1"/>
    <col min="16136" max="16136" width="17.5703125" style="203" customWidth="1"/>
    <col min="16137" max="16137" width="15.5703125" style="203" bestFit="1" customWidth="1"/>
    <col min="16138" max="16138" width="13.5703125" style="203" customWidth="1"/>
    <col min="16139" max="16139" width="20.5703125" style="203" customWidth="1"/>
    <col min="16140" max="16140" width="12.42578125" style="203" bestFit="1" customWidth="1"/>
    <col min="16141" max="16384" width="9.140625" style="203"/>
  </cols>
  <sheetData>
    <row r="1" spans="2:7" x14ac:dyDescent="0.2">
      <c r="G1" s="204" t="s">
        <v>1172</v>
      </c>
    </row>
    <row r="2" spans="2:7" x14ac:dyDescent="0.2">
      <c r="B2" s="326" t="s">
        <v>1173</v>
      </c>
      <c r="C2" s="326"/>
      <c r="D2" s="326"/>
      <c r="E2" s="326"/>
      <c r="F2" s="326"/>
      <c r="G2" s="326"/>
    </row>
    <row r="3" spans="2:7" x14ac:dyDescent="0.2">
      <c r="B3" s="326" t="s">
        <v>1174</v>
      </c>
      <c r="C3" s="326"/>
      <c r="D3" s="326"/>
      <c r="E3" s="326"/>
      <c r="F3" s="326"/>
      <c r="G3" s="326"/>
    </row>
    <row r="4" spans="2:7" x14ac:dyDescent="0.2">
      <c r="B4" s="204"/>
      <c r="C4" s="204"/>
      <c r="D4" s="204"/>
      <c r="E4" s="204"/>
      <c r="F4" s="204"/>
      <c r="G4" s="204"/>
    </row>
    <row r="5" spans="2:7" x14ac:dyDescent="0.2">
      <c r="B5" s="326" t="s">
        <v>1175</v>
      </c>
      <c r="C5" s="326"/>
      <c r="D5" s="326"/>
      <c r="E5" s="326"/>
      <c r="F5" s="326"/>
      <c r="G5" s="326"/>
    </row>
    <row r="6" spans="2:7" x14ac:dyDescent="0.2">
      <c r="B6" s="204" t="s">
        <v>1176</v>
      </c>
    </row>
    <row r="8" spans="2:7" ht="25.5" x14ac:dyDescent="0.2">
      <c r="B8" s="205" t="s">
        <v>1177</v>
      </c>
      <c r="C8" s="205" t="s">
        <v>1178</v>
      </c>
      <c r="D8" s="205" t="s">
        <v>1179</v>
      </c>
      <c r="E8" s="206" t="s">
        <v>1180</v>
      </c>
      <c r="F8" s="206" t="s">
        <v>1181</v>
      </c>
      <c r="G8" s="206" t="s">
        <v>1182</v>
      </c>
    </row>
    <row r="9" spans="2:7" x14ac:dyDescent="0.2">
      <c r="B9" s="207" t="s">
        <v>1183</v>
      </c>
      <c r="C9" s="208" t="s">
        <v>887</v>
      </c>
      <c r="D9" s="209" t="s">
        <v>1184</v>
      </c>
      <c r="E9" s="210">
        <v>871.45</v>
      </c>
      <c r="F9" s="210">
        <v>860.45</v>
      </c>
      <c r="G9" s="211">
        <v>100.73809439999999</v>
      </c>
    </row>
    <row r="10" spans="2:7" x14ac:dyDescent="0.2">
      <c r="B10" s="207" t="s">
        <v>1183</v>
      </c>
      <c r="C10" s="212" t="s">
        <v>891</v>
      </c>
      <c r="D10" s="209" t="s">
        <v>1184</v>
      </c>
      <c r="E10" s="210">
        <v>794.53</v>
      </c>
      <c r="F10" s="210">
        <v>730.8</v>
      </c>
      <c r="G10" s="211">
        <v>84.285864000000004</v>
      </c>
    </row>
    <row r="11" spans="2:7" x14ac:dyDescent="0.2">
      <c r="B11" s="207" t="s">
        <v>1183</v>
      </c>
      <c r="C11" s="212" t="s">
        <v>884</v>
      </c>
      <c r="D11" s="209" t="s">
        <v>1184</v>
      </c>
      <c r="E11" s="210">
        <v>15076.15</v>
      </c>
      <c r="F11" s="210">
        <v>14967.5</v>
      </c>
      <c r="G11" s="211">
        <v>58.001705099999995</v>
      </c>
    </row>
    <row r="12" spans="2:7" x14ac:dyDescent="0.2">
      <c r="B12" s="207" t="s">
        <v>1183</v>
      </c>
      <c r="C12" s="212" t="s">
        <v>889</v>
      </c>
      <c r="D12" s="209" t="s">
        <v>1184</v>
      </c>
      <c r="E12" s="210">
        <v>6928.84</v>
      </c>
      <c r="F12" s="210">
        <v>6704.8</v>
      </c>
      <c r="G12" s="211">
        <v>76.690269999999998</v>
      </c>
    </row>
    <row r="13" spans="2:7" x14ac:dyDescent="0.2">
      <c r="B13" s="207" t="s">
        <v>1183</v>
      </c>
      <c r="C13" s="212" t="s">
        <v>874</v>
      </c>
      <c r="D13" s="209" t="s">
        <v>1184</v>
      </c>
      <c r="E13" s="210">
        <v>729.68</v>
      </c>
      <c r="F13" s="210">
        <v>705.05</v>
      </c>
      <c r="G13" s="211">
        <v>12.211256000000001</v>
      </c>
    </row>
    <row r="14" spans="2:7" x14ac:dyDescent="0.2">
      <c r="B14" s="207" t="s">
        <v>1183</v>
      </c>
      <c r="C14" s="212" t="s">
        <v>882</v>
      </c>
      <c r="D14" s="209" t="s">
        <v>1184</v>
      </c>
      <c r="E14" s="210">
        <v>233.93</v>
      </c>
      <c r="F14" s="210">
        <v>230</v>
      </c>
      <c r="G14" s="211">
        <v>40.927680000000002</v>
      </c>
    </row>
    <row r="15" spans="2:7" x14ac:dyDescent="0.2">
      <c r="B15" s="207" t="s">
        <v>1183</v>
      </c>
      <c r="C15" s="212" t="s">
        <v>878</v>
      </c>
      <c r="D15" s="209" t="s">
        <v>1184</v>
      </c>
      <c r="E15" s="210">
        <v>558.85</v>
      </c>
      <c r="F15" s="210">
        <v>559.45000000000005</v>
      </c>
      <c r="G15" s="211">
        <v>20.980369799999998</v>
      </c>
    </row>
    <row r="16" spans="2:7" x14ac:dyDescent="0.2">
      <c r="B16" s="207" t="s">
        <v>1183</v>
      </c>
      <c r="C16" s="212" t="s">
        <v>890</v>
      </c>
      <c r="D16" s="209" t="s">
        <v>1184</v>
      </c>
      <c r="E16" s="210">
        <v>1367</v>
      </c>
      <c r="F16" s="210">
        <v>1373.3</v>
      </c>
      <c r="G16" s="211">
        <v>62.049442900000003</v>
      </c>
    </row>
    <row r="17" spans="2:7" x14ac:dyDescent="0.2">
      <c r="B17" s="207" t="s">
        <v>1183</v>
      </c>
      <c r="C17" s="212" t="s">
        <v>875</v>
      </c>
      <c r="D17" s="209" t="s">
        <v>1184</v>
      </c>
      <c r="E17" s="210">
        <v>545.48</v>
      </c>
      <c r="F17" s="210">
        <v>583.29999999999995</v>
      </c>
      <c r="G17" s="211">
        <v>15.776645499999999</v>
      </c>
    </row>
    <row r="18" spans="2:7" x14ac:dyDescent="0.2">
      <c r="B18" s="207" t="s">
        <v>1183</v>
      </c>
      <c r="C18" s="212" t="s">
        <v>881</v>
      </c>
      <c r="D18" s="209" t="s">
        <v>1184</v>
      </c>
      <c r="E18" s="210">
        <v>2194.5700000000002</v>
      </c>
      <c r="F18" s="210">
        <v>2244.85</v>
      </c>
      <c r="G18" s="211">
        <v>26.1571046</v>
      </c>
    </row>
    <row r="19" spans="2:7" x14ac:dyDescent="0.2">
      <c r="B19" s="207" t="s">
        <v>1183</v>
      </c>
      <c r="C19" s="212" t="s">
        <v>879</v>
      </c>
      <c r="D19" s="209" t="s">
        <v>1184</v>
      </c>
      <c r="E19" s="210">
        <v>755.42</v>
      </c>
      <c r="F19" s="210">
        <v>746.95</v>
      </c>
      <c r="G19" s="211">
        <v>25.714196400000002</v>
      </c>
    </row>
    <row r="20" spans="2:7" x14ac:dyDescent="0.2">
      <c r="B20" s="207" t="s">
        <v>1183</v>
      </c>
      <c r="C20" s="212" t="s">
        <v>876</v>
      </c>
      <c r="D20" s="209" t="s">
        <v>1184</v>
      </c>
      <c r="E20" s="210">
        <v>1570.88</v>
      </c>
      <c r="F20" s="210">
        <v>1572.9</v>
      </c>
      <c r="G20" s="211">
        <v>15.327980999999999</v>
      </c>
    </row>
    <row r="21" spans="2:7" x14ac:dyDescent="0.2">
      <c r="B21" s="207" t="s">
        <v>1183</v>
      </c>
      <c r="C21" s="212" t="s">
        <v>886</v>
      </c>
      <c r="D21" s="209" t="s">
        <v>1184</v>
      </c>
      <c r="E21" s="210">
        <v>520.04999999999995</v>
      </c>
      <c r="F21" s="210">
        <v>540.85</v>
      </c>
      <c r="G21" s="211">
        <v>71.779388400000002</v>
      </c>
    </row>
    <row r="22" spans="2:7" x14ac:dyDescent="0.2">
      <c r="B22" s="207" t="s">
        <v>1183</v>
      </c>
      <c r="C22" s="212" t="s">
        <v>885</v>
      </c>
      <c r="D22" s="209" t="s">
        <v>1184</v>
      </c>
      <c r="E22" s="210">
        <v>1723.42</v>
      </c>
      <c r="F22" s="210">
        <v>1793.9</v>
      </c>
      <c r="G22" s="211">
        <v>67.285218</v>
      </c>
    </row>
    <row r="23" spans="2:7" s="116" customFormat="1" x14ac:dyDescent="0.2">
      <c r="B23" s="281" t="s">
        <v>1183</v>
      </c>
      <c r="C23" s="282" t="s">
        <v>877</v>
      </c>
      <c r="D23" s="283" t="s">
        <v>1184</v>
      </c>
      <c r="E23" s="284">
        <v>1680.27</v>
      </c>
      <c r="F23" s="284">
        <v>1701.8</v>
      </c>
      <c r="G23" s="285">
        <v>16.82</v>
      </c>
    </row>
    <row r="24" spans="2:7" s="116" customFormat="1" x14ac:dyDescent="0.2">
      <c r="B24" s="286" t="s">
        <v>1183</v>
      </c>
      <c r="C24" s="287" t="s">
        <v>883</v>
      </c>
      <c r="D24" s="283" t="s">
        <v>1184</v>
      </c>
      <c r="E24" s="284">
        <v>366.72</v>
      </c>
      <c r="F24" s="284">
        <v>380.5</v>
      </c>
      <c r="G24" s="285">
        <v>60.26</v>
      </c>
    </row>
    <row r="25" spans="2:7" x14ac:dyDescent="0.2">
      <c r="B25" s="207" t="s">
        <v>1183</v>
      </c>
      <c r="C25" s="213" t="s">
        <v>873</v>
      </c>
      <c r="D25" s="209" t="s">
        <v>1184</v>
      </c>
      <c r="E25" s="210">
        <v>45942.25</v>
      </c>
      <c r="F25" s="210">
        <v>45693.65</v>
      </c>
      <c r="G25" s="211">
        <v>6.0272468000000003</v>
      </c>
    </row>
    <row r="26" spans="2:7" x14ac:dyDescent="0.2">
      <c r="B26" s="207" t="s">
        <v>1183</v>
      </c>
      <c r="C26" s="214" t="s">
        <v>892</v>
      </c>
      <c r="D26" s="209" t="s">
        <v>1184</v>
      </c>
      <c r="E26" s="210">
        <v>2735.61</v>
      </c>
      <c r="F26" s="210">
        <v>2802.25</v>
      </c>
      <c r="G26" s="211">
        <v>125.18767890000001</v>
      </c>
    </row>
    <row r="27" spans="2:7" x14ac:dyDescent="0.2">
      <c r="B27" s="207" t="s">
        <v>1183</v>
      </c>
      <c r="C27" s="214" t="s">
        <v>880</v>
      </c>
      <c r="D27" s="209" t="s">
        <v>1184</v>
      </c>
      <c r="E27" s="210">
        <v>518.95000000000005</v>
      </c>
      <c r="F27" s="210">
        <v>509.75</v>
      </c>
      <c r="G27" s="211">
        <v>25.282879999999999</v>
      </c>
    </row>
    <row r="28" spans="2:7" x14ac:dyDescent="0.2">
      <c r="B28" s="207" t="s">
        <v>1183</v>
      </c>
      <c r="C28" s="214" t="s">
        <v>888</v>
      </c>
      <c r="D28" s="209" t="s">
        <v>1184</v>
      </c>
      <c r="E28" s="210">
        <v>254.19</v>
      </c>
      <c r="F28" s="210">
        <v>249.2</v>
      </c>
      <c r="G28" s="211">
        <v>137.63946000000001</v>
      </c>
    </row>
    <row r="29" spans="2:7" x14ac:dyDescent="0.2">
      <c r="B29" s="207"/>
      <c r="C29" s="214"/>
      <c r="D29" s="209"/>
      <c r="E29" s="215"/>
      <c r="F29" s="215"/>
      <c r="G29" s="211"/>
    </row>
    <row r="30" spans="2:7" x14ac:dyDescent="0.2">
      <c r="B30" s="207" t="s">
        <v>872</v>
      </c>
      <c r="C30" s="216" t="s">
        <v>908</v>
      </c>
      <c r="D30" s="209" t="s">
        <v>1184</v>
      </c>
      <c r="E30" s="210">
        <v>4551.05</v>
      </c>
      <c r="F30" s="210">
        <v>4475.3500000000004</v>
      </c>
      <c r="G30" s="211">
        <v>30.198885199999999</v>
      </c>
    </row>
    <row r="31" spans="2:7" x14ac:dyDescent="0.2">
      <c r="B31" s="207" t="s">
        <v>872</v>
      </c>
      <c r="C31" s="217" t="s">
        <v>902</v>
      </c>
      <c r="D31" s="209" t="s">
        <v>1184</v>
      </c>
      <c r="E31" s="210">
        <v>130.24</v>
      </c>
      <c r="F31" s="210">
        <v>127.4</v>
      </c>
      <c r="G31" s="211">
        <v>101.670525</v>
      </c>
    </row>
    <row r="32" spans="2:7" x14ac:dyDescent="0.2">
      <c r="B32" s="207" t="s">
        <v>872</v>
      </c>
      <c r="C32" s="218" t="s">
        <v>904</v>
      </c>
      <c r="D32" s="209" t="s">
        <v>1184</v>
      </c>
      <c r="E32" s="210">
        <v>3203.51</v>
      </c>
      <c r="F32" s="210">
        <v>3243.45</v>
      </c>
      <c r="G32" s="211">
        <v>120.8971463</v>
      </c>
    </row>
    <row r="33" spans="2:8" x14ac:dyDescent="0.2">
      <c r="B33" s="207" t="s">
        <v>872</v>
      </c>
      <c r="C33" s="218" t="s">
        <v>906</v>
      </c>
      <c r="D33" s="209" t="s">
        <v>1184</v>
      </c>
      <c r="E33" s="210">
        <v>637.92999999999995</v>
      </c>
      <c r="F33" s="210">
        <v>632.35</v>
      </c>
      <c r="G33" s="211">
        <v>28.365154199999999</v>
      </c>
    </row>
    <row r="34" spans="2:8" x14ac:dyDescent="0.2">
      <c r="B34" s="207" t="s">
        <v>872</v>
      </c>
      <c r="C34" s="218" t="s">
        <v>891</v>
      </c>
      <c r="D34" s="209" t="s">
        <v>1184</v>
      </c>
      <c r="E34" s="210">
        <v>785.04</v>
      </c>
      <c r="F34" s="210">
        <v>730.8</v>
      </c>
      <c r="G34" s="211">
        <v>432.23520000000002</v>
      </c>
    </row>
    <row r="35" spans="2:8" x14ac:dyDescent="0.2">
      <c r="B35" s="207" t="s">
        <v>872</v>
      </c>
      <c r="C35" s="218" t="s">
        <v>889</v>
      </c>
      <c r="D35" s="209" t="s">
        <v>1184</v>
      </c>
      <c r="E35" s="210">
        <v>6923.65</v>
      </c>
      <c r="F35" s="210">
        <v>6704.8</v>
      </c>
      <c r="G35" s="211">
        <v>28.25431</v>
      </c>
    </row>
    <row r="36" spans="2:8" x14ac:dyDescent="0.2">
      <c r="B36" s="207" t="s">
        <v>872</v>
      </c>
      <c r="C36" s="218" t="s">
        <v>897</v>
      </c>
      <c r="D36" s="209" t="s">
        <v>1184</v>
      </c>
      <c r="E36" s="210">
        <v>741.86</v>
      </c>
      <c r="F36" s="210">
        <v>741.1</v>
      </c>
      <c r="G36" s="211">
        <v>269.18981319999995</v>
      </c>
      <c r="H36" s="219"/>
    </row>
    <row r="37" spans="2:8" ht="18" customHeight="1" x14ac:dyDescent="0.2">
      <c r="B37" s="207" t="s">
        <v>872</v>
      </c>
      <c r="C37" s="218" t="s">
        <v>893</v>
      </c>
      <c r="D37" s="209" t="s">
        <v>1184</v>
      </c>
      <c r="E37" s="210">
        <v>4560.51</v>
      </c>
      <c r="F37" s="210">
        <v>4528.7</v>
      </c>
      <c r="G37" s="211">
        <v>146.12408150000002</v>
      </c>
      <c r="H37" s="219"/>
    </row>
    <row r="38" spans="2:8" x14ac:dyDescent="0.2">
      <c r="B38" s="207" t="s">
        <v>872</v>
      </c>
      <c r="C38" s="218" t="s">
        <v>913</v>
      </c>
      <c r="D38" s="209" t="s">
        <v>1184</v>
      </c>
      <c r="E38" s="210">
        <v>4124.2700000000004</v>
      </c>
      <c r="F38" s="210">
        <v>4151.6000000000004</v>
      </c>
      <c r="G38" s="211">
        <v>76.943370000000002</v>
      </c>
      <c r="H38" s="219"/>
    </row>
    <row r="39" spans="2:8" x14ac:dyDescent="0.2">
      <c r="B39" s="207" t="s">
        <v>872</v>
      </c>
      <c r="C39" s="218" t="s">
        <v>909</v>
      </c>
      <c r="D39" s="209" t="s">
        <v>1184</v>
      </c>
      <c r="E39" s="210">
        <v>2643.58</v>
      </c>
      <c r="F39" s="210">
        <v>2638.4</v>
      </c>
      <c r="G39" s="211">
        <v>33.619264000000001</v>
      </c>
      <c r="H39" s="219"/>
    </row>
    <row r="40" spans="2:8" x14ac:dyDescent="0.2">
      <c r="B40" s="207" t="s">
        <v>872</v>
      </c>
      <c r="C40" s="218" t="s">
        <v>911</v>
      </c>
      <c r="D40" s="209" t="s">
        <v>1184</v>
      </c>
      <c r="E40" s="210">
        <v>1706</v>
      </c>
      <c r="F40" s="210">
        <v>1698.45</v>
      </c>
      <c r="G40" s="211">
        <v>89.068641200000016</v>
      </c>
      <c r="H40" s="219"/>
    </row>
    <row r="41" spans="2:8" x14ac:dyDescent="0.2">
      <c r="B41" s="207" t="s">
        <v>872</v>
      </c>
      <c r="C41" s="218" t="s">
        <v>890</v>
      </c>
      <c r="D41" s="209" t="s">
        <v>1184</v>
      </c>
      <c r="E41" s="210">
        <v>1361.95</v>
      </c>
      <c r="F41" s="210">
        <v>1373.3</v>
      </c>
      <c r="G41" s="211">
        <v>962.48787010000001</v>
      </c>
      <c r="H41" s="219"/>
    </row>
    <row r="42" spans="2:8" x14ac:dyDescent="0.2">
      <c r="B42" s="207" t="s">
        <v>872</v>
      </c>
      <c r="C42" s="218" t="s">
        <v>875</v>
      </c>
      <c r="D42" s="209" t="s">
        <v>1184</v>
      </c>
      <c r="E42" s="210">
        <v>546.39</v>
      </c>
      <c r="F42" s="210">
        <v>583.29999999999995</v>
      </c>
      <c r="G42" s="211">
        <v>337.04651749999999</v>
      </c>
      <c r="H42" s="219"/>
    </row>
    <row r="43" spans="2:8" x14ac:dyDescent="0.2">
      <c r="B43" s="207" t="s">
        <v>872</v>
      </c>
      <c r="C43" s="218" t="s">
        <v>914</v>
      </c>
      <c r="D43" s="209" t="s">
        <v>1184</v>
      </c>
      <c r="E43" s="210">
        <v>488.69</v>
      </c>
      <c r="F43" s="210">
        <v>484.95</v>
      </c>
      <c r="G43" s="220">
        <v>188.54643919999998</v>
      </c>
      <c r="H43" s="219"/>
    </row>
    <row r="44" spans="2:8" x14ac:dyDescent="0.2">
      <c r="B44" s="207" t="s">
        <v>872</v>
      </c>
      <c r="C44" s="218" t="s">
        <v>881</v>
      </c>
      <c r="D44" s="209" t="s">
        <v>1184</v>
      </c>
      <c r="E44" s="210">
        <v>2138.31</v>
      </c>
      <c r="F44" s="210">
        <v>2244.85</v>
      </c>
      <c r="G44" s="220">
        <v>166.45430199999998</v>
      </c>
      <c r="H44" s="219"/>
    </row>
    <row r="45" spans="2:8" x14ac:dyDescent="0.2">
      <c r="B45" s="207" t="s">
        <v>872</v>
      </c>
      <c r="C45" s="218" t="s">
        <v>879</v>
      </c>
      <c r="D45" s="209" t="s">
        <v>1184</v>
      </c>
      <c r="E45" s="210">
        <v>741.18</v>
      </c>
      <c r="F45" s="210">
        <v>746.95</v>
      </c>
      <c r="G45" s="220">
        <v>128.57098199999999</v>
      </c>
      <c r="H45" s="219"/>
    </row>
    <row r="46" spans="2:8" x14ac:dyDescent="0.2">
      <c r="B46" s="207" t="s">
        <v>872</v>
      </c>
      <c r="C46" s="218" t="s">
        <v>876</v>
      </c>
      <c r="D46" s="209" t="s">
        <v>1184</v>
      </c>
      <c r="E46" s="210">
        <v>1580.92</v>
      </c>
      <c r="F46" s="210">
        <v>1572.9</v>
      </c>
      <c r="G46" s="220">
        <v>135.3971655</v>
      </c>
      <c r="H46" s="219"/>
    </row>
    <row r="47" spans="2:8" x14ac:dyDescent="0.2">
      <c r="B47" s="207" t="s">
        <v>872</v>
      </c>
      <c r="C47" s="218" t="s">
        <v>915</v>
      </c>
      <c r="D47" s="209" t="s">
        <v>1184</v>
      </c>
      <c r="E47" s="210">
        <v>262.10000000000002</v>
      </c>
      <c r="F47" s="210">
        <v>259.2</v>
      </c>
      <c r="G47" s="220">
        <v>159.81363199999998</v>
      </c>
      <c r="H47" s="221"/>
    </row>
    <row r="48" spans="2:8" x14ac:dyDescent="0.2">
      <c r="B48" s="207" t="s">
        <v>872</v>
      </c>
      <c r="C48" s="218" t="s">
        <v>885</v>
      </c>
      <c r="D48" s="209" t="s">
        <v>1184</v>
      </c>
      <c r="E48" s="210">
        <v>1734.19</v>
      </c>
      <c r="F48" s="210">
        <v>1793.9</v>
      </c>
      <c r="G48" s="220">
        <v>342.54292800000002</v>
      </c>
      <c r="H48" s="219"/>
    </row>
    <row r="49" spans="2:8" x14ac:dyDescent="0.2">
      <c r="B49" s="207" t="s">
        <v>872</v>
      </c>
      <c r="C49" s="218" t="s">
        <v>877</v>
      </c>
      <c r="D49" s="209" t="s">
        <v>1184</v>
      </c>
      <c r="E49" s="210">
        <v>1690.42</v>
      </c>
      <c r="F49" s="210">
        <v>1701.8</v>
      </c>
      <c r="G49" s="220">
        <v>42.994987899999998</v>
      </c>
      <c r="H49" s="222"/>
    </row>
    <row r="50" spans="2:8" x14ac:dyDescent="0.2">
      <c r="B50" s="207" t="s">
        <v>872</v>
      </c>
      <c r="C50" s="218" t="s">
        <v>895</v>
      </c>
      <c r="D50" s="209" t="s">
        <v>1184</v>
      </c>
      <c r="E50" s="210">
        <v>747.33</v>
      </c>
      <c r="F50" s="210">
        <v>747.05</v>
      </c>
      <c r="G50" s="220">
        <v>65.692717799999997</v>
      </c>
      <c r="H50" s="222"/>
    </row>
    <row r="51" spans="2:8" x14ac:dyDescent="0.2">
      <c r="B51" s="207" t="s">
        <v>872</v>
      </c>
      <c r="C51" s="218" t="s">
        <v>899</v>
      </c>
      <c r="D51" s="209" t="s">
        <v>1184</v>
      </c>
      <c r="E51" s="210">
        <v>860.65</v>
      </c>
      <c r="F51" s="210">
        <v>866.5</v>
      </c>
      <c r="G51" s="220">
        <v>483.63686700000005</v>
      </c>
      <c r="H51" s="222"/>
    </row>
    <row r="52" spans="2:8" x14ac:dyDescent="0.2">
      <c r="B52" s="207" t="s">
        <v>872</v>
      </c>
      <c r="C52" s="218" t="s">
        <v>918</v>
      </c>
      <c r="D52" s="209" t="s">
        <v>1184</v>
      </c>
      <c r="E52" s="210">
        <v>17190.2</v>
      </c>
      <c r="F52" s="210">
        <v>17135.25</v>
      </c>
      <c r="G52" s="220">
        <v>264.12312500000002</v>
      </c>
      <c r="H52" s="222"/>
    </row>
    <row r="53" spans="2:8" x14ac:dyDescent="0.2">
      <c r="B53" s="207" t="s">
        <v>872</v>
      </c>
      <c r="C53" s="218" t="s">
        <v>917</v>
      </c>
      <c r="D53" s="209" t="s">
        <v>1184</v>
      </c>
      <c r="E53" s="210">
        <v>2424.15</v>
      </c>
      <c r="F53" s="210">
        <v>2436.3000000000002</v>
      </c>
      <c r="G53" s="220">
        <v>190.70023320000001</v>
      </c>
      <c r="H53" s="222"/>
    </row>
    <row r="54" spans="2:8" x14ac:dyDescent="0.2">
      <c r="B54" s="207" t="s">
        <v>872</v>
      </c>
      <c r="C54" s="218" t="s">
        <v>905</v>
      </c>
      <c r="D54" s="209" t="s">
        <v>1184</v>
      </c>
      <c r="E54" s="210">
        <v>35.4</v>
      </c>
      <c r="F54" s="210">
        <v>35.15</v>
      </c>
      <c r="G54" s="220">
        <v>30.4086</v>
      </c>
      <c r="H54" s="222"/>
    </row>
    <row r="55" spans="2:8" x14ac:dyDescent="0.2">
      <c r="B55" s="207" t="s">
        <v>872</v>
      </c>
      <c r="C55" s="218" t="s">
        <v>892</v>
      </c>
      <c r="D55" s="209" t="s">
        <v>1184</v>
      </c>
      <c r="E55" s="210">
        <v>2762.72</v>
      </c>
      <c r="F55" s="210">
        <v>2802.25</v>
      </c>
      <c r="G55" s="220">
        <v>448.20280100000002</v>
      </c>
      <c r="H55" s="222"/>
    </row>
    <row r="56" spans="2:8" x14ac:dyDescent="0.2">
      <c r="B56" s="207" t="s">
        <v>872</v>
      </c>
      <c r="C56" s="218" t="s">
        <v>916</v>
      </c>
      <c r="D56" s="209" t="s">
        <v>1184</v>
      </c>
      <c r="E56" s="210">
        <v>499.14</v>
      </c>
      <c r="F56" s="210">
        <v>497.55</v>
      </c>
      <c r="G56" s="220">
        <v>280.36822660000001</v>
      </c>
      <c r="H56" s="222"/>
    </row>
    <row r="57" spans="2:8" x14ac:dyDescent="0.2">
      <c r="B57" s="207" t="s">
        <v>872</v>
      </c>
      <c r="C57" s="218" t="s">
        <v>910</v>
      </c>
      <c r="D57" s="209" t="s">
        <v>1184</v>
      </c>
      <c r="E57" s="210">
        <v>1095.57</v>
      </c>
      <c r="F57" s="210">
        <v>1111.3499999999999</v>
      </c>
      <c r="G57" s="220">
        <v>66.065172599999997</v>
      </c>
      <c r="H57" s="222"/>
    </row>
    <row r="58" spans="2:8" x14ac:dyDescent="0.2">
      <c r="B58" s="207" t="s">
        <v>872</v>
      </c>
      <c r="C58" s="218" t="s">
        <v>912</v>
      </c>
      <c r="D58" s="209" t="s">
        <v>1184</v>
      </c>
      <c r="E58" s="210">
        <v>915.56</v>
      </c>
      <c r="F58" s="210">
        <v>932.25</v>
      </c>
      <c r="G58" s="220">
        <v>93.726678000000007</v>
      </c>
      <c r="H58" s="222"/>
    </row>
    <row r="59" spans="2:8" x14ac:dyDescent="0.2">
      <c r="B59" s="207" t="s">
        <v>872</v>
      </c>
      <c r="C59" s="218" t="s">
        <v>907</v>
      </c>
      <c r="D59" s="209" t="s">
        <v>1184</v>
      </c>
      <c r="E59" s="210">
        <v>954.48</v>
      </c>
      <c r="F59" s="210">
        <v>941.65</v>
      </c>
      <c r="G59" s="220">
        <v>29.431707500000002</v>
      </c>
      <c r="H59" s="222"/>
    </row>
    <row r="60" spans="2:8" x14ac:dyDescent="0.2">
      <c r="B60" s="207" t="s">
        <v>872</v>
      </c>
      <c r="C60" s="218" t="s">
        <v>898</v>
      </c>
      <c r="D60" s="209" t="s">
        <v>1184</v>
      </c>
      <c r="E60" s="210">
        <v>1237.98</v>
      </c>
      <c r="F60" s="210">
        <v>1269.6500000000001</v>
      </c>
      <c r="G60" s="220">
        <v>550.32252840000001</v>
      </c>
      <c r="H60" s="222"/>
    </row>
    <row r="61" spans="2:8" x14ac:dyDescent="0.2">
      <c r="B61" s="207" t="s">
        <v>872</v>
      </c>
      <c r="C61" s="218" t="s">
        <v>903</v>
      </c>
      <c r="D61" s="209" t="s">
        <v>1184</v>
      </c>
      <c r="E61" s="210">
        <v>1274.82</v>
      </c>
      <c r="F61" s="210">
        <v>1261.5999999999999</v>
      </c>
      <c r="G61" s="220">
        <v>387.77918399999999</v>
      </c>
      <c r="H61" s="222"/>
    </row>
    <row r="62" spans="2:8" x14ac:dyDescent="0.2">
      <c r="B62" s="207"/>
      <c r="C62" s="218"/>
      <c r="D62" s="209"/>
      <c r="E62" s="210"/>
      <c r="F62" s="210"/>
      <c r="G62" s="220"/>
      <c r="H62" s="222"/>
    </row>
    <row r="63" spans="2:8" x14ac:dyDescent="0.2">
      <c r="B63" s="207" t="s">
        <v>591</v>
      </c>
      <c r="C63" s="223" t="s">
        <v>902</v>
      </c>
      <c r="D63" s="209" t="s">
        <v>1184</v>
      </c>
      <c r="E63" s="210">
        <v>128.32</v>
      </c>
      <c r="F63" s="210">
        <v>127.4</v>
      </c>
      <c r="G63" s="220">
        <v>242.16070500000001</v>
      </c>
      <c r="H63" s="222"/>
    </row>
    <row r="64" spans="2:8" x14ac:dyDescent="0.2">
      <c r="B64" s="207" t="s">
        <v>591</v>
      </c>
      <c r="C64" s="223" t="s">
        <v>904</v>
      </c>
      <c r="D64" s="209" t="s">
        <v>1184</v>
      </c>
      <c r="E64" s="210">
        <v>3163.16</v>
      </c>
      <c r="F64" s="210">
        <v>3243.45</v>
      </c>
      <c r="G64" s="220">
        <v>291.78935309999997</v>
      </c>
      <c r="H64" s="222"/>
    </row>
    <row r="65" spans="2:8" x14ac:dyDescent="0.2">
      <c r="B65" s="207" t="s">
        <v>591</v>
      </c>
      <c r="C65" s="223" t="s">
        <v>891</v>
      </c>
      <c r="D65" s="209" t="s">
        <v>1184</v>
      </c>
      <c r="E65" s="210">
        <v>784.14</v>
      </c>
      <c r="F65" s="210">
        <v>730.8</v>
      </c>
      <c r="G65" s="220">
        <v>62.674104000000007</v>
      </c>
      <c r="H65" s="222"/>
    </row>
    <row r="66" spans="2:8" x14ac:dyDescent="0.2">
      <c r="B66" s="207" t="s">
        <v>591</v>
      </c>
      <c r="C66" s="223" t="s">
        <v>884</v>
      </c>
      <c r="D66" s="209" t="s">
        <v>1184</v>
      </c>
      <c r="E66" s="210">
        <v>15338.94</v>
      </c>
      <c r="F66" s="210">
        <v>14967.5</v>
      </c>
      <c r="G66" s="220">
        <v>51.557071200000003</v>
      </c>
      <c r="H66" s="222"/>
    </row>
    <row r="67" spans="2:8" x14ac:dyDescent="0.2">
      <c r="B67" s="207" t="s">
        <v>591</v>
      </c>
      <c r="C67" s="223" t="s">
        <v>897</v>
      </c>
      <c r="D67" s="209" t="s">
        <v>1184</v>
      </c>
      <c r="E67" s="210">
        <v>734.25</v>
      </c>
      <c r="F67" s="210">
        <v>741.1</v>
      </c>
      <c r="G67" s="211">
        <v>61.179502999999997</v>
      </c>
    </row>
    <row r="68" spans="2:8" x14ac:dyDescent="0.2">
      <c r="B68" s="207" t="s">
        <v>591</v>
      </c>
      <c r="C68" s="223" t="s">
        <v>893</v>
      </c>
      <c r="D68" s="209" t="s">
        <v>1184</v>
      </c>
      <c r="E68" s="210">
        <v>4432.99</v>
      </c>
      <c r="F68" s="210">
        <v>4528.7</v>
      </c>
      <c r="G68" s="211">
        <v>13.999912</v>
      </c>
    </row>
    <row r="69" spans="2:8" x14ac:dyDescent="0.2">
      <c r="B69" s="207" t="s">
        <v>591</v>
      </c>
      <c r="C69" s="223" t="s">
        <v>890</v>
      </c>
      <c r="D69" s="209" t="s">
        <v>1184</v>
      </c>
      <c r="E69" s="210">
        <v>1361.08</v>
      </c>
      <c r="F69" s="210">
        <v>1373.3</v>
      </c>
      <c r="G69" s="211">
        <v>409.8149252</v>
      </c>
    </row>
    <row r="70" spans="2:8" x14ac:dyDescent="0.2">
      <c r="B70" s="207" t="s">
        <v>591</v>
      </c>
      <c r="C70" s="223" t="s">
        <v>875</v>
      </c>
      <c r="D70" s="209" t="s">
        <v>1184</v>
      </c>
      <c r="E70" s="210">
        <v>548.09</v>
      </c>
      <c r="F70" s="210">
        <v>583.29999999999995</v>
      </c>
      <c r="G70" s="211">
        <v>34.421771999999997</v>
      </c>
    </row>
    <row r="71" spans="2:8" x14ac:dyDescent="0.2">
      <c r="B71" s="207" t="s">
        <v>591</v>
      </c>
      <c r="C71" s="223" t="s">
        <v>881</v>
      </c>
      <c r="D71" s="209" t="s">
        <v>1184</v>
      </c>
      <c r="E71" s="210">
        <v>2109.04</v>
      </c>
      <c r="F71" s="210">
        <v>2244.85</v>
      </c>
      <c r="G71" s="211">
        <v>168.8322206</v>
      </c>
    </row>
    <row r="72" spans="2:8" x14ac:dyDescent="0.2">
      <c r="B72" s="207" t="s">
        <v>591</v>
      </c>
      <c r="C72" s="223" t="s">
        <v>879</v>
      </c>
      <c r="D72" s="209" t="s">
        <v>1184</v>
      </c>
      <c r="E72" s="210">
        <v>739.2</v>
      </c>
      <c r="F72" s="210">
        <v>746.95</v>
      </c>
      <c r="G72" s="211">
        <v>72.856889800000005</v>
      </c>
    </row>
    <row r="73" spans="2:8" x14ac:dyDescent="0.2">
      <c r="B73" s="207" t="s">
        <v>591</v>
      </c>
      <c r="C73" s="223" t="s">
        <v>886</v>
      </c>
      <c r="D73" s="209" t="s">
        <v>1184</v>
      </c>
      <c r="E73" s="210">
        <v>521.27</v>
      </c>
      <c r="F73" s="210">
        <v>540.85</v>
      </c>
      <c r="G73" s="211">
        <v>95.705851200000012</v>
      </c>
    </row>
    <row r="74" spans="2:8" x14ac:dyDescent="0.2">
      <c r="B74" s="207" t="s">
        <v>591</v>
      </c>
      <c r="C74" s="223" t="s">
        <v>885</v>
      </c>
      <c r="D74" s="209" t="s">
        <v>1184</v>
      </c>
      <c r="E74" s="210">
        <v>1716.1</v>
      </c>
      <c r="F74" s="210">
        <v>1793.9</v>
      </c>
      <c r="G74" s="211">
        <v>8.1557840000000006</v>
      </c>
    </row>
    <row r="75" spans="2:8" x14ac:dyDescent="0.2">
      <c r="B75" s="207" t="s">
        <v>591</v>
      </c>
      <c r="C75" s="223" t="s">
        <v>877</v>
      </c>
      <c r="D75" s="209" t="s">
        <v>1184</v>
      </c>
      <c r="E75" s="210">
        <v>1679.58</v>
      </c>
      <c r="F75" s="210">
        <v>1701.8</v>
      </c>
      <c r="G75" s="211">
        <v>26.170862200000002</v>
      </c>
    </row>
    <row r="76" spans="2:8" x14ac:dyDescent="0.2">
      <c r="B76" s="207" t="s">
        <v>591</v>
      </c>
      <c r="C76" s="223" t="s">
        <v>883</v>
      </c>
      <c r="D76" s="209" t="s">
        <v>1184</v>
      </c>
      <c r="E76" s="210">
        <v>366.56</v>
      </c>
      <c r="F76" s="210">
        <v>380.5</v>
      </c>
      <c r="G76" s="211">
        <v>46.354999999999997</v>
      </c>
    </row>
    <row r="77" spans="2:8" x14ac:dyDescent="0.2">
      <c r="B77" s="207" t="s">
        <v>591</v>
      </c>
      <c r="C77" s="223" t="s">
        <v>901</v>
      </c>
      <c r="D77" s="209" t="s">
        <v>1184</v>
      </c>
      <c r="E77" s="210">
        <v>4878.76</v>
      </c>
      <c r="F77" s="210">
        <v>4852.3999999999996</v>
      </c>
      <c r="G77" s="211">
        <v>115.77871500000001</v>
      </c>
    </row>
    <row r="78" spans="2:8" x14ac:dyDescent="0.2">
      <c r="B78" s="207" t="s">
        <v>591</v>
      </c>
      <c r="C78" s="223" t="s">
        <v>895</v>
      </c>
      <c r="D78" s="209" t="s">
        <v>1184</v>
      </c>
      <c r="E78" s="210">
        <v>739.9</v>
      </c>
      <c r="F78" s="210">
        <v>747.05</v>
      </c>
      <c r="G78" s="211">
        <v>29.352065400000001</v>
      </c>
    </row>
    <row r="79" spans="2:8" x14ac:dyDescent="0.2">
      <c r="B79" s="207" t="s">
        <v>591</v>
      </c>
      <c r="C79" s="223" t="s">
        <v>894</v>
      </c>
      <c r="D79" s="209" t="s">
        <v>1184</v>
      </c>
      <c r="E79" s="210">
        <v>916.98</v>
      </c>
      <c r="F79" s="210">
        <v>926.05</v>
      </c>
      <c r="G79" s="211">
        <v>23.437827600000002</v>
      </c>
    </row>
    <row r="80" spans="2:8" x14ac:dyDescent="0.2">
      <c r="B80" s="207" t="s">
        <v>591</v>
      </c>
      <c r="C80" s="223" t="s">
        <v>899</v>
      </c>
      <c r="D80" s="209" t="s">
        <v>1184</v>
      </c>
      <c r="E80" s="210">
        <v>853.84</v>
      </c>
      <c r="F80" s="210">
        <v>866.5</v>
      </c>
      <c r="G80" s="211">
        <v>71.983161600000003</v>
      </c>
    </row>
    <row r="81" spans="2:7" x14ac:dyDescent="0.2">
      <c r="B81" s="207" t="s">
        <v>591</v>
      </c>
      <c r="C81" s="223" t="s">
        <v>892</v>
      </c>
      <c r="D81" s="209" t="s">
        <v>1184</v>
      </c>
      <c r="E81" s="210">
        <v>2750.97</v>
      </c>
      <c r="F81" s="210">
        <v>2802.25</v>
      </c>
      <c r="G81" s="211">
        <v>61.821075999999998</v>
      </c>
    </row>
    <row r="82" spans="2:7" x14ac:dyDescent="0.2">
      <c r="B82" s="207" t="s">
        <v>591</v>
      </c>
      <c r="C82" s="223" t="s">
        <v>896</v>
      </c>
      <c r="D82" s="209" t="s">
        <v>1184</v>
      </c>
      <c r="E82" s="210">
        <v>798.66</v>
      </c>
      <c r="F82" s="210">
        <v>820.05</v>
      </c>
      <c r="G82" s="211">
        <v>49.691624399999995</v>
      </c>
    </row>
    <row r="83" spans="2:7" x14ac:dyDescent="0.2">
      <c r="B83" s="207" t="s">
        <v>591</v>
      </c>
      <c r="C83" s="223" t="s">
        <v>898</v>
      </c>
      <c r="D83" s="209" t="s">
        <v>1184</v>
      </c>
      <c r="E83" s="210">
        <v>1240.33</v>
      </c>
      <c r="F83" s="210">
        <v>1269.6500000000001</v>
      </c>
      <c r="G83" s="211">
        <v>108.00722520000001</v>
      </c>
    </row>
    <row r="84" spans="2:7" x14ac:dyDescent="0.2">
      <c r="B84" s="207" t="s">
        <v>591</v>
      </c>
      <c r="C84" s="223" t="s">
        <v>903</v>
      </c>
      <c r="D84" s="209" t="s">
        <v>1184</v>
      </c>
      <c r="E84" s="210">
        <v>1279.72</v>
      </c>
      <c r="F84" s="210">
        <v>1261.5999999999999</v>
      </c>
      <c r="G84" s="211">
        <v>266.80533600000001</v>
      </c>
    </row>
    <row r="85" spans="2:7" x14ac:dyDescent="0.2">
      <c r="B85" s="207" t="s">
        <v>591</v>
      </c>
      <c r="C85" s="223" t="s">
        <v>900</v>
      </c>
      <c r="D85" s="209" t="s">
        <v>1184</v>
      </c>
      <c r="E85" s="210">
        <v>2465.59</v>
      </c>
      <c r="F85" s="210">
        <v>2469.9499999999998</v>
      </c>
      <c r="G85" s="211">
        <v>91.119403200000008</v>
      </c>
    </row>
    <row r="86" spans="2:7" x14ac:dyDescent="0.2">
      <c r="B86" s="207"/>
      <c r="C86" s="213"/>
      <c r="D86" s="209"/>
      <c r="E86" s="210"/>
      <c r="F86" s="210"/>
      <c r="G86" s="211"/>
    </row>
    <row r="88" spans="2:7" x14ac:dyDescent="0.2">
      <c r="B88" s="204" t="s">
        <v>1185</v>
      </c>
      <c r="E88" s="224"/>
      <c r="F88" s="224"/>
      <c r="G88" s="224"/>
    </row>
    <row r="90" spans="2:7" x14ac:dyDescent="0.2">
      <c r="B90" s="225" t="s">
        <v>1177</v>
      </c>
      <c r="C90" s="225" t="s">
        <v>1186</v>
      </c>
    </row>
    <row r="91" spans="2:7" x14ac:dyDescent="0.2">
      <c r="B91" s="207" t="s">
        <v>1183</v>
      </c>
      <c r="C91" s="226">
        <v>66.19</v>
      </c>
    </row>
    <row r="92" spans="2:7" x14ac:dyDescent="0.2">
      <c r="B92" s="207" t="s">
        <v>872</v>
      </c>
      <c r="C92" s="226">
        <v>18.920000000000002</v>
      </c>
    </row>
    <row r="93" spans="2:7" x14ac:dyDescent="0.2">
      <c r="B93" s="227" t="s">
        <v>591</v>
      </c>
      <c r="C93" s="226">
        <v>30</v>
      </c>
    </row>
    <row r="95" spans="2:7" x14ac:dyDescent="0.2">
      <c r="B95" s="204" t="s">
        <v>1187</v>
      </c>
    </row>
    <row r="96" spans="2:7" x14ac:dyDescent="0.2">
      <c r="B96" s="204"/>
    </row>
    <row r="97" spans="2:12" ht="63.75" x14ac:dyDescent="0.2">
      <c r="B97" s="205" t="s">
        <v>1177</v>
      </c>
      <c r="C97" s="206" t="s">
        <v>1188</v>
      </c>
      <c r="D97" s="206" t="s">
        <v>1189</v>
      </c>
      <c r="E97" s="206" t="s">
        <v>1190</v>
      </c>
      <c r="F97" s="206" t="s">
        <v>1191</v>
      </c>
      <c r="G97" s="206" t="s">
        <v>1192</v>
      </c>
    </row>
    <row r="98" spans="2:12" ht="15" customHeight="1" x14ac:dyDescent="0.2">
      <c r="B98" s="207" t="s">
        <v>1183</v>
      </c>
      <c r="C98" s="228">
        <v>592</v>
      </c>
      <c r="D98" s="228">
        <v>592</v>
      </c>
      <c r="E98" s="220">
        <v>4495.99</v>
      </c>
      <c r="F98" s="220">
        <v>4426.3500000000004</v>
      </c>
      <c r="G98" s="229">
        <f t="shared" ref="G98:G104" si="0">+F98-E98</f>
        <v>-69.639999999999418</v>
      </c>
      <c r="H98" s="230"/>
      <c r="I98" s="231"/>
      <c r="J98" s="232"/>
      <c r="K98" s="232"/>
      <c r="L98" s="232"/>
    </row>
    <row r="99" spans="2:12" ht="15" customHeight="1" x14ac:dyDescent="0.2">
      <c r="B99" s="207" t="s">
        <v>872</v>
      </c>
      <c r="C99" s="233">
        <v>5061</v>
      </c>
      <c r="D99" s="233">
        <v>5061</v>
      </c>
      <c r="E99" s="234">
        <v>34709.760000000002</v>
      </c>
      <c r="F99" s="234">
        <v>35230.269999999997</v>
      </c>
      <c r="G99" s="229">
        <f t="shared" si="0"/>
        <v>520.50999999999476</v>
      </c>
      <c r="H99" s="230"/>
      <c r="I99" s="231"/>
      <c r="J99" s="232"/>
      <c r="K99" s="232"/>
      <c r="L99" s="232"/>
    </row>
    <row r="100" spans="2:12" ht="15" customHeight="1" x14ac:dyDescent="0.2">
      <c r="B100" s="227" t="s">
        <v>591</v>
      </c>
      <c r="C100" s="228">
        <v>1457</v>
      </c>
      <c r="D100" s="228">
        <v>1457</v>
      </c>
      <c r="E100" s="220">
        <v>9647.08</v>
      </c>
      <c r="F100" s="220">
        <v>9908.4599999999991</v>
      </c>
      <c r="G100" s="229">
        <f t="shared" si="0"/>
        <v>261.3799999999992</v>
      </c>
      <c r="H100" s="230"/>
      <c r="I100" s="231"/>
      <c r="J100" s="232"/>
      <c r="K100" s="232"/>
      <c r="L100" s="232"/>
    </row>
    <row r="101" spans="2:12" ht="25.5" x14ac:dyDescent="0.2">
      <c r="B101" s="235" t="s">
        <v>1136</v>
      </c>
      <c r="C101" s="228">
        <v>500</v>
      </c>
      <c r="D101" s="228">
        <v>500</v>
      </c>
      <c r="E101" s="220">
        <v>2417.11</v>
      </c>
      <c r="F101" s="220">
        <v>2635.38</v>
      </c>
      <c r="G101" s="229">
        <f t="shared" si="0"/>
        <v>218.26999999999998</v>
      </c>
      <c r="H101" s="230"/>
      <c r="I101" s="231"/>
      <c r="J101" s="232"/>
      <c r="K101" s="232"/>
      <c r="L101" s="232"/>
    </row>
    <row r="102" spans="2:12" ht="15" hidden="1" customHeight="1" x14ac:dyDescent="0.2">
      <c r="B102" s="207"/>
      <c r="C102" s="233"/>
      <c r="D102" s="233"/>
      <c r="E102" s="236"/>
      <c r="F102" s="234"/>
      <c r="G102" s="229">
        <f t="shared" si="0"/>
        <v>0</v>
      </c>
      <c r="H102" s="230"/>
      <c r="I102" s="231"/>
      <c r="J102" s="232"/>
      <c r="K102" s="232"/>
      <c r="L102" s="232"/>
    </row>
    <row r="103" spans="2:12" ht="35.25" hidden="1" customHeight="1" x14ac:dyDescent="0.2">
      <c r="B103" s="235"/>
      <c r="C103" s="233"/>
      <c r="D103" s="233"/>
      <c r="E103" s="236"/>
      <c r="F103" s="234"/>
      <c r="G103" s="229">
        <f t="shared" si="0"/>
        <v>0</v>
      </c>
      <c r="H103" s="230"/>
      <c r="I103" s="231"/>
      <c r="J103" s="232"/>
      <c r="K103" s="232"/>
      <c r="L103" s="232"/>
    </row>
    <row r="104" spans="2:12" ht="15" hidden="1" customHeight="1" x14ac:dyDescent="0.2">
      <c r="B104" s="207"/>
      <c r="C104" s="233"/>
      <c r="D104" s="233"/>
      <c r="E104" s="234"/>
      <c r="F104" s="234"/>
      <c r="G104" s="229">
        <f t="shared" si="0"/>
        <v>0</v>
      </c>
      <c r="H104" s="230"/>
      <c r="I104" s="231"/>
      <c r="J104" s="232"/>
    </row>
    <row r="105" spans="2:12" ht="15" customHeight="1" x14ac:dyDescent="0.2">
      <c r="H105" s="230"/>
      <c r="I105" s="231"/>
      <c r="J105" s="232"/>
    </row>
    <row r="106" spans="2:12" ht="15" customHeight="1" x14ac:dyDescent="0.2">
      <c r="E106" s="232"/>
      <c r="F106" s="232"/>
      <c r="H106" s="230"/>
      <c r="I106" s="231"/>
      <c r="J106" s="232"/>
    </row>
    <row r="107" spans="2:12" x14ac:dyDescent="0.2">
      <c r="B107" s="204" t="s">
        <v>1193</v>
      </c>
      <c r="F107" s="232"/>
      <c r="G107" s="231"/>
      <c r="H107" s="230"/>
      <c r="I107" s="231"/>
      <c r="L107" s="230"/>
    </row>
    <row r="108" spans="2:12" x14ac:dyDescent="0.2">
      <c r="H108" s="237"/>
      <c r="L108" s="231"/>
    </row>
    <row r="109" spans="2:12" ht="25.5" x14ac:dyDescent="0.2">
      <c r="B109" s="205" t="s">
        <v>1177</v>
      </c>
      <c r="C109" s="205" t="s">
        <v>1178</v>
      </c>
      <c r="D109" s="205" t="s">
        <v>1179</v>
      </c>
      <c r="E109" s="206" t="s">
        <v>1180</v>
      </c>
      <c r="F109" s="206" t="s">
        <v>1181</v>
      </c>
      <c r="G109" s="206" t="s">
        <v>1194</v>
      </c>
    </row>
    <row r="110" spans="2:12" x14ac:dyDescent="0.2">
      <c r="B110" s="207"/>
      <c r="C110" s="207"/>
      <c r="D110" s="209" t="s">
        <v>1195</v>
      </c>
      <c r="E110" s="215"/>
      <c r="F110" s="215"/>
      <c r="G110" s="238"/>
    </row>
    <row r="111" spans="2:12" x14ac:dyDescent="0.2">
      <c r="D111" s="239"/>
      <c r="E111" s="240"/>
      <c r="F111" s="240"/>
      <c r="G111" s="240"/>
      <c r="I111" s="231"/>
    </row>
    <row r="112" spans="2:12" x14ac:dyDescent="0.2">
      <c r="C112" s="241"/>
      <c r="D112" s="242"/>
      <c r="E112" s="243"/>
      <c r="F112" s="244"/>
      <c r="G112" s="244"/>
      <c r="I112" s="231"/>
    </row>
    <row r="113" spans="2:12" x14ac:dyDescent="0.2">
      <c r="B113" s="204" t="s">
        <v>1196</v>
      </c>
      <c r="I113" s="231"/>
    </row>
    <row r="114" spans="2:12" x14ac:dyDescent="0.2">
      <c r="I114" s="231"/>
      <c r="L114" s="232"/>
    </row>
    <row r="115" spans="2:12" x14ac:dyDescent="0.2">
      <c r="B115" s="225" t="s">
        <v>1177</v>
      </c>
      <c r="C115" s="225" t="s">
        <v>1186</v>
      </c>
    </row>
    <row r="116" spans="2:12" x14ac:dyDescent="0.2">
      <c r="B116" s="207"/>
      <c r="C116" s="209"/>
    </row>
    <row r="117" spans="2:12" x14ac:dyDescent="0.2">
      <c r="B117" s="208"/>
      <c r="C117" s="245"/>
    </row>
    <row r="118" spans="2:12" x14ac:dyDescent="0.2">
      <c r="B118" s="204" t="s">
        <v>1197</v>
      </c>
    </row>
    <row r="119" spans="2:12" x14ac:dyDescent="0.2">
      <c r="B119" s="204"/>
    </row>
    <row r="120" spans="2:12" ht="63.75" x14ac:dyDescent="0.2">
      <c r="B120" s="205" t="s">
        <v>1177</v>
      </c>
      <c r="C120" s="206" t="s">
        <v>1188</v>
      </c>
      <c r="D120" s="206" t="s">
        <v>1189</v>
      </c>
      <c r="E120" s="206" t="s">
        <v>1190</v>
      </c>
      <c r="F120" s="206" t="s">
        <v>1198</v>
      </c>
      <c r="G120" s="206" t="s">
        <v>1199</v>
      </c>
    </row>
    <row r="121" spans="2:12" x14ac:dyDescent="0.2">
      <c r="B121" s="207"/>
      <c r="C121" s="233"/>
      <c r="D121" s="233"/>
      <c r="E121" s="234"/>
      <c r="F121" s="234"/>
      <c r="G121" s="246">
        <f t="shared" ref="G121:G127" si="1">+F121-E121</f>
        <v>0</v>
      </c>
      <c r="H121" s="230"/>
      <c r="I121" s="231"/>
    </row>
    <row r="122" spans="2:12" hidden="1" x14ac:dyDescent="0.2">
      <c r="B122" s="227"/>
      <c r="C122" s="247"/>
      <c r="D122" s="247"/>
      <c r="E122" s="248"/>
      <c r="F122" s="248"/>
      <c r="G122" s="246">
        <f t="shared" si="1"/>
        <v>0</v>
      </c>
      <c r="H122" s="249"/>
    </row>
    <row r="123" spans="2:12" hidden="1" x14ac:dyDescent="0.2">
      <c r="B123" s="227"/>
      <c r="C123" s="247"/>
      <c r="D123" s="247"/>
      <c r="E123" s="248"/>
      <c r="F123" s="248"/>
      <c r="G123" s="246">
        <f t="shared" si="1"/>
        <v>0</v>
      </c>
    </row>
    <row r="124" spans="2:12" hidden="1" x14ac:dyDescent="0.2">
      <c r="B124" s="207"/>
      <c r="C124" s="250"/>
      <c r="D124" s="250"/>
      <c r="E124" s="248"/>
      <c r="F124" s="248"/>
      <c r="G124" s="246">
        <f t="shared" si="1"/>
        <v>0</v>
      </c>
      <c r="H124" s="251"/>
      <c r="I124" s="252"/>
    </row>
    <row r="125" spans="2:12" hidden="1" x14ac:dyDescent="0.2">
      <c r="B125" s="207"/>
      <c r="C125" s="250"/>
      <c r="D125" s="250"/>
      <c r="E125" s="248"/>
      <c r="F125" s="248"/>
      <c r="G125" s="246">
        <f t="shared" si="1"/>
        <v>0</v>
      </c>
      <c r="H125" s="251"/>
      <c r="I125" s="231"/>
    </row>
    <row r="126" spans="2:12" hidden="1" x14ac:dyDescent="0.2">
      <c r="B126" s="227"/>
      <c r="C126" s="250"/>
      <c r="D126" s="250"/>
      <c r="E126" s="248"/>
      <c r="F126" s="248"/>
      <c r="G126" s="246">
        <f t="shared" si="1"/>
        <v>0</v>
      </c>
      <c r="H126" s="251"/>
      <c r="I126" s="231"/>
    </row>
    <row r="127" spans="2:12" s="204" customFormat="1" hidden="1" x14ac:dyDescent="0.2">
      <c r="B127" s="253"/>
      <c r="C127" s="233"/>
      <c r="D127" s="233"/>
      <c r="E127" s="234"/>
      <c r="F127" s="234"/>
      <c r="G127" s="246">
        <f t="shared" si="1"/>
        <v>0</v>
      </c>
      <c r="H127" s="251"/>
      <c r="I127" s="254"/>
    </row>
    <row r="128" spans="2:12" hidden="1" x14ac:dyDescent="0.2">
      <c r="B128" s="227"/>
      <c r="C128" s="247"/>
      <c r="D128" s="247"/>
      <c r="E128" s="248"/>
      <c r="F128" s="248"/>
      <c r="G128" s="246">
        <f>+F128-E128</f>
        <v>0</v>
      </c>
      <c r="H128" s="249"/>
    </row>
    <row r="129" spans="2:9" x14ac:dyDescent="0.2">
      <c r="B129" s="235"/>
      <c r="C129" s="255"/>
      <c r="D129" s="255"/>
      <c r="E129" s="256"/>
      <c r="F129" s="256"/>
      <c r="G129" s="257">
        <f>+F129-E129</f>
        <v>0</v>
      </c>
      <c r="H129" s="230"/>
      <c r="I129" s="231"/>
    </row>
    <row r="130" spans="2:9" ht="15" customHeight="1" x14ac:dyDescent="0.2">
      <c r="H130" s="230"/>
      <c r="I130" s="231"/>
    </row>
    <row r="131" spans="2:9" x14ac:dyDescent="0.2">
      <c r="B131" s="258"/>
      <c r="C131" s="259"/>
      <c r="D131" s="259"/>
      <c r="E131" s="260"/>
      <c r="F131" s="260"/>
      <c r="G131" s="260"/>
      <c r="H131" s="231"/>
    </row>
    <row r="132" spans="2:9" x14ac:dyDescent="0.2">
      <c r="B132" s="204" t="s">
        <v>1200</v>
      </c>
      <c r="D132" s="261"/>
    </row>
    <row r="134" spans="2:9" ht="25.5" x14ac:dyDescent="0.2">
      <c r="B134" s="206" t="s">
        <v>1177</v>
      </c>
      <c r="C134" s="206" t="s">
        <v>1178</v>
      </c>
      <c r="D134" s="206" t="s">
        <v>1201</v>
      </c>
      <c r="E134" s="206" t="s">
        <v>1202</v>
      </c>
      <c r="F134" s="206" t="s">
        <v>1203</v>
      </c>
      <c r="G134" s="206" t="s">
        <v>1204</v>
      </c>
    </row>
    <row r="135" spans="2:9" x14ac:dyDescent="0.2">
      <c r="B135" s="262" t="s">
        <v>1205</v>
      </c>
      <c r="C135" s="262" t="s">
        <v>1205</v>
      </c>
      <c r="D135" s="262" t="s">
        <v>1205</v>
      </c>
      <c r="E135" s="262" t="s">
        <v>1205</v>
      </c>
      <c r="F135" s="262" t="s">
        <v>1205</v>
      </c>
      <c r="G135" s="262" t="s">
        <v>1205</v>
      </c>
    </row>
    <row r="136" spans="2:9" x14ac:dyDescent="0.2">
      <c r="D136" s="261"/>
      <c r="E136" s="261"/>
      <c r="F136" s="263"/>
      <c r="G136" s="263"/>
    </row>
    <row r="137" spans="2:9" x14ac:dyDescent="0.2">
      <c r="D137" s="261"/>
      <c r="E137" s="261"/>
      <c r="F137" s="263"/>
      <c r="G137" s="263"/>
    </row>
    <row r="138" spans="2:9" x14ac:dyDescent="0.2">
      <c r="B138" s="204" t="s">
        <v>1206</v>
      </c>
      <c r="G138" s="203" t="s">
        <v>152</v>
      </c>
    </row>
    <row r="139" spans="2:9" x14ac:dyDescent="0.2">
      <c r="B139" s="204"/>
    </row>
    <row r="140" spans="2:9" x14ac:dyDescent="0.2">
      <c r="B140" s="225" t="s">
        <v>1177</v>
      </c>
      <c r="C140" s="225" t="s">
        <v>1186</v>
      </c>
    </row>
    <row r="141" spans="2:9" x14ac:dyDescent="0.2">
      <c r="B141" s="262" t="s">
        <v>1205</v>
      </c>
      <c r="C141" s="262" t="s">
        <v>1205</v>
      </c>
    </row>
    <row r="142" spans="2:9" x14ac:dyDescent="0.2">
      <c r="C142" s="264"/>
      <c r="D142" s="245"/>
    </row>
    <row r="143" spans="2:9" x14ac:dyDescent="0.2">
      <c r="B143" s="204" t="s">
        <v>1207</v>
      </c>
    </row>
    <row r="145" spans="2:7" ht="38.25" x14ac:dyDescent="0.2">
      <c r="B145" s="205" t="s">
        <v>1177</v>
      </c>
      <c r="C145" s="206" t="s">
        <v>1208</v>
      </c>
      <c r="D145" s="206" t="s">
        <v>1209</v>
      </c>
      <c r="E145" s="206" t="s">
        <v>1210</v>
      </c>
      <c r="F145" s="206" t="s">
        <v>1211</v>
      </c>
    </row>
    <row r="146" spans="2:7" x14ac:dyDescent="0.2">
      <c r="B146" s="265"/>
      <c r="C146" s="262"/>
      <c r="D146" s="266"/>
      <c r="E146" s="246"/>
      <c r="F146" s="246">
        <f>+E146-D146</f>
        <v>0</v>
      </c>
    </row>
    <row r="147" spans="2:7" x14ac:dyDescent="0.2">
      <c r="B147" s="267"/>
      <c r="C147" s="268"/>
      <c r="D147" s="269"/>
      <c r="E147" s="269"/>
      <c r="F147" s="270"/>
    </row>
    <row r="148" spans="2:7" x14ac:dyDescent="0.2">
      <c r="B148" s="267"/>
      <c r="C148" s="268"/>
      <c r="D148" s="269"/>
      <c r="E148" s="269"/>
      <c r="F148" s="270"/>
    </row>
    <row r="150" spans="2:7" x14ac:dyDescent="0.2">
      <c r="B150" s="204" t="s">
        <v>1212</v>
      </c>
    </row>
    <row r="152" spans="2:7" ht="25.5" x14ac:dyDescent="0.2">
      <c r="B152" s="206" t="s">
        <v>1177</v>
      </c>
      <c r="C152" s="206" t="s">
        <v>1178</v>
      </c>
      <c r="D152" s="206" t="s">
        <v>1201</v>
      </c>
      <c r="E152" s="206" t="s">
        <v>1202</v>
      </c>
      <c r="F152" s="206" t="s">
        <v>1203</v>
      </c>
      <c r="G152" s="206" t="s">
        <v>1204</v>
      </c>
    </row>
    <row r="153" spans="2:7" x14ac:dyDescent="0.2">
      <c r="B153" s="207" t="s">
        <v>1205</v>
      </c>
      <c r="C153" s="207" t="s">
        <v>1205</v>
      </c>
      <c r="D153" s="207" t="s">
        <v>1205</v>
      </c>
      <c r="E153" s="207" t="s">
        <v>1205</v>
      </c>
      <c r="F153" s="207" t="s">
        <v>1205</v>
      </c>
      <c r="G153" s="207" t="s">
        <v>1205</v>
      </c>
    </row>
    <row r="154" spans="2:7" x14ac:dyDescent="0.2">
      <c r="C154" s="241"/>
      <c r="D154" s="271"/>
      <c r="E154" s="272"/>
      <c r="F154" s="263"/>
      <c r="G154" s="263"/>
    </row>
    <row r="155" spans="2:7" x14ac:dyDescent="0.2">
      <c r="B155" s="204" t="s">
        <v>1213</v>
      </c>
    </row>
    <row r="156" spans="2:7" x14ac:dyDescent="0.2">
      <c r="B156" s="204"/>
    </row>
    <row r="157" spans="2:7" x14ac:dyDescent="0.2">
      <c r="B157" s="225" t="s">
        <v>1177</v>
      </c>
      <c r="C157" s="225" t="s">
        <v>1186</v>
      </c>
    </row>
    <row r="158" spans="2:7" x14ac:dyDescent="0.2">
      <c r="B158" s="207" t="s">
        <v>1205</v>
      </c>
      <c r="C158" s="207" t="s">
        <v>1205</v>
      </c>
    </row>
    <row r="159" spans="2:7" x14ac:dyDescent="0.2">
      <c r="B159" s="208"/>
      <c r="C159" s="245"/>
    </row>
    <row r="160" spans="2:7" x14ac:dyDescent="0.2">
      <c r="B160" s="204" t="s">
        <v>1214</v>
      </c>
    </row>
    <row r="162" spans="2:7" ht="38.25" x14ac:dyDescent="0.2">
      <c r="B162" s="205" t="s">
        <v>1177</v>
      </c>
      <c r="C162" s="206" t="s">
        <v>1208</v>
      </c>
      <c r="D162" s="206" t="s">
        <v>1215</v>
      </c>
      <c r="E162" s="206" t="s">
        <v>1216</v>
      </c>
      <c r="F162" s="206" t="s">
        <v>1211</v>
      </c>
    </row>
    <row r="163" spans="2:7" x14ac:dyDescent="0.2">
      <c r="B163" s="207"/>
      <c r="C163" s="262"/>
      <c r="D163" s="266"/>
      <c r="E163" s="262"/>
      <c r="F163" s="262"/>
    </row>
    <row r="164" spans="2:7" x14ac:dyDescent="0.2">
      <c r="G164" s="273"/>
    </row>
    <row r="165" spans="2:7" x14ac:dyDescent="0.2">
      <c r="F165" s="274"/>
      <c r="G165" s="232"/>
    </row>
    <row r="166" spans="2:7" x14ac:dyDescent="0.2">
      <c r="B166" s="204" t="s">
        <v>1217</v>
      </c>
    </row>
    <row r="167" spans="2:7" x14ac:dyDescent="0.2">
      <c r="B167" s="204"/>
    </row>
    <row r="168" spans="2:7" x14ac:dyDescent="0.2">
      <c r="E168" s="232"/>
    </row>
    <row r="169" spans="2:7" x14ac:dyDescent="0.2">
      <c r="B169" s="204" t="s">
        <v>1218</v>
      </c>
      <c r="E169" s="232"/>
    </row>
    <row r="170" spans="2:7" x14ac:dyDescent="0.2">
      <c r="E170" s="232"/>
    </row>
    <row r="171" spans="2:7" ht="25.5" x14ac:dyDescent="0.2">
      <c r="B171" s="205" t="s">
        <v>1177</v>
      </c>
      <c r="C171" s="206" t="s">
        <v>1178</v>
      </c>
      <c r="D171" s="206" t="s">
        <v>1179</v>
      </c>
      <c r="E171" s="206" t="s">
        <v>1219</v>
      </c>
      <c r="F171" s="206" t="s">
        <v>1220</v>
      </c>
      <c r="G171" s="206" t="s">
        <v>1221</v>
      </c>
    </row>
    <row r="172" spans="2:7" x14ac:dyDescent="0.2">
      <c r="B172" s="227" t="s">
        <v>1205</v>
      </c>
      <c r="C172" s="253" t="s">
        <v>1205</v>
      </c>
      <c r="D172" s="275" t="s">
        <v>1205</v>
      </c>
      <c r="E172" s="276" t="s">
        <v>1205</v>
      </c>
      <c r="F172" s="276" t="s">
        <v>1205</v>
      </c>
      <c r="G172" s="276" t="s">
        <v>1205</v>
      </c>
    </row>
    <row r="173" spans="2:7" x14ac:dyDescent="0.2">
      <c r="E173" s="232"/>
    </row>
    <row r="174" spans="2:7" x14ac:dyDescent="0.2">
      <c r="B174" s="204" t="s">
        <v>1222</v>
      </c>
      <c r="E174" s="232"/>
    </row>
    <row r="175" spans="2:7" x14ac:dyDescent="0.2">
      <c r="B175" s="204"/>
      <c r="E175" s="232"/>
    </row>
    <row r="176" spans="2:7" x14ac:dyDescent="0.2">
      <c r="B176" s="225" t="s">
        <v>1177</v>
      </c>
      <c r="C176" s="225" t="s">
        <v>1186</v>
      </c>
      <c r="E176" s="232"/>
    </row>
    <row r="177" spans="2:10" x14ac:dyDescent="0.2">
      <c r="B177" s="262" t="s">
        <v>1205</v>
      </c>
      <c r="C177" s="247" t="s">
        <v>1205</v>
      </c>
      <c r="E177" s="232"/>
    </row>
    <row r="178" spans="2:10" x14ac:dyDescent="0.2">
      <c r="E178" s="232"/>
    </row>
    <row r="179" spans="2:10" x14ac:dyDescent="0.2">
      <c r="B179" s="204" t="s">
        <v>1223</v>
      </c>
      <c r="E179" s="232"/>
    </row>
    <row r="180" spans="2:10" x14ac:dyDescent="0.2">
      <c r="E180" s="232"/>
    </row>
    <row r="181" spans="2:10" ht="63.75" x14ac:dyDescent="0.2">
      <c r="B181" s="205" t="s">
        <v>1177</v>
      </c>
      <c r="C181" s="206" t="s">
        <v>1188</v>
      </c>
      <c r="D181" s="206" t="s">
        <v>1189</v>
      </c>
      <c r="E181" s="206" t="s">
        <v>1190</v>
      </c>
      <c r="F181" s="206" t="s">
        <v>1191</v>
      </c>
      <c r="G181" s="206" t="s">
        <v>1192</v>
      </c>
    </row>
    <row r="182" spans="2:10" x14ac:dyDescent="0.2">
      <c r="B182" s="247"/>
      <c r="C182" s="247"/>
      <c r="D182" s="228"/>
      <c r="E182" s="277"/>
      <c r="F182" s="278"/>
      <c r="G182" s="279"/>
      <c r="I182" s="231"/>
      <c r="J182" s="232"/>
    </row>
    <row r="183" spans="2:10" x14ac:dyDescent="0.2">
      <c r="E183" s="232"/>
    </row>
    <row r="184" spans="2:10" x14ac:dyDescent="0.2">
      <c r="E184" s="232"/>
    </row>
    <row r="185" spans="2:10" x14ac:dyDescent="0.2">
      <c r="B185" s="204" t="s">
        <v>1224</v>
      </c>
      <c r="E185" s="232"/>
    </row>
    <row r="186" spans="2:10" x14ac:dyDescent="0.2">
      <c r="E186" s="232"/>
    </row>
    <row r="187" spans="2:10" ht="63.75" x14ac:dyDescent="0.2">
      <c r="B187" s="205" t="s">
        <v>1177</v>
      </c>
      <c r="C187" s="206" t="s">
        <v>1188</v>
      </c>
      <c r="D187" s="206" t="s">
        <v>1189</v>
      </c>
      <c r="E187" s="206" t="s">
        <v>1190</v>
      </c>
      <c r="F187" s="206" t="s">
        <v>1191</v>
      </c>
      <c r="G187" s="206" t="s">
        <v>1192</v>
      </c>
    </row>
    <row r="188" spans="2:10" x14ac:dyDescent="0.2">
      <c r="B188" s="209"/>
      <c r="C188" s="262"/>
      <c r="D188" s="262"/>
      <c r="E188" s="280"/>
      <c r="F188" s="280"/>
      <c r="G188" s="280"/>
    </row>
    <row r="189" spans="2:10" x14ac:dyDescent="0.2">
      <c r="E189" s="232"/>
    </row>
    <row r="190" spans="2:10" x14ac:dyDescent="0.2">
      <c r="E190" s="232"/>
    </row>
    <row r="191" spans="2:10" x14ac:dyDescent="0.2">
      <c r="E191" s="232"/>
    </row>
    <row r="192" spans="2:10" x14ac:dyDescent="0.2">
      <c r="B192" s="203" t="s">
        <v>1225</v>
      </c>
    </row>
  </sheetData>
  <mergeCells count="3">
    <mergeCell ref="B2:G2"/>
    <mergeCell ref="B3:G3"/>
    <mergeCell ref="B5:G5"/>
  </mergeCells>
  <printOptions horizontalCentered="1"/>
  <pageMargins left="0.17" right="0.15748031496062992" top="0.43307086614173229" bottom="0.47244094488188981" header="0.31496062992125984" footer="0.31496062992125984"/>
  <pageSetup paperSize="9" scale="48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Index</vt:lpstr>
      <vt:lpstr>CAPEXG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SPAHF</vt:lpstr>
      <vt:lpstr>SPARF</vt:lpstr>
      <vt:lpstr>SPBAF</vt:lpstr>
      <vt:lpstr>SPDYF</vt:lpstr>
      <vt:lpstr>SPESF</vt:lpstr>
      <vt:lpstr>SPFOCUS</vt:lpstr>
      <vt:lpstr>SPMUCF</vt:lpstr>
      <vt:lpstr>SPSN100</vt:lpstr>
      <vt:lpstr>SPTAX</vt:lpstr>
      <vt:lpstr>SRURAL</vt:lpstr>
      <vt:lpstr>SSFUND</vt:lpstr>
      <vt:lpstr>STAX</vt:lpstr>
      <vt:lpstr>SUNBCF</vt:lpstr>
      <vt:lpstr>SUNFOP</vt:lpstr>
      <vt:lpstr>GLOB</vt:lpstr>
      <vt:lpstr>Annexure-A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Bharathi B - Sundaram Mutual</cp:lastModifiedBy>
  <dcterms:created xsi:type="dcterms:W3CDTF">2022-05-01T04:36:54Z</dcterms:created>
  <dcterms:modified xsi:type="dcterms:W3CDTF">2023-02-09T10:39:06Z</dcterms:modified>
</cp:coreProperties>
</file>