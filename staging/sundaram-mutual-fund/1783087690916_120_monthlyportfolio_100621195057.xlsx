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iew\2021-22\2. May 2021\final\"/>
    </mc:Choice>
  </mc:AlternateContent>
  <xr:revisionPtr revIDLastSave="0" documentId="13_ncr:1_{6C839CF6-607F-4538-80F7-6D4CE6B739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" sheetId="43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FOCUS" sheetId="17" r:id="rId18"/>
    <sheet name="SLTADV3" sheetId="18" r:id="rId19"/>
    <sheet name="SLTADV4" sheetId="19" r:id="rId20"/>
    <sheet name="SLTAX1" sheetId="20" r:id="rId21"/>
    <sheet name="SLTAX2" sheetId="21" r:id="rId22"/>
    <sheet name="SLTAX3" sheetId="22" r:id="rId23"/>
    <sheet name="SLTAX4" sheetId="23" r:id="rId24"/>
    <sheet name="SLTAX5" sheetId="24" r:id="rId25"/>
    <sheet name="SLTAX6" sheetId="25" r:id="rId26"/>
    <sheet name="SMALL5" sheetId="26" r:id="rId27"/>
    <sheet name="SMALL6" sheetId="27" r:id="rId28"/>
    <sheet name="SMILE" sheetId="28" r:id="rId29"/>
    <sheet name="SRURAL" sheetId="29" r:id="rId30"/>
    <sheet name="SSFUND" sheetId="30" r:id="rId31"/>
    <sheet name="SSN100" sheetId="31" r:id="rId32"/>
    <sheet name="STAX" sheetId="32" r:id="rId33"/>
    <sheet name="SUNARF" sheetId="33" r:id="rId34"/>
    <sheet name="SUNBAF" sheetId="41" r:id="rId35"/>
    <sheet name="SUNBAL" sheetId="42" r:id="rId36"/>
    <sheet name="SUNBCF" sheetId="34" r:id="rId37"/>
    <sheet name="SUNEQF" sheetId="35" r:id="rId38"/>
    <sheet name="SUNESF" sheetId="36" r:id="rId39"/>
    <sheet name="SUNFOP" sheetId="37" r:id="rId40"/>
    <sheet name="SUNVALF10" sheetId="38" r:id="rId41"/>
    <sheet name="SUNVALF7" sheetId="39" r:id="rId42"/>
    <sheet name="SUNVALF9" sheetId="40" r:id="rId43"/>
    <sheet name="GLOB" sheetId="45" r:id="rId44"/>
    <sheet name="Annexure A" sheetId="46" r:id="rId45"/>
    <sheet name="Annexure B" sheetId="44" r:id="rId46"/>
  </sheets>
  <definedNames>
    <definedName name="_xlnm._FilterDatabase" localSheetId="1" hidden="1">CAPEXG!$A$6:$G$129</definedName>
    <definedName name="_xlnm._FilterDatabase" localSheetId="2" hidden="1">MICAP14!$A$6:$G$161</definedName>
    <definedName name="_xlnm._FilterDatabase" localSheetId="3" hidden="1">MICAP15!$A$6:$G$160</definedName>
    <definedName name="_xlnm._FilterDatabase" localSheetId="4" hidden="1">MICAP16!$A$6:$G$96</definedName>
    <definedName name="_xlnm._FilterDatabase" localSheetId="5" hidden="1">MICAP17!$A$6:$G$161</definedName>
    <definedName name="_xlnm._FilterDatabase" localSheetId="6" hidden="1">MIDCAP!$A$6:$G$155</definedName>
    <definedName name="_xlnm._FilterDatabase" localSheetId="7" hidden="1">MULTI1!$A$6:$G$140</definedName>
    <definedName name="_xlnm._FilterDatabase" localSheetId="8" hidden="1">MULTI2!$A$6:$G$140</definedName>
    <definedName name="_xlnm._FilterDatabase" localSheetId="9" hidden="1">MULTIP!$A$6:$G$135</definedName>
    <definedName name="_xlnm._FilterDatabase" localSheetId="10" hidden="1">SESCAP1!$A$6:$G$164</definedName>
    <definedName name="_xlnm._FilterDatabase" localSheetId="11" hidden="1">SESCAP2!$A$6:$G$164</definedName>
    <definedName name="_xlnm._FilterDatabase" localSheetId="12" hidden="1">SESCAP3!$A$6:$G$173</definedName>
    <definedName name="_xlnm._FilterDatabase" localSheetId="13" hidden="1">SESCAP4!$A$6:$G$172</definedName>
    <definedName name="_xlnm._FilterDatabase" localSheetId="14" hidden="1">SESCAP5!$A$6:$G$172</definedName>
    <definedName name="_xlnm._FilterDatabase" localSheetId="15" hidden="1">SESCAP6!$A$6:$G$6</definedName>
    <definedName name="_xlnm._FilterDatabase" localSheetId="16" hidden="1">SESCAP7!$A$6:$G$162</definedName>
    <definedName name="_xlnm._FilterDatabase" localSheetId="17" hidden="1">SFOCUS!$A$6:$G$121</definedName>
    <definedName name="_xlnm._FilterDatabase" localSheetId="18" hidden="1">SLTADV3!$A$6:$G$168</definedName>
    <definedName name="_xlnm._FilterDatabase" localSheetId="19" hidden="1">SLTADV4!$A$6:$G$158</definedName>
    <definedName name="_xlnm._FilterDatabase" localSheetId="20" hidden="1">SLTAX1!$A$6:$G$130</definedName>
    <definedName name="_xlnm._FilterDatabase" localSheetId="21" hidden="1">SLTAX2!$A$6:$G$127</definedName>
    <definedName name="_xlnm._FilterDatabase" localSheetId="22" hidden="1">SLTAX3!$A$6:$G$154</definedName>
    <definedName name="_xlnm._FilterDatabase" localSheetId="23" hidden="1">SLTAX4!$A$6:$G$152</definedName>
    <definedName name="_xlnm._FilterDatabase" localSheetId="24" hidden="1">SLTAX5!$A$6:$G$165</definedName>
    <definedName name="_xlnm._FilterDatabase" localSheetId="25" hidden="1">SLTAX6!$A$6:$G$157</definedName>
    <definedName name="_xlnm._FilterDatabase" localSheetId="26" hidden="1">SMALL5!$A$6:$G$120</definedName>
    <definedName name="_xlnm._FilterDatabase" localSheetId="27" hidden="1">SMALL6!$A$6:$G$131</definedName>
    <definedName name="_xlnm._FilterDatabase" localSheetId="28" hidden="1">SMILE!$A$6:$G$156</definedName>
    <definedName name="_xlnm._FilterDatabase" localSheetId="29" hidden="1">SRURAL!$A$6:$G$129</definedName>
    <definedName name="_xlnm._FilterDatabase" localSheetId="30" hidden="1">SSFUND!$A$6:$G$137</definedName>
    <definedName name="_xlnm._FilterDatabase" localSheetId="31" hidden="1">'SSN100'!$A$4:$G$199</definedName>
    <definedName name="_xlnm._FilterDatabase" localSheetId="32" hidden="1">STAX!$A$7:$G$137</definedName>
    <definedName name="_xlnm._FilterDatabase" localSheetId="33" hidden="1">SUNARF!$A$6:$G$323</definedName>
    <definedName name="_xlnm._FilterDatabase" localSheetId="34" hidden="1">SUNBAF!$A$7:$G$570</definedName>
    <definedName name="_xlnm._FilterDatabase" localSheetId="35" hidden="1">SUNBAL!$A$6:$G$173</definedName>
    <definedName name="_xlnm._FilterDatabase" localSheetId="36" hidden="1">SUNBCF!$A$6:$G$362</definedName>
    <definedName name="_xlnm._FilterDatabase" localSheetId="37" hidden="1">SUNEQF!$A$7:$G$152</definedName>
    <definedName name="_xlnm._FilterDatabase" localSheetId="38" hidden="1">SUNESF!$A$6:$G$156</definedName>
    <definedName name="_xlnm._FilterDatabase" localSheetId="39" hidden="1">SUNFOP!$A$6:$G$266</definedName>
    <definedName name="_xlnm._FilterDatabase" localSheetId="40" hidden="1">SUNVALF10!$A$6:$G$263</definedName>
    <definedName name="_xlnm._FilterDatabase" localSheetId="41" hidden="1">SUNVALF7!$A$6:$G$131</definedName>
    <definedName name="_xlnm._FilterDatabase" localSheetId="42" hidden="1">SUNVALF9!$A$6:$G$134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7" i="9" l="1"/>
  <c r="G117" i="9" l="1"/>
  <c r="G70" i="6"/>
  <c r="F70" i="6"/>
  <c r="F14" i="45" l="1"/>
  <c r="F16" i="45" s="1"/>
  <c r="G16" i="45" s="1"/>
  <c r="G12" i="45"/>
  <c r="G11" i="45"/>
  <c r="F8" i="45"/>
  <c r="G6" i="45"/>
  <c r="G8" i="45" s="1"/>
  <c r="G14" i="45" l="1"/>
  <c r="G18" i="45"/>
</calcChain>
</file>

<file path=xl/sharedStrings.xml><?xml version="1.0" encoding="utf-8"?>
<sst xmlns="http://schemas.openxmlformats.org/spreadsheetml/2006/main" count="31380" uniqueCount="1070">
  <si>
    <t>SUNDARAM MUTUAL FUND</t>
  </si>
  <si>
    <t>Sundaram Infrastructure Advantage Fund</t>
  </si>
  <si>
    <t>Monthly Portfolio Statement for the month ended 31 May2021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</si>
  <si>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</si>
  <si>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</si>
  <si>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</si>
  <si>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</si>
  <si>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</si>
  <si>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</si>
  <si>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</si>
  <si>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/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</si>
  <si>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</si>
  <si>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</si>
  <si>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</si>
  <si>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</si>
  <si>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</si>
  <si>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</si>
  <si>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</si>
  <si>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</si>
  <si>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INE331A01037</t>
  </si>
  <si>
    <t>The Ramco Cements Ltd</t>
  </si>
  <si>
    <t>INE090A01021</t>
  </si>
  <si>
    <t>ICICI Bank Ltd</t>
  </si>
  <si>
    <t>Banks</t>
  </si>
  <si>
    <t>INE397D01024</t>
  </si>
  <si>
    <t>Bharti Airtel Ltd</t>
  </si>
  <si>
    <t>Telecom - Services</t>
  </si>
  <si>
    <t>INE536A01023</t>
  </si>
  <si>
    <t>Grindwell Norton Ltd</t>
  </si>
  <si>
    <t>Industrial Products</t>
  </si>
  <si>
    <t>INE791I01019</t>
  </si>
  <si>
    <t>Brigade Enterprises Ltd</t>
  </si>
  <si>
    <t>Construction</t>
  </si>
  <si>
    <t>INE823G01014</t>
  </si>
  <si>
    <t>JK Cement Ltd</t>
  </si>
  <si>
    <t>INE671A01010</t>
  </si>
  <si>
    <t>Honeywell Automation India Ltd</t>
  </si>
  <si>
    <t>Industrial Capital Goods</t>
  </si>
  <si>
    <t>INE455K01017</t>
  </si>
  <si>
    <t>Polycab India Ltd</t>
  </si>
  <si>
    <t>INE481G01011</t>
  </si>
  <si>
    <t>Ultratech Cement Ltd</t>
  </si>
  <si>
    <t>INE074A01025</t>
  </si>
  <si>
    <t>Praj Industries Ltd</t>
  </si>
  <si>
    <t>INE284A01012</t>
  </si>
  <si>
    <t>ESAB India Ltd</t>
  </si>
  <si>
    <t>INE999A01015</t>
  </si>
  <si>
    <t>KSB Ltd</t>
  </si>
  <si>
    <t>INE245A01021</t>
  </si>
  <si>
    <t>Tata Power Company Ltd</t>
  </si>
  <si>
    <t>Power</t>
  </si>
  <si>
    <t>INE040A01034</t>
  </si>
  <si>
    <t>HDFC Bank Ltd</t>
  </si>
  <si>
    <t>INE264T01014</t>
  </si>
  <si>
    <t>Capacite Infraprojects Ltd</t>
  </si>
  <si>
    <t>INE114A01011</t>
  </si>
  <si>
    <t>Steel Authority of India Ltd</t>
  </si>
  <si>
    <t>Ferrous Metals</t>
  </si>
  <si>
    <t>INE386C01029</t>
  </si>
  <si>
    <t>Astra Microwave Products Ltd</t>
  </si>
  <si>
    <t>Telecom -  Equipment &amp; Accessories</t>
  </si>
  <si>
    <t>INE029A01011</t>
  </si>
  <si>
    <t>Bharat Petroleum Corporation Ltd</t>
  </si>
  <si>
    <t>INE858B01029</t>
  </si>
  <si>
    <t>ISGEC Heavy  Engineering Ltd</t>
  </si>
  <si>
    <t>INE766P01016</t>
  </si>
  <si>
    <t>Mahindra Logistics Ltd</t>
  </si>
  <si>
    <t>Transportation</t>
  </si>
  <si>
    <t>INE129A01019</t>
  </si>
  <si>
    <t>GAIL (India) Ltd</t>
  </si>
  <si>
    <t>Gas</t>
  </si>
  <si>
    <t>INE541A01023</t>
  </si>
  <si>
    <t>GMM Pfaudler Ltd</t>
  </si>
  <si>
    <t>INE371P01015</t>
  </si>
  <si>
    <t>Amber Enterprises India Ltd</t>
  </si>
  <si>
    <t>Consumer Durables</t>
  </si>
  <si>
    <t>INE531A01024</t>
  </si>
  <si>
    <t>Kansai Nerolac Paints Ltd</t>
  </si>
  <si>
    <t>Consumer Non Durables</t>
  </si>
  <si>
    <t>INE419M01019</t>
  </si>
  <si>
    <t>TD Power Systems Ltd</t>
  </si>
  <si>
    <t>INE213A01029</t>
  </si>
  <si>
    <t>Oil &amp; Natural Gas Corporation Ltd</t>
  </si>
  <si>
    <t>Oil</t>
  </si>
  <si>
    <t>INE868B01028</t>
  </si>
  <si>
    <t>NCC Ltd</t>
  </si>
  <si>
    <t>INE298A01020</t>
  </si>
  <si>
    <t>Cummins India Ltd</t>
  </si>
  <si>
    <t>INE347G01014</t>
  </si>
  <si>
    <t>Petronet LNG Ltd</t>
  </si>
  <si>
    <t>INE742F01042</t>
  </si>
  <si>
    <t>Adani Ports and Special Economic Zone Ltd</t>
  </si>
  <si>
    <t>INE208A01029</t>
  </si>
  <si>
    <t>Ashok Leyland Ltd</t>
  </si>
  <si>
    <t>Auto</t>
  </si>
  <si>
    <t>INE08ZM01014</t>
  </si>
  <si>
    <t>Green Panel Industries Ltd</t>
  </si>
  <si>
    <t>INE513A01014</t>
  </si>
  <si>
    <t>Schaeffler India Ltd</t>
  </si>
  <si>
    <t>INE811K01011</t>
  </si>
  <si>
    <t>Prestige Estates Projects Ltd</t>
  </si>
  <si>
    <t>INE324L01013</t>
  </si>
  <si>
    <t>INE00R701025</t>
  </si>
  <si>
    <t>Dalmia Cement (Bharat) Ltd.</t>
  </si>
  <si>
    <t>Sub Total</t>
  </si>
  <si>
    <t>(b) Overseas Security</t>
  </si>
  <si>
    <t>(c) Privately Placed / Unlisted</t>
  </si>
  <si>
    <t>INE551A01022</t>
  </si>
  <si>
    <t>Engineering Services</t>
  </si>
  <si>
    <t>#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</si>
  <si>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</si>
  <si>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</si>
  <si>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</si>
  <si>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</si>
  <si>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</si>
  <si>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</si>
  <si>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</si>
  <si>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</si>
  <si>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</si>
  <si>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</si>
  <si>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</si>
  <si>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</si>
  <si>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</si>
  <si>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</si>
  <si>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</si>
  <si>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</si>
  <si>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</si>
  <si>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</si>
  <si>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</si>
  <si>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</si>
  <si>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</si>
  <si>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</si>
  <si>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</si>
  <si>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</si>
  <si>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</si>
  <si>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</si>
  <si>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</si>
  <si>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</si>
  <si>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</si>
  <si>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</si>
  <si>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</si>
  <si>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</si>
  <si>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30/04/2021</t>
  </si>
  <si>
    <t>31/05/2021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</si>
  <si>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</si>
  <si>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</si>
  <si>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</si>
  <si>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</si>
  <si>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</si>
  <si>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</si>
  <si>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</si>
  <si>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INE048G01026</t>
  </si>
  <si>
    <t>Navin Fluorine International Ltd</t>
  </si>
  <si>
    <t>Chemicals</t>
  </si>
  <si>
    <t>INE02A801020</t>
  </si>
  <si>
    <t>Rossari Biotech Ltd</t>
  </si>
  <si>
    <t>INE988K01017</t>
  </si>
  <si>
    <t>Equitas Holdings Ltd</t>
  </si>
  <si>
    <t>Finance</t>
  </si>
  <si>
    <t>INE878B01027</t>
  </si>
  <si>
    <t>KEI Industries Ltd</t>
  </si>
  <si>
    <t>INE383A01012</t>
  </si>
  <si>
    <t>The India Cements Ltd</t>
  </si>
  <si>
    <t>INE419U01012</t>
  </si>
  <si>
    <t>Happiest Minds Technologies Limited</t>
  </si>
  <si>
    <t>INE04I401011</t>
  </si>
  <si>
    <t>KPIT Technologies Ltd</t>
  </si>
  <si>
    <t>Software</t>
  </si>
  <si>
    <t>INE348B01021</t>
  </si>
  <si>
    <t>Century Plyboards (India) Ltd</t>
  </si>
  <si>
    <t>INE00WC01019</t>
  </si>
  <si>
    <t>Affle (India) Ltd</t>
  </si>
  <si>
    <t>INE578A01017</t>
  </si>
  <si>
    <t>HeidelbergCement India Ltd</t>
  </si>
  <si>
    <t>INE220B01022</t>
  </si>
  <si>
    <t>Kalpataru Power Transmission Ltd</t>
  </si>
  <si>
    <t>INE594H01019</t>
  </si>
  <si>
    <t>Thyrocare Technologies Ltd</t>
  </si>
  <si>
    <t>Healthcare Services</t>
  </si>
  <si>
    <t>INE732I01013</t>
  </si>
  <si>
    <t>Angel Broking ltd</t>
  </si>
  <si>
    <t>INE227C01017</t>
  </si>
  <si>
    <t>MM Forgings Ltd</t>
  </si>
  <si>
    <t>INE974X01010</t>
  </si>
  <si>
    <t>Tube Investments of India Ltd</t>
  </si>
  <si>
    <t>Auto Ancillaries</t>
  </si>
  <si>
    <t>INE884B01025</t>
  </si>
  <si>
    <t>Kirloskar Ferrous Ind Ltd</t>
  </si>
  <si>
    <t>INE262H01013</t>
  </si>
  <si>
    <t>Persistent Systems Ltd</t>
  </si>
  <si>
    <t>INE873D01024</t>
  </si>
  <si>
    <t>Indoco Remedies Ltd</t>
  </si>
  <si>
    <t>Pharmaceuticals</t>
  </si>
  <si>
    <t>INE075I01017</t>
  </si>
  <si>
    <t>Healthcare Global Enterprises Ltd</t>
  </si>
  <si>
    <t>INE296E01026</t>
  </si>
  <si>
    <t>Rajapalayam Mills Ltd</t>
  </si>
  <si>
    <t>Textiles - Cotton</t>
  </si>
  <si>
    <t>INE136B01020</t>
  </si>
  <si>
    <t>Cyient Ltd</t>
  </si>
  <si>
    <t>INE782A01015</t>
  </si>
  <si>
    <t>Johnson Controls-Hitachi AirConditioning India Ltd</t>
  </si>
  <si>
    <t>INE056C01010</t>
  </si>
  <si>
    <t>Tata Metaliks Ltd</t>
  </si>
  <si>
    <t>INE067A01029</t>
  </si>
  <si>
    <t>CG Power and Industrial Solutions Ltd</t>
  </si>
  <si>
    <t>INE442H01029</t>
  </si>
  <si>
    <t>Ashoka Buildcon Ltd</t>
  </si>
  <si>
    <t>INE998I01010</t>
  </si>
  <si>
    <t>Mahindra Holidays &amp; Resorts India Ltd</t>
  </si>
  <si>
    <t>INE325A01013</t>
  </si>
  <si>
    <t>Timken India Ltd</t>
  </si>
  <si>
    <t>INE481N01025</t>
  </si>
  <si>
    <t>Home First Finance Company Ltd</t>
  </si>
  <si>
    <t>INE312H01016</t>
  </si>
  <si>
    <t>INOX Leisure Ltd</t>
  </si>
  <si>
    <t>INE947Q01028</t>
  </si>
  <si>
    <t>Laurus Labs Ltd</t>
  </si>
  <si>
    <t>INE615P01015</t>
  </si>
  <si>
    <t>Quess Corp Ltd</t>
  </si>
  <si>
    <t>INE043D01016</t>
  </si>
  <si>
    <t>IDFC Ltd</t>
  </si>
  <si>
    <t>INE07O001018</t>
  </si>
  <si>
    <t>Easy Trip Planners Ltd</t>
  </si>
  <si>
    <t>INE934S01014</t>
  </si>
  <si>
    <t>GNA Axles Ltd</t>
  </si>
  <si>
    <t>INE211B01039</t>
  </si>
  <si>
    <t>The Phoenix Mills Ltd</t>
  </si>
  <si>
    <t>INE978A01027</t>
  </si>
  <si>
    <t>Heritage Foods Ltd</t>
  </si>
  <si>
    <t>INE00IN01015</t>
  </si>
  <si>
    <t>Stove Kraft Ltd</t>
  </si>
  <si>
    <t>INE092B01025</t>
  </si>
  <si>
    <t>India Nippon Electricals Ltd</t>
  </si>
  <si>
    <t>INE349A01021</t>
  </si>
  <si>
    <t>NRB Bearing Ltd</t>
  </si>
  <si>
    <t>INE864I01014</t>
  </si>
  <si>
    <t>MTAR Technologies Ltd</t>
  </si>
  <si>
    <t>INE628A01036</t>
  </si>
  <si>
    <t>UPL Ltd</t>
  </si>
  <si>
    <t>Pesticides</t>
  </si>
  <si>
    <t>INE113A01013</t>
  </si>
  <si>
    <t>Gujarat Narmada Valley Fertilizers &amp; Chemicals Ltd</t>
  </si>
  <si>
    <t>INE421D01022</t>
  </si>
  <si>
    <t>CCL Products (India) Ltd</t>
  </si>
  <si>
    <t>INE049A01027</t>
  </si>
  <si>
    <t>Himatsingka Seide Ltd</t>
  </si>
  <si>
    <t>Textile Products</t>
  </si>
  <si>
    <t>INE572A01028</t>
  </si>
  <si>
    <t>JB Chemicals &amp; Pharmaceuticals Ltd</t>
  </si>
  <si>
    <t>INE429E01023</t>
  </si>
  <si>
    <t>Safari Industries (India) Ltd</t>
  </si>
  <si>
    <t>INE477A01020</t>
  </si>
  <si>
    <t>Can Fin Homes Ltd</t>
  </si>
  <si>
    <t>INE274F01020</t>
  </si>
  <si>
    <t>Westlife Development Ltd</t>
  </si>
  <si>
    <t>INE060A01024</t>
  </si>
  <si>
    <t>Navneet Education Ltd</t>
  </si>
  <si>
    <t>INE503A01015</t>
  </si>
  <si>
    <t>DCB Bank Ltd</t>
  </si>
  <si>
    <t>INE435A01028</t>
  </si>
  <si>
    <t>Paper</t>
  </si>
  <si>
    <t>INE384A01010</t>
  </si>
  <si>
    <t>Rane Holdings Ltd</t>
  </si>
  <si>
    <t>INE586B01026</t>
  </si>
  <si>
    <t>Taj GVK Hotels &amp; Resorts Ltd</t>
  </si>
  <si>
    <t>INE022I01019</t>
  </si>
  <si>
    <t>Asian Granito India Ltd</t>
  </si>
  <si>
    <t>INE877F01012</t>
  </si>
  <si>
    <t>PTC India Ltd</t>
  </si>
  <si>
    <t>INE834I01025</t>
  </si>
  <si>
    <t>Khadim India Ltd</t>
  </si>
  <si>
    <t>INE745G01035</t>
  </si>
  <si>
    <t>Multi Commodity Exchange of India Ltd</t>
  </si>
  <si>
    <t>INE565V01010</t>
  </si>
  <si>
    <t>Valiant Organics Ltd</t>
  </si>
  <si>
    <t>INE246B01019</t>
  </si>
  <si>
    <t>Ramco Systems Ltd</t>
  </si>
  <si>
    <t>INE901L01018</t>
  </si>
  <si>
    <t>Alembic Pharmaceuticals Ltd</t>
  </si>
  <si>
    <t>INE970X01018</t>
  </si>
  <si>
    <t>Lemon Tree Hotels Ltd</t>
  </si>
  <si>
    <t>INE955V01021</t>
  </si>
  <si>
    <t>Arvind Fashions Ltd</t>
  </si>
  <si>
    <t>Retailing</t>
  </si>
  <si>
    <t>Sundaram Select Micro Cap Series XV</t>
  </si>
  <si>
    <t>INE386A01015</t>
  </si>
  <si>
    <t>Vesuvius India Ltd</t>
  </si>
  <si>
    <t>Sundaram Select Micro Cap Series XVI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</si>
  <si>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</si>
  <si>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</si>
  <si>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</si>
  <si>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</si>
  <si>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</si>
  <si>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</si>
  <si>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INE180A01020</t>
  </si>
  <si>
    <t>Max Financial Services Ltd</t>
  </si>
  <si>
    <t>INE121A01024</t>
  </si>
  <si>
    <t>Cholamandalam Investment and Finance Company Ltd</t>
  </si>
  <si>
    <t>INE018I01017</t>
  </si>
  <si>
    <t>MindTree Ltd</t>
  </si>
  <si>
    <t>INE437A01024</t>
  </si>
  <si>
    <t>Apollo Hospitals Enterprise Ltd</t>
  </si>
  <si>
    <t>INE987B01026</t>
  </si>
  <si>
    <t>Natco Pharma Ltd</t>
  </si>
  <si>
    <t>INE226A01021</t>
  </si>
  <si>
    <t>Voltas Ltd</t>
  </si>
  <si>
    <t>INE949L01017</t>
  </si>
  <si>
    <t>AU Small Finance Bank Ltd</t>
  </si>
  <si>
    <t>INE797F01012</t>
  </si>
  <si>
    <t>Jubilant Foodworks Ltd</t>
  </si>
  <si>
    <t>INE105A01035</t>
  </si>
  <si>
    <t>Sundaram Clayton Ltd</t>
  </si>
  <si>
    <t>INE171A01029</t>
  </si>
  <si>
    <t>The Federal Bank  Ltd</t>
  </si>
  <si>
    <t>INE761H01022</t>
  </si>
  <si>
    <t>Page Industries Ltd</t>
  </si>
  <si>
    <t>INE603J01030</t>
  </si>
  <si>
    <t>PI Industries Ltd</t>
  </si>
  <si>
    <t>INE571A01020</t>
  </si>
  <si>
    <t>IPCA Laboratories Ltd</t>
  </si>
  <si>
    <t>INE548C01032</t>
  </si>
  <si>
    <t>Emami Ltd</t>
  </si>
  <si>
    <t>INE883A01011</t>
  </si>
  <si>
    <t>MRF Ltd</t>
  </si>
  <si>
    <t>INE203G01027</t>
  </si>
  <si>
    <t>Indraprastha Gas Ltd</t>
  </si>
  <si>
    <t>INE200M01013</t>
  </si>
  <si>
    <t>Varun Beverages Ltd</t>
  </si>
  <si>
    <t>INE115A01026</t>
  </si>
  <si>
    <t>LIC Housing Finance Ltd</t>
  </si>
  <si>
    <t>INE299U01018</t>
  </si>
  <si>
    <t>Crompton Greaves Consumer Electricals Ltd</t>
  </si>
  <si>
    <t>INE111A01025</t>
  </si>
  <si>
    <t>Container Corporation of India Ltd</t>
  </si>
  <si>
    <t>INE849A01020</t>
  </si>
  <si>
    <t>Trent Ltd</t>
  </si>
  <si>
    <t>INE491A01021</t>
  </si>
  <si>
    <t>City Union Bank Ltd</t>
  </si>
  <si>
    <t>INE068V01023</t>
  </si>
  <si>
    <t>Gland Pharma Ltd</t>
  </si>
  <si>
    <t>INE092T01019</t>
  </si>
  <si>
    <t>IDFC First Bank Ltd</t>
  </si>
  <si>
    <t>INE647A01010</t>
  </si>
  <si>
    <t>SRF Ltd</t>
  </si>
  <si>
    <t>INE749A01030</t>
  </si>
  <si>
    <t>Jindal Steel &amp; Power Ltd</t>
  </si>
  <si>
    <t>INE028A01039</t>
  </si>
  <si>
    <t>Bank of Baroda</t>
  </si>
  <si>
    <t>INE763G01038</t>
  </si>
  <si>
    <t>ICICI Securities Ltd</t>
  </si>
  <si>
    <t>INE263A01024</t>
  </si>
  <si>
    <t>Bharat Electronics Ltd</t>
  </si>
  <si>
    <t>INE769A01020</t>
  </si>
  <si>
    <t>Aarti Industries Ltd</t>
  </si>
  <si>
    <t>INE169A01031</t>
  </si>
  <si>
    <t>Coromandel International Ltd</t>
  </si>
  <si>
    <t>Fertilisers</t>
  </si>
  <si>
    <t>INE935N01020</t>
  </si>
  <si>
    <t>Dixon Technologies (India) Ltd</t>
  </si>
  <si>
    <t>INE465A01025</t>
  </si>
  <si>
    <t>Bharat Forge Ltd</t>
  </si>
  <si>
    <t>INE716A01013</t>
  </si>
  <si>
    <t>Whirlpool of India Ltd</t>
  </si>
  <si>
    <t>INE774D01024</t>
  </si>
  <si>
    <t>Mahindra &amp; Mahindra Financial Services Ltd</t>
  </si>
  <si>
    <t>INE860A01027</t>
  </si>
  <si>
    <t>HCL Technologies Ltd</t>
  </si>
  <si>
    <t>INE256A01028</t>
  </si>
  <si>
    <t>Zee Entertainment Enterprises Ltd</t>
  </si>
  <si>
    <t>INE238A01034</t>
  </si>
  <si>
    <t>Axis Bank Ltd</t>
  </si>
  <si>
    <t>INE010V01017</t>
  </si>
  <si>
    <t>L&amp;T Technology Services Ltd</t>
  </si>
  <si>
    <t>INE335Y01012</t>
  </si>
  <si>
    <t>Indian Railway Catering &amp; Tourism Corporation Ltd</t>
  </si>
  <si>
    <t>INE192A01025</t>
  </si>
  <si>
    <t>TATA Consumer Products Ltd</t>
  </si>
  <si>
    <t>INE885A01032</t>
  </si>
  <si>
    <t>Amar Raja Batteries Ltd</t>
  </si>
  <si>
    <t>INE303R01014</t>
  </si>
  <si>
    <t>Kalyan Jewellers India Ltd</t>
  </si>
  <si>
    <t>INE484J01027</t>
  </si>
  <si>
    <t>Godrej Properties Ltd</t>
  </si>
  <si>
    <t>INE216P01012</t>
  </si>
  <si>
    <t>Aavas Financiers Ltd</t>
  </si>
  <si>
    <t>INE356A01018</t>
  </si>
  <si>
    <t>MphasiS Ltd</t>
  </si>
  <si>
    <t>INE918I01018</t>
  </si>
  <si>
    <t>Bajaj Finserv Ltd</t>
  </si>
  <si>
    <t>INE285J01028</t>
  </si>
  <si>
    <t>SIS Ltd</t>
  </si>
  <si>
    <t>Commercial Services</t>
  </si>
  <si>
    <t>INE342J01019</t>
  </si>
  <si>
    <t>Wabco India Ltd</t>
  </si>
  <si>
    <t>IN9647O01027</t>
  </si>
  <si>
    <t>Aditya Birla Fashion and Retail Ltd</t>
  </si>
  <si>
    <t>Institutional Plan - Growth</t>
  </si>
  <si>
    <t>Sundaram Multi Cap Fund Series I</t>
  </si>
  <si>
    <t>INE009A01021</t>
  </si>
  <si>
    <t>Infosys Ltd</t>
  </si>
  <si>
    <t>INE001A01036</t>
  </si>
  <si>
    <t>Housing Development Finance Corporation Ltd</t>
  </si>
  <si>
    <t>INE062A01020</t>
  </si>
  <si>
    <t>State Bank of India</t>
  </si>
  <si>
    <t>INE123W01016</t>
  </si>
  <si>
    <t>SBI Life Insurance Company Ltd</t>
  </si>
  <si>
    <t>INE101A01026</t>
  </si>
  <si>
    <t>Mahindra &amp; Mahindra Ltd</t>
  </si>
  <si>
    <t>INE406A01037</t>
  </si>
  <si>
    <t>Aurobindo Pharma Ltd</t>
  </si>
  <si>
    <t>INE075A01022</t>
  </si>
  <si>
    <t>Wipro Ltd</t>
  </si>
  <si>
    <t>INE467B01029</t>
  </si>
  <si>
    <t>Tata Consultancy Services Ltd</t>
  </si>
  <si>
    <t>INE044A01036</t>
  </si>
  <si>
    <t>Sun Pharmaceutical Industries Ltd</t>
  </si>
  <si>
    <t>INE081A01012</t>
  </si>
  <si>
    <t>Tata Steel Ltd</t>
  </si>
  <si>
    <t>INE030A01027</t>
  </si>
  <si>
    <t>Hindustan UniLever Ltd</t>
  </si>
  <si>
    <t>INE361B01024</t>
  </si>
  <si>
    <t>Divi's Laboratories Ltd</t>
  </si>
  <si>
    <t>INE765G01017</t>
  </si>
  <si>
    <t>ICICI Lombard General Insurance Company Ltd</t>
  </si>
  <si>
    <t>INE154A01025</t>
  </si>
  <si>
    <t>ITC Ltd</t>
  </si>
  <si>
    <t>INE466L01020</t>
  </si>
  <si>
    <t>IIFL Wealth Management Ltd</t>
  </si>
  <si>
    <t>INE237A01028</t>
  </si>
  <si>
    <t>Kotak Mahindra Bank Ltd</t>
  </si>
  <si>
    <t>INE038A01020</t>
  </si>
  <si>
    <t>Hindalco Industries Ltd</t>
  </si>
  <si>
    <t>Non - Ferrous Metals</t>
  </si>
  <si>
    <t>INE494B01023</t>
  </si>
  <si>
    <t>TVS Motor Company Ltd</t>
  </si>
  <si>
    <t>Sundaram Multi Cap Fund -Series II</t>
  </si>
  <si>
    <t>Sundaram Large and Mid Cap Fund</t>
  </si>
  <si>
    <t>INE006I01046</t>
  </si>
  <si>
    <t>Astral Ltd</t>
  </si>
  <si>
    <t>INE059A01026</t>
  </si>
  <si>
    <t>Cipla Ltd</t>
  </si>
  <si>
    <t>INE149A01033</t>
  </si>
  <si>
    <t>Cholamandalam Financial Holdings Ltd</t>
  </si>
  <si>
    <t>INE089A01023</t>
  </si>
  <si>
    <t>Dr. Reddy's Laboratories Ltd</t>
  </si>
  <si>
    <t>Sundaram Emerging Small Cap Series I</t>
  </si>
  <si>
    <t>INE142Z01019</t>
  </si>
  <si>
    <t>Orient Electric Ltd</t>
  </si>
  <si>
    <t>INE717A01029</t>
  </si>
  <si>
    <t>Kennametal India Ltd</t>
  </si>
  <si>
    <t>INE688A01022</t>
  </si>
  <si>
    <t>Transport Corporation of India Ltd</t>
  </si>
  <si>
    <t>INE896L01010</t>
  </si>
  <si>
    <t>Indostar Capital Finance Ltd</t>
  </si>
  <si>
    <t>INE472A01039</t>
  </si>
  <si>
    <t>Blue Star Ltd</t>
  </si>
  <si>
    <t>INE778U01029</t>
  </si>
  <si>
    <t>TCNS Clothing Co. Ltd</t>
  </si>
  <si>
    <t>INE120A01034</t>
  </si>
  <si>
    <t>Carborundum Universal Ltd</t>
  </si>
  <si>
    <t>INE489L01022</t>
  </si>
  <si>
    <t>IIFL Securities Ltd</t>
  </si>
  <si>
    <t>INE741K01010</t>
  </si>
  <si>
    <t>Creditaccess Grameen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</si>
  <si>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</si>
  <si>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</si>
  <si>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</si>
  <si>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</si>
  <si>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</si>
  <si>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</si>
  <si>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</si>
  <si>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</si>
  <si>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INE287B01021</t>
  </si>
  <si>
    <t>Subros Ltd</t>
  </si>
  <si>
    <t>INE517F01014</t>
  </si>
  <si>
    <t>Gujarat Pipavav Port Ltd</t>
  </si>
  <si>
    <t>INE058A01010</t>
  </si>
  <si>
    <t>Sanofi India Ltd</t>
  </si>
  <si>
    <t>INE182A01018</t>
  </si>
  <si>
    <t>Pfizer Ltd</t>
  </si>
  <si>
    <t>INE172A01027</t>
  </si>
  <si>
    <t>Castrol India Ltd</t>
  </si>
  <si>
    <t>INE854D01024</t>
  </si>
  <si>
    <t>United Spirits Ltd</t>
  </si>
  <si>
    <t>INE686A01026</t>
  </si>
  <si>
    <t>ITD Cementation India Ltd</t>
  </si>
  <si>
    <t>INE179A01014</t>
  </si>
  <si>
    <t>Procter &amp; Gamble Hygiene and Health Care Ltd</t>
  </si>
  <si>
    <t>Sundaram Select Focus</t>
  </si>
  <si>
    <t>INE775A01035</t>
  </si>
  <si>
    <t>Motherson Sumi Systems Ltd</t>
  </si>
  <si>
    <t>INE585B01010</t>
  </si>
  <si>
    <t>Maruti Suzuki India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</si>
  <si>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</si>
  <si>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</si>
  <si>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</si>
  <si>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</si>
  <si>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</si>
  <si>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INE155A01022</t>
  </si>
  <si>
    <t>Tata Motors Ltd</t>
  </si>
  <si>
    <t>INE647O01011</t>
  </si>
  <si>
    <t>INE280A01028</t>
  </si>
  <si>
    <t>Titan Company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</si>
  <si>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</si>
  <si>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</si>
  <si>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</si>
  <si>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</si>
  <si>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</si>
  <si>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Select Small Cap Series V</t>
  </si>
  <si>
    <t>INE003A01024</t>
  </si>
  <si>
    <t>Siemens Ltd</t>
  </si>
  <si>
    <t>INE214T01019</t>
  </si>
  <si>
    <t>Larsen &amp; Toubro Infotech Ltd</t>
  </si>
  <si>
    <t>INE498L01015</t>
  </si>
  <si>
    <t>L&amp;T Finance Holdings Ltd</t>
  </si>
  <si>
    <t>INE787D01026</t>
  </si>
  <si>
    <t>Balkrishna Industries Ltd</t>
  </si>
  <si>
    <t>Sundaram Select Small Cap Series VI</t>
  </si>
  <si>
    <t>INE951I01027</t>
  </si>
  <si>
    <t>V-Guard Industries Ltd</t>
  </si>
  <si>
    <t>INE470A01017</t>
  </si>
  <si>
    <t>3M India Ltd</t>
  </si>
  <si>
    <t>INE780C01023</t>
  </si>
  <si>
    <t>JM Financial Ltd</t>
  </si>
  <si>
    <t>Sundaram Small Cap Fund</t>
  </si>
  <si>
    <t>INE098F01031</t>
  </si>
  <si>
    <t>Amrutanjan Health Care Ltd</t>
  </si>
  <si>
    <t>INE679A01013</t>
  </si>
  <si>
    <t>CSB Bank Ltd</t>
  </si>
  <si>
    <t>INE295F01017</t>
  </si>
  <si>
    <t>Butterfly Gandhimathi Appliances Ltd</t>
  </si>
  <si>
    <t>INE085A01013</t>
  </si>
  <si>
    <t>Chambal Fertilizers &amp; Chemicals Ltd</t>
  </si>
  <si>
    <t>INE199A01012</t>
  </si>
  <si>
    <t>Procter &amp; Gamble Health Ltd</t>
  </si>
  <si>
    <t>INE599M01018</t>
  </si>
  <si>
    <t>Just Dial Ltd</t>
  </si>
  <si>
    <t>INE119A01028</t>
  </si>
  <si>
    <t>Balrampur Chini Mills Ltd</t>
  </si>
  <si>
    <t>INE389H01022</t>
  </si>
  <si>
    <t>KEC International Ltd</t>
  </si>
  <si>
    <t>INE126A01031</t>
  </si>
  <si>
    <t>EID Parry India Ltd</t>
  </si>
  <si>
    <t>INE136S01016</t>
  </si>
  <si>
    <t>Neogen Chemicals Ltd</t>
  </si>
  <si>
    <t>INE217B01036</t>
  </si>
  <si>
    <t>Kajaria Ceramics Ltd</t>
  </si>
  <si>
    <t>INE930P01018</t>
  </si>
  <si>
    <t>Anupam Rasayan India Ltd</t>
  </si>
  <si>
    <t>INE03QK01018</t>
  </si>
  <si>
    <t>Suven Pharmaceuticals Ltd</t>
  </si>
  <si>
    <t>INE177F01017</t>
  </si>
  <si>
    <t>Kovai Medical Center &amp; Hospital Ltd</t>
  </si>
  <si>
    <t>INE836A01035</t>
  </si>
  <si>
    <t>Birlasoft Ltd</t>
  </si>
  <si>
    <t>INE702C01027</t>
  </si>
  <si>
    <t>APL Apollo Tubes Ltd</t>
  </si>
  <si>
    <t>INE614A01028</t>
  </si>
  <si>
    <t>Ramco Industries Ltd</t>
  </si>
  <si>
    <t>INE562A01011</t>
  </si>
  <si>
    <t>Indian Bank</t>
  </si>
  <si>
    <t>INE743M01012</t>
  </si>
  <si>
    <t>Orient Refractories Ltd</t>
  </si>
  <si>
    <t>INE596I01012</t>
  </si>
  <si>
    <t>Computer Age Management Services Ltd</t>
  </si>
  <si>
    <t>INE418L01021</t>
  </si>
  <si>
    <t>Nazara Technologies Ltd</t>
  </si>
  <si>
    <t>Sundaram Rural and Consumption Fund</t>
  </si>
  <si>
    <t>INE021A01026</t>
  </si>
  <si>
    <t>Asian Paints Ltd</t>
  </si>
  <si>
    <t>INE690A01010</t>
  </si>
  <si>
    <t>TTK Prestige Ltd</t>
  </si>
  <si>
    <t>INE296A01024</t>
  </si>
  <si>
    <t>Bajaj Finance Ltd</t>
  </si>
  <si>
    <t>INE544R01013</t>
  </si>
  <si>
    <t>Greenlam Industries Ltd</t>
  </si>
  <si>
    <t>INE239A01016</t>
  </si>
  <si>
    <t>Nestle India Ltd</t>
  </si>
  <si>
    <t>INE176A01028</t>
  </si>
  <si>
    <t>Bata India Ltd</t>
  </si>
  <si>
    <t>INE917I01010</t>
  </si>
  <si>
    <t>Bajaj Auto Ltd</t>
  </si>
  <si>
    <t>Sundaram Services Fund</t>
  </si>
  <si>
    <t>INE07T201019</t>
  </si>
  <si>
    <t>Burger King India Ltd</t>
  </si>
  <si>
    <t>INE933S01016</t>
  </si>
  <si>
    <t>Indiamart Intermesh Ltd</t>
  </si>
  <si>
    <t>INE112L01020</t>
  </si>
  <si>
    <t>Metropolis Healthcare Ltd</t>
  </si>
  <si>
    <t>INE795G01014</t>
  </si>
  <si>
    <t>HDFC Life Insurance Company Ltd</t>
  </si>
  <si>
    <t>INE094J01016</t>
  </si>
  <si>
    <t>UTI Asset Management Co Ltd</t>
  </si>
  <si>
    <t>INE663F01024</t>
  </si>
  <si>
    <t>Info Edge (India) Ltd</t>
  </si>
  <si>
    <t>INE670A01012</t>
  </si>
  <si>
    <t>Tata Elxsi Ltd</t>
  </si>
  <si>
    <t>INE192R01011</t>
  </si>
  <si>
    <t>Avenue Supermarts Ltd</t>
  </si>
  <si>
    <t>Sundaram Smart NIFTY 100 Equal Weight Fund</t>
  </si>
  <si>
    <t>INE931S01010</t>
  </si>
  <si>
    <t>Adani Transmission Ltd</t>
  </si>
  <si>
    <t>INE019A01038</t>
  </si>
  <si>
    <t>JSW Steel Ltd</t>
  </si>
  <si>
    <t>INE010B01027</t>
  </si>
  <si>
    <t>Cadila Healthcare Ltd</t>
  </si>
  <si>
    <t>INE584A01023</t>
  </si>
  <si>
    <t>NMDC Ltd</t>
  </si>
  <si>
    <t>Minerals/Mining</t>
  </si>
  <si>
    <t>INE423A01024</t>
  </si>
  <si>
    <t>Adani Enterprises</t>
  </si>
  <si>
    <t>INE726G01019</t>
  </si>
  <si>
    <t>ICICI Prudential Life Insurance Company Ltd</t>
  </si>
  <si>
    <t>INE102D01028</t>
  </si>
  <si>
    <t>Godrej Consumer Products Ltd</t>
  </si>
  <si>
    <t>INE205A01025</t>
  </si>
  <si>
    <t>Vedanta Ltd</t>
  </si>
  <si>
    <t>INE094A01015</t>
  </si>
  <si>
    <t>Hindustan Petroleum Corporation Ltd</t>
  </si>
  <si>
    <t>INE326A01037</t>
  </si>
  <si>
    <t>Lupin Ltd</t>
  </si>
  <si>
    <t>INE196A01026</t>
  </si>
  <si>
    <t>Marico Ltd</t>
  </si>
  <si>
    <t>INE242A01010</t>
  </si>
  <si>
    <t>Indian Oil Corporation Ltd</t>
  </si>
  <si>
    <t>INE160A01022</t>
  </si>
  <si>
    <t>Punjab National Bank</t>
  </si>
  <si>
    <t>INE318A01026</t>
  </si>
  <si>
    <t>Pidilite Industries Ltd</t>
  </si>
  <si>
    <t>INE522F01014</t>
  </si>
  <si>
    <t>Coal India Ltd</t>
  </si>
  <si>
    <t>INE018E01016</t>
  </si>
  <si>
    <t>SBI Cards and Payment Services Ltd</t>
  </si>
  <si>
    <t>INE540L01014</t>
  </si>
  <si>
    <t>Alkem Laboratories Ltd</t>
  </si>
  <si>
    <t>INE259A01022</t>
  </si>
  <si>
    <t>Colgate Palmolive (India) Ltd</t>
  </si>
  <si>
    <t>INE685A01028</t>
  </si>
  <si>
    <t>Torrent Pharmaceuticals Ltd</t>
  </si>
  <si>
    <t>INE079A01024</t>
  </si>
  <si>
    <t>Ambuja Cements Ltd</t>
  </si>
  <si>
    <t>INE323A01026</t>
  </si>
  <si>
    <t>Bosch Ltd</t>
  </si>
  <si>
    <t>INE414G01012</t>
  </si>
  <si>
    <t>Muthoot Finance Ltd</t>
  </si>
  <si>
    <t>INE463A01038</t>
  </si>
  <si>
    <t>Berger Paints (I) Ltd</t>
  </si>
  <si>
    <t>INE118A01012</t>
  </si>
  <si>
    <t>Bajaj Holdings &amp; Investment Ltd</t>
  </si>
  <si>
    <t>INE047A01021</t>
  </si>
  <si>
    <t>Grasim Industries Ltd</t>
  </si>
  <si>
    <t>INE012A01025</t>
  </si>
  <si>
    <t>ACC Ltd</t>
  </si>
  <si>
    <t>INE733E01010</t>
  </si>
  <si>
    <t>NTPC Ltd</t>
  </si>
  <si>
    <t>INE358A01014</t>
  </si>
  <si>
    <t>Abbott India Ltd</t>
  </si>
  <si>
    <t>INE646L01027</t>
  </si>
  <si>
    <t>Interglobe Aviation Ltd</t>
  </si>
  <si>
    <t>INE127D01025</t>
  </si>
  <si>
    <t>HDFC Asset Management Company Ltd</t>
  </si>
  <si>
    <t>INE095A01012</t>
  </si>
  <si>
    <t>IndusInd Bank Ltd</t>
  </si>
  <si>
    <t>INE669C01036</t>
  </si>
  <si>
    <t>Tech Mahindra Ltd</t>
  </si>
  <si>
    <t>INE364U01010</t>
  </si>
  <si>
    <t>Adani Green Energy Ltd</t>
  </si>
  <si>
    <t>INE016A01026</t>
  </si>
  <si>
    <t>Dabur India Ltd</t>
  </si>
  <si>
    <t>INE752E01010</t>
  </si>
  <si>
    <t>Power Grid Corporation of India Ltd</t>
  </si>
  <si>
    <t>INE271C01023</t>
  </si>
  <si>
    <t>DLF Ltd</t>
  </si>
  <si>
    <t>INE066A01021</t>
  </si>
  <si>
    <t>Eicher Motors Ltd</t>
  </si>
  <si>
    <t>INE686F01025</t>
  </si>
  <si>
    <t>United Breweries Ltd</t>
  </si>
  <si>
    <t>INE158A01026</t>
  </si>
  <si>
    <t>Hero MotoCorp Ltd</t>
  </si>
  <si>
    <t>INE140A01024</t>
  </si>
  <si>
    <t>Piramal Enterprises Ltd</t>
  </si>
  <si>
    <t>INE070A01015</t>
  </si>
  <si>
    <t>Shree Cement Ltd</t>
  </si>
  <si>
    <t>INE176B01034</t>
  </si>
  <si>
    <t>Havells India Ltd</t>
  </si>
  <si>
    <t>INE121J01017</t>
  </si>
  <si>
    <t>Indus Towers Ltd (Prev Bharti Infratel Ltd)</t>
  </si>
  <si>
    <t>INE216A01030</t>
  </si>
  <si>
    <t>Britannia Industries Ltd</t>
  </si>
  <si>
    <t>INE376G01013</t>
  </si>
  <si>
    <t>Biocon Ltd</t>
  </si>
  <si>
    <t>INE528G01035</t>
  </si>
  <si>
    <t>Yes Bank Ltd</t>
  </si>
  <si>
    <t>INE545U01014</t>
  </si>
  <si>
    <t>Bandhan Bank Ltd</t>
  </si>
  <si>
    <t>Sundaram Diversified Equity</t>
  </si>
  <si>
    <t>Sundaram Arbitrage Fund</t>
  </si>
  <si>
    <t>INE476A01014</t>
  </si>
  <si>
    <t>Canara Bank</t>
  </si>
  <si>
    <t>Stock Future</t>
  </si>
  <si>
    <t>INF903J01QF2</t>
  </si>
  <si>
    <t>Margin Money For Derivatives</t>
  </si>
  <si>
    <t>Sundaram Bluechip Fund</t>
  </si>
  <si>
    <t>INE721A01013</t>
  </si>
  <si>
    <t>Shriram Transport Finance Company Ltd</t>
  </si>
  <si>
    <t>Sundaram Equity Fund</t>
  </si>
  <si>
    <t>INE269B01029</t>
  </si>
  <si>
    <t>Lakshmi Machine Works Ltd</t>
  </si>
  <si>
    <t>INE944F01028</t>
  </si>
  <si>
    <t>Radico Khaitan Ltd</t>
  </si>
  <si>
    <t>INE093I01010</t>
  </si>
  <si>
    <t>Oberoi Realty Ltd</t>
  </si>
  <si>
    <t>Sundaram Equity Savings Fund</t>
  </si>
  <si>
    <t>Index Future</t>
  </si>
  <si>
    <t>INE020B08BF0</t>
  </si>
  <si>
    <t>REC Ltd - 8.45% - 22/03/2022**</t>
  </si>
  <si>
    <t xml:space="preserve"> CRISIL AAA </t>
  </si>
  <si>
    <t>INE001A07RS3</t>
  </si>
  <si>
    <t>Housing Development Finance Corporation Ltd - 8.58% - 18/03/2022**</t>
  </si>
  <si>
    <t>INE020B08AT3</t>
  </si>
  <si>
    <t>REC Ltd - 7.99% - 23/02/2023**</t>
  </si>
  <si>
    <t>IN0020180488</t>
  </si>
  <si>
    <t>Sovereign</t>
  </si>
  <si>
    <t>** Thinly traded / Non Traded Securities</t>
  </si>
  <si>
    <t>Sundaram Financial Services Opportunities Fund</t>
  </si>
  <si>
    <t>INE674K01013</t>
  </si>
  <si>
    <t>Aditya Birla Capital Ltd</t>
  </si>
  <si>
    <t>Sundaram Value Fund Series X</t>
  </si>
  <si>
    <t>INE825A01012</t>
  </si>
  <si>
    <t>Vardhman Textiles Ltd</t>
  </si>
  <si>
    <t>INE008A01015</t>
  </si>
  <si>
    <t>IDBI Bank Ltd</t>
  </si>
  <si>
    <t>INE334L01012</t>
  </si>
  <si>
    <t>Ujjivan Financial Services Ltd</t>
  </si>
  <si>
    <t>Sundaram Value Fund Series VII</t>
  </si>
  <si>
    <t>INE805C01028</t>
  </si>
  <si>
    <t>KCP Ltd</t>
  </si>
  <si>
    <t>INE026A01025</t>
  </si>
  <si>
    <t>Gujarat State Fertilizers &amp; Chemicals Ltd</t>
  </si>
  <si>
    <t>INE722A01011</t>
  </si>
  <si>
    <t>Shriram City Union Finance Ltd</t>
  </si>
  <si>
    <t>INE807K01035</t>
  </si>
  <si>
    <t>S Chand and Company Ltd</t>
  </si>
  <si>
    <t>INE036D01028</t>
  </si>
  <si>
    <t>Karur Vysya Bank Ltd</t>
  </si>
  <si>
    <t>Sundaram Value Fund Series IX</t>
  </si>
  <si>
    <t>Sundaram Balanced Advantage Fund</t>
  </si>
  <si>
    <t>INE261F08CA0</t>
  </si>
  <si>
    <t>National Bank for Agricultural &amp; Rural Development - 6.4% - 31/07/2023**</t>
  </si>
  <si>
    <t>INE115A07OH1</t>
  </si>
  <si>
    <t>LIC Housing Finance Ltd - 7.6% - 22/11/2022**</t>
  </si>
  <si>
    <t>INE020B08CN2</t>
  </si>
  <si>
    <t>REC Ltd - 6.8% - 30/06/2023**</t>
  </si>
  <si>
    <t>INE261F08BW6</t>
  </si>
  <si>
    <t>National Bank for Agricultural &amp; Rural Development - 6.72% - 14/04/2023**</t>
  </si>
  <si>
    <t>INE001A07SH4</t>
  </si>
  <si>
    <t>Housing Development Finance Corporation Ltd - 6.99% - 13/02/2023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</si>
  <si>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</si>
  <si>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</si>
  <si>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</si>
  <si>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</si>
  <si>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</si>
  <si>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</si>
  <si>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</si>
  <si>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</si>
  <si>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</si>
  <si>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</si>
  <si>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</si>
  <si>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</si>
  <si>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INE134E08IN2</t>
  </si>
  <si>
    <t>Power Finance Corporation Ltd - 7.27% - 22/12/2021**</t>
  </si>
  <si>
    <t>INE261F08AL1</t>
  </si>
  <si>
    <t>National Bank for Agricultural &amp; Rural Development - 8.39% - 19/07/2021**</t>
  </si>
  <si>
    <t>IN0020200021</t>
  </si>
  <si>
    <t>5.09% Central Government Securities 13/04/2022</t>
  </si>
  <si>
    <t>INE115A14DA5</t>
  </si>
  <si>
    <t>LIC Housing Finance Ltd - 14/02/2022**</t>
  </si>
  <si>
    <t xml:space="preserve"> CRISIL A1+ </t>
  </si>
  <si>
    <t>Cash and Other Net Current Assets^</t>
  </si>
  <si>
    <t>**Non Traded Securities</t>
  </si>
  <si>
    <t>^ Net current assets includes interest accrued on fixed income securities</t>
  </si>
  <si>
    <t>-</t>
  </si>
  <si>
    <t>i) Repo in corporate debt</t>
  </si>
  <si>
    <t>Portfolio Turnover Ratio</t>
  </si>
  <si>
    <t>Sundaram Equity Hybrid Fund</t>
  </si>
  <si>
    <t>INE001A07SD3</t>
  </si>
  <si>
    <t>Housing Development Finance Corporation Ltd - 7.21% - 30/12/2022</t>
  </si>
  <si>
    <t>INE134E08KO6</t>
  </si>
  <si>
    <t>Power Finance Corporation Ltd - 6.83% - 24/04/2023**</t>
  </si>
  <si>
    <t>INE062A08157</t>
  </si>
  <si>
    <t xml:space="preserve"> CRISIL AA+ </t>
  </si>
  <si>
    <t>INE020B08DR1</t>
  </si>
  <si>
    <t>REC Ltd - 5.74% - 20/06/2024</t>
  </si>
  <si>
    <t>INE261F08CS2</t>
  </si>
  <si>
    <t>National Bank for Agricultural &amp; Rural Development - 4.6% - 29/07/2022**</t>
  </si>
  <si>
    <t>INE040A08377</t>
  </si>
  <si>
    <t>INE062A08140</t>
  </si>
  <si>
    <t>INE514E08FL5</t>
  </si>
  <si>
    <t>INE028A08158</t>
  </si>
  <si>
    <t>Bank of Baroda - 8.55% - 14/02/2029**</t>
  </si>
  <si>
    <t xml:space="preserve"> IND AAA </t>
  </si>
  <si>
    <t>INE557F08FG1</t>
  </si>
  <si>
    <t>National Housing Bank  - 7.05% - 18/12/2024**</t>
  </si>
  <si>
    <t>INE028A08117</t>
  </si>
  <si>
    <t>INE115A07PE5</t>
  </si>
  <si>
    <t>LIC Housing Finance Ltd - 4.545% - 28/03/2022**</t>
  </si>
  <si>
    <t xml:space="preserve"> CARE AAA 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</si>
  <si>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</si>
  <si>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</si>
  <si>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</si>
  <si>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</si>
  <si>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INE115A07OJ7</t>
  </si>
  <si>
    <t>LIC Housing Finance Ltd - 7.445% - 13/01/2023**</t>
  </si>
  <si>
    <t>INE090A08TW2</t>
  </si>
  <si>
    <t>INE238A08443</t>
  </si>
  <si>
    <t>INE020B08641</t>
  </si>
  <si>
    <t>REC Ltd - 9.75% - 11/11/2021**</t>
  </si>
  <si>
    <t>INE001A07SC5</t>
  </si>
  <si>
    <t>Housing Development Finance Corporation Ltd - 6.99% - 25/11/2021**</t>
  </si>
  <si>
    <t>INE528G08246</t>
  </si>
  <si>
    <t>Yes Bank Ltd - 9.9% - 31/10/2022**</t>
  </si>
  <si>
    <t>INE895D07487</t>
  </si>
  <si>
    <t>Tata Sons Pvt Ltd - 9.3% - 19/06/2024**</t>
  </si>
  <si>
    <t>IN0020130012</t>
  </si>
  <si>
    <t>IN002021Y080</t>
  </si>
  <si>
    <t>182 Days - T Bill - 25112021</t>
  </si>
  <si>
    <t>Individual &amp; HUF</t>
  </si>
  <si>
    <t>Others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</si>
  <si>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</si>
  <si>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</si>
  <si>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</si>
  <si>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</si>
  <si>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</si>
  <si>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</si>
  <si>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</si>
  <si>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</si>
  <si>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</si>
  <si>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</si>
  <si>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</si>
  <si>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</si>
  <si>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</si>
  <si>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</si>
  <si>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</si>
  <si>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</si>
  <si>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</si>
  <si>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</si>
  <si>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</si>
  <si>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</si>
  <si>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</si>
  <si>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SFOCUS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</si>
  <si>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</si>
  <si>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</si>
  <si>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</si>
  <si>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</si>
  <si>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</si>
  <si>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</si>
  <si>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</si>
  <si>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</si>
  <si>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</si>
  <si>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</si>
  <si>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</si>
  <si>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</si>
  <si>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SMALL5</t>
  </si>
  <si>
    <t>SMALL6</t>
  </si>
  <si>
    <t>SMILE</t>
  </si>
  <si>
    <t>SRURAL</t>
  </si>
  <si>
    <t>Sundaram Rural And Consumption Fund</t>
  </si>
  <si>
    <t>SSFUND</t>
  </si>
  <si>
    <t>Sundaram Service Fund</t>
  </si>
  <si>
    <t>SSN100</t>
  </si>
  <si>
    <t>Sundaram Smart Nifty 100 Equity Weight Fund</t>
  </si>
  <si>
    <t>STAX</t>
  </si>
  <si>
    <t>SUNARF</t>
  </si>
  <si>
    <t>SUNBAF</t>
  </si>
  <si>
    <t>SUNBAL</t>
  </si>
  <si>
    <t>SUNBCF</t>
  </si>
  <si>
    <t>SUNEQF</t>
  </si>
  <si>
    <t>SUNESF</t>
  </si>
  <si>
    <t>SUNFOP</t>
  </si>
  <si>
    <t>SUNVALF10</t>
  </si>
  <si>
    <t>SUNVALF7</t>
  </si>
  <si>
    <t>SUNVALF9</t>
  </si>
  <si>
    <t>GLOB</t>
  </si>
  <si>
    <t>Sundaram Global Brand Fund</t>
  </si>
  <si>
    <t>ANNEXURE - B 
SECURITIES CLASSIFIED AS BELOW INVESTMENT GRADE OR DEFAULT</t>
  </si>
  <si>
    <t>SCHEME: SUNDARAM EQUITY HYBRID FUND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</si>
  <si>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</si>
  <si>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</si>
  <si>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</si>
  <si>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</si>
  <si>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</si>
  <si>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</si>
  <si>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</si>
  <si>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</si>
  <si>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</si>
  <si>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</si>
  <si>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</si>
  <si>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</si>
  <si>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SUNDARAM GLOBAL BRAND FUND</t>
  </si>
  <si>
    <t>Monthly Portfolio Statement for the period ended 31 May 2021</t>
  </si>
  <si>
    <t>S.NO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</si>
  <si>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</si>
  <si>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</si>
  <si>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</si>
  <si>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</si>
  <si>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</si>
  <si>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</si>
  <si>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</si>
  <si>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</si>
  <si>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</si>
  <si>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</si>
  <si>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Cash and Other Net Curent Assets</t>
  </si>
  <si>
    <t>a) Total securities below investment grade or default  - Nil</t>
  </si>
  <si>
    <t>b) Total value and percentage of illiquid equity shares - Nil</t>
  </si>
  <si>
    <t xml:space="preserve"> </t>
  </si>
  <si>
    <t>Options</t>
  </si>
  <si>
    <t>Direct Plan - IDCW ^^</t>
  </si>
  <si>
    <t>Regular Plan - IDCW ^^</t>
  </si>
  <si>
    <t>^^ IDCW means Income distribution cum capital withdrawal (Payout/Reinvestment/Transfer)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</si>
  <si>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</si>
  <si>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</si>
  <si>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6,722.14 lacs</t>
  </si>
  <si>
    <t>g) Repo in Corporate Debt - Nil</t>
  </si>
  <si>
    <t>Interest not accrued upto 31/05/2021 from the default date (Rs. in Lacs)</t>
  </si>
  <si>
    <t>% to AUM as on 31.05.2021</t>
  </si>
  <si>
    <t>Andhra Paper Ltd</t>
  </si>
  <si>
    <t>Axis Bank Ltd June 2021</t>
  </si>
  <si>
    <t>Pidilite Industries Ltd June 2021</t>
  </si>
  <si>
    <t>Federal Bank June 2021</t>
  </si>
  <si>
    <t>Bajaj Auto Ltd June 2021</t>
  </si>
  <si>
    <t>Reliance Industries Ltd June 2021</t>
  </si>
  <si>
    <t>TATA Consumer Products Ltd June 2021</t>
  </si>
  <si>
    <t>Tata Motors Ltd June 2021</t>
  </si>
  <si>
    <t>Bharti Airtel Ltd June 2021</t>
  </si>
  <si>
    <t>Jindal Steel &amp; Power Ltd June 2021</t>
  </si>
  <si>
    <t>United Spirits Ltd June 2021</t>
  </si>
  <si>
    <t>Tech Mahindra Ltd June 2021</t>
  </si>
  <si>
    <t>ICICI Bank Ltd June 2021</t>
  </si>
  <si>
    <t>Housing Development Fin Corp Ltd June 2021</t>
  </si>
  <si>
    <t>Hindustan Unilever Ltd June 2021</t>
  </si>
  <si>
    <t>Vedanta Ltd June 2021</t>
  </si>
  <si>
    <t>Kotak Mahindra Bank Ltd June 2021</t>
  </si>
  <si>
    <t>Adani Ports &amp; SEZ Ltd June 2021</t>
  </si>
  <si>
    <t>Larsen &amp; Toubro Ltd June 2021</t>
  </si>
  <si>
    <t>Punjab National Bank June 2021</t>
  </si>
  <si>
    <t>HDFC Life Insurance Company Ltd June 2021</t>
  </si>
  <si>
    <t>Dr.Reddys Laboratories Ltd June 2021</t>
  </si>
  <si>
    <t>TATA Consultancy Services Ltd June 2021</t>
  </si>
  <si>
    <t>State Bank of India June 2021</t>
  </si>
  <si>
    <t>Steel Authority of India Ltd June 2021</t>
  </si>
  <si>
    <t>Marico Ltd June 2021</t>
  </si>
  <si>
    <t>Nifty June 2021</t>
  </si>
  <si>
    <t>Bharat Petroleum Corporation Ltd June 2021</t>
  </si>
  <si>
    <t>ITC Ltd June 2021</t>
  </si>
  <si>
    <t>Bank of Baroda June 2021</t>
  </si>
  <si>
    <t>Canara Bank June 2021</t>
  </si>
  <si>
    <t>Indraprastha Gas Ltd June 2021</t>
  </si>
  <si>
    <t>Page Industries Ltd June 2021</t>
  </si>
  <si>
    <t>LIC Housing Finance Ltd June 2021</t>
  </si>
  <si>
    <t>UPL Ltd June 2021</t>
  </si>
  <si>
    <t>Ashok Leyland Ltd June 2021</t>
  </si>
  <si>
    <t>Bharat Forge Ltd June 2021</t>
  </si>
  <si>
    <t>7.16% Central Government Securities 20/05/2023</t>
  </si>
  <si>
    <t>7.32% Central Government Securities 28/01/2024</t>
  </si>
  <si>
    <t xml:space="preserve"> ICRA AAA </t>
  </si>
  <si>
    <t xml:space="preserve"> ICRA AA+ </t>
  </si>
  <si>
    <t xml:space="preserve"> ICRA BBB </t>
  </si>
  <si>
    <t>RPP Infra Projects Ltd</t>
  </si>
  <si>
    <t>Insurance</t>
  </si>
  <si>
    <t>Cement &amp; Cement Products</t>
  </si>
  <si>
    <t>Leisure Services</t>
  </si>
  <si>
    <t>Capital Markets</t>
  </si>
  <si>
    <t>Other Services</t>
  </si>
  <si>
    <t>Aerospace &amp; Defense</t>
  </si>
  <si>
    <t>Printing &amp; Publication</t>
  </si>
  <si>
    <t>Entertainment</t>
  </si>
  <si>
    <t>Hospital &amp; Healthcare Services</t>
  </si>
  <si>
    <t xml:space="preserve"> @@ Placed as margin for derivatives</t>
  </si>
  <si>
    <t xml:space="preserve">Sundaram Money Fund - Direct Growth@@ </t>
  </si>
  <si>
    <t># # percentage to NAV of security is less than 0.01%</t>
  </si>
  <si>
    <t>As Per Annexure-A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</si>
  <si>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</si>
  <si>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</si>
  <si>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</si>
  <si>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</si>
  <si>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Hindustan Dorr-Oliver Ltd @</t>
  </si>
  <si>
    <t>b) Total value and percentage of illiquid equity shares @</t>
  </si>
  <si>
    <t>0.00 / #</t>
  </si>
  <si>
    <t># percentage to NAV of security is less than 0.01%</t>
  </si>
  <si>
    <t>Refer Annexure B</t>
  </si>
  <si>
    <t>Bank of Baroda - 8.65% - Call Dt 11/08/2022**  (Perpetual Bond under Basel III)</t>
  </si>
  <si>
    <t>HDFC Bank Ltd - 8.85% - Call Dt 12/05/2022** (Perpetual Bond under Basel III)</t>
  </si>
  <si>
    <t>State Bank of India - 8.39% - Call Dt 25/10/2021** (Perpetual Bond under Basel III)</t>
  </si>
  <si>
    <t>State Bank of India - 8.15% - Call Dt 02/08/2022** (Perpetual Bond under Basel III)</t>
  </si>
  <si>
    <t>ICICI Bank Ltd - 9.2% - Call Dt 17/03/2022** (Perpetual Bond under Basel III)</t>
  </si>
  <si>
    <t>Axis Bank Ltd - 8.75% - Call Dt 28/06/2022** (Perpetual Bond under Basel III)</t>
  </si>
  <si>
    <t>Export Import Bank of India - 8.6% - Call Dt 31/03/2022** (Perpetual Bond under Basel III)</t>
  </si>
  <si>
    <t>Institutional Plan - IDCW ^^</t>
  </si>
  <si>
    <t>d) IDCW declared during the period (Rupees per unit)</t>
  </si>
  <si>
    <t>INE001A13049</t>
  </si>
  <si>
    <t>Housing Development Finance
Corporation Ltd</t>
  </si>
  <si>
    <t>Aditya Birla Fashion and Retail Ltd - Partly Paid Right Shares</t>
  </si>
  <si>
    <t>Power Grid Infrastructure Investment Trust(InvIT)</t>
  </si>
  <si>
    <t>INE0GGX23010</t>
  </si>
  <si>
    <t>Power - Transmission</t>
  </si>
  <si>
    <t>INE041025011</t>
  </si>
  <si>
    <t>Embassy Office Parks REIT</t>
  </si>
  <si>
    <t>INE216A08027</t>
  </si>
  <si>
    <t>Britannia Industries Ltd - 5.50% - 25/05/2024 ***</t>
  </si>
  <si>
    <t>CA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</si>
  <si>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</si>
  <si>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</si>
  <si>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</si>
  <si>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</si>
  <si>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May 31,2021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</si>
  <si>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</si>
  <si>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</si>
  <si>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</si>
  <si>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</si>
  <si>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</si>
  <si>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</si>
  <si>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</si>
  <si>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 xml:space="preserve">Total percentage of existing assets hedged through futures as a percentage of net assets </t>
  </si>
  <si>
    <t>%</t>
  </si>
  <si>
    <t>For the period ended May 31,2021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</si>
  <si>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</si>
  <si>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</si>
  <si>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</si>
  <si>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</si>
  <si>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</si>
  <si>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Sundaram Select Micro Cap Series IX</t>
  </si>
  <si>
    <t>Sundaram Select Micro Cap Series VIII</t>
  </si>
  <si>
    <t>Sundaram Select Micro Cap Series XII</t>
  </si>
  <si>
    <t>Sundaram Select Micro Cap Series XI</t>
  </si>
  <si>
    <t>Sundaram Select Micro Cap Series X</t>
  </si>
  <si>
    <t>B. Other than hedging positions through futures as on May 31,2021:</t>
  </si>
  <si>
    <t>Margin maintained in       (Rs. in Lakhs) *</t>
  </si>
  <si>
    <t>LONG</t>
  </si>
  <si>
    <t>Total percentage of existing assets due to non-hedging positions as a percentage of net assets</t>
  </si>
  <si>
    <t>For the period ended May 31,2021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</si>
  <si>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</si>
  <si>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</si>
  <si>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May 31,2021:</t>
  </si>
  <si>
    <t>Call/Put</t>
  </si>
  <si>
    <t>Number of Contracts</t>
  </si>
  <si>
    <t>Option Price when purchased</t>
  </si>
  <si>
    <t>Current Option Price</t>
  </si>
  <si>
    <t>Total % of existing assets hedged through Put Options</t>
  </si>
  <si>
    <t>For the period ended  May 31,2021,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</si>
  <si>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</si>
  <si>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</si>
  <si>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</si>
  <si>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</si>
  <si>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May 31,2021:</t>
  </si>
  <si>
    <t xml:space="preserve">Total Exposure through Options other than hedging as a percentage of net assets </t>
  </si>
  <si>
    <t>For the period ended May 31,2021,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</si>
  <si>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</si>
  <si>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</si>
  <si>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May 31,2021- Nil</t>
  </si>
  <si>
    <t>F. Hedging Positions through Interest Rate Futures as on May 31,2021: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</si>
  <si>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</si>
  <si>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</si>
  <si>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</si>
  <si>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</si>
  <si>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May 31,2021 following were the hedging transactions through Interest Rate Futures which have been squared off/ expired</t>
  </si>
  <si>
    <t>For the period ended May 31,2021 following were the Non Hedging transactions through Interest Rate Futures which have been squared off/ expired</t>
  </si>
  <si>
    <t>* Note: Margin maintained denotes security specific margin.</t>
  </si>
  <si>
    <t>CA - Awaiting information due to Corporate Action</t>
  </si>
  <si>
    <t>***Non Traded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</si>
</sst>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  <numFmt numFmtId="173" formatCode="[$-1014009]#.0000"/>
    <numFmt numFmtId="174" formatCode="[$-1014009]#,##0.00;\(#,##0.00\)"/>
    <numFmt numFmtId="175" formatCode="0.000"/>
    <numFmt numFmtId="176" formatCode="#,##0.000"/>
    <numFmt numFmtId="177" formatCode="0.00000"/>
    <numFmt numFmtId="178" formatCode="dd\/mm\/yyyy"/>
    <numFmt numFmtId="179" formatCode="0.0000"/>
    <numFmt numFmtId="180" formatCode="0.0000000"/>
    <numFmt numFmtId="181" formatCode="0.00_);[Red]\(0.00\)"/>
    <numFmt numFmtId="182" formatCode="0.000000000"/>
    <numFmt numFmtId="183" formatCode="_(* #,##0.0000_);_(* \(#,##0.0000\);_(* &quot;-&quot;??_);_(@_)"/>
    <numFmt numFmtId="184" formatCode="#,##0.0000;\(#,##0.0000\)"/>
    <numFmt numFmtId="185" formatCode="_(* #,##0.000_);_(* \(#,##0.000\);_(* &quot;-&quot;??_);_(@_)"/>
    <numFmt numFmtId="186" formatCode="_(* #,##0_);_(* \(#,##0\);_(* &quot;-&quot;??_);_(@_)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b/>
      <i/>
      <sz val="10"/>
      <color indexed="8"/>
      <name val="Calibri"/>
      <family val="2"/>
    </font>
    <font>
      <sz val="10"/>
      <color theme="1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>
      <alignment wrapText="1"/>
    </xf>
    <xf numFmtId="0" fontId="1" fillId="0" borderId="0"/>
    <xf numFmtId="0" fontId="1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13" fillId="0" borderId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>
      <alignment wrapText="1"/>
    </xf>
  </cellStyleXfs>
  <cellXfs count="334">
    <xf numFmtId="0" fontId="0" fillId="0" borderId="0" xfId="0">
      <alignment wrapText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165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6" fontId="3" fillId="2" borderId="4" xfId="0" applyNumberFormat="1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168" fontId="3" fillId="2" borderId="4" xfId="0" applyNumberFormat="1" applyFont="1" applyFill="1" applyBorder="1" applyAlignment="1">
      <alignment horizontal="right" vertical="center" wrapText="1" readingOrder="1"/>
    </xf>
    <xf numFmtId="167" fontId="4" fillId="2" borderId="4" xfId="0" applyNumberFormat="1" applyFont="1" applyFill="1" applyBorder="1" applyAlignment="1">
      <alignment horizontal="right" vertical="center" wrapText="1" readingOrder="1"/>
    </xf>
    <xf numFmtId="168" fontId="4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9" fontId="4" fillId="2" borderId="4" xfId="0" applyNumberFormat="1" applyFont="1" applyFill="1" applyBorder="1" applyAlignment="1">
      <alignment horizontal="right" vertical="center" wrapText="1" readingOrder="1"/>
    </xf>
    <xf numFmtId="170" fontId="4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right" vertical="top" wrapText="1" readingOrder="1"/>
    </xf>
    <xf numFmtId="171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center" wrapText="1" readingOrder="1"/>
    </xf>
    <xf numFmtId="0" fontId="0" fillId="2" borderId="0" xfId="0" applyFill="1" applyBorder="1" applyAlignment="1">
      <alignment horizontal="center" vertical="top" readingOrder="1"/>
    </xf>
    <xf numFmtId="0" fontId="3" fillId="2" borderId="5" xfId="0" applyFont="1" applyFill="1" applyBorder="1" applyAlignment="1">
      <alignment horizontal="right" vertical="top" wrapText="1" readingOrder="1"/>
    </xf>
    <xf numFmtId="170" fontId="4" fillId="2" borderId="4" xfId="0" applyNumberFormat="1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left" vertical="top" wrapText="1" readingOrder="1"/>
    </xf>
    <xf numFmtId="0" fontId="2" fillId="2" borderId="4" xfId="0" applyFont="1" applyFill="1" applyBorder="1" applyAlignment="1">
      <alignment horizontal="right" vertical="top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3" fillId="2" borderId="0" xfId="0" applyFont="1" applyFill="1" applyAlignment="1">
      <alignment horizontal="right" vertical="top" wrapText="1" readingOrder="1"/>
    </xf>
    <xf numFmtId="0" fontId="4" fillId="2" borderId="4" xfId="0" applyFont="1" applyFill="1" applyBorder="1" applyAlignment="1">
      <alignment horizontal="left" vertical="top" wrapText="1" readingOrder="1"/>
    </xf>
    <xf numFmtId="173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3" fillId="2" borderId="6" xfId="0" applyFont="1" applyFill="1" applyBorder="1" applyAlignment="1">
      <alignment horizontal="right" vertical="top" wrapText="1" readingOrder="1"/>
    </xf>
    <xf numFmtId="174" fontId="4" fillId="2" borderId="4" xfId="0" applyNumberFormat="1" applyFont="1" applyFill="1" applyBorder="1" applyAlignment="1">
      <alignment horizontal="left" vertical="center" wrapText="1" readingOrder="1"/>
    </xf>
    <xf numFmtId="172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left" vertical="center" wrapText="1" readingOrder="1"/>
    </xf>
    <xf numFmtId="0" fontId="4" fillId="2" borderId="5" xfId="0" applyFont="1" applyFill="1" applyBorder="1" applyAlignment="1">
      <alignment horizontal="left" vertical="center" wrapText="1" readingOrder="1"/>
    </xf>
    <xf numFmtId="0" fontId="7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center"/>
    </xf>
    <xf numFmtId="0" fontId="1" fillId="0" borderId="0" xfId="2"/>
    <xf numFmtId="0" fontId="6" fillId="0" borderId="0" xfId="2" applyFont="1" applyAlignment="1">
      <alignment horizontal="center"/>
    </xf>
    <xf numFmtId="0" fontId="6" fillId="0" borderId="14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11" fillId="0" borderId="14" xfId="2" applyFont="1" applyBorder="1"/>
    <xf numFmtId="0" fontId="11" fillId="0" borderId="7" xfId="2" applyFont="1" applyBorder="1"/>
    <xf numFmtId="0" fontId="11" fillId="0" borderId="0" xfId="2" applyFont="1"/>
    <xf numFmtId="0" fontId="1" fillId="0" borderId="14" xfId="2" applyBorder="1"/>
    <xf numFmtId="0" fontId="1" fillId="0" borderId="7" xfId="2" applyBorder="1"/>
    <xf numFmtId="0" fontId="1" fillId="0" borderId="15" xfId="2" applyBorder="1"/>
    <xf numFmtId="0" fontId="6" fillId="0" borderId="7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left" vertical="center"/>
    </xf>
    <xf numFmtId="0" fontId="11" fillId="0" borderId="24" xfId="2" applyFont="1" applyBorder="1" applyAlignment="1">
      <alignment horizontal="left" vertical="center"/>
    </xf>
    <xf numFmtId="2" fontId="11" fillId="0" borderId="24" xfId="2" applyNumberFormat="1" applyFont="1" applyBorder="1" applyAlignment="1">
      <alignment horizontal="right" vertical="center" wrapText="1"/>
    </xf>
    <xf numFmtId="164" fontId="11" fillId="0" borderId="24" xfId="3" applyFont="1" applyBorder="1" applyAlignment="1">
      <alignment horizontal="right" vertical="center" wrapText="1"/>
    </xf>
    <xf numFmtId="4" fontId="11" fillId="0" borderId="24" xfId="2" applyNumberFormat="1" applyFont="1" applyBorder="1" applyAlignment="1">
      <alignment horizontal="right"/>
    </xf>
    <xf numFmtId="10" fontId="11" fillId="0" borderId="25" xfId="4" applyNumberFormat="1" applyFont="1" applyBorder="1" applyAlignment="1">
      <alignment wrapText="1"/>
    </xf>
    <xf numFmtId="0" fontId="1" fillId="0" borderId="26" xfId="2" applyBorder="1"/>
    <xf numFmtId="0" fontId="1" fillId="0" borderId="27" xfId="2" applyBorder="1"/>
    <xf numFmtId="4" fontId="1" fillId="0" borderId="27" xfId="2" applyNumberFormat="1" applyBorder="1"/>
    <xf numFmtId="2" fontId="1" fillId="0" borderId="27" xfId="2" applyNumberFormat="1" applyBorder="1"/>
    <xf numFmtId="10" fontId="1" fillId="0" borderId="28" xfId="4" applyNumberFormat="1" applyFont="1" applyBorder="1"/>
    <xf numFmtId="14" fontId="1" fillId="0" borderId="0" xfId="2" applyNumberFormat="1"/>
    <xf numFmtId="4" fontId="1" fillId="0" borderId="0" xfId="2" applyNumberFormat="1"/>
    <xf numFmtId="2" fontId="1" fillId="0" borderId="0" xfId="2" applyNumberFormat="1"/>
    <xf numFmtId="2" fontId="6" fillId="0" borderId="0" xfId="2" applyNumberFormat="1" applyFont="1"/>
    <xf numFmtId="0" fontId="1" fillId="0" borderId="0" xfId="5"/>
    <xf numFmtId="0" fontId="14" fillId="0" borderId="7" xfId="6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 readingOrder="1"/>
    </xf>
    <xf numFmtId="0" fontId="15" fillId="0" borderId="7" xfId="1" applyFont="1" applyBorder="1" applyProtection="1">
      <protection locked="0"/>
    </xf>
    <xf numFmtId="0" fontId="16" fillId="0" borderId="7" xfId="1" applyFont="1" applyBorder="1" applyAlignment="1" applyProtection="1">
      <alignment wrapText="1"/>
      <protection locked="0"/>
    </xf>
    <xf numFmtId="0" fontId="15" fillId="0" borderId="7" xfId="1" applyFont="1" applyBorder="1" applyAlignment="1">
      <alignment horizontal="right"/>
    </xf>
    <xf numFmtId="0" fontId="1" fillId="0" borderId="7" xfId="5" applyBorder="1"/>
    <xf numFmtId="0" fontId="15" fillId="0" borderId="7" xfId="1" applyFont="1" applyBorder="1" applyAlignment="1" applyProtection="1">
      <alignment wrapText="1"/>
      <protection locked="0"/>
    </xf>
    <xf numFmtId="175" fontId="15" fillId="0" borderId="7" xfId="1" applyNumberFormat="1" applyFont="1" applyBorder="1" applyProtection="1">
      <protection locked="0"/>
    </xf>
    <xf numFmtId="164" fontId="15" fillId="0" borderId="7" xfId="7" applyFont="1" applyFill="1" applyBorder="1" applyAlignment="1">
      <alignment horizontal="right"/>
    </xf>
    <xf numFmtId="2" fontId="15" fillId="0" borderId="7" xfId="1" applyNumberFormat="1" applyFont="1" applyBorder="1" applyAlignment="1">
      <alignment horizontal="right"/>
    </xf>
    <xf numFmtId="164" fontId="1" fillId="0" borderId="0" xfId="5" applyNumberFormat="1"/>
    <xf numFmtId="175" fontId="1" fillId="0" borderId="0" xfId="5" applyNumberFormat="1"/>
    <xf numFmtId="0" fontId="15" fillId="0" borderId="7" xfId="1" applyFont="1" applyBorder="1" applyAlignment="1">
      <alignment horizontal="center"/>
    </xf>
    <xf numFmtId="176" fontId="1" fillId="0" borderId="7" xfId="5" applyNumberFormat="1" applyBorder="1"/>
    <xf numFmtId="0" fontId="15" fillId="0" borderId="7" xfId="1" applyFont="1" applyBorder="1"/>
    <xf numFmtId="0" fontId="16" fillId="0" borderId="7" xfId="6" applyFont="1" applyBorder="1" applyAlignment="1">
      <alignment vertical="center" wrapText="1"/>
    </xf>
    <xf numFmtId="175" fontId="16" fillId="0" borderId="7" xfId="6" applyNumberFormat="1" applyFont="1" applyBorder="1" applyAlignment="1">
      <alignment vertical="center" wrapText="1"/>
    </xf>
    <xf numFmtId="164" fontId="16" fillId="0" borderId="7" xfId="8" applyFont="1" applyFill="1" applyBorder="1" applyAlignment="1">
      <alignment vertical="center" wrapText="1"/>
    </xf>
    <xf numFmtId="164" fontId="16" fillId="0" borderId="7" xfId="7" applyFont="1" applyBorder="1" applyAlignment="1">
      <alignment horizontal="right" vertical="center"/>
    </xf>
    <xf numFmtId="10" fontId="1" fillId="0" borderId="7" xfId="5" applyNumberFormat="1" applyBorder="1"/>
    <xf numFmtId="164" fontId="15" fillId="0" borderId="7" xfId="8" applyFont="1" applyFill="1" applyBorder="1" applyAlignment="1">
      <alignment horizontal="right"/>
    </xf>
    <xf numFmtId="0" fontId="16" fillId="0" borderId="7" xfId="1" applyFont="1" applyBorder="1" applyProtection="1">
      <protection locked="0"/>
    </xf>
    <xf numFmtId="164" fontId="15" fillId="0" borderId="7" xfId="8" applyFont="1" applyFill="1" applyBorder="1" applyAlignment="1" applyProtection="1">
      <alignment horizontal="right"/>
      <protection locked="0"/>
    </xf>
    <xf numFmtId="0" fontId="15" fillId="0" borderId="7" xfId="5" applyFont="1" applyBorder="1"/>
    <xf numFmtId="164" fontId="15" fillId="0" borderId="7" xfId="8" applyFont="1" applyFill="1" applyBorder="1"/>
    <xf numFmtId="164" fontId="11" fillId="0" borderId="7" xfId="5" applyNumberFormat="1" applyFont="1" applyBorder="1"/>
    <xf numFmtId="0" fontId="16" fillId="0" borderId="7" xfId="1" applyFont="1" applyBorder="1"/>
    <xf numFmtId="164" fontId="16" fillId="0" borderId="7" xfId="8" applyFont="1" applyFill="1" applyBorder="1" applyAlignment="1">
      <alignment horizontal="right"/>
    </xf>
    <xf numFmtId="164" fontId="1" fillId="0" borderId="7" xfId="5" applyNumberFormat="1" applyBorder="1"/>
    <xf numFmtId="2" fontId="16" fillId="0" borderId="7" xfId="1" applyNumberFormat="1" applyFont="1" applyBorder="1" applyAlignment="1">
      <alignment horizontal="right"/>
    </xf>
    <xf numFmtId="4" fontId="17" fillId="0" borderId="7" xfId="1" applyNumberFormat="1" applyFont="1" applyBorder="1"/>
    <xf numFmtId="4" fontId="1" fillId="0" borderId="0" xfId="5" applyNumberFormat="1"/>
    <xf numFmtId="177" fontId="1" fillId="0" borderId="0" xfId="5" applyNumberFormat="1"/>
    <xf numFmtId="0" fontId="18" fillId="0" borderId="0" xfId="9" applyFont="1" applyAlignment="1">
      <alignment horizontal="left" vertical="center" wrapText="1"/>
    </xf>
    <xf numFmtId="0" fontId="19" fillId="0" borderId="0" xfId="9" applyFont="1" applyAlignment="1">
      <alignment vertical="center"/>
    </xf>
    <xf numFmtId="164" fontId="19" fillId="0" borderId="0" xfId="9" applyNumberFormat="1" applyFont="1" applyAlignment="1">
      <alignment vertical="center"/>
    </xf>
    <xf numFmtId="4" fontId="20" fillId="0" borderId="0" xfId="5" applyNumberFormat="1" applyFont="1"/>
    <xf numFmtId="2" fontId="19" fillId="0" borderId="0" xfId="9" applyNumberFormat="1" applyFont="1" applyAlignment="1">
      <alignment vertical="center"/>
    </xf>
    <xf numFmtId="0" fontId="15" fillId="0" borderId="0" xfId="10" applyFont="1" applyAlignment="1">
      <alignment vertical="center"/>
    </xf>
    <xf numFmtId="0" fontId="19" fillId="0" borderId="0" xfId="9" applyFont="1" applyAlignment="1">
      <alignment horizontal="left" vertical="center"/>
    </xf>
    <xf numFmtId="0" fontId="19" fillId="0" borderId="7" xfId="9" applyFont="1" applyBorder="1" applyAlignment="1">
      <alignment vertical="center"/>
    </xf>
    <xf numFmtId="0" fontId="16" fillId="0" borderId="7" xfId="10" applyFont="1" applyBorder="1" applyAlignment="1">
      <alignment horizontal="center" vertical="center"/>
    </xf>
    <xf numFmtId="0" fontId="18" fillId="0" borderId="0" xfId="9" applyFont="1" applyAlignment="1">
      <alignment vertical="center"/>
    </xf>
    <xf numFmtId="0" fontId="16" fillId="0" borderId="7" xfId="10" applyFont="1" applyBorder="1" applyAlignment="1">
      <alignment vertical="center"/>
    </xf>
    <xf numFmtId="178" fontId="18" fillId="0" borderId="7" xfId="9" applyNumberFormat="1" applyFont="1" applyBorder="1" applyAlignment="1">
      <alignment horizontal="center"/>
    </xf>
    <xf numFmtId="14" fontId="18" fillId="0" borderId="0" xfId="9" applyNumberFormat="1" applyFont="1" applyAlignment="1">
      <alignment horizontal="center"/>
    </xf>
    <xf numFmtId="0" fontId="11" fillId="0" borderId="0" xfId="5" applyFont="1"/>
    <xf numFmtId="0" fontId="19" fillId="0" borderId="7" xfId="9" applyFont="1" applyBorder="1" applyAlignment="1">
      <alignment horizontal="left" vertical="center"/>
    </xf>
    <xf numFmtId="179" fontId="11" fillId="0" borderId="7" xfId="5" applyNumberFormat="1" applyFont="1" applyBorder="1"/>
    <xf numFmtId="179" fontId="11" fillId="0" borderId="0" xfId="5" applyNumberFormat="1" applyFont="1"/>
    <xf numFmtId="0" fontId="21" fillId="0" borderId="4" xfId="1" applyFont="1" applyBorder="1" applyAlignment="1">
      <alignment horizontal="left" vertical="center" wrapText="1" readingOrder="1"/>
    </xf>
    <xf numFmtId="0" fontId="21" fillId="0" borderId="0" xfId="1" applyFont="1" applyAlignment="1">
      <alignment vertical="center" readingOrder="1"/>
    </xf>
    <xf numFmtId="0" fontId="21" fillId="0" borderId="0" xfId="1" applyFont="1" applyAlignment="1">
      <alignment vertical="center" wrapText="1" readingOrder="1"/>
    </xf>
    <xf numFmtId="0" fontId="15" fillId="0" borderId="0" xfId="9" applyFont="1" applyAlignment="1">
      <alignment horizontal="center" vertical="center"/>
    </xf>
    <xf numFmtId="0" fontId="19" fillId="0" borderId="0" xfId="9" quotePrefix="1" applyFont="1" applyAlignment="1">
      <alignment vertical="center"/>
    </xf>
    <xf numFmtId="0" fontId="15" fillId="0" borderId="0" xfId="5" applyFont="1" applyAlignment="1">
      <alignment vertical="center" wrapText="1"/>
    </xf>
    <xf numFmtId="0" fontId="21" fillId="2" borderId="4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center" vertical="top" readingOrder="1"/>
    </xf>
    <xf numFmtId="0" fontId="21" fillId="2" borderId="0" xfId="11" applyFont="1" applyFill="1" applyAlignment="1">
      <alignment horizontal="right" vertical="center" wrapText="1" readingOrder="1"/>
    </xf>
    <xf numFmtId="0" fontId="22" fillId="2" borderId="7" xfId="0" applyFont="1" applyFill="1" applyBorder="1" applyAlignment="1">
      <alignment horizontal="center" vertical="top" readingOrder="1"/>
    </xf>
    <xf numFmtId="0" fontId="23" fillId="0" borderId="0" xfId="11" applyFont="1" applyAlignment="1">
      <alignment vertical="center" wrapText="1"/>
    </xf>
    <xf numFmtId="0" fontId="10" fillId="0" borderId="0" xfId="11" applyFont="1" applyAlignment="1">
      <alignment vertical="center" wrapText="1"/>
    </xf>
    <xf numFmtId="0" fontId="4" fillId="2" borderId="7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horizontal="left" vertical="center" wrapText="1" readingOrder="1"/>
    </xf>
    <xf numFmtId="172" fontId="3" fillId="2" borderId="7" xfId="0" applyNumberFormat="1" applyFont="1" applyFill="1" applyBorder="1" applyAlignment="1">
      <alignment horizontal="right" vertical="center" wrapText="1" readingOrder="1"/>
    </xf>
    <xf numFmtId="0" fontId="3" fillId="2" borderId="7" xfId="0" applyFont="1" applyFill="1" applyBorder="1" applyAlignment="1">
      <alignment horizontal="right" vertical="top" wrapText="1" readingOrder="1"/>
    </xf>
    <xf numFmtId="172" fontId="3" fillId="2" borderId="7" xfId="0" applyNumberFormat="1" applyFont="1" applyFill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174" fontId="22" fillId="2" borderId="4" xfId="11" applyNumberFormat="1" applyFont="1" applyFill="1" applyBorder="1" applyAlignment="1">
      <alignment horizontal="left" vertical="top" wrapText="1" readingOrder="1"/>
    </xf>
    <xf numFmtId="0" fontId="21" fillId="2" borderId="6" xfId="11" applyFont="1" applyFill="1" applyBorder="1" applyAlignment="1">
      <alignment horizontal="right" vertical="top" wrapText="1" readingOrder="1"/>
    </xf>
    <xf numFmtId="0" fontId="21" fillId="2" borderId="0" xfId="11" applyFont="1" applyFill="1" applyAlignment="1">
      <alignment horizontal="right" vertical="top" wrapText="1" readingOrder="1"/>
    </xf>
    <xf numFmtId="0" fontId="10" fillId="0" borderId="0" xfId="0" applyFont="1" applyAlignment="1">
      <alignment vertical="center" wrapText="1"/>
    </xf>
    <xf numFmtId="0" fontId="24" fillId="2" borderId="0" xfId="0" applyFont="1" applyFill="1" applyAlignment="1">
      <alignment horizontal="left" vertical="center" wrapText="1" readingOrder="1"/>
    </xf>
    <xf numFmtId="0" fontId="22" fillId="2" borderId="4" xfId="0" applyFont="1" applyFill="1" applyBorder="1" applyAlignment="1">
      <alignment horizontal="left" vertical="top" readingOrder="1"/>
    </xf>
    <xf numFmtId="0" fontId="24" fillId="2" borderId="6" xfId="0" applyFont="1" applyFill="1" applyBorder="1" applyAlignment="1">
      <alignment horizontal="right" vertical="top" wrapText="1" readingOrder="1"/>
    </xf>
    <xf numFmtId="0" fontId="24" fillId="2" borderId="0" xfId="0" applyFont="1" applyFill="1" applyAlignment="1">
      <alignment horizontal="right" vertical="top" wrapText="1" readingOrder="1"/>
    </xf>
    <xf numFmtId="0" fontId="24" fillId="2" borderId="0" xfId="0" applyFont="1" applyFill="1" applyAlignment="1">
      <alignment horizontal="right" vertical="center" wrapText="1" readingOrder="1"/>
    </xf>
    <xf numFmtId="0" fontId="23" fillId="0" borderId="0" xfId="0" applyFont="1" applyAlignment="1">
      <alignment vertical="center" wrapText="1"/>
    </xf>
    <xf numFmtId="0" fontId="24" fillId="2" borderId="6" xfId="0" applyFont="1" applyFill="1" applyBorder="1" applyAlignment="1">
      <alignment horizontal="right" vertical="center" wrapText="1" readingOrder="1"/>
    </xf>
    <xf numFmtId="0" fontId="21" fillId="2" borderId="0" xfId="0" applyFont="1" applyFill="1" applyAlignment="1">
      <alignment horizontal="left" vertical="top" wrapText="1" readingOrder="1"/>
    </xf>
    <xf numFmtId="0" fontId="24" fillId="2" borderId="0" xfId="11" applyFont="1" applyFill="1" applyAlignment="1">
      <alignment horizontal="left" vertical="center" wrapText="1" readingOrder="1"/>
    </xf>
    <xf numFmtId="0" fontId="24" fillId="2" borderId="0" xfId="11" applyFont="1" applyFill="1" applyAlignment="1">
      <alignment horizontal="right" vertical="center" wrapText="1" readingOrder="1"/>
    </xf>
    <xf numFmtId="0" fontId="8" fillId="0" borderId="22" xfId="5" applyFont="1" applyBorder="1" applyAlignment="1">
      <alignment horizontal="center" vertical="center" wrapText="1" readingOrder="1"/>
    </xf>
    <xf numFmtId="0" fontId="25" fillId="0" borderId="7" xfId="5" applyFont="1" applyBorder="1" applyAlignment="1">
      <alignment vertical="center"/>
    </xf>
    <xf numFmtId="2" fontId="25" fillId="0" borderId="7" xfId="5" applyNumberFormat="1" applyFont="1" applyBorder="1" applyAlignment="1">
      <alignment vertical="center"/>
    </xf>
    <xf numFmtId="2" fontId="0" fillId="0" borderId="0" xfId="0" applyNumberFormat="1">
      <alignment wrapText="1"/>
    </xf>
    <xf numFmtId="0" fontId="22" fillId="0" borderId="4" xfId="0" applyFont="1" applyBorder="1" applyAlignment="1">
      <alignment horizontal="left" vertical="center" readingOrder="1"/>
    </xf>
    <xf numFmtId="0" fontId="21" fillId="2" borderId="4" xfId="11" applyFont="1" applyFill="1" applyBorder="1" applyAlignment="1">
      <alignment horizontal="left" vertical="center" wrapText="1" readingOrder="1"/>
    </xf>
    <xf numFmtId="0" fontId="21" fillId="2" borderId="0" xfId="0" applyFont="1" applyFill="1" applyAlignment="1">
      <alignment horizontal="right" vertical="top" wrapText="1" readingOrder="1"/>
    </xf>
    <xf numFmtId="172" fontId="3" fillId="2" borderId="0" xfId="0" applyNumberFormat="1" applyFont="1" applyFill="1" applyBorder="1" applyAlignment="1">
      <alignment horizontal="right" vertical="center" wrapText="1" readingOrder="1"/>
    </xf>
    <xf numFmtId="172" fontId="3" fillId="2" borderId="0" xfId="0" applyNumberFormat="1" applyFont="1" applyFill="1" applyBorder="1" applyAlignment="1">
      <alignment horizontal="center" vertical="center" wrapText="1" readingOrder="1"/>
    </xf>
    <xf numFmtId="0" fontId="0" fillId="0" borderId="0" xfId="0" applyAlignment="1"/>
    <xf numFmtId="0" fontId="21" fillId="2" borderId="0" xfId="0" applyFont="1" applyFill="1" applyAlignment="1">
      <alignment horizontal="right" vertical="center" wrapText="1" readingOrder="1"/>
    </xf>
    <xf numFmtId="0" fontId="23" fillId="2" borderId="0" xfId="0" applyFont="1" applyFill="1" applyAlignment="1">
      <alignment horizontal="center" vertical="top" readingOrder="1"/>
    </xf>
    <xf numFmtId="0" fontId="21" fillId="2" borderId="5" xfId="0" applyFont="1" applyFill="1" applyBorder="1" applyAlignment="1">
      <alignment horizontal="right" vertical="top" wrapText="1" readingOrder="1"/>
    </xf>
    <xf numFmtId="0" fontId="21" fillId="0" borderId="0" xfId="1" applyFont="1" applyBorder="1" applyAlignment="1">
      <alignment horizontal="left" vertical="center" wrapText="1" readingOrder="1"/>
    </xf>
    <xf numFmtId="179" fontId="11" fillId="0" borderId="0" xfId="5" applyNumberFormat="1" applyFont="1" applyBorder="1"/>
    <xf numFmtId="165" fontId="21" fillId="2" borderId="4" xfId="0" applyNumberFormat="1" applyFont="1" applyFill="1" applyBorder="1" applyAlignment="1">
      <alignment horizontal="right" vertical="center" wrapText="1" readingOrder="1"/>
    </xf>
    <xf numFmtId="166" fontId="21" fillId="2" borderId="4" xfId="0" applyNumberFormat="1" applyFont="1" applyFill="1" applyBorder="1" applyAlignment="1">
      <alignment horizontal="right" vertical="center" wrapText="1" readingOrder="1"/>
    </xf>
    <xf numFmtId="167" fontId="21" fillId="2" borderId="4" xfId="0" applyNumberFormat="1" applyFont="1" applyFill="1" applyBorder="1" applyAlignment="1">
      <alignment horizontal="right" vertical="center" wrapText="1" readingOrder="1"/>
    </xf>
    <xf numFmtId="168" fontId="21" fillId="2" borderId="4" xfId="0" applyNumberFormat="1" applyFont="1" applyFill="1" applyBorder="1" applyAlignment="1">
      <alignment horizontal="right" vertical="center" wrapText="1" readingOrder="1"/>
    </xf>
    <xf numFmtId="165" fontId="21" fillId="0" borderId="4" xfId="0" applyNumberFormat="1" applyFont="1" applyBorder="1" applyAlignment="1">
      <alignment horizontal="right" vertical="center" wrapText="1" readingOrder="1"/>
    </xf>
    <xf numFmtId="0" fontId="21" fillId="0" borderId="4" xfId="0" applyFont="1" applyBorder="1" applyAlignment="1">
      <alignment horizontal="left" vertical="center" wrapText="1" readingOrder="1"/>
    </xf>
    <xf numFmtId="166" fontId="21" fillId="0" borderId="4" xfId="0" applyNumberFormat="1" applyFont="1" applyBorder="1" applyAlignment="1">
      <alignment horizontal="right" vertical="center" wrapText="1" readingOrder="1"/>
    </xf>
    <xf numFmtId="167" fontId="21" fillId="0" borderId="4" xfId="0" applyNumberFormat="1" applyFont="1" applyBorder="1" applyAlignment="1">
      <alignment horizontal="right" vertical="center" wrapText="1" readingOrder="1"/>
    </xf>
    <xf numFmtId="168" fontId="21" fillId="0" borderId="4" xfId="11" applyNumberFormat="1" applyFont="1" applyBorder="1" applyAlignment="1">
      <alignment horizontal="right" vertical="center" wrapText="1" readingOrder="1"/>
    </xf>
    <xf numFmtId="165" fontId="3" fillId="0" borderId="4" xfId="0" applyNumberFormat="1" applyFont="1" applyFill="1" applyBorder="1" applyAlignment="1">
      <alignment horizontal="right" vertical="center" wrapText="1" readingOrder="1"/>
    </xf>
    <xf numFmtId="0" fontId="21" fillId="0" borderId="4" xfId="0" applyFont="1" applyFill="1" applyBorder="1" applyAlignment="1">
      <alignment horizontal="left" vertical="center" wrapText="1" readingOrder="1"/>
    </xf>
    <xf numFmtId="0" fontId="3" fillId="0" borderId="4" xfId="0" applyFont="1" applyFill="1" applyBorder="1" applyAlignment="1">
      <alignment horizontal="left" vertical="center" wrapText="1" readingOrder="1"/>
    </xf>
    <xf numFmtId="166" fontId="3" fillId="0" borderId="4" xfId="0" applyNumberFormat="1" applyFont="1" applyFill="1" applyBorder="1" applyAlignment="1">
      <alignment horizontal="right" vertical="center" wrapText="1" readingOrder="1"/>
    </xf>
    <xf numFmtId="167" fontId="3" fillId="0" borderId="4" xfId="0" applyNumberFormat="1" applyFont="1" applyFill="1" applyBorder="1" applyAlignment="1">
      <alignment horizontal="right" vertical="center" wrapText="1" readingOrder="1"/>
    </xf>
    <xf numFmtId="168" fontId="3" fillId="0" borderId="4" xfId="0" applyNumberFormat="1" applyFont="1" applyFill="1" applyBorder="1" applyAlignment="1">
      <alignment horizontal="right" vertical="center" wrapText="1" readingOrder="1"/>
    </xf>
    <xf numFmtId="0" fontId="0" fillId="0" borderId="0" xfId="0" applyFill="1">
      <alignment wrapText="1"/>
    </xf>
    <xf numFmtId="180" fontId="5" fillId="2" borderId="5" xfId="0" applyNumberFormat="1" applyFont="1" applyFill="1" applyBorder="1" applyAlignment="1">
      <alignment horizontal="right" vertical="center" wrapText="1" readingOrder="1"/>
    </xf>
    <xf numFmtId="167" fontId="4" fillId="2" borderId="1" xfId="0" applyNumberFormat="1" applyFont="1" applyFill="1" applyBorder="1" applyAlignment="1">
      <alignment horizontal="right" vertical="center" wrapText="1" readingOrder="1"/>
    </xf>
    <xf numFmtId="168" fontId="3" fillId="2" borderId="32" xfId="0" applyNumberFormat="1" applyFont="1" applyFill="1" applyBorder="1" applyAlignment="1">
      <alignment horizontal="right" vertical="center" wrapText="1" readingOrder="1"/>
    </xf>
    <xf numFmtId="168" fontId="4" fillId="2" borderId="7" xfId="0" applyNumberFormat="1" applyFont="1" applyFill="1" applyBorder="1" applyAlignment="1">
      <alignment horizontal="right" vertical="center" wrapText="1" readingOrder="1"/>
    </xf>
    <xf numFmtId="0" fontId="21" fillId="2" borderId="0" xfId="11" applyFont="1" applyFill="1" applyAlignment="1">
      <alignment horizontal="left" vertical="center" wrapText="1" readingOrder="1"/>
    </xf>
    <xf numFmtId="0" fontId="3" fillId="2" borderId="0" xfId="11" applyFont="1" applyFill="1" applyAlignment="1">
      <alignment horizontal="left" vertical="center" readingOrder="1"/>
    </xf>
    <xf numFmtId="0" fontId="21" fillId="2" borderId="0" xfId="11" applyFont="1" applyFill="1" applyAlignment="1">
      <alignment vertical="center" readingOrder="1"/>
    </xf>
    <xf numFmtId="0" fontId="3" fillId="2" borderId="0" xfId="0" applyFont="1" applyFill="1" applyBorder="1" applyAlignment="1">
      <alignment vertical="center" readingOrder="1"/>
    </xf>
    <xf numFmtId="4" fontId="25" fillId="0" borderId="7" xfId="5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26" fillId="2" borderId="7" xfId="0" applyFont="1" applyFill="1" applyBorder="1" applyAlignment="1">
      <alignment horizontal="center" vertical="center" wrapText="1" readingOrder="1"/>
    </xf>
    <xf numFmtId="0" fontId="26" fillId="2" borderId="16" xfId="0" applyFont="1" applyFill="1" applyBorder="1" applyAlignment="1">
      <alignment horizontal="center" vertical="center" wrapText="1" readingOrder="1"/>
    </xf>
    <xf numFmtId="0" fontId="26" fillId="2" borderId="17" xfId="0" applyFont="1" applyFill="1" applyBorder="1" applyAlignment="1">
      <alignment horizontal="center" vertical="center" wrapText="1" readingOrder="1"/>
    </xf>
    <xf numFmtId="0" fontId="26" fillId="2" borderId="18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21" fillId="2" borderId="1" xfId="0" applyFont="1" applyFill="1" applyBorder="1" applyAlignment="1">
      <alignment horizontal="left" vertical="top" wrapText="1" readingOrder="1"/>
    </xf>
    <xf numFmtId="0" fontId="21" fillId="2" borderId="3" xfId="0" applyFont="1" applyFill="1" applyBorder="1" applyAlignment="1">
      <alignment horizontal="left" vertical="top" wrapText="1" readingOrder="1"/>
    </xf>
    <xf numFmtId="0" fontId="21" fillId="2" borderId="0" xfId="0" applyFont="1" applyFill="1" applyAlignment="1">
      <alignment horizontal="left" vertical="center" wrapText="1" readingOrder="1"/>
    </xf>
    <xf numFmtId="0" fontId="21" fillId="2" borderId="1" xfId="0" applyFont="1" applyFill="1" applyBorder="1" applyAlignment="1">
      <alignment horizontal="left" vertical="center" wrapText="1" readingOrder="1"/>
    </xf>
    <xf numFmtId="0" fontId="21" fillId="2" borderId="0" xfId="0" applyFont="1" applyFill="1" applyAlignment="1">
      <alignment horizontal="left" vertical="top" wrapText="1" readingOrder="1"/>
    </xf>
    <xf numFmtId="0" fontId="3" fillId="2" borderId="7" xfId="0" applyFont="1" applyFill="1" applyBorder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21" fillId="2" borderId="0" xfId="11" applyFont="1" applyFill="1" applyAlignment="1">
      <alignment horizontal="left" vertical="center" wrapText="1" readingOrder="1"/>
    </xf>
    <xf numFmtId="0" fontId="19" fillId="0" borderId="0" xfId="9" applyFont="1" applyAlignment="1">
      <alignment horizontal="left" vertical="center"/>
    </xf>
    <xf numFmtId="0" fontId="11" fillId="0" borderId="0" xfId="5" applyFont="1" applyAlignment="1">
      <alignment horizontal="left"/>
    </xf>
    <xf numFmtId="0" fontId="6" fillId="0" borderId="7" xfId="5" applyFont="1" applyBorder="1" applyAlignment="1">
      <alignment horizontal="center"/>
    </xf>
    <xf numFmtId="0" fontId="14" fillId="0" borderId="7" xfId="6" applyFont="1" applyBorder="1" applyAlignment="1">
      <alignment horizontal="center" vertical="center"/>
    </xf>
    <xf numFmtId="0" fontId="8" fillId="4" borderId="7" xfId="6" applyFont="1" applyFill="1" applyBorder="1" applyAlignment="1">
      <alignment horizontal="center" vertical="center" wrapText="1"/>
    </xf>
    <xf numFmtId="0" fontId="19" fillId="0" borderId="0" xfId="9" applyFont="1" applyAlignment="1">
      <alignment horizontal="left"/>
    </xf>
    <xf numFmtId="0" fontId="11" fillId="0" borderId="29" xfId="2" applyFont="1" applyBorder="1" applyAlignment="1">
      <alignment horizontal="left" wrapText="1"/>
    </xf>
    <xf numFmtId="0" fontId="11" fillId="0" borderId="30" xfId="2" applyFont="1" applyBorder="1" applyAlignment="1">
      <alignment horizontal="left"/>
    </xf>
    <xf numFmtId="0" fontId="11" fillId="0" borderId="31" xfId="2" applyFont="1" applyBorder="1" applyAlignment="1">
      <alignment horizontal="left"/>
    </xf>
    <xf numFmtId="0" fontId="1" fillId="0" borderId="16" xfId="2" applyBorder="1" applyAlignment="1">
      <alignment horizontal="center"/>
    </xf>
    <xf numFmtId="0" fontId="1" fillId="0" borderId="17" xfId="2" applyBorder="1" applyAlignment="1">
      <alignment horizontal="center"/>
    </xf>
    <xf numFmtId="0" fontId="1" fillId="0" borderId="18" xfId="2" applyBorder="1" applyAlignment="1">
      <alignment horizontal="center"/>
    </xf>
    <xf numFmtId="0" fontId="1" fillId="0" borderId="19" xfId="2" applyBorder="1" applyAlignment="1">
      <alignment horizontal="center"/>
    </xf>
    <xf numFmtId="0" fontId="6" fillId="0" borderId="20" xfId="2" applyFont="1" applyBorder="1" applyAlignment="1">
      <alignment horizontal="center"/>
    </xf>
    <xf numFmtId="0" fontId="6" fillId="0" borderId="17" xfId="2" applyFont="1" applyBorder="1" applyAlignment="1">
      <alignment horizontal="center"/>
    </xf>
    <xf numFmtId="0" fontId="6" fillId="0" borderId="19" xfId="2" applyFont="1" applyBorder="1" applyAlignment="1">
      <alignment horizontal="center"/>
    </xf>
    <xf numFmtId="0" fontId="6" fillId="0" borderId="21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3" borderId="8" xfId="2" applyFont="1" applyFill="1" applyBorder="1" applyAlignment="1">
      <alignment horizontal="center" wrapText="1"/>
    </xf>
    <xf numFmtId="0" fontId="6" fillId="3" borderId="9" xfId="2" applyFont="1" applyFill="1" applyBorder="1" applyAlignment="1">
      <alignment horizontal="center" wrapText="1"/>
    </xf>
    <xf numFmtId="0" fontId="6" fillId="3" borderId="10" xfId="2" applyFont="1" applyFill="1" applyBorder="1" applyAlignment="1">
      <alignment horizontal="center" wrapText="1"/>
    </xf>
    <xf numFmtId="0" fontId="6" fillId="0" borderId="11" xfId="2" applyFont="1" applyBorder="1" applyAlignment="1">
      <alignment horizontal="center" wrapText="1"/>
    </xf>
    <xf numFmtId="0" fontId="6" fillId="0" borderId="12" xfId="2" applyFont="1" applyBorder="1" applyAlignment="1">
      <alignment horizontal="center" wrapText="1"/>
    </xf>
    <xf numFmtId="0" fontId="6" fillId="0" borderId="13" xfId="2" applyFont="1" applyBorder="1" applyAlignment="1">
      <alignment horizontal="center" wrapText="1"/>
    </xf>
    <xf numFmtId="0" fontId="6" fillId="0" borderId="7" xfId="2" applyFont="1" applyBorder="1" applyAlignment="1">
      <alignment horizontal="center" wrapText="1"/>
    </xf>
    <xf numFmtId="0" fontId="6" fillId="0" borderId="7" xfId="2" applyFont="1" applyBorder="1" applyAlignment="1">
      <alignment horizontal="center"/>
    </xf>
    <xf numFmtId="0" fontId="6" fillId="0" borderId="15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15" xfId="2" applyFont="1" applyBorder="1" applyAlignment="1">
      <alignment horizontal="center"/>
    </xf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readingOrder="1"/>
    </xf>
    <xf numFmtId="0" fontId="15" fillId="0" borderId="7" xfId="0" applyFont="1" applyBorder="1" applyAlignment="1">
      <alignment horizontal="center" vertical="top"/>
    </xf>
    <xf numFmtId="174" fontId="3" fillId="2" borderId="4" xfId="0" applyNumberFormat="1" applyFont="1" applyFill="1" applyBorder="1" applyAlignment="1">
      <alignment horizontal="right" vertical="center" readingOrder="1"/>
    </xf>
    <xf numFmtId="181" fontId="27" fillId="0" borderId="7" xfId="0" applyNumberFormat="1" applyFont="1" applyBorder="1" applyAlignment="1">
      <alignment vertical="center"/>
    </xf>
    <xf numFmtId="2" fontId="15" fillId="0" borderId="7" xfId="0" applyNumberFormat="1" applyFont="1" applyBorder="1" applyAlignment="1">
      <alignment horizontal="right" vertical="top" wrapText="1"/>
    </xf>
    <xf numFmtId="0" fontId="15" fillId="0" borderId="33" xfId="0" applyFont="1" applyBorder="1" applyAlignment="1">
      <alignment horizontal="left" vertical="top"/>
    </xf>
    <xf numFmtId="0" fontId="3" fillId="2" borderId="32" xfId="0" applyFont="1" applyFill="1" applyBorder="1" applyAlignment="1">
      <alignment horizontal="left" vertical="center" readingOrder="1"/>
    </xf>
    <xf numFmtId="0" fontId="3" fillId="2" borderId="7" xfId="0" applyFont="1" applyFill="1" applyBorder="1" applyAlignment="1">
      <alignment horizontal="left" vertical="center" readingOrder="1"/>
    </xf>
    <xf numFmtId="0" fontId="3" fillId="2" borderId="16" xfId="0" applyFont="1" applyFill="1" applyBorder="1" applyAlignment="1">
      <alignment horizontal="left" vertical="center" readingOrder="1"/>
    </xf>
    <xf numFmtId="0" fontId="23" fillId="0" borderId="16" xfId="6" applyFont="1" applyBorder="1" applyAlignment="1">
      <alignment vertical="center" wrapText="1"/>
    </xf>
    <xf numFmtId="2" fontId="15" fillId="0" borderId="34" xfId="0" applyNumberFormat="1" applyFont="1" applyBorder="1" applyAlignment="1">
      <alignment horizontal="right" vertical="top" wrapText="1"/>
    </xf>
    <xf numFmtId="4" fontId="15" fillId="0" borderId="7" xfId="0" applyNumberFormat="1" applyFont="1" applyBorder="1" applyAlignment="1"/>
    <xf numFmtId="0" fontId="15" fillId="0" borderId="34" xfId="0" applyFont="1" applyBorder="1" applyAlignment="1"/>
    <xf numFmtId="2" fontId="15" fillId="0" borderId="0" xfId="0" applyNumberFormat="1" applyFont="1" applyAlignment="1">
      <alignment horizontal="right" vertical="top" wrapText="1"/>
    </xf>
    <xf numFmtId="181" fontId="15" fillId="0" borderId="7" xfId="0" applyNumberFormat="1" applyFont="1" applyBorder="1" applyAlignment="1">
      <alignment horizontal="right" vertical="top" wrapText="1"/>
    </xf>
    <xf numFmtId="0" fontId="15" fillId="0" borderId="35" xfId="0" applyFont="1" applyBorder="1" applyAlignment="1">
      <alignment horizontal="center"/>
    </xf>
    <xf numFmtId="0" fontId="15" fillId="0" borderId="35" xfId="0" applyFont="1" applyBorder="1" applyAlignment="1" applyProtection="1">
      <alignment horizontal="center"/>
      <protection locked="0"/>
    </xf>
    <xf numFmtId="164" fontId="15" fillId="0" borderId="35" xfId="3" applyFont="1" applyFill="1" applyBorder="1" applyAlignment="1" applyProtection="1">
      <alignment horizontal="center"/>
      <protection locked="0"/>
    </xf>
    <xf numFmtId="0" fontId="16" fillId="0" borderId="7" xfId="0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 applyAlignment="1"/>
    <xf numFmtId="37" fontId="15" fillId="0" borderId="7" xfId="3" applyNumberFormat="1" applyFont="1" applyFill="1" applyBorder="1" applyAlignment="1">
      <alignment horizontal="center"/>
    </xf>
    <xf numFmtId="164" fontId="15" fillId="0" borderId="7" xfId="3" applyFont="1" applyFill="1" applyBorder="1"/>
    <xf numFmtId="164" fontId="15" fillId="0" borderId="0" xfId="3" applyFont="1" applyFill="1" applyBorder="1"/>
    <xf numFmtId="164" fontId="15" fillId="0" borderId="0" xfId="0" applyNumberFormat="1" applyFont="1" applyAlignment="1"/>
    <xf numFmtId="4" fontId="15" fillId="0" borderId="0" xfId="0" applyNumberFormat="1" applyFont="1" applyAlignment="1"/>
    <xf numFmtId="0" fontId="15" fillId="0" borderId="7" xfId="0" applyFont="1" applyBorder="1" applyAlignment="1">
      <alignment vertical="top" wrapText="1"/>
    </xf>
    <xf numFmtId="0" fontId="15" fillId="0" borderId="7" xfId="3" applyNumberFormat="1" applyFont="1" applyFill="1" applyBorder="1" applyAlignment="1">
      <alignment horizontal="center"/>
    </xf>
    <xf numFmtId="4" fontId="15" fillId="0" borderId="7" xfId="3" applyNumberFormat="1" applyFont="1" applyFill="1" applyBorder="1"/>
    <xf numFmtId="4" fontId="15" fillId="0" borderId="0" xfId="3" applyNumberFormat="1" applyFont="1" applyFill="1" applyBorder="1"/>
    <xf numFmtId="182" fontId="15" fillId="0" borderId="0" xfId="0" applyNumberFormat="1" applyFont="1" applyAlignment="1"/>
    <xf numFmtId="2" fontId="15" fillId="0" borderId="0" xfId="0" applyNumberFormat="1" applyFont="1" applyAlignment="1">
      <alignment vertical="top" wrapText="1"/>
    </xf>
    <xf numFmtId="164" fontId="15" fillId="0" borderId="0" xfId="3" applyFont="1" applyFill="1" applyBorder="1" applyAlignment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Alignment="1">
      <alignment horizontal="center" vertical="top"/>
    </xf>
    <xf numFmtId="164" fontId="15" fillId="0" borderId="0" xfId="3" applyFont="1" applyFill="1" applyBorder="1" applyAlignment="1" applyProtection="1">
      <alignment horizontal="left"/>
      <protection locked="0"/>
    </xf>
    <xf numFmtId="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top"/>
    </xf>
    <xf numFmtId="10" fontId="15" fillId="0" borderId="0" xfId="0" applyNumberFormat="1" applyFont="1" applyAlignment="1">
      <alignment horizontal="center"/>
    </xf>
    <xf numFmtId="164" fontId="15" fillId="0" borderId="7" xfId="3" applyFont="1" applyFill="1" applyBorder="1" applyAlignment="1">
      <alignment horizontal="center" vertical="top" wrapText="1"/>
    </xf>
    <xf numFmtId="2" fontId="15" fillId="0" borderId="7" xfId="0" applyNumberFormat="1" applyFont="1" applyBorder="1" applyAlignment="1">
      <alignment horizontal="right"/>
    </xf>
    <xf numFmtId="1" fontId="15" fillId="0" borderId="7" xfId="0" applyNumberFormat="1" applyFont="1" applyBorder="1" applyAlignment="1">
      <alignment horizontal="center"/>
    </xf>
    <xf numFmtId="164" fontId="16" fillId="0" borderId="0" xfId="3" applyFont="1" applyFill="1" applyBorder="1"/>
    <xf numFmtId="183" fontId="15" fillId="0" borderId="0" xfId="0" applyNumberFormat="1" applyFont="1" applyAlignment="1"/>
    <xf numFmtId="164" fontId="16" fillId="0" borderId="0" xfId="0" applyNumberFormat="1" applyFont="1" applyAlignment="1"/>
    <xf numFmtId="43" fontId="15" fillId="0" borderId="0" xfId="0" applyNumberFormat="1" applyFont="1" applyAlignment="1"/>
    <xf numFmtId="0" fontId="15" fillId="0" borderId="7" xfId="0" applyFont="1" applyBorder="1" applyAlignment="1">
      <alignment horizontal="left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 vertical="top" wrapText="1"/>
    </xf>
    <xf numFmtId="0" fontId="15" fillId="0" borderId="7" xfId="0" applyFont="1" applyBorder="1" applyAlignment="1">
      <alignment horizontal="center" vertical="top" wrapText="1"/>
    </xf>
    <xf numFmtId="184" fontId="15" fillId="0" borderId="0" xfId="0" applyNumberFormat="1" applyFont="1" applyAlignment="1">
      <alignment horizontal="right" vertical="top" wrapText="1"/>
    </xf>
    <xf numFmtId="2" fontId="15" fillId="0" borderId="0" xfId="0" applyNumberFormat="1" applyFont="1" applyAlignment="1">
      <alignment horizontal="center"/>
    </xf>
    <xf numFmtId="2" fontId="15" fillId="0" borderId="7" xfId="0" applyNumberFormat="1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 vertical="top"/>
    </xf>
    <xf numFmtId="2" fontId="15" fillId="0" borderId="0" xfId="0" applyNumberFormat="1" applyFont="1" applyAlignment="1">
      <alignment horizontal="right" vertical="top"/>
    </xf>
    <xf numFmtId="185" fontId="15" fillId="0" borderId="0" xfId="3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186" fontId="15" fillId="0" borderId="0" xfId="3" applyNumberFormat="1" applyFont="1" applyFill="1" applyBorder="1" applyAlignment="1">
      <alignment horizontal="right" vertical="top" wrapText="1"/>
    </xf>
    <xf numFmtId="2" fontId="15" fillId="0" borderId="0" xfId="0" applyNumberFormat="1" applyFont="1" applyAlignment="1"/>
    <xf numFmtId="2" fontId="15" fillId="0" borderId="7" xfId="0" applyNumberFormat="1" applyFont="1" applyBorder="1" applyAlignment="1">
      <alignment vertical="top" wrapText="1"/>
    </xf>
    <xf numFmtId="164" fontId="15" fillId="0" borderId="7" xfId="3" applyFont="1" applyFill="1" applyBorder="1" applyAlignment="1"/>
    <xf numFmtId="4" fontId="15" fillId="0" borderId="7" xfId="0" applyNumberFormat="1" applyFont="1" applyBorder="1" applyAlignment="1">
      <alignment horizontal="center"/>
    </xf>
    <xf numFmtId="4" fontId="15" fillId="0" borderId="7" xfId="3" applyNumberFormat="1" applyFont="1" applyFill="1" applyBorder="1" applyAlignment="1">
      <alignment horizontal="center"/>
    </xf>
    <xf numFmtId="4" fontId="16" fillId="0" borderId="7" xfId="0" applyNumberFormat="1" applyFont="1" applyBorder="1" applyAlignment="1">
      <alignment horizontal="center" vertical="top" wrapText="1"/>
    </xf>
    <xf numFmtId="4" fontId="15" fillId="0" borderId="7" xfId="0" applyNumberFormat="1" applyFont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center" readingOrder="1"/>
    </xf>
  </cellXfs>
  <cellStyles count="12">
    <cellStyle name="Comma 10" xfId="8" xr:uid="{F401758E-9FBE-45DF-B996-C5FAE5A0D41E}"/>
    <cellStyle name="Comma 2" xfId="7" xr:uid="{161AE4D2-6855-4806-A32B-6CADF72A9F62}"/>
    <cellStyle name="Comma 2 2" xfId="3" xr:uid="{8E532AF5-AD98-4B71-9FF7-30E690BD894B}"/>
    <cellStyle name="Normal" xfId="0" builtinId="0"/>
    <cellStyle name="Normal 2" xfId="11" xr:uid="{CAA629F3-C0EE-4F06-BAA8-B4D9118CB16B}"/>
    <cellStyle name="Normal 2 2" xfId="1" xr:uid="{DEF81E12-6AC5-45C9-8C07-536417FD1B4A}"/>
    <cellStyle name="Normal 2 2 3" xfId="2" xr:uid="{CBC98195-CC86-42A8-B8D1-877F8B50C1DF}"/>
    <cellStyle name="Normal 4" xfId="5" xr:uid="{EEB7189A-A53F-4D6E-8559-6EF4D75EC133}"/>
    <cellStyle name="Normal_Bonsaverportfolio 2 2" xfId="6" xr:uid="{AA4894DE-C55C-418D-B2CC-FCB972EAFC2B}"/>
    <cellStyle name="Normal_Halfyearly_Debtholdings_30092011 2" xfId="9" xr:uid="{7C2D3B0D-AE91-4948-9A1C-00ECDD1D0371}"/>
    <cellStyle name="Normal_Holdingotherschemes new" xfId="10" xr:uid="{13A781A9-86EB-44FA-AFD8-84253E5E91F8}"/>
    <cellStyle name="Percent 2" xfId="4" xr:uid="{41BF9C8A-3D23-420C-A71F-1900B11DCA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09E17A-A80B-4CED-B738-7F2C201A1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3C303-253E-4F67-940C-76E8DF60B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3D961-6433-49D6-8797-3911AE308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B02588-CCE6-48C3-808C-9FC9FE18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BBE8F5-C05F-4C6A-939C-7632FEAE7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0</xdr:colOff>
      <xdr:row>6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FE1FE3-71F2-42E9-8C68-3B495F59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63C580-4A35-48C1-AEA2-C63EF1857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5D9878-A766-4177-9856-4F229AAD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08DF33-3D90-47BC-B4B7-124E9F5DE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4C98B-AA1F-44DD-BFC3-D35DABA17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10846D-1F00-4D32-A343-B196B9FA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92A44-8075-438F-86E7-ABC493AA8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54B8D-ED5F-434A-8635-6764AD48C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6D5DB9-CD1A-4122-8A48-32F60943B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F3AA0C-1DAB-4457-BE89-9D672A958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819689-1DD5-4501-A101-FF7A87360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0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2585A-E211-4184-AD96-C983072D8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B3288C-CD40-44D0-B4C9-D54D056B5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76FAC-F306-43BE-BAD4-096A69D8F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6D3CC-50BD-4BBF-B84E-FE71855B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C43402-608E-4223-AFF8-DD4AD768F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749365-4F32-4FA4-AA50-5BE0D04C9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1C9080-18FE-4FD8-AD72-A661D9FB5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00E894-4FC5-4D27-8BDD-A031361F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85A082-7608-4466-9634-1DD0A77C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E697CB-E0E1-444A-BB77-1FD5FA5DC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28DB0-6F24-4EB1-91FE-1B9D5B95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581025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10FB19-D04E-4014-AFF9-6D1B5B6DD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0</xdr:colOff>
      <xdr:row>6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DF6A86-A06F-4820-9595-E28B0255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0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D073ED-153F-4302-8D24-57429EFCE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7FAA07-A9AD-4383-A1B9-BCC788F2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266700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1C25DA-41F5-4F3B-9FB7-DD39B7BB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409575</xdr:colOff>
      <xdr:row>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B79737-69B2-4B6F-995E-80766F84D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0"/>
          <a:ext cx="2743200" cy="18764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314325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692D71-9C74-4F1D-8F51-949DC9E77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365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34468F-B626-413F-BF3B-F66CA1D1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D55DD5-01B4-480B-AB5D-E22D0449E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27E305-00BD-42AF-95D9-E71D7E06E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6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B7753D-BF8E-4EAF-85A7-CDDFC16E2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2A202-E482-41E1-AE3F-CE8B1FB7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BA6F6-3286-4AE2-B61D-0A97CFF1D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778389-F275-4BA5-9104-A31B76C7D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28575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6CC9E0-5D5D-4993-8A89-B9FA9800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2466975" cy="16954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542925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B3C67-ACEF-4894-A712-BD985016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0"/>
          <a:ext cx="2466975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209F-A268-4782-864C-53A4E97F4B61}">
  <dimension ref="A1:C44"/>
  <sheetViews>
    <sheetView tabSelected="1" workbookViewId="0">
      <pane ySplit="1" topLeftCell="A2" activePane="bottomLeft" state="frozen"/>
      <selection activeCell="H91" sqref="H91"/>
      <selection pane="bottomLeft"/>
    </sheetView>
  </sheetViews>
  <sheetFormatPr defaultColWidth="8.85546875" defaultRowHeight="15" x14ac:dyDescent="0.2"/>
  <cols>
    <col min="1" max="1" width="6" style="50" bestFit="1" customWidth="1"/>
    <col min="2" max="2" width="11.140625" style="53" bestFit="1" customWidth="1"/>
    <col min="3" max="3" width="56.42578125" style="53" bestFit="1" customWidth="1"/>
    <col min="4" max="16384" width="8.85546875" style="53"/>
  </cols>
  <sheetData>
    <row r="1" spans="1:3" s="50" customFormat="1" x14ac:dyDescent="0.2">
      <c r="A1" s="48" t="s">
        <v>829</v>
      </c>
      <c r="B1" s="49" t="s">
        <v>830</v>
      </c>
      <c r="C1" s="49" t="s">
        <v>831</v>
      </c>
    </row>
    <row r="2" spans="1:3" x14ac:dyDescent="0.2">
      <c r="A2" s="51">
        <v>1</v>
      </c>
      <c r="B2" s="52" t="s">
        <v>832</v>
      </c>
      <c r="C2" s="52" t="s">
        <v>1</v>
      </c>
    </row>
    <row r="3" spans="1:3" x14ac:dyDescent="0.2">
      <c r="A3" s="51">
        <v>2</v>
      </c>
      <c r="B3" s="52" t="s">
        <v>833</v>
      </c>
      <c r="C3" s="52" t="s">
        <v>150</v>
      </c>
    </row>
    <row r="4" spans="1:3" x14ac:dyDescent="0.2">
      <c r="A4" s="51">
        <v>3</v>
      </c>
      <c r="B4" s="52" t="s">
        <v>834</v>
      </c>
      <c r="C4" s="54" t="s">
        <v>285</v>
      </c>
    </row>
    <row r="5" spans="1:3" x14ac:dyDescent="0.2">
      <c r="A5" s="51">
        <v>4</v>
      </c>
      <c r="B5" s="52" t="s">
        <v>835</v>
      </c>
      <c r="C5" s="54" t="s">
        <v>288</v>
      </c>
    </row>
    <row r="6" spans="1:3" x14ac:dyDescent="0.2">
      <c r="A6" s="51">
        <v>5</v>
      </c>
      <c r="B6" s="52" t="s">
        <v>836</v>
      </c>
      <c r="C6" s="54" t="s">
        <v>289</v>
      </c>
    </row>
    <row r="7" spans="1:3" x14ac:dyDescent="0.2">
      <c r="A7" s="51">
        <v>6</v>
      </c>
      <c r="B7" s="52" t="s">
        <v>837</v>
      </c>
      <c r="C7" s="52" t="s">
        <v>294</v>
      </c>
    </row>
    <row r="8" spans="1:3" x14ac:dyDescent="0.2">
      <c r="A8" s="51">
        <v>7</v>
      </c>
      <c r="B8" s="52" t="s">
        <v>838</v>
      </c>
      <c r="C8" s="52" t="s">
        <v>398</v>
      </c>
    </row>
    <row r="9" spans="1:3" x14ac:dyDescent="0.2">
      <c r="A9" s="51">
        <v>8</v>
      </c>
      <c r="B9" s="52" t="s">
        <v>839</v>
      </c>
      <c r="C9" s="52" t="s">
        <v>840</v>
      </c>
    </row>
    <row r="10" spans="1:3" x14ac:dyDescent="0.2">
      <c r="A10" s="51">
        <v>9</v>
      </c>
      <c r="B10" s="52" t="s">
        <v>841</v>
      </c>
      <c r="C10" s="52" t="s">
        <v>842</v>
      </c>
    </row>
    <row r="11" spans="1:3" x14ac:dyDescent="0.2">
      <c r="A11" s="51">
        <v>10</v>
      </c>
      <c r="B11" s="52" t="s">
        <v>843</v>
      </c>
      <c r="C11" s="52" t="s">
        <v>446</v>
      </c>
    </row>
    <row r="12" spans="1:3" x14ac:dyDescent="0.2">
      <c r="A12" s="51">
        <v>11</v>
      </c>
      <c r="B12" s="52" t="s">
        <v>844</v>
      </c>
      <c r="C12" s="52" t="s">
        <v>465</v>
      </c>
    </row>
    <row r="13" spans="1:3" x14ac:dyDescent="0.2">
      <c r="A13" s="51">
        <v>12</v>
      </c>
      <c r="B13" s="52" t="s">
        <v>845</v>
      </c>
      <c r="C13" s="52" t="s">
        <v>466</v>
      </c>
    </row>
    <row r="14" spans="1:3" x14ac:dyDescent="0.2">
      <c r="A14" s="51">
        <v>13</v>
      </c>
      <c r="B14" s="52" t="s">
        <v>846</v>
      </c>
      <c r="C14" s="52" t="s">
        <v>469</v>
      </c>
    </row>
    <row r="15" spans="1:3" x14ac:dyDescent="0.2">
      <c r="A15" s="51">
        <v>14</v>
      </c>
      <c r="B15" s="52" t="s">
        <v>847</v>
      </c>
      <c r="C15" s="52" t="s">
        <v>470</v>
      </c>
    </row>
    <row r="16" spans="1:3" x14ac:dyDescent="0.2">
      <c r="A16" s="51">
        <v>15</v>
      </c>
      <c r="B16" s="54" t="s">
        <v>848</v>
      </c>
      <c r="C16" s="54" t="s">
        <v>471</v>
      </c>
    </row>
    <row r="17" spans="1:3" x14ac:dyDescent="0.2">
      <c r="A17" s="51">
        <v>16</v>
      </c>
      <c r="B17" s="54" t="s">
        <v>849</v>
      </c>
      <c r="C17" s="54" t="s">
        <v>472</v>
      </c>
    </row>
    <row r="18" spans="1:3" x14ac:dyDescent="0.2">
      <c r="A18" s="51">
        <v>17</v>
      </c>
      <c r="B18" s="54" t="s">
        <v>850</v>
      </c>
      <c r="C18" s="54" t="s">
        <v>489</v>
      </c>
    </row>
    <row r="19" spans="1:3" x14ac:dyDescent="0.2">
      <c r="A19" s="51">
        <v>18</v>
      </c>
      <c r="B19" s="54" t="s">
        <v>851</v>
      </c>
      <c r="C19" s="54" t="s">
        <v>852</v>
      </c>
    </row>
    <row r="20" spans="1:3" x14ac:dyDescent="0.2">
      <c r="A20" s="51">
        <v>19</v>
      </c>
      <c r="B20" s="54" t="s">
        <v>853</v>
      </c>
      <c r="C20" s="54" t="s">
        <v>854</v>
      </c>
    </row>
    <row r="21" spans="1:3" x14ac:dyDescent="0.2">
      <c r="A21" s="51">
        <v>20</v>
      </c>
      <c r="B21" s="54" t="s">
        <v>855</v>
      </c>
      <c r="C21" s="54" t="s">
        <v>856</v>
      </c>
    </row>
    <row r="22" spans="1:3" x14ac:dyDescent="0.2">
      <c r="A22" s="51">
        <v>21</v>
      </c>
      <c r="B22" s="54" t="s">
        <v>857</v>
      </c>
      <c r="C22" s="54" t="s">
        <v>858</v>
      </c>
    </row>
    <row r="23" spans="1:3" x14ac:dyDescent="0.2">
      <c r="A23" s="51">
        <v>22</v>
      </c>
      <c r="B23" s="54" t="s">
        <v>859</v>
      </c>
      <c r="C23" s="54" t="s">
        <v>505</v>
      </c>
    </row>
    <row r="24" spans="1:3" x14ac:dyDescent="0.2">
      <c r="A24" s="51">
        <v>23</v>
      </c>
      <c r="B24" s="54" t="s">
        <v>860</v>
      </c>
      <c r="C24" s="54" t="s">
        <v>506</v>
      </c>
    </row>
    <row r="25" spans="1:3" x14ac:dyDescent="0.2">
      <c r="A25" s="51">
        <v>24</v>
      </c>
      <c r="B25" s="54" t="s">
        <v>861</v>
      </c>
      <c r="C25" s="54" t="s">
        <v>507</v>
      </c>
    </row>
    <row r="26" spans="1:3" x14ac:dyDescent="0.2">
      <c r="A26" s="51">
        <v>25</v>
      </c>
      <c r="B26" s="54" t="s">
        <v>862</v>
      </c>
      <c r="C26" s="54" t="s">
        <v>508</v>
      </c>
    </row>
    <row r="27" spans="1:3" x14ac:dyDescent="0.2">
      <c r="A27" s="51">
        <v>26</v>
      </c>
      <c r="B27" s="54" t="s">
        <v>863</v>
      </c>
      <c r="C27" s="54" t="s">
        <v>509</v>
      </c>
    </row>
    <row r="28" spans="1:3" x14ac:dyDescent="0.2">
      <c r="A28" s="51">
        <v>27</v>
      </c>
      <c r="B28" s="54" t="s">
        <v>864</v>
      </c>
      <c r="C28" s="54" t="s">
        <v>518</v>
      </c>
    </row>
    <row r="29" spans="1:3" x14ac:dyDescent="0.2">
      <c r="A29" s="51">
        <v>28</v>
      </c>
      <c r="B29" s="54" t="s">
        <v>865</v>
      </c>
      <c r="C29" s="54" t="s">
        <v>525</v>
      </c>
    </row>
    <row r="30" spans="1:3" x14ac:dyDescent="0.2">
      <c r="A30" s="51">
        <v>29</v>
      </c>
      <c r="B30" s="54" t="s">
        <v>866</v>
      </c>
      <c r="C30" s="54" t="s">
        <v>867</v>
      </c>
    </row>
    <row r="31" spans="1:3" x14ac:dyDescent="0.2">
      <c r="A31" s="51">
        <v>30</v>
      </c>
      <c r="B31" s="54" t="s">
        <v>868</v>
      </c>
      <c r="C31" s="54" t="s">
        <v>869</v>
      </c>
    </row>
    <row r="32" spans="1:3" x14ac:dyDescent="0.2">
      <c r="A32" s="51">
        <v>31</v>
      </c>
      <c r="B32" s="54" t="s">
        <v>870</v>
      </c>
      <c r="C32" s="54" t="s">
        <v>871</v>
      </c>
    </row>
    <row r="33" spans="1:3" x14ac:dyDescent="0.2">
      <c r="A33" s="51">
        <v>32</v>
      </c>
      <c r="B33" s="54" t="s">
        <v>872</v>
      </c>
      <c r="C33" s="54" t="s">
        <v>696</v>
      </c>
    </row>
    <row r="34" spans="1:3" x14ac:dyDescent="0.2">
      <c r="A34" s="51">
        <v>33</v>
      </c>
      <c r="B34" s="54" t="s">
        <v>873</v>
      </c>
      <c r="C34" s="54" t="s">
        <v>697</v>
      </c>
    </row>
    <row r="35" spans="1:3" x14ac:dyDescent="0.2">
      <c r="A35" s="51">
        <v>34</v>
      </c>
      <c r="B35" s="54" t="s">
        <v>874</v>
      </c>
      <c r="C35" s="54" t="s">
        <v>747</v>
      </c>
    </row>
    <row r="36" spans="1:3" x14ac:dyDescent="0.2">
      <c r="A36" s="51">
        <v>35</v>
      </c>
      <c r="B36" s="54" t="s">
        <v>875</v>
      </c>
      <c r="C36" s="54" t="s">
        <v>785</v>
      </c>
    </row>
    <row r="37" spans="1:3" x14ac:dyDescent="0.2">
      <c r="A37" s="51">
        <v>36</v>
      </c>
      <c r="B37" s="54" t="s">
        <v>876</v>
      </c>
      <c r="C37" s="54" t="s">
        <v>703</v>
      </c>
    </row>
    <row r="38" spans="1:3" x14ac:dyDescent="0.2">
      <c r="A38" s="51">
        <v>37</v>
      </c>
      <c r="B38" s="54" t="s">
        <v>877</v>
      </c>
      <c r="C38" s="54" t="s">
        <v>706</v>
      </c>
    </row>
    <row r="39" spans="1:3" x14ac:dyDescent="0.2">
      <c r="A39" s="51">
        <v>38</v>
      </c>
      <c r="B39" s="54" t="s">
        <v>878</v>
      </c>
      <c r="C39" s="54" t="s">
        <v>713</v>
      </c>
    </row>
    <row r="40" spans="1:3" x14ac:dyDescent="0.2">
      <c r="A40" s="51">
        <v>39</v>
      </c>
      <c r="B40" s="54" t="s">
        <v>879</v>
      </c>
      <c r="C40" s="54" t="s">
        <v>725</v>
      </c>
    </row>
    <row r="41" spans="1:3" x14ac:dyDescent="0.2">
      <c r="A41" s="51">
        <v>40</v>
      </c>
      <c r="B41" s="54" t="s">
        <v>880</v>
      </c>
      <c r="C41" s="54" t="s">
        <v>728</v>
      </c>
    </row>
    <row r="42" spans="1:3" x14ac:dyDescent="0.2">
      <c r="A42" s="51">
        <v>41</v>
      </c>
      <c r="B42" s="54" t="s">
        <v>881</v>
      </c>
      <c r="C42" s="54" t="s">
        <v>735</v>
      </c>
    </row>
    <row r="43" spans="1:3" x14ac:dyDescent="0.2">
      <c r="A43" s="51">
        <v>42</v>
      </c>
      <c r="B43" s="54" t="s">
        <v>882</v>
      </c>
      <c r="C43" s="54" t="s">
        <v>746</v>
      </c>
    </row>
    <row r="44" spans="1:3" x14ac:dyDescent="0.2">
      <c r="A44" s="51">
        <v>43</v>
      </c>
      <c r="B44" s="54" t="s">
        <v>883</v>
      </c>
      <c r="C44" s="54" t="s">
        <v>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5"/>
  <sheetViews>
    <sheetView showGridLines="0" workbookViewId="0">
      <selection activeCell="J1" sqref="J1"/>
    </sheetView>
  </sheetViews>
  <sheetFormatPr defaultRowHeight="12.75" x14ac:dyDescent="0.2"/>
  <cols>
    <col min="1" max="1" width="5.85546875" bestFit="1" customWidth="1"/>
    <col min="2" max="2" width="19.28515625" bestFit="1" customWidth="1"/>
    <col min="3" max="3" width="34.5703125" customWidth="1"/>
    <col min="4" max="4" width="22.42578125" bestFit="1" customWidth="1"/>
    <col min="5" max="5" width="8.7109375" bestFit="1" customWidth="1"/>
    <col min="6" max="6" width="10.140625" bestFit="1" customWidth="1"/>
    <col min="7" max="7" width="14" bestFit="1" customWidth="1"/>
    <col min="8" max="8" width="8.42578125" bestFit="1" customWidth="1"/>
  </cols>
  <sheetData>
    <row r="1" spans="1:8" ht="18" customHeight="1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7.100000000000001" customHeight="1" x14ac:dyDescent="0.2">
      <c r="A2" s="210" t="s">
        <v>1</v>
      </c>
      <c r="B2" s="211"/>
      <c r="C2" s="211"/>
      <c r="D2" s="211"/>
      <c r="E2" s="211"/>
      <c r="F2" s="211"/>
      <c r="G2" s="211"/>
      <c r="H2" s="212"/>
    </row>
    <row r="3" spans="1:8" ht="21" customHeight="1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ht="14.1" customHeight="1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4" customHeight="1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17.100000000000001" customHeight="1" x14ac:dyDescent="0.2">
      <c r="A7" s="5">
        <v>1</v>
      </c>
      <c r="B7" s="6" t="s">
        <v>13</v>
      </c>
      <c r="C7" s="6" t="s">
        <v>14</v>
      </c>
      <c r="D7" s="6" t="s">
        <v>15</v>
      </c>
      <c r="E7" s="7">
        <v>321736</v>
      </c>
      <c r="F7" s="8">
        <v>4722.1192719999999</v>
      </c>
      <c r="G7" s="9">
        <v>8.0513137999999998E-2</v>
      </c>
      <c r="H7" s="167"/>
    </row>
    <row r="8" spans="1:8" ht="17.100000000000001" customHeight="1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206442</v>
      </c>
      <c r="F8" s="8">
        <v>4459.7665260000003</v>
      </c>
      <c r="G8" s="9">
        <v>7.6039967999999999E-2</v>
      </c>
      <c r="H8" s="167"/>
    </row>
    <row r="9" spans="1:8" ht="17.100000000000001" customHeight="1" x14ac:dyDescent="0.2">
      <c r="A9" s="5">
        <v>3</v>
      </c>
      <c r="B9" s="6" t="s">
        <v>19</v>
      </c>
      <c r="C9" s="6" t="s">
        <v>20</v>
      </c>
      <c r="D9" s="6" t="s">
        <v>970</v>
      </c>
      <c r="E9" s="7">
        <v>362486</v>
      </c>
      <c r="F9" s="8">
        <v>3502.5209749999999</v>
      </c>
      <c r="G9" s="9">
        <v>5.9718727999999999E-2</v>
      </c>
      <c r="H9" s="167"/>
    </row>
    <row r="10" spans="1:8" ht="17.100000000000001" customHeight="1" x14ac:dyDescent="0.2">
      <c r="A10" s="5">
        <v>4</v>
      </c>
      <c r="B10" s="6" t="s">
        <v>21</v>
      </c>
      <c r="C10" s="6" t="s">
        <v>22</v>
      </c>
      <c r="D10" s="6" t="s">
        <v>23</v>
      </c>
      <c r="E10" s="7">
        <v>498729</v>
      </c>
      <c r="F10" s="8">
        <v>3305.3264475000001</v>
      </c>
      <c r="G10" s="9">
        <v>5.6356519000000001E-2</v>
      </c>
      <c r="H10" s="167"/>
    </row>
    <row r="11" spans="1:8" ht="17.100000000000001" customHeight="1" x14ac:dyDescent="0.2">
      <c r="A11" s="5">
        <v>5</v>
      </c>
      <c r="B11" s="6" t="s">
        <v>24</v>
      </c>
      <c r="C11" s="6" t="s">
        <v>25</v>
      </c>
      <c r="D11" s="6" t="s">
        <v>26</v>
      </c>
      <c r="E11" s="7">
        <v>574661</v>
      </c>
      <c r="F11" s="8">
        <v>3073.8616889999998</v>
      </c>
      <c r="G11" s="9">
        <v>5.2409996E-2</v>
      </c>
      <c r="H11" s="167"/>
    </row>
    <row r="12" spans="1:8" ht="17.100000000000001" customHeight="1" x14ac:dyDescent="0.2">
      <c r="A12" s="5">
        <v>6</v>
      </c>
      <c r="B12" s="6" t="s">
        <v>27</v>
      </c>
      <c r="C12" s="6" t="s">
        <v>28</v>
      </c>
      <c r="D12" s="6" t="s">
        <v>29</v>
      </c>
      <c r="E12" s="7">
        <v>232062</v>
      </c>
      <c r="F12" s="8">
        <v>2831.736555</v>
      </c>
      <c r="G12" s="9">
        <v>4.8281710999999998E-2</v>
      </c>
      <c r="H12" s="167"/>
    </row>
    <row r="13" spans="1:8" ht="17.100000000000001" customHeight="1" x14ac:dyDescent="0.2">
      <c r="A13" s="5">
        <v>7</v>
      </c>
      <c r="B13" s="6" t="s">
        <v>30</v>
      </c>
      <c r="C13" s="6" t="s">
        <v>31</v>
      </c>
      <c r="D13" s="6" t="s">
        <v>32</v>
      </c>
      <c r="E13" s="7">
        <v>793635</v>
      </c>
      <c r="F13" s="8">
        <v>2055.1178325000001</v>
      </c>
      <c r="G13" s="9">
        <v>3.5040196000000003E-2</v>
      </c>
      <c r="H13" s="167"/>
    </row>
    <row r="14" spans="1:8" ht="17.100000000000001" customHeight="1" x14ac:dyDescent="0.2">
      <c r="A14" s="5">
        <v>8</v>
      </c>
      <c r="B14" s="6" t="s">
        <v>33</v>
      </c>
      <c r="C14" s="6" t="s">
        <v>34</v>
      </c>
      <c r="D14" s="6" t="s">
        <v>970</v>
      </c>
      <c r="E14" s="7">
        <v>70820</v>
      </c>
      <c r="F14" s="8">
        <v>2017.9804899999999</v>
      </c>
      <c r="G14" s="9">
        <v>3.4406997000000002E-2</v>
      </c>
      <c r="H14" s="167"/>
    </row>
    <row r="15" spans="1:8" ht="29.1" customHeight="1" x14ac:dyDescent="0.2">
      <c r="A15" s="5">
        <v>9</v>
      </c>
      <c r="B15" s="6" t="s">
        <v>35</v>
      </c>
      <c r="C15" s="6" t="s">
        <v>36</v>
      </c>
      <c r="D15" s="6" t="s">
        <v>37</v>
      </c>
      <c r="E15" s="7">
        <v>4685</v>
      </c>
      <c r="F15" s="8">
        <v>2007.3561824999999</v>
      </c>
      <c r="G15" s="9">
        <v>3.4225850000000002E-2</v>
      </c>
      <c r="H15" s="167"/>
    </row>
    <row r="16" spans="1:8" ht="17.100000000000001" customHeight="1" x14ac:dyDescent="0.2">
      <c r="A16" s="5">
        <v>10</v>
      </c>
      <c r="B16" s="6" t="s">
        <v>38</v>
      </c>
      <c r="C16" s="6" t="s">
        <v>39</v>
      </c>
      <c r="D16" s="6" t="s">
        <v>29</v>
      </c>
      <c r="E16" s="7">
        <v>118332</v>
      </c>
      <c r="F16" s="8">
        <v>1981.1735100000001</v>
      </c>
      <c r="G16" s="9">
        <v>3.3779429999999999E-2</v>
      </c>
      <c r="H16" s="167"/>
    </row>
    <row r="17" spans="1:8" ht="17.100000000000001" customHeight="1" x14ac:dyDescent="0.2">
      <c r="A17" s="5">
        <v>11</v>
      </c>
      <c r="B17" s="6" t="s">
        <v>40</v>
      </c>
      <c r="C17" s="6" t="s">
        <v>41</v>
      </c>
      <c r="D17" s="6" t="s">
        <v>970</v>
      </c>
      <c r="E17" s="7">
        <v>28500</v>
      </c>
      <c r="F17" s="8">
        <v>1911.78</v>
      </c>
      <c r="G17" s="9">
        <v>3.2596255999999997E-2</v>
      </c>
      <c r="H17" s="167"/>
    </row>
    <row r="18" spans="1:8" ht="29.1" customHeight="1" x14ac:dyDescent="0.2">
      <c r="A18" s="5">
        <v>12</v>
      </c>
      <c r="B18" s="6" t="s">
        <v>42</v>
      </c>
      <c r="C18" s="6" t="s">
        <v>43</v>
      </c>
      <c r="D18" s="6" t="s">
        <v>37</v>
      </c>
      <c r="E18" s="7">
        <v>510452</v>
      </c>
      <c r="F18" s="8">
        <v>1724.5620819999999</v>
      </c>
      <c r="G18" s="9">
        <v>2.940415E-2</v>
      </c>
      <c r="H18" s="167"/>
    </row>
    <row r="19" spans="1:8" ht="17.100000000000001" customHeight="1" x14ac:dyDescent="0.2">
      <c r="A19" s="5">
        <v>13</v>
      </c>
      <c r="B19" s="6" t="s">
        <v>44</v>
      </c>
      <c r="C19" s="6" t="s">
        <v>45</v>
      </c>
      <c r="D19" s="6" t="s">
        <v>29</v>
      </c>
      <c r="E19" s="7">
        <v>86944</v>
      </c>
      <c r="F19" s="8">
        <v>1596.987392</v>
      </c>
      <c r="G19" s="9">
        <v>2.7228974999999999E-2</v>
      </c>
      <c r="H19" s="167"/>
    </row>
    <row r="20" spans="1:8" ht="17.100000000000001" customHeight="1" x14ac:dyDescent="0.2">
      <c r="A20" s="5">
        <v>14</v>
      </c>
      <c r="B20" s="6" t="s">
        <v>46</v>
      </c>
      <c r="C20" s="6" t="s">
        <v>47</v>
      </c>
      <c r="D20" s="6" t="s">
        <v>29</v>
      </c>
      <c r="E20" s="7">
        <v>152664</v>
      </c>
      <c r="F20" s="8">
        <v>1490.992956</v>
      </c>
      <c r="G20" s="9">
        <v>2.5421747000000001E-2</v>
      </c>
      <c r="H20" s="167"/>
    </row>
    <row r="21" spans="1:8" ht="17.100000000000001" customHeight="1" x14ac:dyDescent="0.2">
      <c r="A21" s="5">
        <v>15</v>
      </c>
      <c r="B21" s="6" t="s">
        <v>48</v>
      </c>
      <c r="C21" s="6" t="s">
        <v>49</v>
      </c>
      <c r="D21" s="6" t="s">
        <v>50</v>
      </c>
      <c r="E21" s="7">
        <v>1356087</v>
      </c>
      <c r="F21" s="8">
        <v>1443.5546115</v>
      </c>
      <c r="G21" s="9">
        <v>2.4612913E-2</v>
      </c>
      <c r="H21" s="167"/>
    </row>
    <row r="22" spans="1:8" ht="17.100000000000001" customHeight="1" x14ac:dyDescent="0.2">
      <c r="A22" s="5">
        <v>16</v>
      </c>
      <c r="B22" s="6" t="s">
        <v>51</v>
      </c>
      <c r="C22" s="6" t="s">
        <v>52</v>
      </c>
      <c r="D22" s="6" t="s">
        <v>23</v>
      </c>
      <c r="E22" s="7">
        <v>90000</v>
      </c>
      <c r="F22" s="8">
        <v>1364.2650000000001</v>
      </c>
      <c r="G22" s="9">
        <v>2.3261008E-2</v>
      </c>
      <c r="H22" s="167"/>
    </row>
    <row r="23" spans="1:8" ht="17.100000000000001" customHeight="1" x14ac:dyDescent="0.2">
      <c r="A23" s="5">
        <v>17</v>
      </c>
      <c r="B23" s="6" t="s">
        <v>53</v>
      </c>
      <c r="C23" s="6" t="s">
        <v>54</v>
      </c>
      <c r="D23" s="6" t="s">
        <v>32</v>
      </c>
      <c r="E23" s="7">
        <v>621209</v>
      </c>
      <c r="F23" s="8">
        <v>1312.3040125</v>
      </c>
      <c r="G23" s="9">
        <v>2.2375063000000001E-2</v>
      </c>
      <c r="H23" s="167"/>
    </row>
    <row r="24" spans="1:8" ht="17.100000000000001" customHeight="1" x14ac:dyDescent="0.2">
      <c r="A24" s="5">
        <v>18</v>
      </c>
      <c r="B24" s="6" t="s">
        <v>55</v>
      </c>
      <c r="C24" s="6" t="s">
        <v>56</v>
      </c>
      <c r="D24" s="6" t="s">
        <v>57</v>
      </c>
      <c r="E24" s="7">
        <v>1000000</v>
      </c>
      <c r="F24" s="8">
        <v>1266</v>
      </c>
      <c r="G24" s="9">
        <v>2.1585568999999999E-2</v>
      </c>
      <c r="H24" s="167"/>
    </row>
    <row r="25" spans="1:8" ht="41.1" customHeight="1" x14ac:dyDescent="0.2">
      <c r="A25" s="5">
        <v>19</v>
      </c>
      <c r="B25" s="6" t="s">
        <v>58</v>
      </c>
      <c r="C25" s="6" t="s">
        <v>59</v>
      </c>
      <c r="D25" s="6" t="s">
        <v>974</v>
      </c>
      <c r="E25" s="7">
        <v>964843</v>
      </c>
      <c r="F25" s="8">
        <v>1241.752941</v>
      </c>
      <c r="G25" s="9">
        <v>2.1172152E-2</v>
      </c>
      <c r="H25" s="167"/>
    </row>
    <row r="26" spans="1:8" ht="17.100000000000001" customHeight="1" x14ac:dyDescent="0.2">
      <c r="A26" s="5">
        <v>20</v>
      </c>
      <c r="B26" s="6" t="s">
        <v>61</v>
      </c>
      <c r="C26" s="6" t="s">
        <v>62</v>
      </c>
      <c r="D26" s="6" t="s">
        <v>18</v>
      </c>
      <c r="E26" s="7">
        <v>260339</v>
      </c>
      <c r="F26" s="8">
        <v>1228.80008</v>
      </c>
      <c r="G26" s="9">
        <v>2.0951303000000001E-2</v>
      </c>
      <c r="H26" s="167"/>
    </row>
    <row r="27" spans="1:8" ht="29.1" customHeight="1" x14ac:dyDescent="0.2">
      <c r="A27" s="5">
        <v>21</v>
      </c>
      <c r="B27" s="6" t="s">
        <v>63</v>
      </c>
      <c r="C27" s="6" t="s">
        <v>64</v>
      </c>
      <c r="D27" s="6" t="s">
        <v>37</v>
      </c>
      <c r="E27" s="7">
        <v>205886</v>
      </c>
      <c r="F27" s="8">
        <v>1165.0059309999999</v>
      </c>
      <c r="G27" s="9">
        <v>1.9863598999999999E-2</v>
      </c>
      <c r="H27" s="167"/>
    </row>
    <row r="28" spans="1:8" ht="17.100000000000001" customHeight="1" x14ac:dyDescent="0.2">
      <c r="A28" s="5">
        <v>22</v>
      </c>
      <c r="B28" s="6" t="s">
        <v>65</v>
      </c>
      <c r="C28" s="6" t="s">
        <v>66</v>
      </c>
      <c r="D28" s="6" t="s">
        <v>67</v>
      </c>
      <c r="E28" s="7">
        <v>208993</v>
      </c>
      <c r="F28" s="8">
        <v>1146.117612</v>
      </c>
      <c r="G28" s="9">
        <v>1.9541548999999998E-2</v>
      </c>
      <c r="H28" s="167"/>
    </row>
    <row r="29" spans="1:8" ht="17.100000000000001" customHeight="1" x14ac:dyDescent="0.2">
      <c r="A29" s="5">
        <v>23</v>
      </c>
      <c r="B29" s="6" t="s">
        <v>68</v>
      </c>
      <c r="C29" s="6" t="s">
        <v>69</v>
      </c>
      <c r="D29" s="6" t="s">
        <v>70</v>
      </c>
      <c r="E29" s="7">
        <v>716249</v>
      </c>
      <c r="F29" s="8">
        <v>1145.6402754999999</v>
      </c>
      <c r="G29" s="9">
        <v>1.9533410000000001E-2</v>
      </c>
      <c r="H29" s="167"/>
    </row>
    <row r="30" spans="1:8" ht="29.1" customHeight="1" x14ac:dyDescent="0.2">
      <c r="A30" s="5">
        <v>24</v>
      </c>
      <c r="B30" s="6" t="s">
        <v>71</v>
      </c>
      <c r="C30" s="6" t="s">
        <v>72</v>
      </c>
      <c r="D30" s="6" t="s">
        <v>37</v>
      </c>
      <c r="E30" s="7">
        <v>23847</v>
      </c>
      <c r="F30" s="8">
        <v>1144.0240544999999</v>
      </c>
      <c r="G30" s="9">
        <v>1.9505854E-2</v>
      </c>
      <c r="H30" s="167"/>
    </row>
    <row r="31" spans="1:8" ht="17.100000000000001" customHeight="1" x14ac:dyDescent="0.2">
      <c r="A31" s="5">
        <v>25</v>
      </c>
      <c r="B31" s="6" t="s">
        <v>73</v>
      </c>
      <c r="C31" s="6" t="s">
        <v>74</v>
      </c>
      <c r="D31" s="6" t="s">
        <v>75</v>
      </c>
      <c r="E31" s="7">
        <v>40750</v>
      </c>
      <c r="F31" s="8">
        <v>1111.558125</v>
      </c>
      <c r="G31" s="9">
        <v>1.8952303E-2</v>
      </c>
      <c r="H31" s="167"/>
    </row>
    <row r="32" spans="1:8" ht="29.1" customHeight="1" x14ac:dyDescent="0.2">
      <c r="A32" s="5">
        <v>26</v>
      </c>
      <c r="B32" s="6" t="s">
        <v>76</v>
      </c>
      <c r="C32" s="6" t="s">
        <v>77</v>
      </c>
      <c r="D32" s="6" t="s">
        <v>78</v>
      </c>
      <c r="E32" s="7">
        <v>187344</v>
      </c>
      <c r="F32" s="8">
        <v>1071.3266639999999</v>
      </c>
      <c r="G32" s="9">
        <v>1.8266348000000002E-2</v>
      </c>
      <c r="H32" s="167"/>
    </row>
    <row r="33" spans="1:8" ht="29.1" customHeight="1" x14ac:dyDescent="0.2">
      <c r="A33" s="5">
        <v>27</v>
      </c>
      <c r="B33" s="6" t="s">
        <v>79</v>
      </c>
      <c r="C33" s="6" t="s">
        <v>80</v>
      </c>
      <c r="D33" s="6" t="s">
        <v>37</v>
      </c>
      <c r="E33" s="7">
        <v>470614</v>
      </c>
      <c r="F33" s="8">
        <v>922.874054</v>
      </c>
      <c r="G33" s="9">
        <v>1.5735198999999998E-2</v>
      </c>
      <c r="H33" s="167"/>
    </row>
    <row r="34" spans="1:8" ht="17.100000000000001" customHeight="1" x14ac:dyDescent="0.2">
      <c r="A34" s="5">
        <v>28</v>
      </c>
      <c r="B34" s="6" t="s">
        <v>81</v>
      </c>
      <c r="C34" s="6" t="s">
        <v>82</v>
      </c>
      <c r="D34" s="6" t="s">
        <v>83</v>
      </c>
      <c r="E34" s="7">
        <v>716100</v>
      </c>
      <c r="F34" s="8">
        <v>813.84765000000004</v>
      </c>
      <c r="G34" s="9">
        <v>1.3876276E-2</v>
      </c>
      <c r="H34" s="167"/>
    </row>
    <row r="35" spans="1:8" ht="17.100000000000001" customHeight="1" x14ac:dyDescent="0.2">
      <c r="A35" s="5">
        <v>29</v>
      </c>
      <c r="B35" s="6" t="s">
        <v>84</v>
      </c>
      <c r="C35" s="6" t="s">
        <v>85</v>
      </c>
      <c r="D35" s="6" t="s">
        <v>15</v>
      </c>
      <c r="E35" s="7">
        <v>978673</v>
      </c>
      <c r="F35" s="8">
        <v>792.2357935</v>
      </c>
      <c r="G35" s="9">
        <v>1.3507788999999999E-2</v>
      </c>
      <c r="H35" s="167"/>
    </row>
    <row r="36" spans="1:8" ht="17.100000000000001" customHeight="1" x14ac:dyDescent="0.2">
      <c r="A36" s="5">
        <v>30</v>
      </c>
      <c r="B36" s="6" t="s">
        <v>86</v>
      </c>
      <c r="C36" s="6" t="s">
        <v>87</v>
      </c>
      <c r="D36" s="6" t="s">
        <v>29</v>
      </c>
      <c r="E36" s="7">
        <v>62906</v>
      </c>
      <c r="F36" s="8">
        <v>495.00731400000001</v>
      </c>
      <c r="G36" s="9">
        <v>8.4399799999999997E-3</v>
      </c>
      <c r="H36" s="167"/>
    </row>
    <row r="37" spans="1:8" ht="17.100000000000001" customHeight="1" x14ac:dyDescent="0.2">
      <c r="A37" s="5">
        <v>31</v>
      </c>
      <c r="B37" s="6" t="s">
        <v>88</v>
      </c>
      <c r="C37" s="6" t="s">
        <v>89</v>
      </c>
      <c r="D37" s="6" t="s">
        <v>70</v>
      </c>
      <c r="E37" s="7">
        <v>199331</v>
      </c>
      <c r="F37" s="8">
        <v>481.28469949999999</v>
      </c>
      <c r="G37" s="9">
        <v>8.2060069999999995E-3</v>
      </c>
      <c r="H37" s="167"/>
    </row>
    <row r="38" spans="1:8" ht="29.1" customHeight="1" x14ac:dyDescent="0.2">
      <c r="A38" s="5">
        <v>32</v>
      </c>
      <c r="B38" s="6" t="s">
        <v>90</v>
      </c>
      <c r="C38" s="6" t="s">
        <v>91</v>
      </c>
      <c r="D38" s="6" t="s">
        <v>67</v>
      </c>
      <c r="E38" s="7">
        <v>57455</v>
      </c>
      <c r="F38" s="8">
        <v>442.14495249999999</v>
      </c>
      <c r="G38" s="9">
        <v>7.5386660000000003E-3</v>
      </c>
      <c r="H38" s="167"/>
    </row>
    <row r="39" spans="1:8" ht="17.100000000000001" customHeight="1" x14ac:dyDescent="0.2">
      <c r="A39" s="5">
        <v>33</v>
      </c>
      <c r="B39" s="6" t="s">
        <v>92</v>
      </c>
      <c r="C39" s="6" t="s">
        <v>93</v>
      </c>
      <c r="D39" s="6" t="s">
        <v>94</v>
      </c>
      <c r="E39" s="7">
        <v>350000</v>
      </c>
      <c r="F39" s="8">
        <v>432.07499999999999</v>
      </c>
      <c r="G39" s="9">
        <v>7.3669709999999999E-3</v>
      </c>
      <c r="H39" s="167"/>
    </row>
    <row r="40" spans="1:8" ht="17.100000000000001" customHeight="1" x14ac:dyDescent="0.2">
      <c r="A40" s="5">
        <v>34</v>
      </c>
      <c r="B40" s="6" t="s">
        <v>95</v>
      </c>
      <c r="C40" s="6" t="s">
        <v>96</v>
      </c>
      <c r="D40" s="6" t="s">
        <v>75</v>
      </c>
      <c r="E40" s="7">
        <v>118206</v>
      </c>
      <c r="F40" s="8">
        <v>302.66646300000002</v>
      </c>
      <c r="G40" s="9">
        <v>5.1605280000000002E-3</v>
      </c>
      <c r="H40" s="167"/>
    </row>
    <row r="41" spans="1:8" ht="17.100000000000001" customHeight="1" x14ac:dyDescent="0.2">
      <c r="A41" s="5">
        <v>35</v>
      </c>
      <c r="B41" s="6" t="s">
        <v>97</v>
      </c>
      <c r="C41" s="6" t="s">
        <v>98</v>
      </c>
      <c r="D41" s="6" t="s">
        <v>29</v>
      </c>
      <c r="E41" s="7">
        <v>5649</v>
      </c>
      <c r="F41" s="8">
        <v>298.73324250000002</v>
      </c>
      <c r="G41" s="9">
        <v>5.0934650000000001E-3</v>
      </c>
      <c r="H41" s="167"/>
    </row>
    <row r="42" spans="1:8" ht="17.100000000000001" customHeight="1" x14ac:dyDescent="0.2">
      <c r="A42" s="5">
        <v>36</v>
      </c>
      <c r="B42" s="6" t="s">
        <v>99</v>
      </c>
      <c r="C42" s="6" t="s">
        <v>100</v>
      </c>
      <c r="D42" s="6" t="s">
        <v>32</v>
      </c>
      <c r="E42" s="7">
        <v>100000</v>
      </c>
      <c r="F42" s="8">
        <v>273.2</v>
      </c>
      <c r="G42" s="9">
        <v>4.6581180000000002E-3</v>
      </c>
      <c r="H42" s="167"/>
    </row>
    <row r="43" spans="1:8" ht="17.100000000000001" customHeight="1" x14ac:dyDescent="0.2">
      <c r="A43" s="5">
        <v>37</v>
      </c>
      <c r="B43" s="6" t="s">
        <v>101</v>
      </c>
      <c r="C43" s="6" t="s">
        <v>968</v>
      </c>
      <c r="D43" s="6" t="s">
        <v>32</v>
      </c>
      <c r="E43" s="7">
        <v>397500</v>
      </c>
      <c r="F43" s="8">
        <v>261.95249999999999</v>
      </c>
      <c r="G43" s="9">
        <v>4.4663460000000004E-3</v>
      </c>
      <c r="H43" s="167"/>
    </row>
    <row r="44" spans="1:8" ht="17.100000000000001" customHeight="1" x14ac:dyDescent="0.2">
      <c r="A44" s="5">
        <v>38</v>
      </c>
      <c r="B44" s="6" t="s">
        <v>102</v>
      </c>
      <c r="C44" s="6" t="s">
        <v>103</v>
      </c>
      <c r="D44" s="6" t="s">
        <v>970</v>
      </c>
      <c r="E44" s="7">
        <v>6000</v>
      </c>
      <c r="F44" s="8">
        <v>105.9</v>
      </c>
      <c r="G44" s="9">
        <v>1.8056179999999999E-3</v>
      </c>
      <c r="H44" s="167"/>
    </row>
    <row r="45" spans="1:8" ht="14.1" customHeight="1" x14ac:dyDescent="0.2">
      <c r="A45" s="3" t="s">
        <v>10</v>
      </c>
      <c r="B45" s="3" t="s">
        <v>10</v>
      </c>
      <c r="C45" s="4" t="s">
        <v>104</v>
      </c>
      <c r="D45" s="3" t="s">
        <v>10</v>
      </c>
      <c r="E45" s="3" t="s">
        <v>10</v>
      </c>
      <c r="F45" s="10">
        <v>56943.552885500008</v>
      </c>
      <c r="G45" s="11">
        <v>0.97089969499999995</v>
      </c>
      <c r="H45" s="167"/>
    </row>
    <row r="46" spans="1:8" ht="14.1" customHeight="1" x14ac:dyDescent="0.2">
      <c r="A46" s="3" t="s">
        <v>10</v>
      </c>
      <c r="B46" s="3" t="s">
        <v>10</v>
      </c>
      <c r="C46" s="12" t="s">
        <v>10</v>
      </c>
      <c r="D46" s="3" t="s">
        <v>10</v>
      </c>
      <c r="E46" s="3" t="s">
        <v>10</v>
      </c>
      <c r="F46" s="10"/>
      <c r="G46" s="13" t="s">
        <v>10</v>
      </c>
      <c r="H46" s="167"/>
    </row>
    <row r="47" spans="1:8" ht="14.1" customHeight="1" x14ac:dyDescent="0.2">
      <c r="A47" s="3" t="s">
        <v>10</v>
      </c>
      <c r="B47" s="3" t="s">
        <v>10</v>
      </c>
      <c r="C47" s="4" t="s">
        <v>105</v>
      </c>
      <c r="D47" s="3" t="s">
        <v>10</v>
      </c>
      <c r="E47" s="3" t="s">
        <v>10</v>
      </c>
      <c r="F47" s="3" t="s">
        <v>10</v>
      </c>
      <c r="G47" s="3" t="s">
        <v>10</v>
      </c>
      <c r="H47" s="167"/>
    </row>
    <row r="48" spans="1:8" ht="14.1" customHeight="1" x14ac:dyDescent="0.2">
      <c r="A48" s="3" t="s">
        <v>10</v>
      </c>
      <c r="B48" s="3" t="s">
        <v>10</v>
      </c>
      <c r="C48" s="4" t="s">
        <v>104</v>
      </c>
      <c r="D48" s="3" t="s">
        <v>10</v>
      </c>
      <c r="E48" s="3" t="s">
        <v>10</v>
      </c>
      <c r="F48" s="14">
        <v>0</v>
      </c>
      <c r="G48" s="15">
        <v>0</v>
      </c>
      <c r="H48" s="167"/>
    </row>
    <row r="49" spans="1:8" ht="14.1" customHeight="1" x14ac:dyDescent="0.2">
      <c r="A49" s="3" t="s">
        <v>10</v>
      </c>
      <c r="B49" s="3" t="s">
        <v>10</v>
      </c>
      <c r="C49" s="12" t="s">
        <v>10</v>
      </c>
      <c r="D49" s="3" t="s">
        <v>10</v>
      </c>
      <c r="E49" s="3" t="s">
        <v>10</v>
      </c>
      <c r="F49" s="13" t="s">
        <v>10</v>
      </c>
      <c r="G49" s="13" t="s">
        <v>10</v>
      </c>
      <c r="H49" s="167"/>
    </row>
    <row r="50" spans="1:8" ht="14.1" customHeight="1" x14ac:dyDescent="0.2">
      <c r="A50" s="3" t="s">
        <v>10</v>
      </c>
      <c r="B50" s="3" t="s">
        <v>10</v>
      </c>
      <c r="C50" s="4" t="s">
        <v>106</v>
      </c>
      <c r="D50" s="3" t="s">
        <v>10</v>
      </c>
      <c r="E50" s="3" t="s">
        <v>10</v>
      </c>
      <c r="F50" s="3" t="s">
        <v>10</v>
      </c>
      <c r="G50" s="3" t="s">
        <v>10</v>
      </c>
      <c r="H50" s="167"/>
    </row>
    <row r="51" spans="1:8" ht="17.100000000000001" customHeight="1" x14ac:dyDescent="0.2">
      <c r="A51" s="5">
        <v>1</v>
      </c>
      <c r="B51" s="6" t="s">
        <v>107</v>
      </c>
      <c r="C51" s="139" t="s">
        <v>986</v>
      </c>
      <c r="D51" s="6" t="s">
        <v>108</v>
      </c>
      <c r="E51" s="7">
        <v>559425</v>
      </c>
      <c r="F51" s="8">
        <v>1.1189000000000001E-5</v>
      </c>
      <c r="G51" s="16" t="s">
        <v>109</v>
      </c>
      <c r="H51" s="167"/>
    </row>
    <row r="52" spans="1:8" ht="14.1" customHeight="1" x14ac:dyDescent="0.2">
      <c r="A52" s="3" t="s">
        <v>10</v>
      </c>
      <c r="B52" s="3" t="s">
        <v>10</v>
      </c>
      <c r="C52" s="4" t="s">
        <v>104</v>
      </c>
      <c r="D52" s="3" t="s">
        <v>10</v>
      </c>
      <c r="E52" s="3" t="s">
        <v>10</v>
      </c>
      <c r="F52" s="10">
        <v>1.1189000000000001E-5</v>
      </c>
      <c r="G52" s="11">
        <v>0</v>
      </c>
      <c r="H52" s="167"/>
    </row>
    <row r="53" spans="1:8" ht="14.1" customHeight="1" x14ac:dyDescent="0.2">
      <c r="A53" s="3" t="s">
        <v>10</v>
      </c>
      <c r="B53" s="3" t="s">
        <v>10</v>
      </c>
      <c r="C53" s="12" t="s">
        <v>10</v>
      </c>
      <c r="D53" s="3" t="s">
        <v>10</v>
      </c>
      <c r="E53" s="3" t="s">
        <v>10</v>
      </c>
      <c r="F53" s="13" t="s">
        <v>10</v>
      </c>
      <c r="G53" s="13" t="s">
        <v>10</v>
      </c>
      <c r="H53" s="167"/>
    </row>
    <row r="54" spans="1:8" ht="14.1" customHeight="1" x14ac:dyDescent="0.2">
      <c r="A54" s="3" t="s">
        <v>10</v>
      </c>
      <c r="B54" s="3" t="s">
        <v>10</v>
      </c>
      <c r="C54" s="4" t="s">
        <v>110</v>
      </c>
      <c r="D54" s="3" t="s">
        <v>10</v>
      </c>
      <c r="E54" s="3" t="s">
        <v>10</v>
      </c>
      <c r="F54" s="3" t="s">
        <v>10</v>
      </c>
      <c r="G54" s="3" t="s">
        <v>10</v>
      </c>
      <c r="H54" s="167"/>
    </row>
    <row r="55" spans="1:8" ht="14.1" customHeight="1" x14ac:dyDescent="0.2">
      <c r="A55" s="3" t="s">
        <v>10</v>
      </c>
      <c r="B55" s="3" t="s">
        <v>10</v>
      </c>
      <c r="C55" s="4" t="s">
        <v>104</v>
      </c>
      <c r="D55" s="3" t="s">
        <v>10</v>
      </c>
      <c r="E55" s="3" t="s">
        <v>10</v>
      </c>
      <c r="F55" s="14">
        <v>0</v>
      </c>
      <c r="G55" s="15">
        <v>0</v>
      </c>
      <c r="H55" s="167"/>
    </row>
    <row r="56" spans="1:8" ht="14.1" customHeight="1" x14ac:dyDescent="0.2">
      <c r="A56" s="3" t="s">
        <v>10</v>
      </c>
      <c r="B56" s="3" t="s">
        <v>10</v>
      </c>
      <c r="C56" s="12" t="s">
        <v>10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ht="14.1" customHeight="1" x14ac:dyDescent="0.2">
      <c r="A57" s="3" t="s">
        <v>10</v>
      </c>
      <c r="B57" s="3" t="s">
        <v>10</v>
      </c>
      <c r="C57" s="4" t="s">
        <v>111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ht="14.1" customHeight="1" x14ac:dyDescent="0.2">
      <c r="A58" s="3" t="s">
        <v>10</v>
      </c>
      <c r="B58" s="3" t="s">
        <v>10</v>
      </c>
      <c r="C58" s="4" t="s">
        <v>104</v>
      </c>
      <c r="D58" s="3" t="s">
        <v>10</v>
      </c>
      <c r="E58" s="3" t="s">
        <v>10</v>
      </c>
      <c r="F58" s="14">
        <v>0</v>
      </c>
      <c r="G58" s="15">
        <v>0</v>
      </c>
      <c r="H58" s="167"/>
    </row>
    <row r="59" spans="1:8" ht="14.1" customHeight="1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ht="14.1" customHeight="1" x14ac:dyDescent="0.2">
      <c r="A60" s="3" t="s">
        <v>10</v>
      </c>
      <c r="B60" s="3" t="s">
        <v>10</v>
      </c>
      <c r="C60" s="4" t="s">
        <v>112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ht="14.1" customHeight="1" x14ac:dyDescent="0.2">
      <c r="A61" s="3" t="s">
        <v>10</v>
      </c>
      <c r="B61" s="3" t="s">
        <v>10</v>
      </c>
      <c r="C61" s="4" t="s">
        <v>104</v>
      </c>
      <c r="D61" s="3" t="s">
        <v>10</v>
      </c>
      <c r="E61" s="3" t="s">
        <v>10</v>
      </c>
      <c r="F61" s="14">
        <v>0</v>
      </c>
      <c r="G61" s="15">
        <v>0</v>
      </c>
      <c r="H61" s="167"/>
    </row>
    <row r="62" spans="1:8" ht="14.1" customHeight="1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ht="18" customHeight="1" x14ac:dyDescent="0.2">
      <c r="A63" s="3" t="s">
        <v>10</v>
      </c>
      <c r="B63" s="3" t="s">
        <v>10</v>
      </c>
      <c r="C63" s="4" t="s">
        <v>113</v>
      </c>
      <c r="D63" s="3" t="s">
        <v>10</v>
      </c>
      <c r="E63" s="3" t="s">
        <v>10</v>
      </c>
      <c r="F63" s="10">
        <v>56943.552896688998</v>
      </c>
      <c r="G63" s="11">
        <v>0.97089969499999995</v>
      </c>
      <c r="H63" s="167"/>
    </row>
    <row r="64" spans="1:8" ht="14.1" customHeight="1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ht="14.1" customHeight="1" x14ac:dyDescent="0.2">
      <c r="A65" s="3" t="s">
        <v>10</v>
      </c>
      <c r="B65" s="3" t="s">
        <v>10</v>
      </c>
      <c r="C65" s="4" t="s">
        <v>114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ht="24" customHeight="1" x14ac:dyDescent="0.2">
      <c r="A66" s="3" t="s">
        <v>10</v>
      </c>
      <c r="B66" s="3" t="s">
        <v>10</v>
      </c>
      <c r="C66" s="4" t="s">
        <v>12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ht="14.1" customHeight="1" x14ac:dyDescent="0.2">
      <c r="A67" s="3" t="s">
        <v>10</v>
      </c>
      <c r="B67" s="3" t="s">
        <v>10</v>
      </c>
      <c r="C67" s="4" t="s">
        <v>104</v>
      </c>
      <c r="D67" s="3" t="s">
        <v>10</v>
      </c>
      <c r="E67" s="3" t="s">
        <v>10</v>
      </c>
      <c r="F67" s="14">
        <v>0</v>
      </c>
      <c r="G67" s="15">
        <v>0</v>
      </c>
      <c r="H67" s="167"/>
    </row>
    <row r="68" spans="1:8" ht="14.1" customHeight="1" x14ac:dyDescent="0.2">
      <c r="A68" s="3" t="s">
        <v>10</v>
      </c>
      <c r="B68" s="3" t="s">
        <v>10</v>
      </c>
      <c r="C68" s="12" t="s">
        <v>10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ht="14.1" customHeight="1" x14ac:dyDescent="0.2">
      <c r="A69" s="3" t="s">
        <v>10</v>
      </c>
      <c r="B69" s="3" t="s">
        <v>10</v>
      </c>
      <c r="C69" s="4" t="s">
        <v>115</v>
      </c>
      <c r="D69" s="3" t="s">
        <v>10</v>
      </c>
      <c r="E69" s="3" t="s">
        <v>10</v>
      </c>
      <c r="F69" s="3" t="s">
        <v>10</v>
      </c>
      <c r="G69" s="3" t="s">
        <v>10</v>
      </c>
      <c r="H69" s="167"/>
    </row>
    <row r="70" spans="1:8" ht="14.1" customHeight="1" x14ac:dyDescent="0.2">
      <c r="A70" s="3" t="s">
        <v>10</v>
      </c>
      <c r="B70" s="3" t="s">
        <v>10</v>
      </c>
      <c r="C70" s="4" t="s">
        <v>104</v>
      </c>
      <c r="D70" s="3" t="s">
        <v>10</v>
      </c>
      <c r="E70" s="3" t="s">
        <v>10</v>
      </c>
      <c r="F70" s="14">
        <v>0</v>
      </c>
      <c r="G70" s="15">
        <v>0</v>
      </c>
      <c r="H70" s="167"/>
    </row>
    <row r="71" spans="1:8" ht="14.1" customHeight="1" x14ac:dyDescent="0.2">
      <c r="A71" s="3" t="s">
        <v>10</v>
      </c>
      <c r="B71" s="3" t="s">
        <v>10</v>
      </c>
      <c r="C71" s="12" t="s">
        <v>10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ht="14.1" customHeight="1" x14ac:dyDescent="0.2">
      <c r="A72" s="3" t="s">
        <v>10</v>
      </c>
      <c r="B72" s="3" t="s">
        <v>10</v>
      </c>
      <c r="C72" s="4" t="s">
        <v>116</v>
      </c>
      <c r="D72" s="3" t="s">
        <v>10</v>
      </c>
      <c r="E72" s="3" t="s">
        <v>10</v>
      </c>
      <c r="F72" s="3" t="s">
        <v>10</v>
      </c>
      <c r="G72" s="3" t="s">
        <v>10</v>
      </c>
      <c r="H72" s="167"/>
    </row>
    <row r="73" spans="1:8" ht="14.1" customHeight="1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4">
        <v>0</v>
      </c>
      <c r="G73" s="15">
        <v>0</v>
      </c>
      <c r="H73" s="167"/>
    </row>
    <row r="74" spans="1:8" ht="14.1" customHeight="1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ht="14.1" customHeight="1" x14ac:dyDescent="0.2">
      <c r="A75" s="3" t="s">
        <v>10</v>
      </c>
      <c r="B75" s="3" t="s">
        <v>10</v>
      </c>
      <c r="C75" s="4" t="s">
        <v>117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ht="14.1" customHeight="1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ht="14.1" customHeight="1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ht="14.1" customHeight="1" x14ac:dyDescent="0.2">
      <c r="A78" s="3" t="s">
        <v>10</v>
      </c>
      <c r="B78" s="3" t="s">
        <v>10</v>
      </c>
      <c r="C78" s="4" t="s">
        <v>118</v>
      </c>
      <c r="D78" s="3" t="s">
        <v>10</v>
      </c>
      <c r="E78" s="3" t="s">
        <v>10</v>
      </c>
      <c r="F78" s="10">
        <v>0</v>
      </c>
      <c r="G78" s="11">
        <v>0</v>
      </c>
      <c r="H78" s="167"/>
    </row>
    <row r="79" spans="1:8" ht="14.1" customHeight="1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ht="14.1" customHeight="1" x14ac:dyDescent="0.2">
      <c r="A80" s="3" t="s">
        <v>10</v>
      </c>
      <c r="B80" s="3" t="s">
        <v>10</v>
      </c>
      <c r="C80" s="4" t="s">
        <v>119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ht="14.1" customHeight="1" x14ac:dyDescent="0.2">
      <c r="A81" s="3" t="s">
        <v>10</v>
      </c>
      <c r="B81" s="3" t="s">
        <v>10</v>
      </c>
      <c r="C81" s="4" t="s">
        <v>120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ht="14.1" customHeight="1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4">
        <v>0</v>
      </c>
      <c r="G82" s="15">
        <v>0</v>
      </c>
      <c r="H82" s="167"/>
    </row>
    <row r="83" spans="1:8" ht="14.1" customHeight="1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ht="14.1" customHeight="1" x14ac:dyDescent="0.2">
      <c r="A84" s="3" t="s">
        <v>10</v>
      </c>
      <c r="B84" s="3" t="s">
        <v>10</v>
      </c>
      <c r="C84" s="4" t="s">
        <v>121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ht="14.1" customHeight="1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4">
        <v>0</v>
      </c>
      <c r="G85" s="15">
        <v>0</v>
      </c>
      <c r="H85" s="167"/>
    </row>
    <row r="86" spans="1:8" ht="14.1" customHeight="1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ht="14.1" customHeight="1" x14ac:dyDescent="0.2">
      <c r="A87" s="3" t="s">
        <v>10</v>
      </c>
      <c r="B87" s="3" t="s">
        <v>10</v>
      </c>
      <c r="C87" s="4" t="s">
        <v>122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ht="14.1" customHeight="1" x14ac:dyDescent="0.2">
      <c r="A88" s="3" t="s">
        <v>10</v>
      </c>
      <c r="B88" s="3" t="s">
        <v>10</v>
      </c>
      <c r="C88" s="4" t="s">
        <v>104</v>
      </c>
      <c r="D88" s="3" t="s">
        <v>10</v>
      </c>
      <c r="E88" s="3" t="s">
        <v>10</v>
      </c>
      <c r="F88" s="14">
        <v>0</v>
      </c>
      <c r="G88" s="15">
        <v>0</v>
      </c>
      <c r="H88" s="167"/>
    </row>
    <row r="89" spans="1:8" ht="14.1" customHeight="1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ht="14.1" customHeight="1" x14ac:dyDescent="0.2">
      <c r="A90" s="3" t="s">
        <v>10</v>
      </c>
      <c r="B90" s="3" t="s">
        <v>10</v>
      </c>
      <c r="C90" s="4" t="s">
        <v>123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ht="17.100000000000001" customHeight="1" x14ac:dyDescent="0.2">
      <c r="A91" s="5">
        <v>1</v>
      </c>
      <c r="B91" s="6"/>
      <c r="C91" s="6" t="s">
        <v>124</v>
      </c>
      <c r="D91" s="6"/>
      <c r="E91" s="16" t="s">
        <v>10</v>
      </c>
      <c r="F91" s="8">
        <v>658.80774870000005</v>
      </c>
      <c r="G91" s="9">
        <v>1.1232812E-2</v>
      </c>
      <c r="H91" s="108">
        <v>3.23</v>
      </c>
    </row>
    <row r="92" spans="1:8" ht="17.100000000000001" customHeight="1" x14ac:dyDescent="0.2">
      <c r="A92" s="5">
        <v>2</v>
      </c>
      <c r="B92" s="6"/>
      <c r="C92" s="6" t="s">
        <v>125</v>
      </c>
      <c r="D92" s="6"/>
      <c r="E92" s="16" t="s">
        <v>10</v>
      </c>
      <c r="F92" s="8">
        <v>185.05240789999999</v>
      </c>
      <c r="G92" s="9">
        <v>3.1551830000000002E-3</v>
      </c>
      <c r="H92" s="108">
        <v>3.35</v>
      </c>
    </row>
    <row r="93" spans="1:8" ht="14.1" customHeight="1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0">
        <v>843.86015659999998</v>
      </c>
      <c r="G93" s="11">
        <v>1.4387995000000001E-2</v>
      </c>
      <c r="H93" s="167"/>
    </row>
    <row r="94" spans="1:8" ht="14.1" customHeight="1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ht="14.1" customHeight="1" x14ac:dyDescent="0.2">
      <c r="A95" s="3" t="s">
        <v>10</v>
      </c>
      <c r="B95" s="3" t="s">
        <v>10</v>
      </c>
      <c r="C95" s="4" t="s">
        <v>126</v>
      </c>
      <c r="D95" s="3" t="s">
        <v>10</v>
      </c>
      <c r="E95" s="3" t="s">
        <v>10</v>
      </c>
      <c r="F95" s="10">
        <v>843.86015659999998</v>
      </c>
      <c r="G95" s="11">
        <v>1.4387995000000001E-2</v>
      </c>
      <c r="H95" s="167"/>
    </row>
    <row r="96" spans="1:8" ht="14.1" customHeight="1" x14ac:dyDescent="0.2">
      <c r="A96" s="3" t="s">
        <v>10</v>
      </c>
      <c r="B96" s="3" t="s">
        <v>10</v>
      </c>
      <c r="C96" s="1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167"/>
    </row>
    <row r="97" spans="1:8" ht="14.1" customHeight="1" x14ac:dyDescent="0.2">
      <c r="A97" s="3" t="s">
        <v>10</v>
      </c>
      <c r="B97" s="3" t="s">
        <v>10</v>
      </c>
      <c r="C97" s="4" t="s">
        <v>127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ht="14.1" customHeight="1" x14ac:dyDescent="0.2">
      <c r="A98" s="3" t="s">
        <v>10</v>
      </c>
      <c r="B98" s="3" t="s">
        <v>10</v>
      </c>
      <c r="C98" s="4" t="s">
        <v>128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ht="14.1" customHeight="1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ht="14.1" customHeight="1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ht="14.1" customHeight="1" x14ac:dyDescent="0.2">
      <c r="A101" s="3" t="s">
        <v>10</v>
      </c>
      <c r="B101" s="3" t="s">
        <v>10</v>
      </c>
      <c r="C101" s="4" t="s">
        <v>129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ht="14.1" customHeight="1" x14ac:dyDescent="0.2">
      <c r="A102" s="3" t="s">
        <v>10</v>
      </c>
      <c r="B102" s="3" t="s">
        <v>10</v>
      </c>
      <c r="C102" s="4" t="s">
        <v>130</v>
      </c>
      <c r="D102" s="3" t="s">
        <v>10</v>
      </c>
      <c r="E102" s="3" t="s">
        <v>10</v>
      </c>
      <c r="F102" s="3" t="s">
        <v>10</v>
      </c>
      <c r="G102" s="3" t="s">
        <v>10</v>
      </c>
      <c r="H102" s="167"/>
    </row>
    <row r="103" spans="1:8" ht="14.1" customHeight="1" x14ac:dyDescent="0.2">
      <c r="A103" s="3" t="s">
        <v>10</v>
      </c>
      <c r="B103" s="3" t="s">
        <v>10</v>
      </c>
      <c r="C103" s="4" t="s">
        <v>104</v>
      </c>
      <c r="D103" s="3" t="s">
        <v>10</v>
      </c>
      <c r="E103" s="3" t="s">
        <v>10</v>
      </c>
      <c r="F103" s="14">
        <v>0</v>
      </c>
      <c r="G103" s="15">
        <v>0</v>
      </c>
      <c r="H103" s="167"/>
    </row>
    <row r="104" spans="1:8" ht="14.1" customHeight="1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ht="14.1" customHeight="1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ht="24" customHeight="1" x14ac:dyDescent="0.2">
      <c r="A106" s="3" t="s">
        <v>10</v>
      </c>
      <c r="B106" s="3" t="s">
        <v>10</v>
      </c>
      <c r="C106" s="4" t="s">
        <v>131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ht="14.1" customHeight="1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ht="14.1" customHeight="1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ht="14.1" customHeight="1" x14ac:dyDescent="0.2">
      <c r="A109" s="3" t="s">
        <v>10</v>
      </c>
      <c r="B109" s="6" t="s">
        <v>10</v>
      </c>
      <c r="C109" s="6" t="s">
        <v>10</v>
      </c>
      <c r="D109" s="4" t="s">
        <v>10</v>
      </c>
      <c r="E109" s="3" t="s">
        <v>10</v>
      </c>
      <c r="F109" s="6" t="s">
        <v>10</v>
      </c>
      <c r="G109" s="16" t="s">
        <v>10</v>
      </c>
      <c r="H109" s="167"/>
    </row>
    <row r="110" spans="1:8" ht="18" customHeight="1" x14ac:dyDescent="0.2">
      <c r="A110" s="16" t="s">
        <v>10</v>
      </c>
      <c r="B110" s="6" t="s">
        <v>10</v>
      </c>
      <c r="C110" s="6" t="s">
        <v>132</v>
      </c>
      <c r="D110" s="6" t="s">
        <v>10</v>
      </c>
      <c r="E110" s="16" t="s">
        <v>10</v>
      </c>
      <c r="F110" s="8">
        <v>862.88154164000514</v>
      </c>
      <c r="G110" s="9">
        <v>1.4712314000000001E-2</v>
      </c>
      <c r="H110" s="167"/>
    </row>
    <row r="111" spans="1:8" ht="14.1" customHeight="1" x14ac:dyDescent="0.2">
      <c r="A111" s="12" t="s">
        <v>10</v>
      </c>
      <c r="B111" s="12" t="s">
        <v>10</v>
      </c>
      <c r="C111" s="4" t="s">
        <v>133</v>
      </c>
      <c r="D111" s="17" t="s">
        <v>10</v>
      </c>
      <c r="E111" s="17" t="s">
        <v>10</v>
      </c>
      <c r="F111" s="10">
        <v>58650.294594989995</v>
      </c>
      <c r="G111" s="11">
        <v>1</v>
      </c>
      <c r="H111" s="167"/>
    </row>
    <row r="112" spans="1:8" ht="14.1" customHeight="1" x14ac:dyDescent="0.2">
      <c r="A112" s="18" t="s">
        <v>10</v>
      </c>
      <c r="B112" s="18" t="s">
        <v>10</v>
      </c>
      <c r="C112" s="18" t="s">
        <v>10</v>
      </c>
      <c r="D112" s="19" t="s">
        <v>10</v>
      </c>
      <c r="E112" s="19" t="s">
        <v>10</v>
      </c>
      <c r="F112" s="19" t="s">
        <v>10</v>
      </c>
      <c r="G112" s="19" t="s">
        <v>10</v>
      </c>
    </row>
    <row r="113" spans="1:8" ht="14.1" customHeight="1" x14ac:dyDescent="0.2">
      <c r="A113" s="20" t="s">
        <v>10</v>
      </c>
      <c r="B113" s="208" t="s">
        <v>10</v>
      </c>
      <c r="C113" s="208"/>
      <c r="D113" s="208"/>
      <c r="E113" s="208"/>
      <c r="F113" s="208"/>
      <c r="G113" s="22" t="s">
        <v>10</v>
      </c>
    </row>
    <row r="114" spans="1:8" ht="17.100000000000001" customHeight="1" x14ac:dyDescent="0.2">
      <c r="A114" s="20" t="s">
        <v>10</v>
      </c>
      <c r="B114" s="208" t="s">
        <v>980</v>
      </c>
      <c r="C114" s="208"/>
      <c r="D114" s="208"/>
      <c r="E114" s="208"/>
      <c r="F114" s="208"/>
      <c r="G114" s="22" t="s">
        <v>10</v>
      </c>
    </row>
    <row r="115" spans="1:8" ht="14.1" customHeight="1" x14ac:dyDescent="0.2">
      <c r="A115" s="20" t="s">
        <v>10</v>
      </c>
      <c r="B115" s="20" t="s">
        <v>10</v>
      </c>
      <c r="C115" s="20" t="s">
        <v>10</v>
      </c>
      <c r="D115" s="22" t="s">
        <v>10</v>
      </c>
      <c r="E115" s="22" t="s">
        <v>10</v>
      </c>
      <c r="F115" s="22" t="s">
        <v>10</v>
      </c>
      <c r="G115" s="22" t="s">
        <v>10</v>
      </c>
    </row>
    <row r="116" spans="1:8" ht="14.1" customHeight="1" x14ac:dyDescent="0.2">
      <c r="A116" s="20" t="s">
        <v>10</v>
      </c>
      <c r="B116" s="206" t="s">
        <v>134</v>
      </c>
      <c r="C116" s="207"/>
      <c r="D116" s="13" t="s">
        <v>10</v>
      </c>
      <c r="E116" s="23" t="s">
        <v>10</v>
      </c>
      <c r="F116" s="22" t="s">
        <v>10</v>
      </c>
      <c r="G116" s="22" t="s">
        <v>10</v>
      </c>
    </row>
    <row r="117" spans="1:8" ht="29.1" customHeight="1" x14ac:dyDescent="0.2">
      <c r="A117" s="20" t="s">
        <v>10</v>
      </c>
      <c r="B117" s="213" t="s">
        <v>135</v>
      </c>
      <c r="C117" s="214"/>
      <c r="D117" s="4" t="s">
        <v>136</v>
      </c>
      <c r="E117" s="23" t="s">
        <v>10</v>
      </c>
      <c r="F117" s="22" t="s">
        <v>10</v>
      </c>
      <c r="G117" s="22" t="s">
        <v>10</v>
      </c>
    </row>
    <row r="118" spans="1:8" s="155" customFormat="1" ht="15" x14ac:dyDescent="0.2">
      <c r="A118" s="156" t="s">
        <v>10</v>
      </c>
      <c r="B118" s="215" t="s">
        <v>987</v>
      </c>
      <c r="C118" s="216"/>
      <c r="D118" s="157" t="s">
        <v>988</v>
      </c>
      <c r="E118" s="158" t="s">
        <v>10</v>
      </c>
      <c r="F118" s="159" t="s">
        <v>10</v>
      </c>
      <c r="G118" s="160" t="s">
        <v>10</v>
      </c>
      <c r="H118" s="161"/>
    </row>
    <row r="119" spans="1:8" ht="17.100000000000001" customHeight="1" x14ac:dyDescent="0.2">
      <c r="A119" s="20" t="s">
        <v>10</v>
      </c>
      <c r="B119" s="213" t="s">
        <v>138</v>
      </c>
      <c r="C119" s="214"/>
      <c r="D119" s="13" t="s">
        <v>10</v>
      </c>
      <c r="E119" s="23" t="s">
        <v>10</v>
      </c>
      <c r="F119" s="22" t="s">
        <v>10</v>
      </c>
      <c r="G119" s="22" t="s">
        <v>10</v>
      </c>
    </row>
    <row r="120" spans="1:8" s="20" customFormat="1" ht="17.100000000000001" customHeight="1" x14ac:dyDescent="0.2"/>
    <row r="121" spans="1:8" x14ac:dyDescent="0.2">
      <c r="A121" s="24" t="s">
        <v>10</v>
      </c>
      <c r="B121" s="140" t="s">
        <v>10</v>
      </c>
      <c r="C121" s="140" t="s">
        <v>139</v>
      </c>
      <c r="D121" s="140" t="s">
        <v>140</v>
      </c>
      <c r="E121" s="24" t="s">
        <v>10</v>
      </c>
      <c r="F121" s="24" t="s">
        <v>10</v>
      </c>
      <c r="G121" s="24" t="s">
        <v>10</v>
      </c>
    </row>
    <row r="122" spans="1:8" ht="18" customHeight="1" x14ac:dyDescent="0.2">
      <c r="A122" s="24" t="s">
        <v>10</v>
      </c>
      <c r="B122" s="25" t="s">
        <v>141</v>
      </c>
      <c r="C122" s="25" t="s">
        <v>142</v>
      </c>
      <c r="D122" s="25" t="s">
        <v>143</v>
      </c>
      <c r="E122" s="24" t="s">
        <v>10</v>
      </c>
      <c r="F122" s="24" t="s">
        <v>10</v>
      </c>
      <c r="G122" s="24" t="s">
        <v>10</v>
      </c>
    </row>
    <row r="123" spans="1:8" ht="17.100000000000001" customHeight="1" x14ac:dyDescent="0.2">
      <c r="A123" s="24" t="s">
        <v>10</v>
      </c>
      <c r="B123" s="6" t="s">
        <v>144</v>
      </c>
      <c r="C123" s="26">
        <v>41.681399999999996</v>
      </c>
      <c r="D123" s="26">
        <v>44.987299999999998</v>
      </c>
      <c r="E123" s="24" t="s">
        <v>10</v>
      </c>
      <c r="F123" s="21" t="s">
        <v>10</v>
      </c>
      <c r="G123" s="27" t="s">
        <v>10</v>
      </c>
    </row>
    <row r="124" spans="1:8" ht="17.100000000000001" customHeight="1" x14ac:dyDescent="0.2">
      <c r="A124" s="24" t="s">
        <v>10</v>
      </c>
      <c r="B124" s="6" t="s">
        <v>917</v>
      </c>
      <c r="C124" s="26">
        <v>34.549100000000003</v>
      </c>
      <c r="D124" s="26">
        <v>37.2896</v>
      </c>
      <c r="E124" s="24" t="s">
        <v>10</v>
      </c>
      <c r="F124" s="21" t="s">
        <v>10</v>
      </c>
      <c r="G124" s="27" t="s">
        <v>10</v>
      </c>
    </row>
    <row r="125" spans="1:8" ht="17.100000000000001" customHeight="1" x14ac:dyDescent="0.2">
      <c r="A125" s="24" t="s">
        <v>10</v>
      </c>
      <c r="B125" s="6" t="s">
        <v>145</v>
      </c>
      <c r="C125" s="26">
        <v>39.920200000000001</v>
      </c>
      <c r="D125" s="26">
        <v>43.066200000000002</v>
      </c>
      <c r="E125" s="24" t="s">
        <v>10</v>
      </c>
      <c r="F125" s="21" t="s">
        <v>10</v>
      </c>
      <c r="G125" s="27" t="s">
        <v>10</v>
      </c>
    </row>
    <row r="126" spans="1:8" ht="17.100000000000001" customHeight="1" x14ac:dyDescent="0.2">
      <c r="A126" s="24" t="s">
        <v>10</v>
      </c>
      <c r="B126" s="6" t="s">
        <v>918</v>
      </c>
      <c r="C126" s="26">
        <v>32.922400000000003</v>
      </c>
      <c r="D126" s="26">
        <v>35.517000000000003</v>
      </c>
      <c r="E126" s="24" t="s">
        <v>10</v>
      </c>
      <c r="F126" s="21" t="s">
        <v>10</v>
      </c>
      <c r="G126" s="27" t="s">
        <v>10</v>
      </c>
    </row>
    <row r="127" spans="1:8" ht="14.1" customHeight="1" x14ac:dyDescent="0.2">
      <c r="A127" s="24" t="s">
        <v>10</v>
      </c>
      <c r="B127" s="24" t="s">
        <v>10</v>
      </c>
      <c r="C127" s="24" t="s">
        <v>10</v>
      </c>
      <c r="D127" s="24" t="s">
        <v>10</v>
      </c>
      <c r="E127" s="24" t="s">
        <v>10</v>
      </c>
      <c r="F127" s="24" t="s">
        <v>10</v>
      </c>
      <c r="G127" s="24" t="s">
        <v>10</v>
      </c>
    </row>
    <row r="128" spans="1:8" ht="17.100000000000001" customHeight="1" x14ac:dyDescent="0.2">
      <c r="A128" s="24" t="s">
        <v>10</v>
      </c>
      <c r="B128" s="213" t="s">
        <v>999</v>
      </c>
      <c r="C128" s="214"/>
      <c r="D128" s="4" t="s">
        <v>136</v>
      </c>
      <c r="E128" s="24" t="s">
        <v>10</v>
      </c>
      <c r="F128" s="24" t="s">
        <v>10</v>
      </c>
      <c r="G128" s="24" t="s">
        <v>10</v>
      </c>
    </row>
    <row r="129" spans="1:7" ht="18" customHeight="1" x14ac:dyDescent="0.2">
      <c r="A129" s="24" t="s">
        <v>10</v>
      </c>
      <c r="B129" s="28"/>
      <c r="C129" s="28"/>
      <c r="D129" s="29" t="s">
        <v>10</v>
      </c>
      <c r="E129" s="24" t="s">
        <v>10</v>
      </c>
      <c r="F129" s="24" t="s">
        <v>10</v>
      </c>
      <c r="G129" s="24" t="s">
        <v>10</v>
      </c>
    </row>
    <row r="130" spans="1:7" ht="18" customHeight="1" x14ac:dyDescent="0.2">
      <c r="A130" s="172"/>
      <c r="B130" s="217" t="s">
        <v>919</v>
      </c>
      <c r="C130" s="217"/>
      <c r="D130" s="217"/>
      <c r="E130" s="217"/>
      <c r="F130" s="217"/>
      <c r="G130" s="172"/>
    </row>
    <row r="131" spans="1:7" ht="14.1" customHeight="1" x14ac:dyDescent="0.2">
      <c r="A131" s="24" t="s">
        <v>10</v>
      </c>
      <c r="B131" s="21" t="s">
        <v>10</v>
      </c>
      <c r="C131" s="21" t="s">
        <v>10</v>
      </c>
      <c r="D131" s="24" t="s">
        <v>10</v>
      </c>
      <c r="E131" s="24" t="s">
        <v>10</v>
      </c>
      <c r="F131" s="24" t="s">
        <v>10</v>
      </c>
      <c r="G131" s="24" t="s">
        <v>10</v>
      </c>
    </row>
    <row r="132" spans="1:7" ht="29.1" customHeight="1" x14ac:dyDescent="0.2">
      <c r="A132" s="24" t="s">
        <v>10</v>
      </c>
      <c r="B132" s="213" t="s">
        <v>146</v>
      </c>
      <c r="C132" s="214"/>
      <c r="D132" s="4" t="s">
        <v>136</v>
      </c>
      <c r="E132" s="24" t="s">
        <v>10</v>
      </c>
      <c r="F132" s="24" t="s">
        <v>10</v>
      </c>
      <c r="G132" s="24" t="s">
        <v>10</v>
      </c>
    </row>
    <row r="133" spans="1:7" ht="29.1" customHeight="1" x14ac:dyDescent="0.2">
      <c r="A133" s="24" t="s">
        <v>10</v>
      </c>
      <c r="B133" s="213" t="s">
        <v>147</v>
      </c>
      <c r="C133" s="214"/>
      <c r="D133" s="4" t="s">
        <v>136</v>
      </c>
      <c r="E133" s="24" t="s">
        <v>10</v>
      </c>
      <c r="F133" s="24" t="s">
        <v>10</v>
      </c>
      <c r="G133" s="24" t="s">
        <v>10</v>
      </c>
    </row>
    <row r="134" spans="1:7" ht="17.100000000000001" customHeight="1" x14ac:dyDescent="0.2">
      <c r="A134" s="24" t="s">
        <v>10</v>
      </c>
      <c r="B134" s="213" t="s">
        <v>148</v>
      </c>
      <c r="C134" s="214"/>
      <c r="D134" s="30">
        <v>0.37446713280567884</v>
      </c>
      <c r="E134" s="24" t="s">
        <v>10</v>
      </c>
      <c r="F134" s="21" t="s">
        <v>10</v>
      </c>
      <c r="G134" s="27" t="s">
        <v>10</v>
      </c>
    </row>
    <row r="135" spans="1:7" ht="17.100000000000001" customHeight="1" x14ac:dyDescent="0.2">
      <c r="A135" s="24" t="s">
        <v>10</v>
      </c>
      <c r="B135" s="213" t="s">
        <v>149</v>
      </c>
      <c r="C135" s="214"/>
      <c r="D135" s="4" t="s">
        <v>136</v>
      </c>
      <c r="E135" s="24" t="s">
        <v>10</v>
      </c>
      <c r="F135" s="24" t="s">
        <v>10</v>
      </c>
      <c r="G135" s="24" t="s">
        <v>10</v>
      </c>
    </row>
  </sheetData>
  <mergeCells count="15">
    <mergeCell ref="B134:C134"/>
    <mergeCell ref="B135:C135"/>
    <mergeCell ref="B117:C117"/>
    <mergeCell ref="B118:C118"/>
    <mergeCell ref="B119:C119"/>
    <mergeCell ref="B128:C128"/>
    <mergeCell ref="B132:C132"/>
    <mergeCell ref="B133:C133"/>
    <mergeCell ref="B130:F130"/>
    <mergeCell ref="B116:C116"/>
    <mergeCell ref="B113:F113"/>
    <mergeCell ref="B114:F11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7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150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52058</v>
      </c>
      <c r="F7" s="8">
        <v>635.23774500000002</v>
      </c>
      <c r="G7" s="9">
        <v>3.7580476000000002E-2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17709</v>
      </c>
      <c r="F8" s="8">
        <v>571.07983200000001</v>
      </c>
      <c r="G8" s="9">
        <v>3.3784913E-2</v>
      </c>
      <c r="H8" s="167"/>
    </row>
    <row r="9" spans="1:8" x14ac:dyDescent="0.2">
      <c r="A9" s="5">
        <v>3</v>
      </c>
      <c r="B9" s="6" t="s">
        <v>154</v>
      </c>
      <c r="C9" s="6" t="s">
        <v>155</v>
      </c>
      <c r="D9" s="6" t="s">
        <v>153</v>
      </c>
      <c r="E9" s="7">
        <v>37887</v>
      </c>
      <c r="F9" s="8">
        <v>464.7787725</v>
      </c>
      <c r="G9" s="9">
        <v>2.7496174000000002E-2</v>
      </c>
      <c r="H9" s="167"/>
    </row>
    <row r="10" spans="1:8" x14ac:dyDescent="0.2">
      <c r="A10" s="5">
        <v>4</v>
      </c>
      <c r="B10" s="6" t="s">
        <v>156</v>
      </c>
      <c r="C10" s="6" t="s">
        <v>157</v>
      </c>
      <c r="D10" s="6" t="s">
        <v>158</v>
      </c>
      <c r="E10" s="7">
        <v>428006</v>
      </c>
      <c r="F10" s="8">
        <v>393.55151699999999</v>
      </c>
      <c r="G10" s="9">
        <v>2.3282391E-2</v>
      </c>
      <c r="H10" s="167"/>
    </row>
    <row r="11" spans="1:8" ht="25.5" x14ac:dyDescent="0.2">
      <c r="A11" s="5">
        <v>5</v>
      </c>
      <c r="B11" s="6" t="s">
        <v>33</v>
      </c>
      <c r="C11" s="6" t="s">
        <v>34</v>
      </c>
      <c r="D11" s="6" t="s">
        <v>970</v>
      </c>
      <c r="E11" s="7">
        <v>13549</v>
      </c>
      <c r="F11" s="8">
        <v>386.0719805</v>
      </c>
      <c r="G11" s="9">
        <v>2.2839903000000002E-2</v>
      </c>
      <c r="H11" s="167"/>
    </row>
    <row r="12" spans="1:8" x14ac:dyDescent="0.2">
      <c r="A12" s="5">
        <v>6</v>
      </c>
      <c r="B12" s="6" t="s">
        <v>159</v>
      </c>
      <c r="C12" s="6" t="s">
        <v>160</v>
      </c>
      <c r="D12" s="6" t="s">
        <v>29</v>
      </c>
      <c r="E12" s="7">
        <v>62322</v>
      </c>
      <c r="F12" s="8">
        <v>384.090486</v>
      </c>
      <c r="G12" s="9">
        <v>2.2722678999999999E-2</v>
      </c>
      <c r="H12" s="167"/>
    </row>
    <row r="13" spans="1:8" ht="25.5" x14ac:dyDescent="0.2">
      <c r="A13" s="5">
        <v>7</v>
      </c>
      <c r="B13" s="6" t="s">
        <v>161</v>
      </c>
      <c r="C13" s="6" t="s">
        <v>162</v>
      </c>
      <c r="D13" s="6" t="s">
        <v>970</v>
      </c>
      <c r="E13" s="7">
        <v>209020</v>
      </c>
      <c r="F13" s="8">
        <v>380.93894999999998</v>
      </c>
      <c r="G13" s="9">
        <v>2.2536235000000002E-2</v>
      </c>
      <c r="H13" s="167"/>
    </row>
    <row r="14" spans="1:8" x14ac:dyDescent="0.2">
      <c r="A14" s="5">
        <v>8</v>
      </c>
      <c r="B14" s="6" t="s">
        <v>58</v>
      </c>
      <c r="C14" s="6" t="s">
        <v>59</v>
      </c>
      <c r="D14" s="6" t="s">
        <v>974</v>
      </c>
      <c r="E14" s="7">
        <v>278377</v>
      </c>
      <c r="F14" s="8">
        <v>358.27119900000002</v>
      </c>
      <c r="G14" s="9">
        <v>2.1195217999999998E-2</v>
      </c>
      <c r="H14" s="167"/>
    </row>
    <row r="15" spans="1:8" x14ac:dyDescent="0.2">
      <c r="A15" s="5">
        <v>9</v>
      </c>
      <c r="B15" s="6" t="s">
        <v>163</v>
      </c>
      <c r="C15" s="6" t="s">
        <v>164</v>
      </c>
      <c r="D15" s="6" t="s">
        <v>167</v>
      </c>
      <c r="E15" s="7">
        <v>40958</v>
      </c>
      <c r="F15" s="8">
        <v>355.33112899999998</v>
      </c>
      <c r="G15" s="9">
        <v>2.1021284000000001E-2</v>
      </c>
      <c r="H15" s="167"/>
    </row>
    <row r="16" spans="1:8" x14ac:dyDescent="0.2">
      <c r="A16" s="5">
        <v>10</v>
      </c>
      <c r="B16" s="6" t="s">
        <v>165</v>
      </c>
      <c r="C16" s="6" t="s">
        <v>166</v>
      </c>
      <c r="D16" s="6" t="s">
        <v>167</v>
      </c>
      <c r="E16" s="7">
        <v>143948</v>
      </c>
      <c r="F16" s="8">
        <v>350.22548399999999</v>
      </c>
      <c r="G16" s="9">
        <v>2.0719234999999999E-2</v>
      </c>
      <c r="H16" s="167"/>
    </row>
    <row r="17" spans="1:8" x14ac:dyDescent="0.2">
      <c r="A17" s="5">
        <v>11</v>
      </c>
      <c r="B17" s="6" t="s">
        <v>168</v>
      </c>
      <c r="C17" s="6" t="s">
        <v>169</v>
      </c>
      <c r="D17" s="6" t="s">
        <v>75</v>
      </c>
      <c r="E17" s="7">
        <v>87154</v>
      </c>
      <c r="F17" s="8">
        <v>346.78576600000002</v>
      </c>
      <c r="G17" s="9">
        <v>2.0515742999999999E-2</v>
      </c>
      <c r="H17" s="167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6366</v>
      </c>
      <c r="F18" s="8">
        <v>338.19375000000002</v>
      </c>
      <c r="G18" s="9">
        <v>2.0007442E-2</v>
      </c>
      <c r="H18" s="167"/>
    </row>
    <row r="19" spans="1:8" ht="25.5" x14ac:dyDescent="0.2">
      <c r="A19" s="5">
        <v>13</v>
      </c>
      <c r="B19" s="6" t="s">
        <v>172</v>
      </c>
      <c r="C19" s="6" t="s">
        <v>173</v>
      </c>
      <c r="D19" s="6" t="s">
        <v>970</v>
      </c>
      <c r="E19" s="7">
        <v>125135</v>
      </c>
      <c r="F19" s="8">
        <v>314.58938999999998</v>
      </c>
      <c r="G19" s="9">
        <v>1.8611015000000002E-2</v>
      </c>
      <c r="H19" s="167"/>
    </row>
    <row r="20" spans="1:8" x14ac:dyDescent="0.2">
      <c r="A20" s="5">
        <v>14</v>
      </c>
      <c r="B20" s="6" t="s">
        <v>174</v>
      </c>
      <c r="C20" s="6" t="s">
        <v>175</v>
      </c>
      <c r="D20" s="6" t="s">
        <v>50</v>
      </c>
      <c r="E20" s="7">
        <v>73119</v>
      </c>
      <c r="F20" s="8">
        <v>309.84176250000002</v>
      </c>
      <c r="G20" s="9">
        <v>1.8330145999999999E-2</v>
      </c>
      <c r="H20" s="167"/>
    </row>
    <row r="21" spans="1:8" x14ac:dyDescent="0.2">
      <c r="A21" s="5">
        <v>15</v>
      </c>
      <c r="B21" s="6" t="s">
        <v>176</v>
      </c>
      <c r="C21" s="6" t="s">
        <v>177</v>
      </c>
      <c r="D21" s="6" t="s">
        <v>178</v>
      </c>
      <c r="E21" s="7">
        <v>27670</v>
      </c>
      <c r="F21" s="8">
        <v>294.45030500000001</v>
      </c>
      <c r="G21" s="9">
        <v>1.7419592000000001E-2</v>
      </c>
      <c r="H21" s="167"/>
    </row>
    <row r="22" spans="1:8" x14ac:dyDescent="0.2">
      <c r="A22" s="5">
        <v>16</v>
      </c>
      <c r="B22" s="6" t="s">
        <v>179</v>
      </c>
      <c r="C22" s="6" t="s">
        <v>180</v>
      </c>
      <c r="D22" s="6" t="s">
        <v>972</v>
      </c>
      <c r="E22" s="7">
        <v>38759</v>
      </c>
      <c r="F22" s="8">
        <v>293.444389</v>
      </c>
      <c r="G22" s="9">
        <v>1.7360082999999998E-2</v>
      </c>
      <c r="H22" s="167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29</v>
      </c>
      <c r="E23" s="7">
        <v>61176</v>
      </c>
      <c r="F23" s="8">
        <v>292.237752</v>
      </c>
      <c r="G23" s="9">
        <v>1.7288698000000002E-2</v>
      </c>
      <c r="H23" s="167"/>
    </row>
    <row r="24" spans="1:8" x14ac:dyDescent="0.2">
      <c r="A24" s="5">
        <v>18</v>
      </c>
      <c r="B24" s="6" t="s">
        <v>183</v>
      </c>
      <c r="C24" s="6" t="s">
        <v>184</v>
      </c>
      <c r="D24" s="6" t="s">
        <v>185</v>
      </c>
      <c r="E24" s="7">
        <v>24077</v>
      </c>
      <c r="F24" s="8">
        <v>285.625451</v>
      </c>
      <c r="G24" s="9">
        <v>1.6897517000000001E-2</v>
      </c>
      <c r="H24" s="167"/>
    </row>
    <row r="25" spans="1:8" x14ac:dyDescent="0.2">
      <c r="A25" s="5">
        <v>19</v>
      </c>
      <c r="B25" s="6" t="s">
        <v>186</v>
      </c>
      <c r="C25" s="6" t="s">
        <v>187</v>
      </c>
      <c r="D25" s="6" t="s">
        <v>57</v>
      </c>
      <c r="E25" s="7">
        <v>116346</v>
      </c>
      <c r="F25" s="8">
        <v>277.13617199999999</v>
      </c>
      <c r="G25" s="9">
        <v>1.6395292999999998E-2</v>
      </c>
      <c r="H25" s="167"/>
    </row>
    <row r="26" spans="1:8" x14ac:dyDescent="0.2">
      <c r="A26" s="5">
        <v>20</v>
      </c>
      <c r="B26" s="6" t="s">
        <v>188</v>
      </c>
      <c r="C26" s="6" t="s">
        <v>189</v>
      </c>
      <c r="D26" s="6" t="s">
        <v>167</v>
      </c>
      <c r="E26" s="7">
        <v>10880</v>
      </c>
      <c r="F26" s="8">
        <v>276.67295999999999</v>
      </c>
      <c r="G26" s="9">
        <v>1.636789E-2</v>
      </c>
      <c r="H26" s="167"/>
    </row>
    <row r="27" spans="1:8" x14ac:dyDescent="0.2">
      <c r="A27" s="5">
        <v>21</v>
      </c>
      <c r="B27" s="6" t="s">
        <v>190</v>
      </c>
      <c r="C27" s="6" t="s">
        <v>191</v>
      </c>
      <c r="D27" s="6" t="s">
        <v>192</v>
      </c>
      <c r="E27" s="7">
        <v>66638</v>
      </c>
      <c r="F27" s="8">
        <v>261.95397800000001</v>
      </c>
      <c r="G27" s="9">
        <v>1.5497119E-2</v>
      </c>
      <c r="H27" s="167"/>
    </row>
    <row r="28" spans="1:8" x14ac:dyDescent="0.2">
      <c r="A28" s="5">
        <v>22</v>
      </c>
      <c r="B28" s="6" t="s">
        <v>46</v>
      </c>
      <c r="C28" s="6" t="s">
        <v>47</v>
      </c>
      <c r="D28" s="6" t="s">
        <v>29</v>
      </c>
      <c r="E28" s="7">
        <v>26435</v>
      </c>
      <c r="F28" s="8">
        <v>258.17742750000002</v>
      </c>
      <c r="G28" s="9">
        <v>1.5273699999999999E-2</v>
      </c>
      <c r="H28" s="167"/>
    </row>
    <row r="29" spans="1:8" ht="25.5" x14ac:dyDescent="0.2">
      <c r="A29" s="5">
        <v>23</v>
      </c>
      <c r="B29" s="6" t="s">
        <v>63</v>
      </c>
      <c r="C29" s="6" t="s">
        <v>64</v>
      </c>
      <c r="D29" s="6" t="s">
        <v>37</v>
      </c>
      <c r="E29" s="7">
        <v>45520</v>
      </c>
      <c r="F29" s="8">
        <v>257.57492000000002</v>
      </c>
      <c r="G29" s="9">
        <v>1.5238056E-2</v>
      </c>
      <c r="H29" s="167"/>
    </row>
    <row r="30" spans="1:8" x14ac:dyDescent="0.2">
      <c r="A30" s="5">
        <v>24</v>
      </c>
      <c r="B30" s="6" t="s">
        <v>193</v>
      </c>
      <c r="C30" s="6" t="s">
        <v>194</v>
      </c>
      <c r="D30" s="6" t="s">
        <v>178</v>
      </c>
      <c r="E30" s="7">
        <v>137606</v>
      </c>
      <c r="F30" s="8">
        <v>251.543768</v>
      </c>
      <c r="G30" s="9">
        <v>1.4881254E-2</v>
      </c>
      <c r="H30" s="167"/>
    </row>
    <row r="31" spans="1:8" x14ac:dyDescent="0.2">
      <c r="A31" s="5">
        <v>25</v>
      </c>
      <c r="B31" s="6" t="s">
        <v>195</v>
      </c>
      <c r="C31" s="6" t="s">
        <v>196</v>
      </c>
      <c r="D31" s="6" t="s">
        <v>197</v>
      </c>
      <c r="E31" s="7">
        <v>32673</v>
      </c>
      <c r="F31" s="8">
        <v>246.82817850000001</v>
      </c>
      <c r="G31" s="9">
        <v>1.4602281999999999E-2</v>
      </c>
      <c r="H31" s="167"/>
    </row>
    <row r="32" spans="1:8" x14ac:dyDescent="0.2">
      <c r="A32" s="5">
        <v>26</v>
      </c>
      <c r="B32" s="6" t="s">
        <v>198</v>
      </c>
      <c r="C32" s="6" t="s">
        <v>199</v>
      </c>
      <c r="D32" s="6" t="s">
        <v>167</v>
      </c>
      <c r="E32" s="7">
        <v>29067</v>
      </c>
      <c r="F32" s="8">
        <v>239.4684795</v>
      </c>
      <c r="G32" s="9">
        <v>1.4166883999999999E-2</v>
      </c>
      <c r="H32" s="167"/>
    </row>
    <row r="33" spans="1:8" ht="25.5" x14ac:dyDescent="0.2">
      <c r="A33" s="5">
        <v>27</v>
      </c>
      <c r="B33" s="6" t="s">
        <v>200</v>
      </c>
      <c r="C33" s="6" t="s">
        <v>201</v>
      </c>
      <c r="D33" s="6" t="s">
        <v>75</v>
      </c>
      <c r="E33" s="7">
        <v>10523</v>
      </c>
      <c r="F33" s="8">
        <v>237.18842000000001</v>
      </c>
      <c r="G33" s="9">
        <v>1.4031996E-2</v>
      </c>
      <c r="H33" s="167"/>
    </row>
    <row r="34" spans="1:8" x14ac:dyDescent="0.2">
      <c r="A34" s="5">
        <v>28</v>
      </c>
      <c r="B34" s="6" t="s">
        <v>202</v>
      </c>
      <c r="C34" s="6" t="s">
        <v>203</v>
      </c>
      <c r="D34" s="6" t="s">
        <v>57</v>
      </c>
      <c r="E34" s="7">
        <v>20943</v>
      </c>
      <c r="F34" s="8">
        <v>225.55610999999999</v>
      </c>
      <c r="G34" s="9">
        <v>1.3343832E-2</v>
      </c>
      <c r="H34" s="167"/>
    </row>
    <row r="35" spans="1:8" ht="25.5" x14ac:dyDescent="0.2">
      <c r="A35" s="5">
        <v>29</v>
      </c>
      <c r="B35" s="6" t="s">
        <v>204</v>
      </c>
      <c r="C35" s="6" t="s">
        <v>205</v>
      </c>
      <c r="D35" s="6" t="s">
        <v>37</v>
      </c>
      <c r="E35" s="7">
        <v>260091</v>
      </c>
      <c r="F35" s="8">
        <v>222.63789600000001</v>
      </c>
      <c r="G35" s="9">
        <v>1.3171192E-2</v>
      </c>
      <c r="H35" s="167"/>
    </row>
    <row r="36" spans="1:8" x14ac:dyDescent="0.2">
      <c r="A36" s="5">
        <v>30</v>
      </c>
      <c r="B36" s="6" t="s">
        <v>206</v>
      </c>
      <c r="C36" s="6" t="s">
        <v>207</v>
      </c>
      <c r="D36" s="6" t="s">
        <v>32</v>
      </c>
      <c r="E36" s="7">
        <v>234660</v>
      </c>
      <c r="F36" s="8">
        <v>220.5804</v>
      </c>
      <c r="G36" s="9">
        <v>1.3049471E-2</v>
      </c>
      <c r="H36" s="167"/>
    </row>
    <row r="37" spans="1:8" x14ac:dyDescent="0.2">
      <c r="A37" s="5">
        <v>31</v>
      </c>
      <c r="B37" s="6" t="s">
        <v>208</v>
      </c>
      <c r="C37" s="6" t="s">
        <v>209</v>
      </c>
      <c r="D37" s="6" t="s">
        <v>971</v>
      </c>
      <c r="E37" s="7">
        <v>84532</v>
      </c>
      <c r="F37" s="8">
        <v>220.16359399999999</v>
      </c>
      <c r="G37" s="9">
        <v>1.3024813E-2</v>
      </c>
      <c r="H37" s="167"/>
    </row>
    <row r="38" spans="1:8" x14ac:dyDescent="0.2">
      <c r="A38" s="5">
        <v>32</v>
      </c>
      <c r="B38" s="6" t="s">
        <v>210</v>
      </c>
      <c r="C38" s="6" t="s">
        <v>211</v>
      </c>
      <c r="D38" s="6" t="s">
        <v>29</v>
      </c>
      <c r="E38" s="7">
        <v>16344</v>
      </c>
      <c r="F38" s="8">
        <v>220.14550800000001</v>
      </c>
      <c r="G38" s="9">
        <v>1.3023743000000001E-2</v>
      </c>
      <c r="H38" s="167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158</v>
      </c>
      <c r="E39" s="7">
        <v>38143</v>
      </c>
      <c r="F39" s="8">
        <v>216.97645549999999</v>
      </c>
      <c r="G39" s="9">
        <v>1.2836263000000001E-2</v>
      </c>
      <c r="H39" s="167"/>
    </row>
    <row r="40" spans="1:8" x14ac:dyDescent="0.2">
      <c r="A40" s="5">
        <v>34</v>
      </c>
      <c r="B40" s="6" t="s">
        <v>214</v>
      </c>
      <c r="C40" s="6" t="s">
        <v>215</v>
      </c>
      <c r="D40" s="6" t="s">
        <v>976</v>
      </c>
      <c r="E40" s="7">
        <v>69389</v>
      </c>
      <c r="F40" s="8">
        <v>215.5569285</v>
      </c>
      <c r="G40" s="9">
        <v>1.2752283999999999E-2</v>
      </c>
      <c r="H40" s="167"/>
    </row>
    <row r="41" spans="1:8" x14ac:dyDescent="0.2">
      <c r="A41" s="5">
        <v>35</v>
      </c>
      <c r="B41" s="6" t="s">
        <v>216</v>
      </c>
      <c r="C41" s="6" t="s">
        <v>217</v>
      </c>
      <c r="D41" s="6" t="s">
        <v>192</v>
      </c>
      <c r="E41" s="7">
        <v>40455</v>
      </c>
      <c r="F41" s="8">
        <v>211.88306249999999</v>
      </c>
      <c r="G41" s="9">
        <v>1.2534939E-2</v>
      </c>
      <c r="H41" s="167"/>
    </row>
    <row r="42" spans="1:8" x14ac:dyDescent="0.2">
      <c r="A42" s="5">
        <v>36</v>
      </c>
      <c r="B42" s="6" t="s">
        <v>218</v>
      </c>
      <c r="C42" s="6" t="s">
        <v>219</v>
      </c>
      <c r="D42" s="6" t="s">
        <v>973</v>
      </c>
      <c r="E42" s="7">
        <v>31000</v>
      </c>
      <c r="F42" s="8">
        <v>211.761</v>
      </c>
      <c r="G42" s="9">
        <v>1.2527718E-2</v>
      </c>
      <c r="H42" s="167"/>
    </row>
    <row r="43" spans="1:8" x14ac:dyDescent="0.2">
      <c r="A43" s="5">
        <v>37</v>
      </c>
      <c r="B43" s="6" t="s">
        <v>220</v>
      </c>
      <c r="C43" s="6" t="s">
        <v>221</v>
      </c>
      <c r="D43" s="6" t="s">
        <v>158</v>
      </c>
      <c r="E43" s="7">
        <v>369714</v>
      </c>
      <c r="F43" s="8">
        <v>210.55212299999999</v>
      </c>
      <c r="G43" s="9">
        <v>1.2456201E-2</v>
      </c>
      <c r="H43" s="167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971</v>
      </c>
      <c r="E44" s="7">
        <v>62718</v>
      </c>
      <c r="F44" s="8">
        <v>205.71503999999999</v>
      </c>
      <c r="G44" s="9">
        <v>1.2170040999999999E-2</v>
      </c>
      <c r="H44" s="167"/>
    </row>
    <row r="45" spans="1:8" x14ac:dyDescent="0.2">
      <c r="A45" s="5">
        <v>39</v>
      </c>
      <c r="B45" s="6" t="s">
        <v>224</v>
      </c>
      <c r="C45" s="6" t="s">
        <v>225</v>
      </c>
      <c r="D45" s="6" t="s">
        <v>185</v>
      </c>
      <c r="E45" s="7">
        <v>49328</v>
      </c>
      <c r="F45" s="8">
        <v>203.69997599999999</v>
      </c>
      <c r="G45" s="9">
        <v>1.205083E-2</v>
      </c>
      <c r="H45" s="167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32</v>
      </c>
      <c r="E46" s="7">
        <v>25501</v>
      </c>
      <c r="F46" s="8">
        <v>201.763912</v>
      </c>
      <c r="G46" s="9">
        <v>1.1936293000000001E-2</v>
      </c>
      <c r="H46" s="167"/>
    </row>
    <row r="47" spans="1:8" ht="25.5" x14ac:dyDescent="0.2">
      <c r="A47" s="5">
        <v>41</v>
      </c>
      <c r="B47" s="6" t="s">
        <v>228</v>
      </c>
      <c r="C47" s="6" t="s">
        <v>229</v>
      </c>
      <c r="D47" s="6" t="s">
        <v>78</v>
      </c>
      <c r="E47" s="7">
        <v>59268</v>
      </c>
      <c r="F47" s="8">
        <v>201.30376200000001</v>
      </c>
      <c r="G47" s="9">
        <v>1.1909071E-2</v>
      </c>
      <c r="H47" s="167"/>
    </row>
    <row r="48" spans="1:8" x14ac:dyDescent="0.2">
      <c r="A48" s="5">
        <v>42</v>
      </c>
      <c r="B48" s="6" t="s">
        <v>30</v>
      </c>
      <c r="C48" s="6" t="s">
        <v>31</v>
      </c>
      <c r="D48" s="6" t="s">
        <v>32</v>
      </c>
      <c r="E48" s="7">
        <v>74785</v>
      </c>
      <c r="F48" s="8">
        <v>193.65575749999999</v>
      </c>
      <c r="G48" s="9">
        <v>1.1456617000000001E-2</v>
      </c>
      <c r="H48" s="167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75</v>
      </c>
      <c r="E49" s="7">
        <v>30856</v>
      </c>
      <c r="F49" s="8">
        <v>186.246816</v>
      </c>
      <c r="G49" s="9">
        <v>1.1018306E-2</v>
      </c>
      <c r="H49" s="167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185</v>
      </c>
      <c r="E50" s="7">
        <v>51255</v>
      </c>
      <c r="F50" s="8">
        <v>184.21046999999999</v>
      </c>
      <c r="G50" s="9">
        <v>1.0897837E-2</v>
      </c>
      <c r="H50" s="167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29</v>
      </c>
      <c r="E51" s="7">
        <v>152424</v>
      </c>
      <c r="F51" s="8">
        <v>177.87880799999999</v>
      </c>
      <c r="G51" s="9">
        <v>1.0523256999999999E-2</v>
      </c>
      <c r="H51" s="167"/>
    </row>
    <row r="52" spans="1:8" x14ac:dyDescent="0.2">
      <c r="A52" s="5">
        <v>46</v>
      </c>
      <c r="B52" s="6" t="s">
        <v>236</v>
      </c>
      <c r="C52" s="6" t="s">
        <v>237</v>
      </c>
      <c r="D52" s="6" t="s">
        <v>974</v>
      </c>
      <c r="E52" s="7">
        <v>17937</v>
      </c>
      <c r="F52" s="8">
        <v>176.75119799999999</v>
      </c>
      <c r="G52" s="9">
        <v>1.0456548E-2</v>
      </c>
      <c r="H52" s="167"/>
    </row>
    <row r="53" spans="1:8" x14ac:dyDescent="0.2">
      <c r="A53" s="5">
        <v>47</v>
      </c>
      <c r="B53" s="6" t="s">
        <v>238</v>
      </c>
      <c r="C53" s="6" t="s">
        <v>239</v>
      </c>
      <c r="D53" s="6" t="s">
        <v>240</v>
      </c>
      <c r="E53" s="7">
        <v>21457</v>
      </c>
      <c r="F53" s="8">
        <v>174.896007</v>
      </c>
      <c r="G53" s="9">
        <v>1.0346796E-2</v>
      </c>
      <c r="H53" s="167"/>
    </row>
    <row r="54" spans="1:8" ht="25.5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46362</v>
      </c>
      <c r="F54" s="8">
        <v>174.251577</v>
      </c>
      <c r="G54" s="9">
        <v>1.0308671E-2</v>
      </c>
      <c r="H54" s="167"/>
    </row>
    <row r="55" spans="1:8" ht="25.5" x14ac:dyDescent="0.2">
      <c r="A55" s="5">
        <v>49</v>
      </c>
      <c r="B55" s="6" t="s">
        <v>243</v>
      </c>
      <c r="C55" s="6" t="s">
        <v>244</v>
      </c>
      <c r="D55" s="6" t="s">
        <v>78</v>
      </c>
      <c r="E55" s="7">
        <v>48460</v>
      </c>
      <c r="F55" s="8">
        <v>171.79069999999999</v>
      </c>
      <c r="G55" s="9">
        <v>1.0163086999999999E-2</v>
      </c>
      <c r="H55" s="167"/>
    </row>
    <row r="56" spans="1:8" x14ac:dyDescent="0.2">
      <c r="A56" s="5">
        <v>50</v>
      </c>
      <c r="B56" s="6" t="s">
        <v>245</v>
      </c>
      <c r="C56" s="6" t="s">
        <v>246</v>
      </c>
      <c r="D56" s="6" t="s">
        <v>247</v>
      </c>
      <c r="E56" s="7">
        <v>103185</v>
      </c>
      <c r="F56" s="8">
        <v>169.2234</v>
      </c>
      <c r="G56" s="9">
        <v>1.0011206E-2</v>
      </c>
      <c r="H56" s="167"/>
    </row>
    <row r="57" spans="1:8" x14ac:dyDescent="0.2">
      <c r="A57" s="5">
        <v>51</v>
      </c>
      <c r="B57" s="6" t="s">
        <v>248</v>
      </c>
      <c r="C57" s="6" t="s">
        <v>249</v>
      </c>
      <c r="D57" s="6" t="s">
        <v>192</v>
      </c>
      <c r="E57" s="7">
        <v>11356</v>
      </c>
      <c r="F57" s="8">
        <v>164.752848</v>
      </c>
      <c r="G57" s="9">
        <v>9.7467290000000009E-3</v>
      </c>
      <c r="H57" s="167"/>
    </row>
    <row r="58" spans="1:8" x14ac:dyDescent="0.2">
      <c r="A58" s="5">
        <v>52</v>
      </c>
      <c r="B58" s="6" t="s">
        <v>250</v>
      </c>
      <c r="C58" s="6" t="s">
        <v>251</v>
      </c>
      <c r="D58" s="6" t="s">
        <v>75</v>
      </c>
      <c r="E58" s="7">
        <v>26372</v>
      </c>
      <c r="F58" s="8">
        <v>161.43619799999999</v>
      </c>
      <c r="G58" s="9">
        <v>9.5505169999999997E-3</v>
      </c>
      <c r="H58" s="167"/>
    </row>
    <row r="59" spans="1:8" x14ac:dyDescent="0.2">
      <c r="A59" s="5">
        <v>53</v>
      </c>
      <c r="B59" s="6" t="s">
        <v>95</v>
      </c>
      <c r="C59" s="6" t="s">
        <v>96</v>
      </c>
      <c r="D59" s="6" t="s">
        <v>75</v>
      </c>
      <c r="E59" s="7">
        <v>63039</v>
      </c>
      <c r="F59" s="8">
        <v>161.4113595</v>
      </c>
      <c r="G59" s="9">
        <v>9.5490479999999992E-3</v>
      </c>
      <c r="H59" s="167"/>
    </row>
    <row r="60" spans="1:8" x14ac:dyDescent="0.2">
      <c r="A60" s="5">
        <v>54</v>
      </c>
      <c r="B60" s="6" t="s">
        <v>252</v>
      </c>
      <c r="C60" s="6" t="s">
        <v>253</v>
      </c>
      <c r="D60" s="6" t="s">
        <v>158</v>
      </c>
      <c r="E60" s="7">
        <v>29381</v>
      </c>
      <c r="F60" s="8">
        <v>161.125404</v>
      </c>
      <c r="G60" s="9">
        <v>9.5321309999999992E-3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33060</v>
      </c>
      <c r="F61" s="8">
        <v>159.38226</v>
      </c>
      <c r="G61" s="9">
        <v>9.4290069999999997E-3</v>
      </c>
      <c r="H61" s="167"/>
    </row>
    <row r="62" spans="1:8" x14ac:dyDescent="0.2">
      <c r="A62" s="5">
        <v>56</v>
      </c>
      <c r="B62" s="6" t="s">
        <v>73</v>
      </c>
      <c r="C62" s="6" t="s">
        <v>74</v>
      </c>
      <c r="D62" s="6" t="s">
        <v>75</v>
      </c>
      <c r="E62" s="7">
        <v>5800</v>
      </c>
      <c r="F62" s="8">
        <v>158.20949999999999</v>
      </c>
      <c r="G62" s="9">
        <v>9.3596270000000006E-3</v>
      </c>
      <c r="H62" s="167"/>
    </row>
    <row r="63" spans="1:8" ht="25.5" x14ac:dyDescent="0.2">
      <c r="A63" s="5">
        <v>57</v>
      </c>
      <c r="B63" s="6" t="s">
        <v>256</v>
      </c>
      <c r="C63" s="6" t="s">
        <v>257</v>
      </c>
      <c r="D63" s="6" t="s">
        <v>975</v>
      </c>
      <c r="E63" s="7">
        <v>185657</v>
      </c>
      <c r="F63" s="8">
        <v>157.52996450000001</v>
      </c>
      <c r="G63" s="9">
        <v>9.3194260000000004E-3</v>
      </c>
      <c r="H63" s="167"/>
    </row>
    <row r="64" spans="1:8" x14ac:dyDescent="0.2">
      <c r="A64" s="5">
        <v>58</v>
      </c>
      <c r="B64" s="6" t="s">
        <v>258</v>
      </c>
      <c r="C64" s="6" t="s">
        <v>259</v>
      </c>
      <c r="D64" s="6" t="s">
        <v>23</v>
      </c>
      <c r="E64" s="7">
        <v>139624</v>
      </c>
      <c r="F64" s="8">
        <v>146.53538800000001</v>
      </c>
      <c r="G64" s="9">
        <v>8.6689899999999997E-3</v>
      </c>
      <c r="H64" s="167"/>
    </row>
    <row r="65" spans="1:8" x14ac:dyDescent="0.2">
      <c r="A65" s="5">
        <v>59</v>
      </c>
      <c r="B65" s="6" t="s">
        <v>260</v>
      </c>
      <c r="C65" s="6" t="s">
        <v>926</v>
      </c>
      <c r="D65" s="6" t="s">
        <v>261</v>
      </c>
      <c r="E65" s="7">
        <v>56338</v>
      </c>
      <c r="F65" s="8">
        <v>134.281623</v>
      </c>
      <c r="G65" s="9">
        <v>7.9440610000000005E-3</v>
      </c>
      <c r="H65" s="167"/>
    </row>
    <row r="66" spans="1:8" x14ac:dyDescent="0.2">
      <c r="A66" s="5">
        <v>60</v>
      </c>
      <c r="B66" s="6" t="s">
        <v>262</v>
      </c>
      <c r="C66" s="6" t="s">
        <v>263</v>
      </c>
      <c r="D66" s="6" t="s">
        <v>185</v>
      </c>
      <c r="E66" s="7">
        <v>23266</v>
      </c>
      <c r="F66" s="8">
        <v>132.302109</v>
      </c>
      <c r="G66" s="9">
        <v>7.8269529999999993E-3</v>
      </c>
      <c r="H66" s="167"/>
    </row>
    <row r="67" spans="1:8" x14ac:dyDescent="0.2">
      <c r="A67" s="5">
        <v>61</v>
      </c>
      <c r="B67" s="6" t="s">
        <v>264</v>
      </c>
      <c r="C67" s="6" t="s">
        <v>265</v>
      </c>
      <c r="D67" s="6" t="s">
        <v>971</v>
      </c>
      <c r="E67" s="7">
        <v>96898</v>
      </c>
      <c r="F67" s="8">
        <v>132.217321</v>
      </c>
      <c r="G67" s="9">
        <v>7.8219369999999993E-3</v>
      </c>
      <c r="H67" s="167"/>
    </row>
    <row r="68" spans="1:8" x14ac:dyDescent="0.2">
      <c r="A68" s="5">
        <v>62</v>
      </c>
      <c r="B68" s="6" t="s">
        <v>266</v>
      </c>
      <c r="C68" s="6" t="s">
        <v>267</v>
      </c>
      <c r="D68" s="6" t="s">
        <v>75</v>
      </c>
      <c r="E68" s="7">
        <v>65000</v>
      </c>
      <c r="F68" s="8">
        <v>127.36750000000001</v>
      </c>
      <c r="G68" s="9">
        <v>7.5350230000000001E-3</v>
      </c>
      <c r="H68" s="167"/>
    </row>
    <row r="69" spans="1:8" x14ac:dyDescent="0.2">
      <c r="A69" s="5">
        <v>63</v>
      </c>
      <c r="B69" s="6" t="s">
        <v>268</v>
      </c>
      <c r="C69" s="6" t="s">
        <v>269</v>
      </c>
      <c r="D69" s="6" t="s">
        <v>50</v>
      </c>
      <c r="E69" s="7">
        <v>143614</v>
      </c>
      <c r="F69" s="8">
        <v>127.026583</v>
      </c>
      <c r="G69" s="9">
        <v>7.514855E-3</v>
      </c>
      <c r="H69" s="167"/>
    </row>
    <row r="70" spans="1:8" x14ac:dyDescent="0.2">
      <c r="A70" s="5">
        <v>64</v>
      </c>
      <c r="B70" s="6" t="s">
        <v>270</v>
      </c>
      <c r="C70" s="6" t="s">
        <v>271</v>
      </c>
      <c r="D70" s="6" t="s">
        <v>75</v>
      </c>
      <c r="E70" s="7">
        <v>76732</v>
      </c>
      <c r="F70" s="8">
        <v>121.313292</v>
      </c>
      <c r="G70" s="9">
        <v>7.1768580000000004E-3</v>
      </c>
      <c r="H70" s="167"/>
    </row>
    <row r="71" spans="1:8" x14ac:dyDescent="0.2">
      <c r="A71" s="5">
        <v>65</v>
      </c>
      <c r="B71" s="6" t="s">
        <v>272</v>
      </c>
      <c r="C71" s="6" t="s">
        <v>273</v>
      </c>
      <c r="D71" s="6" t="s">
        <v>972</v>
      </c>
      <c r="E71" s="7">
        <v>7069</v>
      </c>
      <c r="F71" s="8">
        <v>109.49881000000001</v>
      </c>
      <c r="G71" s="9">
        <v>6.4779169999999997E-3</v>
      </c>
      <c r="H71" s="167"/>
    </row>
    <row r="72" spans="1:8" x14ac:dyDescent="0.2">
      <c r="A72" s="5">
        <v>66</v>
      </c>
      <c r="B72" s="6" t="s">
        <v>274</v>
      </c>
      <c r="C72" s="6" t="s">
        <v>275</v>
      </c>
      <c r="D72" s="6" t="s">
        <v>153</v>
      </c>
      <c r="E72" s="7">
        <v>6312</v>
      </c>
      <c r="F72" s="8">
        <v>96.822924</v>
      </c>
      <c r="G72" s="9">
        <v>5.7280150000000004E-3</v>
      </c>
      <c r="H72" s="167"/>
    </row>
    <row r="73" spans="1:8" x14ac:dyDescent="0.2">
      <c r="A73" s="5">
        <v>67</v>
      </c>
      <c r="B73" s="6" t="s">
        <v>53</v>
      </c>
      <c r="C73" s="6" t="s">
        <v>54</v>
      </c>
      <c r="D73" s="6" t="s">
        <v>32</v>
      </c>
      <c r="E73" s="7">
        <v>45310</v>
      </c>
      <c r="F73" s="8">
        <v>95.717375000000004</v>
      </c>
      <c r="G73" s="9">
        <v>5.6626109999999997E-3</v>
      </c>
      <c r="H73" s="167"/>
    </row>
    <row r="74" spans="1:8" x14ac:dyDescent="0.2">
      <c r="A74" s="5">
        <v>68</v>
      </c>
      <c r="B74" s="6" t="s">
        <v>276</v>
      </c>
      <c r="C74" s="6" t="s">
        <v>277</v>
      </c>
      <c r="D74" s="6" t="s">
        <v>167</v>
      </c>
      <c r="E74" s="7">
        <v>15744</v>
      </c>
      <c r="F74" s="8">
        <v>87.276864000000003</v>
      </c>
      <c r="G74" s="9">
        <v>5.1632730000000003E-3</v>
      </c>
      <c r="H74" s="167"/>
    </row>
    <row r="75" spans="1:8" x14ac:dyDescent="0.2">
      <c r="A75" s="5">
        <v>69</v>
      </c>
      <c r="B75" s="6" t="s">
        <v>278</v>
      </c>
      <c r="C75" s="6" t="s">
        <v>279</v>
      </c>
      <c r="D75" s="6" t="s">
        <v>192</v>
      </c>
      <c r="E75" s="7">
        <v>8123</v>
      </c>
      <c r="F75" s="8">
        <v>77.257852999999997</v>
      </c>
      <c r="G75" s="9">
        <v>4.5705520000000003E-3</v>
      </c>
      <c r="H75" s="167"/>
    </row>
    <row r="76" spans="1:8" x14ac:dyDescent="0.2">
      <c r="A76" s="5">
        <v>70</v>
      </c>
      <c r="B76" s="6" t="s">
        <v>280</v>
      </c>
      <c r="C76" s="6" t="s">
        <v>281</v>
      </c>
      <c r="D76" s="6" t="s">
        <v>971</v>
      </c>
      <c r="E76" s="7">
        <v>154369</v>
      </c>
      <c r="F76" s="8">
        <v>64.526241999999996</v>
      </c>
      <c r="G76" s="9">
        <v>3.8173529999999999E-3</v>
      </c>
      <c r="H76" s="167"/>
    </row>
    <row r="77" spans="1:8" x14ac:dyDescent="0.2">
      <c r="A77" s="5">
        <v>71</v>
      </c>
      <c r="B77" s="6" t="s">
        <v>282</v>
      </c>
      <c r="C77" s="6" t="s">
        <v>283</v>
      </c>
      <c r="D77" s="6" t="s">
        <v>284</v>
      </c>
      <c r="E77" s="7">
        <v>36502</v>
      </c>
      <c r="F77" s="8">
        <v>52.927900000000001</v>
      </c>
      <c r="G77" s="9">
        <v>3.1311989999999999E-3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0">
        <v>16287.409782999999</v>
      </c>
      <c r="G78" s="11">
        <v>0.96355831599999997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105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106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110</v>
      </c>
      <c r="D86" s="3" t="s">
        <v>10</v>
      </c>
      <c r="E86" s="3" t="s">
        <v>10</v>
      </c>
      <c r="F86" s="3" t="s">
        <v>10</v>
      </c>
      <c r="G86" s="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111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112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113</v>
      </c>
      <c r="D95" s="3" t="s">
        <v>10</v>
      </c>
      <c r="E95" s="3" t="s">
        <v>10</v>
      </c>
      <c r="F95" s="10">
        <v>16287.409782999999</v>
      </c>
      <c r="G95" s="11">
        <v>0.96355831599999997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114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ht="25.5" x14ac:dyDescent="0.2">
      <c r="A98" s="3" t="s">
        <v>10</v>
      </c>
      <c r="B98" s="3" t="s">
        <v>10</v>
      </c>
      <c r="C98" s="4" t="s">
        <v>12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115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116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117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118</v>
      </c>
      <c r="D110" s="3" t="s">
        <v>10</v>
      </c>
      <c r="E110" s="3" t="s">
        <v>10</v>
      </c>
      <c r="F110" s="10">
        <v>0</v>
      </c>
      <c r="G110" s="11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119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120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121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122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4">
        <v>0</v>
      </c>
      <c r="G120" s="15">
        <v>0</v>
      </c>
      <c r="H120" s="167"/>
    </row>
    <row r="121" spans="1:8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123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7"/>
    </row>
    <row r="123" spans="1:8" x14ac:dyDescent="0.2">
      <c r="A123" s="5">
        <v>1</v>
      </c>
      <c r="B123" s="6"/>
      <c r="C123" s="6" t="s">
        <v>124</v>
      </c>
      <c r="D123" s="6"/>
      <c r="E123" s="16" t="s">
        <v>10</v>
      </c>
      <c r="F123" s="8">
        <v>497.23135969999998</v>
      </c>
      <c r="G123" s="9">
        <v>2.9416059000000001E-2</v>
      </c>
      <c r="H123" s="108">
        <v>3.23</v>
      </c>
    </row>
    <row r="124" spans="1:8" x14ac:dyDescent="0.2">
      <c r="A124" s="5">
        <v>2</v>
      </c>
      <c r="B124" s="6"/>
      <c r="C124" s="6" t="s">
        <v>125</v>
      </c>
      <c r="D124" s="6"/>
      <c r="E124" s="16" t="s">
        <v>10</v>
      </c>
      <c r="F124" s="8">
        <v>139.6672078</v>
      </c>
      <c r="G124" s="9">
        <v>8.2626699999999997E-3</v>
      </c>
      <c r="H124" s="108">
        <v>3.35</v>
      </c>
    </row>
    <row r="125" spans="1:8" x14ac:dyDescent="0.2">
      <c r="A125" s="3" t="s">
        <v>10</v>
      </c>
      <c r="B125" s="3" t="s">
        <v>10</v>
      </c>
      <c r="C125" s="4" t="s">
        <v>104</v>
      </c>
      <c r="D125" s="3" t="s">
        <v>10</v>
      </c>
      <c r="E125" s="3" t="s">
        <v>10</v>
      </c>
      <c r="F125" s="10">
        <v>636.89856750000001</v>
      </c>
      <c r="G125" s="11">
        <v>3.7678729000000001E-2</v>
      </c>
      <c r="H125" s="167"/>
    </row>
    <row r="126" spans="1:8" x14ac:dyDescent="0.2">
      <c r="A126" s="3" t="s">
        <v>10</v>
      </c>
      <c r="B126" s="3" t="s">
        <v>10</v>
      </c>
      <c r="C126" s="12" t="s">
        <v>10</v>
      </c>
      <c r="D126" s="3" t="s">
        <v>10</v>
      </c>
      <c r="E126" s="3" t="s">
        <v>10</v>
      </c>
      <c r="F126" s="13" t="s">
        <v>10</v>
      </c>
      <c r="G126" s="13" t="s">
        <v>10</v>
      </c>
      <c r="H126" s="167"/>
    </row>
    <row r="127" spans="1:8" x14ac:dyDescent="0.2">
      <c r="A127" s="3" t="s">
        <v>10</v>
      </c>
      <c r="B127" s="3" t="s">
        <v>10</v>
      </c>
      <c r="C127" s="4" t="s">
        <v>126</v>
      </c>
      <c r="D127" s="3" t="s">
        <v>10</v>
      </c>
      <c r="E127" s="3" t="s">
        <v>10</v>
      </c>
      <c r="F127" s="10">
        <v>636.89856750000001</v>
      </c>
      <c r="G127" s="11">
        <v>3.7678729000000001E-2</v>
      </c>
      <c r="H127" s="167"/>
    </row>
    <row r="128" spans="1:8" x14ac:dyDescent="0.2">
      <c r="A128" s="3" t="s">
        <v>10</v>
      </c>
      <c r="B128" s="3" t="s">
        <v>10</v>
      </c>
      <c r="C128" s="13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127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128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x14ac:dyDescent="0.2">
      <c r="A131" s="3" t="s">
        <v>10</v>
      </c>
      <c r="B131" s="3" t="s">
        <v>10</v>
      </c>
      <c r="C131" s="4" t="s">
        <v>104</v>
      </c>
      <c r="D131" s="3" t="s">
        <v>10</v>
      </c>
      <c r="E131" s="3" t="s">
        <v>10</v>
      </c>
      <c r="F131" s="14">
        <v>0</v>
      </c>
      <c r="G131" s="15">
        <v>0</v>
      </c>
      <c r="H131" s="167"/>
    </row>
    <row r="132" spans="1:8" x14ac:dyDescent="0.2">
      <c r="A132" s="3" t="s">
        <v>10</v>
      </c>
      <c r="B132" s="3" t="s">
        <v>10</v>
      </c>
      <c r="C132" s="12" t="s">
        <v>10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129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130</v>
      </c>
      <c r="D134" s="3" t="s">
        <v>10</v>
      </c>
      <c r="E134" s="3" t="s">
        <v>10</v>
      </c>
      <c r="F134" s="3" t="s">
        <v>10</v>
      </c>
      <c r="G134" s="3" t="s">
        <v>10</v>
      </c>
      <c r="H134" s="167"/>
    </row>
    <row r="135" spans="1:8" x14ac:dyDescent="0.2">
      <c r="A135" s="3" t="s">
        <v>10</v>
      </c>
      <c r="B135" s="3" t="s">
        <v>10</v>
      </c>
      <c r="C135" s="4" t="s">
        <v>104</v>
      </c>
      <c r="D135" s="3" t="s">
        <v>10</v>
      </c>
      <c r="E135" s="3" t="s">
        <v>10</v>
      </c>
      <c r="F135" s="14">
        <v>0</v>
      </c>
      <c r="G135" s="15">
        <v>0</v>
      </c>
      <c r="H135" s="167"/>
    </row>
    <row r="136" spans="1:8" x14ac:dyDescent="0.2">
      <c r="A136" s="3" t="s">
        <v>10</v>
      </c>
      <c r="B136" s="3" t="s">
        <v>10</v>
      </c>
      <c r="C136" s="12" t="s">
        <v>10</v>
      </c>
      <c r="D136" s="3" t="s">
        <v>10</v>
      </c>
      <c r="E136" s="3" t="s">
        <v>10</v>
      </c>
      <c r="F136" s="13" t="s">
        <v>10</v>
      </c>
      <c r="G136" s="13" t="s">
        <v>10</v>
      </c>
      <c r="H136" s="167"/>
    </row>
    <row r="137" spans="1:8" x14ac:dyDescent="0.2">
      <c r="A137" s="3" t="s">
        <v>10</v>
      </c>
      <c r="B137" s="3" t="s">
        <v>10</v>
      </c>
      <c r="C137" s="12" t="s">
        <v>10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ht="25.5" x14ac:dyDescent="0.2">
      <c r="A138" s="3" t="s">
        <v>10</v>
      </c>
      <c r="B138" s="3" t="s">
        <v>10</v>
      </c>
      <c r="C138" s="4" t="s">
        <v>131</v>
      </c>
      <c r="D138" s="3" t="s">
        <v>10</v>
      </c>
      <c r="E138" s="3" t="s">
        <v>10</v>
      </c>
      <c r="F138" s="13" t="s">
        <v>10</v>
      </c>
      <c r="G138" s="13" t="s">
        <v>10</v>
      </c>
      <c r="H138" s="167"/>
    </row>
    <row r="139" spans="1:8" x14ac:dyDescent="0.2">
      <c r="A139" s="3" t="s">
        <v>10</v>
      </c>
      <c r="B139" s="3" t="s">
        <v>10</v>
      </c>
      <c r="C139" s="4" t="s">
        <v>104</v>
      </c>
      <c r="D139" s="3" t="s">
        <v>10</v>
      </c>
      <c r="E139" s="3" t="s">
        <v>10</v>
      </c>
      <c r="F139" s="14">
        <v>0</v>
      </c>
      <c r="G139" s="15">
        <v>0</v>
      </c>
      <c r="H139" s="167"/>
    </row>
    <row r="140" spans="1:8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x14ac:dyDescent="0.2">
      <c r="A141" s="3" t="s">
        <v>10</v>
      </c>
      <c r="B141" s="6" t="s">
        <v>10</v>
      </c>
      <c r="C141" s="6" t="s">
        <v>10</v>
      </c>
      <c r="D141" s="4" t="s">
        <v>10</v>
      </c>
      <c r="E141" s="3" t="s">
        <v>10</v>
      </c>
      <c r="F141" s="6" t="s">
        <v>10</v>
      </c>
      <c r="G141" s="16" t="s">
        <v>10</v>
      </c>
      <c r="H141" s="167"/>
    </row>
    <row r="142" spans="1:8" x14ac:dyDescent="0.2">
      <c r="A142" s="16" t="s">
        <v>10</v>
      </c>
      <c r="B142" s="6" t="s">
        <v>10</v>
      </c>
      <c r="C142" s="6" t="s">
        <v>132</v>
      </c>
      <c r="D142" s="6" t="s">
        <v>10</v>
      </c>
      <c r="E142" s="16" t="s">
        <v>10</v>
      </c>
      <c r="F142" s="8">
        <v>-20.910267520000001</v>
      </c>
      <c r="G142" s="9">
        <v>-1.237045E-3</v>
      </c>
      <c r="H142" s="167"/>
    </row>
    <row r="143" spans="1:8" x14ac:dyDescent="0.2">
      <c r="A143" s="12" t="s">
        <v>10</v>
      </c>
      <c r="B143" s="12" t="s">
        <v>10</v>
      </c>
      <c r="C143" s="4" t="s">
        <v>133</v>
      </c>
      <c r="D143" s="17" t="s">
        <v>10</v>
      </c>
      <c r="E143" s="17" t="s">
        <v>10</v>
      </c>
      <c r="F143" s="10">
        <v>16903.398082979998</v>
      </c>
      <c r="G143" s="11">
        <v>1</v>
      </c>
      <c r="H143" s="167"/>
    </row>
    <row r="144" spans="1:8" x14ac:dyDescent="0.2">
      <c r="A144" s="18" t="s">
        <v>10</v>
      </c>
      <c r="B144" s="18" t="s">
        <v>10</v>
      </c>
      <c r="C144" s="18" t="s">
        <v>10</v>
      </c>
      <c r="D144" s="19" t="s">
        <v>10</v>
      </c>
      <c r="E144" s="19" t="s">
        <v>10</v>
      </c>
      <c r="F144" s="19" t="s">
        <v>10</v>
      </c>
      <c r="G144" s="19" t="s">
        <v>10</v>
      </c>
    </row>
    <row r="145" spans="1:7" x14ac:dyDescent="0.2">
      <c r="A145" s="20" t="s">
        <v>10</v>
      </c>
      <c r="B145" s="208" t="s">
        <v>10</v>
      </c>
      <c r="C145" s="208"/>
      <c r="D145" s="208"/>
      <c r="E145" s="208"/>
      <c r="F145" s="208"/>
      <c r="G145" s="22" t="s">
        <v>10</v>
      </c>
    </row>
    <row r="146" spans="1:7" x14ac:dyDescent="0.2">
      <c r="A146" s="20" t="s">
        <v>10</v>
      </c>
      <c r="B146" s="208" t="s">
        <v>10</v>
      </c>
      <c r="C146" s="208"/>
      <c r="D146" s="208"/>
      <c r="E146" s="208"/>
      <c r="F146" s="208"/>
      <c r="G146" s="22" t="s">
        <v>10</v>
      </c>
    </row>
    <row r="147" spans="1:7" x14ac:dyDescent="0.2">
      <c r="A147" s="20" t="s">
        <v>10</v>
      </c>
      <c r="B147" s="20" t="s">
        <v>10</v>
      </c>
      <c r="C147" s="20" t="s">
        <v>10</v>
      </c>
      <c r="D147" s="22" t="s">
        <v>10</v>
      </c>
      <c r="E147" s="22" t="s">
        <v>10</v>
      </c>
      <c r="F147" s="22" t="s">
        <v>10</v>
      </c>
      <c r="G147" s="22" t="s">
        <v>10</v>
      </c>
    </row>
    <row r="148" spans="1:7" x14ac:dyDescent="0.2">
      <c r="A148" s="20" t="s">
        <v>10</v>
      </c>
      <c r="B148" s="206" t="s">
        <v>134</v>
      </c>
      <c r="C148" s="207"/>
      <c r="D148" s="13" t="s">
        <v>10</v>
      </c>
      <c r="E148" s="23" t="s">
        <v>10</v>
      </c>
      <c r="F148" s="22" t="s">
        <v>10</v>
      </c>
      <c r="G148" s="22" t="s">
        <v>10</v>
      </c>
    </row>
    <row r="149" spans="1:7" ht="26.25" customHeight="1" x14ac:dyDescent="0.2">
      <c r="A149" s="20" t="s">
        <v>10</v>
      </c>
      <c r="B149" s="213" t="s">
        <v>135</v>
      </c>
      <c r="C149" s="214"/>
      <c r="D149" s="4" t="s">
        <v>136</v>
      </c>
      <c r="E149" s="23" t="s">
        <v>10</v>
      </c>
      <c r="F149" s="22" t="s">
        <v>10</v>
      </c>
      <c r="G149" s="22" t="s">
        <v>10</v>
      </c>
    </row>
    <row r="150" spans="1:7" x14ac:dyDescent="0.2">
      <c r="A150" s="20" t="s">
        <v>10</v>
      </c>
      <c r="B150" s="213" t="s">
        <v>137</v>
      </c>
      <c r="C150" s="214"/>
      <c r="D150" s="4" t="s">
        <v>136</v>
      </c>
      <c r="E150" s="23" t="s">
        <v>10</v>
      </c>
      <c r="F150" s="22" t="s">
        <v>10</v>
      </c>
      <c r="G150" s="22" t="s">
        <v>10</v>
      </c>
    </row>
    <row r="151" spans="1:7" x14ac:dyDescent="0.2">
      <c r="A151" s="20" t="s">
        <v>10</v>
      </c>
      <c r="B151" s="213" t="s">
        <v>138</v>
      </c>
      <c r="C151" s="214"/>
      <c r="D151" s="13" t="s">
        <v>10</v>
      </c>
      <c r="E151" s="23" t="s">
        <v>10</v>
      </c>
      <c r="F151" s="22" t="s">
        <v>10</v>
      </c>
      <c r="G151" s="22" t="s">
        <v>10</v>
      </c>
    </row>
    <row r="152" spans="1:7" s="20" customFormat="1" x14ac:dyDescent="0.2"/>
    <row r="153" spans="1:7" x14ac:dyDescent="0.2">
      <c r="A153" s="24" t="s">
        <v>10</v>
      </c>
      <c r="B153" s="140" t="s">
        <v>10</v>
      </c>
      <c r="C153" s="140" t="s">
        <v>139</v>
      </c>
      <c r="D153" s="140" t="s">
        <v>140</v>
      </c>
      <c r="E153" s="24" t="s">
        <v>10</v>
      </c>
      <c r="F153" s="24" t="s">
        <v>10</v>
      </c>
      <c r="G153" s="24" t="s">
        <v>10</v>
      </c>
    </row>
    <row r="154" spans="1:7" x14ac:dyDescent="0.2">
      <c r="A154" s="24" t="s">
        <v>10</v>
      </c>
      <c r="B154" s="25" t="s">
        <v>141</v>
      </c>
      <c r="C154" s="25" t="s">
        <v>142</v>
      </c>
      <c r="D154" s="25" t="s">
        <v>143</v>
      </c>
      <c r="E154" s="24" t="s">
        <v>10</v>
      </c>
      <c r="F154" s="24" t="s">
        <v>10</v>
      </c>
      <c r="G154" s="24" t="s">
        <v>10</v>
      </c>
    </row>
    <row r="155" spans="1:7" x14ac:dyDescent="0.2">
      <c r="A155" s="24" t="s">
        <v>10</v>
      </c>
      <c r="B155" s="6" t="s">
        <v>144</v>
      </c>
      <c r="C155" s="26">
        <v>11.873200000000001</v>
      </c>
      <c r="D155" s="26">
        <v>13.050700000000001</v>
      </c>
      <c r="E155" s="24" t="s">
        <v>10</v>
      </c>
      <c r="F155" s="21" t="s">
        <v>10</v>
      </c>
      <c r="G155" s="27" t="s">
        <v>10</v>
      </c>
    </row>
    <row r="156" spans="1:7" x14ac:dyDescent="0.2">
      <c r="A156" s="24" t="s">
        <v>10</v>
      </c>
      <c r="B156" s="6" t="s">
        <v>917</v>
      </c>
      <c r="C156" s="26">
        <v>11.873200000000001</v>
      </c>
      <c r="D156" s="26">
        <v>13.050700000000001</v>
      </c>
      <c r="E156" s="24" t="s">
        <v>10</v>
      </c>
      <c r="F156" s="21" t="s">
        <v>10</v>
      </c>
      <c r="G156" s="27" t="s">
        <v>10</v>
      </c>
    </row>
    <row r="157" spans="1:7" x14ac:dyDescent="0.2">
      <c r="A157" s="24" t="s">
        <v>10</v>
      </c>
      <c r="B157" s="6" t="s">
        <v>145</v>
      </c>
      <c r="C157" s="26">
        <v>11.581300000000001</v>
      </c>
      <c r="D157" s="26">
        <v>12.7233</v>
      </c>
      <c r="E157" s="24" t="s">
        <v>10</v>
      </c>
      <c r="F157" s="21" t="s">
        <v>10</v>
      </c>
      <c r="G157" s="27" t="s">
        <v>10</v>
      </c>
    </row>
    <row r="158" spans="1:7" x14ac:dyDescent="0.2">
      <c r="A158" s="24" t="s">
        <v>10</v>
      </c>
      <c r="B158" s="6" t="s">
        <v>918</v>
      </c>
      <c r="C158" s="26">
        <v>11.581300000000001</v>
      </c>
      <c r="D158" s="26">
        <v>12.7233</v>
      </c>
      <c r="E158" s="24" t="s">
        <v>10</v>
      </c>
      <c r="F158" s="21" t="s">
        <v>10</v>
      </c>
      <c r="G158" s="27" t="s">
        <v>10</v>
      </c>
    </row>
    <row r="159" spans="1:7" x14ac:dyDescent="0.2">
      <c r="A159" s="24" t="s">
        <v>10</v>
      </c>
      <c r="B159" s="24" t="s">
        <v>10</v>
      </c>
      <c r="C159" s="24" t="s">
        <v>10</v>
      </c>
      <c r="D159" s="24" t="s">
        <v>10</v>
      </c>
      <c r="E159" s="24" t="s">
        <v>10</v>
      </c>
      <c r="F159" s="24" t="s">
        <v>10</v>
      </c>
      <c r="G159" s="24" t="s">
        <v>10</v>
      </c>
    </row>
    <row r="160" spans="1:7" x14ac:dyDescent="0.2">
      <c r="A160" s="24" t="s">
        <v>10</v>
      </c>
      <c r="B160" s="213" t="s">
        <v>999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  <row r="161" spans="1:7" x14ac:dyDescent="0.2">
      <c r="A161" s="24" t="s">
        <v>10</v>
      </c>
      <c r="B161" s="28"/>
      <c r="C161" s="28"/>
      <c r="D161" s="29" t="s">
        <v>10</v>
      </c>
      <c r="E161" s="24" t="s">
        <v>10</v>
      </c>
      <c r="F161" s="24" t="s">
        <v>10</v>
      </c>
      <c r="G161" s="24" t="s">
        <v>10</v>
      </c>
    </row>
    <row r="162" spans="1:7" x14ac:dyDescent="0.2">
      <c r="A162" s="172"/>
      <c r="B162" s="217" t="s">
        <v>919</v>
      </c>
      <c r="C162" s="217"/>
      <c r="D162" s="217"/>
      <c r="E162" s="217"/>
      <c r="F162" s="217"/>
      <c r="G162" s="172"/>
    </row>
    <row r="163" spans="1:7" x14ac:dyDescent="0.2">
      <c r="A163" s="24" t="s">
        <v>10</v>
      </c>
      <c r="B163" s="21" t="s">
        <v>10</v>
      </c>
      <c r="C163" s="21" t="s">
        <v>10</v>
      </c>
      <c r="D163" s="24" t="s">
        <v>10</v>
      </c>
      <c r="E163" s="24" t="s">
        <v>10</v>
      </c>
      <c r="F163" s="24" t="s">
        <v>10</v>
      </c>
      <c r="G163" s="24" t="s">
        <v>10</v>
      </c>
    </row>
    <row r="164" spans="1:7" ht="25.5" customHeight="1" x14ac:dyDescent="0.2">
      <c r="A164" s="24" t="s">
        <v>10</v>
      </c>
      <c r="B164" s="213" t="s">
        <v>146</v>
      </c>
      <c r="C164" s="214"/>
      <c r="D164" s="4" t="s">
        <v>136</v>
      </c>
      <c r="E164" s="24" t="s">
        <v>10</v>
      </c>
      <c r="F164" s="24" t="s">
        <v>10</v>
      </c>
      <c r="G164" s="24" t="s">
        <v>10</v>
      </c>
    </row>
    <row r="165" spans="1:7" ht="20.25" customHeight="1" x14ac:dyDescent="0.2">
      <c r="A165" s="24" t="s">
        <v>10</v>
      </c>
      <c r="B165" s="213" t="s">
        <v>147</v>
      </c>
      <c r="C165" s="214"/>
      <c r="D165" s="4" t="s">
        <v>136</v>
      </c>
      <c r="E165" s="24" t="s">
        <v>10</v>
      </c>
      <c r="F165" s="24" t="s">
        <v>10</v>
      </c>
      <c r="G165" s="24" t="s">
        <v>10</v>
      </c>
    </row>
    <row r="166" spans="1:7" ht="15.75" customHeight="1" x14ac:dyDescent="0.2">
      <c r="A166" s="24" t="s">
        <v>10</v>
      </c>
      <c r="B166" s="213" t="s">
        <v>148</v>
      </c>
      <c r="C166" s="214"/>
      <c r="D166" s="30">
        <v>0.51633072000782199</v>
      </c>
      <c r="E166" s="24" t="s">
        <v>10</v>
      </c>
      <c r="F166" s="21" t="s">
        <v>10</v>
      </c>
      <c r="G166" s="27" t="s">
        <v>10</v>
      </c>
    </row>
    <row r="167" spans="1:7" x14ac:dyDescent="0.2">
      <c r="A167" s="24" t="s">
        <v>10</v>
      </c>
      <c r="B167" s="218" t="s">
        <v>149</v>
      </c>
      <c r="C167" s="214"/>
      <c r="D167" s="4" t="s">
        <v>136</v>
      </c>
      <c r="E167" s="24" t="s">
        <v>10</v>
      </c>
      <c r="F167" s="24" t="s">
        <v>10</v>
      </c>
      <c r="G167" s="24" t="s">
        <v>10</v>
      </c>
    </row>
  </sheetData>
  <mergeCells count="15">
    <mergeCell ref="B166:C166"/>
    <mergeCell ref="B167:C167"/>
    <mergeCell ref="B149:C149"/>
    <mergeCell ref="B150:C150"/>
    <mergeCell ref="B151:C151"/>
    <mergeCell ref="B160:C160"/>
    <mergeCell ref="B164:C164"/>
    <mergeCell ref="B165:C165"/>
    <mergeCell ref="B162:F162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6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7.100000000000001" customHeight="1" x14ac:dyDescent="0.2">
      <c r="A2" s="210" t="s">
        <v>285</v>
      </c>
      <c r="B2" s="211"/>
      <c r="C2" s="211"/>
      <c r="D2" s="211"/>
      <c r="E2" s="211"/>
      <c r="F2" s="211"/>
      <c r="G2" s="211"/>
      <c r="H2" s="212"/>
    </row>
    <row r="3" spans="1:8" ht="21" customHeight="1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ht="14.1" customHeight="1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4" customHeight="1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49881</v>
      </c>
      <c r="F7" s="8">
        <v>608.67290249999996</v>
      </c>
      <c r="G7" s="9">
        <v>3.7630324E-2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17009</v>
      </c>
      <c r="F8" s="8">
        <v>548.50623199999995</v>
      </c>
      <c r="G8" s="9">
        <v>3.3910606000000003E-2</v>
      </c>
      <c r="H8" s="167"/>
    </row>
    <row r="9" spans="1:8" x14ac:dyDescent="0.2">
      <c r="A9" s="5">
        <v>3</v>
      </c>
      <c r="B9" s="6" t="s">
        <v>154</v>
      </c>
      <c r="C9" s="6" t="s">
        <v>155</v>
      </c>
      <c r="D9" s="6" t="s">
        <v>153</v>
      </c>
      <c r="E9" s="7">
        <v>42588</v>
      </c>
      <c r="F9" s="8">
        <v>522.44829000000004</v>
      </c>
      <c r="G9" s="9">
        <v>3.2299611999999998E-2</v>
      </c>
      <c r="H9" s="167"/>
    </row>
    <row r="10" spans="1:8" x14ac:dyDescent="0.2">
      <c r="A10" s="5">
        <v>4</v>
      </c>
      <c r="B10" s="6" t="s">
        <v>156</v>
      </c>
      <c r="C10" s="6" t="s">
        <v>157</v>
      </c>
      <c r="D10" s="6" t="s">
        <v>158</v>
      </c>
      <c r="E10" s="7">
        <v>410889</v>
      </c>
      <c r="F10" s="8">
        <v>377.81243549999999</v>
      </c>
      <c r="G10" s="9">
        <v>2.3357709000000001E-2</v>
      </c>
      <c r="H10" s="167"/>
    </row>
    <row r="11" spans="1:8" x14ac:dyDescent="0.2">
      <c r="A11" s="5">
        <v>5</v>
      </c>
      <c r="B11" s="6" t="s">
        <v>159</v>
      </c>
      <c r="C11" s="6" t="s">
        <v>160</v>
      </c>
      <c r="D11" s="6" t="s">
        <v>29</v>
      </c>
      <c r="E11" s="7">
        <v>61203</v>
      </c>
      <c r="F11" s="8">
        <v>377.19408900000002</v>
      </c>
      <c r="G11" s="9">
        <v>2.331948E-2</v>
      </c>
      <c r="H11" s="167"/>
    </row>
    <row r="12" spans="1:8" ht="25.5" x14ac:dyDescent="0.2">
      <c r="A12" s="5">
        <v>6</v>
      </c>
      <c r="B12" s="6" t="s">
        <v>33</v>
      </c>
      <c r="C12" s="6" t="s">
        <v>34</v>
      </c>
      <c r="D12" s="6" t="s">
        <v>970</v>
      </c>
      <c r="E12" s="7">
        <v>13083</v>
      </c>
      <c r="F12" s="8">
        <v>372.7935435</v>
      </c>
      <c r="G12" s="9">
        <v>2.3047423000000001E-2</v>
      </c>
      <c r="H12" s="167"/>
    </row>
    <row r="13" spans="1:8" x14ac:dyDescent="0.2">
      <c r="A13" s="5">
        <v>7</v>
      </c>
      <c r="B13" s="6" t="s">
        <v>58</v>
      </c>
      <c r="C13" s="6" t="s">
        <v>59</v>
      </c>
      <c r="D13" s="6" t="s">
        <v>974</v>
      </c>
      <c r="E13" s="7">
        <v>273864</v>
      </c>
      <c r="F13" s="8">
        <v>352.46296799999999</v>
      </c>
      <c r="G13" s="9">
        <v>2.1790514E-2</v>
      </c>
      <c r="H13" s="167"/>
    </row>
    <row r="14" spans="1:8" ht="25.5" x14ac:dyDescent="0.2">
      <c r="A14" s="5">
        <v>8</v>
      </c>
      <c r="B14" s="6" t="s">
        <v>161</v>
      </c>
      <c r="C14" s="6" t="s">
        <v>162</v>
      </c>
      <c r="D14" s="6" t="s">
        <v>970</v>
      </c>
      <c r="E14" s="7">
        <v>189159</v>
      </c>
      <c r="F14" s="8">
        <v>344.7422775</v>
      </c>
      <c r="G14" s="9">
        <v>2.1313194000000001E-2</v>
      </c>
      <c r="H14" s="167"/>
    </row>
    <row r="15" spans="1:8" x14ac:dyDescent="0.2">
      <c r="A15" s="5">
        <v>9</v>
      </c>
      <c r="B15" s="6" t="s">
        <v>163</v>
      </c>
      <c r="C15" s="6" t="s">
        <v>164</v>
      </c>
      <c r="D15" s="6" t="s">
        <v>167</v>
      </c>
      <c r="E15" s="7">
        <v>39489</v>
      </c>
      <c r="F15" s="8">
        <v>342.58681949999999</v>
      </c>
      <c r="G15" s="9">
        <v>2.1179936E-2</v>
      </c>
      <c r="H15" s="167"/>
    </row>
    <row r="16" spans="1:8" x14ac:dyDescent="0.2">
      <c r="A16" s="5">
        <v>10</v>
      </c>
      <c r="B16" s="6" t="s">
        <v>165</v>
      </c>
      <c r="C16" s="6" t="s">
        <v>166</v>
      </c>
      <c r="D16" s="6" t="s">
        <v>167</v>
      </c>
      <c r="E16" s="7">
        <v>138923</v>
      </c>
      <c r="F16" s="8">
        <v>337.99965900000001</v>
      </c>
      <c r="G16" s="9">
        <v>2.0896340999999999E-2</v>
      </c>
      <c r="H16" s="167"/>
    </row>
    <row r="17" spans="1:8" x14ac:dyDescent="0.2">
      <c r="A17" s="5">
        <v>11</v>
      </c>
      <c r="B17" s="6" t="s">
        <v>168</v>
      </c>
      <c r="C17" s="6" t="s">
        <v>169</v>
      </c>
      <c r="D17" s="6" t="s">
        <v>75</v>
      </c>
      <c r="E17" s="7">
        <v>84039</v>
      </c>
      <c r="F17" s="8">
        <v>334.39118100000002</v>
      </c>
      <c r="G17" s="9">
        <v>2.0673252E-2</v>
      </c>
      <c r="H17" s="167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6240</v>
      </c>
      <c r="F18" s="8">
        <v>331.5</v>
      </c>
      <c r="G18" s="9">
        <v>2.0494509000000001E-2</v>
      </c>
      <c r="H18" s="167"/>
    </row>
    <row r="19" spans="1:8" ht="25.5" x14ac:dyDescent="0.2">
      <c r="A19" s="5">
        <v>13</v>
      </c>
      <c r="B19" s="6" t="s">
        <v>172</v>
      </c>
      <c r="C19" s="6" t="s">
        <v>173</v>
      </c>
      <c r="D19" s="6" t="s">
        <v>970</v>
      </c>
      <c r="E19" s="7">
        <v>120862</v>
      </c>
      <c r="F19" s="8">
        <v>303.84706799999998</v>
      </c>
      <c r="G19" s="9">
        <v>1.8784907E-2</v>
      </c>
      <c r="H19" s="167"/>
    </row>
    <row r="20" spans="1:8" x14ac:dyDescent="0.2">
      <c r="A20" s="5">
        <v>14</v>
      </c>
      <c r="B20" s="6" t="s">
        <v>174</v>
      </c>
      <c r="C20" s="6" t="s">
        <v>175</v>
      </c>
      <c r="D20" s="6" t="s">
        <v>50</v>
      </c>
      <c r="E20" s="7">
        <v>70480</v>
      </c>
      <c r="F20" s="8">
        <v>298.65899999999999</v>
      </c>
      <c r="G20" s="9">
        <v>1.8464161999999999E-2</v>
      </c>
      <c r="H20" s="167"/>
    </row>
    <row r="21" spans="1:8" x14ac:dyDescent="0.2">
      <c r="A21" s="5">
        <v>15</v>
      </c>
      <c r="B21" s="6" t="s">
        <v>181</v>
      </c>
      <c r="C21" s="6" t="s">
        <v>182</v>
      </c>
      <c r="D21" s="6" t="s">
        <v>29</v>
      </c>
      <c r="E21" s="7">
        <v>60820</v>
      </c>
      <c r="F21" s="8">
        <v>290.53714000000002</v>
      </c>
      <c r="G21" s="9">
        <v>1.7962038999999999E-2</v>
      </c>
      <c r="H21" s="167"/>
    </row>
    <row r="22" spans="1:8" x14ac:dyDescent="0.2">
      <c r="A22" s="5">
        <v>16</v>
      </c>
      <c r="B22" s="6" t="s">
        <v>176</v>
      </c>
      <c r="C22" s="6" t="s">
        <v>177</v>
      </c>
      <c r="D22" s="6" t="s">
        <v>178</v>
      </c>
      <c r="E22" s="7">
        <v>26636</v>
      </c>
      <c r="F22" s="8">
        <v>283.44699400000002</v>
      </c>
      <c r="G22" s="9">
        <v>1.7523700999999999E-2</v>
      </c>
      <c r="H22" s="167"/>
    </row>
    <row r="23" spans="1:8" x14ac:dyDescent="0.2">
      <c r="A23" s="5">
        <v>17</v>
      </c>
      <c r="B23" s="6" t="s">
        <v>179</v>
      </c>
      <c r="C23" s="6" t="s">
        <v>180</v>
      </c>
      <c r="D23" s="6" t="s">
        <v>972</v>
      </c>
      <c r="E23" s="7">
        <v>37436</v>
      </c>
      <c r="F23" s="8">
        <v>283.42795599999999</v>
      </c>
      <c r="G23" s="9">
        <v>1.7522524000000001E-2</v>
      </c>
      <c r="H23" s="167"/>
    </row>
    <row r="24" spans="1:8" x14ac:dyDescent="0.2">
      <c r="A24" s="5">
        <v>18</v>
      </c>
      <c r="B24" s="6" t="s">
        <v>183</v>
      </c>
      <c r="C24" s="6" t="s">
        <v>184</v>
      </c>
      <c r="D24" s="6" t="s">
        <v>185</v>
      </c>
      <c r="E24" s="7">
        <v>23138</v>
      </c>
      <c r="F24" s="8">
        <v>274.48609399999998</v>
      </c>
      <c r="G24" s="9">
        <v>1.6969707000000001E-2</v>
      </c>
      <c r="H24" s="167"/>
    </row>
    <row r="25" spans="1:8" x14ac:dyDescent="0.2">
      <c r="A25" s="5">
        <v>19</v>
      </c>
      <c r="B25" s="6" t="s">
        <v>188</v>
      </c>
      <c r="C25" s="6" t="s">
        <v>189</v>
      </c>
      <c r="D25" s="6" t="s">
        <v>167</v>
      </c>
      <c r="E25" s="7">
        <v>10499</v>
      </c>
      <c r="F25" s="8">
        <v>266.98432050000002</v>
      </c>
      <c r="G25" s="9">
        <v>1.650592E-2</v>
      </c>
      <c r="H25" s="167"/>
    </row>
    <row r="26" spans="1:8" ht="25.5" x14ac:dyDescent="0.2">
      <c r="A26" s="5">
        <v>20</v>
      </c>
      <c r="B26" s="6" t="s">
        <v>63</v>
      </c>
      <c r="C26" s="6" t="s">
        <v>64</v>
      </c>
      <c r="D26" s="6" t="s">
        <v>37</v>
      </c>
      <c r="E26" s="7">
        <v>44780</v>
      </c>
      <c r="F26" s="8">
        <v>253.38763</v>
      </c>
      <c r="G26" s="9">
        <v>1.5665325000000001E-2</v>
      </c>
      <c r="H26" s="167"/>
    </row>
    <row r="27" spans="1:8" x14ac:dyDescent="0.2">
      <c r="A27" s="5">
        <v>21</v>
      </c>
      <c r="B27" s="6" t="s">
        <v>190</v>
      </c>
      <c r="C27" s="6" t="s">
        <v>191</v>
      </c>
      <c r="D27" s="6" t="s">
        <v>192</v>
      </c>
      <c r="E27" s="7">
        <v>64323</v>
      </c>
      <c r="F27" s="8">
        <v>252.853713</v>
      </c>
      <c r="G27" s="9">
        <v>1.5632316E-2</v>
      </c>
      <c r="H27" s="167"/>
    </row>
    <row r="28" spans="1:8" x14ac:dyDescent="0.2">
      <c r="A28" s="5">
        <v>22</v>
      </c>
      <c r="B28" s="6" t="s">
        <v>46</v>
      </c>
      <c r="C28" s="6" t="s">
        <v>47</v>
      </c>
      <c r="D28" s="6" t="s">
        <v>29</v>
      </c>
      <c r="E28" s="7">
        <v>25282</v>
      </c>
      <c r="F28" s="8">
        <v>246.916653</v>
      </c>
      <c r="G28" s="9">
        <v>1.5265266E-2</v>
      </c>
      <c r="H28" s="167"/>
    </row>
    <row r="29" spans="1:8" x14ac:dyDescent="0.2">
      <c r="A29" s="5">
        <v>23</v>
      </c>
      <c r="B29" s="6" t="s">
        <v>193</v>
      </c>
      <c r="C29" s="6" t="s">
        <v>194</v>
      </c>
      <c r="D29" s="6" t="s">
        <v>178</v>
      </c>
      <c r="E29" s="7">
        <v>132103</v>
      </c>
      <c r="F29" s="8">
        <v>241.484284</v>
      </c>
      <c r="G29" s="9">
        <v>1.4929417E-2</v>
      </c>
      <c r="H29" s="167"/>
    </row>
    <row r="30" spans="1:8" x14ac:dyDescent="0.2">
      <c r="A30" s="5">
        <v>24</v>
      </c>
      <c r="B30" s="6" t="s">
        <v>195</v>
      </c>
      <c r="C30" s="6" t="s">
        <v>196</v>
      </c>
      <c r="D30" s="6" t="s">
        <v>197</v>
      </c>
      <c r="E30" s="7">
        <v>31547</v>
      </c>
      <c r="F30" s="8">
        <v>238.3218115</v>
      </c>
      <c r="G30" s="9">
        <v>1.4733902E-2</v>
      </c>
      <c r="H30" s="167"/>
    </row>
    <row r="31" spans="1:8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27880</v>
      </c>
      <c r="F31" s="8">
        <v>229.68938</v>
      </c>
      <c r="G31" s="9">
        <v>1.4200213999999999E-2</v>
      </c>
      <c r="H31" s="167"/>
    </row>
    <row r="32" spans="1:8" ht="25.5" x14ac:dyDescent="0.2">
      <c r="A32" s="5">
        <v>26</v>
      </c>
      <c r="B32" s="6" t="s">
        <v>200</v>
      </c>
      <c r="C32" s="6" t="s">
        <v>201</v>
      </c>
      <c r="D32" s="6" t="s">
        <v>75</v>
      </c>
      <c r="E32" s="7">
        <v>10136</v>
      </c>
      <c r="F32" s="8">
        <v>228.46544</v>
      </c>
      <c r="G32" s="9">
        <v>1.4124546E-2</v>
      </c>
      <c r="H32" s="167"/>
    </row>
    <row r="33" spans="1:8" x14ac:dyDescent="0.2">
      <c r="A33" s="5">
        <v>27</v>
      </c>
      <c r="B33" s="6" t="s">
        <v>206</v>
      </c>
      <c r="C33" s="6" t="s">
        <v>207</v>
      </c>
      <c r="D33" s="6" t="s">
        <v>32</v>
      </c>
      <c r="E33" s="7">
        <v>234585</v>
      </c>
      <c r="F33" s="8">
        <v>220.50989999999999</v>
      </c>
      <c r="G33" s="9">
        <v>1.3632706E-2</v>
      </c>
      <c r="H33" s="167"/>
    </row>
    <row r="34" spans="1:8" ht="25.5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249487</v>
      </c>
      <c r="F34" s="8">
        <v>213.56087199999999</v>
      </c>
      <c r="G34" s="9">
        <v>1.3203093000000001E-2</v>
      </c>
      <c r="H34" s="167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29</v>
      </c>
      <c r="E35" s="7">
        <v>15668</v>
      </c>
      <c r="F35" s="8">
        <v>211.04012599999999</v>
      </c>
      <c r="G35" s="9">
        <v>1.3047250999999999E-2</v>
      </c>
      <c r="H35" s="167"/>
    </row>
    <row r="36" spans="1:8" x14ac:dyDescent="0.2">
      <c r="A36" s="5">
        <v>30</v>
      </c>
      <c r="B36" s="6" t="s">
        <v>212</v>
      </c>
      <c r="C36" s="6" t="s">
        <v>213</v>
      </c>
      <c r="D36" s="6" t="s">
        <v>158</v>
      </c>
      <c r="E36" s="7">
        <v>36495</v>
      </c>
      <c r="F36" s="8">
        <v>207.60180750000001</v>
      </c>
      <c r="G36" s="9">
        <v>1.2834682E-2</v>
      </c>
      <c r="H36" s="167"/>
    </row>
    <row r="37" spans="1:8" x14ac:dyDescent="0.2">
      <c r="A37" s="5">
        <v>31</v>
      </c>
      <c r="B37" s="6" t="s">
        <v>245</v>
      </c>
      <c r="C37" s="6" t="s">
        <v>246</v>
      </c>
      <c r="D37" s="6" t="s">
        <v>247</v>
      </c>
      <c r="E37" s="7">
        <v>125377</v>
      </c>
      <c r="F37" s="8">
        <v>205.61828</v>
      </c>
      <c r="G37" s="9">
        <v>1.2712052999999999E-2</v>
      </c>
      <c r="H37" s="167"/>
    </row>
    <row r="38" spans="1:8" x14ac:dyDescent="0.2">
      <c r="A38" s="5">
        <v>32</v>
      </c>
      <c r="B38" s="6" t="s">
        <v>218</v>
      </c>
      <c r="C38" s="6" t="s">
        <v>219</v>
      </c>
      <c r="D38" s="6" t="s">
        <v>973</v>
      </c>
      <c r="E38" s="7">
        <v>30000</v>
      </c>
      <c r="F38" s="8">
        <v>204.93</v>
      </c>
      <c r="G38" s="9">
        <v>1.2669501999999999E-2</v>
      </c>
      <c r="H38" s="167"/>
    </row>
    <row r="39" spans="1:8" x14ac:dyDescent="0.2">
      <c r="A39" s="5">
        <v>33</v>
      </c>
      <c r="B39" s="6" t="s">
        <v>216</v>
      </c>
      <c r="C39" s="6" t="s">
        <v>217</v>
      </c>
      <c r="D39" s="6" t="s">
        <v>192</v>
      </c>
      <c r="E39" s="7">
        <v>38836</v>
      </c>
      <c r="F39" s="8">
        <v>203.40355</v>
      </c>
      <c r="G39" s="9">
        <v>1.2575131E-2</v>
      </c>
      <c r="H39" s="167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158</v>
      </c>
      <c r="E40" s="7">
        <v>355896</v>
      </c>
      <c r="F40" s="8">
        <v>202.682772</v>
      </c>
      <c r="G40" s="9">
        <v>1.253057E-2</v>
      </c>
      <c r="H40" s="167"/>
    </row>
    <row r="41" spans="1:8" x14ac:dyDescent="0.2">
      <c r="A41" s="5">
        <v>35</v>
      </c>
      <c r="B41" s="6" t="s">
        <v>226</v>
      </c>
      <c r="C41" s="6" t="s">
        <v>227</v>
      </c>
      <c r="D41" s="6" t="s">
        <v>32</v>
      </c>
      <c r="E41" s="7">
        <v>25533</v>
      </c>
      <c r="F41" s="8">
        <v>202.01709600000001</v>
      </c>
      <c r="G41" s="9">
        <v>1.2489415E-2</v>
      </c>
      <c r="H41" s="167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185</v>
      </c>
      <c r="E42" s="7">
        <v>48550</v>
      </c>
      <c r="F42" s="8">
        <v>200.487225</v>
      </c>
      <c r="G42" s="9">
        <v>1.2394832999999999E-2</v>
      </c>
      <c r="H42" s="167"/>
    </row>
    <row r="43" spans="1:8" x14ac:dyDescent="0.2">
      <c r="A43" s="5">
        <v>37</v>
      </c>
      <c r="B43" s="6" t="s">
        <v>236</v>
      </c>
      <c r="C43" s="6" t="s">
        <v>237</v>
      </c>
      <c r="D43" s="6" t="s">
        <v>974</v>
      </c>
      <c r="E43" s="7">
        <v>20147</v>
      </c>
      <c r="F43" s="8">
        <v>198.528538</v>
      </c>
      <c r="G43" s="9">
        <v>1.227374E-2</v>
      </c>
      <c r="H43" s="167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971</v>
      </c>
      <c r="E44" s="7">
        <v>60294</v>
      </c>
      <c r="F44" s="8">
        <v>197.76432</v>
      </c>
      <c r="G44" s="9">
        <v>1.2226493999999999E-2</v>
      </c>
      <c r="H44" s="167"/>
    </row>
    <row r="45" spans="1:8" x14ac:dyDescent="0.2">
      <c r="A45" s="5">
        <v>39</v>
      </c>
      <c r="B45" s="6" t="s">
        <v>214</v>
      </c>
      <c r="C45" s="6" t="s">
        <v>215</v>
      </c>
      <c r="D45" s="6" t="s">
        <v>976</v>
      </c>
      <c r="E45" s="7">
        <v>63515</v>
      </c>
      <c r="F45" s="8">
        <v>197.3093475</v>
      </c>
      <c r="G45" s="9">
        <v>1.2198366E-2</v>
      </c>
      <c r="H45" s="167"/>
    </row>
    <row r="46" spans="1:8" x14ac:dyDescent="0.2">
      <c r="A46" s="5">
        <v>40</v>
      </c>
      <c r="B46" s="6" t="s">
        <v>202</v>
      </c>
      <c r="C46" s="6" t="s">
        <v>203</v>
      </c>
      <c r="D46" s="6" t="s">
        <v>57</v>
      </c>
      <c r="E46" s="7">
        <v>18141</v>
      </c>
      <c r="F46" s="8">
        <v>195.37857</v>
      </c>
      <c r="G46" s="9">
        <v>1.2078998000000001E-2</v>
      </c>
      <c r="H46" s="167"/>
    </row>
    <row r="47" spans="1:8" ht="25.5" x14ac:dyDescent="0.2">
      <c r="A47" s="5">
        <v>41</v>
      </c>
      <c r="B47" s="6" t="s">
        <v>228</v>
      </c>
      <c r="C47" s="6" t="s">
        <v>229</v>
      </c>
      <c r="D47" s="6" t="s">
        <v>78</v>
      </c>
      <c r="E47" s="7">
        <v>57162</v>
      </c>
      <c r="F47" s="8">
        <v>194.150733</v>
      </c>
      <c r="G47" s="9">
        <v>1.2003089E-2</v>
      </c>
      <c r="H47" s="167"/>
    </row>
    <row r="48" spans="1:8" x14ac:dyDescent="0.2">
      <c r="A48" s="5">
        <v>42</v>
      </c>
      <c r="B48" s="6" t="s">
        <v>230</v>
      </c>
      <c r="C48" s="6" t="s">
        <v>231</v>
      </c>
      <c r="D48" s="6" t="s">
        <v>75</v>
      </c>
      <c r="E48" s="7">
        <v>29640</v>
      </c>
      <c r="F48" s="8">
        <v>178.90703999999999</v>
      </c>
      <c r="G48" s="9">
        <v>1.106067E-2</v>
      </c>
      <c r="H48" s="167"/>
    </row>
    <row r="49" spans="1:8" x14ac:dyDescent="0.2">
      <c r="A49" s="5">
        <v>43</v>
      </c>
      <c r="B49" s="6" t="s">
        <v>30</v>
      </c>
      <c r="C49" s="6" t="s">
        <v>31</v>
      </c>
      <c r="D49" s="6" t="s">
        <v>32</v>
      </c>
      <c r="E49" s="7">
        <v>68767</v>
      </c>
      <c r="F49" s="8">
        <v>178.0721465</v>
      </c>
      <c r="G49" s="9">
        <v>1.1009053E-2</v>
      </c>
      <c r="H49" s="167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185</v>
      </c>
      <c r="E50" s="7">
        <v>49282</v>
      </c>
      <c r="F50" s="8">
        <v>177.119508</v>
      </c>
      <c r="G50" s="9">
        <v>1.0950158E-2</v>
      </c>
      <c r="H50" s="167"/>
    </row>
    <row r="51" spans="1:8" x14ac:dyDescent="0.2">
      <c r="A51" s="5">
        <v>45</v>
      </c>
      <c r="B51" s="6" t="s">
        <v>208</v>
      </c>
      <c r="C51" s="6" t="s">
        <v>209</v>
      </c>
      <c r="D51" s="6" t="s">
        <v>971</v>
      </c>
      <c r="E51" s="7">
        <v>67975</v>
      </c>
      <c r="F51" s="8">
        <v>177.0408875</v>
      </c>
      <c r="G51" s="9">
        <v>1.0945297E-2</v>
      </c>
      <c r="H51" s="167"/>
    </row>
    <row r="52" spans="1:8" x14ac:dyDescent="0.2">
      <c r="A52" s="5">
        <v>46</v>
      </c>
      <c r="B52" s="6" t="s">
        <v>234</v>
      </c>
      <c r="C52" s="6" t="s">
        <v>235</v>
      </c>
      <c r="D52" s="6" t="s">
        <v>29</v>
      </c>
      <c r="E52" s="7">
        <v>146457</v>
      </c>
      <c r="F52" s="8">
        <v>170.91531900000001</v>
      </c>
      <c r="G52" s="9">
        <v>1.0566593000000001E-2</v>
      </c>
      <c r="H52" s="167"/>
    </row>
    <row r="53" spans="1:8" x14ac:dyDescent="0.2">
      <c r="A53" s="5">
        <v>47</v>
      </c>
      <c r="B53" s="6" t="s">
        <v>238</v>
      </c>
      <c r="C53" s="6" t="s">
        <v>239</v>
      </c>
      <c r="D53" s="6" t="s">
        <v>240</v>
      </c>
      <c r="E53" s="7">
        <v>20512</v>
      </c>
      <c r="F53" s="8">
        <v>167.19331199999999</v>
      </c>
      <c r="G53" s="9">
        <v>1.0336484999999999E-2</v>
      </c>
      <c r="H53" s="167"/>
    </row>
    <row r="54" spans="1:8" ht="25.5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44330</v>
      </c>
      <c r="F54" s="8">
        <v>166.614305</v>
      </c>
      <c r="G54" s="9">
        <v>1.0300689E-2</v>
      </c>
      <c r="H54" s="167"/>
    </row>
    <row r="55" spans="1:8" ht="25.5" x14ac:dyDescent="0.2">
      <c r="A55" s="5">
        <v>49</v>
      </c>
      <c r="B55" s="6" t="s">
        <v>243</v>
      </c>
      <c r="C55" s="6" t="s">
        <v>244</v>
      </c>
      <c r="D55" s="6" t="s">
        <v>78</v>
      </c>
      <c r="E55" s="7">
        <v>46339</v>
      </c>
      <c r="F55" s="8">
        <v>164.27175500000001</v>
      </c>
      <c r="G55" s="9">
        <v>1.0155864000000001E-2</v>
      </c>
      <c r="H55" s="167"/>
    </row>
    <row r="56" spans="1:8" x14ac:dyDescent="0.2">
      <c r="A56" s="5">
        <v>50</v>
      </c>
      <c r="B56" s="6" t="s">
        <v>248</v>
      </c>
      <c r="C56" s="6" t="s">
        <v>249</v>
      </c>
      <c r="D56" s="6" t="s">
        <v>192</v>
      </c>
      <c r="E56" s="7">
        <v>10907</v>
      </c>
      <c r="F56" s="8">
        <v>158.238756</v>
      </c>
      <c r="G56" s="9">
        <v>9.7828829999999992E-3</v>
      </c>
      <c r="H56" s="167"/>
    </row>
    <row r="57" spans="1:8" ht="25.5" x14ac:dyDescent="0.2">
      <c r="A57" s="5">
        <v>51</v>
      </c>
      <c r="B57" s="6" t="s">
        <v>256</v>
      </c>
      <c r="C57" s="6" t="s">
        <v>257</v>
      </c>
      <c r="D57" s="6" t="s">
        <v>975</v>
      </c>
      <c r="E57" s="7">
        <v>183660</v>
      </c>
      <c r="F57" s="8">
        <v>155.83551</v>
      </c>
      <c r="G57" s="9">
        <v>9.6343060000000005E-3</v>
      </c>
      <c r="H57" s="167"/>
    </row>
    <row r="58" spans="1:8" x14ac:dyDescent="0.2">
      <c r="A58" s="5">
        <v>52</v>
      </c>
      <c r="B58" s="6" t="s">
        <v>252</v>
      </c>
      <c r="C58" s="6" t="s">
        <v>253</v>
      </c>
      <c r="D58" s="6" t="s">
        <v>158</v>
      </c>
      <c r="E58" s="7">
        <v>28201</v>
      </c>
      <c r="F58" s="8">
        <v>154.65428399999999</v>
      </c>
      <c r="G58" s="9">
        <v>9.5612779999999994E-3</v>
      </c>
      <c r="H58" s="167"/>
    </row>
    <row r="59" spans="1:8" x14ac:dyDescent="0.2">
      <c r="A59" s="5">
        <v>53</v>
      </c>
      <c r="B59" s="6" t="s">
        <v>95</v>
      </c>
      <c r="C59" s="6" t="s">
        <v>96</v>
      </c>
      <c r="D59" s="6" t="s">
        <v>75</v>
      </c>
      <c r="E59" s="7">
        <v>60325</v>
      </c>
      <c r="F59" s="8">
        <v>154.46216250000001</v>
      </c>
      <c r="G59" s="9">
        <v>9.5493999999999996E-3</v>
      </c>
      <c r="H59" s="167"/>
    </row>
    <row r="60" spans="1:8" x14ac:dyDescent="0.2">
      <c r="A60" s="5">
        <v>54</v>
      </c>
      <c r="B60" s="6" t="s">
        <v>254</v>
      </c>
      <c r="C60" s="6" t="s">
        <v>255</v>
      </c>
      <c r="D60" s="6" t="s">
        <v>971</v>
      </c>
      <c r="E60" s="7">
        <v>31743</v>
      </c>
      <c r="F60" s="8">
        <v>153.03300300000001</v>
      </c>
      <c r="G60" s="9">
        <v>9.4610449999999995E-3</v>
      </c>
      <c r="H60" s="167"/>
    </row>
    <row r="61" spans="1:8" x14ac:dyDescent="0.2">
      <c r="A61" s="5">
        <v>55</v>
      </c>
      <c r="B61" s="6" t="s">
        <v>73</v>
      </c>
      <c r="C61" s="6" t="s">
        <v>74</v>
      </c>
      <c r="D61" s="6" t="s">
        <v>75</v>
      </c>
      <c r="E61" s="7">
        <v>5600</v>
      </c>
      <c r="F61" s="8">
        <v>152.75399999999999</v>
      </c>
      <c r="G61" s="9">
        <v>9.4437960000000008E-3</v>
      </c>
      <c r="H61" s="167"/>
    </row>
    <row r="62" spans="1:8" x14ac:dyDescent="0.2">
      <c r="A62" s="5">
        <v>56</v>
      </c>
      <c r="B62" s="6" t="s">
        <v>258</v>
      </c>
      <c r="C62" s="6" t="s">
        <v>259</v>
      </c>
      <c r="D62" s="6" t="s">
        <v>23</v>
      </c>
      <c r="E62" s="7">
        <v>135178</v>
      </c>
      <c r="F62" s="8">
        <v>141.86931100000001</v>
      </c>
      <c r="G62" s="9">
        <v>8.7708649999999992E-3</v>
      </c>
      <c r="H62" s="167"/>
    </row>
    <row r="63" spans="1:8" x14ac:dyDescent="0.2">
      <c r="A63" s="5">
        <v>57</v>
      </c>
      <c r="B63" s="6" t="s">
        <v>260</v>
      </c>
      <c r="C63" s="6" t="s">
        <v>926</v>
      </c>
      <c r="D63" s="6" t="s">
        <v>261</v>
      </c>
      <c r="E63" s="7">
        <v>54097</v>
      </c>
      <c r="F63" s="8">
        <v>128.94019950000001</v>
      </c>
      <c r="G63" s="9">
        <v>7.9715419999999999E-3</v>
      </c>
      <c r="H63" s="167"/>
    </row>
    <row r="64" spans="1:8" x14ac:dyDescent="0.2">
      <c r="A64" s="5">
        <v>58</v>
      </c>
      <c r="B64" s="6" t="s">
        <v>266</v>
      </c>
      <c r="C64" s="6" t="s">
        <v>267</v>
      </c>
      <c r="D64" s="6" t="s">
        <v>75</v>
      </c>
      <c r="E64" s="7">
        <v>65000</v>
      </c>
      <c r="F64" s="8">
        <v>127.36750000000001</v>
      </c>
      <c r="G64" s="9">
        <v>7.8743119999999996E-3</v>
      </c>
      <c r="H64" s="167"/>
    </row>
    <row r="65" spans="1:8" x14ac:dyDescent="0.2">
      <c r="A65" s="5">
        <v>59</v>
      </c>
      <c r="B65" s="6" t="s">
        <v>262</v>
      </c>
      <c r="C65" s="6" t="s">
        <v>263</v>
      </c>
      <c r="D65" s="6" t="s">
        <v>185</v>
      </c>
      <c r="E65" s="7">
        <v>22382</v>
      </c>
      <c r="F65" s="8">
        <v>127.275243</v>
      </c>
      <c r="G65" s="9">
        <v>7.8686079999999992E-3</v>
      </c>
      <c r="H65" s="167"/>
    </row>
    <row r="66" spans="1:8" x14ac:dyDescent="0.2">
      <c r="A66" s="5">
        <v>60</v>
      </c>
      <c r="B66" s="6" t="s">
        <v>264</v>
      </c>
      <c r="C66" s="6" t="s">
        <v>265</v>
      </c>
      <c r="D66" s="6" t="s">
        <v>971</v>
      </c>
      <c r="E66" s="7">
        <v>92831</v>
      </c>
      <c r="F66" s="8">
        <v>126.6678995</v>
      </c>
      <c r="G66" s="9">
        <v>7.8310600000000008E-3</v>
      </c>
      <c r="H66" s="167"/>
    </row>
    <row r="67" spans="1:8" x14ac:dyDescent="0.2">
      <c r="A67" s="5">
        <v>61</v>
      </c>
      <c r="B67" s="6" t="s">
        <v>268</v>
      </c>
      <c r="C67" s="6" t="s">
        <v>269</v>
      </c>
      <c r="D67" s="6" t="s">
        <v>50</v>
      </c>
      <c r="E67" s="7">
        <v>142112</v>
      </c>
      <c r="F67" s="8">
        <v>125.698064</v>
      </c>
      <c r="G67" s="9">
        <v>7.7711009999999999E-3</v>
      </c>
      <c r="H67" s="167"/>
    </row>
    <row r="68" spans="1:8" x14ac:dyDescent="0.2">
      <c r="A68" s="5">
        <v>62</v>
      </c>
      <c r="B68" s="6" t="s">
        <v>270</v>
      </c>
      <c r="C68" s="6" t="s">
        <v>271</v>
      </c>
      <c r="D68" s="6" t="s">
        <v>75</v>
      </c>
      <c r="E68" s="7">
        <v>73734</v>
      </c>
      <c r="F68" s="8">
        <v>116.573454</v>
      </c>
      <c r="G68" s="9">
        <v>7.2069860000000003E-3</v>
      </c>
      <c r="H68" s="167"/>
    </row>
    <row r="69" spans="1:8" x14ac:dyDescent="0.2">
      <c r="A69" s="5">
        <v>63</v>
      </c>
      <c r="B69" s="6" t="s">
        <v>286</v>
      </c>
      <c r="C69" s="6" t="s">
        <v>287</v>
      </c>
      <c r="D69" s="6" t="s">
        <v>29</v>
      </c>
      <c r="E69" s="7">
        <v>10677</v>
      </c>
      <c r="F69" s="8">
        <v>108.3235035</v>
      </c>
      <c r="G69" s="9">
        <v>6.6969439999999998E-3</v>
      </c>
      <c r="H69" s="167"/>
    </row>
    <row r="70" spans="1:8" x14ac:dyDescent="0.2">
      <c r="A70" s="5">
        <v>64</v>
      </c>
      <c r="B70" s="6" t="s">
        <v>272</v>
      </c>
      <c r="C70" s="6" t="s">
        <v>273</v>
      </c>
      <c r="D70" s="6" t="s">
        <v>972</v>
      </c>
      <c r="E70" s="7">
        <v>6788</v>
      </c>
      <c r="F70" s="8">
        <v>105.14612</v>
      </c>
      <c r="G70" s="9">
        <v>6.500507E-3</v>
      </c>
      <c r="H70" s="167"/>
    </row>
    <row r="71" spans="1:8" x14ac:dyDescent="0.2">
      <c r="A71" s="5">
        <v>65</v>
      </c>
      <c r="B71" s="6" t="s">
        <v>53</v>
      </c>
      <c r="C71" s="6" t="s">
        <v>54</v>
      </c>
      <c r="D71" s="6" t="s">
        <v>32</v>
      </c>
      <c r="E71" s="7">
        <v>44443</v>
      </c>
      <c r="F71" s="8">
        <v>93.885837499999994</v>
      </c>
      <c r="G71" s="9">
        <v>5.8043560000000001E-3</v>
      </c>
      <c r="H71" s="167"/>
    </row>
    <row r="72" spans="1:8" x14ac:dyDescent="0.2">
      <c r="A72" s="5">
        <v>66</v>
      </c>
      <c r="B72" s="6" t="s">
        <v>274</v>
      </c>
      <c r="C72" s="6" t="s">
        <v>275</v>
      </c>
      <c r="D72" s="6" t="s">
        <v>153</v>
      </c>
      <c r="E72" s="7">
        <v>6090</v>
      </c>
      <c r="F72" s="8">
        <v>93.417554999999993</v>
      </c>
      <c r="G72" s="9">
        <v>5.7754060000000003E-3</v>
      </c>
      <c r="H72" s="167"/>
    </row>
    <row r="73" spans="1:8" x14ac:dyDescent="0.2">
      <c r="A73" s="5">
        <v>67</v>
      </c>
      <c r="B73" s="6" t="s">
        <v>276</v>
      </c>
      <c r="C73" s="6" t="s">
        <v>277</v>
      </c>
      <c r="D73" s="6" t="s">
        <v>167</v>
      </c>
      <c r="E73" s="7">
        <v>15051</v>
      </c>
      <c r="F73" s="8">
        <v>83.435218500000005</v>
      </c>
      <c r="G73" s="9">
        <v>5.1582620000000003E-3</v>
      </c>
      <c r="H73" s="167"/>
    </row>
    <row r="74" spans="1:8" x14ac:dyDescent="0.2">
      <c r="A74" s="5">
        <v>68</v>
      </c>
      <c r="B74" s="6" t="s">
        <v>278</v>
      </c>
      <c r="C74" s="6" t="s">
        <v>279</v>
      </c>
      <c r="D74" s="6" t="s">
        <v>192</v>
      </c>
      <c r="E74" s="7">
        <v>7870</v>
      </c>
      <c r="F74" s="8">
        <v>74.851569999999995</v>
      </c>
      <c r="G74" s="9">
        <v>4.62759E-3</v>
      </c>
      <c r="H74" s="167"/>
    </row>
    <row r="75" spans="1:8" x14ac:dyDescent="0.2">
      <c r="A75" s="5">
        <v>69</v>
      </c>
      <c r="B75" s="6" t="s">
        <v>280</v>
      </c>
      <c r="C75" s="6" t="s">
        <v>281</v>
      </c>
      <c r="D75" s="6" t="s">
        <v>971</v>
      </c>
      <c r="E75" s="7">
        <v>148365</v>
      </c>
      <c r="F75" s="8">
        <v>62.016570000000002</v>
      </c>
      <c r="G75" s="9">
        <v>3.8340850000000001E-3</v>
      </c>
      <c r="H75" s="167"/>
    </row>
    <row r="76" spans="1:8" x14ac:dyDescent="0.2">
      <c r="A76" s="5">
        <v>70</v>
      </c>
      <c r="B76" s="6" t="s">
        <v>282</v>
      </c>
      <c r="C76" s="6" t="s">
        <v>283</v>
      </c>
      <c r="D76" s="6" t="s">
        <v>284</v>
      </c>
      <c r="E76" s="7">
        <v>36010</v>
      </c>
      <c r="F76" s="8">
        <v>52.214500000000001</v>
      </c>
      <c r="G76" s="9">
        <v>3.2280859999999998E-3</v>
      </c>
      <c r="H76" s="167"/>
    </row>
    <row r="77" spans="1:8" x14ac:dyDescent="0.2">
      <c r="A77" s="3" t="s">
        <v>10</v>
      </c>
      <c r="B77" s="3" t="s">
        <v>10</v>
      </c>
      <c r="C77" s="4" t="s">
        <v>104</v>
      </c>
      <c r="D77" s="3" t="s">
        <v>10</v>
      </c>
      <c r="E77" s="3" t="s">
        <v>10</v>
      </c>
      <c r="F77" s="10">
        <v>15475.3955525</v>
      </c>
      <c r="G77" s="11">
        <v>0.95674399600000004</v>
      </c>
      <c r="H77" s="167"/>
    </row>
    <row r="78" spans="1:8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105</v>
      </c>
      <c r="D79" s="3" t="s">
        <v>10</v>
      </c>
      <c r="E79" s="3" t="s">
        <v>10</v>
      </c>
      <c r="F79" s="3" t="s">
        <v>10</v>
      </c>
      <c r="G79" s="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4">
        <v>0</v>
      </c>
      <c r="G80" s="15">
        <v>0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106</v>
      </c>
      <c r="D82" s="3" t="s">
        <v>10</v>
      </c>
      <c r="E82" s="3" t="s">
        <v>10</v>
      </c>
      <c r="F82" s="3" t="s">
        <v>10</v>
      </c>
      <c r="G82" s="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110</v>
      </c>
      <c r="D85" s="3" t="s">
        <v>10</v>
      </c>
      <c r="E85" s="3" t="s">
        <v>10</v>
      </c>
      <c r="F85" s="3" t="s">
        <v>10</v>
      </c>
      <c r="G85" s="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111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4">
        <v>0</v>
      </c>
      <c r="G89" s="15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112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4">
        <v>0</v>
      </c>
      <c r="G92" s="15">
        <v>0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113</v>
      </c>
      <c r="D94" s="3" t="s">
        <v>10</v>
      </c>
      <c r="E94" s="3" t="s">
        <v>10</v>
      </c>
      <c r="F94" s="10">
        <v>15475.3955525</v>
      </c>
      <c r="G94" s="11">
        <v>0.95674399600000004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114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ht="25.5" x14ac:dyDescent="0.2">
      <c r="A97" s="3" t="s">
        <v>10</v>
      </c>
      <c r="B97" s="3" t="s">
        <v>10</v>
      </c>
      <c r="C97" s="4" t="s">
        <v>12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115</v>
      </c>
      <c r="D100" s="3" t="s">
        <v>10</v>
      </c>
      <c r="E100" s="3" t="s">
        <v>10</v>
      </c>
      <c r="F100" s="3" t="s">
        <v>10</v>
      </c>
      <c r="G100" s="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116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117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118</v>
      </c>
      <c r="D109" s="3" t="s">
        <v>10</v>
      </c>
      <c r="E109" s="3" t="s">
        <v>10</v>
      </c>
      <c r="F109" s="10">
        <v>0</v>
      </c>
      <c r="G109" s="11">
        <v>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119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120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104</v>
      </c>
      <c r="D113" s="3" t="s">
        <v>10</v>
      </c>
      <c r="E113" s="3" t="s">
        <v>10</v>
      </c>
      <c r="F113" s="14">
        <v>0</v>
      </c>
      <c r="G113" s="15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121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4">
        <v>0</v>
      </c>
      <c r="G116" s="15">
        <v>0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122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104</v>
      </c>
      <c r="D119" s="3" t="s">
        <v>10</v>
      </c>
      <c r="E119" s="3" t="s">
        <v>10</v>
      </c>
      <c r="F119" s="14">
        <v>0</v>
      </c>
      <c r="G119" s="15">
        <v>0</v>
      </c>
      <c r="H119" s="167"/>
    </row>
    <row r="120" spans="1:8" x14ac:dyDescent="0.2">
      <c r="A120" s="3" t="s">
        <v>10</v>
      </c>
      <c r="B120" s="3" t="s">
        <v>10</v>
      </c>
      <c r="C120" s="12" t="s">
        <v>10</v>
      </c>
      <c r="D120" s="3" t="s">
        <v>10</v>
      </c>
      <c r="E120" s="3" t="s">
        <v>10</v>
      </c>
      <c r="F120" s="13" t="s">
        <v>10</v>
      </c>
      <c r="G120" s="1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123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5">
        <v>1</v>
      </c>
      <c r="B122" s="6"/>
      <c r="C122" s="6" t="s">
        <v>124</v>
      </c>
      <c r="D122" s="6"/>
      <c r="E122" s="16" t="s">
        <v>10</v>
      </c>
      <c r="F122" s="8">
        <v>560.40256439999996</v>
      </c>
      <c r="G122" s="9">
        <v>3.4646080000000003E-2</v>
      </c>
      <c r="H122" s="108">
        <v>3.23</v>
      </c>
    </row>
    <row r="123" spans="1:8" x14ac:dyDescent="0.2">
      <c r="A123" s="5">
        <v>2</v>
      </c>
      <c r="B123" s="6"/>
      <c r="C123" s="6" t="s">
        <v>125</v>
      </c>
      <c r="D123" s="6"/>
      <c r="E123" s="16" t="s">
        <v>10</v>
      </c>
      <c r="F123" s="8">
        <v>157.4114285</v>
      </c>
      <c r="G123" s="9">
        <v>9.7317340000000006E-3</v>
      </c>
      <c r="H123" s="108">
        <v>3.35</v>
      </c>
    </row>
    <row r="124" spans="1:8" x14ac:dyDescent="0.2">
      <c r="A124" s="3" t="s">
        <v>10</v>
      </c>
      <c r="B124" s="3" t="s">
        <v>10</v>
      </c>
      <c r="C124" s="4" t="s">
        <v>104</v>
      </c>
      <c r="D124" s="3" t="s">
        <v>10</v>
      </c>
      <c r="E124" s="3" t="s">
        <v>10</v>
      </c>
      <c r="F124" s="10">
        <v>717.81399290000002</v>
      </c>
      <c r="G124" s="11">
        <v>4.4377814000000002E-2</v>
      </c>
      <c r="H124" s="167"/>
    </row>
    <row r="125" spans="1:8" x14ac:dyDescent="0.2">
      <c r="A125" s="3" t="s">
        <v>10</v>
      </c>
      <c r="B125" s="3" t="s">
        <v>10</v>
      </c>
      <c r="C125" s="12" t="s">
        <v>10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126</v>
      </c>
      <c r="D126" s="3" t="s">
        <v>10</v>
      </c>
      <c r="E126" s="3" t="s">
        <v>10</v>
      </c>
      <c r="F126" s="10">
        <v>717.81399290000002</v>
      </c>
      <c r="G126" s="11">
        <v>4.4377814000000002E-2</v>
      </c>
      <c r="H126" s="167"/>
    </row>
    <row r="127" spans="1:8" x14ac:dyDescent="0.2">
      <c r="A127" s="3" t="s">
        <v>10</v>
      </c>
      <c r="B127" s="3" t="s">
        <v>10</v>
      </c>
      <c r="C127" s="13" t="s">
        <v>10</v>
      </c>
      <c r="D127" s="3" t="s">
        <v>10</v>
      </c>
      <c r="E127" s="3" t="s">
        <v>10</v>
      </c>
      <c r="F127" s="3" t="s">
        <v>10</v>
      </c>
      <c r="G127" s="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127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128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129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130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3" t="s">
        <v>10</v>
      </c>
      <c r="C136" s="12" t="s">
        <v>10</v>
      </c>
      <c r="D136" s="3" t="s">
        <v>10</v>
      </c>
      <c r="E136" s="3" t="s">
        <v>10</v>
      </c>
      <c r="F136" s="13" t="s">
        <v>10</v>
      </c>
      <c r="G136" s="13" t="s">
        <v>10</v>
      </c>
      <c r="H136" s="167"/>
    </row>
    <row r="137" spans="1:8" ht="25.5" x14ac:dyDescent="0.2">
      <c r="A137" s="3" t="s">
        <v>10</v>
      </c>
      <c r="B137" s="3" t="s">
        <v>10</v>
      </c>
      <c r="C137" s="4" t="s">
        <v>131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4">
        <v>0</v>
      </c>
      <c r="G138" s="15">
        <v>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x14ac:dyDescent="0.2">
      <c r="A140" s="3" t="s">
        <v>10</v>
      </c>
      <c r="B140" s="6" t="s">
        <v>10</v>
      </c>
      <c r="C140" s="6" t="s">
        <v>10</v>
      </c>
      <c r="D140" s="4" t="s">
        <v>10</v>
      </c>
      <c r="E140" s="3" t="s">
        <v>10</v>
      </c>
      <c r="F140" s="6" t="s">
        <v>10</v>
      </c>
      <c r="G140" s="16" t="s">
        <v>10</v>
      </c>
      <c r="H140" s="167"/>
    </row>
    <row r="141" spans="1:8" x14ac:dyDescent="0.2">
      <c r="A141" s="16" t="s">
        <v>10</v>
      </c>
      <c r="B141" s="6" t="s">
        <v>10</v>
      </c>
      <c r="C141" s="6" t="s">
        <v>132</v>
      </c>
      <c r="D141" s="6" t="s">
        <v>10</v>
      </c>
      <c r="E141" s="16" t="s">
        <v>10</v>
      </c>
      <c r="F141" s="8">
        <v>-18.145392990000001</v>
      </c>
      <c r="G141" s="9">
        <v>-1.1218129999999999E-3</v>
      </c>
      <c r="H141" s="167"/>
    </row>
    <row r="142" spans="1:8" x14ac:dyDescent="0.2">
      <c r="A142" s="12" t="s">
        <v>10</v>
      </c>
      <c r="B142" s="12" t="s">
        <v>10</v>
      </c>
      <c r="C142" s="4" t="s">
        <v>133</v>
      </c>
      <c r="D142" s="17" t="s">
        <v>10</v>
      </c>
      <c r="E142" s="17" t="s">
        <v>10</v>
      </c>
      <c r="F142" s="10">
        <v>16175.064152409999</v>
      </c>
      <c r="G142" s="11">
        <v>0.99999999699999997</v>
      </c>
      <c r="H142" s="167"/>
    </row>
    <row r="143" spans="1:8" ht="14.1" customHeight="1" x14ac:dyDescent="0.2">
      <c r="A143" s="18" t="s">
        <v>10</v>
      </c>
      <c r="B143" s="18" t="s">
        <v>10</v>
      </c>
      <c r="C143" s="18" t="s">
        <v>10</v>
      </c>
      <c r="D143" s="19" t="s">
        <v>10</v>
      </c>
      <c r="E143" s="19" t="s">
        <v>10</v>
      </c>
      <c r="F143" s="19" t="s">
        <v>10</v>
      </c>
      <c r="G143" s="19" t="s">
        <v>10</v>
      </c>
    </row>
    <row r="144" spans="1:8" ht="14.1" customHeight="1" x14ac:dyDescent="0.2">
      <c r="A144" s="20" t="s">
        <v>10</v>
      </c>
      <c r="B144" s="208" t="s">
        <v>10</v>
      </c>
      <c r="C144" s="208"/>
      <c r="D144" s="208"/>
      <c r="E144" s="208"/>
      <c r="F144" s="208"/>
      <c r="G144" s="22" t="s">
        <v>10</v>
      </c>
    </row>
    <row r="145" spans="1:7" ht="14.1" customHeight="1" x14ac:dyDescent="0.2">
      <c r="A145" s="20" t="s">
        <v>10</v>
      </c>
      <c r="B145" s="208" t="s">
        <v>10</v>
      </c>
      <c r="C145" s="208"/>
      <c r="D145" s="208"/>
      <c r="E145" s="208"/>
      <c r="F145" s="208"/>
      <c r="G145" s="22" t="s">
        <v>10</v>
      </c>
    </row>
    <row r="146" spans="1:7" ht="14.1" customHeight="1" x14ac:dyDescent="0.2">
      <c r="A146" s="20" t="s">
        <v>10</v>
      </c>
      <c r="B146" s="20" t="s">
        <v>10</v>
      </c>
      <c r="C146" s="20" t="s">
        <v>10</v>
      </c>
      <c r="D146" s="22" t="s">
        <v>10</v>
      </c>
      <c r="E146" s="22" t="s">
        <v>10</v>
      </c>
      <c r="F146" s="22" t="s">
        <v>10</v>
      </c>
      <c r="G146" s="22" t="s">
        <v>10</v>
      </c>
    </row>
    <row r="147" spans="1:7" ht="14.1" customHeight="1" x14ac:dyDescent="0.2">
      <c r="A147" s="20" t="s">
        <v>10</v>
      </c>
      <c r="B147" s="206" t="s">
        <v>134</v>
      </c>
      <c r="C147" s="207"/>
      <c r="D147" s="13" t="s">
        <v>10</v>
      </c>
      <c r="E147" s="23" t="s">
        <v>10</v>
      </c>
      <c r="F147" s="22" t="s">
        <v>10</v>
      </c>
      <c r="G147" s="22" t="s">
        <v>10</v>
      </c>
    </row>
    <row r="148" spans="1:7" ht="29.1" customHeight="1" x14ac:dyDescent="0.2">
      <c r="A148" s="20" t="s">
        <v>10</v>
      </c>
      <c r="B148" s="213" t="s">
        <v>135</v>
      </c>
      <c r="C148" s="214"/>
      <c r="D148" s="4" t="s">
        <v>136</v>
      </c>
      <c r="E148" s="23" t="s">
        <v>10</v>
      </c>
      <c r="F148" s="22" t="s">
        <v>10</v>
      </c>
      <c r="G148" s="22" t="s">
        <v>10</v>
      </c>
    </row>
    <row r="149" spans="1:7" ht="17.100000000000001" customHeight="1" x14ac:dyDescent="0.2">
      <c r="A149" s="20" t="s">
        <v>10</v>
      </c>
      <c r="B149" s="213" t="s">
        <v>137</v>
      </c>
      <c r="C149" s="214"/>
      <c r="D149" s="4" t="s">
        <v>136</v>
      </c>
      <c r="E149" s="23" t="s">
        <v>10</v>
      </c>
      <c r="F149" s="22" t="s">
        <v>10</v>
      </c>
      <c r="G149" s="22" t="s">
        <v>10</v>
      </c>
    </row>
    <row r="150" spans="1:7" ht="17.100000000000001" customHeight="1" x14ac:dyDescent="0.2">
      <c r="A150" s="20" t="s">
        <v>10</v>
      </c>
      <c r="B150" s="213" t="s">
        <v>138</v>
      </c>
      <c r="C150" s="214"/>
      <c r="D150" s="13" t="s">
        <v>10</v>
      </c>
      <c r="E150" s="23" t="s">
        <v>10</v>
      </c>
      <c r="F150" s="22" t="s">
        <v>10</v>
      </c>
      <c r="G150" s="22" t="s">
        <v>10</v>
      </c>
    </row>
    <row r="151" spans="1:7" s="20" customFormat="1" ht="17.100000000000001" customHeight="1" x14ac:dyDescent="0.2"/>
    <row r="152" spans="1:7" x14ac:dyDescent="0.2">
      <c r="A152" s="24" t="s">
        <v>10</v>
      </c>
      <c r="B152" s="140" t="s">
        <v>10</v>
      </c>
      <c r="C152" s="140" t="s">
        <v>139</v>
      </c>
      <c r="D152" s="140" t="s">
        <v>140</v>
      </c>
      <c r="E152" s="24" t="s">
        <v>10</v>
      </c>
      <c r="F152" s="24" t="s">
        <v>10</v>
      </c>
      <c r="G152" s="24" t="s">
        <v>10</v>
      </c>
    </row>
    <row r="153" spans="1:7" ht="18" customHeight="1" x14ac:dyDescent="0.2">
      <c r="A153" s="24" t="s">
        <v>10</v>
      </c>
      <c r="B153" s="25" t="s">
        <v>141</v>
      </c>
      <c r="C153" s="25" t="s">
        <v>142</v>
      </c>
      <c r="D153" s="25" t="s">
        <v>143</v>
      </c>
      <c r="E153" s="24" t="s">
        <v>10</v>
      </c>
      <c r="F153" s="24" t="s">
        <v>10</v>
      </c>
      <c r="G153" s="24" t="s">
        <v>10</v>
      </c>
    </row>
    <row r="154" spans="1:7" ht="17.100000000000001" customHeight="1" x14ac:dyDescent="0.2">
      <c r="A154" s="24" t="s">
        <v>10</v>
      </c>
      <c r="B154" s="6" t="s">
        <v>144</v>
      </c>
      <c r="C154" s="26">
        <v>11.420500000000001</v>
      </c>
      <c r="D154" s="26">
        <v>12.530900000000001</v>
      </c>
      <c r="E154" s="24" t="s">
        <v>10</v>
      </c>
      <c r="F154" s="21" t="s">
        <v>10</v>
      </c>
      <c r="G154" s="27" t="s">
        <v>10</v>
      </c>
    </row>
    <row r="155" spans="1:7" ht="17.100000000000001" customHeight="1" x14ac:dyDescent="0.2">
      <c r="A155" s="24" t="s">
        <v>10</v>
      </c>
      <c r="B155" s="6" t="s">
        <v>917</v>
      </c>
      <c r="C155" s="26">
        <v>11.420400000000001</v>
      </c>
      <c r="D155" s="26">
        <v>12.530799999999999</v>
      </c>
      <c r="E155" s="24" t="s">
        <v>10</v>
      </c>
      <c r="F155" s="21" t="s">
        <v>10</v>
      </c>
      <c r="G155" s="27" t="s">
        <v>10</v>
      </c>
    </row>
    <row r="156" spans="1:7" ht="17.100000000000001" customHeight="1" x14ac:dyDescent="0.2">
      <c r="A156" s="24" t="s">
        <v>10</v>
      </c>
      <c r="B156" s="6" t="s">
        <v>145</v>
      </c>
      <c r="C156" s="26">
        <v>11.055099999999999</v>
      </c>
      <c r="D156" s="26">
        <v>12.123200000000001</v>
      </c>
      <c r="E156" s="24" t="s">
        <v>10</v>
      </c>
      <c r="F156" s="21" t="s">
        <v>10</v>
      </c>
      <c r="G156" s="27" t="s">
        <v>10</v>
      </c>
    </row>
    <row r="157" spans="1:7" ht="17.100000000000001" customHeight="1" x14ac:dyDescent="0.2">
      <c r="A157" s="24" t="s">
        <v>10</v>
      </c>
      <c r="B157" s="6" t="s">
        <v>918</v>
      </c>
      <c r="C157" s="26">
        <v>11.055099999999999</v>
      </c>
      <c r="D157" s="26">
        <v>12.1233</v>
      </c>
      <c r="E157" s="24" t="s">
        <v>10</v>
      </c>
      <c r="F157" s="21" t="s">
        <v>10</v>
      </c>
      <c r="G157" s="27" t="s">
        <v>10</v>
      </c>
    </row>
    <row r="158" spans="1:7" ht="14.1" customHeight="1" x14ac:dyDescent="0.2">
      <c r="A158" s="24" t="s">
        <v>10</v>
      </c>
      <c r="B158" s="24" t="s">
        <v>10</v>
      </c>
      <c r="C158" s="24" t="s">
        <v>10</v>
      </c>
      <c r="D158" s="24" t="s">
        <v>10</v>
      </c>
      <c r="E158" s="24" t="s">
        <v>10</v>
      </c>
      <c r="F158" s="24" t="s">
        <v>10</v>
      </c>
      <c r="G158" s="24" t="s">
        <v>10</v>
      </c>
    </row>
    <row r="159" spans="1:7" ht="17.100000000000001" customHeight="1" x14ac:dyDescent="0.2">
      <c r="A159" s="24" t="s">
        <v>10</v>
      </c>
      <c r="B159" s="213" t="s">
        <v>999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7" ht="18" customHeight="1" x14ac:dyDescent="0.2">
      <c r="A160" s="24" t="s">
        <v>10</v>
      </c>
      <c r="B160" s="28"/>
      <c r="C160" s="28"/>
      <c r="D160" s="29" t="s">
        <v>10</v>
      </c>
      <c r="E160" s="24" t="s">
        <v>10</v>
      </c>
      <c r="F160" s="24" t="s">
        <v>10</v>
      </c>
      <c r="G160" s="24" t="s">
        <v>10</v>
      </c>
    </row>
    <row r="161" spans="1:7" ht="18" customHeight="1" x14ac:dyDescent="0.2">
      <c r="A161" s="172"/>
      <c r="B161" s="217" t="s">
        <v>919</v>
      </c>
      <c r="C161" s="217"/>
      <c r="D161" s="217"/>
      <c r="E161" s="217"/>
      <c r="F161" s="217"/>
      <c r="G161" s="172"/>
    </row>
    <row r="162" spans="1:7" ht="14.1" customHeight="1" x14ac:dyDescent="0.2">
      <c r="A162" s="24" t="s">
        <v>10</v>
      </c>
      <c r="B162" s="21" t="s">
        <v>10</v>
      </c>
      <c r="C162" s="21" t="s">
        <v>10</v>
      </c>
      <c r="D162" s="24" t="s">
        <v>10</v>
      </c>
      <c r="E162" s="24" t="s">
        <v>10</v>
      </c>
      <c r="F162" s="24" t="s">
        <v>10</v>
      </c>
      <c r="G162" s="24" t="s">
        <v>10</v>
      </c>
    </row>
    <row r="163" spans="1:7" ht="29.1" customHeight="1" x14ac:dyDescent="0.2">
      <c r="A163" s="24" t="s">
        <v>10</v>
      </c>
      <c r="B163" s="213" t="s">
        <v>146</v>
      </c>
      <c r="C163" s="214"/>
      <c r="D163" s="4" t="s">
        <v>136</v>
      </c>
      <c r="E163" s="24" t="s">
        <v>10</v>
      </c>
      <c r="F163" s="24" t="s">
        <v>10</v>
      </c>
      <c r="G163" s="24" t="s">
        <v>10</v>
      </c>
    </row>
    <row r="164" spans="1:7" ht="29.1" customHeight="1" x14ac:dyDescent="0.2">
      <c r="A164" s="24" t="s">
        <v>10</v>
      </c>
      <c r="B164" s="213" t="s">
        <v>147</v>
      </c>
      <c r="C164" s="214"/>
      <c r="D164" s="4" t="s">
        <v>136</v>
      </c>
      <c r="E164" s="24" t="s">
        <v>10</v>
      </c>
      <c r="F164" s="24" t="s">
        <v>10</v>
      </c>
      <c r="G164" s="24" t="s">
        <v>10</v>
      </c>
    </row>
    <row r="165" spans="1:7" ht="17.100000000000001" customHeight="1" x14ac:dyDescent="0.2">
      <c r="A165" s="24" t="s">
        <v>10</v>
      </c>
      <c r="B165" s="213" t="s">
        <v>148</v>
      </c>
      <c r="C165" s="214"/>
      <c r="D165" s="30">
        <v>0.49060798113606002</v>
      </c>
      <c r="E165" s="24" t="s">
        <v>10</v>
      </c>
      <c r="F165" s="21" t="s">
        <v>10</v>
      </c>
      <c r="G165" s="27" t="s">
        <v>10</v>
      </c>
    </row>
    <row r="166" spans="1:7" ht="17.100000000000001" customHeight="1" x14ac:dyDescent="0.2">
      <c r="A166" s="24" t="s">
        <v>10</v>
      </c>
      <c r="B166" s="213" t="s">
        <v>149</v>
      </c>
      <c r="C166" s="214"/>
      <c r="D166" s="4" t="s">
        <v>136</v>
      </c>
      <c r="E166" s="24" t="s">
        <v>10</v>
      </c>
      <c r="F166" s="24" t="s">
        <v>10</v>
      </c>
      <c r="G166" s="24" t="s">
        <v>10</v>
      </c>
    </row>
  </sheetData>
  <mergeCells count="15">
    <mergeCell ref="B165:C165"/>
    <mergeCell ref="B166:C166"/>
    <mergeCell ref="B148:C148"/>
    <mergeCell ref="B149:C149"/>
    <mergeCell ref="B150:C150"/>
    <mergeCell ref="B159:C159"/>
    <mergeCell ref="B163:C163"/>
    <mergeCell ref="B164:C164"/>
    <mergeCell ref="B161:F161"/>
    <mergeCell ref="B147:C147"/>
    <mergeCell ref="B144:F144"/>
    <mergeCell ref="B145:F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66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7.100000000000001" customHeight="1" x14ac:dyDescent="0.2">
      <c r="A2" s="210" t="s">
        <v>288</v>
      </c>
      <c r="B2" s="211"/>
      <c r="C2" s="211"/>
      <c r="D2" s="211"/>
      <c r="E2" s="211"/>
      <c r="F2" s="211"/>
      <c r="G2" s="211"/>
      <c r="H2" s="212"/>
    </row>
    <row r="3" spans="1:8" ht="21" customHeight="1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ht="14.1" customHeight="1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4" customHeight="1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17.100000000000001" customHeight="1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33144</v>
      </c>
      <c r="F7" s="8">
        <v>404.43966</v>
      </c>
      <c r="G7" s="9">
        <v>3.7589455000000001E-2</v>
      </c>
      <c r="H7" s="167"/>
    </row>
    <row r="8" spans="1:8" ht="17.100000000000001" customHeight="1" x14ac:dyDescent="0.2">
      <c r="A8" s="5">
        <v>2</v>
      </c>
      <c r="B8" s="6" t="s">
        <v>154</v>
      </c>
      <c r="C8" s="6" t="s">
        <v>155</v>
      </c>
      <c r="D8" s="6" t="s">
        <v>153</v>
      </c>
      <c r="E8" s="7">
        <v>30824</v>
      </c>
      <c r="F8" s="8">
        <v>378.13342</v>
      </c>
      <c r="G8" s="9">
        <v>3.5144499000000003E-2</v>
      </c>
      <c r="H8" s="167"/>
    </row>
    <row r="9" spans="1:8" ht="17.100000000000001" customHeight="1" x14ac:dyDescent="0.2">
      <c r="A9" s="5">
        <v>3</v>
      </c>
      <c r="B9" s="6" t="s">
        <v>151</v>
      </c>
      <c r="C9" s="6" t="s">
        <v>152</v>
      </c>
      <c r="D9" s="6" t="s">
        <v>153</v>
      </c>
      <c r="E9" s="7">
        <v>11272</v>
      </c>
      <c r="F9" s="8">
        <v>363.49945600000001</v>
      </c>
      <c r="G9" s="9">
        <v>3.3784387999999999E-2</v>
      </c>
      <c r="H9" s="167"/>
    </row>
    <row r="10" spans="1:8" ht="17.100000000000001" customHeight="1" x14ac:dyDescent="0.2">
      <c r="A10" s="5">
        <v>4</v>
      </c>
      <c r="B10" s="6" t="s">
        <v>163</v>
      </c>
      <c r="C10" s="6" t="s">
        <v>164</v>
      </c>
      <c r="D10" s="6" t="s">
        <v>167</v>
      </c>
      <c r="E10" s="7">
        <v>34328</v>
      </c>
      <c r="F10" s="8">
        <v>297.81256400000001</v>
      </c>
      <c r="G10" s="9">
        <v>2.7679313000000001E-2</v>
      </c>
      <c r="H10" s="167"/>
    </row>
    <row r="11" spans="1:8" ht="17.100000000000001" customHeight="1" x14ac:dyDescent="0.2">
      <c r="A11" s="5">
        <v>5</v>
      </c>
      <c r="B11" s="6" t="s">
        <v>186</v>
      </c>
      <c r="C11" s="6" t="s">
        <v>187</v>
      </c>
      <c r="D11" s="6" t="s">
        <v>57</v>
      </c>
      <c r="E11" s="7">
        <v>110842</v>
      </c>
      <c r="F11" s="8">
        <v>264.025644</v>
      </c>
      <c r="G11" s="9">
        <v>2.4539087000000001E-2</v>
      </c>
      <c r="H11" s="167"/>
    </row>
    <row r="12" spans="1:8" ht="17.100000000000001" customHeight="1" x14ac:dyDescent="0.2">
      <c r="A12" s="5">
        <v>6</v>
      </c>
      <c r="B12" s="6" t="s">
        <v>161</v>
      </c>
      <c r="C12" s="6" t="s">
        <v>162</v>
      </c>
      <c r="D12" s="6" t="s">
        <v>970</v>
      </c>
      <c r="E12" s="7">
        <v>138968</v>
      </c>
      <c r="F12" s="8">
        <v>253.26918000000001</v>
      </c>
      <c r="G12" s="9">
        <v>2.3539358999999999E-2</v>
      </c>
      <c r="H12" s="167"/>
    </row>
    <row r="13" spans="1:8" ht="17.100000000000001" customHeight="1" x14ac:dyDescent="0.2">
      <c r="A13" s="5">
        <v>7</v>
      </c>
      <c r="B13" s="6" t="s">
        <v>156</v>
      </c>
      <c r="C13" s="6" t="s">
        <v>157</v>
      </c>
      <c r="D13" s="6" t="s">
        <v>158</v>
      </c>
      <c r="E13" s="7">
        <v>272803</v>
      </c>
      <c r="F13" s="8">
        <v>250.84235849999999</v>
      </c>
      <c r="G13" s="9">
        <v>2.3313805999999999E-2</v>
      </c>
      <c r="H13" s="167"/>
    </row>
    <row r="14" spans="1:8" ht="17.100000000000001" customHeight="1" x14ac:dyDescent="0.2">
      <c r="A14" s="5">
        <v>8</v>
      </c>
      <c r="B14" s="6" t="s">
        <v>33</v>
      </c>
      <c r="C14" s="6" t="s">
        <v>34</v>
      </c>
      <c r="D14" s="6" t="s">
        <v>970</v>
      </c>
      <c r="E14" s="7">
        <v>8500</v>
      </c>
      <c r="F14" s="8">
        <v>242.20325</v>
      </c>
      <c r="G14" s="9">
        <v>2.2510868999999999E-2</v>
      </c>
      <c r="H14" s="167"/>
    </row>
    <row r="15" spans="1:8" ht="17.100000000000001" customHeight="1" x14ac:dyDescent="0.2">
      <c r="A15" s="5">
        <v>9</v>
      </c>
      <c r="B15" s="6" t="s">
        <v>159</v>
      </c>
      <c r="C15" s="6" t="s">
        <v>160</v>
      </c>
      <c r="D15" s="6" t="s">
        <v>29</v>
      </c>
      <c r="E15" s="7">
        <v>38777</v>
      </c>
      <c r="F15" s="8">
        <v>238.982651</v>
      </c>
      <c r="G15" s="9">
        <v>2.2211539999999998E-2</v>
      </c>
      <c r="H15" s="167"/>
    </row>
    <row r="16" spans="1:8" ht="17.100000000000001" customHeight="1" x14ac:dyDescent="0.2">
      <c r="A16" s="5">
        <v>10</v>
      </c>
      <c r="B16" s="6" t="s">
        <v>165</v>
      </c>
      <c r="C16" s="6" t="s">
        <v>166</v>
      </c>
      <c r="D16" s="6" t="s">
        <v>167</v>
      </c>
      <c r="E16" s="7">
        <v>90551</v>
      </c>
      <c r="F16" s="8">
        <v>220.31058300000001</v>
      </c>
      <c r="G16" s="9">
        <v>2.0476119000000001E-2</v>
      </c>
      <c r="H16" s="167"/>
    </row>
    <row r="17" spans="1:8" ht="17.100000000000001" customHeight="1" x14ac:dyDescent="0.2">
      <c r="A17" s="5">
        <v>11</v>
      </c>
      <c r="B17" s="6" t="s">
        <v>174</v>
      </c>
      <c r="C17" s="6" t="s">
        <v>175</v>
      </c>
      <c r="D17" s="6" t="s">
        <v>50</v>
      </c>
      <c r="E17" s="7">
        <v>51485</v>
      </c>
      <c r="F17" s="8">
        <v>218.1676875</v>
      </c>
      <c r="G17" s="9">
        <v>2.0276954E-2</v>
      </c>
      <c r="H17" s="167"/>
    </row>
    <row r="18" spans="1:8" ht="17.100000000000001" customHeight="1" x14ac:dyDescent="0.2">
      <c r="A18" s="5">
        <v>12</v>
      </c>
      <c r="B18" s="6" t="s">
        <v>168</v>
      </c>
      <c r="C18" s="6" t="s">
        <v>169</v>
      </c>
      <c r="D18" s="6" t="s">
        <v>75</v>
      </c>
      <c r="E18" s="7">
        <v>54740</v>
      </c>
      <c r="F18" s="8">
        <v>217.81046000000001</v>
      </c>
      <c r="G18" s="9">
        <v>2.0243753E-2</v>
      </c>
      <c r="H18" s="167"/>
    </row>
    <row r="19" spans="1:8" ht="17.100000000000001" customHeight="1" x14ac:dyDescent="0.2">
      <c r="A19" s="5">
        <v>13</v>
      </c>
      <c r="B19" s="6" t="s">
        <v>170</v>
      </c>
      <c r="C19" s="6" t="s">
        <v>171</v>
      </c>
      <c r="D19" s="6" t="s">
        <v>167</v>
      </c>
      <c r="E19" s="7">
        <v>3989</v>
      </c>
      <c r="F19" s="8">
        <v>211.91562500000001</v>
      </c>
      <c r="G19" s="9">
        <v>1.9695875000000002E-2</v>
      </c>
      <c r="H19" s="167"/>
    </row>
    <row r="20" spans="1:8" ht="17.100000000000001" customHeight="1" x14ac:dyDescent="0.2">
      <c r="A20" s="5">
        <v>14</v>
      </c>
      <c r="B20" s="6" t="s">
        <v>172</v>
      </c>
      <c r="C20" s="6" t="s">
        <v>173</v>
      </c>
      <c r="D20" s="6" t="s">
        <v>970</v>
      </c>
      <c r="E20" s="7">
        <v>78693</v>
      </c>
      <c r="F20" s="8">
        <v>197.834202</v>
      </c>
      <c r="G20" s="9">
        <v>1.8387118000000001E-2</v>
      </c>
      <c r="H20" s="167"/>
    </row>
    <row r="21" spans="1:8" ht="17.100000000000001" customHeight="1" x14ac:dyDescent="0.2">
      <c r="A21" s="5">
        <v>15</v>
      </c>
      <c r="B21" s="6" t="s">
        <v>181</v>
      </c>
      <c r="C21" s="6" t="s">
        <v>182</v>
      </c>
      <c r="D21" s="6" t="s">
        <v>29</v>
      </c>
      <c r="E21" s="7">
        <v>39478</v>
      </c>
      <c r="F21" s="8">
        <v>188.58640600000001</v>
      </c>
      <c r="G21" s="9">
        <v>1.7527609E-2</v>
      </c>
      <c r="H21" s="167"/>
    </row>
    <row r="22" spans="1:8" ht="17.100000000000001" customHeight="1" x14ac:dyDescent="0.2">
      <c r="A22" s="5">
        <v>16</v>
      </c>
      <c r="B22" s="6" t="s">
        <v>176</v>
      </c>
      <c r="C22" s="6" t="s">
        <v>177</v>
      </c>
      <c r="D22" s="6" t="s">
        <v>178</v>
      </c>
      <c r="E22" s="7">
        <v>17425</v>
      </c>
      <c r="F22" s="8">
        <v>185.42813749999999</v>
      </c>
      <c r="G22" s="9">
        <v>1.7234072999999999E-2</v>
      </c>
      <c r="H22" s="167"/>
    </row>
    <row r="23" spans="1:8" ht="17.100000000000001" customHeight="1" x14ac:dyDescent="0.2">
      <c r="A23" s="5">
        <v>17</v>
      </c>
      <c r="B23" s="6" t="s">
        <v>179</v>
      </c>
      <c r="C23" s="6" t="s">
        <v>180</v>
      </c>
      <c r="D23" s="6" t="s">
        <v>972</v>
      </c>
      <c r="E23" s="7">
        <v>24353</v>
      </c>
      <c r="F23" s="8">
        <v>184.376563</v>
      </c>
      <c r="G23" s="9">
        <v>1.7136338000000001E-2</v>
      </c>
      <c r="H23" s="167"/>
    </row>
    <row r="24" spans="1:8" ht="17.100000000000001" customHeight="1" x14ac:dyDescent="0.2">
      <c r="A24" s="5">
        <v>18</v>
      </c>
      <c r="B24" s="6" t="s">
        <v>183</v>
      </c>
      <c r="C24" s="6" t="s">
        <v>184</v>
      </c>
      <c r="D24" s="6" t="s">
        <v>185</v>
      </c>
      <c r="E24" s="7">
        <v>14694</v>
      </c>
      <c r="F24" s="8">
        <v>174.314922</v>
      </c>
      <c r="G24" s="9">
        <v>1.6201187999999998E-2</v>
      </c>
      <c r="H24" s="167"/>
    </row>
    <row r="25" spans="1:8" ht="17.100000000000001" customHeight="1" x14ac:dyDescent="0.2">
      <c r="A25" s="5">
        <v>19</v>
      </c>
      <c r="B25" s="6" t="s">
        <v>188</v>
      </c>
      <c r="C25" s="6" t="s">
        <v>189</v>
      </c>
      <c r="D25" s="6" t="s">
        <v>167</v>
      </c>
      <c r="E25" s="7">
        <v>6844</v>
      </c>
      <c r="F25" s="8">
        <v>174.03949800000001</v>
      </c>
      <c r="G25" s="9">
        <v>1.617559E-2</v>
      </c>
      <c r="H25" s="167"/>
    </row>
    <row r="26" spans="1:8" ht="29.1" customHeight="1" x14ac:dyDescent="0.2">
      <c r="A26" s="5">
        <v>20</v>
      </c>
      <c r="B26" s="6" t="s">
        <v>63</v>
      </c>
      <c r="C26" s="6" t="s">
        <v>64</v>
      </c>
      <c r="D26" s="6" t="s">
        <v>37</v>
      </c>
      <c r="E26" s="7">
        <v>29570</v>
      </c>
      <c r="F26" s="8">
        <v>167.321845</v>
      </c>
      <c r="G26" s="9">
        <v>1.5551237000000001E-2</v>
      </c>
      <c r="H26" s="167"/>
    </row>
    <row r="27" spans="1:8" ht="17.100000000000001" customHeight="1" x14ac:dyDescent="0.2">
      <c r="A27" s="5">
        <v>21</v>
      </c>
      <c r="B27" s="6" t="s">
        <v>190</v>
      </c>
      <c r="C27" s="6" t="s">
        <v>191</v>
      </c>
      <c r="D27" s="6" t="s">
        <v>192</v>
      </c>
      <c r="E27" s="7">
        <v>41878</v>
      </c>
      <c r="F27" s="8">
        <v>164.62241800000001</v>
      </c>
      <c r="G27" s="9">
        <v>1.5300347000000001E-2</v>
      </c>
      <c r="H27" s="167"/>
    </row>
    <row r="28" spans="1:8" ht="17.100000000000001" customHeight="1" x14ac:dyDescent="0.2">
      <c r="A28" s="5">
        <v>22</v>
      </c>
      <c r="B28" s="6" t="s">
        <v>46</v>
      </c>
      <c r="C28" s="6" t="s">
        <v>47</v>
      </c>
      <c r="D28" s="6" t="s">
        <v>29</v>
      </c>
      <c r="E28" s="7">
        <v>16846</v>
      </c>
      <c r="F28" s="8">
        <v>164.52645899999999</v>
      </c>
      <c r="G28" s="9">
        <v>1.5291427999999999E-2</v>
      </c>
      <c r="H28" s="167"/>
    </row>
    <row r="29" spans="1:8" ht="17.100000000000001" customHeight="1" x14ac:dyDescent="0.2">
      <c r="A29" s="5">
        <v>23</v>
      </c>
      <c r="B29" s="6" t="s">
        <v>286</v>
      </c>
      <c r="C29" s="6" t="s">
        <v>287</v>
      </c>
      <c r="D29" s="6" t="s">
        <v>29</v>
      </c>
      <c r="E29" s="7">
        <v>16210</v>
      </c>
      <c r="F29" s="8">
        <v>164.45855499999999</v>
      </c>
      <c r="G29" s="9">
        <v>1.5285117000000001E-2</v>
      </c>
      <c r="H29" s="167"/>
    </row>
    <row r="30" spans="1:8" ht="17.100000000000001" customHeight="1" x14ac:dyDescent="0.2">
      <c r="A30" s="5">
        <v>24</v>
      </c>
      <c r="B30" s="6" t="s">
        <v>193</v>
      </c>
      <c r="C30" s="6" t="s">
        <v>194</v>
      </c>
      <c r="D30" s="6" t="s">
        <v>178</v>
      </c>
      <c r="E30" s="7">
        <v>86836</v>
      </c>
      <c r="F30" s="8">
        <v>158.736208</v>
      </c>
      <c r="G30" s="9">
        <v>1.4753270000000001E-2</v>
      </c>
      <c r="H30" s="167"/>
    </row>
    <row r="31" spans="1:8" ht="17.100000000000001" customHeight="1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18324</v>
      </c>
      <c r="F31" s="8">
        <v>150.96227400000001</v>
      </c>
      <c r="G31" s="9">
        <v>1.4030745000000001E-2</v>
      </c>
      <c r="H31" s="167"/>
    </row>
    <row r="32" spans="1:8" ht="29.1" customHeight="1" x14ac:dyDescent="0.2">
      <c r="A32" s="5">
        <v>26</v>
      </c>
      <c r="B32" s="6" t="s">
        <v>200</v>
      </c>
      <c r="C32" s="6" t="s">
        <v>201</v>
      </c>
      <c r="D32" s="6" t="s">
        <v>75</v>
      </c>
      <c r="E32" s="7">
        <v>6492</v>
      </c>
      <c r="F32" s="8">
        <v>146.32968</v>
      </c>
      <c r="G32" s="9">
        <v>1.3600182000000001E-2</v>
      </c>
      <c r="H32" s="167"/>
    </row>
    <row r="33" spans="1:8" ht="17.100000000000001" customHeight="1" x14ac:dyDescent="0.2">
      <c r="A33" s="5">
        <v>27</v>
      </c>
      <c r="B33" s="6" t="s">
        <v>206</v>
      </c>
      <c r="C33" s="6" t="s">
        <v>207</v>
      </c>
      <c r="D33" s="6" t="s">
        <v>32</v>
      </c>
      <c r="E33" s="7">
        <v>155009</v>
      </c>
      <c r="F33" s="8">
        <v>145.70846</v>
      </c>
      <c r="G33" s="9">
        <v>1.3542444000000001E-2</v>
      </c>
      <c r="H33" s="167"/>
    </row>
    <row r="34" spans="1:8" ht="29.1" customHeight="1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164348</v>
      </c>
      <c r="F34" s="8">
        <v>140.68188799999999</v>
      </c>
      <c r="G34" s="9">
        <v>1.3075265000000001E-2</v>
      </c>
      <c r="H34" s="167"/>
    </row>
    <row r="35" spans="1:8" ht="17.100000000000001" customHeight="1" x14ac:dyDescent="0.2">
      <c r="A35" s="5">
        <v>29</v>
      </c>
      <c r="B35" s="6" t="s">
        <v>210</v>
      </c>
      <c r="C35" s="6" t="s">
        <v>211</v>
      </c>
      <c r="D35" s="6" t="s">
        <v>29</v>
      </c>
      <c r="E35" s="7">
        <v>10412</v>
      </c>
      <c r="F35" s="8">
        <v>140.24443400000001</v>
      </c>
      <c r="G35" s="9">
        <v>1.3034607E-2</v>
      </c>
      <c r="H35" s="167"/>
    </row>
    <row r="36" spans="1:8" ht="17.100000000000001" customHeight="1" x14ac:dyDescent="0.2">
      <c r="A36" s="5">
        <v>30</v>
      </c>
      <c r="B36" s="6" t="s">
        <v>212</v>
      </c>
      <c r="C36" s="6" t="s">
        <v>213</v>
      </c>
      <c r="D36" s="6" t="s">
        <v>158</v>
      </c>
      <c r="E36" s="7">
        <v>24261</v>
      </c>
      <c r="F36" s="8">
        <v>138.00869850000001</v>
      </c>
      <c r="G36" s="9">
        <v>1.2826812999999999E-2</v>
      </c>
      <c r="H36" s="167"/>
    </row>
    <row r="37" spans="1:8" ht="17.100000000000001" customHeight="1" x14ac:dyDescent="0.2">
      <c r="A37" s="5">
        <v>31</v>
      </c>
      <c r="B37" s="6" t="s">
        <v>218</v>
      </c>
      <c r="C37" s="6" t="s">
        <v>219</v>
      </c>
      <c r="D37" s="6" t="s">
        <v>973</v>
      </c>
      <c r="E37" s="7">
        <v>20000</v>
      </c>
      <c r="F37" s="8">
        <v>136.62</v>
      </c>
      <c r="G37" s="9">
        <v>1.2697744E-2</v>
      </c>
      <c r="H37" s="167"/>
    </row>
    <row r="38" spans="1:8" ht="29.1" customHeight="1" x14ac:dyDescent="0.2">
      <c r="A38" s="5">
        <v>32</v>
      </c>
      <c r="B38" s="6" t="s">
        <v>214</v>
      </c>
      <c r="C38" s="6" t="s">
        <v>215</v>
      </c>
      <c r="D38" s="6" t="s">
        <v>976</v>
      </c>
      <c r="E38" s="7">
        <v>43676</v>
      </c>
      <c r="F38" s="8">
        <v>135.67949400000001</v>
      </c>
      <c r="G38" s="9">
        <v>1.2610332E-2</v>
      </c>
      <c r="H38" s="167"/>
    </row>
    <row r="39" spans="1:8" ht="17.100000000000001" customHeight="1" x14ac:dyDescent="0.2">
      <c r="A39" s="5">
        <v>33</v>
      </c>
      <c r="B39" s="6" t="s">
        <v>216</v>
      </c>
      <c r="C39" s="6" t="s">
        <v>217</v>
      </c>
      <c r="D39" s="6" t="s">
        <v>192</v>
      </c>
      <c r="E39" s="7">
        <v>25404</v>
      </c>
      <c r="F39" s="8">
        <v>133.05345</v>
      </c>
      <c r="G39" s="9">
        <v>1.2366261999999999E-2</v>
      </c>
      <c r="H39" s="167"/>
    </row>
    <row r="40" spans="1:8" ht="17.100000000000001" customHeight="1" x14ac:dyDescent="0.2">
      <c r="A40" s="5">
        <v>34</v>
      </c>
      <c r="B40" s="6" t="s">
        <v>220</v>
      </c>
      <c r="C40" s="6" t="s">
        <v>221</v>
      </c>
      <c r="D40" s="6" t="s">
        <v>158</v>
      </c>
      <c r="E40" s="7">
        <v>233311</v>
      </c>
      <c r="F40" s="8">
        <v>132.87061449999999</v>
      </c>
      <c r="G40" s="9">
        <v>1.2349269E-2</v>
      </c>
      <c r="H40" s="167"/>
    </row>
    <row r="41" spans="1:8" ht="17.100000000000001" customHeight="1" x14ac:dyDescent="0.2">
      <c r="A41" s="5">
        <v>35</v>
      </c>
      <c r="B41" s="6" t="s">
        <v>226</v>
      </c>
      <c r="C41" s="6" t="s">
        <v>227</v>
      </c>
      <c r="D41" s="6" t="s">
        <v>32</v>
      </c>
      <c r="E41" s="7">
        <v>16637</v>
      </c>
      <c r="F41" s="8">
        <v>131.631944</v>
      </c>
      <c r="G41" s="9">
        <v>1.2234144000000001E-2</v>
      </c>
      <c r="H41" s="167"/>
    </row>
    <row r="42" spans="1:8" ht="17.100000000000001" customHeight="1" x14ac:dyDescent="0.2">
      <c r="A42" s="5">
        <v>36</v>
      </c>
      <c r="B42" s="6" t="s">
        <v>236</v>
      </c>
      <c r="C42" s="6" t="s">
        <v>237</v>
      </c>
      <c r="D42" s="6" t="s">
        <v>974</v>
      </c>
      <c r="E42" s="7">
        <v>13303</v>
      </c>
      <c r="F42" s="8">
        <v>131.087762</v>
      </c>
      <c r="G42" s="9">
        <v>1.2183566999999999E-2</v>
      </c>
      <c r="H42" s="167"/>
    </row>
    <row r="43" spans="1:8" ht="17.100000000000001" customHeight="1" x14ac:dyDescent="0.2">
      <c r="A43" s="5">
        <v>37</v>
      </c>
      <c r="B43" s="6" t="s">
        <v>222</v>
      </c>
      <c r="C43" s="6" t="s">
        <v>223</v>
      </c>
      <c r="D43" s="6" t="s">
        <v>971</v>
      </c>
      <c r="E43" s="7">
        <v>39883</v>
      </c>
      <c r="F43" s="8">
        <v>130.81623999999999</v>
      </c>
      <c r="G43" s="9">
        <v>1.2158331E-2</v>
      </c>
      <c r="H43" s="167"/>
    </row>
    <row r="44" spans="1:8" ht="17.100000000000001" customHeight="1" x14ac:dyDescent="0.2">
      <c r="A44" s="5">
        <v>38</v>
      </c>
      <c r="B44" s="6" t="s">
        <v>224</v>
      </c>
      <c r="C44" s="6" t="s">
        <v>225</v>
      </c>
      <c r="D44" s="6" t="s">
        <v>185</v>
      </c>
      <c r="E44" s="7">
        <v>31377</v>
      </c>
      <c r="F44" s="8">
        <v>129.57132150000001</v>
      </c>
      <c r="G44" s="9">
        <v>1.2042626000000001E-2</v>
      </c>
      <c r="H44" s="167"/>
    </row>
    <row r="45" spans="1:8" ht="17.100000000000001" customHeight="1" x14ac:dyDescent="0.2">
      <c r="A45" s="5">
        <v>39</v>
      </c>
      <c r="B45" s="6" t="s">
        <v>202</v>
      </c>
      <c r="C45" s="6" t="s">
        <v>203</v>
      </c>
      <c r="D45" s="6" t="s">
        <v>57</v>
      </c>
      <c r="E45" s="7">
        <v>11962</v>
      </c>
      <c r="F45" s="8">
        <v>128.83073999999999</v>
      </c>
      <c r="G45" s="9">
        <v>1.1973793999999999E-2</v>
      </c>
      <c r="H45" s="167"/>
    </row>
    <row r="46" spans="1:8" ht="29.1" customHeight="1" x14ac:dyDescent="0.2">
      <c r="A46" s="5">
        <v>40</v>
      </c>
      <c r="B46" s="6" t="s">
        <v>228</v>
      </c>
      <c r="C46" s="6" t="s">
        <v>229</v>
      </c>
      <c r="D46" s="6" t="s">
        <v>78</v>
      </c>
      <c r="E46" s="7">
        <v>37245</v>
      </c>
      <c r="F46" s="8">
        <v>126.50264249999999</v>
      </c>
      <c r="G46" s="9">
        <v>1.1757416E-2</v>
      </c>
      <c r="H46" s="167"/>
    </row>
    <row r="47" spans="1:8" ht="41.1" customHeight="1" x14ac:dyDescent="0.2">
      <c r="A47" s="5">
        <v>41</v>
      </c>
      <c r="B47" s="6" t="s">
        <v>208</v>
      </c>
      <c r="C47" s="6" t="s">
        <v>209</v>
      </c>
      <c r="D47" s="6" t="s">
        <v>971</v>
      </c>
      <c r="E47" s="7">
        <v>47472</v>
      </c>
      <c r="F47" s="8">
        <v>123.64082399999999</v>
      </c>
      <c r="G47" s="9">
        <v>1.1491433000000001E-2</v>
      </c>
      <c r="H47" s="167"/>
    </row>
    <row r="48" spans="1:8" ht="17.100000000000001" customHeight="1" x14ac:dyDescent="0.2">
      <c r="A48" s="5">
        <v>42</v>
      </c>
      <c r="B48" s="6" t="s">
        <v>30</v>
      </c>
      <c r="C48" s="6" t="s">
        <v>31</v>
      </c>
      <c r="D48" s="6" t="s">
        <v>32</v>
      </c>
      <c r="E48" s="7">
        <v>46942</v>
      </c>
      <c r="F48" s="8">
        <v>121.556309</v>
      </c>
      <c r="G48" s="9">
        <v>1.1297694E-2</v>
      </c>
      <c r="H48" s="167"/>
    </row>
    <row r="49" spans="1:8" ht="41.1" customHeight="1" x14ac:dyDescent="0.2">
      <c r="A49" s="5">
        <v>43</v>
      </c>
      <c r="B49" s="6" t="s">
        <v>58</v>
      </c>
      <c r="C49" s="6" t="s">
        <v>59</v>
      </c>
      <c r="D49" s="6" t="s">
        <v>974</v>
      </c>
      <c r="E49" s="7">
        <v>92000</v>
      </c>
      <c r="F49" s="8">
        <v>118.404</v>
      </c>
      <c r="G49" s="9">
        <v>1.1004712E-2</v>
      </c>
      <c r="H49" s="167"/>
    </row>
    <row r="50" spans="1:8" ht="17.100000000000001" customHeight="1" x14ac:dyDescent="0.2">
      <c r="A50" s="5">
        <v>44</v>
      </c>
      <c r="B50" s="6" t="s">
        <v>230</v>
      </c>
      <c r="C50" s="6" t="s">
        <v>231</v>
      </c>
      <c r="D50" s="6" t="s">
        <v>75</v>
      </c>
      <c r="E50" s="7">
        <v>19380</v>
      </c>
      <c r="F50" s="8">
        <v>116.97768000000001</v>
      </c>
      <c r="G50" s="9">
        <v>1.0872147E-2</v>
      </c>
      <c r="H50" s="167"/>
    </row>
    <row r="51" spans="1:8" ht="17.100000000000001" customHeight="1" x14ac:dyDescent="0.2">
      <c r="A51" s="5">
        <v>45</v>
      </c>
      <c r="B51" s="6" t="s">
        <v>232</v>
      </c>
      <c r="C51" s="6" t="s">
        <v>233</v>
      </c>
      <c r="D51" s="6" t="s">
        <v>185</v>
      </c>
      <c r="E51" s="7">
        <v>32351</v>
      </c>
      <c r="F51" s="8">
        <v>116.26949399999999</v>
      </c>
      <c r="G51" s="9">
        <v>1.0806326E-2</v>
      </c>
      <c r="H51" s="167"/>
    </row>
    <row r="52" spans="1:8" ht="17.100000000000001" customHeight="1" x14ac:dyDescent="0.2">
      <c r="A52" s="5">
        <v>46</v>
      </c>
      <c r="B52" s="6" t="s">
        <v>234</v>
      </c>
      <c r="C52" s="6" t="s">
        <v>235</v>
      </c>
      <c r="D52" s="6" t="s">
        <v>29</v>
      </c>
      <c r="E52" s="7">
        <v>97019</v>
      </c>
      <c r="F52" s="8">
        <v>113.22117299999999</v>
      </c>
      <c r="G52" s="9">
        <v>1.0523009E-2</v>
      </c>
      <c r="H52" s="167"/>
    </row>
    <row r="53" spans="1:8" ht="17.100000000000001" customHeight="1" x14ac:dyDescent="0.2">
      <c r="A53" s="5">
        <v>47</v>
      </c>
      <c r="B53" s="6" t="s">
        <v>238</v>
      </c>
      <c r="C53" s="6" t="s">
        <v>239</v>
      </c>
      <c r="D53" s="6" t="s">
        <v>240</v>
      </c>
      <c r="E53" s="7">
        <v>13683</v>
      </c>
      <c r="F53" s="8">
        <v>111.53013300000001</v>
      </c>
      <c r="G53" s="9">
        <v>1.0365839999999999E-2</v>
      </c>
      <c r="H53" s="167"/>
    </row>
    <row r="54" spans="1:8" ht="29.1" customHeight="1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29589</v>
      </c>
      <c r="F54" s="8">
        <v>111.2102565</v>
      </c>
      <c r="G54" s="9">
        <v>1.0336110000000001E-2</v>
      </c>
      <c r="H54" s="167"/>
    </row>
    <row r="55" spans="1:8" ht="17.100000000000001" customHeight="1" x14ac:dyDescent="0.2">
      <c r="A55" s="5">
        <v>49</v>
      </c>
      <c r="B55" s="6" t="s">
        <v>245</v>
      </c>
      <c r="C55" s="6" t="s">
        <v>246</v>
      </c>
      <c r="D55" s="6" t="s">
        <v>247</v>
      </c>
      <c r="E55" s="7">
        <v>67193</v>
      </c>
      <c r="F55" s="8">
        <v>110.19652000000001</v>
      </c>
      <c r="G55" s="9">
        <v>1.0241892000000001E-2</v>
      </c>
      <c r="H55" s="167"/>
    </row>
    <row r="56" spans="1:8" ht="29.1" customHeight="1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30826</v>
      </c>
      <c r="F56" s="8">
        <v>109.27817</v>
      </c>
      <c r="G56" s="9">
        <v>1.0156538E-2</v>
      </c>
      <c r="H56" s="167"/>
    </row>
    <row r="57" spans="1:8" ht="17.100000000000001" customHeight="1" x14ac:dyDescent="0.2">
      <c r="A57" s="5">
        <v>51</v>
      </c>
      <c r="B57" s="6" t="s">
        <v>248</v>
      </c>
      <c r="C57" s="6" t="s">
        <v>249</v>
      </c>
      <c r="D57" s="6" t="s">
        <v>192</v>
      </c>
      <c r="E57" s="7">
        <v>7157</v>
      </c>
      <c r="F57" s="8">
        <v>103.83375599999999</v>
      </c>
      <c r="G57" s="9">
        <v>9.6505229999999994E-3</v>
      </c>
      <c r="H57" s="167"/>
    </row>
    <row r="58" spans="1:8" ht="17.100000000000001" customHeight="1" x14ac:dyDescent="0.2">
      <c r="A58" s="5">
        <v>52</v>
      </c>
      <c r="B58" s="6" t="s">
        <v>95</v>
      </c>
      <c r="C58" s="6" t="s">
        <v>96</v>
      </c>
      <c r="D58" s="6" t="s">
        <v>75</v>
      </c>
      <c r="E58" s="7">
        <v>40154</v>
      </c>
      <c r="F58" s="8">
        <v>102.814317</v>
      </c>
      <c r="G58" s="9">
        <v>9.5557739999999995E-3</v>
      </c>
      <c r="H58" s="167"/>
    </row>
    <row r="59" spans="1:8" ht="17.100000000000001" customHeight="1" x14ac:dyDescent="0.2">
      <c r="A59" s="5">
        <v>53</v>
      </c>
      <c r="B59" s="6" t="s">
        <v>252</v>
      </c>
      <c r="C59" s="6" t="s">
        <v>253</v>
      </c>
      <c r="D59" s="6" t="s">
        <v>158</v>
      </c>
      <c r="E59" s="7">
        <v>18558</v>
      </c>
      <c r="F59" s="8">
        <v>101.77207199999999</v>
      </c>
      <c r="G59" s="9">
        <v>9.4589059999999996E-3</v>
      </c>
      <c r="H59" s="167"/>
    </row>
    <row r="60" spans="1:8" ht="41.1" customHeight="1" x14ac:dyDescent="0.2">
      <c r="A60" s="5">
        <v>54</v>
      </c>
      <c r="B60" s="6" t="s">
        <v>254</v>
      </c>
      <c r="C60" s="6" t="s">
        <v>255</v>
      </c>
      <c r="D60" s="6" t="s">
        <v>971</v>
      </c>
      <c r="E60" s="7">
        <v>20824</v>
      </c>
      <c r="F60" s="8">
        <v>100.392504</v>
      </c>
      <c r="G60" s="9">
        <v>9.3306859999999995E-3</v>
      </c>
      <c r="H60" s="167"/>
    </row>
    <row r="61" spans="1:8" ht="29.1" customHeight="1" x14ac:dyDescent="0.2">
      <c r="A61" s="5">
        <v>55</v>
      </c>
      <c r="B61" s="6" t="s">
        <v>256</v>
      </c>
      <c r="C61" s="6" t="s">
        <v>257</v>
      </c>
      <c r="D61" s="6" t="s">
        <v>975</v>
      </c>
      <c r="E61" s="7">
        <v>118261</v>
      </c>
      <c r="F61" s="8">
        <v>100.3444585</v>
      </c>
      <c r="G61" s="9">
        <v>9.3262210000000009E-3</v>
      </c>
      <c r="H61" s="167"/>
    </row>
    <row r="62" spans="1:8" ht="17.100000000000001" customHeight="1" x14ac:dyDescent="0.2">
      <c r="A62" s="5">
        <v>56</v>
      </c>
      <c r="B62" s="6" t="s">
        <v>73</v>
      </c>
      <c r="C62" s="6" t="s">
        <v>74</v>
      </c>
      <c r="D62" s="6" t="s">
        <v>75</v>
      </c>
      <c r="E62" s="7">
        <v>3600</v>
      </c>
      <c r="F62" s="8">
        <v>98.198999999999998</v>
      </c>
      <c r="G62" s="9">
        <v>9.1268170000000006E-3</v>
      </c>
      <c r="H62" s="167"/>
    </row>
    <row r="63" spans="1:8" ht="17.100000000000001" customHeight="1" x14ac:dyDescent="0.2">
      <c r="A63" s="5">
        <v>57</v>
      </c>
      <c r="B63" s="6" t="s">
        <v>258</v>
      </c>
      <c r="C63" s="6" t="s">
        <v>259</v>
      </c>
      <c r="D63" s="6" t="s">
        <v>23</v>
      </c>
      <c r="E63" s="7">
        <v>86786</v>
      </c>
      <c r="F63" s="8">
        <v>91.081907000000001</v>
      </c>
      <c r="G63" s="9">
        <v>8.46534E-3</v>
      </c>
      <c r="H63" s="167"/>
    </row>
    <row r="64" spans="1:8" ht="17.100000000000001" customHeight="1" x14ac:dyDescent="0.2">
      <c r="A64" s="5">
        <v>58</v>
      </c>
      <c r="B64" s="6" t="s">
        <v>260</v>
      </c>
      <c r="C64" s="6" t="s">
        <v>926</v>
      </c>
      <c r="D64" s="6" t="s">
        <v>261</v>
      </c>
      <c r="E64" s="7">
        <v>35518</v>
      </c>
      <c r="F64" s="8">
        <v>84.657152999999994</v>
      </c>
      <c r="G64" s="9">
        <v>7.8682100000000005E-3</v>
      </c>
      <c r="H64" s="167"/>
    </row>
    <row r="65" spans="1:8" ht="17.100000000000001" customHeight="1" x14ac:dyDescent="0.2">
      <c r="A65" s="5">
        <v>59</v>
      </c>
      <c r="B65" s="6" t="s">
        <v>262</v>
      </c>
      <c r="C65" s="6" t="s">
        <v>263</v>
      </c>
      <c r="D65" s="6" t="s">
        <v>185</v>
      </c>
      <c r="E65" s="7">
        <v>14660</v>
      </c>
      <c r="F65" s="8">
        <v>83.364090000000004</v>
      </c>
      <c r="G65" s="9">
        <v>7.7480300000000004E-3</v>
      </c>
      <c r="H65" s="167"/>
    </row>
    <row r="66" spans="1:8" ht="17.100000000000001" customHeight="1" x14ac:dyDescent="0.2">
      <c r="A66" s="5">
        <v>60</v>
      </c>
      <c r="B66" s="6" t="s">
        <v>268</v>
      </c>
      <c r="C66" s="6" t="s">
        <v>269</v>
      </c>
      <c r="D66" s="6" t="s">
        <v>50</v>
      </c>
      <c r="E66" s="7">
        <v>90749</v>
      </c>
      <c r="F66" s="8">
        <v>80.267490499999994</v>
      </c>
      <c r="G66" s="9">
        <v>7.4602260000000004E-3</v>
      </c>
      <c r="H66" s="167"/>
    </row>
    <row r="67" spans="1:8" ht="17.100000000000001" customHeight="1" x14ac:dyDescent="0.2">
      <c r="A67" s="5">
        <v>61</v>
      </c>
      <c r="B67" s="6" t="s">
        <v>266</v>
      </c>
      <c r="C67" s="6" t="s">
        <v>267</v>
      </c>
      <c r="D67" s="6" t="s">
        <v>75</v>
      </c>
      <c r="E67" s="7">
        <v>40000</v>
      </c>
      <c r="F67" s="8">
        <v>78.38</v>
      </c>
      <c r="G67" s="9">
        <v>7.2847989999999998E-3</v>
      </c>
      <c r="H67" s="167"/>
    </row>
    <row r="68" spans="1:8" ht="17.100000000000001" customHeight="1" x14ac:dyDescent="0.2">
      <c r="A68" s="5">
        <v>62</v>
      </c>
      <c r="B68" s="6" t="s">
        <v>270</v>
      </c>
      <c r="C68" s="6" t="s">
        <v>271</v>
      </c>
      <c r="D68" s="6" t="s">
        <v>75</v>
      </c>
      <c r="E68" s="7">
        <v>48497</v>
      </c>
      <c r="F68" s="8">
        <v>76.673756999999995</v>
      </c>
      <c r="G68" s="9">
        <v>7.1262169999999998E-3</v>
      </c>
      <c r="H68" s="167"/>
    </row>
    <row r="69" spans="1:8" ht="17.100000000000001" customHeight="1" x14ac:dyDescent="0.2">
      <c r="A69" s="5">
        <v>63</v>
      </c>
      <c r="B69" s="6" t="s">
        <v>272</v>
      </c>
      <c r="C69" s="6" t="s">
        <v>273</v>
      </c>
      <c r="D69" s="6" t="s">
        <v>972</v>
      </c>
      <c r="E69" s="7">
        <v>4500</v>
      </c>
      <c r="F69" s="8">
        <v>69.704999999999998</v>
      </c>
      <c r="G69" s="9">
        <v>6.4785260000000001E-3</v>
      </c>
      <c r="H69" s="167"/>
    </row>
    <row r="70" spans="1:8" ht="41.1" customHeight="1" x14ac:dyDescent="0.2">
      <c r="A70" s="5">
        <v>64</v>
      </c>
      <c r="B70" s="6" t="s">
        <v>264</v>
      </c>
      <c r="C70" s="6" t="s">
        <v>265</v>
      </c>
      <c r="D70" s="6" t="s">
        <v>971</v>
      </c>
      <c r="E70" s="7">
        <v>50412</v>
      </c>
      <c r="F70" s="8">
        <v>68.787173999999993</v>
      </c>
      <c r="G70" s="9">
        <v>6.3932219999999996E-3</v>
      </c>
      <c r="H70" s="167"/>
    </row>
    <row r="71" spans="1:8" ht="17.100000000000001" customHeight="1" x14ac:dyDescent="0.2">
      <c r="A71" s="5">
        <v>65</v>
      </c>
      <c r="B71" s="6" t="s">
        <v>274</v>
      </c>
      <c r="C71" s="6" t="s">
        <v>275</v>
      </c>
      <c r="D71" s="6" t="s">
        <v>153</v>
      </c>
      <c r="E71" s="7">
        <v>3966</v>
      </c>
      <c r="F71" s="8">
        <v>60.836457000000003</v>
      </c>
      <c r="G71" s="9">
        <v>5.6542659999999998E-3</v>
      </c>
      <c r="H71" s="167"/>
    </row>
    <row r="72" spans="1:8" ht="17.100000000000001" customHeight="1" x14ac:dyDescent="0.2">
      <c r="A72" s="5">
        <v>66</v>
      </c>
      <c r="B72" s="6" t="s">
        <v>53</v>
      </c>
      <c r="C72" s="6" t="s">
        <v>54</v>
      </c>
      <c r="D72" s="6" t="s">
        <v>32</v>
      </c>
      <c r="E72" s="7">
        <v>27635</v>
      </c>
      <c r="F72" s="8">
        <v>58.378937499999999</v>
      </c>
      <c r="G72" s="9">
        <v>5.4258589999999999E-3</v>
      </c>
      <c r="H72" s="167"/>
    </row>
    <row r="73" spans="1:8" ht="17.100000000000001" customHeight="1" x14ac:dyDescent="0.2">
      <c r="A73" s="5">
        <v>67</v>
      </c>
      <c r="B73" s="6" t="s">
        <v>276</v>
      </c>
      <c r="C73" s="6" t="s">
        <v>277</v>
      </c>
      <c r="D73" s="6" t="s">
        <v>167</v>
      </c>
      <c r="E73" s="7">
        <v>10040</v>
      </c>
      <c r="F73" s="8">
        <v>55.656739999999999</v>
      </c>
      <c r="G73" s="9">
        <v>5.1728520000000004E-3</v>
      </c>
      <c r="H73" s="167"/>
    </row>
    <row r="74" spans="1:8" ht="17.100000000000001" customHeight="1" x14ac:dyDescent="0.2">
      <c r="A74" s="5">
        <v>68</v>
      </c>
      <c r="B74" s="6" t="s">
        <v>278</v>
      </c>
      <c r="C74" s="6" t="s">
        <v>279</v>
      </c>
      <c r="D74" s="6" t="s">
        <v>192</v>
      </c>
      <c r="E74" s="7">
        <v>5109</v>
      </c>
      <c r="F74" s="8">
        <v>48.591698999999998</v>
      </c>
      <c r="G74" s="9">
        <v>4.5162129999999998E-3</v>
      </c>
      <c r="H74" s="167"/>
    </row>
    <row r="75" spans="1:8" ht="41.1" customHeight="1" x14ac:dyDescent="0.2">
      <c r="A75" s="5">
        <v>69</v>
      </c>
      <c r="B75" s="6" t="s">
        <v>280</v>
      </c>
      <c r="C75" s="6" t="s">
        <v>281</v>
      </c>
      <c r="D75" s="6" t="s">
        <v>971</v>
      </c>
      <c r="E75" s="7">
        <v>97039</v>
      </c>
      <c r="F75" s="8">
        <v>40.562302000000003</v>
      </c>
      <c r="G75" s="9">
        <v>3.7699439999999999E-3</v>
      </c>
      <c r="H75" s="167"/>
    </row>
    <row r="76" spans="1:8" ht="17.100000000000001" customHeight="1" x14ac:dyDescent="0.2">
      <c r="A76" s="5">
        <v>70</v>
      </c>
      <c r="B76" s="6" t="s">
        <v>282</v>
      </c>
      <c r="C76" s="6" t="s">
        <v>283</v>
      </c>
      <c r="D76" s="6" t="s">
        <v>284</v>
      </c>
      <c r="E76" s="7">
        <v>23098</v>
      </c>
      <c r="F76" s="8">
        <v>33.492100000000001</v>
      </c>
      <c r="G76" s="9">
        <v>3.1128250000000001E-3</v>
      </c>
      <c r="H76" s="167"/>
    </row>
    <row r="77" spans="1:8" ht="14.1" customHeight="1" x14ac:dyDescent="0.2">
      <c r="A77" s="3" t="s">
        <v>10</v>
      </c>
      <c r="B77" s="3" t="s">
        <v>10</v>
      </c>
      <c r="C77" s="4" t="s">
        <v>104</v>
      </c>
      <c r="D77" s="3" t="s">
        <v>10</v>
      </c>
      <c r="E77" s="3" t="s">
        <v>10</v>
      </c>
      <c r="F77" s="10">
        <v>10354.3328695</v>
      </c>
      <c r="G77" s="11">
        <v>0.96235303000000005</v>
      </c>
      <c r="H77" s="167"/>
    </row>
    <row r="78" spans="1:8" ht="14.1" customHeight="1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ht="14.1" customHeight="1" x14ac:dyDescent="0.2">
      <c r="A79" s="3" t="s">
        <v>10</v>
      </c>
      <c r="B79" s="3" t="s">
        <v>10</v>
      </c>
      <c r="C79" s="4" t="s">
        <v>105</v>
      </c>
      <c r="D79" s="3" t="s">
        <v>10</v>
      </c>
      <c r="E79" s="3" t="s">
        <v>10</v>
      </c>
      <c r="F79" s="3" t="s">
        <v>10</v>
      </c>
      <c r="G79" s="3" t="s">
        <v>10</v>
      </c>
      <c r="H79" s="167"/>
    </row>
    <row r="80" spans="1:8" ht="14.1" customHeight="1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4">
        <v>0</v>
      </c>
      <c r="G80" s="15">
        <v>0</v>
      </c>
      <c r="H80" s="167"/>
    </row>
    <row r="81" spans="1:8" ht="14.1" customHeight="1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ht="14.1" customHeight="1" x14ac:dyDescent="0.2">
      <c r="A82" s="3" t="s">
        <v>10</v>
      </c>
      <c r="B82" s="3" t="s">
        <v>10</v>
      </c>
      <c r="C82" s="4" t="s">
        <v>106</v>
      </c>
      <c r="D82" s="3" t="s">
        <v>10</v>
      </c>
      <c r="E82" s="3" t="s">
        <v>10</v>
      </c>
      <c r="F82" s="3" t="s">
        <v>10</v>
      </c>
      <c r="G82" s="3" t="s">
        <v>10</v>
      </c>
      <c r="H82" s="167"/>
    </row>
    <row r="83" spans="1:8" ht="14.1" customHeight="1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ht="14.1" customHeight="1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ht="14.1" customHeight="1" x14ac:dyDescent="0.2">
      <c r="A85" s="3" t="s">
        <v>10</v>
      </c>
      <c r="B85" s="3" t="s">
        <v>10</v>
      </c>
      <c r="C85" s="4" t="s">
        <v>110</v>
      </c>
      <c r="D85" s="3" t="s">
        <v>10</v>
      </c>
      <c r="E85" s="3" t="s">
        <v>10</v>
      </c>
      <c r="F85" s="3" t="s">
        <v>10</v>
      </c>
      <c r="G85" s="3" t="s">
        <v>10</v>
      </c>
      <c r="H85" s="167"/>
    </row>
    <row r="86" spans="1:8" ht="14.1" customHeight="1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ht="14.1" customHeight="1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ht="14.1" customHeight="1" x14ac:dyDescent="0.2">
      <c r="A88" s="3" t="s">
        <v>10</v>
      </c>
      <c r="B88" s="3" t="s">
        <v>10</v>
      </c>
      <c r="C88" s="4" t="s">
        <v>111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ht="14.1" customHeight="1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4">
        <v>0</v>
      </c>
      <c r="G89" s="15">
        <v>0</v>
      </c>
      <c r="H89" s="167"/>
    </row>
    <row r="90" spans="1:8" ht="14.1" customHeight="1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ht="14.1" customHeight="1" x14ac:dyDescent="0.2">
      <c r="A91" s="3" t="s">
        <v>10</v>
      </c>
      <c r="B91" s="3" t="s">
        <v>10</v>
      </c>
      <c r="C91" s="4" t="s">
        <v>112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ht="14.1" customHeight="1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4">
        <v>0</v>
      </c>
      <c r="G92" s="15">
        <v>0</v>
      </c>
      <c r="H92" s="167"/>
    </row>
    <row r="93" spans="1:8" ht="14.1" customHeight="1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ht="18" customHeight="1" x14ac:dyDescent="0.2">
      <c r="A94" s="3" t="s">
        <v>10</v>
      </c>
      <c r="B94" s="3" t="s">
        <v>10</v>
      </c>
      <c r="C94" s="4" t="s">
        <v>113</v>
      </c>
      <c r="D94" s="3" t="s">
        <v>10</v>
      </c>
      <c r="E94" s="3" t="s">
        <v>10</v>
      </c>
      <c r="F94" s="10">
        <v>10354.3328695</v>
      </c>
      <c r="G94" s="11">
        <v>0.96235303000000005</v>
      </c>
      <c r="H94" s="167"/>
    </row>
    <row r="95" spans="1:8" ht="14.1" customHeight="1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ht="14.1" customHeight="1" x14ac:dyDescent="0.2">
      <c r="A96" s="3" t="s">
        <v>10</v>
      </c>
      <c r="B96" s="3" t="s">
        <v>10</v>
      </c>
      <c r="C96" s="4" t="s">
        <v>114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ht="24" customHeight="1" x14ac:dyDescent="0.2">
      <c r="A97" s="3" t="s">
        <v>10</v>
      </c>
      <c r="B97" s="3" t="s">
        <v>10</v>
      </c>
      <c r="C97" s="4" t="s">
        <v>12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ht="14.1" customHeight="1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ht="14.1" customHeight="1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ht="14.1" customHeight="1" x14ac:dyDescent="0.2">
      <c r="A100" s="3" t="s">
        <v>10</v>
      </c>
      <c r="B100" s="3" t="s">
        <v>10</v>
      </c>
      <c r="C100" s="4" t="s">
        <v>115</v>
      </c>
      <c r="D100" s="3" t="s">
        <v>10</v>
      </c>
      <c r="E100" s="3" t="s">
        <v>10</v>
      </c>
      <c r="F100" s="3" t="s">
        <v>10</v>
      </c>
      <c r="G100" s="3" t="s">
        <v>10</v>
      </c>
      <c r="H100" s="167"/>
    </row>
    <row r="101" spans="1:8" ht="14.1" customHeight="1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ht="14.1" customHeight="1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ht="14.1" customHeight="1" x14ac:dyDescent="0.2">
      <c r="A103" s="3" t="s">
        <v>10</v>
      </c>
      <c r="B103" s="3" t="s">
        <v>10</v>
      </c>
      <c r="C103" s="4" t="s">
        <v>116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ht="14.1" customHeight="1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ht="14.1" customHeight="1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ht="14.1" customHeight="1" x14ac:dyDescent="0.2">
      <c r="A106" s="3" t="s">
        <v>10</v>
      </c>
      <c r="B106" s="3" t="s">
        <v>10</v>
      </c>
      <c r="C106" s="4" t="s">
        <v>117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ht="14.1" customHeight="1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ht="14.1" customHeight="1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ht="14.1" customHeight="1" x14ac:dyDescent="0.2">
      <c r="A109" s="3" t="s">
        <v>10</v>
      </c>
      <c r="B109" s="3" t="s">
        <v>10</v>
      </c>
      <c r="C109" s="4" t="s">
        <v>118</v>
      </c>
      <c r="D109" s="3" t="s">
        <v>10</v>
      </c>
      <c r="E109" s="3" t="s">
        <v>10</v>
      </c>
      <c r="F109" s="10">
        <v>0</v>
      </c>
      <c r="G109" s="11">
        <v>0</v>
      </c>
      <c r="H109" s="167"/>
    </row>
    <row r="110" spans="1:8" ht="14.1" customHeight="1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ht="14.1" customHeight="1" x14ac:dyDescent="0.2">
      <c r="A111" s="3" t="s">
        <v>10</v>
      </c>
      <c r="B111" s="3" t="s">
        <v>10</v>
      </c>
      <c r="C111" s="4" t="s">
        <v>119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ht="14.1" customHeight="1" x14ac:dyDescent="0.2">
      <c r="A112" s="3" t="s">
        <v>10</v>
      </c>
      <c r="B112" s="3" t="s">
        <v>10</v>
      </c>
      <c r="C112" s="4" t="s">
        <v>120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ht="14.1" customHeight="1" x14ac:dyDescent="0.2">
      <c r="A113" s="3" t="s">
        <v>10</v>
      </c>
      <c r="B113" s="3" t="s">
        <v>10</v>
      </c>
      <c r="C113" s="4" t="s">
        <v>104</v>
      </c>
      <c r="D113" s="3" t="s">
        <v>10</v>
      </c>
      <c r="E113" s="3" t="s">
        <v>10</v>
      </c>
      <c r="F113" s="14">
        <v>0</v>
      </c>
      <c r="G113" s="15">
        <v>0</v>
      </c>
      <c r="H113" s="167"/>
    </row>
    <row r="114" spans="1:8" ht="14.1" customHeight="1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ht="14.1" customHeight="1" x14ac:dyDescent="0.2">
      <c r="A115" s="3" t="s">
        <v>10</v>
      </c>
      <c r="B115" s="3" t="s">
        <v>10</v>
      </c>
      <c r="C115" s="4" t="s">
        <v>121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ht="14.1" customHeight="1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4">
        <v>0</v>
      </c>
      <c r="G116" s="15">
        <v>0</v>
      </c>
      <c r="H116" s="167"/>
    </row>
    <row r="117" spans="1:8" ht="14.1" customHeight="1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ht="14.1" customHeight="1" x14ac:dyDescent="0.2">
      <c r="A118" s="3" t="s">
        <v>10</v>
      </c>
      <c r="B118" s="3" t="s">
        <v>10</v>
      </c>
      <c r="C118" s="4" t="s">
        <v>122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ht="14.1" customHeight="1" x14ac:dyDescent="0.2">
      <c r="A119" s="3" t="s">
        <v>10</v>
      </c>
      <c r="B119" s="3" t="s">
        <v>10</v>
      </c>
      <c r="C119" s="4" t="s">
        <v>104</v>
      </c>
      <c r="D119" s="3" t="s">
        <v>10</v>
      </c>
      <c r="E119" s="3" t="s">
        <v>10</v>
      </c>
      <c r="F119" s="14">
        <v>0</v>
      </c>
      <c r="G119" s="15">
        <v>0</v>
      </c>
      <c r="H119" s="167"/>
    </row>
    <row r="120" spans="1:8" ht="14.1" customHeight="1" x14ac:dyDescent="0.2">
      <c r="A120" s="3" t="s">
        <v>10</v>
      </c>
      <c r="B120" s="3" t="s">
        <v>10</v>
      </c>
      <c r="C120" s="12" t="s">
        <v>10</v>
      </c>
      <c r="D120" s="3" t="s">
        <v>10</v>
      </c>
      <c r="E120" s="3" t="s">
        <v>10</v>
      </c>
      <c r="F120" s="13" t="s">
        <v>10</v>
      </c>
      <c r="G120" s="13" t="s">
        <v>10</v>
      </c>
      <c r="H120" s="167"/>
    </row>
    <row r="121" spans="1:8" ht="14.1" customHeight="1" x14ac:dyDescent="0.2">
      <c r="A121" s="3" t="s">
        <v>10</v>
      </c>
      <c r="B121" s="3" t="s">
        <v>10</v>
      </c>
      <c r="C121" s="4" t="s">
        <v>123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ht="17.100000000000001" customHeight="1" x14ac:dyDescent="0.2">
      <c r="A122" s="5">
        <v>1</v>
      </c>
      <c r="B122" s="6"/>
      <c r="C122" s="6" t="s">
        <v>124</v>
      </c>
      <c r="D122" s="6"/>
      <c r="E122" s="16" t="s">
        <v>10</v>
      </c>
      <c r="F122" s="8">
        <v>325.67175500000002</v>
      </c>
      <c r="G122" s="9">
        <v>3.0268604000000001E-2</v>
      </c>
      <c r="H122" s="108">
        <v>3.23</v>
      </c>
    </row>
    <row r="123" spans="1:8" ht="17.100000000000001" customHeight="1" x14ac:dyDescent="0.2">
      <c r="A123" s="5">
        <v>2</v>
      </c>
      <c r="B123" s="6"/>
      <c r="C123" s="6" t="s">
        <v>125</v>
      </c>
      <c r="D123" s="6"/>
      <c r="E123" s="16" t="s">
        <v>10</v>
      </c>
      <c r="F123" s="8">
        <v>91.477920600000004</v>
      </c>
      <c r="G123" s="9">
        <v>8.5021460000000004E-3</v>
      </c>
      <c r="H123" s="108">
        <v>3.35</v>
      </c>
    </row>
    <row r="124" spans="1:8" ht="14.1" customHeight="1" x14ac:dyDescent="0.2">
      <c r="A124" s="3" t="s">
        <v>10</v>
      </c>
      <c r="B124" s="3" t="s">
        <v>10</v>
      </c>
      <c r="C124" s="4" t="s">
        <v>104</v>
      </c>
      <c r="D124" s="3" t="s">
        <v>10</v>
      </c>
      <c r="E124" s="3" t="s">
        <v>10</v>
      </c>
      <c r="F124" s="10">
        <v>417.14967560000002</v>
      </c>
      <c r="G124" s="11">
        <v>3.877075E-2</v>
      </c>
      <c r="H124" s="167"/>
    </row>
    <row r="125" spans="1:8" ht="14.1" customHeight="1" x14ac:dyDescent="0.2">
      <c r="A125" s="3" t="s">
        <v>10</v>
      </c>
      <c r="B125" s="3" t="s">
        <v>10</v>
      </c>
      <c r="C125" s="12" t="s">
        <v>10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ht="14.1" customHeight="1" x14ac:dyDescent="0.2">
      <c r="A126" s="3" t="s">
        <v>10</v>
      </c>
      <c r="B126" s="3" t="s">
        <v>10</v>
      </c>
      <c r="C126" s="4" t="s">
        <v>126</v>
      </c>
      <c r="D126" s="3" t="s">
        <v>10</v>
      </c>
      <c r="E126" s="3" t="s">
        <v>10</v>
      </c>
      <c r="F126" s="10">
        <v>417.14967560000002</v>
      </c>
      <c r="G126" s="11">
        <v>3.877075E-2</v>
      </c>
      <c r="H126" s="167"/>
    </row>
    <row r="127" spans="1:8" ht="14.1" customHeight="1" x14ac:dyDescent="0.2">
      <c r="A127" s="3" t="s">
        <v>10</v>
      </c>
      <c r="B127" s="3" t="s">
        <v>10</v>
      </c>
      <c r="C127" s="13" t="s">
        <v>10</v>
      </c>
      <c r="D127" s="3" t="s">
        <v>10</v>
      </c>
      <c r="E127" s="3" t="s">
        <v>10</v>
      </c>
      <c r="F127" s="3" t="s">
        <v>10</v>
      </c>
      <c r="G127" s="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127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128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129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130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3" t="s">
        <v>10</v>
      </c>
      <c r="C136" s="12" t="s">
        <v>10</v>
      </c>
      <c r="D136" s="3" t="s">
        <v>10</v>
      </c>
      <c r="E136" s="3" t="s">
        <v>10</v>
      </c>
      <c r="F136" s="13" t="s">
        <v>10</v>
      </c>
      <c r="G136" s="13" t="s">
        <v>10</v>
      </c>
      <c r="H136" s="167"/>
    </row>
    <row r="137" spans="1:8" ht="25.5" x14ac:dyDescent="0.2">
      <c r="A137" s="3" t="s">
        <v>10</v>
      </c>
      <c r="B137" s="3" t="s">
        <v>10</v>
      </c>
      <c r="C137" s="4" t="s">
        <v>131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4">
        <v>0</v>
      </c>
      <c r="G138" s="15">
        <v>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x14ac:dyDescent="0.2">
      <c r="A140" s="3" t="s">
        <v>10</v>
      </c>
      <c r="B140" s="6" t="s">
        <v>10</v>
      </c>
      <c r="C140" s="6" t="s">
        <v>10</v>
      </c>
      <c r="D140" s="4" t="s">
        <v>10</v>
      </c>
      <c r="E140" s="3" t="s">
        <v>10</v>
      </c>
      <c r="F140" s="6" t="s">
        <v>10</v>
      </c>
      <c r="G140" s="16" t="s">
        <v>10</v>
      </c>
      <c r="H140" s="167"/>
    </row>
    <row r="141" spans="1:8" x14ac:dyDescent="0.2">
      <c r="A141" s="16" t="s">
        <v>10</v>
      </c>
      <c r="B141" s="6" t="s">
        <v>10</v>
      </c>
      <c r="C141" s="6" t="s">
        <v>132</v>
      </c>
      <c r="D141" s="6" t="s">
        <v>10</v>
      </c>
      <c r="E141" s="16" t="s">
        <v>10</v>
      </c>
      <c r="F141" s="8">
        <v>-12.091181580000001</v>
      </c>
      <c r="G141" s="9">
        <v>-1.1237790000000001E-3</v>
      </c>
      <c r="H141" s="167"/>
    </row>
    <row r="142" spans="1:8" x14ac:dyDescent="0.2">
      <c r="A142" s="12" t="s">
        <v>10</v>
      </c>
      <c r="B142" s="12" t="s">
        <v>10</v>
      </c>
      <c r="C142" s="4" t="s">
        <v>133</v>
      </c>
      <c r="D142" s="17" t="s">
        <v>10</v>
      </c>
      <c r="E142" s="17" t="s">
        <v>10</v>
      </c>
      <c r="F142" s="10">
        <v>10759.391363520001</v>
      </c>
      <c r="G142" s="11">
        <v>1.0000000010000001</v>
      </c>
      <c r="H142" s="167"/>
    </row>
    <row r="143" spans="1:8" ht="14.1" customHeight="1" x14ac:dyDescent="0.2">
      <c r="A143" s="18" t="s">
        <v>10</v>
      </c>
      <c r="B143" s="18" t="s">
        <v>10</v>
      </c>
      <c r="C143" s="18" t="s">
        <v>10</v>
      </c>
      <c r="D143" s="19" t="s">
        <v>10</v>
      </c>
      <c r="E143" s="19" t="s">
        <v>10</v>
      </c>
      <c r="F143" s="19" t="s">
        <v>10</v>
      </c>
      <c r="G143" s="19" t="s">
        <v>10</v>
      </c>
    </row>
    <row r="144" spans="1:8" ht="14.1" customHeight="1" x14ac:dyDescent="0.2">
      <c r="A144" s="20" t="s">
        <v>10</v>
      </c>
      <c r="B144" s="208" t="s">
        <v>10</v>
      </c>
      <c r="C144" s="208"/>
      <c r="D144" s="208"/>
      <c r="E144" s="208"/>
      <c r="F144" s="208"/>
      <c r="G144" s="22" t="s">
        <v>10</v>
      </c>
    </row>
    <row r="145" spans="1:7" ht="14.1" customHeight="1" x14ac:dyDescent="0.2">
      <c r="A145" s="20" t="s">
        <v>10</v>
      </c>
      <c r="B145" s="208" t="s">
        <v>10</v>
      </c>
      <c r="C145" s="208"/>
      <c r="D145" s="208"/>
      <c r="E145" s="208"/>
      <c r="F145" s="208"/>
      <c r="G145" s="22" t="s">
        <v>10</v>
      </c>
    </row>
    <row r="146" spans="1:7" ht="14.1" customHeight="1" x14ac:dyDescent="0.2">
      <c r="A146" s="20" t="s">
        <v>10</v>
      </c>
      <c r="B146" s="20" t="s">
        <v>10</v>
      </c>
      <c r="C146" s="20" t="s">
        <v>10</v>
      </c>
      <c r="D146" s="22" t="s">
        <v>10</v>
      </c>
      <c r="E146" s="22" t="s">
        <v>10</v>
      </c>
      <c r="F146" s="22" t="s">
        <v>10</v>
      </c>
      <c r="G146" s="22" t="s">
        <v>10</v>
      </c>
    </row>
    <row r="147" spans="1:7" ht="14.1" customHeight="1" x14ac:dyDescent="0.2">
      <c r="A147" s="20" t="s">
        <v>10</v>
      </c>
      <c r="B147" s="206" t="s">
        <v>134</v>
      </c>
      <c r="C147" s="207"/>
      <c r="D147" s="13" t="s">
        <v>10</v>
      </c>
      <c r="E147" s="23" t="s">
        <v>10</v>
      </c>
      <c r="F147" s="22" t="s">
        <v>10</v>
      </c>
      <c r="G147" s="22" t="s">
        <v>10</v>
      </c>
    </row>
    <row r="148" spans="1:7" ht="29.1" customHeight="1" x14ac:dyDescent="0.2">
      <c r="A148" s="20" t="s">
        <v>10</v>
      </c>
      <c r="B148" s="213" t="s">
        <v>135</v>
      </c>
      <c r="C148" s="214"/>
      <c r="D148" s="4" t="s">
        <v>136</v>
      </c>
      <c r="E148" s="23" t="s">
        <v>10</v>
      </c>
      <c r="F148" s="22" t="s">
        <v>10</v>
      </c>
      <c r="G148" s="22" t="s">
        <v>10</v>
      </c>
    </row>
    <row r="149" spans="1:7" ht="17.100000000000001" customHeight="1" x14ac:dyDescent="0.2">
      <c r="A149" s="20" t="s">
        <v>10</v>
      </c>
      <c r="B149" s="213" t="s">
        <v>137</v>
      </c>
      <c r="C149" s="214"/>
      <c r="D149" s="4" t="s">
        <v>136</v>
      </c>
      <c r="E149" s="23" t="s">
        <v>10</v>
      </c>
      <c r="F149" s="22" t="s">
        <v>10</v>
      </c>
      <c r="G149" s="22" t="s">
        <v>10</v>
      </c>
    </row>
    <row r="150" spans="1:7" ht="17.100000000000001" customHeight="1" x14ac:dyDescent="0.2">
      <c r="A150" s="20" t="s">
        <v>10</v>
      </c>
      <c r="B150" s="213" t="s">
        <v>138</v>
      </c>
      <c r="C150" s="214"/>
      <c r="D150" s="13" t="s">
        <v>10</v>
      </c>
      <c r="E150" s="23" t="s">
        <v>10</v>
      </c>
      <c r="F150" s="22" t="s">
        <v>10</v>
      </c>
      <c r="G150" s="22" t="s">
        <v>10</v>
      </c>
    </row>
    <row r="151" spans="1:7" s="20" customFormat="1" ht="17.100000000000001" customHeight="1" x14ac:dyDescent="0.2"/>
    <row r="152" spans="1:7" x14ac:dyDescent="0.2">
      <c r="A152" s="24" t="s">
        <v>10</v>
      </c>
      <c r="B152" s="140" t="s">
        <v>10</v>
      </c>
      <c r="C152" s="140" t="s">
        <v>139</v>
      </c>
      <c r="D152" s="140" t="s">
        <v>140</v>
      </c>
      <c r="E152" s="24" t="s">
        <v>10</v>
      </c>
      <c r="F152" s="24" t="s">
        <v>10</v>
      </c>
      <c r="G152" s="24" t="s">
        <v>10</v>
      </c>
    </row>
    <row r="153" spans="1:7" ht="18" customHeight="1" x14ac:dyDescent="0.2">
      <c r="A153" s="24" t="s">
        <v>10</v>
      </c>
      <c r="B153" s="25" t="s">
        <v>141</v>
      </c>
      <c r="C153" s="25" t="s">
        <v>142</v>
      </c>
      <c r="D153" s="25" t="s">
        <v>143</v>
      </c>
      <c r="E153" s="24" t="s">
        <v>10</v>
      </c>
      <c r="F153" s="24" t="s">
        <v>10</v>
      </c>
      <c r="G153" s="24" t="s">
        <v>10</v>
      </c>
    </row>
    <row r="154" spans="1:7" ht="17.100000000000001" customHeight="1" x14ac:dyDescent="0.2">
      <c r="A154" s="24" t="s">
        <v>10</v>
      </c>
      <c r="B154" s="6" t="s">
        <v>144</v>
      </c>
      <c r="C154" s="26">
        <v>11.013999999999999</v>
      </c>
      <c r="D154" s="26">
        <v>12.096500000000001</v>
      </c>
      <c r="E154" s="24" t="s">
        <v>10</v>
      </c>
      <c r="F154" s="21" t="s">
        <v>10</v>
      </c>
      <c r="G154" s="27" t="s">
        <v>10</v>
      </c>
    </row>
    <row r="155" spans="1:7" ht="17.100000000000001" customHeight="1" x14ac:dyDescent="0.2">
      <c r="A155" s="24" t="s">
        <v>10</v>
      </c>
      <c r="B155" s="6" t="s">
        <v>917</v>
      </c>
      <c r="C155" s="26">
        <v>11.013999999999999</v>
      </c>
      <c r="D155" s="26">
        <v>12.096500000000001</v>
      </c>
      <c r="E155" s="24" t="s">
        <v>10</v>
      </c>
      <c r="F155" s="21" t="s">
        <v>10</v>
      </c>
      <c r="G155" s="27" t="s">
        <v>10</v>
      </c>
    </row>
    <row r="156" spans="1:7" ht="17.100000000000001" customHeight="1" x14ac:dyDescent="0.2">
      <c r="A156" s="24" t="s">
        <v>10</v>
      </c>
      <c r="B156" s="6" t="s">
        <v>145</v>
      </c>
      <c r="C156" s="26">
        <v>10.7806</v>
      </c>
      <c r="D156" s="26">
        <v>11.834199999999999</v>
      </c>
      <c r="E156" s="24" t="s">
        <v>10</v>
      </c>
      <c r="F156" s="21" t="s">
        <v>10</v>
      </c>
      <c r="G156" s="27" t="s">
        <v>10</v>
      </c>
    </row>
    <row r="157" spans="1:7" ht="17.100000000000001" customHeight="1" x14ac:dyDescent="0.2">
      <c r="A157" s="24" t="s">
        <v>10</v>
      </c>
      <c r="B157" s="6" t="s">
        <v>918</v>
      </c>
      <c r="C157" s="26">
        <v>10.7806</v>
      </c>
      <c r="D157" s="26">
        <v>11.834199999999999</v>
      </c>
      <c r="E157" s="24" t="s">
        <v>10</v>
      </c>
      <c r="F157" s="21" t="s">
        <v>10</v>
      </c>
      <c r="G157" s="27" t="s">
        <v>10</v>
      </c>
    </row>
    <row r="158" spans="1:7" ht="14.1" customHeight="1" x14ac:dyDescent="0.2">
      <c r="A158" s="24" t="s">
        <v>10</v>
      </c>
      <c r="B158" s="24" t="s">
        <v>10</v>
      </c>
      <c r="C158" s="24" t="s">
        <v>10</v>
      </c>
      <c r="D158" s="24" t="s">
        <v>10</v>
      </c>
      <c r="E158" s="24" t="s">
        <v>10</v>
      </c>
      <c r="F158" s="24" t="s">
        <v>10</v>
      </c>
      <c r="G158" s="24" t="s">
        <v>10</v>
      </c>
    </row>
    <row r="159" spans="1:7" ht="17.100000000000001" customHeight="1" x14ac:dyDescent="0.2">
      <c r="A159" s="24" t="s">
        <v>10</v>
      </c>
      <c r="B159" s="213" t="s">
        <v>999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7" ht="18" customHeight="1" x14ac:dyDescent="0.2">
      <c r="A160" s="24" t="s">
        <v>10</v>
      </c>
      <c r="B160" s="28"/>
      <c r="C160" s="28"/>
      <c r="D160" s="29" t="s">
        <v>10</v>
      </c>
      <c r="E160" s="24" t="s">
        <v>10</v>
      </c>
      <c r="F160" s="24" t="s">
        <v>10</v>
      </c>
      <c r="G160" s="24" t="s">
        <v>10</v>
      </c>
    </row>
    <row r="161" spans="1:7" ht="18" customHeight="1" x14ac:dyDescent="0.2">
      <c r="A161" s="172"/>
      <c r="B161" s="217" t="s">
        <v>919</v>
      </c>
      <c r="C161" s="217"/>
      <c r="D161" s="217"/>
      <c r="E161" s="217"/>
      <c r="F161" s="217"/>
      <c r="G161" s="172"/>
    </row>
    <row r="162" spans="1:7" ht="14.1" customHeight="1" x14ac:dyDescent="0.2">
      <c r="A162" s="24" t="s">
        <v>10</v>
      </c>
      <c r="B162" s="21" t="s">
        <v>10</v>
      </c>
      <c r="C162" s="21" t="s">
        <v>10</v>
      </c>
      <c r="D162" s="24" t="s">
        <v>10</v>
      </c>
      <c r="E162" s="24" t="s">
        <v>10</v>
      </c>
      <c r="F162" s="24" t="s">
        <v>10</v>
      </c>
      <c r="G162" s="24" t="s">
        <v>10</v>
      </c>
    </row>
    <row r="163" spans="1:7" ht="29.1" customHeight="1" x14ac:dyDescent="0.2">
      <c r="A163" s="24" t="s">
        <v>10</v>
      </c>
      <c r="B163" s="213" t="s">
        <v>146</v>
      </c>
      <c r="C163" s="214"/>
      <c r="D163" s="4" t="s">
        <v>136</v>
      </c>
      <c r="E163" s="24" t="s">
        <v>10</v>
      </c>
      <c r="F163" s="24" t="s">
        <v>10</v>
      </c>
      <c r="G163" s="24" t="s">
        <v>10</v>
      </c>
    </row>
    <row r="164" spans="1:7" ht="29.1" customHeight="1" x14ac:dyDescent="0.2">
      <c r="A164" s="24" t="s">
        <v>10</v>
      </c>
      <c r="B164" s="213" t="s">
        <v>147</v>
      </c>
      <c r="C164" s="214"/>
      <c r="D164" s="4" t="s">
        <v>136</v>
      </c>
      <c r="E164" s="24" t="s">
        <v>10</v>
      </c>
      <c r="F164" s="24" t="s">
        <v>10</v>
      </c>
      <c r="G164" s="24" t="s">
        <v>10</v>
      </c>
    </row>
    <row r="165" spans="1:7" ht="17.100000000000001" customHeight="1" x14ac:dyDescent="0.2">
      <c r="A165" s="24" t="s">
        <v>10</v>
      </c>
      <c r="B165" s="213" t="s">
        <v>148</v>
      </c>
      <c r="C165" s="214"/>
      <c r="D165" s="30">
        <v>0.50919506994792563</v>
      </c>
      <c r="E165" s="24" t="s">
        <v>10</v>
      </c>
      <c r="F165" s="21" t="s">
        <v>10</v>
      </c>
      <c r="G165" s="27" t="s">
        <v>10</v>
      </c>
    </row>
    <row r="166" spans="1:7" ht="17.100000000000001" customHeight="1" x14ac:dyDescent="0.2">
      <c r="A166" s="24" t="s">
        <v>10</v>
      </c>
      <c r="B166" s="213" t="s">
        <v>149</v>
      </c>
      <c r="C166" s="214"/>
      <c r="D166" s="4" t="s">
        <v>136</v>
      </c>
      <c r="E166" s="24" t="s">
        <v>10</v>
      </c>
      <c r="F166" s="24" t="s">
        <v>10</v>
      </c>
      <c r="G166" s="24" t="s">
        <v>10</v>
      </c>
    </row>
  </sheetData>
  <mergeCells count="15">
    <mergeCell ref="B165:C165"/>
    <mergeCell ref="B166:C166"/>
    <mergeCell ref="B148:C148"/>
    <mergeCell ref="B149:C149"/>
    <mergeCell ref="B150:C150"/>
    <mergeCell ref="B159:C159"/>
    <mergeCell ref="B163:C163"/>
    <mergeCell ref="B164:C164"/>
    <mergeCell ref="B161:F161"/>
    <mergeCell ref="B147:C147"/>
    <mergeCell ref="B144:F144"/>
    <mergeCell ref="B145:F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7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7.100000000000001" customHeight="1" x14ac:dyDescent="0.2">
      <c r="A2" s="210" t="s">
        <v>289</v>
      </c>
      <c r="B2" s="211"/>
      <c r="C2" s="211"/>
      <c r="D2" s="211"/>
      <c r="E2" s="211"/>
      <c r="F2" s="211"/>
      <c r="G2" s="211"/>
      <c r="H2" s="212"/>
    </row>
    <row r="3" spans="1:8" ht="21" customHeight="1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ht="14.1" customHeight="1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4" customHeight="1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17.100000000000001" customHeight="1" x14ac:dyDescent="0.2">
      <c r="A7" s="5">
        <v>1</v>
      </c>
      <c r="B7" s="6" t="s">
        <v>154</v>
      </c>
      <c r="C7" s="6" t="s">
        <v>155</v>
      </c>
      <c r="D7" s="6" t="s">
        <v>153</v>
      </c>
      <c r="E7" s="7">
        <v>30824</v>
      </c>
      <c r="F7" s="8">
        <v>378.13342</v>
      </c>
      <c r="G7" s="9">
        <v>4.1601917000000002E-2</v>
      </c>
      <c r="H7" s="167"/>
    </row>
    <row r="8" spans="1:8" ht="17.100000000000001" customHeight="1" x14ac:dyDescent="0.2">
      <c r="A8" s="5">
        <v>2</v>
      </c>
      <c r="B8" s="6" t="s">
        <v>27</v>
      </c>
      <c r="C8" s="6" t="s">
        <v>28</v>
      </c>
      <c r="D8" s="6" t="s">
        <v>29</v>
      </c>
      <c r="E8" s="7">
        <v>27892</v>
      </c>
      <c r="F8" s="8">
        <v>340.35212999999999</v>
      </c>
      <c r="G8" s="9">
        <v>3.7445250999999999E-2</v>
      </c>
      <c r="H8" s="167"/>
    </row>
    <row r="9" spans="1:8" ht="17.100000000000001" customHeight="1" x14ac:dyDescent="0.2">
      <c r="A9" s="5">
        <v>3</v>
      </c>
      <c r="B9" s="6" t="s">
        <v>151</v>
      </c>
      <c r="C9" s="6" t="s">
        <v>152</v>
      </c>
      <c r="D9" s="6" t="s">
        <v>153</v>
      </c>
      <c r="E9" s="7">
        <v>9474</v>
      </c>
      <c r="F9" s="8">
        <v>305.51755200000002</v>
      </c>
      <c r="G9" s="9">
        <v>3.3612781000000001E-2</v>
      </c>
      <c r="H9" s="167"/>
    </row>
    <row r="10" spans="1:8" ht="17.100000000000001" customHeight="1" x14ac:dyDescent="0.2">
      <c r="A10" s="5">
        <v>4</v>
      </c>
      <c r="B10" s="6" t="s">
        <v>163</v>
      </c>
      <c r="C10" s="6" t="s">
        <v>164</v>
      </c>
      <c r="D10" s="6" t="s">
        <v>167</v>
      </c>
      <c r="E10" s="7">
        <v>28949</v>
      </c>
      <c r="F10" s="8">
        <v>251.14704950000001</v>
      </c>
      <c r="G10" s="9">
        <v>2.7630984000000001E-2</v>
      </c>
      <c r="H10" s="167"/>
    </row>
    <row r="11" spans="1:8" ht="17.100000000000001" customHeight="1" x14ac:dyDescent="0.2">
      <c r="A11" s="5">
        <v>5</v>
      </c>
      <c r="B11" s="6" t="s">
        <v>186</v>
      </c>
      <c r="C11" s="6" t="s">
        <v>187</v>
      </c>
      <c r="D11" s="6" t="s">
        <v>57</v>
      </c>
      <c r="E11" s="7">
        <v>92686</v>
      </c>
      <c r="F11" s="8">
        <v>220.778052</v>
      </c>
      <c r="G11" s="9">
        <v>2.4289813E-2</v>
      </c>
      <c r="H11" s="167"/>
    </row>
    <row r="12" spans="1:8" ht="17.100000000000001" customHeight="1" x14ac:dyDescent="0.2">
      <c r="A12" s="5">
        <v>6</v>
      </c>
      <c r="B12" s="6" t="s">
        <v>156</v>
      </c>
      <c r="C12" s="6" t="s">
        <v>157</v>
      </c>
      <c r="D12" s="6" t="s">
        <v>158</v>
      </c>
      <c r="E12" s="7">
        <v>229363</v>
      </c>
      <c r="F12" s="8">
        <v>210.89927850000001</v>
      </c>
      <c r="G12" s="9">
        <v>2.3202958999999999E-2</v>
      </c>
      <c r="H12" s="167"/>
    </row>
    <row r="13" spans="1:8" ht="17.100000000000001" customHeight="1" x14ac:dyDescent="0.2">
      <c r="A13" s="5">
        <v>7</v>
      </c>
      <c r="B13" s="6" t="s">
        <v>33</v>
      </c>
      <c r="C13" s="6" t="s">
        <v>34</v>
      </c>
      <c r="D13" s="6" t="s">
        <v>970</v>
      </c>
      <c r="E13" s="7">
        <v>7122</v>
      </c>
      <c r="F13" s="8">
        <v>202.93782899999999</v>
      </c>
      <c r="G13" s="9">
        <v>2.2327046999999999E-2</v>
      </c>
      <c r="H13" s="167"/>
    </row>
    <row r="14" spans="1:8" ht="17.100000000000001" customHeight="1" x14ac:dyDescent="0.2">
      <c r="A14" s="5">
        <v>8</v>
      </c>
      <c r="B14" s="6" t="s">
        <v>159</v>
      </c>
      <c r="C14" s="6" t="s">
        <v>160</v>
      </c>
      <c r="D14" s="6" t="s">
        <v>29</v>
      </c>
      <c r="E14" s="7">
        <v>32056</v>
      </c>
      <c r="F14" s="8">
        <v>197.561128</v>
      </c>
      <c r="G14" s="9">
        <v>2.1735507000000001E-2</v>
      </c>
      <c r="H14" s="167"/>
    </row>
    <row r="15" spans="1:8" ht="17.100000000000001" customHeight="1" x14ac:dyDescent="0.2">
      <c r="A15" s="5">
        <v>9</v>
      </c>
      <c r="B15" s="6" t="s">
        <v>165</v>
      </c>
      <c r="C15" s="6" t="s">
        <v>166</v>
      </c>
      <c r="D15" s="6" t="s">
        <v>167</v>
      </c>
      <c r="E15" s="7">
        <v>75954</v>
      </c>
      <c r="F15" s="8">
        <v>184.79608200000001</v>
      </c>
      <c r="G15" s="9">
        <v>2.0331108000000001E-2</v>
      </c>
      <c r="H15" s="167"/>
    </row>
    <row r="16" spans="1:8" ht="17.100000000000001" customHeight="1" x14ac:dyDescent="0.2">
      <c r="A16" s="5">
        <v>10</v>
      </c>
      <c r="B16" s="6" t="s">
        <v>168</v>
      </c>
      <c r="C16" s="6" t="s">
        <v>169</v>
      </c>
      <c r="D16" s="6" t="s">
        <v>75</v>
      </c>
      <c r="E16" s="7">
        <v>45924</v>
      </c>
      <c r="F16" s="8">
        <v>182.731596</v>
      </c>
      <c r="G16" s="9">
        <v>2.0103975E-2</v>
      </c>
      <c r="H16" s="167"/>
    </row>
    <row r="17" spans="1:8" ht="17.100000000000001" customHeight="1" x14ac:dyDescent="0.2">
      <c r="A17" s="5">
        <v>11</v>
      </c>
      <c r="B17" s="6" t="s">
        <v>161</v>
      </c>
      <c r="C17" s="6" t="s">
        <v>162</v>
      </c>
      <c r="D17" s="6" t="s">
        <v>970</v>
      </c>
      <c r="E17" s="7">
        <v>98000</v>
      </c>
      <c r="F17" s="8">
        <v>178.60499999999999</v>
      </c>
      <c r="G17" s="9">
        <v>1.9649969999999999E-2</v>
      </c>
      <c r="H17" s="167"/>
    </row>
    <row r="18" spans="1:8" ht="17.100000000000001" customHeight="1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3348</v>
      </c>
      <c r="F18" s="8">
        <v>177.86250000000001</v>
      </c>
      <c r="G18" s="9">
        <v>1.9568281E-2</v>
      </c>
      <c r="H18" s="167"/>
    </row>
    <row r="19" spans="1:8" ht="17.100000000000001" customHeight="1" x14ac:dyDescent="0.2">
      <c r="A19" s="5">
        <v>13</v>
      </c>
      <c r="B19" s="6" t="s">
        <v>174</v>
      </c>
      <c r="C19" s="6" t="s">
        <v>175</v>
      </c>
      <c r="D19" s="6" t="s">
        <v>50</v>
      </c>
      <c r="E19" s="7">
        <v>40089</v>
      </c>
      <c r="F19" s="8">
        <v>169.8771375</v>
      </c>
      <c r="G19" s="9">
        <v>1.8689738000000001E-2</v>
      </c>
      <c r="H19" s="167"/>
    </row>
    <row r="20" spans="1:8" ht="17.100000000000001" customHeight="1" x14ac:dyDescent="0.2">
      <c r="A20" s="5">
        <v>14</v>
      </c>
      <c r="B20" s="6" t="s">
        <v>172</v>
      </c>
      <c r="C20" s="6" t="s">
        <v>173</v>
      </c>
      <c r="D20" s="6" t="s">
        <v>970</v>
      </c>
      <c r="E20" s="7">
        <v>66035</v>
      </c>
      <c r="F20" s="8">
        <v>166.01199</v>
      </c>
      <c r="G20" s="9">
        <v>1.8264498000000001E-2</v>
      </c>
      <c r="H20" s="167"/>
    </row>
    <row r="21" spans="1:8" ht="17.100000000000001" customHeight="1" x14ac:dyDescent="0.2">
      <c r="A21" s="5">
        <v>15</v>
      </c>
      <c r="B21" s="6" t="s">
        <v>181</v>
      </c>
      <c r="C21" s="6" t="s">
        <v>182</v>
      </c>
      <c r="D21" s="6" t="s">
        <v>29</v>
      </c>
      <c r="E21" s="7">
        <v>32892</v>
      </c>
      <c r="F21" s="8">
        <v>157.12508399999999</v>
      </c>
      <c r="G21" s="9">
        <v>1.7286768000000001E-2</v>
      </c>
      <c r="H21" s="167"/>
    </row>
    <row r="22" spans="1:8" ht="17.100000000000001" customHeight="1" x14ac:dyDescent="0.2">
      <c r="A22" s="5">
        <v>16</v>
      </c>
      <c r="B22" s="6" t="s">
        <v>179</v>
      </c>
      <c r="C22" s="6" t="s">
        <v>180</v>
      </c>
      <c r="D22" s="6" t="s">
        <v>972</v>
      </c>
      <c r="E22" s="7">
        <v>20482</v>
      </c>
      <c r="F22" s="8">
        <v>155.069222</v>
      </c>
      <c r="G22" s="9">
        <v>1.7060584E-2</v>
      </c>
      <c r="H22" s="167"/>
    </row>
    <row r="23" spans="1:8" ht="17.100000000000001" customHeight="1" x14ac:dyDescent="0.2">
      <c r="A23" s="5">
        <v>17</v>
      </c>
      <c r="B23" s="6" t="s">
        <v>176</v>
      </c>
      <c r="C23" s="6" t="s">
        <v>177</v>
      </c>
      <c r="D23" s="6" t="s">
        <v>178</v>
      </c>
      <c r="E23" s="7">
        <v>14572</v>
      </c>
      <c r="F23" s="8">
        <v>155.067938</v>
      </c>
      <c r="G23" s="9">
        <v>1.7060441999999999E-2</v>
      </c>
      <c r="H23" s="167"/>
    </row>
    <row r="24" spans="1:8" ht="17.100000000000001" customHeight="1" x14ac:dyDescent="0.2">
      <c r="A24" s="5">
        <v>18</v>
      </c>
      <c r="B24" s="6" t="s">
        <v>183</v>
      </c>
      <c r="C24" s="6" t="s">
        <v>184</v>
      </c>
      <c r="D24" s="6" t="s">
        <v>185</v>
      </c>
      <c r="E24" s="7">
        <v>12373</v>
      </c>
      <c r="F24" s="8">
        <v>146.78089900000001</v>
      </c>
      <c r="G24" s="9">
        <v>1.6148709000000001E-2</v>
      </c>
      <c r="H24" s="167"/>
    </row>
    <row r="25" spans="1:8" ht="17.100000000000001" customHeight="1" x14ac:dyDescent="0.2">
      <c r="A25" s="5">
        <v>19</v>
      </c>
      <c r="B25" s="6" t="s">
        <v>188</v>
      </c>
      <c r="C25" s="6" t="s">
        <v>189</v>
      </c>
      <c r="D25" s="6" t="s">
        <v>167</v>
      </c>
      <c r="E25" s="7">
        <v>5738</v>
      </c>
      <c r="F25" s="8">
        <v>145.91447099999999</v>
      </c>
      <c r="G25" s="9">
        <v>1.6053385999999999E-2</v>
      </c>
      <c r="H25" s="167"/>
    </row>
    <row r="26" spans="1:8" ht="29.1" customHeight="1" x14ac:dyDescent="0.2">
      <c r="A26" s="5">
        <v>20</v>
      </c>
      <c r="B26" s="6" t="s">
        <v>63</v>
      </c>
      <c r="C26" s="6" t="s">
        <v>64</v>
      </c>
      <c r="D26" s="6" t="s">
        <v>37</v>
      </c>
      <c r="E26" s="7">
        <v>25630</v>
      </c>
      <c r="F26" s="8">
        <v>145.027355</v>
      </c>
      <c r="G26" s="9">
        <v>1.5955786E-2</v>
      </c>
      <c r="H26" s="167"/>
    </row>
    <row r="27" spans="1:8" ht="17.100000000000001" customHeight="1" x14ac:dyDescent="0.2">
      <c r="A27" s="5">
        <v>21</v>
      </c>
      <c r="B27" s="6" t="s">
        <v>286</v>
      </c>
      <c r="C27" s="6" t="s">
        <v>287</v>
      </c>
      <c r="D27" s="6" t="s">
        <v>29</v>
      </c>
      <c r="E27" s="7">
        <v>13880</v>
      </c>
      <c r="F27" s="8">
        <v>140.81953999999999</v>
      </c>
      <c r="G27" s="9">
        <v>1.5492845999999999E-2</v>
      </c>
      <c r="H27" s="167"/>
    </row>
    <row r="28" spans="1:8" ht="17.100000000000001" customHeight="1" x14ac:dyDescent="0.2">
      <c r="A28" s="5">
        <v>22</v>
      </c>
      <c r="B28" s="6" t="s">
        <v>46</v>
      </c>
      <c r="C28" s="6" t="s">
        <v>47</v>
      </c>
      <c r="D28" s="6" t="s">
        <v>29</v>
      </c>
      <c r="E28" s="7">
        <v>14186</v>
      </c>
      <c r="F28" s="8">
        <v>138.54756900000001</v>
      </c>
      <c r="G28" s="9">
        <v>1.5242886000000001E-2</v>
      </c>
      <c r="H28" s="167"/>
    </row>
    <row r="29" spans="1:8" ht="17.100000000000001" customHeight="1" x14ac:dyDescent="0.2">
      <c r="A29" s="5">
        <v>23</v>
      </c>
      <c r="B29" s="6" t="s">
        <v>190</v>
      </c>
      <c r="C29" s="6" t="s">
        <v>191</v>
      </c>
      <c r="D29" s="6" t="s">
        <v>192</v>
      </c>
      <c r="E29" s="7">
        <v>35139</v>
      </c>
      <c r="F29" s="8">
        <v>138.13140899999999</v>
      </c>
      <c r="G29" s="9">
        <v>1.51971E-2</v>
      </c>
      <c r="H29" s="167"/>
    </row>
    <row r="30" spans="1:8" ht="17.100000000000001" customHeight="1" x14ac:dyDescent="0.2">
      <c r="A30" s="5">
        <v>24</v>
      </c>
      <c r="B30" s="6" t="s">
        <v>193</v>
      </c>
      <c r="C30" s="6" t="s">
        <v>194</v>
      </c>
      <c r="D30" s="6" t="s">
        <v>178</v>
      </c>
      <c r="E30" s="7">
        <v>72801</v>
      </c>
      <c r="F30" s="8">
        <v>133.08022800000001</v>
      </c>
      <c r="G30" s="9">
        <v>1.4641372999999999E-2</v>
      </c>
      <c r="H30" s="167"/>
    </row>
    <row r="31" spans="1:8" ht="17.100000000000001" customHeight="1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15313</v>
      </c>
      <c r="F31" s="8">
        <v>126.1561505</v>
      </c>
      <c r="G31" s="9">
        <v>1.3879592E-2</v>
      </c>
      <c r="H31" s="167"/>
    </row>
    <row r="32" spans="1:8" ht="17.100000000000001" customHeight="1" x14ac:dyDescent="0.2">
      <c r="A32" s="5">
        <v>26</v>
      </c>
      <c r="B32" s="6" t="s">
        <v>206</v>
      </c>
      <c r="C32" s="6" t="s">
        <v>207</v>
      </c>
      <c r="D32" s="6" t="s">
        <v>32</v>
      </c>
      <c r="E32" s="7">
        <v>128038</v>
      </c>
      <c r="F32" s="8">
        <v>120.35572000000001</v>
      </c>
      <c r="G32" s="9">
        <v>1.3241434E-2</v>
      </c>
      <c r="H32" s="167"/>
    </row>
    <row r="33" spans="1:8" ht="17.100000000000001" customHeight="1" x14ac:dyDescent="0.2">
      <c r="A33" s="5">
        <v>27</v>
      </c>
      <c r="B33" s="6" t="s">
        <v>210</v>
      </c>
      <c r="C33" s="6" t="s">
        <v>211</v>
      </c>
      <c r="D33" s="6" t="s">
        <v>29</v>
      </c>
      <c r="E33" s="7">
        <v>8762</v>
      </c>
      <c r="F33" s="8">
        <v>118.01975899999999</v>
      </c>
      <c r="G33" s="9">
        <v>1.2984433E-2</v>
      </c>
      <c r="H33" s="167"/>
    </row>
    <row r="34" spans="1:8" ht="29.1" customHeight="1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137334</v>
      </c>
      <c r="F34" s="8">
        <v>117.55790399999999</v>
      </c>
      <c r="G34" s="9">
        <v>1.293362E-2</v>
      </c>
      <c r="H34" s="167"/>
    </row>
    <row r="35" spans="1:8" ht="17.100000000000001" customHeight="1" x14ac:dyDescent="0.2">
      <c r="A35" s="5">
        <v>29</v>
      </c>
      <c r="B35" s="6" t="s">
        <v>212</v>
      </c>
      <c r="C35" s="6" t="s">
        <v>213</v>
      </c>
      <c r="D35" s="6" t="s">
        <v>158</v>
      </c>
      <c r="E35" s="7">
        <v>20466</v>
      </c>
      <c r="F35" s="8">
        <v>116.420841</v>
      </c>
      <c r="G35" s="9">
        <v>1.2808521999999999E-2</v>
      </c>
      <c r="H35" s="167"/>
    </row>
    <row r="36" spans="1:8" ht="17.100000000000001" customHeight="1" x14ac:dyDescent="0.2">
      <c r="A36" s="5">
        <v>30</v>
      </c>
      <c r="B36" s="6" t="s">
        <v>290</v>
      </c>
      <c r="C36" s="6" t="s">
        <v>291</v>
      </c>
      <c r="D36" s="6" t="s">
        <v>29</v>
      </c>
      <c r="E36" s="7">
        <v>23981</v>
      </c>
      <c r="F36" s="8">
        <v>114.83301849999999</v>
      </c>
      <c r="G36" s="9">
        <v>1.2633831E-2</v>
      </c>
      <c r="H36" s="167"/>
    </row>
    <row r="37" spans="1:8" ht="17.100000000000001" customHeight="1" x14ac:dyDescent="0.2">
      <c r="A37" s="5">
        <v>31</v>
      </c>
      <c r="B37" s="6" t="s">
        <v>216</v>
      </c>
      <c r="C37" s="6" t="s">
        <v>217</v>
      </c>
      <c r="D37" s="6" t="s">
        <v>192</v>
      </c>
      <c r="E37" s="7">
        <v>21308</v>
      </c>
      <c r="F37" s="8">
        <v>111.60065</v>
      </c>
      <c r="G37" s="9">
        <v>1.2278208000000001E-2</v>
      </c>
      <c r="H37" s="167"/>
    </row>
    <row r="38" spans="1:8" ht="17.100000000000001" customHeight="1" x14ac:dyDescent="0.2">
      <c r="A38" s="5">
        <v>32</v>
      </c>
      <c r="B38" s="6" t="s">
        <v>220</v>
      </c>
      <c r="C38" s="6" t="s">
        <v>221</v>
      </c>
      <c r="D38" s="6" t="s">
        <v>158</v>
      </c>
      <c r="E38" s="7">
        <v>195431</v>
      </c>
      <c r="F38" s="8">
        <v>111.2979545</v>
      </c>
      <c r="G38" s="9">
        <v>1.2244906E-2</v>
      </c>
      <c r="H38" s="167"/>
    </row>
    <row r="39" spans="1:8" ht="17.100000000000001" customHeight="1" x14ac:dyDescent="0.2">
      <c r="A39" s="5">
        <v>33</v>
      </c>
      <c r="B39" s="6" t="s">
        <v>226</v>
      </c>
      <c r="C39" s="6" t="s">
        <v>227</v>
      </c>
      <c r="D39" s="6" t="s">
        <v>32</v>
      </c>
      <c r="E39" s="7">
        <v>13938</v>
      </c>
      <c r="F39" s="8">
        <v>110.277456</v>
      </c>
      <c r="G39" s="9">
        <v>1.2132632000000001E-2</v>
      </c>
      <c r="H39" s="167"/>
    </row>
    <row r="40" spans="1:8" ht="17.100000000000001" customHeight="1" x14ac:dyDescent="0.2">
      <c r="A40" s="5">
        <v>34</v>
      </c>
      <c r="B40" s="6" t="s">
        <v>222</v>
      </c>
      <c r="C40" s="6" t="s">
        <v>223</v>
      </c>
      <c r="D40" s="6" t="s">
        <v>971</v>
      </c>
      <c r="E40" s="7">
        <v>33415</v>
      </c>
      <c r="F40" s="8">
        <v>109.60120000000001</v>
      </c>
      <c r="G40" s="9">
        <v>1.2058231000000001E-2</v>
      </c>
      <c r="H40" s="167"/>
    </row>
    <row r="41" spans="1:8" ht="17.100000000000001" customHeight="1" x14ac:dyDescent="0.2">
      <c r="A41" s="5">
        <v>35</v>
      </c>
      <c r="B41" s="6" t="s">
        <v>218</v>
      </c>
      <c r="C41" s="6" t="s">
        <v>219</v>
      </c>
      <c r="D41" s="6" t="s">
        <v>973</v>
      </c>
      <c r="E41" s="7">
        <v>16000</v>
      </c>
      <c r="F41" s="8">
        <v>109.29600000000001</v>
      </c>
      <c r="G41" s="9">
        <v>1.2024653E-2</v>
      </c>
      <c r="H41" s="167"/>
    </row>
    <row r="42" spans="1:8" ht="17.100000000000001" customHeight="1" x14ac:dyDescent="0.2">
      <c r="A42" s="5">
        <v>36</v>
      </c>
      <c r="B42" s="6" t="s">
        <v>236</v>
      </c>
      <c r="C42" s="6" t="s">
        <v>237</v>
      </c>
      <c r="D42" s="6" t="s">
        <v>974</v>
      </c>
      <c r="E42" s="7">
        <v>11058</v>
      </c>
      <c r="F42" s="8">
        <v>108.965532</v>
      </c>
      <c r="G42" s="9">
        <v>1.1988295E-2</v>
      </c>
      <c r="H42" s="167"/>
    </row>
    <row r="43" spans="1:8" ht="17.100000000000001" customHeight="1" x14ac:dyDescent="0.2">
      <c r="A43" s="5">
        <v>37</v>
      </c>
      <c r="B43" s="6" t="s">
        <v>202</v>
      </c>
      <c r="C43" s="6" t="s">
        <v>203</v>
      </c>
      <c r="D43" s="6" t="s">
        <v>57</v>
      </c>
      <c r="E43" s="7">
        <v>10037</v>
      </c>
      <c r="F43" s="8">
        <v>108.09849</v>
      </c>
      <c r="G43" s="9">
        <v>1.1892903999999999E-2</v>
      </c>
      <c r="H43" s="167"/>
    </row>
    <row r="44" spans="1:8" ht="41.1" customHeight="1" x14ac:dyDescent="0.2">
      <c r="A44" s="5">
        <v>38</v>
      </c>
      <c r="B44" s="6" t="s">
        <v>292</v>
      </c>
      <c r="C44" s="6" t="s">
        <v>293</v>
      </c>
      <c r="D44" s="6" t="s">
        <v>971</v>
      </c>
      <c r="E44" s="7">
        <v>270455</v>
      </c>
      <c r="F44" s="8">
        <v>106.55927</v>
      </c>
      <c r="G44" s="9">
        <v>1.1723559999999999E-2</v>
      </c>
      <c r="H44" s="167"/>
    </row>
    <row r="45" spans="1:8" ht="29.1" customHeight="1" x14ac:dyDescent="0.2">
      <c r="A45" s="5">
        <v>39</v>
      </c>
      <c r="B45" s="6" t="s">
        <v>228</v>
      </c>
      <c r="C45" s="6" t="s">
        <v>229</v>
      </c>
      <c r="D45" s="6" t="s">
        <v>78</v>
      </c>
      <c r="E45" s="7">
        <v>31242</v>
      </c>
      <c r="F45" s="8">
        <v>106.11345300000001</v>
      </c>
      <c r="G45" s="9">
        <v>1.1674512E-2</v>
      </c>
      <c r="H45" s="167"/>
    </row>
    <row r="46" spans="1:8" ht="29.1" customHeight="1" x14ac:dyDescent="0.2">
      <c r="A46" s="5">
        <v>40</v>
      </c>
      <c r="B46" s="6" t="s">
        <v>200</v>
      </c>
      <c r="C46" s="6" t="s">
        <v>201</v>
      </c>
      <c r="D46" s="6" t="s">
        <v>75</v>
      </c>
      <c r="E46" s="7">
        <v>4600</v>
      </c>
      <c r="F46" s="8">
        <v>103.684</v>
      </c>
      <c r="G46" s="9">
        <v>1.1407225E-2</v>
      </c>
      <c r="H46" s="167"/>
    </row>
    <row r="47" spans="1:8" ht="29.1" customHeight="1" x14ac:dyDescent="0.2">
      <c r="A47" s="5">
        <v>41</v>
      </c>
      <c r="B47" s="6" t="s">
        <v>214</v>
      </c>
      <c r="C47" s="6" t="s">
        <v>215</v>
      </c>
      <c r="D47" s="6" t="s">
        <v>976</v>
      </c>
      <c r="E47" s="7">
        <v>32733</v>
      </c>
      <c r="F47" s="8">
        <v>101.6850645</v>
      </c>
      <c r="G47" s="9">
        <v>1.1187304E-2</v>
      </c>
      <c r="H47" s="167"/>
    </row>
    <row r="48" spans="1:8" ht="41.1" customHeight="1" x14ac:dyDescent="0.2">
      <c r="A48" s="5">
        <v>42</v>
      </c>
      <c r="B48" s="6" t="s">
        <v>58</v>
      </c>
      <c r="C48" s="6" t="s">
        <v>59</v>
      </c>
      <c r="D48" s="6" t="s">
        <v>974</v>
      </c>
      <c r="E48" s="7">
        <v>79000</v>
      </c>
      <c r="F48" s="8">
        <v>101.673</v>
      </c>
      <c r="G48" s="9">
        <v>1.1185977E-2</v>
      </c>
      <c r="H48" s="167"/>
    </row>
    <row r="49" spans="1:8" ht="17.100000000000001" customHeight="1" x14ac:dyDescent="0.2">
      <c r="A49" s="5">
        <v>43</v>
      </c>
      <c r="B49" s="6" t="s">
        <v>30</v>
      </c>
      <c r="C49" s="6" t="s">
        <v>31</v>
      </c>
      <c r="D49" s="6" t="s">
        <v>32</v>
      </c>
      <c r="E49" s="7">
        <v>39179</v>
      </c>
      <c r="F49" s="8">
        <v>101.4540205</v>
      </c>
      <c r="G49" s="9">
        <v>1.1161885E-2</v>
      </c>
      <c r="H49" s="167"/>
    </row>
    <row r="50" spans="1:8" ht="17.100000000000001" customHeight="1" x14ac:dyDescent="0.2">
      <c r="A50" s="5">
        <v>44</v>
      </c>
      <c r="B50" s="6" t="s">
        <v>245</v>
      </c>
      <c r="C50" s="6" t="s">
        <v>246</v>
      </c>
      <c r="D50" s="6" t="s">
        <v>247</v>
      </c>
      <c r="E50" s="7">
        <v>61316</v>
      </c>
      <c r="F50" s="8">
        <v>100.55824</v>
      </c>
      <c r="G50" s="9">
        <v>1.1063332E-2</v>
      </c>
      <c r="H50" s="167"/>
    </row>
    <row r="51" spans="1:8" ht="17.100000000000001" customHeight="1" x14ac:dyDescent="0.2">
      <c r="A51" s="5">
        <v>45</v>
      </c>
      <c r="B51" s="6" t="s">
        <v>230</v>
      </c>
      <c r="C51" s="6" t="s">
        <v>231</v>
      </c>
      <c r="D51" s="6" t="s">
        <v>75</v>
      </c>
      <c r="E51" s="7">
        <v>16226</v>
      </c>
      <c r="F51" s="8">
        <v>97.940135999999995</v>
      </c>
      <c r="G51" s="9">
        <v>1.077529E-2</v>
      </c>
      <c r="H51" s="167"/>
    </row>
    <row r="52" spans="1:8" ht="17.100000000000001" customHeight="1" x14ac:dyDescent="0.2">
      <c r="A52" s="5">
        <v>46</v>
      </c>
      <c r="B52" s="6" t="s">
        <v>232</v>
      </c>
      <c r="C52" s="6" t="s">
        <v>233</v>
      </c>
      <c r="D52" s="6" t="s">
        <v>185</v>
      </c>
      <c r="E52" s="7">
        <v>27074</v>
      </c>
      <c r="F52" s="8">
        <v>97.303955999999999</v>
      </c>
      <c r="G52" s="9">
        <v>1.0705298E-2</v>
      </c>
      <c r="H52" s="167"/>
    </row>
    <row r="53" spans="1:8" ht="17.100000000000001" customHeight="1" x14ac:dyDescent="0.2">
      <c r="A53" s="5">
        <v>47</v>
      </c>
      <c r="B53" s="6" t="s">
        <v>234</v>
      </c>
      <c r="C53" s="6" t="s">
        <v>235</v>
      </c>
      <c r="D53" s="6" t="s">
        <v>29</v>
      </c>
      <c r="E53" s="7">
        <v>81409</v>
      </c>
      <c r="F53" s="8">
        <v>95.004302999999993</v>
      </c>
      <c r="G53" s="9">
        <v>1.0452292E-2</v>
      </c>
      <c r="H53" s="167"/>
    </row>
    <row r="54" spans="1:8" ht="17.100000000000001" customHeight="1" x14ac:dyDescent="0.2">
      <c r="A54" s="5">
        <v>48</v>
      </c>
      <c r="B54" s="6" t="s">
        <v>238</v>
      </c>
      <c r="C54" s="6" t="s">
        <v>239</v>
      </c>
      <c r="D54" s="6" t="s">
        <v>240</v>
      </c>
      <c r="E54" s="7">
        <v>11527</v>
      </c>
      <c r="F54" s="8">
        <v>93.956576999999996</v>
      </c>
      <c r="G54" s="9">
        <v>1.0337023000000001E-2</v>
      </c>
      <c r="H54" s="167"/>
    </row>
    <row r="55" spans="1:8" ht="29.1" customHeight="1" x14ac:dyDescent="0.2">
      <c r="A55" s="5">
        <v>49</v>
      </c>
      <c r="B55" s="6" t="s">
        <v>241</v>
      </c>
      <c r="C55" s="6" t="s">
        <v>242</v>
      </c>
      <c r="D55" s="6" t="s">
        <v>153</v>
      </c>
      <c r="E55" s="7">
        <v>24937</v>
      </c>
      <c r="F55" s="8">
        <v>93.725714499999995</v>
      </c>
      <c r="G55" s="9">
        <v>1.0311623000000001E-2</v>
      </c>
      <c r="H55" s="167"/>
    </row>
    <row r="56" spans="1:8" ht="29.1" customHeight="1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25988</v>
      </c>
      <c r="F56" s="8">
        <v>92.127459999999999</v>
      </c>
      <c r="G56" s="9">
        <v>1.0135785E-2</v>
      </c>
      <c r="H56" s="167"/>
    </row>
    <row r="57" spans="1:8" ht="17.100000000000001" customHeight="1" x14ac:dyDescent="0.2">
      <c r="A57" s="5">
        <v>51</v>
      </c>
      <c r="B57" s="6" t="s">
        <v>248</v>
      </c>
      <c r="C57" s="6" t="s">
        <v>249</v>
      </c>
      <c r="D57" s="6" t="s">
        <v>192</v>
      </c>
      <c r="E57" s="7">
        <v>5980</v>
      </c>
      <c r="F57" s="8">
        <v>86.757840000000002</v>
      </c>
      <c r="G57" s="9">
        <v>9.5450239999999992E-3</v>
      </c>
      <c r="H57" s="167"/>
    </row>
    <row r="58" spans="1:8" ht="17.100000000000001" customHeight="1" x14ac:dyDescent="0.2">
      <c r="A58" s="5">
        <v>52</v>
      </c>
      <c r="B58" s="6" t="s">
        <v>95</v>
      </c>
      <c r="C58" s="6" t="s">
        <v>96</v>
      </c>
      <c r="D58" s="6" t="s">
        <v>75</v>
      </c>
      <c r="E58" s="7">
        <v>33790</v>
      </c>
      <c r="F58" s="8">
        <v>86.519295</v>
      </c>
      <c r="G58" s="9">
        <v>9.5187789999999998E-3</v>
      </c>
      <c r="H58" s="167"/>
    </row>
    <row r="59" spans="1:8" ht="17.100000000000001" customHeight="1" x14ac:dyDescent="0.2">
      <c r="A59" s="5">
        <v>53</v>
      </c>
      <c r="B59" s="6" t="s">
        <v>252</v>
      </c>
      <c r="C59" s="6" t="s">
        <v>253</v>
      </c>
      <c r="D59" s="6" t="s">
        <v>158</v>
      </c>
      <c r="E59" s="7">
        <v>15522</v>
      </c>
      <c r="F59" s="8">
        <v>85.122647999999998</v>
      </c>
      <c r="G59" s="9">
        <v>9.3651210000000006E-3</v>
      </c>
      <c r="H59" s="167"/>
    </row>
    <row r="60" spans="1:8" ht="41.1" customHeight="1" x14ac:dyDescent="0.2">
      <c r="A60" s="5">
        <v>54</v>
      </c>
      <c r="B60" s="6" t="s">
        <v>254</v>
      </c>
      <c r="C60" s="6" t="s">
        <v>255</v>
      </c>
      <c r="D60" s="6" t="s">
        <v>971</v>
      </c>
      <c r="E60" s="7">
        <v>17394</v>
      </c>
      <c r="F60" s="8">
        <v>83.856474000000006</v>
      </c>
      <c r="G60" s="9">
        <v>9.2258180000000002E-3</v>
      </c>
      <c r="H60" s="167"/>
    </row>
    <row r="61" spans="1:8" ht="17.100000000000001" customHeight="1" x14ac:dyDescent="0.2">
      <c r="A61" s="5">
        <v>55</v>
      </c>
      <c r="B61" s="6" t="s">
        <v>224</v>
      </c>
      <c r="C61" s="6" t="s">
        <v>225</v>
      </c>
      <c r="D61" s="6" t="s">
        <v>185</v>
      </c>
      <c r="E61" s="7">
        <v>20028</v>
      </c>
      <c r="F61" s="8">
        <v>82.705625999999995</v>
      </c>
      <c r="G61" s="9">
        <v>9.0992030000000002E-3</v>
      </c>
      <c r="H61" s="167"/>
    </row>
    <row r="62" spans="1:8" ht="17.100000000000001" customHeight="1" x14ac:dyDescent="0.2">
      <c r="A62" s="5">
        <v>56</v>
      </c>
      <c r="B62" s="6" t="s">
        <v>73</v>
      </c>
      <c r="C62" s="6" t="s">
        <v>74</v>
      </c>
      <c r="D62" s="6" t="s">
        <v>75</v>
      </c>
      <c r="E62" s="7">
        <v>3000</v>
      </c>
      <c r="F62" s="8">
        <v>81.832499999999996</v>
      </c>
      <c r="G62" s="9">
        <v>9.0031420000000004E-3</v>
      </c>
      <c r="H62" s="167"/>
    </row>
    <row r="63" spans="1:8" ht="41.1" customHeight="1" x14ac:dyDescent="0.2">
      <c r="A63" s="5">
        <v>57</v>
      </c>
      <c r="B63" s="6" t="s">
        <v>208</v>
      </c>
      <c r="C63" s="6" t="s">
        <v>209</v>
      </c>
      <c r="D63" s="6" t="s">
        <v>971</v>
      </c>
      <c r="E63" s="7">
        <v>29874</v>
      </c>
      <c r="F63" s="8">
        <v>77.806832999999997</v>
      </c>
      <c r="G63" s="9">
        <v>8.5602409999999997E-3</v>
      </c>
      <c r="H63" s="167"/>
    </row>
    <row r="64" spans="1:8" ht="17.100000000000001" customHeight="1" x14ac:dyDescent="0.2">
      <c r="A64" s="5">
        <v>58</v>
      </c>
      <c r="B64" s="6" t="s">
        <v>258</v>
      </c>
      <c r="C64" s="6" t="s">
        <v>259</v>
      </c>
      <c r="D64" s="6" t="s">
        <v>23</v>
      </c>
      <c r="E64" s="7">
        <v>71994</v>
      </c>
      <c r="F64" s="8">
        <v>75.557703000000004</v>
      </c>
      <c r="G64" s="9">
        <v>8.3127940000000001E-3</v>
      </c>
      <c r="H64" s="167"/>
    </row>
    <row r="65" spans="1:8" ht="17.100000000000001" customHeight="1" x14ac:dyDescent="0.2">
      <c r="A65" s="5">
        <v>59</v>
      </c>
      <c r="B65" s="6" t="s">
        <v>260</v>
      </c>
      <c r="C65" s="6" t="s">
        <v>926</v>
      </c>
      <c r="D65" s="6" t="s">
        <v>261</v>
      </c>
      <c r="E65" s="7">
        <v>29657</v>
      </c>
      <c r="F65" s="8">
        <v>70.687459500000003</v>
      </c>
      <c r="G65" s="9">
        <v>7.7769739999999999E-3</v>
      </c>
      <c r="H65" s="167"/>
    </row>
    <row r="66" spans="1:8" ht="17.100000000000001" customHeight="1" x14ac:dyDescent="0.2">
      <c r="A66" s="5">
        <v>60</v>
      </c>
      <c r="B66" s="6" t="s">
        <v>262</v>
      </c>
      <c r="C66" s="6" t="s">
        <v>263</v>
      </c>
      <c r="D66" s="6" t="s">
        <v>185</v>
      </c>
      <c r="E66" s="7">
        <v>12261</v>
      </c>
      <c r="F66" s="8">
        <v>69.722176500000003</v>
      </c>
      <c r="G66" s="9">
        <v>7.670774E-3</v>
      </c>
      <c r="H66" s="167"/>
    </row>
    <row r="67" spans="1:8" ht="17.100000000000001" customHeight="1" x14ac:dyDescent="0.2">
      <c r="A67" s="5">
        <v>61</v>
      </c>
      <c r="B67" s="6" t="s">
        <v>268</v>
      </c>
      <c r="C67" s="6" t="s">
        <v>269</v>
      </c>
      <c r="D67" s="6" t="s">
        <v>50</v>
      </c>
      <c r="E67" s="7">
        <v>76703</v>
      </c>
      <c r="F67" s="8">
        <v>67.843803500000007</v>
      </c>
      <c r="G67" s="9">
        <v>7.4641170000000001E-3</v>
      </c>
      <c r="H67" s="167"/>
    </row>
    <row r="68" spans="1:8" ht="17.100000000000001" customHeight="1" x14ac:dyDescent="0.2">
      <c r="A68" s="5">
        <v>62</v>
      </c>
      <c r="B68" s="6" t="s">
        <v>266</v>
      </c>
      <c r="C68" s="6" t="s">
        <v>267</v>
      </c>
      <c r="D68" s="6" t="s">
        <v>75</v>
      </c>
      <c r="E68" s="7">
        <v>34000</v>
      </c>
      <c r="F68" s="8">
        <v>66.623000000000005</v>
      </c>
      <c r="G68" s="9">
        <v>7.3298060000000003E-3</v>
      </c>
      <c r="H68" s="167"/>
    </row>
    <row r="69" spans="1:8" ht="17.100000000000001" customHeight="1" x14ac:dyDescent="0.2">
      <c r="A69" s="5">
        <v>63</v>
      </c>
      <c r="B69" s="6" t="s">
        <v>270</v>
      </c>
      <c r="C69" s="6" t="s">
        <v>271</v>
      </c>
      <c r="D69" s="6" t="s">
        <v>75</v>
      </c>
      <c r="E69" s="7">
        <v>40563</v>
      </c>
      <c r="F69" s="8">
        <v>64.130103000000005</v>
      </c>
      <c r="G69" s="9">
        <v>7.0555390000000004E-3</v>
      </c>
      <c r="H69" s="167"/>
    </row>
    <row r="70" spans="1:8" ht="17.100000000000001" customHeight="1" x14ac:dyDescent="0.2">
      <c r="A70" s="5">
        <v>64</v>
      </c>
      <c r="B70" s="6" t="s">
        <v>272</v>
      </c>
      <c r="C70" s="6" t="s">
        <v>273</v>
      </c>
      <c r="D70" s="6" t="s">
        <v>972</v>
      </c>
      <c r="E70" s="7">
        <v>3777</v>
      </c>
      <c r="F70" s="8">
        <v>58.50573</v>
      </c>
      <c r="G70" s="9">
        <v>6.4367510000000001E-3</v>
      </c>
      <c r="H70" s="167"/>
    </row>
    <row r="71" spans="1:8" ht="41.1" customHeight="1" x14ac:dyDescent="0.2">
      <c r="A71" s="5">
        <v>65</v>
      </c>
      <c r="B71" s="6" t="s">
        <v>264</v>
      </c>
      <c r="C71" s="6" t="s">
        <v>265</v>
      </c>
      <c r="D71" s="6" t="s">
        <v>971</v>
      </c>
      <c r="E71" s="7">
        <v>42305</v>
      </c>
      <c r="F71" s="8">
        <v>57.725172499999999</v>
      </c>
      <c r="G71" s="9">
        <v>6.3508740000000003E-3</v>
      </c>
      <c r="H71" s="167"/>
    </row>
    <row r="72" spans="1:8" ht="17.100000000000001" customHeight="1" x14ac:dyDescent="0.2">
      <c r="A72" s="5">
        <v>66</v>
      </c>
      <c r="B72" s="6" t="s">
        <v>274</v>
      </c>
      <c r="C72" s="6" t="s">
        <v>275</v>
      </c>
      <c r="D72" s="6" t="s">
        <v>153</v>
      </c>
      <c r="E72" s="7">
        <v>3329</v>
      </c>
      <c r="F72" s="8">
        <v>51.065195500000002</v>
      </c>
      <c r="G72" s="9">
        <v>5.6181490000000002E-3</v>
      </c>
      <c r="H72" s="167"/>
    </row>
    <row r="73" spans="1:8" ht="17.100000000000001" customHeight="1" x14ac:dyDescent="0.2">
      <c r="A73" s="5">
        <v>67</v>
      </c>
      <c r="B73" s="6" t="s">
        <v>53</v>
      </c>
      <c r="C73" s="6" t="s">
        <v>54</v>
      </c>
      <c r="D73" s="6" t="s">
        <v>32</v>
      </c>
      <c r="E73" s="7">
        <v>24117</v>
      </c>
      <c r="F73" s="8">
        <v>50.947162499999997</v>
      </c>
      <c r="G73" s="9">
        <v>5.6051629999999998E-3</v>
      </c>
      <c r="H73" s="167"/>
    </row>
    <row r="74" spans="1:8" ht="17.100000000000001" customHeight="1" x14ac:dyDescent="0.2">
      <c r="A74" s="5">
        <v>68</v>
      </c>
      <c r="B74" s="6" t="s">
        <v>276</v>
      </c>
      <c r="C74" s="6" t="s">
        <v>277</v>
      </c>
      <c r="D74" s="6" t="s">
        <v>167</v>
      </c>
      <c r="E74" s="7">
        <v>8458</v>
      </c>
      <c r="F74" s="8">
        <v>46.886923000000003</v>
      </c>
      <c r="G74" s="9">
        <v>5.1584589999999998E-3</v>
      </c>
      <c r="H74" s="167"/>
    </row>
    <row r="75" spans="1:8" ht="17.100000000000001" customHeight="1" x14ac:dyDescent="0.2">
      <c r="A75" s="5">
        <v>69</v>
      </c>
      <c r="B75" s="6" t="s">
        <v>278</v>
      </c>
      <c r="C75" s="6" t="s">
        <v>279</v>
      </c>
      <c r="D75" s="6" t="s">
        <v>192</v>
      </c>
      <c r="E75" s="7">
        <v>4266</v>
      </c>
      <c r="F75" s="8">
        <v>40.573926</v>
      </c>
      <c r="G75" s="9">
        <v>4.4639090000000003E-3</v>
      </c>
      <c r="H75" s="167"/>
    </row>
    <row r="76" spans="1:8" ht="41.1" customHeight="1" x14ac:dyDescent="0.2">
      <c r="A76" s="5">
        <v>70</v>
      </c>
      <c r="B76" s="6" t="s">
        <v>280</v>
      </c>
      <c r="C76" s="6" t="s">
        <v>281</v>
      </c>
      <c r="D76" s="6" t="s">
        <v>971</v>
      </c>
      <c r="E76" s="7">
        <v>81269</v>
      </c>
      <c r="F76" s="8">
        <v>33.970441999999998</v>
      </c>
      <c r="G76" s="9">
        <v>3.7373990000000002E-3</v>
      </c>
      <c r="H76" s="167"/>
    </row>
    <row r="77" spans="1:8" ht="17.100000000000001" customHeight="1" x14ac:dyDescent="0.2">
      <c r="A77" s="5">
        <v>71</v>
      </c>
      <c r="B77" s="6" t="s">
        <v>282</v>
      </c>
      <c r="C77" s="6" t="s">
        <v>283</v>
      </c>
      <c r="D77" s="6" t="s">
        <v>284</v>
      </c>
      <c r="E77" s="7">
        <v>19600</v>
      </c>
      <c r="F77" s="8">
        <v>28.42</v>
      </c>
      <c r="G77" s="9">
        <v>3.1267439999999999E-3</v>
      </c>
      <c r="H77" s="167"/>
    </row>
    <row r="78" spans="1:8" ht="14.1" customHeight="1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0">
        <v>8764.3003425000006</v>
      </c>
      <c r="G78" s="11">
        <v>0.96424085599999998</v>
      </c>
      <c r="H78" s="167"/>
    </row>
    <row r="79" spans="1:8" ht="14.1" customHeight="1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ht="14.1" customHeight="1" x14ac:dyDescent="0.2">
      <c r="A80" s="3" t="s">
        <v>10</v>
      </c>
      <c r="B80" s="3" t="s">
        <v>10</v>
      </c>
      <c r="C80" s="4" t="s">
        <v>105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ht="14.1" customHeight="1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ht="14.1" customHeight="1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ht="14.1" customHeight="1" x14ac:dyDescent="0.2">
      <c r="A83" s="3" t="s">
        <v>10</v>
      </c>
      <c r="B83" s="3" t="s">
        <v>10</v>
      </c>
      <c r="C83" s="4" t="s">
        <v>106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ht="14.1" customHeight="1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ht="14.1" customHeight="1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ht="14.1" customHeight="1" x14ac:dyDescent="0.2">
      <c r="A86" s="3" t="s">
        <v>10</v>
      </c>
      <c r="B86" s="3" t="s">
        <v>10</v>
      </c>
      <c r="C86" s="4" t="s">
        <v>110</v>
      </c>
      <c r="D86" s="3" t="s">
        <v>10</v>
      </c>
      <c r="E86" s="3" t="s">
        <v>10</v>
      </c>
      <c r="F86" s="3" t="s">
        <v>10</v>
      </c>
      <c r="G86" s="3" t="s">
        <v>10</v>
      </c>
      <c r="H86" s="167"/>
    </row>
    <row r="87" spans="1:8" ht="14.1" customHeight="1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ht="14.1" customHeight="1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ht="14.1" customHeight="1" x14ac:dyDescent="0.2">
      <c r="A89" s="3" t="s">
        <v>10</v>
      </c>
      <c r="B89" s="3" t="s">
        <v>10</v>
      </c>
      <c r="C89" s="4" t="s">
        <v>111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ht="14.1" customHeight="1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ht="14.1" customHeight="1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ht="14.1" customHeight="1" x14ac:dyDescent="0.2">
      <c r="A92" s="3" t="s">
        <v>10</v>
      </c>
      <c r="B92" s="3" t="s">
        <v>10</v>
      </c>
      <c r="C92" s="4" t="s">
        <v>112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ht="14.1" customHeight="1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ht="14.1" customHeight="1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ht="18" customHeight="1" x14ac:dyDescent="0.2">
      <c r="A95" s="3" t="s">
        <v>10</v>
      </c>
      <c r="B95" s="3" t="s">
        <v>10</v>
      </c>
      <c r="C95" s="4" t="s">
        <v>113</v>
      </c>
      <c r="D95" s="3" t="s">
        <v>10</v>
      </c>
      <c r="E95" s="3" t="s">
        <v>10</v>
      </c>
      <c r="F95" s="10">
        <v>8764.3003425000006</v>
      </c>
      <c r="G95" s="11">
        <v>0.96424085599999998</v>
      </c>
      <c r="H95" s="167"/>
    </row>
    <row r="96" spans="1:8" ht="14.1" customHeight="1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ht="14.1" customHeight="1" x14ac:dyDescent="0.2">
      <c r="A97" s="3" t="s">
        <v>10</v>
      </c>
      <c r="B97" s="3" t="s">
        <v>10</v>
      </c>
      <c r="C97" s="4" t="s">
        <v>114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ht="24" customHeight="1" x14ac:dyDescent="0.2">
      <c r="A98" s="3" t="s">
        <v>10</v>
      </c>
      <c r="B98" s="3" t="s">
        <v>10</v>
      </c>
      <c r="C98" s="4" t="s">
        <v>12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ht="14.1" customHeight="1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ht="14.1" customHeight="1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ht="14.1" customHeight="1" x14ac:dyDescent="0.2">
      <c r="A101" s="3" t="s">
        <v>10</v>
      </c>
      <c r="B101" s="3" t="s">
        <v>10</v>
      </c>
      <c r="C101" s="4" t="s">
        <v>115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ht="14.1" customHeight="1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ht="14.1" customHeight="1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ht="14.1" customHeight="1" x14ac:dyDescent="0.2">
      <c r="A104" s="3" t="s">
        <v>10</v>
      </c>
      <c r="B104" s="3" t="s">
        <v>10</v>
      </c>
      <c r="C104" s="4" t="s">
        <v>116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ht="14.1" customHeight="1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ht="14.1" customHeight="1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ht="14.1" customHeight="1" x14ac:dyDescent="0.2">
      <c r="A107" s="3" t="s">
        <v>10</v>
      </c>
      <c r="B107" s="3" t="s">
        <v>10</v>
      </c>
      <c r="C107" s="4" t="s">
        <v>117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ht="14.1" customHeight="1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ht="14.1" customHeight="1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ht="14.1" customHeight="1" x14ac:dyDescent="0.2">
      <c r="A110" s="3" t="s">
        <v>10</v>
      </c>
      <c r="B110" s="3" t="s">
        <v>10</v>
      </c>
      <c r="C110" s="4" t="s">
        <v>118</v>
      </c>
      <c r="D110" s="3" t="s">
        <v>10</v>
      </c>
      <c r="E110" s="3" t="s">
        <v>10</v>
      </c>
      <c r="F110" s="10">
        <v>0</v>
      </c>
      <c r="G110" s="11">
        <v>0</v>
      </c>
      <c r="H110" s="167"/>
    </row>
    <row r="111" spans="1:8" ht="14.1" customHeight="1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ht="14.1" customHeight="1" x14ac:dyDescent="0.2">
      <c r="A112" s="3" t="s">
        <v>10</v>
      </c>
      <c r="B112" s="3" t="s">
        <v>10</v>
      </c>
      <c r="C112" s="4" t="s">
        <v>119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ht="14.1" customHeight="1" x14ac:dyDescent="0.2">
      <c r="A113" s="3" t="s">
        <v>10</v>
      </c>
      <c r="B113" s="3" t="s">
        <v>10</v>
      </c>
      <c r="C113" s="4" t="s">
        <v>120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ht="14.1" customHeight="1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ht="14.1" customHeight="1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ht="14.1" customHeight="1" x14ac:dyDescent="0.2">
      <c r="A116" s="3" t="s">
        <v>10</v>
      </c>
      <c r="B116" s="3" t="s">
        <v>10</v>
      </c>
      <c r="C116" s="4" t="s">
        <v>121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ht="14.1" customHeight="1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ht="14.1" customHeight="1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ht="14.1" customHeight="1" x14ac:dyDescent="0.2">
      <c r="A119" s="3" t="s">
        <v>10</v>
      </c>
      <c r="B119" s="3" t="s">
        <v>10</v>
      </c>
      <c r="C119" s="4" t="s">
        <v>122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ht="14.1" customHeight="1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4">
        <v>0</v>
      </c>
      <c r="G120" s="15">
        <v>0</v>
      </c>
      <c r="H120" s="167"/>
    </row>
    <row r="121" spans="1:8" ht="14.1" customHeight="1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ht="14.1" customHeight="1" x14ac:dyDescent="0.2">
      <c r="A122" s="3" t="s">
        <v>10</v>
      </c>
      <c r="B122" s="3" t="s">
        <v>10</v>
      </c>
      <c r="C122" s="4" t="s">
        <v>123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7"/>
    </row>
    <row r="123" spans="1:8" ht="17.100000000000001" customHeight="1" x14ac:dyDescent="0.2">
      <c r="A123" s="5">
        <v>1</v>
      </c>
      <c r="B123" s="6"/>
      <c r="C123" s="6" t="s">
        <v>124</v>
      </c>
      <c r="D123" s="6"/>
      <c r="E123" s="16" t="s">
        <v>10</v>
      </c>
      <c r="F123" s="8">
        <v>262.03379130000002</v>
      </c>
      <c r="G123" s="9">
        <v>2.8828735000000001E-2</v>
      </c>
      <c r="H123" s="108">
        <v>3.23</v>
      </c>
    </row>
    <row r="124" spans="1:8" ht="17.100000000000001" customHeight="1" x14ac:dyDescent="0.2">
      <c r="A124" s="5">
        <v>2</v>
      </c>
      <c r="B124" s="6"/>
      <c r="C124" s="6" t="s">
        <v>125</v>
      </c>
      <c r="D124" s="6"/>
      <c r="E124" s="16" t="s">
        <v>10</v>
      </c>
      <c r="F124" s="8">
        <v>73.602685300000005</v>
      </c>
      <c r="G124" s="9">
        <v>8.0977050000000002E-3</v>
      </c>
      <c r="H124" s="108">
        <v>3.35</v>
      </c>
    </row>
    <row r="125" spans="1:8" ht="14.1" customHeight="1" x14ac:dyDescent="0.2">
      <c r="A125" s="3" t="s">
        <v>10</v>
      </c>
      <c r="B125" s="3" t="s">
        <v>10</v>
      </c>
      <c r="C125" s="4" t="s">
        <v>104</v>
      </c>
      <c r="D125" s="3" t="s">
        <v>10</v>
      </c>
      <c r="E125" s="3" t="s">
        <v>10</v>
      </c>
      <c r="F125" s="10">
        <v>335.63647659999998</v>
      </c>
      <c r="G125" s="11">
        <v>3.6926439999999998E-2</v>
      </c>
      <c r="H125" s="167"/>
    </row>
    <row r="126" spans="1:8" ht="14.1" customHeight="1" x14ac:dyDescent="0.2">
      <c r="A126" s="3" t="s">
        <v>10</v>
      </c>
      <c r="B126" s="3" t="s">
        <v>10</v>
      </c>
      <c r="C126" s="12" t="s">
        <v>10</v>
      </c>
      <c r="D126" s="3" t="s">
        <v>10</v>
      </c>
      <c r="E126" s="3" t="s">
        <v>10</v>
      </c>
      <c r="F126" s="13" t="s">
        <v>10</v>
      </c>
      <c r="G126" s="13" t="s">
        <v>10</v>
      </c>
      <c r="H126" s="167"/>
    </row>
    <row r="127" spans="1:8" ht="14.1" customHeight="1" x14ac:dyDescent="0.2">
      <c r="A127" s="3" t="s">
        <v>10</v>
      </c>
      <c r="B127" s="3" t="s">
        <v>10</v>
      </c>
      <c r="C127" s="4" t="s">
        <v>126</v>
      </c>
      <c r="D127" s="3" t="s">
        <v>10</v>
      </c>
      <c r="E127" s="3" t="s">
        <v>10</v>
      </c>
      <c r="F127" s="10">
        <v>335.63647659999998</v>
      </c>
      <c r="G127" s="11">
        <v>3.6926439999999998E-2</v>
      </c>
      <c r="H127" s="167"/>
    </row>
    <row r="128" spans="1:8" ht="14.1" customHeight="1" x14ac:dyDescent="0.2">
      <c r="A128" s="3" t="s">
        <v>10</v>
      </c>
      <c r="B128" s="3" t="s">
        <v>10</v>
      </c>
      <c r="C128" s="13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ht="14.1" customHeight="1" x14ac:dyDescent="0.2">
      <c r="A129" s="3" t="s">
        <v>10</v>
      </c>
      <c r="B129" s="3" t="s">
        <v>10</v>
      </c>
      <c r="C129" s="4" t="s">
        <v>127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ht="14.1" customHeight="1" x14ac:dyDescent="0.2">
      <c r="A130" s="3" t="s">
        <v>10</v>
      </c>
      <c r="B130" s="3" t="s">
        <v>10</v>
      </c>
      <c r="C130" s="4" t="s">
        <v>128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ht="14.1" customHeight="1" x14ac:dyDescent="0.2">
      <c r="A131" s="3" t="s">
        <v>10</v>
      </c>
      <c r="B131" s="3" t="s">
        <v>10</v>
      </c>
      <c r="C131" s="4" t="s">
        <v>104</v>
      </c>
      <c r="D131" s="3" t="s">
        <v>10</v>
      </c>
      <c r="E131" s="3" t="s">
        <v>10</v>
      </c>
      <c r="F131" s="14">
        <v>0</v>
      </c>
      <c r="G131" s="15">
        <v>0</v>
      </c>
      <c r="H131" s="167"/>
    </row>
    <row r="132" spans="1:8" ht="14.1" customHeight="1" x14ac:dyDescent="0.2">
      <c r="A132" s="3" t="s">
        <v>10</v>
      </c>
      <c r="B132" s="3" t="s">
        <v>10</v>
      </c>
      <c r="C132" s="12" t="s">
        <v>10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ht="14.1" customHeight="1" x14ac:dyDescent="0.2">
      <c r="A133" s="3" t="s">
        <v>10</v>
      </c>
      <c r="B133" s="3" t="s">
        <v>10</v>
      </c>
      <c r="C133" s="4" t="s">
        <v>129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ht="14.1" customHeight="1" x14ac:dyDescent="0.2">
      <c r="A134" s="3" t="s">
        <v>10</v>
      </c>
      <c r="B134" s="3" t="s">
        <v>10</v>
      </c>
      <c r="C134" s="4" t="s">
        <v>130</v>
      </c>
      <c r="D134" s="3" t="s">
        <v>10</v>
      </c>
      <c r="E134" s="3" t="s">
        <v>10</v>
      </c>
      <c r="F134" s="3" t="s">
        <v>10</v>
      </c>
      <c r="G134" s="3" t="s">
        <v>10</v>
      </c>
      <c r="H134" s="167"/>
    </row>
    <row r="135" spans="1:8" ht="14.1" customHeight="1" x14ac:dyDescent="0.2">
      <c r="A135" s="3" t="s">
        <v>10</v>
      </c>
      <c r="B135" s="3" t="s">
        <v>10</v>
      </c>
      <c r="C135" s="4" t="s">
        <v>104</v>
      </c>
      <c r="D135" s="3" t="s">
        <v>10</v>
      </c>
      <c r="E135" s="3" t="s">
        <v>10</v>
      </c>
      <c r="F135" s="14">
        <v>0</v>
      </c>
      <c r="G135" s="15">
        <v>0</v>
      </c>
      <c r="H135" s="167"/>
    </row>
    <row r="136" spans="1:8" ht="14.1" customHeight="1" x14ac:dyDescent="0.2">
      <c r="A136" s="3" t="s">
        <v>10</v>
      </c>
      <c r="B136" s="3" t="s">
        <v>10</v>
      </c>
      <c r="C136" s="12" t="s">
        <v>10</v>
      </c>
      <c r="D136" s="3" t="s">
        <v>10</v>
      </c>
      <c r="E136" s="3" t="s">
        <v>10</v>
      </c>
      <c r="F136" s="13" t="s">
        <v>10</v>
      </c>
      <c r="G136" s="13" t="s">
        <v>10</v>
      </c>
      <c r="H136" s="167"/>
    </row>
    <row r="137" spans="1:8" ht="14.1" customHeight="1" x14ac:dyDescent="0.2">
      <c r="A137" s="3" t="s">
        <v>10</v>
      </c>
      <c r="B137" s="3" t="s">
        <v>10</v>
      </c>
      <c r="C137" s="12" t="s">
        <v>10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ht="24" customHeight="1" x14ac:dyDescent="0.2">
      <c r="A138" s="3" t="s">
        <v>10</v>
      </c>
      <c r="B138" s="3" t="s">
        <v>10</v>
      </c>
      <c r="C138" s="4" t="s">
        <v>131</v>
      </c>
      <c r="D138" s="3" t="s">
        <v>10</v>
      </c>
      <c r="E138" s="3" t="s">
        <v>10</v>
      </c>
      <c r="F138" s="13" t="s">
        <v>10</v>
      </c>
      <c r="G138" s="13" t="s">
        <v>10</v>
      </c>
      <c r="H138" s="167"/>
    </row>
    <row r="139" spans="1:8" ht="14.1" customHeight="1" x14ac:dyDescent="0.2">
      <c r="A139" s="3" t="s">
        <v>10</v>
      </c>
      <c r="B139" s="3" t="s">
        <v>10</v>
      </c>
      <c r="C139" s="4" t="s">
        <v>104</v>
      </c>
      <c r="D139" s="3" t="s">
        <v>10</v>
      </c>
      <c r="E139" s="3" t="s">
        <v>10</v>
      </c>
      <c r="F139" s="14">
        <v>0</v>
      </c>
      <c r="G139" s="15">
        <v>0</v>
      </c>
      <c r="H139" s="167"/>
    </row>
    <row r="140" spans="1:8" ht="14.1" customHeight="1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ht="14.1" customHeight="1" x14ac:dyDescent="0.2">
      <c r="A141" s="3" t="s">
        <v>10</v>
      </c>
      <c r="B141" s="6" t="s">
        <v>10</v>
      </c>
      <c r="C141" s="6" t="s">
        <v>10</v>
      </c>
      <c r="D141" s="4" t="s">
        <v>10</v>
      </c>
      <c r="E141" s="3" t="s">
        <v>10</v>
      </c>
      <c r="F141" s="6" t="s">
        <v>10</v>
      </c>
      <c r="G141" s="16" t="s">
        <v>10</v>
      </c>
      <c r="H141" s="167"/>
    </row>
    <row r="142" spans="1:8" ht="18" customHeight="1" x14ac:dyDescent="0.2">
      <c r="A142" s="16" t="s">
        <v>10</v>
      </c>
      <c r="B142" s="6" t="s">
        <v>10</v>
      </c>
      <c r="C142" s="6" t="s">
        <v>132</v>
      </c>
      <c r="D142" s="6" t="s">
        <v>10</v>
      </c>
      <c r="E142" s="16" t="s">
        <v>10</v>
      </c>
      <c r="F142" s="8">
        <v>-10.609952209999999</v>
      </c>
      <c r="G142" s="9">
        <v>-1.167298E-3</v>
      </c>
      <c r="H142" s="167"/>
    </row>
    <row r="143" spans="1:8" ht="14.1" customHeight="1" x14ac:dyDescent="0.2">
      <c r="A143" s="12" t="s">
        <v>10</v>
      </c>
      <c r="B143" s="12" t="s">
        <v>10</v>
      </c>
      <c r="C143" s="4" t="s">
        <v>133</v>
      </c>
      <c r="D143" s="17" t="s">
        <v>10</v>
      </c>
      <c r="E143" s="17" t="s">
        <v>10</v>
      </c>
      <c r="F143" s="10">
        <v>9089.32686689</v>
      </c>
      <c r="G143" s="11">
        <v>0.99999999799999995</v>
      </c>
      <c r="H143" s="167"/>
    </row>
    <row r="144" spans="1:8" ht="14.1" customHeight="1" x14ac:dyDescent="0.2">
      <c r="A144" s="18" t="s">
        <v>10</v>
      </c>
      <c r="B144" s="18" t="s">
        <v>10</v>
      </c>
      <c r="C144" s="18" t="s">
        <v>10</v>
      </c>
      <c r="D144" s="19" t="s">
        <v>10</v>
      </c>
      <c r="E144" s="19" t="s">
        <v>10</v>
      </c>
      <c r="F144" s="19" t="s">
        <v>10</v>
      </c>
      <c r="G144" s="19" t="s">
        <v>10</v>
      </c>
    </row>
    <row r="145" spans="1:7" ht="14.1" customHeight="1" x14ac:dyDescent="0.2">
      <c r="A145" s="20" t="s">
        <v>10</v>
      </c>
      <c r="B145" s="208" t="s">
        <v>10</v>
      </c>
      <c r="C145" s="208"/>
      <c r="D145" s="208"/>
      <c r="E145" s="208"/>
      <c r="F145" s="208"/>
      <c r="G145" s="22" t="s">
        <v>10</v>
      </c>
    </row>
    <row r="146" spans="1:7" ht="14.1" customHeight="1" x14ac:dyDescent="0.2">
      <c r="A146" s="20" t="s">
        <v>10</v>
      </c>
      <c r="B146" s="208" t="s">
        <v>10</v>
      </c>
      <c r="C146" s="208"/>
      <c r="D146" s="208"/>
      <c r="E146" s="208"/>
      <c r="F146" s="208"/>
      <c r="G146" s="22" t="s">
        <v>10</v>
      </c>
    </row>
    <row r="147" spans="1:7" ht="14.1" customHeight="1" x14ac:dyDescent="0.2">
      <c r="A147" s="20" t="s">
        <v>10</v>
      </c>
      <c r="B147" s="20" t="s">
        <v>10</v>
      </c>
      <c r="C147" s="20" t="s">
        <v>10</v>
      </c>
      <c r="D147" s="22" t="s">
        <v>10</v>
      </c>
      <c r="E147" s="22" t="s">
        <v>10</v>
      </c>
      <c r="F147" s="22" t="s">
        <v>10</v>
      </c>
      <c r="G147" s="22" t="s">
        <v>10</v>
      </c>
    </row>
    <row r="148" spans="1:7" ht="14.1" customHeight="1" x14ac:dyDescent="0.2">
      <c r="A148" s="20" t="s">
        <v>10</v>
      </c>
      <c r="B148" s="206" t="s">
        <v>134</v>
      </c>
      <c r="C148" s="207"/>
      <c r="D148" s="13" t="s">
        <v>10</v>
      </c>
      <c r="E148" s="23" t="s">
        <v>10</v>
      </c>
      <c r="F148" s="22" t="s">
        <v>10</v>
      </c>
      <c r="G148" s="22" t="s">
        <v>10</v>
      </c>
    </row>
    <row r="149" spans="1:7" ht="29.1" customHeight="1" x14ac:dyDescent="0.2">
      <c r="A149" s="20" t="s">
        <v>10</v>
      </c>
      <c r="B149" s="213" t="s">
        <v>135</v>
      </c>
      <c r="C149" s="214"/>
      <c r="D149" s="4" t="s">
        <v>136</v>
      </c>
      <c r="E149" s="23" t="s">
        <v>10</v>
      </c>
      <c r="F149" s="22" t="s">
        <v>10</v>
      </c>
      <c r="G149" s="22" t="s">
        <v>10</v>
      </c>
    </row>
    <row r="150" spans="1:7" ht="17.100000000000001" customHeight="1" x14ac:dyDescent="0.2">
      <c r="A150" s="20" t="s">
        <v>10</v>
      </c>
      <c r="B150" s="213" t="s">
        <v>137</v>
      </c>
      <c r="C150" s="214"/>
      <c r="D150" s="4" t="s">
        <v>136</v>
      </c>
      <c r="E150" s="23" t="s">
        <v>10</v>
      </c>
      <c r="F150" s="22" t="s">
        <v>10</v>
      </c>
      <c r="G150" s="22" t="s">
        <v>10</v>
      </c>
    </row>
    <row r="151" spans="1:7" ht="17.100000000000001" customHeight="1" x14ac:dyDescent="0.2">
      <c r="A151" s="20" t="s">
        <v>10</v>
      </c>
      <c r="B151" s="213" t="s">
        <v>138</v>
      </c>
      <c r="C151" s="214"/>
      <c r="D151" s="13" t="s">
        <v>10</v>
      </c>
      <c r="E151" s="23" t="s">
        <v>10</v>
      </c>
      <c r="F151" s="22" t="s">
        <v>10</v>
      </c>
      <c r="G151" s="22" t="s">
        <v>10</v>
      </c>
    </row>
    <row r="152" spans="1:7" s="20" customFormat="1" ht="17.100000000000001" customHeight="1" x14ac:dyDescent="0.2"/>
    <row r="153" spans="1:7" x14ac:dyDescent="0.2">
      <c r="A153" s="24" t="s">
        <v>10</v>
      </c>
      <c r="B153" s="140" t="s">
        <v>10</v>
      </c>
      <c r="C153" s="140" t="s">
        <v>139</v>
      </c>
      <c r="D153" s="140" t="s">
        <v>140</v>
      </c>
      <c r="E153" s="24" t="s">
        <v>10</v>
      </c>
      <c r="F153" s="24" t="s">
        <v>10</v>
      </c>
      <c r="G153" s="24" t="s">
        <v>10</v>
      </c>
    </row>
    <row r="154" spans="1:7" ht="18" customHeight="1" x14ac:dyDescent="0.2">
      <c r="A154" s="24" t="s">
        <v>10</v>
      </c>
      <c r="B154" s="25" t="s">
        <v>141</v>
      </c>
      <c r="C154" s="25" t="s">
        <v>142</v>
      </c>
      <c r="D154" s="25" t="s">
        <v>143</v>
      </c>
      <c r="E154" s="24" t="s">
        <v>10</v>
      </c>
      <c r="F154" s="24" t="s">
        <v>10</v>
      </c>
      <c r="G154" s="24" t="s">
        <v>10</v>
      </c>
    </row>
    <row r="155" spans="1:7" ht="17.100000000000001" customHeight="1" x14ac:dyDescent="0.2">
      <c r="A155" s="24" t="s">
        <v>10</v>
      </c>
      <c r="B155" s="6" t="s">
        <v>144</v>
      </c>
      <c r="C155" s="26">
        <v>10.5565</v>
      </c>
      <c r="D155" s="26">
        <v>11.638299999999999</v>
      </c>
      <c r="E155" s="24" t="s">
        <v>10</v>
      </c>
      <c r="F155" s="21" t="s">
        <v>10</v>
      </c>
      <c r="G155" s="27" t="s">
        <v>10</v>
      </c>
    </row>
    <row r="156" spans="1:7" ht="17.100000000000001" customHeight="1" x14ac:dyDescent="0.2">
      <c r="A156" s="24" t="s">
        <v>10</v>
      </c>
      <c r="B156" s="6" t="s">
        <v>917</v>
      </c>
      <c r="C156" s="26">
        <v>10.5565</v>
      </c>
      <c r="D156" s="26">
        <v>11.638199999999999</v>
      </c>
      <c r="E156" s="24" t="s">
        <v>10</v>
      </c>
      <c r="F156" s="21" t="s">
        <v>10</v>
      </c>
      <c r="G156" s="27" t="s">
        <v>10</v>
      </c>
    </row>
    <row r="157" spans="1:7" ht="17.100000000000001" customHeight="1" x14ac:dyDescent="0.2">
      <c r="A157" s="24" t="s">
        <v>10</v>
      </c>
      <c r="B157" s="6" t="s">
        <v>145</v>
      </c>
      <c r="C157" s="26">
        <v>10.1944</v>
      </c>
      <c r="D157" s="26">
        <v>11.2339</v>
      </c>
      <c r="E157" s="24" t="s">
        <v>10</v>
      </c>
      <c r="F157" s="21" t="s">
        <v>10</v>
      </c>
      <c r="G157" s="27" t="s">
        <v>10</v>
      </c>
    </row>
    <row r="158" spans="1:7" ht="17.100000000000001" customHeight="1" x14ac:dyDescent="0.2">
      <c r="A158" s="24" t="s">
        <v>10</v>
      </c>
      <c r="B158" s="6" t="s">
        <v>918</v>
      </c>
      <c r="C158" s="26">
        <v>10.1944</v>
      </c>
      <c r="D158" s="26">
        <v>11.2339</v>
      </c>
      <c r="E158" s="24" t="s">
        <v>10</v>
      </c>
      <c r="F158" s="21" t="s">
        <v>10</v>
      </c>
      <c r="G158" s="27" t="s">
        <v>10</v>
      </c>
    </row>
    <row r="159" spans="1:7" ht="14.1" customHeight="1" x14ac:dyDescent="0.2">
      <c r="A159" s="24" t="s">
        <v>10</v>
      </c>
      <c r="B159" s="24" t="s">
        <v>10</v>
      </c>
      <c r="C159" s="24" t="s">
        <v>10</v>
      </c>
      <c r="D159" s="24" t="s">
        <v>10</v>
      </c>
      <c r="E159" s="24" t="s">
        <v>10</v>
      </c>
      <c r="F159" s="24" t="s">
        <v>10</v>
      </c>
      <c r="G159" s="24" t="s">
        <v>10</v>
      </c>
    </row>
    <row r="160" spans="1:7" ht="17.100000000000001" customHeight="1" x14ac:dyDescent="0.2">
      <c r="A160" s="24" t="s">
        <v>10</v>
      </c>
      <c r="B160" s="213" t="s">
        <v>999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  <row r="161" spans="1:7" ht="18" customHeight="1" x14ac:dyDescent="0.2">
      <c r="A161" s="24" t="s">
        <v>10</v>
      </c>
      <c r="B161" s="28"/>
      <c r="C161" s="28"/>
      <c r="D161" s="29" t="s">
        <v>10</v>
      </c>
      <c r="E161" s="24" t="s">
        <v>10</v>
      </c>
      <c r="F161" s="24" t="s">
        <v>10</v>
      </c>
      <c r="G161" s="24" t="s">
        <v>10</v>
      </c>
    </row>
    <row r="162" spans="1:7" ht="18" customHeight="1" x14ac:dyDescent="0.2">
      <c r="A162" s="172"/>
      <c r="B162" s="217" t="s">
        <v>919</v>
      </c>
      <c r="C162" s="217"/>
      <c r="D162" s="217"/>
      <c r="E162" s="217"/>
      <c r="F162" s="217"/>
      <c r="G162" s="172"/>
    </row>
    <row r="163" spans="1:7" ht="14.1" customHeight="1" x14ac:dyDescent="0.2">
      <c r="A163" s="24" t="s">
        <v>10</v>
      </c>
      <c r="B163" s="21" t="s">
        <v>10</v>
      </c>
      <c r="C163" s="21" t="s">
        <v>10</v>
      </c>
      <c r="D163" s="24" t="s">
        <v>10</v>
      </c>
      <c r="E163" s="24" t="s">
        <v>10</v>
      </c>
      <c r="F163" s="24" t="s">
        <v>10</v>
      </c>
      <c r="G163" s="24" t="s">
        <v>10</v>
      </c>
    </row>
    <row r="164" spans="1:7" ht="29.1" customHeight="1" x14ac:dyDescent="0.2">
      <c r="A164" s="24" t="s">
        <v>10</v>
      </c>
      <c r="B164" s="213" t="s">
        <v>146</v>
      </c>
      <c r="C164" s="214"/>
      <c r="D164" s="4" t="s">
        <v>136</v>
      </c>
      <c r="E164" s="24" t="s">
        <v>10</v>
      </c>
      <c r="F164" s="24" t="s">
        <v>10</v>
      </c>
      <c r="G164" s="24" t="s">
        <v>10</v>
      </c>
    </row>
    <row r="165" spans="1:7" ht="29.1" customHeight="1" x14ac:dyDescent="0.2">
      <c r="A165" s="24" t="s">
        <v>10</v>
      </c>
      <c r="B165" s="213" t="s">
        <v>147</v>
      </c>
      <c r="C165" s="214"/>
      <c r="D165" s="4" t="s">
        <v>136</v>
      </c>
      <c r="E165" s="24" t="s">
        <v>10</v>
      </c>
      <c r="F165" s="24" t="s">
        <v>10</v>
      </c>
      <c r="G165" s="24" t="s">
        <v>10</v>
      </c>
    </row>
    <row r="166" spans="1:7" ht="17.100000000000001" customHeight="1" x14ac:dyDescent="0.2">
      <c r="A166" s="24" t="s">
        <v>10</v>
      </c>
      <c r="B166" s="213" t="s">
        <v>148</v>
      </c>
      <c r="C166" s="214"/>
      <c r="D166" s="30">
        <v>0.50156182940641447</v>
      </c>
      <c r="E166" s="24" t="s">
        <v>10</v>
      </c>
      <c r="F166" s="21" t="s">
        <v>10</v>
      </c>
      <c r="G166" s="27" t="s">
        <v>10</v>
      </c>
    </row>
    <row r="167" spans="1:7" ht="17.100000000000001" customHeight="1" x14ac:dyDescent="0.2">
      <c r="A167" s="24" t="s">
        <v>10</v>
      </c>
      <c r="B167" s="213" t="s">
        <v>149</v>
      </c>
      <c r="C167" s="214"/>
      <c r="D167" s="4" t="s">
        <v>136</v>
      </c>
      <c r="E167" s="24" t="s">
        <v>10</v>
      </c>
      <c r="F167" s="24" t="s">
        <v>10</v>
      </c>
      <c r="G167" s="24" t="s">
        <v>10</v>
      </c>
    </row>
  </sheetData>
  <mergeCells count="15">
    <mergeCell ref="B166:C166"/>
    <mergeCell ref="B167:C167"/>
    <mergeCell ref="B149:C149"/>
    <mergeCell ref="B150:C150"/>
    <mergeCell ref="B151:C151"/>
    <mergeCell ref="B160:C160"/>
    <mergeCell ref="B164:C164"/>
    <mergeCell ref="B165:C165"/>
    <mergeCell ref="B162:F162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61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1" max="11" width="9.57031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294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25.5" x14ac:dyDescent="0.2">
      <c r="A7" s="5">
        <v>1</v>
      </c>
      <c r="B7" s="6" t="s">
        <v>19</v>
      </c>
      <c r="C7" s="6" t="s">
        <v>20</v>
      </c>
      <c r="D7" s="6" t="s">
        <v>970</v>
      </c>
      <c r="E7" s="7">
        <v>2134511</v>
      </c>
      <c r="F7" s="8">
        <v>20624.7125375</v>
      </c>
      <c r="G7" s="9">
        <v>3.2450689999999997E-2</v>
      </c>
      <c r="H7" s="167"/>
    </row>
    <row r="8" spans="1:8" x14ac:dyDescent="0.2">
      <c r="A8" s="5">
        <v>2</v>
      </c>
      <c r="B8" s="6" t="s">
        <v>295</v>
      </c>
      <c r="C8" s="6" t="s">
        <v>296</v>
      </c>
      <c r="D8" s="6" t="s">
        <v>969</v>
      </c>
      <c r="E8" s="7">
        <v>2027701</v>
      </c>
      <c r="F8" s="8">
        <v>18920.478030999999</v>
      </c>
      <c r="G8" s="9">
        <v>2.9769266999999999E-2</v>
      </c>
      <c r="H8" s="167"/>
    </row>
    <row r="9" spans="1:8" x14ac:dyDescent="0.2">
      <c r="A9" s="5">
        <v>3</v>
      </c>
      <c r="B9" s="6" t="s">
        <v>27</v>
      </c>
      <c r="C9" s="6" t="s">
        <v>28</v>
      </c>
      <c r="D9" s="6" t="s">
        <v>29</v>
      </c>
      <c r="E9" s="7">
        <v>1518056</v>
      </c>
      <c r="F9" s="8">
        <v>18524.07834</v>
      </c>
      <c r="G9" s="9">
        <v>2.9145575999999999E-2</v>
      </c>
      <c r="H9" s="167"/>
    </row>
    <row r="10" spans="1:8" ht="25.5" x14ac:dyDescent="0.2">
      <c r="A10" s="5">
        <v>4</v>
      </c>
      <c r="B10" s="6" t="s">
        <v>297</v>
      </c>
      <c r="C10" s="6" t="s">
        <v>298</v>
      </c>
      <c r="D10" s="6" t="s">
        <v>158</v>
      </c>
      <c r="E10" s="7">
        <v>3220000</v>
      </c>
      <c r="F10" s="8">
        <v>17687.46</v>
      </c>
      <c r="G10" s="9">
        <v>2.782925E-2</v>
      </c>
      <c r="H10" s="167"/>
    </row>
    <row r="11" spans="1:8" x14ac:dyDescent="0.2">
      <c r="A11" s="5">
        <v>5</v>
      </c>
      <c r="B11" s="6" t="s">
        <v>299</v>
      </c>
      <c r="C11" s="6" t="s">
        <v>300</v>
      </c>
      <c r="D11" s="6" t="s">
        <v>167</v>
      </c>
      <c r="E11" s="7">
        <v>736918</v>
      </c>
      <c r="F11" s="8">
        <v>17644.396132999998</v>
      </c>
      <c r="G11" s="9">
        <v>2.7761494000000001E-2</v>
      </c>
      <c r="H11" s="167"/>
    </row>
    <row r="12" spans="1:8" x14ac:dyDescent="0.2">
      <c r="A12" s="5">
        <v>6</v>
      </c>
      <c r="B12" s="6" t="s">
        <v>86</v>
      </c>
      <c r="C12" s="6" t="s">
        <v>87</v>
      </c>
      <c r="D12" s="6" t="s">
        <v>29</v>
      </c>
      <c r="E12" s="7">
        <v>2145000</v>
      </c>
      <c r="F12" s="8">
        <v>16879.005000000001</v>
      </c>
      <c r="G12" s="9">
        <v>2.6557236000000001E-2</v>
      </c>
      <c r="H12" s="167"/>
    </row>
    <row r="13" spans="1:8" x14ac:dyDescent="0.2">
      <c r="A13" s="5">
        <v>7</v>
      </c>
      <c r="B13" s="6" t="s">
        <v>301</v>
      </c>
      <c r="C13" s="6" t="s">
        <v>302</v>
      </c>
      <c r="D13" s="6" t="s">
        <v>178</v>
      </c>
      <c r="E13" s="7">
        <v>515779</v>
      </c>
      <c r="F13" s="8">
        <v>16343.747062500001</v>
      </c>
      <c r="G13" s="9">
        <v>2.5715067000000001E-2</v>
      </c>
      <c r="H13" s="167"/>
    </row>
    <row r="14" spans="1:8" x14ac:dyDescent="0.2">
      <c r="A14" s="5">
        <v>8</v>
      </c>
      <c r="B14" s="6" t="s">
        <v>303</v>
      </c>
      <c r="C14" s="6" t="s">
        <v>304</v>
      </c>
      <c r="D14" s="6" t="s">
        <v>192</v>
      </c>
      <c r="E14" s="7">
        <v>1542601</v>
      </c>
      <c r="F14" s="8">
        <v>16212.736510000001</v>
      </c>
      <c r="G14" s="9">
        <v>2.5508936999999999E-2</v>
      </c>
      <c r="H14" s="167"/>
    </row>
    <row r="15" spans="1:8" x14ac:dyDescent="0.2">
      <c r="A15" s="5">
        <v>9</v>
      </c>
      <c r="B15" s="6" t="s">
        <v>151</v>
      </c>
      <c r="C15" s="6" t="s">
        <v>152</v>
      </c>
      <c r="D15" s="6" t="s">
        <v>153</v>
      </c>
      <c r="E15" s="7">
        <v>480000</v>
      </c>
      <c r="F15" s="8">
        <v>15479.04</v>
      </c>
      <c r="G15" s="9">
        <v>2.4354547000000001E-2</v>
      </c>
      <c r="H15" s="167"/>
    </row>
    <row r="16" spans="1:8" x14ac:dyDescent="0.2">
      <c r="A16" s="5">
        <v>10</v>
      </c>
      <c r="B16" s="6" t="s">
        <v>305</v>
      </c>
      <c r="C16" s="6" t="s">
        <v>306</v>
      </c>
      <c r="D16" s="6" t="s">
        <v>75</v>
      </c>
      <c r="E16" s="7">
        <v>1386681</v>
      </c>
      <c r="F16" s="8">
        <v>13968.037713</v>
      </c>
      <c r="G16" s="9">
        <v>2.1977152999999999E-2</v>
      </c>
      <c r="H16" s="167"/>
    </row>
    <row r="17" spans="1:8" x14ac:dyDescent="0.2">
      <c r="A17" s="5">
        <v>11</v>
      </c>
      <c r="B17" s="6" t="s">
        <v>307</v>
      </c>
      <c r="C17" s="6" t="s">
        <v>308</v>
      </c>
      <c r="D17" s="6" t="s">
        <v>23</v>
      </c>
      <c r="E17" s="7">
        <v>1386152</v>
      </c>
      <c r="F17" s="8">
        <v>13702.805596</v>
      </c>
      <c r="G17" s="9">
        <v>2.155984E-2</v>
      </c>
      <c r="H17" s="167"/>
    </row>
    <row r="18" spans="1:8" x14ac:dyDescent="0.2">
      <c r="A18" s="5">
        <v>12</v>
      </c>
      <c r="B18" s="6" t="s">
        <v>309</v>
      </c>
      <c r="C18" s="6" t="s">
        <v>310</v>
      </c>
      <c r="D18" s="6" t="s">
        <v>971</v>
      </c>
      <c r="E18" s="7">
        <v>429478</v>
      </c>
      <c r="F18" s="8">
        <v>13361.919535999999</v>
      </c>
      <c r="G18" s="9">
        <v>2.1023494E-2</v>
      </c>
      <c r="H18" s="167"/>
    </row>
    <row r="19" spans="1:8" x14ac:dyDescent="0.2">
      <c r="A19" s="5">
        <v>13</v>
      </c>
      <c r="B19" s="6" t="s">
        <v>311</v>
      </c>
      <c r="C19" s="6" t="s">
        <v>312</v>
      </c>
      <c r="D19" s="6" t="s">
        <v>185</v>
      </c>
      <c r="E19" s="7">
        <v>375048</v>
      </c>
      <c r="F19" s="8">
        <v>13280.074632</v>
      </c>
      <c r="G19" s="9">
        <v>2.0894719999999999E-2</v>
      </c>
      <c r="H19" s="167"/>
    </row>
    <row r="20" spans="1:8" x14ac:dyDescent="0.2">
      <c r="A20" s="5">
        <v>14</v>
      </c>
      <c r="B20" s="6" t="s">
        <v>313</v>
      </c>
      <c r="C20" s="6" t="s">
        <v>314</v>
      </c>
      <c r="D20" s="6" t="s">
        <v>23</v>
      </c>
      <c r="E20" s="7">
        <v>14804336</v>
      </c>
      <c r="F20" s="8">
        <v>12916.783160000001</v>
      </c>
      <c r="G20" s="9">
        <v>2.0323121E-2</v>
      </c>
      <c r="H20" s="167"/>
    </row>
    <row r="21" spans="1:8" x14ac:dyDescent="0.2">
      <c r="A21" s="5">
        <v>15</v>
      </c>
      <c r="B21" s="6" t="s">
        <v>315</v>
      </c>
      <c r="C21" s="6" t="s">
        <v>316</v>
      </c>
      <c r="D21" s="6" t="s">
        <v>247</v>
      </c>
      <c r="E21" s="7">
        <v>40474</v>
      </c>
      <c r="F21" s="8">
        <v>12411.554469999999</v>
      </c>
      <c r="G21" s="9">
        <v>1.9528199999999999E-2</v>
      </c>
      <c r="H21" s="167"/>
    </row>
    <row r="22" spans="1:8" x14ac:dyDescent="0.2">
      <c r="A22" s="5">
        <v>16</v>
      </c>
      <c r="B22" s="6" t="s">
        <v>317</v>
      </c>
      <c r="C22" s="6" t="s">
        <v>318</v>
      </c>
      <c r="D22" s="6" t="s">
        <v>240</v>
      </c>
      <c r="E22" s="7">
        <v>472166</v>
      </c>
      <c r="F22" s="8">
        <v>12346.904817000001</v>
      </c>
      <c r="G22" s="9">
        <v>1.9426480999999999E-2</v>
      </c>
      <c r="H22" s="167"/>
    </row>
    <row r="23" spans="1:8" x14ac:dyDescent="0.2">
      <c r="A23" s="5">
        <v>17</v>
      </c>
      <c r="B23" s="6" t="s">
        <v>319</v>
      </c>
      <c r="C23" s="6" t="s">
        <v>320</v>
      </c>
      <c r="D23" s="6" t="s">
        <v>192</v>
      </c>
      <c r="E23" s="7">
        <v>587800</v>
      </c>
      <c r="F23" s="8">
        <v>12170.986800000001</v>
      </c>
      <c r="G23" s="9">
        <v>1.9149692999999999E-2</v>
      </c>
      <c r="H23" s="167"/>
    </row>
    <row r="24" spans="1:8" ht="25.5" x14ac:dyDescent="0.2">
      <c r="A24" s="5">
        <v>18</v>
      </c>
      <c r="B24" s="6" t="s">
        <v>321</v>
      </c>
      <c r="C24" s="6" t="s">
        <v>322</v>
      </c>
      <c r="D24" s="6" t="s">
        <v>78</v>
      </c>
      <c r="E24" s="7">
        <v>2403433</v>
      </c>
      <c r="F24" s="8">
        <v>12043.602763000001</v>
      </c>
      <c r="G24" s="9">
        <v>1.8949269000000001E-2</v>
      </c>
      <c r="H24" s="167"/>
    </row>
    <row r="25" spans="1:8" x14ac:dyDescent="0.2">
      <c r="A25" s="5">
        <v>19</v>
      </c>
      <c r="B25" s="6" t="s">
        <v>323</v>
      </c>
      <c r="C25" s="6" t="s">
        <v>324</v>
      </c>
      <c r="D25" s="6" t="s">
        <v>185</v>
      </c>
      <c r="E25" s="7">
        <v>13981</v>
      </c>
      <c r="F25" s="8">
        <v>11693.904134</v>
      </c>
      <c r="G25" s="9">
        <v>1.8399057E-2</v>
      </c>
      <c r="H25" s="167"/>
    </row>
    <row r="26" spans="1:8" x14ac:dyDescent="0.2">
      <c r="A26" s="5">
        <v>20</v>
      </c>
      <c r="B26" s="6" t="s">
        <v>325</v>
      </c>
      <c r="C26" s="6" t="s">
        <v>326</v>
      </c>
      <c r="D26" s="6" t="s">
        <v>70</v>
      </c>
      <c r="E26" s="7">
        <v>2155766</v>
      </c>
      <c r="F26" s="8">
        <v>11400.768491000001</v>
      </c>
      <c r="G26" s="9">
        <v>1.7937841E-2</v>
      </c>
      <c r="H26" s="167"/>
    </row>
    <row r="27" spans="1:8" ht="25.5" x14ac:dyDescent="0.2">
      <c r="A27" s="5">
        <v>21</v>
      </c>
      <c r="B27" s="6" t="s">
        <v>327</v>
      </c>
      <c r="C27" s="6" t="s">
        <v>328</v>
      </c>
      <c r="D27" s="6" t="s">
        <v>78</v>
      </c>
      <c r="E27" s="7">
        <v>1126494</v>
      </c>
      <c r="F27" s="8">
        <v>11395.050057</v>
      </c>
      <c r="G27" s="9">
        <v>1.7928843E-2</v>
      </c>
      <c r="H27" s="167"/>
    </row>
    <row r="28" spans="1:8" x14ac:dyDescent="0.2">
      <c r="A28" s="5">
        <v>22</v>
      </c>
      <c r="B28" s="6" t="s">
        <v>329</v>
      </c>
      <c r="C28" s="6" t="s">
        <v>330</v>
      </c>
      <c r="D28" s="6" t="s">
        <v>158</v>
      </c>
      <c r="E28" s="7">
        <v>2426123</v>
      </c>
      <c r="F28" s="8">
        <v>11311.7984875</v>
      </c>
      <c r="G28" s="9">
        <v>1.7797856000000001E-2</v>
      </c>
      <c r="H28" s="167"/>
    </row>
    <row r="29" spans="1:8" ht="25.5" x14ac:dyDescent="0.2">
      <c r="A29" s="5">
        <v>23</v>
      </c>
      <c r="B29" s="6" t="s">
        <v>331</v>
      </c>
      <c r="C29" s="6" t="s">
        <v>332</v>
      </c>
      <c r="D29" s="6" t="s">
        <v>75</v>
      </c>
      <c r="E29" s="7">
        <v>2819006</v>
      </c>
      <c r="F29" s="8">
        <v>11226.691395</v>
      </c>
      <c r="G29" s="9">
        <v>1.7663950000000001E-2</v>
      </c>
      <c r="H29" s="167"/>
    </row>
    <row r="30" spans="1:8" x14ac:dyDescent="0.2">
      <c r="A30" s="5">
        <v>24</v>
      </c>
      <c r="B30" s="6" t="s">
        <v>333</v>
      </c>
      <c r="C30" s="6" t="s">
        <v>334</v>
      </c>
      <c r="D30" s="6" t="s">
        <v>67</v>
      </c>
      <c r="E30" s="7">
        <v>1629770</v>
      </c>
      <c r="F30" s="8">
        <v>11145.99703</v>
      </c>
      <c r="G30" s="9">
        <v>1.7536986000000001E-2</v>
      </c>
      <c r="H30" s="167"/>
    </row>
    <row r="31" spans="1:8" x14ac:dyDescent="0.2">
      <c r="A31" s="5">
        <v>25</v>
      </c>
      <c r="B31" s="6" t="s">
        <v>335</v>
      </c>
      <c r="C31" s="6" t="s">
        <v>336</v>
      </c>
      <c r="D31" s="6" t="s">
        <v>284</v>
      </c>
      <c r="E31" s="7">
        <v>1300000</v>
      </c>
      <c r="F31" s="8">
        <v>11071.45</v>
      </c>
      <c r="G31" s="9">
        <v>1.7419694999999999E-2</v>
      </c>
      <c r="H31" s="167"/>
    </row>
    <row r="32" spans="1:8" x14ac:dyDescent="0.2">
      <c r="A32" s="5">
        <v>26</v>
      </c>
      <c r="B32" s="6" t="s">
        <v>337</v>
      </c>
      <c r="C32" s="6" t="s">
        <v>338</v>
      </c>
      <c r="D32" s="6" t="s">
        <v>23</v>
      </c>
      <c r="E32" s="7">
        <v>6263179</v>
      </c>
      <c r="F32" s="8">
        <v>10794.5890065</v>
      </c>
      <c r="G32" s="9">
        <v>1.6984084999999999E-2</v>
      </c>
      <c r="H32" s="167"/>
    </row>
    <row r="33" spans="1:8" x14ac:dyDescent="0.2">
      <c r="A33" s="5">
        <v>27</v>
      </c>
      <c r="B33" s="6" t="s">
        <v>339</v>
      </c>
      <c r="C33" s="6" t="s">
        <v>340</v>
      </c>
      <c r="D33" s="6" t="s">
        <v>192</v>
      </c>
      <c r="E33" s="7">
        <v>341452</v>
      </c>
      <c r="F33" s="8">
        <v>10768.883902</v>
      </c>
      <c r="G33" s="9">
        <v>1.6943640999999999E-2</v>
      </c>
      <c r="H33" s="167"/>
    </row>
    <row r="34" spans="1:8" x14ac:dyDescent="0.2">
      <c r="A34" s="5">
        <v>28</v>
      </c>
      <c r="B34" s="6" t="s">
        <v>341</v>
      </c>
      <c r="C34" s="6" t="s">
        <v>342</v>
      </c>
      <c r="D34" s="6" t="s">
        <v>23</v>
      </c>
      <c r="E34" s="7">
        <v>18257153</v>
      </c>
      <c r="F34" s="8">
        <v>10680.434504999999</v>
      </c>
      <c r="G34" s="9">
        <v>1.6804474999999999E-2</v>
      </c>
      <c r="H34" s="167"/>
    </row>
    <row r="35" spans="1:8" ht="25.5" x14ac:dyDescent="0.2">
      <c r="A35" s="5">
        <v>29</v>
      </c>
      <c r="B35" s="6" t="s">
        <v>35</v>
      </c>
      <c r="C35" s="6" t="s">
        <v>36</v>
      </c>
      <c r="D35" s="6" t="s">
        <v>37</v>
      </c>
      <c r="E35" s="7">
        <v>24800</v>
      </c>
      <c r="F35" s="8">
        <v>10625.919599999999</v>
      </c>
      <c r="G35" s="9">
        <v>1.6718701999999998E-2</v>
      </c>
      <c r="H35" s="167"/>
    </row>
    <row r="36" spans="1:8" x14ac:dyDescent="0.2">
      <c r="A36" s="5">
        <v>30</v>
      </c>
      <c r="B36" s="6" t="s">
        <v>343</v>
      </c>
      <c r="C36" s="6" t="s">
        <v>344</v>
      </c>
      <c r="D36" s="6" t="s">
        <v>153</v>
      </c>
      <c r="E36" s="7">
        <v>162707</v>
      </c>
      <c r="F36" s="8">
        <v>10597.3509705</v>
      </c>
      <c r="G36" s="9">
        <v>1.6673752999999999E-2</v>
      </c>
      <c r="H36" s="167"/>
    </row>
    <row r="37" spans="1:8" x14ac:dyDescent="0.2">
      <c r="A37" s="5">
        <v>31</v>
      </c>
      <c r="B37" s="6" t="s">
        <v>97</v>
      </c>
      <c r="C37" s="6" t="s">
        <v>98</v>
      </c>
      <c r="D37" s="6" t="s">
        <v>29</v>
      </c>
      <c r="E37" s="7">
        <v>200000</v>
      </c>
      <c r="F37" s="8">
        <v>10576.5</v>
      </c>
      <c r="G37" s="9">
        <v>1.6640946E-2</v>
      </c>
      <c r="H37" s="167"/>
    </row>
    <row r="38" spans="1:8" x14ac:dyDescent="0.2">
      <c r="A38" s="5">
        <v>32</v>
      </c>
      <c r="B38" s="6" t="s">
        <v>345</v>
      </c>
      <c r="C38" s="6" t="s">
        <v>346</v>
      </c>
      <c r="D38" s="6" t="s">
        <v>57</v>
      </c>
      <c r="E38" s="7">
        <v>2504373</v>
      </c>
      <c r="F38" s="8">
        <v>10197.806855999999</v>
      </c>
      <c r="G38" s="9">
        <v>1.6045113999999999E-2</v>
      </c>
      <c r="H38" s="167"/>
    </row>
    <row r="39" spans="1:8" x14ac:dyDescent="0.2">
      <c r="A39" s="5">
        <v>33</v>
      </c>
      <c r="B39" s="6" t="s">
        <v>347</v>
      </c>
      <c r="C39" s="6" t="s">
        <v>348</v>
      </c>
      <c r="D39" s="6" t="s">
        <v>23</v>
      </c>
      <c r="E39" s="7">
        <v>12521988</v>
      </c>
      <c r="F39" s="8">
        <v>10105.244316</v>
      </c>
      <c r="G39" s="9">
        <v>1.5899478000000002E-2</v>
      </c>
      <c r="H39" s="167"/>
    </row>
    <row r="40" spans="1:8" x14ac:dyDescent="0.2">
      <c r="A40" s="5">
        <v>34</v>
      </c>
      <c r="B40" s="6" t="s">
        <v>349</v>
      </c>
      <c r="C40" s="6" t="s">
        <v>350</v>
      </c>
      <c r="D40" s="6" t="s">
        <v>972</v>
      </c>
      <c r="E40" s="7">
        <v>1646891</v>
      </c>
      <c r="F40" s="8">
        <v>9905.2259195000006</v>
      </c>
      <c r="G40" s="9">
        <v>1.5584771000000001E-2</v>
      </c>
      <c r="H40" s="167"/>
    </row>
    <row r="41" spans="1:8" x14ac:dyDescent="0.2">
      <c r="A41" s="5">
        <v>35</v>
      </c>
      <c r="B41" s="6" t="s">
        <v>92</v>
      </c>
      <c r="C41" s="6" t="s">
        <v>93</v>
      </c>
      <c r="D41" s="6" t="s">
        <v>94</v>
      </c>
      <c r="E41" s="7">
        <v>7942374</v>
      </c>
      <c r="F41" s="8">
        <v>9804.8607030000003</v>
      </c>
      <c r="G41" s="9">
        <v>1.5426857E-2</v>
      </c>
      <c r="H41" s="167"/>
    </row>
    <row r="42" spans="1:8" x14ac:dyDescent="0.2">
      <c r="A42" s="5">
        <v>36</v>
      </c>
      <c r="B42" s="6" t="s">
        <v>351</v>
      </c>
      <c r="C42" s="6" t="s">
        <v>352</v>
      </c>
      <c r="D42" s="6" t="s">
        <v>974</v>
      </c>
      <c r="E42" s="7">
        <v>6700000</v>
      </c>
      <c r="F42" s="8">
        <v>9741.7999999999993</v>
      </c>
      <c r="G42" s="9">
        <v>1.5327637999999999E-2</v>
      </c>
      <c r="H42" s="167"/>
    </row>
    <row r="43" spans="1:8" x14ac:dyDescent="0.2">
      <c r="A43" s="5">
        <v>37</v>
      </c>
      <c r="B43" s="6" t="s">
        <v>218</v>
      </c>
      <c r="C43" s="6" t="s">
        <v>219</v>
      </c>
      <c r="D43" s="6" t="s">
        <v>973</v>
      </c>
      <c r="E43" s="7">
        <v>1415997</v>
      </c>
      <c r="F43" s="8">
        <v>9672.6755069999999</v>
      </c>
      <c r="G43" s="9">
        <v>1.5218878999999999E-2</v>
      </c>
      <c r="H43" s="167"/>
    </row>
    <row r="44" spans="1:8" x14ac:dyDescent="0.2">
      <c r="A44" s="5">
        <v>38</v>
      </c>
      <c r="B44" s="6" t="s">
        <v>353</v>
      </c>
      <c r="C44" s="6" t="s">
        <v>354</v>
      </c>
      <c r="D44" s="6" t="s">
        <v>153</v>
      </c>
      <c r="E44" s="7">
        <v>545440</v>
      </c>
      <c r="F44" s="8">
        <v>9149.2105599999995</v>
      </c>
      <c r="G44" s="9">
        <v>1.4395265000000001E-2</v>
      </c>
      <c r="H44" s="167"/>
    </row>
    <row r="45" spans="1:8" x14ac:dyDescent="0.2">
      <c r="A45" s="5">
        <v>39</v>
      </c>
      <c r="B45" s="6" t="s">
        <v>355</v>
      </c>
      <c r="C45" s="6" t="s">
        <v>356</v>
      </c>
      <c r="D45" s="6" t="s">
        <v>357</v>
      </c>
      <c r="E45" s="7">
        <v>1116078</v>
      </c>
      <c r="F45" s="8">
        <v>8942.5749749999995</v>
      </c>
      <c r="G45" s="9">
        <v>1.4070147E-2</v>
      </c>
      <c r="H45" s="167"/>
    </row>
    <row r="46" spans="1:8" x14ac:dyDescent="0.2">
      <c r="A46" s="5">
        <v>40</v>
      </c>
      <c r="B46" s="6" t="s">
        <v>358</v>
      </c>
      <c r="C46" s="6" t="s">
        <v>359</v>
      </c>
      <c r="D46" s="6" t="s">
        <v>75</v>
      </c>
      <c r="E46" s="7">
        <v>217254</v>
      </c>
      <c r="F46" s="8">
        <v>8752.7291519999999</v>
      </c>
      <c r="G46" s="9">
        <v>1.3771445E-2</v>
      </c>
      <c r="H46" s="167"/>
    </row>
    <row r="47" spans="1:8" x14ac:dyDescent="0.2">
      <c r="A47" s="5">
        <v>41</v>
      </c>
      <c r="B47" s="6" t="s">
        <v>360</v>
      </c>
      <c r="C47" s="6" t="s">
        <v>361</v>
      </c>
      <c r="D47" s="6" t="s">
        <v>29</v>
      </c>
      <c r="E47" s="7">
        <v>1210000</v>
      </c>
      <c r="F47" s="8">
        <v>8201.9850000000006</v>
      </c>
      <c r="G47" s="9">
        <v>1.2904911E-2</v>
      </c>
      <c r="H47" s="167"/>
    </row>
    <row r="48" spans="1:8" x14ac:dyDescent="0.2">
      <c r="A48" s="5">
        <v>42</v>
      </c>
      <c r="B48" s="6" t="s">
        <v>362</v>
      </c>
      <c r="C48" s="6" t="s">
        <v>363</v>
      </c>
      <c r="D48" s="6" t="s">
        <v>75</v>
      </c>
      <c r="E48" s="7">
        <v>371148</v>
      </c>
      <c r="F48" s="8">
        <v>8025.7043519999997</v>
      </c>
      <c r="G48" s="9">
        <v>1.2627553E-2</v>
      </c>
      <c r="H48" s="167"/>
    </row>
    <row r="49" spans="1:8" ht="25.5" x14ac:dyDescent="0.2">
      <c r="A49" s="5">
        <v>43</v>
      </c>
      <c r="B49" s="6" t="s">
        <v>364</v>
      </c>
      <c r="C49" s="6" t="s">
        <v>365</v>
      </c>
      <c r="D49" s="6" t="s">
        <v>158</v>
      </c>
      <c r="E49" s="7">
        <v>4731915</v>
      </c>
      <c r="F49" s="8">
        <v>7713.0214500000002</v>
      </c>
      <c r="G49" s="9">
        <v>1.2135580999999999E-2</v>
      </c>
      <c r="H49" s="167"/>
    </row>
    <row r="50" spans="1:8" x14ac:dyDescent="0.2">
      <c r="A50" s="5">
        <v>44</v>
      </c>
      <c r="B50" s="6" t="s">
        <v>366</v>
      </c>
      <c r="C50" s="6" t="s">
        <v>367</v>
      </c>
      <c r="D50" s="6" t="s">
        <v>167</v>
      </c>
      <c r="E50" s="7">
        <v>745534</v>
      </c>
      <c r="F50" s="8">
        <v>7046.7873680000002</v>
      </c>
      <c r="G50" s="9">
        <v>1.1087336E-2</v>
      </c>
      <c r="H50" s="167"/>
    </row>
    <row r="51" spans="1:8" x14ac:dyDescent="0.2">
      <c r="A51" s="5">
        <v>45</v>
      </c>
      <c r="B51" s="6" t="s">
        <v>368</v>
      </c>
      <c r="C51" s="6" t="s">
        <v>369</v>
      </c>
      <c r="D51" s="6" t="s">
        <v>976</v>
      </c>
      <c r="E51" s="7">
        <v>3273353</v>
      </c>
      <c r="F51" s="8">
        <v>6852.7645055000003</v>
      </c>
      <c r="G51" s="9">
        <v>1.0782062E-2</v>
      </c>
      <c r="H51" s="167"/>
    </row>
    <row r="52" spans="1:8" x14ac:dyDescent="0.2">
      <c r="A52" s="5">
        <v>46</v>
      </c>
      <c r="B52" s="6" t="s">
        <v>208</v>
      </c>
      <c r="C52" s="6" t="s">
        <v>209</v>
      </c>
      <c r="D52" s="6" t="s">
        <v>971</v>
      </c>
      <c r="E52" s="7">
        <v>2551093</v>
      </c>
      <c r="F52" s="8">
        <v>6644.3217185000003</v>
      </c>
      <c r="G52" s="9">
        <v>1.0454101E-2</v>
      </c>
      <c r="H52" s="167"/>
    </row>
    <row r="53" spans="1:8" x14ac:dyDescent="0.2">
      <c r="A53" s="5">
        <v>47</v>
      </c>
      <c r="B53" s="6" t="s">
        <v>370</v>
      </c>
      <c r="C53" s="6" t="s">
        <v>371</v>
      </c>
      <c r="D53" s="6" t="s">
        <v>23</v>
      </c>
      <c r="E53" s="7">
        <v>855000</v>
      </c>
      <c r="F53" s="8">
        <v>6418.4849999999997</v>
      </c>
      <c r="G53" s="9">
        <v>1.0098772000000001E-2</v>
      </c>
      <c r="H53" s="167"/>
    </row>
    <row r="54" spans="1:8" x14ac:dyDescent="0.2">
      <c r="A54" s="5">
        <v>48</v>
      </c>
      <c r="B54" s="6" t="s">
        <v>372</v>
      </c>
      <c r="C54" s="6" t="s">
        <v>373</v>
      </c>
      <c r="D54" s="6" t="s">
        <v>167</v>
      </c>
      <c r="E54" s="7">
        <v>236000</v>
      </c>
      <c r="F54" s="8">
        <v>6397.6059999999998</v>
      </c>
      <c r="G54" s="9">
        <v>1.0065921E-2</v>
      </c>
      <c r="H54" s="167"/>
    </row>
    <row r="55" spans="1:8" ht="25.5" x14ac:dyDescent="0.2">
      <c r="A55" s="5">
        <v>49</v>
      </c>
      <c r="B55" s="6" t="s">
        <v>374</v>
      </c>
      <c r="C55" s="6" t="s">
        <v>375</v>
      </c>
      <c r="D55" s="6" t="s">
        <v>67</v>
      </c>
      <c r="E55" s="7">
        <v>320020</v>
      </c>
      <c r="F55" s="8">
        <v>6090.6206400000001</v>
      </c>
      <c r="G55" s="9">
        <v>9.5829139999999997E-3</v>
      </c>
      <c r="H55" s="167"/>
    </row>
    <row r="56" spans="1:8" ht="25.5" x14ac:dyDescent="0.2">
      <c r="A56" s="5">
        <v>50</v>
      </c>
      <c r="B56" s="6" t="s">
        <v>376</v>
      </c>
      <c r="C56" s="6" t="s">
        <v>377</v>
      </c>
      <c r="D56" s="6" t="s">
        <v>78</v>
      </c>
      <c r="E56" s="7">
        <v>859382</v>
      </c>
      <c r="F56" s="8">
        <v>5705.0074070000001</v>
      </c>
      <c r="G56" s="9">
        <v>8.9761939999999998E-3</v>
      </c>
      <c r="H56" s="167"/>
    </row>
    <row r="57" spans="1:8" x14ac:dyDescent="0.2">
      <c r="A57" s="5">
        <v>51</v>
      </c>
      <c r="B57" s="6" t="s">
        <v>210</v>
      </c>
      <c r="C57" s="6" t="s">
        <v>211</v>
      </c>
      <c r="D57" s="6" t="s">
        <v>29</v>
      </c>
      <c r="E57" s="7">
        <v>403947</v>
      </c>
      <c r="F57" s="8">
        <v>5440.9641165000003</v>
      </c>
      <c r="G57" s="9">
        <v>8.5607519999999996E-3</v>
      </c>
      <c r="H57" s="167"/>
    </row>
    <row r="58" spans="1:8" x14ac:dyDescent="0.2">
      <c r="A58" s="5">
        <v>52</v>
      </c>
      <c r="B58" s="6" t="s">
        <v>378</v>
      </c>
      <c r="C58" s="6" t="s">
        <v>379</v>
      </c>
      <c r="D58" s="6" t="s">
        <v>185</v>
      </c>
      <c r="E58" s="7">
        <v>709679</v>
      </c>
      <c r="F58" s="8">
        <v>5259.0762295000004</v>
      </c>
      <c r="G58" s="9">
        <v>8.2745709999999997E-3</v>
      </c>
      <c r="H58" s="167"/>
    </row>
    <row r="59" spans="1:8" x14ac:dyDescent="0.2">
      <c r="A59" s="5">
        <v>53</v>
      </c>
      <c r="B59" s="6" t="s">
        <v>380</v>
      </c>
      <c r="C59" s="6" t="s">
        <v>381</v>
      </c>
      <c r="D59" s="6" t="s">
        <v>75</v>
      </c>
      <c r="E59" s="7">
        <v>7855850</v>
      </c>
      <c r="F59" s="8">
        <v>5247.7078000000001</v>
      </c>
      <c r="G59" s="9">
        <v>8.2566840000000002E-3</v>
      </c>
      <c r="H59" s="167"/>
    </row>
    <row r="60" spans="1:8" x14ac:dyDescent="0.2">
      <c r="A60" s="5">
        <v>54</v>
      </c>
      <c r="B60" s="6" t="s">
        <v>382</v>
      </c>
      <c r="C60" s="6" t="s">
        <v>383</v>
      </c>
      <c r="D60" s="6" t="s">
        <v>32</v>
      </c>
      <c r="E60" s="7">
        <v>357033</v>
      </c>
      <c r="F60" s="8">
        <v>4890.2810010000003</v>
      </c>
      <c r="G60" s="9">
        <v>7.6943130000000004E-3</v>
      </c>
      <c r="H60" s="167"/>
    </row>
    <row r="61" spans="1:8" x14ac:dyDescent="0.2">
      <c r="A61" s="5">
        <v>55</v>
      </c>
      <c r="B61" s="6" t="s">
        <v>384</v>
      </c>
      <c r="C61" s="6" t="s">
        <v>385</v>
      </c>
      <c r="D61" s="6" t="s">
        <v>158</v>
      </c>
      <c r="E61" s="7">
        <v>201670</v>
      </c>
      <c r="F61" s="8">
        <v>4643.85509</v>
      </c>
      <c r="G61" s="9">
        <v>7.3065889999999996E-3</v>
      </c>
      <c r="H61" s="167"/>
    </row>
    <row r="62" spans="1:8" x14ac:dyDescent="0.2">
      <c r="A62" s="5">
        <v>56</v>
      </c>
      <c r="B62" s="6" t="s">
        <v>386</v>
      </c>
      <c r="C62" s="6" t="s">
        <v>387</v>
      </c>
      <c r="D62" s="6" t="s">
        <v>167</v>
      </c>
      <c r="E62" s="7">
        <v>210807</v>
      </c>
      <c r="F62" s="8">
        <v>4098.8259045000004</v>
      </c>
      <c r="G62" s="9">
        <v>6.4490459999999999E-3</v>
      </c>
      <c r="H62" s="167"/>
    </row>
    <row r="63" spans="1:8" ht="25.5" x14ac:dyDescent="0.2">
      <c r="A63" s="5">
        <v>57</v>
      </c>
      <c r="B63" s="6" t="s">
        <v>76</v>
      </c>
      <c r="C63" s="6" t="s">
        <v>77</v>
      </c>
      <c r="D63" s="6" t="s">
        <v>78</v>
      </c>
      <c r="E63" s="7">
        <v>700191</v>
      </c>
      <c r="F63" s="8">
        <v>4004.0422334999998</v>
      </c>
      <c r="G63" s="9">
        <v>6.2999149999999997E-3</v>
      </c>
      <c r="H63" s="167"/>
    </row>
    <row r="64" spans="1:8" x14ac:dyDescent="0.2">
      <c r="A64" s="5">
        <v>58</v>
      </c>
      <c r="B64" s="6" t="s">
        <v>388</v>
      </c>
      <c r="C64" s="6" t="s">
        <v>389</v>
      </c>
      <c r="D64" s="6" t="s">
        <v>969</v>
      </c>
      <c r="E64" s="7">
        <v>33061</v>
      </c>
      <c r="F64" s="8">
        <v>3903.280843</v>
      </c>
      <c r="G64" s="9">
        <v>6.1413780000000003E-3</v>
      </c>
      <c r="H64" s="167"/>
    </row>
    <row r="65" spans="1:8" ht="25.5" x14ac:dyDescent="0.2">
      <c r="A65" s="5">
        <v>59</v>
      </c>
      <c r="B65" s="6" t="s">
        <v>102</v>
      </c>
      <c r="C65" s="6" t="s">
        <v>103</v>
      </c>
      <c r="D65" s="6" t="s">
        <v>970</v>
      </c>
      <c r="E65" s="7">
        <v>160025</v>
      </c>
      <c r="F65" s="8">
        <v>2824.4412499999999</v>
      </c>
      <c r="G65" s="9">
        <v>4.443944E-3</v>
      </c>
      <c r="H65" s="167"/>
    </row>
    <row r="66" spans="1:8" x14ac:dyDescent="0.2">
      <c r="A66" s="5">
        <v>60</v>
      </c>
      <c r="B66" s="6" t="s">
        <v>216</v>
      </c>
      <c r="C66" s="6" t="s">
        <v>217</v>
      </c>
      <c r="D66" s="6" t="s">
        <v>192</v>
      </c>
      <c r="E66" s="7">
        <v>427848</v>
      </c>
      <c r="F66" s="8">
        <v>2240.8539000000001</v>
      </c>
      <c r="G66" s="9">
        <v>3.525734E-3</v>
      </c>
      <c r="H66" s="167"/>
    </row>
    <row r="67" spans="1:8" ht="25.5" x14ac:dyDescent="0.2">
      <c r="A67" s="5">
        <v>61</v>
      </c>
      <c r="B67" s="6" t="s">
        <v>395</v>
      </c>
      <c r="C67" s="186" t="s">
        <v>1002</v>
      </c>
      <c r="D67" s="6" t="s">
        <v>284</v>
      </c>
      <c r="E67" s="7">
        <v>1200000</v>
      </c>
      <c r="F67" s="8">
        <v>1900.2</v>
      </c>
      <c r="G67" s="9">
        <v>2.9897529999999999E-3</v>
      </c>
      <c r="H67" s="167"/>
    </row>
    <row r="68" spans="1:8" x14ac:dyDescent="0.2">
      <c r="A68" s="5">
        <v>62</v>
      </c>
      <c r="B68" s="6" t="s">
        <v>390</v>
      </c>
      <c r="C68" s="6" t="s">
        <v>391</v>
      </c>
      <c r="D68" s="6" t="s">
        <v>392</v>
      </c>
      <c r="E68" s="7">
        <v>280651</v>
      </c>
      <c r="F68" s="8">
        <v>1260.4036410000001</v>
      </c>
      <c r="G68" s="9">
        <v>1.9831050000000002E-3</v>
      </c>
      <c r="H68" s="167"/>
    </row>
    <row r="69" spans="1:8" x14ac:dyDescent="0.2">
      <c r="A69" s="5">
        <v>63</v>
      </c>
      <c r="B69" s="6" t="s">
        <v>393</v>
      </c>
      <c r="C69" s="6" t="s">
        <v>394</v>
      </c>
      <c r="D69" s="6" t="s">
        <v>185</v>
      </c>
      <c r="E69" s="7">
        <v>15536</v>
      </c>
      <c r="F69" s="8">
        <v>1061.3107680000001</v>
      </c>
      <c r="G69" s="9">
        <v>1.6698539999999999E-3</v>
      </c>
      <c r="H69" s="167"/>
    </row>
    <row r="70" spans="1:8" x14ac:dyDescent="0.2">
      <c r="A70" s="3" t="s">
        <v>10</v>
      </c>
      <c r="B70" s="3" t="s">
        <v>10</v>
      </c>
      <c r="C70" s="4" t="s">
        <v>104</v>
      </c>
      <c r="D70" s="3" t="s">
        <v>10</v>
      </c>
      <c r="E70" s="3" t="s">
        <v>10</v>
      </c>
      <c r="F70" s="10">
        <f>SUM(F7:F69)</f>
        <v>619951.33488599991</v>
      </c>
      <c r="G70" s="11">
        <f>SUM(G7:G69)</f>
        <v>0.97542444200000011</v>
      </c>
      <c r="H70" s="167"/>
    </row>
    <row r="71" spans="1:8" x14ac:dyDescent="0.2">
      <c r="A71" s="3" t="s">
        <v>10</v>
      </c>
      <c r="B71" s="3" t="s">
        <v>10</v>
      </c>
      <c r="C71" s="12" t="s">
        <v>10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105</v>
      </c>
      <c r="D72" s="3" t="s">
        <v>10</v>
      </c>
      <c r="E72" s="3" t="s">
        <v>10</v>
      </c>
      <c r="F72" s="3" t="s">
        <v>10</v>
      </c>
      <c r="G72" s="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4">
        <v>0</v>
      </c>
      <c r="G73" s="15">
        <v>0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106</v>
      </c>
      <c r="D75" s="3" t="s">
        <v>10</v>
      </c>
      <c r="E75" s="3" t="s">
        <v>10</v>
      </c>
      <c r="F75" s="3" t="s">
        <v>10</v>
      </c>
      <c r="G75" s="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110</v>
      </c>
      <c r="D78" s="3" t="s">
        <v>10</v>
      </c>
      <c r="E78" s="3" t="s">
        <v>10</v>
      </c>
      <c r="F78" s="3" t="s">
        <v>10</v>
      </c>
      <c r="G78" s="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0">
        <v>0</v>
      </c>
      <c r="G79" s="11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111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4">
        <v>0</v>
      </c>
      <c r="G82" s="15">
        <v>0</v>
      </c>
      <c r="H82" s="167"/>
    </row>
    <row r="83" spans="1:8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112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4">
        <v>0</v>
      </c>
      <c r="G85" s="15">
        <v>0</v>
      </c>
      <c r="H85" s="167"/>
    </row>
    <row r="86" spans="1:8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113</v>
      </c>
      <c r="D87" s="3" t="s">
        <v>10</v>
      </c>
      <c r="E87" s="3" t="s">
        <v>10</v>
      </c>
      <c r="F87" s="10">
        <v>619951.33488600003</v>
      </c>
      <c r="G87" s="11">
        <v>0.975424442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114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ht="25.5" x14ac:dyDescent="0.2">
      <c r="A90" s="3" t="s">
        <v>10</v>
      </c>
      <c r="B90" s="3" t="s">
        <v>10</v>
      </c>
      <c r="C90" s="4" t="s">
        <v>12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104</v>
      </c>
      <c r="D91" s="3" t="s">
        <v>10</v>
      </c>
      <c r="E91" s="3" t="s">
        <v>10</v>
      </c>
      <c r="F91" s="14">
        <v>0</v>
      </c>
      <c r="G91" s="15">
        <v>0</v>
      </c>
      <c r="H91" s="167"/>
    </row>
    <row r="92" spans="1:8" x14ac:dyDescent="0.2">
      <c r="A92" s="3" t="s">
        <v>10</v>
      </c>
      <c r="B92" s="3" t="s">
        <v>10</v>
      </c>
      <c r="C92" s="12" t="s">
        <v>10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115</v>
      </c>
      <c r="D93" s="3" t="s">
        <v>10</v>
      </c>
      <c r="E93" s="3" t="s">
        <v>10</v>
      </c>
      <c r="F93" s="3" t="s">
        <v>10</v>
      </c>
      <c r="G93" s="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116</v>
      </c>
      <c r="D96" s="3" t="s">
        <v>10</v>
      </c>
      <c r="E96" s="3" t="s">
        <v>10</v>
      </c>
      <c r="F96" s="3" t="s">
        <v>10</v>
      </c>
      <c r="G96" s="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104</v>
      </c>
      <c r="D97" s="3" t="s">
        <v>10</v>
      </c>
      <c r="E97" s="3" t="s">
        <v>10</v>
      </c>
      <c r="F97" s="14">
        <v>0</v>
      </c>
      <c r="G97" s="15">
        <v>0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117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104</v>
      </c>
      <c r="D100" s="3" t="s">
        <v>10</v>
      </c>
      <c r="E100" s="3" t="s">
        <v>10</v>
      </c>
      <c r="F100" s="14">
        <v>0</v>
      </c>
      <c r="G100" s="15">
        <v>0</v>
      </c>
      <c r="H100" s="167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118</v>
      </c>
      <c r="D102" s="3" t="s">
        <v>10</v>
      </c>
      <c r="E102" s="3" t="s">
        <v>10</v>
      </c>
      <c r="F102" s="10">
        <v>0</v>
      </c>
      <c r="G102" s="11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119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120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104</v>
      </c>
      <c r="D106" s="3" t="s">
        <v>10</v>
      </c>
      <c r="E106" s="3" t="s">
        <v>10</v>
      </c>
      <c r="F106" s="14">
        <v>0</v>
      </c>
      <c r="G106" s="15">
        <v>0</v>
      </c>
      <c r="H106" s="167"/>
    </row>
    <row r="107" spans="1:8" x14ac:dyDescent="0.2">
      <c r="A107" s="3" t="s">
        <v>10</v>
      </c>
      <c r="B107" s="3" t="s">
        <v>10</v>
      </c>
      <c r="C107" s="12" t="s">
        <v>10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121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104</v>
      </c>
      <c r="D109" s="3" t="s">
        <v>10</v>
      </c>
      <c r="E109" s="3" t="s">
        <v>10</v>
      </c>
      <c r="F109" s="14">
        <v>0</v>
      </c>
      <c r="G109" s="15">
        <v>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122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4">
        <v>0</v>
      </c>
      <c r="G112" s="15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123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5">
        <v>1</v>
      </c>
      <c r="B115" s="6"/>
      <c r="C115" s="6" t="s">
        <v>124</v>
      </c>
      <c r="D115" s="6"/>
      <c r="E115" s="16" t="s">
        <v>10</v>
      </c>
      <c r="F115" s="8">
        <v>11862.2365474</v>
      </c>
      <c r="G115" s="9">
        <v>1.8663908999999999E-2</v>
      </c>
      <c r="H115" s="108">
        <v>3.23</v>
      </c>
    </row>
    <row r="116" spans="1:8" x14ac:dyDescent="0.2">
      <c r="A116" s="5">
        <v>2</v>
      </c>
      <c r="B116" s="6"/>
      <c r="C116" s="6" t="s">
        <v>125</v>
      </c>
      <c r="D116" s="6"/>
      <c r="E116" s="16" t="s">
        <v>10</v>
      </c>
      <c r="F116" s="8">
        <v>3331.9821164</v>
      </c>
      <c r="G116" s="9">
        <v>5.2425029999999999E-3</v>
      </c>
      <c r="H116" s="108">
        <v>3.35</v>
      </c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0">
        <v>15194.2186638</v>
      </c>
      <c r="G117" s="11">
        <v>2.3906411999999998E-2</v>
      </c>
      <c r="H117" s="167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126</v>
      </c>
      <c r="D119" s="3" t="s">
        <v>10</v>
      </c>
      <c r="E119" s="3" t="s">
        <v>10</v>
      </c>
      <c r="F119" s="10">
        <v>15194.2186638</v>
      </c>
      <c r="G119" s="11">
        <v>2.3906411999999998E-2</v>
      </c>
      <c r="H119" s="167"/>
    </row>
    <row r="120" spans="1:8" x14ac:dyDescent="0.2">
      <c r="A120" s="3" t="s">
        <v>10</v>
      </c>
      <c r="B120" s="3" t="s">
        <v>10</v>
      </c>
      <c r="C120" s="13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127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128</v>
      </c>
      <c r="D122" s="3" t="s">
        <v>10</v>
      </c>
      <c r="E122" s="3" t="s">
        <v>10</v>
      </c>
      <c r="F122" s="3" t="s">
        <v>10</v>
      </c>
      <c r="G122" s="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104</v>
      </c>
      <c r="D123" s="3" t="s">
        <v>10</v>
      </c>
      <c r="E123" s="3" t="s">
        <v>10</v>
      </c>
      <c r="F123" s="14">
        <v>0</v>
      </c>
      <c r="G123" s="15">
        <v>0</v>
      </c>
      <c r="H123" s="167"/>
    </row>
    <row r="124" spans="1:8" x14ac:dyDescent="0.2">
      <c r="A124" s="3" t="s">
        <v>10</v>
      </c>
      <c r="B124" s="3" t="s">
        <v>10</v>
      </c>
      <c r="C124" s="12" t="s">
        <v>10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129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130</v>
      </c>
      <c r="D126" s="3" t="s">
        <v>10</v>
      </c>
      <c r="E126" s="3" t="s">
        <v>10</v>
      </c>
      <c r="F126" s="3" t="s">
        <v>10</v>
      </c>
      <c r="G126" s="3" t="s">
        <v>10</v>
      </c>
      <c r="H126" s="167"/>
    </row>
    <row r="127" spans="1:8" x14ac:dyDescent="0.2">
      <c r="A127" s="3" t="s">
        <v>10</v>
      </c>
      <c r="B127" s="3" t="s">
        <v>10</v>
      </c>
      <c r="C127" s="4" t="s">
        <v>104</v>
      </c>
      <c r="D127" s="3" t="s">
        <v>10</v>
      </c>
      <c r="E127" s="3" t="s">
        <v>10</v>
      </c>
      <c r="F127" s="14">
        <v>0</v>
      </c>
      <c r="G127" s="15">
        <v>0</v>
      </c>
      <c r="H127" s="167"/>
    </row>
    <row r="128" spans="1:8" x14ac:dyDescent="0.2">
      <c r="A128" s="3" t="s">
        <v>10</v>
      </c>
      <c r="B128" s="3" t="s">
        <v>10</v>
      </c>
      <c r="C128" s="12" t="s">
        <v>10</v>
      </c>
      <c r="D128" s="3" t="s">
        <v>10</v>
      </c>
      <c r="E128" s="3" t="s">
        <v>10</v>
      </c>
      <c r="F128" s="13" t="s">
        <v>10</v>
      </c>
      <c r="G128" s="13" t="s">
        <v>10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ht="25.5" x14ac:dyDescent="0.2">
      <c r="A130" s="3" t="s">
        <v>10</v>
      </c>
      <c r="B130" s="3" t="s">
        <v>10</v>
      </c>
      <c r="C130" s="4" t="s">
        <v>131</v>
      </c>
      <c r="D130" s="3" t="s">
        <v>10</v>
      </c>
      <c r="E130" s="3" t="s">
        <v>10</v>
      </c>
      <c r="F130" s="13" t="s">
        <v>10</v>
      </c>
      <c r="G130" s="13" t="s">
        <v>10</v>
      </c>
      <c r="H130" s="167"/>
    </row>
    <row r="131" spans="1:8" x14ac:dyDescent="0.2">
      <c r="A131" s="3" t="s">
        <v>10</v>
      </c>
      <c r="B131" s="3" t="s">
        <v>10</v>
      </c>
      <c r="C131" s="4" t="s">
        <v>104</v>
      </c>
      <c r="D131" s="3" t="s">
        <v>10</v>
      </c>
      <c r="E131" s="3" t="s">
        <v>10</v>
      </c>
      <c r="F131" s="14">
        <v>0</v>
      </c>
      <c r="G131" s="15">
        <v>0</v>
      </c>
      <c r="H131" s="167"/>
    </row>
    <row r="132" spans="1:8" x14ac:dyDescent="0.2">
      <c r="A132" s="3" t="s">
        <v>10</v>
      </c>
      <c r="B132" s="3" t="s">
        <v>10</v>
      </c>
      <c r="C132" s="12" t="s">
        <v>10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x14ac:dyDescent="0.2">
      <c r="A133" s="3" t="s">
        <v>10</v>
      </c>
      <c r="B133" s="6" t="s">
        <v>10</v>
      </c>
      <c r="C133" s="6" t="s">
        <v>10</v>
      </c>
      <c r="D133" s="4" t="s">
        <v>10</v>
      </c>
      <c r="E133" s="3" t="s">
        <v>10</v>
      </c>
      <c r="F133" s="6" t="s">
        <v>10</v>
      </c>
      <c r="G133" s="16" t="s">
        <v>10</v>
      </c>
      <c r="H133" s="167"/>
    </row>
    <row r="134" spans="1:8" x14ac:dyDescent="0.2">
      <c r="A134" s="16" t="s">
        <v>10</v>
      </c>
      <c r="B134" s="6" t="s">
        <v>10</v>
      </c>
      <c r="C134" s="6" t="s">
        <v>132</v>
      </c>
      <c r="D134" s="6" t="s">
        <v>10</v>
      </c>
      <c r="E134" s="16" t="s">
        <v>10</v>
      </c>
      <c r="F134" s="8">
        <v>425.28903723000002</v>
      </c>
      <c r="G134" s="9">
        <v>6.69145E-4</v>
      </c>
      <c r="H134" s="167"/>
    </row>
    <row r="135" spans="1:8" x14ac:dyDescent="0.2">
      <c r="A135" s="12" t="s">
        <v>10</v>
      </c>
      <c r="B135" s="12" t="s">
        <v>10</v>
      </c>
      <c r="C135" s="4" t="s">
        <v>133</v>
      </c>
      <c r="D135" s="17" t="s">
        <v>10</v>
      </c>
      <c r="E135" s="17" t="s">
        <v>10</v>
      </c>
      <c r="F135" s="10">
        <v>635570.84258703003</v>
      </c>
      <c r="G135" s="11">
        <v>1</v>
      </c>
      <c r="H135" s="167"/>
    </row>
    <row r="136" spans="1:8" ht="14.1" customHeight="1" x14ac:dyDescent="0.2">
      <c r="A136" s="18" t="s">
        <v>10</v>
      </c>
      <c r="B136" s="18" t="s">
        <v>10</v>
      </c>
      <c r="C136" s="18" t="s">
        <v>10</v>
      </c>
      <c r="D136" s="19" t="s">
        <v>10</v>
      </c>
      <c r="E136" s="19" t="s">
        <v>10</v>
      </c>
      <c r="F136" s="19" t="s">
        <v>10</v>
      </c>
      <c r="G136" s="19" t="s">
        <v>10</v>
      </c>
    </row>
    <row r="137" spans="1:8" ht="14.1" customHeight="1" x14ac:dyDescent="0.2">
      <c r="A137" s="20" t="s">
        <v>10</v>
      </c>
      <c r="B137" s="208" t="s">
        <v>10</v>
      </c>
      <c r="C137" s="208"/>
      <c r="D137" s="208"/>
      <c r="E137" s="208"/>
      <c r="F137" s="208"/>
      <c r="G137" s="22" t="s">
        <v>10</v>
      </c>
    </row>
    <row r="138" spans="1:8" ht="14.1" customHeight="1" x14ac:dyDescent="0.2">
      <c r="A138" s="20" t="s">
        <v>10</v>
      </c>
      <c r="B138" s="208" t="s">
        <v>10</v>
      </c>
      <c r="C138" s="208"/>
      <c r="D138" s="208"/>
      <c r="E138" s="208"/>
      <c r="F138" s="208"/>
      <c r="G138" s="22" t="s">
        <v>10</v>
      </c>
    </row>
    <row r="139" spans="1:8" ht="14.1" customHeight="1" x14ac:dyDescent="0.2">
      <c r="A139" s="20" t="s">
        <v>10</v>
      </c>
      <c r="B139" s="20" t="s">
        <v>10</v>
      </c>
      <c r="C139" s="20" t="s">
        <v>10</v>
      </c>
      <c r="D139" s="22" t="s">
        <v>10</v>
      </c>
      <c r="E139" s="22" t="s">
        <v>10</v>
      </c>
      <c r="F139" s="22" t="s">
        <v>10</v>
      </c>
      <c r="G139" s="22" t="s">
        <v>10</v>
      </c>
    </row>
    <row r="140" spans="1:8" ht="14.1" customHeight="1" x14ac:dyDescent="0.2">
      <c r="A140" s="20" t="s">
        <v>10</v>
      </c>
      <c r="B140" s="206" t="s">
        <v>134</v>
      </c>
      <c r="C140" s="207"/>
      <c r="D140" s="13" t="s">
        <v>10</v>
      </c>
      <c r="E140" s="23" t="s">
        <v>10</v>
      </c>
      <c r="F140" s="22" t="s">
        <v>10</v>
      </c>
      <c r="G140" s="22" t="s">
        <v>10</v>
      </c>
    </row>
    <row r="141" spans="1:8" ht="29.1" customHeight="1" x14ac:dyDescent="0.2">
      <c r="A141" s="20" t="s">
        <v>10</v>
      </c>
      <c r="B141" s="213" t="s">
        <v>135</v>
      </c>
      <c r="C141" s="214"/>
      <c r="D141" s="4" t="s">
        <v>136</v>
      </c>
      <c r="E141" s="23" t="s">
        <v>10</v>
      </c>
      <c r="F141" s="22" t="s">
        <v>10</v>
      </c>
      <c r="G141" s="22" t="s">
        <v>10</v>
      </c>
    </row>
    <row r="142" spans="1:8" ht="17.100000000000001" customHeight="1" x14ac:dyDescent="0.2">
      <c r="A142" s="20" t="s">
        <v>10</v>
      </c>
      <c r="B142" s="213" t="s">
        <v>137</v>
      </c>
      <c r="C142" s="214"/>
      <c r="D142" s="4" t="s">
        <v>136</v>
      </c>
      <c r="E142" s="23" t="s">
        <v>10</v>
      </c>
      <c r="F142" s="22" t="s">
        <v>10</v>
      </c>
      <c r="G142" s="22" t="s">
        <v>10</v>
      </c>
    </row>
    <row r="143" spans="1:8" ht="17.100000000000001" customHeight="1" x14ac:dyDescent="0.2">
      <c r="A143" s="20" t="s">
        <v>10</v>
      </c>
      <c r="B143" s="213" t="s">
        <v>138</v>
      </c>
      <c r="C143" s="214"/>
      <c r="D143" s="13" t="s">
        <v>10</v>
      </c>
      <c r="E143" s="23" t="s">
        <v>10</v>
      </c>
      <c r="F143" s="22" t="s">
        <v>10</v>
      </c>
      <c r="G143" s="22" t="s">
        <v>10</v>
      </c>
    </row>
    <row r="144" spans="1:8" s="20" customFormat="1" ht="17.100000000000001" customHeight="1" x14ac:dyDescent="0.2"/>
    <row r="145" spans="1:7" x14ac:dyDescent="0.2">
      <c r="A145" s="24" t="s">
        <v>10</v>
      </c>
      <c r="B145" s="140" t="s">
        <v>10</v>
      </c>
      <c r="C145" s="140" t="s">
        <v>139</v>
      </c>
      <c r="D145" s="140" t="s">
        <v>140</v>
      </c>
      <c r="E145" s="24" t="s">
        <v>10</v>
      </c>
      <c r="F145" s="24" t="s">
        <v>10</v>
      </c>
      <c r="G145" s="24" t="s">
        <v>10</v>
      </c>
    </row>
    <row r="146" spans="1:7" ht="18" customHeight="1" x14ac:dyDescent="0.2">
      <c r="A146" s="24" t="s">
        <v>10</v>
      </c>
      <c r="B146" s="25" t="s">
        <v>141</v>
      </c>
      <c r="C146" s="25" t="s">
        <v>142</v>
      </c>
      <c r="D146" s="25" t="s">
        <v>143</v>
      </c>
      <c r="E146" s="24" t="s">
        <v>10</v>
      </c>
      <c r="F146" s="24" t="s">
        <v>10</v>
      </c>
      <c r="G146" s="24" t="s">
        <v>10</v>
      </c>
    </row>
    <row r="147" spans="1:7" ht="17.100000000000001" customHeight="1" x14ac:dyDescent="0.2">
      <c r="A147" s="24" t="s">
        <v>10</v>
      </c>
      <c r="B147" s="6" t="s">
        <v>144</v>
      </c>
      <c r="C147" s="26">
        <v>604.41510000000005</v>
      </c>
      <c r="D147" s="26">
        <v>635.06510000000003</v>
      </c>
      <c r="E147" s="24" t="s">
        <v>10</v>
      </c>
      <c r="F147" s="21" t="s">
        <v>10</v>
      </c>
      <c r="G147" s="27" t="s">
        <v>10</v>
      </c>
    </row>
    <row r="148" spans="1:7" ht="17.100000000000001" customHeight="1" x14ac:dyDescent="0.2">
      <c r="A148" s="24" t="s">
        <v>10</v>
      </c>
      <c r="B148" s="6" t="s">
        <v>917</v>
      </c>
      <c r="C148" s="26">
        <v>40.696300000000001</v>
      </c>
      <c r="D148" s="26">
        <v>42.760100000000001</v>
      </c>
      <c r="E148" s="24" t="s">
        <v>10</v>
      </c>
      <c r="F148" s="21" t="s">
        <v>10</v>
      </c>
      <c r="G148" s="27" t="s">
        <v>10</v>
      </c>
    </row>
    <row r="149" spans="1:7" ht="29.1" customHeight="1" x14ac:dyDescent="0.2">
      <c r="A149" s="24" t="s">
        <v>10</v>
      </c>
      <c r="B149" s="6" t="s">
        <v>397</v>
      </c>
      <c r="C149" s="26">
        <v>616.92190000000005</v>
      </c>
      <c r="D149" s="26">
        <v>648.20619999999997</v>
      </c>
      <c r="E149" s="24" t="s">
        <v>10</v>
      </c>
      <c r="F149" s="21" t="s">
        <v>10</v>
      </c>
      <c r="G149" s="27" t="s">
        <v>10</v>
      </c>
    </row>
    <row r="150" spans="1:7" ht="29.1" customHeight="1" x14ac:dyDescent="0.2">
      <c r="A150" s="24" t="s">
        <v>10</v>
      </c>
      <c r="B150" s="6" t="s">
        <v>998</v>
      </c>
      <c r="C150" s="26">
        <v>35.073599999999999</v>
      </c>
      <c r="D150" s="26">
        <v>36.852200000000003</v>
      </c>
      <c r="E150" s="24" t="s">
        <v>10</v>
      </c>
      <c r="F150" s="21" t="s">
        <v>10</v>
      </c>
      <c r="G150" s="27" t="s">
        <v>10</v>
      </c>
    </row>
    <row r="151" spans="1:7" ht="17.100000000000001" customHeight="1" x14ac:dyDescent="0.2">
      <c r="A151" s="24" t="s">
        <v>10</v>
      </c>
      <c r="B151" s="6" t="s">
        <v>145</v>
      </c>
      <c r="C151" s="26">
        <v>573.81579999999997</v>
      </c>
      <c r="D151" s="26">
        <v>602.44839999999999</v>
      </c>
      <c r="E151" s="24" t="s">
        <v>10</v>
      </c>
      <c r="F151" s="21" t="s">
        <v>10</v>
      </c>
      <c r="G151" s="27" t="s">
        <v>10</v>
      </c>
    </row>
    <row r="152" spans="1:7" ht="17.100000000000001" customHeight="1" x14ac:dyDescent="0.2">
      <c r="A152" s="24" t="s">
        <v>10</v>
      </c>
      <c r="B152" s="6" t="s">
        <v>918</v>
      </c>
      <c r="C152" s="26">
        <v>38.096499999999999</v>
      </c>
      <c r="D152" s="26">
        <v>39.997500000000002</v>
      </c>
      <c r="E152" s="24" t="s">
        <v>10</v>
      </c>
      <c r="F152" s="21" t="s">
        <v>10</v>
      </c>
      <c r="G152" s="27" t="s">
        <v>10</v>
      </c>
    </row>
    <row r="153" spans="1:7" ht="14.1" customHeight="1" x14ac:dyDescent="0.2">
      <c r="A153" s="24" t="s">
        <v>10</v>
      </c>
      <c r="B153" s="24" t="s">
        <v>10</v>
      </c>
      <c r="C153" s="24" t="s">
        <v>10</v>
      </c>
      <c r="D153" s="24" t="s">
        <v>10</v>
      </c>
      <c r="E153" s="24" t="s">
        <v>10</v>
      </c>
      <c r="F153" s="24" t="s">
        <v>10</v>
      </c>
      <c r="G153" s="24" t="s">
        <v>10</v>
      </c>
    </row>
    <row r="154" spans="1:7" ht="17.100000000000001" customHeight="1" x14ac:dyDescent="0.2">
      <c r="A154" s="24" t="s">
        <v>10</v>
      </c>
      <c r="B154" s="213" t="s">
        <v>999</v>
      </c>
      <c r="C154" s="214"/>
      <c r="D154" s="4" t="s">
        <v>136</v>
      </c>
      <c r="E154" s="24" t="s">
        <v>10</v>
      </c>
      <c r="F154" s="24" t="s">
        <v>10</v>
      </c>
      <c r="G154" s="24" t="s">
        <v>10</v>
      </c>
    </row>
    <row r="155" spans="1:7" ht="18" customHeight="1" x14ac:dyDescent="0.2">
      <c r="A155" s="24" t="s">
        <v>10</v>
      </c>
      <c r="B155" s="28"/>
      <c r="C155" s="28"/>
      <c r="D155" s="29" t="s">
        <v>10</v>
      </c>
      <c r="E155" s="24" t="s">
        <v>10</v>
      </c>
      <c r="F155" s="24" t="s">
        <v>10</v>
      </c>
      <c r="G155" s="24" t="s">
        <v>10</v>
      </c>
    </row>
    <row r="156" spans="1:7" ht="18" customHeight="1" x14ac:dyDescent="0.2">
      <c r="A156" s="172"/>
      <c r="B156" s="217" t="s">
        <v>919</v>
      </c>
      <c r="C156" s="217"/>
      <c r="D156" s="217"/>
      <c r="E156" s="217"/>
      <c r="F156" s="217"/>
      <c r="G156" s="172"/>
    </row>
    <row r="157" spans="1:7" ht="14.1" customHeight="1" x14ac:dyDescent="0.2">
      <c r="A157" s="24" t="s">
        <v>10</v>
      </c>
      <c r="B157" s="21" t="s">
        <v>10</v>
      </c>
      <c r="C157" s="21" t="s">
        <v>10</v>
      </c>
      <c r="D157" s="24" t="s">
        <v>10</v>
      </c>
      <c r="E157" s="24" t="s">
        <v>10</v>
      </c>
      <c r="F157" s="24" t="s">
        <v>10</v>
      </c>
      <c r="G157" s="24" t="s">
        <v>10</v>
      </c>
    </row>
    <row r="158" spans="1:7" ht="29.1" customHeight="1" x14ac:dyDescent="0.2">
      <c r="A158" s="24" t="s">
        <v>10</v>
      </c>
      <c r="B158" s="213" t="s">
        <v>146</v>
      </c>
      <c r="C158" s="214"/>
      <c r="D158" s="4" t="s">
        <v>136</v>
      </c>
      <c r="E158" s="24" t="s">
        <v>10</v>
      </c>
      <c r="F158" s="24" t="s">
        <v>10</v>
      </c>
      <c r="G158" s="24" t="s">
        <v>10</v>
      </c>
    </row>
    <row r="159" spans="1:7" ht="29.1" customHeight="1" x14ac:dyDescent="0.2">
      <c r="A159" s="24" t="s">
        <v>10</v>
      </c>
      <c r="B159" s="213" t="s">
        <v>147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7" ht="17.100000000000001" customHeight="1" x14ac:dyDescent="0.2">
      <c r="A160" s="24" t="s">
        <v>10</v>
      </c>
      <c r="B160" s="213" t="s">
        <v>148</v>
      </c>
      <c r="C160" s="214"/>
      <c r="D160" s="30">
        <v>0.62265093676292116</v>
      </c>
      <c r="E160" s="24" t="s">
        <v>10</v>
      </c>
      <c r="F160" s="21" t="s">
        <v>10</v>
      </c>
      <c r="G160" s="27" t="s">
        <v>10</v>
      </c>
    </row>
    <row r="161" spans="1:7" ht="17.100000000000001" customHeight="1" x14ac:dyDescent="0.2">
      <c r="A161" s="24" t="s">
        <v>10</v>
      </c>
      <c r="B161" s="213" t="s">
        <v>149</v>
      </c>
      <c r="C161" s="214"/>
      <c r="D161" s="4" t="s">
        <v>136</v>
      </c>
      <c r="E161" s="24" t="s">
        <v>10</v>
      </c>
      <c r="F161" s="24" t="s">
        <v>10</v>
      </c>
      <c r="G161" s="24" t="s">
        <v>10</v>
      </c>
    </row>
  </sheetData>
  <mergeCells count="15">
    <mergeCell ref="B160:C160"/>
    <mergeCell ref="B161:C161"/>
    <mergeCell ref="B141:C141"/>
    <mergeCell ref="B142:C142"/>
    <mergeCell ref="B143:C143"/>
    <mergeCell ref="B154:C154"/>
    <mergeCell ref="B158:C158"/>
    <mergeCell ref="B159:C159"/>
    <mergeCell ref="B156:F156"/>
    <mergeCell ref="B140:C140"/>
    <mergeCell ref="B137:F137"/>
    <mergeCell ref="B138:F13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46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398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51</v>
      </c>
      <c r="C7" s="6" t="s">
        <v>52</v>
      </c>
      <c r="D7" s="6" t="s">
        <v>23</v>
      </c>
      <c r="E7" s="7">
        <v>58344</v>
      </c>
      <c r="F7" s="8">
        <v>884.40752399999997</v>
      </c>
      <c r="G7" s="9">
        <v>6.9487177999999997E-2</v>
      </c>
      <c r="H7" s="167"/>
    </row>
    <row r="8" spans="1:8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40288</v>
      </c>
      <c r="F8" s="8">
        <v>870.34166400000004</v>
      </c>
      <c r="G8" s="9">
        <v>6.8382034999999994E-2</v>
      </c>
      <c r="H8" s="167"/>
    </row>
    <row r="9" spans="1:8" x14ac:dyDescent="0.2">
      <c r="A9" s="5">
        <v>3</v>
      </c>
      <c r="B9" s="6" t="s">
        <v>21</v>
      </c>
      <c r="C9" s="6" t="s">
        <v>22</v>
      </c>
      <c r="D9" s="6" t="s">
        <v>23</v>
      </c>
      <c r="E9" s="7">
        <v>118809</v>
      </c>
      <c r="F9" s="8">
        <v>787.40664749999996</v>
      </c>
      <c r="G9" s="9">
        <v>6.1865898000000002E-2</v>
      </c>
      <c r="H9" s="167"/>
    </row>
    <row r="10" spans="1:8" x14ac:dyDescent="0.2">
      <c r="A10" s="5">
        <v>4</v>
      </c>
      <c r="B10" s="6" t="s">
        <v>151</v>
      </c>
      <c r="C10" s="6" t="s">
        <v>152</v>
      </c>
      <c r="D10" s="6" t="s">
        <v>153</v>
      </c>
      <c r="E10" s="7">
        <v>19144</v>
      </c>
      <c r="F10" s="8">
        <v>617.35571200000004</v>
      </c>
      <c r="G10" s="9">
        <v>4.8505134999999998E-2</v>
      </c>
      <c r="H10" s="167"/>
    </row>
    <row r="11" spans="1:8" x14ac:dyDescent="0.2">
      <c r="A11" s="5">
        <v>5</v>
      </c>
      <c r="B11" s="6" t="s">
        <v>399</v>
      </c>
      <c r="C11" s="6" t="s">
        <v>400</v>
      </c>
      <c r="D11" s="6" t="s">
        <v>167</v>
      </c>
      <c r="E11" s="7">
        <v>41823</v>
      </c>
      <c r="F11" s="8">
        <v>582.90806250000003</v>
      </c>
      <c r="G11" s="9">
        <v>4.5798611000000003E-2</v>
      </c>
      <c r="H11" s="167"/>
    </row>
    <row r="12" spans="1:8" ht="25.5" x14ac:dyDescent="0.2">
      <c r="A12" s="5">
        <v>6</v>
      </c>
      <c r="B12" s="6" t="s">
        <v>401</v>
      </c>
      <c r="C12" s="6" t="s">
        <v>402</v>
      </c>
      <c r="D12" s="6" t="s">
        <v>158</v>
      </c>
      <c r="E12" s="7">
        <v>20809</v>
      </c>
      <c r="F12" s="8">
        <v>531.2225565</v>
      </c>
      <c r="G12" s="9">
        <v>4.1737722999999997E-2</v>
      </c>
      <c r="H12" s="167"/>
    </row>
    <row r="13" spans="1:8" x14ac:dyDescent="0.2">
      <c r="A13" s="5">
        <v>7</v>
      </c>
      <c r="B13" s="6" t="s">
        <v>370</v>
      </c>
      <c r="C13" s="6" t="s">
        <v>371</v>
      </c>
      <c r="D13" s="6" t="s">
        <v>23</v>
      </c>
      <c r="E13" s="7">
        <v>57031</v>
      </c>
      <c r="F13" s="8">
        <v>428.13171699999998</v>
      </c>
      <c r="G13" s="9">
        <v>3.3637960000000001E-2</v>
      </c>
      <c r="H13" s="167"/>
    </row>
    <row r="14" spans="1:8" x14ac:dyDescent="0.2">
      <c r="A14" s="5">
        <v>8</v>
      </c>
      <c r="B14" s="6" t="s">
        <v>403</v>
      </c>
      <c r="C14" s="6" t="s">
        <v>404</v>
      </c>
      <c r="D14" s="6" t="s">
        <v>23</v>
      </c>
      <c r="E14" s="7">
        <v>99454</v>
      </c>
      <c r="F14" s="8">
        <v>422.03304900000001</v>
      </c>
      <c r="G14" s="9">
        <v>3.3158792999999999E-2</v>
      </c>
      <c r="H14" s="167"/>
    </row>
    <row r="15" spans="1:8" x14ac:dyDescent="0.2">
      <c r="A15" s="5">
        <v>9</v>
      </c>
      <c r="B15" s="6" t="s">
        <v>27</v>
      </c>
      <c r="C15" s="6" t="s">
        <v>28</v>
      </c>
      <c r="D15" s="6" t="s">
        <v>29</v>
      </c>
      <c r="E15" s="7">
        <v>32394</v>
      </c>
      <c r="F15" s="8">
        <v>395.28778499999999</v>
      </c>
      <c r="G15" s="9">
        <v>3.1057438999999999E-2</v>
      </c>
      <c r="H15" s="167"/>
    </row>
    <row r="16" spans="1:8" ht="25.5" x14ac:dyDescent="0.2">
      <c r="A16" s="5">
        <v>10</v>
      </c>
      <c r="B16" s="6" t="s">
        <v>327</v>
      </c>
      <c r="C16" s="6" t="s">
        <v>328</v>
      </c>
      <c r="D16" s="6" t="s">
        <v>78</v>
      </c>
      <c r="E16" s="7">
        <v>33620</v>
      </c>
      <c r="F16" s="8">
        <v>340.08310999999998</v>
      </c>
      <c r="G16" s="9">
        <v>2.6720053000000001E-2</v>
      </c>
      <c r="H16" s="167"/>
    </row>
    <row r="17" spans="1:8" x14ac:dyDescent="0.2">
      <c r="A17" s="5">
        <v>11</v>
      </c>
      <c r="B17" s="6" t="s">
        <v>24</v>
      </c>
      <c r="C17" s="6" t="s">
        <v>25</v>
      </c>
      <c r="D17" s="6" t="s">
        <v>26</v>
      </c>
      <c r="E17" s="7">
        <v>57903</v>
      </c>
      <c r="F17" s="8">
        <v>309.72314699999998</v>
      </c>
      <c r="G17" s="9">
        <v>2.4334695E-2</v>
      </c>
      <c r="H17" s="167"/>
    </row>
    <row r="18" spans="1:8" x14ac:dyDescent="0.2">
      <c r="A18" s="5">
        <v>12</v>
      </c>
      <c r="B18" s="6" t="s">
        <v>309</v>
      </c>
      <c r="C18" s="6" t="s">
        <v>310</v>
      </c>
      <c r="D18" s="6" t="s">
        <v>971</v>
      </c>
      <c r="E18" s="7">
        <v>9814</v>
      </c>
      <c r="F18" s="8">
        <v>305.333168</v>
      </c>
      <c r="G18" s="9">
        <v>2.3989778E-2</v>
      </c>
      <c r="H18" s="167"/>
    </row>
    <row r="19" spans="1:8" x14ac:dyDescent="0.2">
      <c r="A19" s="5">
        <v>13</v>
      </c>
      <c r="B19" s="6" t="s">
        <v>349</v>
      </c>
      <c r="C19" s="6" t="s">
        <v>350</v>
      </c>
      <c r="D19" s="6" t="s">
        <v>972</v>
      </c>
      <c r="E19" s="7">
        <v>50010</v>
      </c>
      <c r="F19" s="8">
        <v>300.785145</v>
      </c>
      <c r="G19" s="9">
        <v>2.3632443999999999E-2</v>
      </c>
      <c r="H19" s="167"/>
    </row>
    <row r="20" spans="1:8" x14ac:dyDescent="0.2">
      <c r="A20" s="5">
        <v>14</v>
      </c>
      <c r="B20" s="6" t="s">
        <v>405</v>
      </c>
      <c r="C20" s="6" t="s">
        <v>406</v>
      </c>
      <c r="D20" s="6" t="s">
        <v>969</v>
      </c>
      <c r="E20" s="7">
        <v>30074</v>
      </c>
      <c r="F20" s="8">
        <v>293.41698100000002</v>
      </c>
      <c r="G20" s="9">
        <v>2.3053533000000001E-2</v>
      </c>
      <c r="H20" s="167"/>
    </row>
    <row r="21" spans="1:8" ht="25.5" x14ac:dyDescent="0.2">
      <c r="A21" s="5">
        <v>15</v>
      </c>
      <c r="B21" s="6" t="s">
        <v>40</v>
      </c>
      <c r="C21" s="6" t="s">
        <v>41</v>
      </c>
      <c r="D21" s="6" t="s">
        <v>970</v>
      </c>
      <c r="E21" s="7">
        <v>4173</v>
      </c>
      <c r="F21" s="8">
        <v>279.92484000000002</v>
      </c>
      <c r="G21" s="9">
        <v>2.1993466E-2</v>
      </c>
      <c r="H21" s="167"/>
    </row>
    <row r="22" spans="1:8" x14ac:dyDescent="0.2">
      <c r="A22" s="5">
        <v>16</v>
      </c>
      <c r="B22" s="6" t="s">
        <v>407</v>
      </c>
      <c r="C22" s="6" t="s">
        <v>408</v>
      </c>
      <c r="D22" s="6" t="s">
        <v>94</v>
      </c>
      <c r="E22" s="7">
        <v>33032</v>
      </c>
      <c r="F22" s="8">
        <v>266.88204400000001</v>
      </c>
      <c r="G22" s="9">
        <v>2.0968705000000001E-2</v>
      </c>
      <c r="H22" s="167"/>
    </row>
    <row r="23" spans="1:8" x14ac:dyDescent="0.2">
      <c r="A23" s="5">
        <v>17</v>
      </c>
      <c r="B23" s="6" t="s">
        <v>13</v>
      </c>
      <c r="C23" s="6" t="s">
        <v>14</v>
      </c>
      <c r="D23" s="6" t="s">
        <v>15</v>
      </c>
      <c r="E23" s="7">
        <v>18120</v>
      </c>
      <c r="F23" s="8">
        <v>265.94724000000002</v>
      </c>
      <c r="G23" s="9">
        <v>2.0895258E-2</v>
      </c>
      <c r="H23" s="167"/>
    </row>
    <row r="24" spans="1:8" ht="25.5" x14ac:dyDescent="0.2">
      <c r="A24" s="5">
        <v>18</v>
      </c>
      <c r="B24" s="6" t="s">
        <v>331</v>
      </c>
      <c r="C24" s="6" t="s">
        <v>332</v>
      </c>
      <c r="D24" s="6" t="s">
        <v>75</v>
      </c>
      <c r="E24" s="7">
        <v>62892</v>
      </c>
      <c r="F24" s="8">
        <v>250.46738999999999</v>
      </c>
      <c r="G24" s="9">
        <v>1.9679018999999999E-2</v>
      </c>
      <c r="H24" s="167"/>
    </row>
    <row r="25" spans="1:8" ht="25.5" x14ac:dyDescent="0.2">
      <c r="A25" s="5">
        <v>19</v>
      </c>
      <c r="B25" s="6" t="s">
        <v>200</v>
      </c>
      <c r="C25" s="6" t="s">
        <v>201</v>
      </c>
      <c r="D25" s="6" t="s">
        <v>75</v>
      </c>
      <c r="E25" s="7">
        <v>10000</v>
      </c>
      <c r="F25" s="8">
        <v>225.4</v>
      </c>
      <c r="G25" s="9">
        <v>1.7709493999999999E-2</v>
      </c>
      <c r="H25" s="167"/>
    </row>
    <row r="26" spans="1:8" x14ac:dyDescent="0.2">
      <c r="A26" s="5">
        <v>20</v>
      </c>
      <c r="B26" s="6" t="s">
        <v>218</v>
      </c>
      <c r="C26" s="6" t="s">
        <v>219</v>
      </c>
      <c r="D26" s="6" t="s">
        <v>973</v>
      </c>
      <c r="E26" s="7">
        <v>32477</v>
      </c>
      <c r="F26" s="8">
        <v>221.85038700000001</v>
      </c>
      <c r="G26" s="9">
        <v>1.7430603999999999E-2</v>
      </c>
      <c r="H26" s="167"/>
    </row>
    <row r="27" spans="1:8" x14ac:dyDescent="0.2">
      <c r="A27" s="5">
        <v>21</v>
      </c>
      <c r="B27" s="6" t="s">
        <v>409</v>
      </c>
      <c r="C27" s="6" t="s">
        <v>410</v>
      </c>
      <c r="D27" s="6" t="s">
        <v>192</v>
      </c>
      <c r="E27" s="7">
        <v>21682</v>
      </c>
      <c r="F27" s="8">
        <v>216.375519</v>
      </c>
      <c r="G27" s="9">
        <v>1.7000448000000001E-2</v>
      </c>
      <c r="H27" s="167"/>
    </row>
    <row r="28" spans="1:8" x14ac:dyDescent="0.2">
      <c r="A28" s="5">
        <v>22</v>
      </c>
      <c r="B28" s="6" t="s">
        <v>411</v>
      </c>
      <c r="C28" s="6" t="s">
        <v>412</v>
      </c>
      <c r="D28" s="6" t="s">
        <v>167</v>
      </c>
      <c r="E28" s="7">
        <v>39000</v>
      </c>
      <c r="F28" s="8">
        <v>210.2295</v>
      </c>
      <c r="G28" s="9">
        <v>1.6517560000000001E-2</v>
      </c>
      <c r="H28" s="167"/>
    </row>
    <row r="29" spans="1:8" x14ac:dyDescent="0.2">
      <c r="A29" s="5">
        <v>23</v>
      </c>
      <c r="B29" s="6" t="s">
        <v>86</v>
      </c>
      <c r="C29" s="6" t="s">
        <v>87</v>
      </c>
      <c r="D29" s="6" t="s">
        <v>29</v>
      </c>
      <c r="E29" s="7">
        <v>25977</v>
      </c>
      <c r="F29" s="8">
        <v>204.41301300000001</v>
      </c>
      <c r="G29" s="9">
        <v>1.6060563999999999E-2</v>
      </c>
      <c r="H29" s="167"/>
    </row>
    <row r="30" spans="1:8" x14ac:dyDescent="0.2">
      <c r="A30" s="5">
        <v>24</v>
      </c>
      <c r="B30" s="6" t="s">
        <v>413</v>
      </c>
      <c r="C30" s="6" t="s">
        <v>414</v>
      </c>
      <c r="D30" s="6" t="s">
        <v>167</v>
      </c>
      <c r="E30" s="7">
        <v>6466</v>
      </c>
      <c r="F30" s="8">
        <v>204.27063899999999</v>
      </c>
      <c r="G30" s="9">
        <v>1.6049378E-2</v>
      </c>
      <c r="H30" s="167"/>
    </row>
    <row r="31" spans="1:8" x14ac:dyDescent="0.2">
      <c r="A31" s="5">
        <v>25</v>
      </c>
      <c r="B31" s="6" t="s">
        <v>415</v>
      </c>
      <c r="C31" s="6" t="s">
        <v>416</v>
      </c>
      <c r="D31" s="6" t="s">
        <v>192</v>
      </c>
      <c r="E31" s="7">
        <v>30197</v>
      </c>
      <c r="F31" s="8">
        <v>201.80655100000001</v>
      </c>
      <c r="G31" s="9">
        <v>1.5855775999999999E-2</v>
      </c>
      <c r="H31" s="167"/>
    </row>
    <row r="32" spans="1:8" x14ac:dyDescent="0.2">
      <c r="A32" s="5">
        <v>26</v>
      </c>
      <c r="B32" s="6" t="s">
        <v>417</v>
      </c>
      <c r="C32" s="6" t="s">
        <v>418</v>
      </c>
      <c r="D32" s="6" t="s">
        <v>57</v>
      </c>
      <c r="E32" s="7">
        <v>17000</v>
      </c>
      <c r="F32" s="8">
        <v>191.3605</v>
      </c>
      <c r="G32" s="9">
        <v>1.5035038000000001E-2</v>
      </c>
      <c r="H32" s="167"/>
    </row>
    <row r="33" spans="1:8" x14ac:dyDescent="0.2">
      <c r="A33" s="5">
        <v>27</v>
      </c>
      <c r="B33" s="6" t="s">
        <v>362</v>
      </c>
      <c r="C33" s="6" t="s">
        <v>363</v>
      </c>
      <c r="D33" s="6" t="s">
        <v>75</v>
      </c>
      <c r="E33" s="7">
        <v>8763</v>
      </c>
      <c r="F33" s="8">
        <v>189.49111199999999</v>
      </c>
      <c r="G33" s="9">
        <v>1.4888162E-2</v>
      </c>
      <c r="H33" s="167"/>
    </row>
    <row r="34" spans="1:8" x14ac:dyDescent="0.2">
      <c r="A34" s="5">
        <v>28</v>
      </c>
      <c r="B34" s="6" t="s">
        <v>61</v>
      </c>
      <c r="C34" s="6" t="s">
        <v>62</v>
      </c>
      <c r="D34" s="6" t="s">
        <v>18</v>
      </c>
      <c r="E34" s="7">
        <v>37123</v>
      </c>
      <c r="F34" s="8">
        <v>175.22056000000001</v>
      </c>
      <c r="G34" s="9">
        <v>1.3766937E-2</v>
      </c>
      <c r="H34" s="167"/>
    </row>
    <row r="35" spans="1:8" x14ac:dyDescent="0.2">
      <c r="A35" s="5">
        <v>29</v>
      </c>
      <c r="B35" s="6" t="s">
        <v>366</v>
      </c>
      <c r="C35" s="6" t="s">
        <v>367</v>
      </c>
      <c r="D35" s="6" t="s">
        <v>167</v>
      </c>
      <c r="E35" s="7">
        <v>18271</v>
      </c>
      <c r="F35" s="8">
        <v>172.69749200000001</v>
      </c>
      <c r="G35" s="9">
        <v>1.3568701000000001E-2</v>
      </c>
      <c r="H35" s="167"/>
    </row>
    <row r="36" spans="1:8" ht="25.5" x14ac:dyDescent="0.2">
      <c r="A36" s="5">
        <v>30</v>
      </c>
      <c r="B36" s="6" t="s">
        <v>419</v>
      </c>
      <c r="C36" s="6" t="s">
        <v>420</v>
      </c>
      <c r="D36" s="6" t="s">
        <v>78</v>
      </c>
      <c r="E36" s="7">
        <v>7325</v>
      </c>
      <c r="F36" s="8">
        <v>171.40866249999999</v>
      </c>
      <c r="G36" s="9">
        <v>1.3467438999999999E-2</v>
      </c>
      <c r="H36" s="167"/>
    </row>
    <row r="37" spans="1:8" x14ac:dyDescent="0.2">
      <c r="A37" s="5">
        <v>31</v>
      </c>
      <c r="B37" s="6" t="s">
        <v>335</v>
      </c>
      <c r="C37" s="6" t="s">
        <v>336</v>
      </c>
      <c r="D37" s="6" t="s">
        <v>284</v>
      </c>
      <c r="E37" s="7">
        <v>19336</v>
      </c>
      <c r="F37" s="8">
        <v>164.67504400000001</v>
      </c>
      <c r="G37" s="9">
        <v>1.2938384000000001E-2</v>
      </c>
      <c r="H37" s="167"/>
    </row>
    <row r="38" spans="1:8" x14ac:dyDescent="0.2">
      <c r="A38" s="5">
        <v>32</v>
      </c>
      <c r="B38" s="6" t="s">
        <v>238</v>
      </c>
      <c r="C38" s="6" t="s">
        <v>239</v>
      </c>
      <c r="D38" s="6" t="s">
        <v>240</v>
      </c>
      <c r="E38" s="7">
        <v>18817</v>
      </c>
      <c r="F38" s="8">
        <v>153.37736699999999</v>
      </c>
      <c r="G38" s="9">
        <v>1.2050735E-2</v>
      </c>
      <c r="H38" s="167"/>
    </row>
    <row r="39" spans="1:8" x14ac:dyDescent="0.2">
      <c r="A39" s="5">
        <v>33</v>
      </c>
      <c r="B39" s="6" t="s">
        <v>323</v>
      </c>
      <c r="C39" s="6" t="s">
        <v>324</v>
      </c>
      <c r="D39" s="6" t="s">
        <v>185</v>
      </c>
      <c r="E39" s="7">
        <v>175</v>
      </c>
      <c r="F39" s="8">
        <v>146.37244999999999</v>
      </c>
      <c r="G39" s="9">
        <v>1.1500364000000001E-2</v>
      </c>
      <c r="H39" s="167"/>
    </row>
    <row r="40" spans="1:8" x14ac:dyDescent="0.2">
      <c r="A40" s="5">
        <v>34</v>
      </c>
      <c r="B40" s="6" t="s">
        <v>421</v>
      </c>
      <c r="C40" s="6" t="s">
        <v>422</v>
      </c>
      <c r="D40" s="6" t="s">
        <v>192</v>
      </c>
      <c r="E40" s="7">
        <v>3376</v>
      </c>
      <c r="F40" s="8">
        <v>141.58944</v>
      </c>
      <c r="G40" s="9">
        <v>1.1124567E-2</v>
      </c>
      <c r="H40" s="167"/>
    </row>
    <row r="41" spans="1:8" ht="25.5" x14ac:dyDescent="0.2">
      <c r="A41" s="5">
        <v>35</v>
      </c>
      <c r="B41" s="6" t="s">
        <v>423</v>
      </c>
      <c r="C41" s="6" t="s">
        <v>424</v>
      </c>
      <c r="D41" s="6" t="s">
        <v>969</v>
      </c>
      <c r="E41" s="7">
        <v>9175</v>
      </c>
      <c r="F41" s="8">
        <v>135.04682500000001</v>
      </c>
      <c r="G41" s="9">
        <v>1.0610519000000001E-2</v>
      </c>
      <c r="H41" s="167"/>
    </row>
    <row r="42" spans="1:8" x14ac:dyDescent="0.2">
      <c r="A42" s="5">
        <v>36</v>
      </c>
      <c r="B42" s="6" t="s">
        <v>347</v>
      </c>
      <c r="C42" s="6" t="s">
        <v>348</v>
      </c>
      <c r="D42" s="6" t="s">
        <v>23</v>
      </c>
      <c r="E42" s="7">
        <v>160000</v>
      </c>
      <c r="F42" s="8">
        <v>129.12</v>
      </c>
      <c r="G42" s="9">
        <v>1.0144853000000001E-2</v>
      </c>
      <c r="H42" s="167"/>
    </row>
    <row r="43" spans="1:8" x14ac:dyDescent="0.2">
      <c r="A43" s="5">
        <v>37</v>
      </c>
      <c r="B43" s="6" t="s">
        <v>333</v>
      </c>
      <c r="C43" s="6" t="s">
        <v>334</v>
      </c>
      <c r="D43" s="6" t="s">
        <v>67</v>
      </c>
      <c r="E43" s="7">
        <v>18750</v>
      </c>
      <c r="F43" s="8">
        <v>128.23124999999999</v>
      </c>
      <c r="G43" s="9">
        <v>1.0075025E-2</v>
      </c>
      <c r="H43" s="167"/>
    </row>
    <row r="44" spans="1:8" ht="25.5" x14ac:dyDescent="0.2">
      <c r="A44" s="5">
        <v>38</v>
      </c>
      <c r="B44" s="6" t="s">
        <v>161</v>
      </c>
      <c r="C44" s="6" t="s">
        <v>162</v>
      </c>
      <c r="D44" s="6" t="s">
        <v>970</v>
      </c>
      <c r="E44" s="7">
        <v>67360</v>
      </c>
      <c r="F44" s="8">
        <v>122.7636</v>
      </c>
      <c r="G44" s="9">
        <v>9.6454360000000003E-3</v>
      </c>
      <c r="H44" s="167"/>
    </row>
    <row r="45" spans="1:8" ht="25.5" x14ac:dyDescent="0.2">
      <c r="A45" s="5">
        <v>39</v>
      </c>
      <c r="B45" s="6" t="s">
        <v>425</v>
      </c>
      <c r="C45" s="6" t="s">
        <v>426</v>
      </c>
      <c r="D45" s="6" t="s">
        <v>78</v>
      </c>
      <c r="E45" s="7">
        <v>53592</v>
      </c>
      <c r="F45" s="8">
        <v>116.08027199999999</v>
      </c>
      <c r="G45" s="9">
        <v>9.1203320000000001E-3</v>
      </c>
      <c r="H45" s="167"/>
    </row>
    <row r="46" spans="1:8" x14ac:dyDescent="0.2">
      <c r="A46" s="5">
        <v>40</v>
      </c>
      <c r="B46" s="6" t="s">
        <v>345</v>
      </c>
      <c r="C46" s="6" t="s">
        <v>346</v>
      </c>
      <c r="D46" s="6" t="s">
        <v>57</v>
      </c>
      <c r="E46" s="7">
        <v>26000</v>
      </c>
      <c r="F46" s="8">
        <v>105.872</v>
      </c>
      <c r="G46" s="9">
        <v>8.3182770000000007E-3</v>
      </c>
      <c r="H46" s="167"/>
    </row>
    <row r="47" spans="1:8" x14ac:dyDescent="0.2">
      <c r="A47" s="5">
        <v>41</v>
      </c>
      <c r="B47" s="6" t="s">
        <v>68</v>
      </c>
      <c r="C47" s="6" t="s">
        <v>69</v>
      </c>
      <c r="D47" s="6" t="s">
        <v>70</v>
      </c>
      <c r="E47" s="7">
        <v>63169</v>
      </c>
      <c r="F47" s="8">
        <v>101.0388155</v>
      </c>
      <c r="G47" s="9">
        <v>7.9385370000000007E-3</v>
      </c>
      <c r="H47" s="167"/>
    </row>
    <row r="48" spans="1:8" ht="25.5" x14ac:dyDescent="0.2">
      <c r="A48" s="5">
        <v>42</v>
      </c>
      <c r="B48" s="6" t="s">
        <v>228</v>
      </c>
      <c r="C48" s="6" t="s">
        <v>229</v>
      </c>
      <c r="D48" s="6" t="s">
        <v>78</v>
      </c>
      <c r="E48" s="7">
        <v>29130</v>
      </c>
      <c r="F48" s="8">
        <v>98.940044999999998</v>
      </c>
      <c r="G48" s="9">
        <v>7.7736389999999997E-3</v>
      </c>
      <c r="H48" s="167"/>
    </row>
    <row r="49" spans="1:8" x14ac:dyDescent="0.2">
      <c r="A49" s="5">
        <v>43</v>
      </c>
      <c r="B49" s="6" t="s">
        <v>295</v>
      </c>
      <c r="C49" s="6" t="s">
        <v>296</v>
      </c>
      <c r="D49" s="6" t="s">
        <v>969</v>
      </c>
      <c r="E49" s="7">
        <v>10058</v>
      </c>
      <c r="F49" s="8">
        <v>93.851197999999997</v>
      </c>
      <c r="G49" s="9">
        <v>7.3738120000000004E-3</v>
      </c>
      <c r="H49" s="167"/>
    </row>
    <row r="50" spans="1:8" x14ac:dyDescent="0.2">
      <c r="A50" s="5">
        <v>44</v>
      </c>
      <c r="B50" s="6" t="s">
        <v>427</v>
      </c>
      <c r="C50" s="6" t="s">
        <v>428</v>
      </c>
      <c r="D50" s="6" t="s">
        <v>158</v>
      </c>
      <c r="E50" s="7">
        <v>7523</v>
      </c>
      <c r="F50" s="8">
        <v>89.1964495</v>
      </c>
      <c r="G50" s="9">
        <v>7.0080919999999996E-3</v>
      </c>
      <c r="H50" s="167"/>
    </row>
    <row r="51" spans="1:8" x14ac:dyDescent="0.2">
      <c r="A51" s="5">
        <v>45</v>
      </c>
      <c r="B51" s="6" t="s">
        <v>429</v>
      </c>
      <c r="C51" s="6" t="s">
        <v>430</v>
      </c>
      <c r="D51" s="6" t="s">
        <v>23</v>
      </c>
      <c r="E51" s="7">
        <v>4709</v>
      </c>
      <c r="F51" s="8">
        <v>85.124593000000004</v>
      </c>
      <c r="G51" s="9">
        <v>6.6881700000000002E-3</v>
      </c>
      <c r="H51" s="167"/>
    </row>
    <row r="52" spans="1:8" ht="25.5" x14ac:dyDescent="0.2">
      <c r="A52" s="5">
        <v>46</v>
      </c>
      <c r="B52" s="6" t="s">
        <v>76</v>
      </c>
      <c r="C52" s="6" t="s">
        <v>77</v>
      </c>
      <c r="D52" s="6" t="s">
        <v>78</v>
      </c>
      <c r="E52" s="7">
        <v>14701</v>
      </c>
      <c r="F52" s="8">
        <v>84.067668499999996</v>
      </c>
      <c r="G52" s="9">
        <v>6.605128E-3</v>
      </c>
      <c r="H52" s="167"/>
    </row>
    <row r="53" spans="1:8" x14ac:dyDescent="0.2">
      <c r="A53" s="5">
        <v>47</v>
      </c>
      <c r="B53" s="6" t="s">
        <v>262</v>
      </c>
      <c r="C53" s="6" t="s">
        <v>263</v>
      </c>
      <c r="D53" s="6" t="s">
        <v>185</v>
      </c>
      <c r="E53" s="7">
        <v>14000</v>
      </c>
      <c r="F53" s="8">
        <v>79.611000000000004</v>
      </c>
      <c r="G53" s="9">
        <v>6.2549709999999998E-3</v>
      </c>
      <c r="H53" s="167"/>
    </row>
    <row r="54" spans="1:8" x14ac:dyDescent="0.2">
      <c r="A54" s="5">
        <v>48</v>
      </c>
      <c r="B54" s="6" t="s">
        <v>431</v>
      </c>
      <c r="C54" s="6" t="s">
        <v>432</v>
      </c>
      <c r="D54" s="6" t="s">
        <v>433</v>
      </c>
      <c r="E54" s="7">
        <v>15990</v>
      </c>
      <c r="F54" s="8">
        <v>63.040574999999997</v>
      </c>
      <c r="G54" s="9">
        <v>4.9530470000000004E-3</v>
      </c>
      <c r="H54" s="167"/>
    </row>
    <row r="55" spans="1:8" x14ac:dyDescent="0.2">
      <c r="A55" s="5">
        <v>49</v>
      </c>
      <c r="B55" s="6" t="s">
        <v>351</v>
      </c>
      <c r="C55" s="6" t="s">
        <v>352</v>
      </c>
      <c r="D55" s="6" t="s">
        <v>974</v>
      </c>
      <c r="E55" s="7">
        <v>17099</v>
      </c>
      <c r="F55" s="8">
        <v>24.861946</v>
      </c>
      <c r="G55" s="9">
        <v>1.9533829999999999E-3</v>
      </c>
      <c r="H55" s="167"/>
    </row>
    <row r="56" spans="1:8" x14ac:dyDescent="0.2">
      <c r="A56" s="5">
        <v>50</v>
      </c>
      <c r="B56" s="6" t="s">
        <v>434</v>
      </c>
      <c r="C56" s="6" t="s">
        <v>435</v>
      </c>
      <c r="D56" s="6" t="s">
        <v>94</v>
      </c>
      <c r="E56" s="7">
        <v>91</v>
      </c>
      <c r="F56" s="8">
        <v>0.559832</v>
      </c>
      <c r="G56" s="16" t="s">
        <v>109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0">
        <v>12579.6020885</v>
      </c>
      <c r="G57" s="11">
        <v>0.98836908099999998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105</v>
      </c>
      <c r="D59" s="3" t="s">
        <v>10</v>
      </c>
      <c r="E59" s="3" t="s">
        <v>10</v>
      </c>
      <c r="F59" s="3" t="s">
        <v>10</v>
      </c>
      <c r="G59" s="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104</v>
      </c>
      <c r="D60" s="3" t="s">
        <v>10</v>
      </c>
      <c r="E60" s="3" t="s">
        <v>10</v>
      </c>
      <c r="F60" s="14">
        <v>0</v>
      </c>
      <c r="G60" s="15">
        <v>0</v>
      </c>
      <c r="H60" s="167"/>
    </row>
    <row r="61" spans="1:8" x14ac:dyDescent="0.2">
      <c r="A61" s="3" t="s">
        <v>10</v>
      </c>
      <c r="B61" s="3" t="s">
        <v>10</v>
      </c>
      <c r="C61" s="12" t="s">
        <v>10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106</v>
      </c>
      <c r="D62" s="3" t="s">
        <v>10</v>
      </c>
      <c r="E62" s="3" t="s">
        <v>10</v>
      </c>
      <c r="F62" s="3" t="s">
        <v>10</v>
      </c>
      <c r="G62" s="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0</v>
      </c>
      <c r="G63" s="15">
        <v>0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110</v>
      </c>
      <c r="D65" s="3" t="s">
        <v>10</v>
      </c>
      <c r="E65" s="3" t="s">
        <v>10</v>
      </c>
      <c r="F65" s="3" t="s">
        <v>10</v>
      </c>
      <c r="G65" s="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111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112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113</v>
      </c>
      <c r="D74" s="3" t="s">
        <v>10</v>
      </c>
      <c r="E74" s="3" t="s">
        <v>10</v>
      </c>
      <c r="F74" s="10">
        <v>12579.6020885</v>
      </c>
      <c r="G74" s="11">
        <v>0.98836908099999998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114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ht="25.5" x14ac:dyDescent="0.2">
      <c r="A77" s="3" t="s">
        <v>10</v>
      </c>
      <c r="B77" s="3" t="s">
        <v>10</v>
      </c>
      <c r="C77" s="4" t="s">
        <v>12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115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116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117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118</v>
      </c>
      <c r="D89" s="3" t="s">
        <v>10</v>
      </c>
      <c r="E89" s="3" t="s">
        <v>10</v>
      </c>
      <c r="F89" s="10">
        <v>0</v>
      </c>
      <c r="G89" s="11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119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120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121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122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123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5">
        <v>1</v>
      </c>
      <c r="B102" s="6"/>
      <c r="C102" s="6" t="s">
        <v>124</v>
      </c>
      <c r="D102" s="6"/>
      <c r="E102" s="16" t="s">
        <v>10</v>
      </c>
      <c r="F102" s="8">
        <v>113.47774920000001</v>
      </c>
      <c r="G102" s="9">
        <v>8.9158540000000008E-3</v>
      </c>
      <c r="H102" s="108">
        <v>3.23</v>
      </c>
    </row>
    <row r="103" spans="1:8" x14ac:dyDescent="0.2">
      <c r="A103" s="5">
        <v>2</v>
      </c>
      <c r="B103" s="6"/>
      <c r="C103" s="6" t="s">
        <v>125</v>
      </c>
      <c r="D103" s="6"/>
      <c r="E103" s="16" t="s">
        <v>10</v>
      </c>
      <c r="F103" s="8">
        <v>31.8746951</v>
      </c>
      <c r="G103" s="9">
        <v>2.5043690000000002E-3</v>
      </c>
      <c r="H103" s="108">
        <v>3.35</v>
      </c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0">
        <v>145.3524443</v>
      </c>
      <c r="G104" s="11">
        <v>1.1420223E-2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126</v>
      </c>
      <c r="D106" s="3" t="s">
        <v>10</v>
      </c>
      <c r="E106" s="3" t="s">
        <v>10</v>
      </c>
      <c r="F106" s="10">
        <v>145.3524443</v>
      </c>
      <c r="G106" s="11">
        <v>1.1420223E-2</v>
      </c>
      <c r="H106" s="167"/>
    </row>
    <row r="107" spans="1:8" x14ac:dyDescent="0.2">
      <c r="A107" s="3" t="s">
        <v>10</v>
      </c>
      <c r="B107" s="3" t="s">
        <v>10</v>
      </c>
      <c r="C107" s="1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127</v>
      </c>
      <c r="D108" s="3" t="s">
        <v>10</v>
      </c>
      <c r="E108" s="3" t="s">
        <v>10</v>
      </c>
      <c r="F108" s="3" t="s">
        <v>10</v>
      </c>
      <c r="G108" s="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128</v>
      </c>
      <c r="D109" s="3" t="s">
        <v>10</v>
      </c>
      <c r="E109" s="3" t="s">
        <v>10</v>
      </c>
      <c r="F109" s="3" t="s">
        <v>10</v>
      </c>
      <c r="G109" s="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129</v>
      </c>
      <c r="D112" s="3" t="s">
        <v>10</v>
      </c>
      <c r="E112" s="3" t="s">
        <v>10</v>
      </c>
      <c r="F112" s="3" t="s">
        <v>10</v>
      </c>
      <c r="G112" s="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130</v>
      </c>
      <c r="D113" s="3" t="s">
        <v>10</v>
      </c>
      <c r="E113" s="3" t="s">
        <v>10</v>
      </c>
      <c r="F113" s="3" t="s">
        <v>10</v>
      </c>
      <c r="G113" s="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12" t="s">
        <v>10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ht="25.5" x14ac:dyDescent="0.2">
      <c r="A117" s="3" t="s">
        <v>10</v>
      </c>
      <c r="B117" s="3" t="s">
        <v>10</v>
      </c>
      <c r="C117" s="4" t="s">
        <v>131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104</v>
      </c>
      <c r="D118" s="3" t="s">
        <v>10</v>
      </c>
      <c r="E118" s="3" t="s">
        <v>10</v>
      </c>
      <c r="F118" s="14">
        <v>0</v>
      </c>
      <c r="G118" s="15">
        <v>0</v>
      </c>
      <c r="H118" s="167"/>
    </row>
    <row r="119" spans="1:8" x14ac:dyDescent="0.2">
      <c r="A119" s="3" t="s">
        <v>10</v>
      </c>
      <c r="B119" s="3" t="s">
        <v>10</v>
      </c>
      <c r="C119" s="12" t="s">
        <v>10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6" t="s">
        <v>10</v>
      </c>
      <c r="C120" s="6" t="s">
        <v>10</v>
      </c>
      <c r="D120" s="4" t="s">
        <v>10</v>
      </c>
      <c r="E120" s="3" t="s">
        <v>10</v>
      </c>
      <c r="F120" s="6" t="s">
        <v>10</v>
      </c>
      <c r="G120" s="16" t="s">
        <v>10</v>
      </c>
      <c r="H120" s="167"/>
    </row>
    <row r="121" spans="1:8" x14ac:dyDescent="0.2">
      <c r="A121" s="16" t="s">
        <v>10</v>
      </c>
      <c r="B121" s="6" t="s">
        <v>10</v>
      </c>
      <c r="C121" s="6" t="s">
        <v>132</v>
      </c>
      <c r="D121" s="6" t="s">
        <v>10</v>
      </c>
      <c r="E121" s="16" t="s">
        <v>10</v>
      </c>
      <c r="F121" s="8">
        <v>2.6816996999999998</v>
      </c>
      <c r="G121" s="9">
        <v>2.1069900000000001E-4</v>
      </c>
      <c r="H121" s="167"/>
    </row>
    <row r="122" spans="1:8" x14ac:dyDescent="0.2">
      <c r="A122" s="12" t="s">
        <v>10</v>
      </c>
      <c r="B122" s="12" t="s">
        <v>10</v>
      </c>
      <c r="C122" s="4" t="s">
        <v>133</v>
      </c>
      <c r="D122" s="17" t="s">
        <v>10</v>
      </c>
      <c r="E122" s="17" t="s">
        <v>10</v>
      </c>
      <c r="F122" s="10">
        <v>12727.636232499999</v>
      </c>
      <c r="G122" s="11">
        <v>1.000000003</v>
      </c>
      <c r="H122" s="167"/>
    </row>
    <row r="123" spans="1:8" ht="14.1" customHeight="1" x14ac:dyDescent="0.2">
      <c r="A123" s="18" t="s">
        <v>10</v>
      </c>
      <c r="B123" s="18" t="s">
        <v>10</v>
      </c>
      <c r="C123" s="18" t="s">
        <v>10</v>
      </c>
      <c r="D123" s="19" t="s">
        <v>10</v>
      </c>
      <c r="E123" s="19" t="s">
        <v>10</v>
      </c>
      <c r="F123" s="19" t="s">
        <v>10</v>
      </c>
      <c r="G123" s="19" t="s">
        <v>10</v>
      </c>
    </row>
    <row r="124" spans="1:8" ht="14.1" customHeight="1" x14ac:dyDescent="0.2">
      <c r="A124" s="20" t="s">
        <v>10</v>
      </c>
      <c r="B124" s="208" t="s">
        <v>10</v>
      </c>
      <c r="C124" s="208"/>
      <c r="D124" s="208"/>
      <c r="E124" s="208"/>
      <c r="F124" s="208"/>
      <c r="G124" s="22" t="s">
        <v>10</v>
      </c>
    </row>
    <row r="125" spans="1:8" ht="17.100000000000001" customHeight="1" x14ac:dyDescent="0.2">
      <c r="A125" s="20" t="s">
        <v>10</v>
      </c>
      <c r="B125" s="219" t="s">
        <v>989</v>
      </c>
      <c r="C125" s="219"/>
      <c r="D125" s="219"/>
      <c r="E125" s="219"/>
      <c r="F125" s="219"/>
      <c r="G125" s="22" t="s">
        <v>10</v>
      </c>
    </row>
    <row r="126" spans="1:8" ht="14.1" customHeight="1" x14ac:dyDescent="0.2">
      <c r="A126" s="20" t="s">
        <v>10</v>
      </c>
      <c r="B126" s="20" t="s">
        <v>10</v>
      </c>
      <c r="C126" s="20" t="s">
        <v>10</v>
      </c>
      <c r="D126" s="22" t="s">
        <v>10</v>
      </c>
      <c r="E126" s="22" t="s">
        <v>10</v>
      </c>
      <c r="F126" s="22" t="s">
        <v>10</v>
      </c>
      <c r="G126" s="22" t="s">
        <v>10</v>
      </c>
    </row>
    <row r="127" spans="1:8" ht="14.1" customHeight="1" x14ac:dyDescent="0.2">
      <c r="A127" s="20" t="s">
        <v>10</v>
      </c>
      <c r="B127" s="206" t="s">
        <v>134</v>
      </c>
      <c r="C127" s="207"/>
      <c r="D127" s="13" t="s">
        <v>10</v>
      </c>
      <c r="E127" s="23" t="s">
        <v>10</v>
      </c>
      <c r="F127" s="22" t="s">
        <v>10</v>
      </c>
      <c r="G127" s="22" t="s">
        <v>10</v>
      </c>
    </row>
    <row r="128" spans="1:8" ht="29.1" customHeight="1" x14ac:dyDescent="0.2">
      <c r="A128" s="20" t="s">
        <v>10</v>
      </c>
      <c r="B128" s="213" t="s">
        <v>135</v>
      </c>
      <c r="C128" s="214"/>
      <c r="D128" s="4" t="s">
        <v>136</v>
      </c>
      <c r="E128" s="23" t="s">
        <v>10</v>
      </c>
      <c r="F128" s="22" t="s">
        <v>10</v>
      </c>
      <c r="G128" s="22" t="s">
        <v>10</v>
      </c>
    </row>
    <row r="129" spans="1:7" ht="17.100000000000001" customHeight="1" x14ac:dyDescent="0.2">
      <c r="A129" s="20" t="s">
        <v>10</v>
      </c>
      <c r="B129" s="213" t="s">
        <v>137</v>
      </c>
      <c r="C129" s="214"/>
      <c r="D129" s="4" t="s">
        <v>136</v>
      </c>
      <c r="E129" s="23" t="s">
        <v>10</v>
      </c>
      <c r="F129" s="22" t="s">
        <v>10</v>
      </c>
      <c r="G129" s="22" t="s">
        <v>10</v>
      </c>
    </row>
    <row r="130" spans="1:7" ht="17.100000000000001" customHeight="1" x14ac:dyDescent="0.2">
      <c r="A130" s="20" t="s">
        <v>10</v>
      </c>
      <c r="B130" s="213" t="s">
        <v>138</v>
      </c>
      <c r="C130" s="214"/>
      <c r="D130" s="13" t="s">
        <v>10</v>
      </c>
      <c r="E130" s="23" t="s">
        <v>10</v>
      </c>
      <c r="F130" s="22" t="s">
        <v>10</v>
      </c>
      <c r="G130" s="22" t="s">
        <v>10</v>
      </c>
    </row>
    <row r="131" spans="1:7" s="20" customFormat="1" ht="17.100000000000001" customHeight="1" x14ac:dyDescent="0.2"/>
    <row r="132" spans="1:7" x14ac:dyDescent="0.2">
      <c r="A132" s="24" t="s">
        <v>10</v>
      </c>
      <c r="B132" s="140" t="s">
        <v>10</v>
      </c>
      <c r="C132" s="140" t="s">
        <v>139</v>
      </c>
      <c r="D132" s="140" t="s">
        <v>140</v>
      </c>
      <c r="E132" s="24" t="s">
        <v>10</v>
      </c>
      <c r="F132" s="24" t="s">
        <v>10</v>
      </c>
      <c r="G132" s="24" t="s">
        <v>10</v>
      </c>
    </row>
    <row r="133" spans="1:7" ht="18" customHeight="1" x14ac:dyDescent="0.2">
      <c r="A133" s="24" t="s">
        <v>10</v>
      </c>
      <c r="B133" s="25" t="s">
        <v>141</v>
      </c>
      <c r="C133" s="25" t="s">
        <v>142</v>
      </c>
      <c r="D133" s="25" t="s">
        <v>143</v>
      </c>
      <c r="E133" s="24" t="s">
        <v>10</v>
      </c>
      <c r="F133" s="24" t="s">
        <v>10</v>
      </c>
      <c r="G133" s="24" t="s">
        <v>10</v>
      </c>
    </row>
    <row r="134" spans="1:7" ht="17.100000000000001" customHeight="1" x14ac:dyDescent="0.2">
      <c r="A134" s="24" t="s">
        <v>10</v>
      </c>
      <c r="B134" s="6" t="s">
        <v>144</v>
      </c>
      <c r="C134" s="26">
        <v>14.196099999999999</v>
      </c>
      <c r="D134" s="26">
        <v>15.1313</v>
      </c>
      <c r="E134" s="24" t="s">
        <v>10</v>
      </c>
      <c r="F134" s="21" t="s">
        <v>10</v>
      </c>
      <c r="G134" s="27" t="s">
        <v>10</v>
      </c>
    </row>
    <row r="135" spans="1:7" ht="17.100000000000001" customHeight="1" x14ac:dyDescent="0.2">
      <c r="A135" s="24" t="s">
        <v>10</v>
      </c>
      <c r="B135" s="6" t="s">
        <v>917</v>
      </c>
      <c r="C135" s="26">
        <v>14.196099999999999</v>
      </c>
      <c r="D135" s="26">
        <v>15.1312</v>
      </c>
      <c r="E135" s="24" t="s">
        <v>10</v>
      </c>
      <c r="F135" s="21" t="s">
        <v>10</v>
      </c>
      <c r="G135" s="27" t="s">
        <v>10</v>
      </c>
    </row>
    <row r="136" spans="1:7" ht="17.100000000000001" customHeight="1" x14ac:dyDescent="0.2">
      <c r="A136" s="24" t="s">
        <v>10</v>
      </c>
      <c r="B136" s="6" t="s">
        <v>145</v>
      </c>
      <c r="C136" s="26">
        <v>13.9634</v>
      </c>
      <c r="D136" s="26">
        <v>14.876099999999999</v>
      </c>
      <c r="E136" s="24" t="s">
        <v>10</v>
      </c>
      <c r="F136" s="21" t="s">
        <v>10</v>
      </c>
      <c r="G136" s="27" t="s">
        <v>10</v>
      </c>
    </row>
    <row r="137" spans="1:7" ht="17.100000000000001" customHeight="1" x14ac:dyDescent="0.2">
      <c r="A137" s="24" t="s">
        <v>10</v>
      </c>
      <c r="B137" s="6" t="s">
        <v>918</v>
      </c>
      <c r="C137" s="26">
        <v>13.9634</v>
      </c>
      <c r="D137" s="26">
        <v>14.876099999999999</v>
      </c>
      <c r="E137" s="24" t="s">
        <v>10</v>
      </c>
      <c r="F137" s="21" t="s">
        <v>10</v>
      </c>
      <c r="G137" s="27" t="s">
        <v>10</v>
      </c>
    </row>
    <row r="138" spans="1:7" ht="14.1" customHeight="1" x14ac:dyDescent="0.2">
      <c r="A138" s="24" t="s">
        <v>10</v>
      </c>
      <c r="B138" s="24" t="s">
        <v>10</v>
      </c>
      <c r="C138" s="24" t="s">
        <v>10</v>
      </c>
      <c r="D138" s="24" t="s">
        <v>10</v>
      </c>
      <c r="E138" s="24" t="s">
        <v>10</v>
      </c>
      <c r="F138" s="24" t="s">
        <v>10</v>
      </c>
      <c r="G138" s="24" t="s">
        <v>10</v>
      </c>
    </row>
    <row r="139" spans="1:7" ht="17.100000000000001" customHeight="1" x14ac:dyDescent="0.2">
      <c r="A139" s="24" t="s">
        <v>10</v>
      </c>
      <c r="B139" s="213" t="s">
        <v>999</v>
      </c>
      <c r="C139" s="214"/>
      <c r="D139" s="4" t="s">
        <v>136</v>
      </c>
      <c r="E139" s="24" t="s">
        <v>10</v>
      </c>
      <c r="F139" s="24" t="s">
        <v>10</v>
      </c>
      <c r="G139" s="24" t="s">
        <v>10</v>
      </c>
    </row>
    <row r="140" spans="1:7" ht="18" customHeight="1" x14ac:dyDescent="0.2">
      <c r="A140" s="24" t="s">
        <v>10</v>
      </c>
      <c r="B140" s="28"/>
      <c r="C140" s="28"/>
      <c r="D140" s="29" t="s">
        <v>10</v>
      </c>
      <c r="E140" s="24" t="s">
        <v>10</v>
      </c>
      <c r="F140" s="24" t="s">
        <v>10</v>
      </c>
      <c r="G140" s="24" t="s">
        <v>10</v>
      </c>
    </row>
    <row r="141" spans="1:7" ht="18" customHeight="1" x14ac:dyDescent="0.2">
      <c r="A141" s="172"/>
      <c r="B141" s="217" t="s">
        <v>919</v>
      </c>
      <c r="C141" s="217"/>
      <c r="D141" s="217"/>
      <c r="E141" s="217"/>
      <c r="F141" s="217"/>
      <c r="G141" s="172"/>
    </row>
    <row r="142" spans="1:7" ht="14.1" customHeight="1" x14ac:dyDescent="0.2">
      <c r="A142" s="24" t="s">
        <v>10</v>
      </c>
      <c r="B142" s="21" t="s">
        <v>10</v>
      </c>
      <c r="C142" s="21" t="s">
        <v>10</v>
      </c>
      <c r="D142" s="24" t="s">
        <v>10</v>
      </c>
      <c r="E142" s="24" t="s">
        <v>10</v>
      </c>
      <c r="F142" s="24" t="s">
        <v>10</v>
      </c>
      <c r="G142" s="24" t="s">
        <v>10</v>
      </c>
    </row>
    <row r="143" spans="1:7" ht="29.1" customHeight="1" x14ac:dyDescent="0.2">
      <c r="A143" s="24" t="s">
        <v>10</v>
      </c>
      <c r="B143" s="213" t="s">
        <v>146</v>
      </c>
      <c r="C143" s="214"/>
      <c r="D143" s="4" t="s">
        <v>136</v>
      </c>
      <c r="E143" s="24" t="s">
        <v>10</v>
      </c>
      <c r="F143" s="24" t="s">
        <v>10</v>
      </c>
      <c r="G143" s="24" t="s">
        <v>10</v>
      </c>
    </row>
    <row r="144" spans="1:7" ht="29.1" customHeight="1" x14ac:dyDescent="0.2">
      <c r="A144" s="24" t="s">
        <v>10</v>
      </c>
      <c r="B144" s="213" t="s">
        <v>147</v>
      </c>
      <c r="C144" s="214"/>
      <c r="D144" s="4" t="s">
        <v>136</v>
      </c>
      <c r="E144" s="24" t="s">
        <v>10</v>
      </c>
      <c r="F144" s="24" t="s">
        <v>10</v>
      </c>
      <c r="G144" s="24" t="s">
        <v>10</v>
      </c>
    </row>
    <row r="145" spans="1:7" ht="17.100000000000001" customHeight="1" x14ac:dyDescent="0.2">
      <c r="A145" s="24" t="s">
        <v>10</v>
      </c>
      <c r="B145" s="213" t="s">
        <v>148</v>
      </c>
      <c r="C145" s="214"/>
      <c r="D145" s="30">
        <v>0.33371793923593779</v>
      </c>
      <c r="E145" s="24" t="s">
        <v>10</v>
      </c>
      <c r="F145" s="21" t="s">
        <v>10</v>
      </c>
      <c r="G145" s="27" t="s">
        <v>10</v>
      </c>
    </row>
    <row r="146" spans="1:7" ht="17.100000000000001" customHeight="1" x14ac:dyDescent="0.2">
      <c r="A146" s="24" t="s">
        <v>10</v>
      </c>
      <c r="B146" s="213" t="s">
        <v>149</v>
      </c>
      <c r="C146" s="214"/>
      <c r="D146" s="4" t="s">
        <v>136</v>
      </c>
      <c r="E146" s="24" t="s">
        <v>10</v>
      </c>
      <c r="F146" s="24" t="s">
        <v>10</v>
      </c>
      <c r="G146" s="24" t="s">
        <v>10</v>
      </c>
    </row>
  </sheetData>
  <mergeCells count="15">
    <mergeCell ref="B145:C145"/>
    <mergeCell ref="B146:C146"/>
    <mergeCell ref="B128:C128"/>
    <mergeCell ref="B129:C129"/>
    <mergeCell ref="B130:C130"/>
    <mergeCell ref="B139:C139"/>
    <mergeCell ref="B143:C143"/>
    <mergeCell ref="B144:C144"/>
    <mergeCell ref="B141:F141"/>
    <mergeCell ref="B127:C127"/>
    <mergeCell ref="B124:F124"/>
    <mergeCell ref="B125:F12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6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436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51</v>
      </c>
      <c r="C7" s="6" t="s">
        <v>52</v>
      </c>
      <c r="D7" s="6" t="s">
        <v>23</v>
      </c>
      <c r="E7" s="7">
        <v>34392</v>
      </c>
      <c r="F7" s="8">
        <v>521.33113200000003</v>
      </c>
      <c r="G7" s="9">
        <v>6.9476961000000004E-2</v>
      </c>
      <c r="H7" s="167"/>
    </row>
    <row r="8" spans="1:8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23741</v>
      </c>
      <c r="F8" s="8">
        <v>512.87682299999994</v>
      </c>
      <c r="G8" s="9">
        <v>6.8350269000000005E-2</v>
      </c>
      <c r="H8" s="167"/>
    </row>
    <row r="9" spans="1:8" x14ac:dyDescent="0.2">
      <c r="A9" s="5">
        <v>3</v>
      </c>
      <c r="B9" s="6" t="s">
        <v>21</v>
      </c>
      <c r="C9" s="6" t="s">
        <v>22</v>
      </c>
      <c r="D9" s="6" t="s">
        <v>23</v>
      </c>
      <c r="E9" s="7">
        <v>69948</v>
      </c>
      <c r="F9" s="8">
        <v>463.58037000000002</v>
      </c>
      <c r="G9" s="9">
        <v>6.178061E-2</v>
      </c>
      <c r="H9" s="167"/>
    </row>
    <row r="10" spans="1:8" x14ac:dyDescent="0.2">
      <c r="A10" s="5">
        <v>4</v>
      </c>
      <c r="B10" s="6" t="s">
        <v>151</v>
      </c>
      <c r="C10" s="6" t="s">
        <v>152</v>
      </c>
      <c r="D10" s="6" t="s">
        <v>153</v>
      </c>
      <c r="E10" s="7">
        <v>11316</v>
      </c>
      <c r="F10" s="8">
        <v>364.91836799999999</v>
      </c>
      <c r="G10" s="9">
        <v>4.8632083999999999E-2</v>
      </c>
      <c r="H10" s="167"/>
    </row>
    <row r="11" spans="1:8" x14ac:dyDescent="0.2">
      <c r="A11" s="5">
        <v>5</v>
      </c>
      <c r="B11" s="6" t="s">
        <v>399</v>
      </c>
      <c r="C11" s="6" t="s">
        <v>400</v>
      </c>
      <c r="D11" s="6" t="s">
        <v>167</v>
      </c>
      <c r="E11" s="7">
        <v>24647</v>
      </c>
      <c r="F11" s="8">
        <v>343.5175625</v>
      </c>
      <c r="G11" s="9">
        <v>4.5780032999999998E-2</v>
      </c>
      <c r="H11" s="167"/>
    </row>
    <row r="12" spans="1:8" ht="25.5" x14ac:dyDescent="0.2">
      <c r="A12" s="5">
        <v>6</v>
      </c>
      <c r="B12" s="6" t="s">
        <v>401</v>
      </c>
      <c r="C12" s="6" t="s">
        <v>402</v>
      </c>
      <c r="D12" s="6" t="s">
        <v>158</v>
      </c>
      <c r="E12" s="7">
        <v>12284</v>
      </c>
      <c r="F12" s="8">
        <v>313.59209399999997</v>
      </c>
      <c r="G12" s="9">
        <v>4.1791913999999999E-2</v>
      </c>
      <c r="H12" s="167"/>
    </row>
    <row r="13" spans="1:8" x14ac:dyDescent="0.2">
      <c r="A13" s="5">
        <v>7</v>
      </c>
      <c r="B13" s="6" t="s">
        <v>370</v>
      </c>
      <c r="C13" s="6" t="s">
        <v>371</v>
      </c>
      <c r="D13" s="6" t="s">
        <v>23</v>
      </c>
      <c r="E13" s="7">
        <v>33477</v>
      </c>
      <c r="F13" s="8">
        <v>251.31183899999999</v>
      </c>
      <c r="G13" s="9">
        <v>3.3491923999999999E-2</v>
      </c>
      <c r="H13" s="167"/>
    </row>
    <row r="14" spans="1:8" x14ac:dyDescent="0.2">
      <c r="A14" s="5">
        <v>8</v>
      </c>
      <c r="B14" s="6" t="s">
        <v>403</v>
      </c>
      <c r="C14" s="6" t="s">
        <v>404</v>
      </c>
      <c r="D14" s="6" t="s">
        <v>23</v>
      </c>
      <c r="E14" s="7">
        <v>58550</v>
      </c>
      <c r="F14" s="8">
        <v>248.45692500000001</v>
      </c>
      <c r="G14" s="9">
        <v>3.3111454999999998E-2</v>
      </c>
      <c r="H14" s="167"/>
    </row>
    <row r="15" spans="1:8" x14ac:dyDescent="0.2">
      <c r="A15" s="5">
        <v>9</v>
      </c>
      <c r="B15" s="6" t="s">
        <v>27</v>
      </c>
      <c r="C15" s="6" t="s">
        <v>28</v>
      </c>
      <c r="D15" s="6" t="s">
        <v>29</v>
      </c>
      <c r="E15" s="7">
        <v>19534</v>
      </c>
      <c r="F15" s="8">
        <v>238.36363499999999</v>
      </c>
      <c r="G15" s="9">
        <v>3.1766337999999998E-2</v>
      </c>
      <c r="H15" s="167"/>
    </row>
    <row r="16" spans="1:8" ht="25.5" x14ac:dyDescent="0.2">
      <c r="A16" s="5">
        <v>10</v>
      </c>
      <c r="B16" s="6" t="s">
        <v>327</v>
      </c>
      <c r="C16" s="6" t="s">
        <v>328</v>
      </c>
      <c r="D16" s="6" t="s">
        <v>78</v>
      </c>
      <c r="E16" s="7">
        <v>19791</v>
      </c>
      <c r="F16" s="8">
        <v>200.19586050000001</v>
      </c>
      <c r="G16" s="9">
        <v>2.667978E-2</v>
      </c>
      <c r="H16" s="167"/>
    </row>
    <row r="17" spans="1:8" x14ac:dyDescent="0.2">
      <c r="A17" s="5">
        <v>11</v>
      </c>
      <c r="B17" s="6" t="s">
        <v>24</v>
      </c>
      <c r="C17" s="6" t="s">
        <v>25</v>
      </c>
      <c r="D17" s="6" t="s">
        <v>26</v>
      </c>
      <c r="E17" s="7">
        <v>34075</v>
      </c>
      <c r="F17" s="8">
        <v>182.26717500000001</v>
      </c>
      <c r="G17" s="9">
        <v>2.4290453E-2</v>
      </c>
      <c r="H17" s="167"/>
    </row>
    <row r="18" spans="1:8" x14ac:dyDescent="0.2">
      <c r="A18" s="5">
        <v>12</v>
      </c>
      <c r="B18" s="6" t="s">
        <v>309</v>
      </c>
      <c r="C18" s="6" t="s">
        <v>310</v>
      </c>
      <c r="D18" s="6" t="s">
        <v>971</v>
      </c>
      <c r="E18" s="7">
        <v>5771</v>
      </c>
      <c r="F18" s="8">
        <v>179.54735199999999</v>
      </c>
      <c r="G18" s="9">
        <v>2.3927987000000001E-2</v>
      </c>
      <c r="H18" s="167"/>
    </row>
    <row r="19" spans="1:8" x14ac:dyDescent="0.2">
      <c r="A19" s="5">
        <v>13</v>
      </c>
      <c r="B19" s="6" t="s">
        <v>349</v>
      </c>
      <c r="C19" s="6" t="s">
        <v>350</v>
      </c>
      <c r="D19" s="6" t="s">
        <v>972</v>
      </c>
      <c r="E19" s="7">
        <v>29796</v>
      </c>
      <c r="F19" s="8">
        <v>179.20804200000001</v>
      </c>
      <c r="G19" s="9">
        <v>2.3882766999999999E-2</v>
      </c>
      <c r="H19" s="167"/>
    </row>
    <row r="20" spans="1:8" x14ac:dyDescent="0.2">
      <c r="A20" s="5">
        <v>14</v>
      </c>
      <c r="B20" s="6" t="s">
        <v>405</v>
      </c>
      <c r="C20" s="6" t="s">
        <v>406</v>
      </c>
      <c r="D20" s="6" t="s">
        <v>969</v>
      </c>
      <c r="E20" s="7">
        <v>17710</v>
      </c>
      <c r="F20" s="8">
        <v>172.78761499999999</v>
      </c>
      <c r="G20" s="9">
        <v>2.3027127000000001E-2</v>
      </c>
      <c r="H20" s="167"/>
    </row>
    <row r="21" spans="1:8" ht="25.5" x14ac:dyDescent="0.2">
      <c r="A21" s="5">
        <v>15</v>
      </c>
      <c r="B21" s="6" t="s">
        <v>40</v>
      </c>
      <c r="C21" s="6" t="s">
        <v>41</v>
      </c>
      <c r="D21" s="6" t="s">
        <v>970</v>
      </c>
      <c r="E21" s="7">
        <v>2453</v>
      </c>
      <c r="F21" s="8">
        <v>164.54723999999999</v>
      </c>
      <c r="G21" s="9">
        <v>2.1928946000000001E-2</v>
      </c>
      <c r="H21" s="167"/>
    </row>
    <row r="22" spans="1:8" x14ac:dyDescent="0.2">
      <c r="A22" s="5">
        <v>16</v>
      </c>
      <c r="B22" s="6" t="s">
        <v>13</v>
      </c>
      <c r="C22" s="6" t="s">
        <v>14</v>
      </c>
      <c r="D22" s="6" t="s">
        <v>15</v>
      </c>
      <c r="E22" s="7">
        <v>10691</v>
      </c>
      <c r="F22" s="8">
        <v>156.91180700000001</v>
      </c>
      <c r="G22" s="9">
        <v>2.0911384000000002E-2</v>
      </c>
      <c r="H22" s="167"/>
    </row>
    <row r="23" spans="1:8" x14ac:dyDescent="0.2">
      <c r="A23" s="5">
        <v>17</v>
      </c>
      <c r="B23" s="6" t="s">
        <v>407</v>
      </c>
      <c r="C23" s="6" t="s">
        <v>408</v>
      </c>
      <c r="D23" s="6" t="s">
        <v>94</v>
      </c>
      <c r="E23" s="7">
        <v>19389</v>
      </c>
      <c r="F23" s="8">
        <v>156.6534255</v>
      </c>
      <c r="G23" s="9">
        <v>2.0876949999999998E-2</v>
      </c>
      <c r="H23" s="167"/>
    </row>
    <row r="24" spans="1:8" ht="25.5" x14ac:dyDescent="0.2">
      <c r="A24" s="5">
        <v>18</v>
      </c>
      <c r="B24" s="6" t="s">
        <v>331</v>
      </c>
      <c r="C24" s="6" t="s">
        <v>332</v>
      </c>
      <c r="D24" s="6" t="s">
        <v>75</v>
      </c>
      <c r="E24" s="7">
        <v>37015</v>
      </c>
      <c r="F24" s="8">
        <v>147.4122375</v>
      </c>
      <c r="G24" s="9">
        <v>1.9645392000000001E-2</v>
      </c>
      <c r="H24" s="167"/>
    </row>
    <row r="25" spans="1:8" ht="25.5" x14ac:dyDescent="0.2">
      <c r="A25" s="5">
        <v>19</v>
      </c>
      <c r="B25" s="6" t="s">
        <v>200</v>
      </c>
      <c r="C25" s="6" t="s">
        <v>201</v>
      </c>
      <c r="D25" s="6" t="s">
        <v>75</v>
      </c>
      <c r="E25" s="7">
        <v>6000</v>
      </c>
      <c r="F25" s="8">
        <v>135.24</v>
      </c>
      <c r="G25" s="9">
        <v>1.8023217000000001E-2</v>
      </c>
      <c r="H25" s="167"/>
    </row>
    <row r="26" spans="1:8" x14ac:dyDescent="0.2">
      <c r="A26" s="5">
        <v>20</v>
      </c>
      <c r="B26" s="6" t="s">
        <v>218</v>
      </c>
      <c r="C26" s="6" t="s">
        <v>219</v>
      </c>
      <c r="D26" s="6" t="s">
        <v>973</v>
      </c>
      <c r="E26" s="7">
        <v>19626</v>
      </c>
      <c r="F26" s="8">
        <v>134.06520599999999</v>
      </c>
      <c r="G26" s="9">
        <v>1.7866653999999999E-2</v>
      </c>
      <c r="H26" s="167"/>
    </row>
    <row r="27" spans="1:8" x14ac:dyDescent="0.2">
      <c r="A27" s="5">
        <v>21</v>
      </c>
      <c r="B27" s="6" t="s">
        <v>409</v>
      </c>
      <c r="C27" s="6" t="s">
        <v>410</v>
      </c>
      <c r="D27" s="6" t="s">
        <v>192</v>
      </c>
      <c r="E27" s="7">
        <v>12888</v>
      </c>
      <c r="F27" s="8">
        <v>128.61579599999999</v>
      </c>
      <c r="G27" s="9">
        <v>1.714042E-2</v>
      </c>
      <c r="H27" s="167"/>
    </row>
    <row r="28" spans="1:8" x14ac:dyDescent="0.2">
      <c r="A28" s="5">
        <v>22</v>
      </c>
      <c r="B28" s="6" t="s">
        <v>411</v>
      </c>
      <c r="C28" s="6" t="s">
        <v>412</v>
      </c>
      <c r="D28" s="6" t="s">
        <v>167</v>
      </c>
      <c r="E28" s="7">
        <v>23000</v>
      </c>
      <c r="F28" s="8">
        <v>123.9815</v>
      </c>
      <c r="G28" s="9">
        <v>1.6522815E-2</v>
      </c>
      <c r="H28" s="167"/>
    </row>
    <row r="29" spans="1:8" x14ac:dyDescent="0.2">
      <c r="A29" s="5">
        <v>23</v>
      </c>
      <c r="B29" s="6" t="s">
        <v>413</v>
      </c>
      <c r="C29" s="6" t="s">
        <v>414</v>
      </c>
      <c r="D29" s="6" t="s">
        <v>167</v>
      </c>
      <c r="E29" s="7">
        <v>3810</v>
      </c>
      <c r="F29" s="8">
        <v>120.363615</v>
      </c>
      <c r="G29" s="9">
        <v>1.6040664999999999E-2</v>
      </c>
      <c r="H29" s="167"/>
    </row>
    <row r="30" spans="1:8" x14ac:dyDescent="0.2">
      <c r="A30" s="5">
        <v>24</v>
      </c>
      <c r="B30" s="6" t="s">
        <v>86</v>
      </c>
      <c r="C30" s="6" t="s">
        <v>87</v>
      </c>
      <c r="D30" s="6" t="s">
        <v>29</v>
      </c>
      <c r="E30" s="7">
        <v>15282</v>
      </c>
      <c r="F30" s="8">
        <v>120.254058</v>
      </c>
      <c r="G30" s="9">
        <v>1.6026064999999999E-2</v>
      </c>
      <c r="H30" s="167"/>
    </row>
    <row r="31" spans="1:8" x14ac:dyDescent="0.2">
      <c r="A31" s="5">
        <v>25</v>
      </c>
      <c r="B31" s="6" t="s">
        <v>415</v>
      </c>
      <c r="C31" s="6" t="s">
        <v>416</v>
      </c>
      <c r="D31" s="6" t="s">
        <v>192</v>
      </c>
      <c r="E31" s="7">
        <v>17804</v>
      </c>
      <c r="F31" s="8">
        <v>118.984132</v>
      </c>
      <c r="G31" s="9">
        <v>1.5856823999999999E-2</v>
      </c>
      <c r="H31" s="167"/>
    </row>
    <row r="32" spans="1:8" x14ac:dyDescent="0.2">
      <c r="A32" s="5">
        <v>26</v>
      </c>
      <c r="B32" s="6" t="s">
        <v>417</v>
      </c>
      <c r="C32" s="6" t="s">
        <v>418</v>
      </c>
      <c r="D32" s="6" t="s">
        <v>57</v>
      </c>
      <c r="E32" s="7">
        <v>10000</v>
      </c>
      <c r="F32" s="8">
        <v>112.565</v>
      </c>
      <c r="G32" s="9">
        <v>1.5001356E-2</v>
      </c>
      <c r="H32" s="167"/>
    </row>
    <row r="33" spans="1:8" x14ac:dyDescent="0.2">
      <c r="A33" s="5">
        <v>27</v>
      </c>
      <c r="B33" s="6" t="s">
        <v>362</v>
      </c>
      <c r="C33" s="6" t="s">
        <v>363</v>
      </c>
      <c r="D33" s="6" t="s">
        <v>75</v>
      </c>
      <c r="E33" s="7">
        <v>5154</v>
      </c>
      <c r="F33" s="8">
        <v>111.450096</v>
      </c>
      <c r="G33" s="9">
        <v>1.4852775E-2</v>
      </c>
      <c r="H33" s="167"/>
    </row>
    <row r="34" spans="1:8" x14ac:dyDescent="0.2">
      <c r="A34" s="5">
        <v>28</v>
      </c>
      <c r="B34" s="6" t="s">
        <v>61</v>
      </c>
      <c r="C34" s="6" t="s">
        <v>62</v>
      </c>
      <c r="D34" s="6" t="s">
        <v>18</v>
      </c>
      <c r="E34" s="7">
        <v>21882</v>
      </c>
      <c r="F34" s="8">
        <v>103.28304</v>
      </c>
      <c r="G34" s="9">
        <v>1.3764365000000001E-2</v>
      </c>
      <c r="H34" s="167"/>
    </row>
    <row r="35" spans="1:8" x14ac:dyDescent="0.2">
      <c r="A35" s="5">
        <v>29</v>
      </c>
      <c r="B35" s="6" t="s">
        <v>366</v>
      </c>
      <c r="C35" s="6" t="s">
        <v>367</v>
      </c>
      <c r="D35" s="6" t="s">
        <v>167</v>
      </c>
      <c r="E35" s="7">
        <v>10771</v>
      </c>
      <c r="F35" s="8">
        <v>101.807492</v>
      </c>
      <c r="G35" s="9">
        <v>1.3567721E-2</v>
      </c>
      <c r="H35" s="167"/>
    </row>
    <row r="36" spans="1:8" ht="25.5" x14ac:dyDescent="0.2">
      <c r="A36" s="5">
        <v>30</v>
      </c>
      <c r="B36" s="6" t="s">
        <v>419</v>
      </c>
      <c r="C36" s="6" t="s">
        <v>420</v>
      </c>
      <c r="D36" s="6" t="s">
        <v>78</v>
      </c>
      <c r="E36" s="7">
        <v>4309</v>
      </c>
      <c r="F36" s="8">
        <v>100.83275449999999</v>
      </c>
      <c r="G36" s="9">
        <v>1.3437819E-2</v>
      </c>
      <c r="H36" s="167"/>
    </row>
    <row r="37" spans="1:8" x14ac:dyDescent="0.2">
      <c r="A37" s="5">
        <v>31</v>
      </c>
      <c r="B37" s="6" t="s">
        <v>335</v>
      </c>
      <c r="C37" s="6" t="s">
        <v>336</v>
      </c>
      <c r="D37" s="6" t="s">
        <v>284</v>
      </c>
      <c r="E37" s="7">
        <v>11381</v>
      </c>
      <c r="F37" s="8">
        <v>96.926286500000003</v>
      </c>
      <c r="G37" s="9">
        <v>1.291721E-2</v>
      </c>
      <c r="H37" s="167"/>
    </row>
    <row r="38" spans="1:8" x14ac:dyDescent="0.2">
      <c r="A38" s="5">
        <v>32</v>
      </c>
      <c r="B38" s="6" t="s">
        <v>238</v>
      </c>
      <c r="C38" s="6" t="s">
        <v>239</v>
      </c>
      <c r="D38" s="6" t="s">
        <v>240</v>
      </c>
      <c r="E38" s="7">
        <v>11011</v>
      </c>
      <c r="F38" s="8">
        <v>89.750660999999994</v>
      </c>
      <c r="G38" s="9">
        <v>1.1960926E-2</v>
      </c>
      <c r="H38" s="167"/>
    </row>
    <row r="39" spans="1:8" x14ac:dyDescent="0.2">
      <c r="A39" s="5">
        <v>33</v>
      </c>
      <c r="B39" s="6" t="s">
        <v>323</v>
      </c>
      <c r="C39" s="6" t="s">
        <v>324</v>
      </c>
      <c r="D39" s="6" t="s">
        <v>185</v>
      </c>
      <c r="E39" s="7">
        <v>104</v>
      </c>
      <c r="F39" s="8">
        <v>86.987055999999995</v>
      </c>
      <c r="G39" s="9">
        <v>1.1592625E-2</v>
      </c>
      <c r="H39" s="167"/>
    </row>
    <row r="40" spans="1:8" x14ac:dyDescent="0.2">
      <c r="A40" s="5">
        <v>34</v>
      </c>
      <c r="B40" s="6" t="s">
        <v>421</v>
      </c>
      <c r="C40" s="6" t="s">
        <v>422</v>
      </c>
      <c r="D40" s="6" t="s">
        <v>192</v>
      </c>
      <c r="E40" s="7">
        <v>1992</v>
      </c>
      <c r="F40" s="8">
        <v>83.544479999999993</v>
      </c>
      <c r="G40" s="9">
        <v>1.1133838E-2</v>
      </c>
      <c r="H40" s="167"/>
    </row>
    <row r="41" spans="1:8" ht="25.5" x14ac:dyDescent="0.2">
      <c r="A41" s="5">
        <v>35</v>
      </c>
      <c r="B41" s="6" t="s">
        <v>423</v>
      </c>
      <c r="C41" s="6" t="s">
        <v>424</v>
      </c>
      <c r="D41" s="6" t="s">
        <v>969</v>
      </c>
      <c r="E41" s="7">
        <v>5376</v>
      </c>
      <c r="F41" s="8">
        <v>79.129344000000003</v>
      </c>
      <c r="G41" s="9">
        <v>1.054544E-2</v>
      </c>
      <c r="H41" s="167"/>
    </row>
    <row r="42" spans="1:8" x14ac:dyDescent="0.2">
      <c r="A42" s="5">
        <v>36</v>
      </c>
      <c r="B42" s="6" t="s">
        <v>347</v>
      </c>
      <c r="C42" s="6" t="s">
        <v>348</v>
      </c>
      <c r="D42" s="6" t="s">
        <v>23</v>
      </c>
      <c r="E42" s="7">
        <v>96000</v>
      </c>
      <c r="F42" s="8">
        <v>77.471999999999994</v>
      </c>
      <c r="G42" s="9">
        <v>1.0324569E-2</v>
      </c>
      <c r="H42" s="167"/>
    </row>
    <row r="43" spans="1:8" x14ac:dyDescent="0.2">
      <c r="A43" s="5">
        <v>37</v>
      </c>
      <c r="B43" s="6" t="s">
        <v>333</v>
      </c>
      <c r="C43" s="6" t="s">
        <v>334</v>
      </c>
      <c r="D43" s="6" t="s">
        <v>67</v>
      </c>
      <c r="E43" s="7">
        <v>11000</v>
      </c>
      <c r="F43" s="8">
        <v>75.228999999999999</v>
      </c>
      <c r="G43" s="9">
        <v>1.0025648E-2</v>
      </c>
      <c r="H43" s="167"/>
    </row>
    <row r="44" spans="1:8" ht="25.5" x14ac:dyDescent="0.2">
      <c r="A44" s="5">
        <v>38</v>
      </c>
      <c r="B44" s="6" t="s">
        <v>161</v>
      </c>
      <c r="C44" s="6" t="s">
        <v>162</v>
      </c>
      <c r="D44" s="6" t="s">
        <v>970</v>
      </c>
      <c r="E44" s="7">
        <v>39711</v>
      </c>
      <c r="F44" s="8">
        <v>72.373297500000007</v>
      </c>
      <c r="G44" s="9">
        <v>9.6450730000000005E-3</v>
      </c>
      <c r="H44" s="167"/>
    </row>
    <row r="45" spans="1:8" ht="25.5" x14ac:dyDescent="0.2">
      <c r="A45" s="5">
        <v>39</v>
      </c>
      <c r="B45" s="6" t="s">
        <v>425</v>
      </c>
      <c r="C45" s="6" t="s">
        <v>426</v>
      </c>
      <c r="D45" s="6" t="s">
        <v>78</v>
      </c>
      <c r="E45" s="7">
        <v>31300</v>
      </c>
      <c r="F45" s="8">
        <v>67.7958</v>
      </c>
      <c r="G45" s="9">
        <v>9.0350369999999992E-3</v>
      </c>
      <c r="H45" s="167"/>
    </row>
    <row r="46" spans="1:8" x14ac:dyDescent="0.2">
      <c r="A46" s="5">
        <v>40</v>
      </c>
      <c r="B46" s="6" t="s">
        <v>345</v>
      </c>
      <c r="C46" s="6" t="s">
        <v>346</v>
      </c>
      <c r="D46" s="6" t="s">
        <v>57</v>
      </c>
      <c r="E46" s="7">
        <v>15000</v>
      </c>
      <c r="F46" s="8">
        <v>61.08</v>
      </c>
      <c r="G46" s="9">
        <v>8.1400329999999996E-3</v>
      </c>
      <c r="H46" s="167"/>
    </row>
    <row r="47" spans="1:8" x14ac:dyDescent="0.2">
      <c r="A47" s="5">
        <v>41</v>
      </c>
      <c r="B47" s="6" t="s">
        <v>68</v>
      </c>
      <c r="C47" s="6" t="s">
        <v>69</v>
      </c>
      <c r="D47" s="6" t="s">
        <v>70</v>
      </c>
      <c r="E47" s="7">
        <v>36861</v>
      </c>
      <c r="F47" s="8">
        <v>58.959169500000002</v>
      </c>
      <c r="G47" s="9">
        <v>7.8573940000000002E-3</v>
      </c>
      <c r="H47" s="167"/>
    </row>
    <row r="48" spans="1:8" ht="25.5" x14ac:dyDescent="0.2">
      <c r="A48" s="5">
        <v>42</v>
      </c>
      <c r="B48" s="6" t="s">
        <v>228</v>
      </c>
      <c r="C48" s="6" t="s">
        <v>229</v>
      </c>
      <c r="D48" s="6" t="s">
        <v>78</v>
      </c>
      <c r="E48" s="7">
        <v>17147</v>
      </c>
      <c r="F48" s="8">
        <v>58.239785500000004</v>
      </c>
      <c r="G48" s="9">
        <v>7.7615219999999999E-3</v>
      </c>
      <c r="H48" s="167"/>
    </row>
    <row r="49" spans="1:8" x14ac:dyDescent="0.2">
      <c r="A49" s="5">
        <v>43</v>
      </c>
      <c r="B49" s="6" t="s">
        <v>295</v>
      </c>
      <c r="C49" s="6" t="s">
        <v>296</v>
      </c>
      <c r="D49" s="6" t="s">
        <v>969</v>
      </c>
      <c r="E49" s="7">
        <v>5927</v>
      </c>
      <c r="F49" s="8">
        <v>55.304836999999999</v>
      </c>
      <c r="G49" s="9">
        <v>7.3703869999999999E-3</v>
      </c>
      <c r="H49" s="167"/>
    </row>
    <row r="50" spans="1:8" x14ac:dyDescent="0.2">
      <c r="A50" s="5">
        <v>44</v>
      </c>
      <c r="B50" s="6" t="s">
        <v>427</v>
      </c>
      <c r="C50" s="6" t="s">
        <v>428</v>
      </c>
      <c r="D50" s="6" t="s">
        <v>158</v>
      </c>
      <c r="E50" s="7">
        <v>4434</v>
      </c>
      <c r="F50" s="8">
        <v>52.571720999999997</v>
      </c>
      <c r="G50" s="9">
        <v>7.0061489999999997E-3</v>
      </c>
      <c r="H50" s="167"/>
    </row>
    <row r="51" spans="1:8" x14ac:dyDescent="0.2">
      <c r="A51" s="5">
        <v>45</v>
      </c>
      <c r="B51" s="6" t="s">
        <v>429</v>
      </c>
      <c r="C51" s="6" t="s">
        <v>430</v>
      </c>
      <c r="D51" s="6" t="s">
        <v>23</v>
      </c>
      <c r="E51" s="7">
        <v>2804</v>
      </c>
      <c r="F51" s="8">
        <v>50.687908</v>
      </c>
      <c r="G51" s="9">
        <v>6.7550960000000004E-3</v>
      </c>
      <c r="H51" s="167"/>
    </row>
    <row r="52" spans="1:8" ht="25.5" x14ac:dyDescent="0.2">
      <c r="A52" s="5">
        <v>46</v>
      </c>
      <c r="B52" s="6" t="s">
        <v>76</v>
      </c>
      <c r="C52" s="6" t="s">
        <v>77</v>
      </c>
      <c r="D52" s="6" t="s">
        <v>78</v>
      </c>
      <c r="E52" s="7">
        <v>8741</v>
      </c>
      <c r="F52" s="8">
        <v>49.985408499999998</v>
      </c>
      <c r="G52" s="9">
        <v>6.661475E-3</v>
      </c>
      <c r="H52" s="167"/>
    </row>
    <row r="53" spans="1:8" x14ac:dyDescent="0.2">
      <c r="A53" s="5">
        <v>47</v>
      </c>
      <c r="B53" s="6" t="s">
        <v>262</v>
      </c>
      <c r="C53" s="6" t="s">
        <v>263</v>
      </c>
      <c r="D53" s="6" t="s">
        <v>185</v>
      </c>
      <c r="E53" s="7">
        <v>8000</v>
      </c>
      <c r="F53" s="8">
        <v>45.491999999999997</v>
      </c>
      <c r="G53" s="9">
        <v>6.0626459999999997E-3</v>
      </c>
      <c r="H53" s="167"/>
    </row>
    <row r="54" spans="1:8" x14ac:dyDescent="0.2">
      <c r="A54" s="5">
        <v>48</v>
      </c>
      <c r="B54" s="6" t="s">
        <v>431</v>
      </c>
      <c r="C54" s="6" t="s">
        <v>432</v>
      </c>
      <c r="D54" s="6" t="s">
        <v>433</v>
      </c>
      <c r="E54" s="7">
        <v>7540</v>
      </c>
      <c r="F54" s="8">
        <v>29.72645</v>
      </c>
      <c r="G54" s="9">
        <v>3.9615960000000004E-3</v>
      </c>
      <c r="H54" s="167"/>
    </row>
    <row r="55" spans="1:8" x14ac:dyDescent="0.2">
      <c r="A55" s="5">
        <v>49</v>
      </c>
      <c r="B55" s="6" t="s">
        <v>351</v>
      </c>
      <c r="C55" s="6" t="s">
        <v>352</v>
      </c>
      <c r="D55" s="6" t="s">
        <v>974</v>
      </c>
      <c r="E55" s="7">
        <v>9151</v>
      </c>
      <c r="F55" s="8">
        <v>13.305554000000001</v>
      </c>
      <c r="G55" s="9">
        <v>1.7732100000000001E-3</v>
      </c>
      <c r="H55" s="167"/>
    </row>
    <row r="56" spans="1:8" x14ac:dyDescent="0.2">
      <c r="A56" s="5">
        <v>50</v>
      </c>
      <c r="B56" s="6" t="s">
        <v>434</v>
      </c>
      <c r="C56" s="6" t="s">
        <v>435</v>
      </c>
      <c r="D56" s="6" t="s">
        <v>94</v>
      </c>
      <c r="E56" s="7">
        <v>30</v>
      </c>
      <c r="F56" s="8">
        <v>0.18456</v>
      </c>
      <c r="G56" s="16" t="s">
        <v>109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0">
        <v>7413.6675109999996</v>
      </c>
      <c r="G57" s="11">
        <v>0.98800754000000002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105</v>
      </c>
      <c r="D59" s="3" t="s">
        <v>10</v>
      </c>
      <c r="E59" s="3" t="s">
        <v>10</v>
      </c>
      <c r="F59" s="3" t="s">
        <v>10</v>
      </c>
      <c r="G59" s="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104</v>
      </c>
      <c r="D60" s="3" t="s">
        <v>10</v>
      </c>
      <c r="E60" s="3" t="s">
        <v>10</v>
      </c>
      <c r="F60" s="14">
        <v>0</v>
      </c>
      <c r="G60" s="15">
        <v>0</v>
      </c>
      <c r="H60" s="167"/>
    </row>
    <row r="61" spans="1:8" x14ac:dyDescent="0.2">
      <c r="A61" s="3" t="s">
        <v>10</v>
      </c>
      <c r="B61" s="3" t="s">
        <v>10</v>
      </c>
      <c r="C61" s="12" t="s">
        <v>10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106</v>
      </c>
      <c r="D62" s="3" t="s">
        <v>10</v>
      </c>
      <c r="E62" s="3" t="s">
        <v>10</v>
      </c>
      <c r="F62" s="3" t="s">
        <v>10</v>
      </c>
      <c r="G62" s="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0</v>
      </c>
      <c r="G63" s="15">
        <v>0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110</v>
      </c>
      <c r="D65" s="3" t="s">
        <v>10</v>
      </c>
      <c r="E65" s="3" t="s">
        <v>10</v>
      </c>
      <c r="F65" s="3" t="s">
        <v>10</v>
      </c>
      <c r="G65" s="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111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112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113</v>
      </c>
      <c r="D74" s="3" t="s">
        <v>10</v>
      </c>
      <c r="E74" s="3" t="s">
        <v>10</v>
      </c>
      <c r="F74" s="10">
        <v>7413.6675109999996</v>
      </c>
      <c r="G74" s="11">
        <v>0.98800754000000002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114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ht="25.5" x14ac:dyDescent="0.2">
      <c r="A77" s="3" t="s">
        <v>10</v>
      </c>
      <c r="B77" s="3" t="s">
        <v>10</v>
      </c>
      <c r="C77" s="4" t="s">
        <v>12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115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116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117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118</v>
      </c>
      <c r="D89" s="3" t="s">
        <v>10</v>
      </c>
      <c r="E89" s="3" t="s">
        <v>10</v>
      </c>
      <c r="F89" s="10">
        <v>0</v>
      </c>
      <c r="G89" s="11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119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120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121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122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123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5">
        <v>1</v>
      </c>
      <c r="B102" s="6"/>
      <c r="C102" s="6" t="s">
        <v>124</v>
      </c>
      <c r="D102" s="6"/>
      <c r="E102" s="16" t="s">
        <v>10</v>
      </c>
      <c r="F102" s="8">
        <v>67.868088900000004</v>
      </c>
      <c r="G102" s="9">
        <v>9.0446710000000007E-3</v>
      </c>
      <c r="H102" s="108">
        <v>3.23</v>
      </c>
    </row>
    <row r="103" spans="1:8" x14ac:dyDescent="0.2">
      <c r="A103" s="5">
        <v>2</v>
      </c>
      <c r="B103" s="6"/>
      <c r="C103" s="6" t="s">
        <v>125</v>
      </c>
      <c r="D103" s="6"/>
      <c r="E103" s="16" t="s">
        <v>10</v>
      </c>
      <c r="F103" s="8">
        <v>19.0634832</v>
      </c>
      <c r="G103" s="9">
        <v>2.5405599999999999E-3</v>
      </c>
      <c r="H103" s="108">
        <v>3.35</v>
      </c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0">
        <v>86.931572099999997</v>
      </c>
      <c r="G104" s="11">
        <v>1.1585231E-2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126</v>
      </c>
      <c r="D106" s="3" t="s">
        <v>10</v>
      </c>
      <c r="E106" s="3" t="s">
        <v>10</v>
      </c>
      <c r="F106" s="10">
        <v>86.931572099999997</v>
      </c>
      <c r="G106" s="11">
        <v>1.1585231E-2</v>
      </c>
      <c r="H106" s="167"/>
    </row>
    <row r="107" spans="1:8" x14ac:dyDescent="0.2">
      <c r="A107" s="3" t="s">
        <v>10</v>
      </c>
      <c r="B107" s="3" t="s">
        <v>10</v>
      </c>
      <c r="C107" s="1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127</v>
      </c>
      <c r="D108" s="3" t="s">
        <v>10</v>
      </c>
      <c r="E108" s="3" t="s">
        <v>10</v>
      </c>
      <c r="F108" s="3" t="s">
        <v>10</v>
      </c>
      <c r="G108" s="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128</v>
      </c>
      <c r="D109" s="3" t="s">
        <v>10</v>
      </c>
      <c r="E109" s="3" t="s">
        <v>10</v>
      </c>
      <c r="F109" s="3" t="s">
        <v>10</v>
      </c>
      <c r="G109" s="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129</v>
      </c>
      <c r="D112" s="3" t="s">
        <v>10</v>
      </c>
      <c r="E112" s="3" t="s">
        <v>10</v>
      </c>
      <c r="F112" s="3" t="s">
        <v>10</v>
      </c>
      <c r="G112" s="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130</v>
      </c>
      <c r="D113" s="3" t="s">
        <v>10</v>
      </c>
      <c r="E113" s="3" t="s">
        <v>10</v>
      </c>
      <c r="F113" s="3" t="s">
        <v>10</v>
      </c>
      <c r="G113" s="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12" t="s">
        <v>10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ht="25.5" x14ac:dyDescent="0.2">
      <c r="A117" s="3" t="s">
        <v>10</v>
      </c>
      <c r="B117" s="3" t="s">
        <v>10</v>
      </c>
      <c r="C117" s="4" t="s">
        <v>131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104</v>
      </c>
      <c r="D118" s="3" t="s">
        <v>10</v>
      </c>
      <c r="E118" s="3" t="s">
        <v>10</v>
      </c>
      <c r="F118" s="14">
        <v>0</v>
      </c>
      <c r="G118" s="15">
        <v>0</v>
      </c>
      <c r="H118" s="167"/>
    </row>
    <row r="119" spans="1:8" x14ac:dyDescent="0.2">
      <c r="A119" s="3" t="s">
        <v>10</v>
      </c>
      <c r="B119" s="3" t="s">
        <v>10</v>
      </c>
      <c r="C119" s="12" t="s">
        <v>10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6" t="s">
        <v>10</v>
      </c>
      <c r="C120" s="6" t="s">
        <v>10</v>
      </c>
      <c r="D120" s="4" t="s">
        <v>10</v>
      </c>
      <c r="E120" s="3" t="s">
        <v>10</v>
      </c>
      <c r="F120" s="6" t="s">
        <v>10</v>
      </c>
      <c r="G120" s="16" t="s">
        <v>10</v>
      </c>
      <c r="H120" s="167"/>
    </row>
    <row r="121" spans="1:8" x14ac:dyDescent="0.2">
      <c r="A121" s="16" t="s">
        <v>10</v>
      </c>
      <c r="B121" s="6" t="s">
        <v>10</v>
      </c>
      <c r="C121" s="6" t="s">
        <v>132</v>
      </c>
      <c r="D121" s="6" t="s">
        <v>10</v>
      </c>
      <c r="E121" s="16" t="s">
        <v>10</v>
      </c>
      <c r="F121" s="8">
        <v>3.05573162</v>
      </c>
      <c r="G121" s="9">
        <v>4.0723199999999999E-4</v>
      </c>
      <c r="H121" s="167"/>
    </row>
    <row r="122" spans="1:8" x14ac:dyDescent="0.2">
      <c r="A122" s="12" t="s">
        <v>10</v>
      </c>
      <c r="B122" s="12" t="s">
        <v>10</v>
      </c>
      <c r="C122" s="4" t="s">
        <v>133</v>
      </c>
      <c r="D122" s="17" t="s">
        <v>10</v>
      </c>
      <c r="E122" s="17" t="s">
        <v>10</v>
      </c>
      <c r="F122" s="10">
        <v>7503.6548147200001</v>
      </c>
      <c r="G122" s="11">
        <v>1.000000003</v>
      </c>
      <c r="H122" s="167"/>
    </row>
    <row r="123" spans="1:8" ht="14.1" customHeight="1" x14ac:dyDescent="0.2">
      <c r="A123" s="18" t="s">
        <v>10</v>
      </c>
      <c r="B123" s="18" t="s">
        <v>10</v>
      </c>
      <c r="C123" s="18" t="s">
        <v>10</v>
      </c>
      <c r="D123" s="19" t="s">
        <v>10</v>
      </c>
      <c r="E123" s="19" t="s">
        <v>10</v>
      </c>
      <c r="F123" s="19" t="s">
        <v>10</v>
      </c>
      <c r="G123" s="19" t="s">
        <v>10</v>
      </c>
    </row>
    <row r="124" spans="1:8" ht="14.1" customHeight="1" x14ac:dyDescent="0.2">
      <c r="A124" s="20" t="s">
        <v>10</v>
      </c>
      <c r="B124" s="208" t="s">
        <v>10</v>
      </c>
      <c r="C124" s="208"/>
      <c r="D124" s="208"/>
      <c r="E124" s="208"/>
      <c r="F124" s="208"/>
      <c r="G124" s="22" t="s">
        <v>10</v>
      </c>
    </row>
    <row r="125" spans="1:8" ht="17.100000000000001" customHeight="1" x14ac:dyDescent="0.2">
      <c r="A125" s="20" t="s">
        <v>10</v>
      </c>
      <c r="B125" s="219" t="s">
        <v>989</v>
      </c>
      <c r="C125" s="219"/>
      <c r="D125" s="219"/>
      <c r="E125" s="219"/>
      <c r="F125" s="219"/>
      <c r="G125" s="22" t="s">
        <v>10</v>
      </c>
    </row>
    <row r="126" spans="1:8" ht="14.1" customHeight="1" x14ac:dyDescent="0.2">
      <c r="A126" s="20" t="s">
        <v>10</v>
      </c>
      <c r="B126" s="20" t="s">
        <v>10</v>
      </c>
      <c r="C126" s="20" t="s">
        <v>10</v>
      </c>
      <c r="D126" s="22" t="s">
        <v>10</v>
      </c>
      <c r="E126" s="22" t="s">
        <v>10</v>
      </c>
      <c r="F126" s="22" t="s">
        <v>10</v>
      </c>
      <c r="G126" s="22" t="s">
        <v>10</v>
      </c>
    </row>
    <row r="127" spans="1:8" ht="14.1" customHeight="1" x14ac:dyDescent="0.2">
      <c r="A127" s="20" t="s">
        <v>10</v>
      </c>
      <c r="B127" s="206" t="s">
        <v>134</v>
      </c>
      <c r="C127" s="207"/>
      <c r="D127" s="13" t="s">
        <v>10</v>
      </c>
      <c r="E127" s="23" t="s">
        <v>10</v>
      </c>
      <c r="F127" s="22" t="s">
        <v>10</v>
      </c>
      <c r="G127" s="22" t="s">
        <v>10</v>
      </c>
    </row>
    <row r="128" spans="1:8" ht="29.1" customHeight="1" x14ac:dyDescent="0.2">
      <c r="A128" s="20" t="s">
        <v>10</v>
      </c>
      <c r="B128" s="213" t="s">
        <v>135</v>
      </c>
      <c r="C128" s="214"/>
      <c r="D128" s="4" t="s">
        <v>136</v>
      </c>
      <c r="E128" s="23" t="s">
        <v>10</v>
      </c>
      <c r="F128" s="22" t="s">
        <v>10</v>
      </c>
      <c r="G128" s="22" t="s">
        <v>10</v>
      </c>
    </row>
    <row r="129" spans="1:7" ht="17.100000000000001" customHeight="1" x14ac:dyDescent="0.2">
      <c r="A129" s="20" t="s">
        <v>10</v>
      </c>
      <c r="B129" s="213" t="s">
        <v>137</v>
      </c>
      <c r="C129" s="214"/>
      <c r="D129" s="4" t="s">
        <v>136</v>
      </c>
      <c r="E129" s="23" t="s">
        <v>10</v>
      </c>
      <c r="F129" s="22" t="s">
        <v>10</v>
      </c>
      <c r="G129" s="22" t="s">
        <v>10</v>
      </c>
    </row>
    <row r="130" spans="1:7" ht="17.100000000000001" customHeight="1" x14ac:dyDescent="0.2">
      <c r="A130" s="20" t="s">
        <v>10</v>
      </c>
      <c r="B130" s="213" t="s">
        <v>138</v>
      </c>
      <c r="C130" s="214"/>
      <c r="D130" s="13" t="s">
        <v>10</v>
      </c>
      <c r="E130" s="23" t="s">
        <v>10</v>
      </c>
      <c r="F130" s="22" t="s">
        <v>10</v>
      </c>
      <c r="G130" s="22" t="s">
        <v>10</v>
      </c>
    </row>
    <row r="131" spans="1:7" s="20" customFormat="1" ht="17.100000000000001" customHeight="1" x14ac:dyDescent="0.2"/>
    <row r="132" spans="1:7" x14ac:dyDescent="0.2">
      <c r="A132" s="24" t="s">
        <v>10</v>
      </c>
      <c r="B132" s="140" t="s">
        <v>10</v>
      </c>
      <c r="C132" s="140" t="s">
        <v>139</v>
      </c>
      <c r="D132" s="140" t="s">
        <v>140</v>
      </c>
      <c r="E132" s="24" t="s">
        <v>10</v>
      </c>
      <c r="F132" s="24" t="s">
        <v>10</v>
      </c>
      <c r="G132" s="24" t="s">
        <v>10</v>
      </c>
    </row>
    <row r="133" spans="1:7" ht="18" customHeight="1" x14ac:dyDescent="0.2">
      <c r="A133" s="24" t="s">
        <v>10</v>
      </c>
      <c r="B133" s="25" t="s">
        <v>141</v>
      </c>
      <c r="C133" s="25" t="s">
        <v>142</v>
      </c>
      <c r="D133" s="25" t="s">
        <v>143</v>
      </c>
      <c r="E133" s="24" t="s">
        <v>10</v>
      </c>
      <c r="F133" s="24" t="s">
        <v>10</v>
      </c>
      <c r="G133" s="24" t="s">
        <v>10</v>
      </c>
    </row>
    <row r="134" spans="1:7" ht="17.100000000000001" customHeight="1" x14ac:dyDescent="0.2">
      <c r="A134" s="24" t="s">
        <v>10</v>
      </c>
      <c r="B134" s="6" t="s">
        <v>144</v>
      </c>
      <c r="C134" s="26">
        <v>14.1759</v>
      </c>
      <c r="D134" s="26">
        <v>15.1128</v>
      </c>
      <c r="E134" s="24" t="s">
        <v>10</v>
      </c>
      <c r="F134" s="21" t="s">
        <v>10</v>
      </c>
      <c r="G134" s="27" t="s">
        <v>10</v>
      </c>
    </row>
    <row r="135" spans="1:7" ht="17.100000000000001" customHeight="1" x14ac:dyDescent="0.2">
      <c r="A135" s="24" t="s">
        <v>10</v>
      </c>
      <c r="B135" s="6" t="s">
        <v>917</v>
      </c>
      <c r="C135" s="26">
        <v>14.1759</v>
      </c>
      <c r="D135" s="26">
        <v>15.1128</v>
      </c>
      <c r="E135" s="24" t="s">
        <v>10</v>
      </c>
      <c r="F135" s="21" t="s">
        <v>10</v>
      </c>
      <c r="G135" s="27" t="s">
        <v>10</v>
      </c>
    </row>
    <row r="136" spans="1:7" ht="17.100000000000001" customHeight="1" x14ac:dyDescent="0.2">
      <c r="A136" s="24" t="s">
        <v>10</v>
      </c>
      <c r="B136" s="6" t="s">
        <v>145</v>
      </c>
      <c r="C136" s="26">
        <v>13.9337</v>
      </c>
      <c r="D136" s="26">
        <v>14.8474</v>
      </c>
      <c r="E136" s="24" t="s">
        <v>10</v>
      </c>
      <c r="F136" s="21" t="s">
        <v>10</v>
      </c>
      <c r="G136" s="27" t="s">
        <v>10</v>
      </c>
    </row>
    <row r="137" spans="1:7" ht="17.100000000000001" customHeight="1" x14ac:dyDescent="0.2">
      <c r="A137" s="24" t="s">
        <v>10</v>
      </c>
      <c r="B137" s="6" t="s">
        <v>918</v>
      </c>
      <c r="C137" s="26">
        <v>13.9337</v>
      </c>
      <c r="D137" s="26">
        <v>14.8475</v>
      </c>
      <c r="E137" s="24" t="s">
        <v>10</v>
      </c>
      <c r="F137" s="21" t="s">
        <v>10</v>
      </c>
      <c r="G137" s="27" t="s">
        <v>10</v>
      </c>
    </row>
    <row r="138" spans="1:7" ht="14.1" customHeight="1" x14ac:dyDescent="0.2">
      <c r="A138" s="24" t="s">
        <v>10</v>
      </c>
      <c r="B138" s="24" t="s">
        <v>10</v>
      </c>
      <c r="C138" s="24" t="s">
        <v>10</v>
      </c>
      <c r="D138" s="24" t="s">
        <v>10</v>
      </c>
      <c r="E138" s="24" t="s">
        <v>10</v>
      </c>
      <c r="F138" s="24" t="s">
        <v>10</v>
      </c>
      <c r="G138" s="24" t="s">
        <v>10</v>
      </c>
    </row>
    <row r="139" spans="1:7" ht="17.100000000000001" customHeight="1" x14ac:dyDescent="0.2">
      <c r="A139" s="24" t="s">
        <v>10</v>
      </c>
      <c r="B139" s="213" t="s">
        <v>999</v>
      </c>
      <c r="C139" s="214"/>
      <c r="D139" s="4" t="s">
        <v>136</v>
      </c>
      <c r="E139" s="24" t="s">
        <v>10</v>
      </c>
      <c r="F139" s="24" t="s">
        <v>10</v>
      </c>
      <c r="G139" s="24" t="s">
        <v>10</v>
      </c>
    </row>
    <row r="140" spans="1:7" ht="18" customHeight="1" x14ac:dyDescent="0.2">
      <c r="A140" s="24" t="s">
        <v>10</v>
      </c>
      <c r="B140" s="28"/>
      <c r="C140" s="28"/>
      <c r="D140" s="29" t="s">
        <v>10</v>
      </c>
      <c r="E140" s="24" t="s">
        <v>10</v>
      </c>
      <c r="F140" s="24" t="s">
        <v>10</v>
      </c>
      <c r="G140" s="24" t="s">
        <v>10</v>
      </c>
    </row>
    <row r="141" spans="1:7" ht="18" customHeight="1" x14ac:dyDescent="0.2">
      <c r="A141" s="172"/>
      <c r="B141" s="217" t="s">
        <v>919</v>
      </c>
      <c r="C141" s="217"/>
      <c r="D141" s="217"/>
      <c r="E141" s="217"/>
      <c r="F141" s="217"/>
      <c r="G141" s="172"/>
    </row>
    <row r="142" spans="1:7" ht="14.1" customHeight="1" x14ac:dyDescent="0.2">
      <c r="A142" s="24" t="s">
        <v>10</v>
      </c>
      <c r="B142" s="21" t="s">
        <v>10</v>
      </c>
      <c r="C142" s="21" t="s">
        <v>10</v>
      </c>
      <c r="D142" s="24" t="s">
        <v>10</v>
      </c>
      <c r="E142" s="24" t="s">
        <v>10</v>
      </c>
      <c r="F142" s="24" t="s">
        <v>10</v>
      </c>
      <c r="G142" s="24" t="s">
        <v>10</v>
      </c>
    </row>
    <row r="143" spans="1:7" ht="29.1" customHeight="1" x14ac:dyDescent="0.2">
      <c r="A143" s="24" t="s">
        <v>10</v>
      </c>
      <c r="B143" s="213" t="s">
        <v>146</v>
      </c>
      <c r="C143" s="214"/>
      <c r="D143" s="4" t="s">
        <v>136</v>
      </c>
      <c r="E143" s="24" t="s">
        <v>10</v>
      </c>
      <c r="F143" s="24" t="s">
        <v>10</v>
      </c>
      <c r="G143" s="24" t="s">
        <v>10</v>
      </c>
    </row>
    <row r="144" spans="1:7" ht="29.1" customHeight="1" x14ac:dyDescent="0.2">
      <c r="A144" s="24" t="s">
        <v>10</v>
      </c>
      <c r="B144" s="213" t="s">
        <v>147</v>
      </c>
      <c r="C144" s="214"/>
      <c r="D144" s="4" t="s">
        <v>136</v>
      </c>
      <c r="E144" s="24" t="s">
        <v>10</v>
      </c>
      <c r="F144" s="24" t="s">
        <v>10</v>
      </c>
      <c r="G144" s="24" t="s">
        <v>10</v>
      </c>
    </row>
    <row r="145" spans="1:7" ht="17.100000000000001" customHeight="1" x14ac:dyDescent="0.2">
      <c r="A145" s="24" t="s">
        <v>10</v>
      </c>
      <c r="B145" s="213" t="s">
        <v>148</v>
      </c>
      <c r="C145" s="214"/>
      <c r="D145" s="30">
        <v>0.3314525293061753</v>
      </c>
      <c r="E145" s="24" t="s">
        <v>10</v>
      </c>
      <c r="F145" s="21" t="s">
        <v>10</v>
      </c>
      <c r="G145" s="27" t="s">
        <v>10</v>
      </c>
    </row>
    <row r="146" spans="1:7" ht="17.100000000000001" customHeight="1" x14ac:dyDescent="0.2">
      <c r="A146" s="24" t="s">
        <v>10</v>
      </c>
      <c r="B146" s="213" t="s">
        <v>149</v>
      </c>
      <c r="C146" s="214"/>
      <c r="D146" s="4" t="s">
        <v>136</v>
      </c>
      <c r="E146" s="24" t="s">
        <v>10</v>
      </c>
      <c r="F146" s="24" t="s">
        <v>10</v>
      </c>
      <c r="G146" s="24" t="s">
        <v>10</v>
      </c>
    </row>
  </sheetData>
  <mergeCells count="15">
    <mergeCell ref="B145:C145"/>
    <mergeCell ref="B146:C146"/>
    <mergeCell ref="B128:C128"/>
    <mergeCell ref="B129:C129"/>
    <mergeCell ref="B130:C130"/>
    <mergeCell ref="B139:C139"/>
    <mergeCell ref="B143:C143"/>
    <mergeCell ref="B144:C144"/>
    <mergeCell ref="B141:F141"/>
    <mergeCell ref="B127:C127"/>
    <mergeCell ref="B124:F124"/>
    <mergeCell ref="B125:F12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41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9" max="9" width="12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437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399</v>
      </c>
      <c r="C7" s="6" t="s">
        <v>400</v>
      </c>
      <c r="D7" s="6" t="s">
        <v>167</v>
      </c>
      <c r="E7" s="7">
        <v>621607</v>
      </c>
      <c r="F7" s="8">
        <v>8663.6475625000003</v>
      </c>
      <c r="G7" s="9">
        <v>5.6102841000000001E-2</v>
      </c>
      <c r="H7" s="167"/>
    </row>
    <row r="8" spans="1:8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317485</v>
      </c>
      <c r="F8" s="8">
        <v>6858.628455</v>
      </c>
      <c r="G8" s="9">
        <v>4.4414149999999999E-2</v>
      </c>
      <c r="H8" s="167"/>
    </row>
    <row r="9" spans="1:8" x14ac:dyDescent="0.2">
      <c r="A9" s="5">
        <v>3</v>
      </c>
      <c r="B9" s="6" t="s">
        <v>51</v>
      </c>
      <c r="C9" s="6" t="s">
        <v>52</v>
      </c>
      <c r="D9" s="6" t="s">
        <v>23</v>
      </c>
      <c r="E9" s="7">
        <v>447548</v>
      </c>
      <c r="F9" s="8">
        <v>6784.1563580000002</v>
      </c>
      <c r="G9" s="9">
        <v>4.3931893999999999E-2</v>
      </c>
      <c r="H9" s="167"/>
    </row>
    <row r="10" spans="1:8" x14ac:dyDescent="0.2">
      <c r="A10" s="5">
        <v>4</v>
      </c>
      <c r="B10" s="6" t="s">
        <v>21</v>
      </c>
      <c r="C10" s="6" t="s">
        <v>22</v>
      </c>
      <c r="D10" s="6" t="s">
        <v>23</v>
      </c>
      <c r="E10" s="7">
        <v>1019172</v>
      </c>
      <c r="F10" s="8">
        <v>6754.5624299999999</v>
      </c>
      <c r="G10" s="9">
        <v>4.3740253999999999E-2</v>
      </c>
      <c r="H10" s="167"/>
    </row>
    <row r="11" spans="1:8" x14ac:dyDescent="0.2">
      <c r="A11" s="5">
        <v>5</v>
      </c>
      <c r="B11" s="6" t="s">
        <v>403</v>
      </c>
      <c r="C11" s="6" t="s">
        <v>404</v>
      </c>
      <c r="D11" s="6" t="s">
        <v>23</v>
      </c>
      <c r="E11" s="7">
        <v>1539651</v>
      </c>
      <c r="F11" s="8">
        <v>6533.5090184999999</v>
      </c>
      <c r="G11" s="9">
        <v>4.2308787E-2</v>
      </c>
      <c r="H11" s="167"/>
    </row>
    <row r="12" spans="1:8" x14ac:dyDescent="0.2">
      <c r="A12" s="5">
        <v>6</v>
      </c>
      <c r="B12" s="6" t="s">
        <v>13</v>
      </c>
      <c r="C12" s="6" t="s">
        <v>14</v>
      </c>
      <c r="D12" s="6" t="s">
        <v>15</v>
      </c>
      <c r="E12" s="7">
        <v>380598</v>
      </c>
      <c r="F12" s="8">
        <v>5586.036846</v>
      </c>
      <c r="G12" s="9">
        <v>3.6173279000000003E-2</v>
      </c>
      <c r="H12" s="167"/>
    </row>
    <row r="13" spans="1:8" x14ac:dyDescent="0.2">
      <c r="A13" s="5">
        <v>7</v>
      </c>
      <c r="B13" s="6" t="s">
        <v>299</v>
      </c>
      <c r="C13" s="6" t="s">
        <v>300</v>
      </c>
      <c r="D13" s="6" t="s">
        <v>167</v>
      </c>
      <c r="E13" s="7">
        <v>223002</v>
      </c>
      <c r="F13" s="8">
        <v>5339.4483870000004</v>
      </c>
      <c r="G13" s="9">
        <v>3.4576455999999998E-2</v>
      </c>
      <c r="H13" s="167"/>
    </row>
    <row r="14" spans="1:8" x14ac:dyDescent="0.2">
      <c r="A14" s="5">
        <v>8</v>
      </c>
      <c r="B14" s="6" t="s">
        <v>307</v>
      </c>
      <c r="C14" s="6" t="s">
        <v>308</v>
      </c>
      <c r="D14" s="6" t="s">
        <v>23</v>
      </c>
      <c r="E14" s="7">
        <v>472033</v>
      </c>
      <c r="F14" s="8">
        <v>4666.2822214999997</v>
      </c>
      <c r="G14" s="9">
        <v>3.0217259999999999E-2</v>
      </c>
      <c r="H14" s="167"/>
    </row>
    <row r="15" spans="1:8" x14ac:dyDescent="0.2">
      <c r="A15" s="5">
        <v>9</v>
      </c>
      <c r="B15" s="6" t="s">
        <v>370</v>
      </c>
      <c r="C15" s="6" t="s">
        <v>371</v>
      </c>
      <c r="D15" s="6" t="s">
        <v>23</v>
      </c>
      <c r="E15" s="7">
        <v>617691</v>
      </c>
      <c r="F15" s="8">
        <v>4637.0063369999998</v>
      </c>
      <c r="G15" s="9">
        <v>3.0027679000000002E-2</v>
      </c>
      <c r="H15" s="167"/>
    </row>
    <row r="16" spans="1:8" x14ac:dyDescent="0.2">
      <c r="A16" s="5">
        <v>10</v>
      </c>
      <c r="B16" s="6" t="s">
        <v>317</v>
      </c>
      <c r="C16" s="6" t="s">
        <v>318</v>
      </c>
      <c r="D16" s="6" t="s">
        <v>240</v>
      </c>
      <c r="E16" s="7">
        <v>167692</v>
      </c>
      <c r="F16" s="8">
        <v>4385.0619539999998</v>
      </c>
      <c r="G16" s="9">
        <v>2.8396173E-2</v>
      </c>
      <c r="H16" s="167"/>
    </row>
    <row r="17" spans="1:8" x14ac:dyDescent="0.2">
      <c r="A17" s="5">
        <v>11</v>
      </c>
      <c r="B17" s="6" t="s">
        <v>295</v>
      </c>
      <c r="C17" s="6" t="s">
        <v>296</v>
      </c>
      <c r="D17" s="6" t="s">
        <v>969</v>
      </c>
      <c r="E17" s="7">
        <v>421339</v>
      </c>
      <c r="F17" s="8">
        <v>3931.5142089999999</v>
      </c>
      <c r="G17" s="9">
        <v>2.5459151999999999E-2</v>
      </c>
      <c r="H17" s="167"/>
    </row>
    <row r="18" spans="1:8" x14ac:dyDescent="0.2">
      <c r="A18" s="5">
        <v>12</v>
      </c>
      <c r="B18" s="6" t="s">
        <v>61</v>
      </c>
      <c r="C18" s="6" t="s">
        <v>62</v>
      </c>
      <c r="D18" s="6" t="s">
        <v>18</v>
      </c>
      <c r="E18" s="7">
        <v>802261</v>
      </c>
      <c r="F18" s="8">
        <v>3786.6719199999998</v>
      </c>
      <c r="G18" s="9">
        <v>2.4521201999999999E-2</v>
      </c>
      <c r="H18" s="167"/>
    </row>
    <row r="19" spans="1:8" ht="25.5" x14ac:dyDescent="0.2">
      <c r="A19" s="5">
        <v>13</v>
      </c>
      <c r="B19" s="6" t="s">
        <v>327</v>
      </c>
      <c r="C19" s="6" t="s">
        <v>328</v>
      </c>
      <c r="D19" s="6" t="s">
        <v>78</v>
      </c>
      <c r="E19" s="7">
        <v>359894</v>
      </c>
      <c r="F19" s="8">
        <v>3640.5077569999999</v>
      </c>
      <c r="G19" s="9">
        <v>2.3574693000000001E-2</v>
      </c>
      <c r="H19" s="167"/>
    </row>
    <row r="20" spans="1:8" ht="25.5" x14ac:dyDescent="0.2">
      <c r="A20" s="5">
        <v>14</v>
      </c>
      <c r="B20" s="6" t="s">
        <v>401</v>
      </c>
      <c r="C20" s="6" t="s">
        <v>402</v>
      </c>
      <c r="D20" s="6" t="s">
        <v>158</v>
      </c>
      <c r="E20" s="7">
        <v>139513</v>
      </c>
      <c r="F20" s="8">
        <v>3561.5576205000002</v>
      </c>
      <c r="G20" s="9">
        <v>2.3063437999999999E-2</v>
      </c>
      <c r="H20" s="167"/>
    </row>
    <row r="21" spans="1:8" ht="25.5" x14ac:dyDescent="0.2">
      <c r="A21" s="5">
        <v>15</v>
      </c>
      <c r="B21" s="6" t="s">
        <v>40</v>
      </c>
      <c r="C21" s="6" t="s">
        <v>41</v>
      </c>
      <c r="D21" s="6" t="s">
        <v>970</v>
      </c>
      <c r="E21" s="7">
        <v>51856</v>
      </c>
      <c r="F21" s="8">
        <v>3478.5004800000002</v>
      </c>
      <c r="G21" s="9">
        <v>2.2525588999999999E-2</v>
      </c>
      <c r="H21" s="167"/>
    </row>
    <row r="22" spans="1:8" ht="25.5" x14ac:dyDescent="0.2">
      <c r="A22" s="5">
        <v>16</v>
      </c>
      <c r="B22" s="6" t="s">
        <v>19</v>
      </c>
      <c r="C22" s="6" t="s">
        <v>20</v>
      </c>
      <c r="D22" s="6" t="s">
        <v>970</v>
      </c>
      <c r="E22" s="7">
        <v>349400</v>
      </c>
      <c r="F22" s="8">
        <v>3376.0774999999999</v>
      </c>
      <c r="G22" s="9">
        <v>2.1862332000000002E-2</v>
      </c>
      <c r="H22" s="167"/>
    </row>
    <row r="23" spans="1:8" x14ac:dyDescent="0.2">
      <c r="A23" s="5">
        <v>17</v>
      </c>
      <c r="B23" s="6" t="s">
        <v>366</v>
      </c>
      <c r="C23" s="6" t="s">
        <v>367</v>
      </c>
      <c r="D23" s="6" t="s">
        <v>167</v>
      </c>
      <c r="E23" s="7">
        <v>353677</v>
      </c>
      <c r="F23" s="8">
        <v>3342.9550039999999</v>
      </c>
      <c r="G23" s="9">
        <v>2.1647842E-2</v>
      </c>
      <c r="H23" s="167"/>
    </row>
    <row r="24" spans="1:8" x14ac:dyDescent="0.2">
      <c r="A24" s="5">
        <v>18</v>
      </c>
      <c r="B24" s="6" t="s">
        <v>339</v>
      </c>
      <c r="C24" s="6" t="s">
        <v>340</v>
      </c>
      <c r="D24" s="6" t="s">
        <v>192</v>
      </c>
      <c r="E24" s="7">
        <v>105970</v>
      </c>
      <c r="F24" s="8">
        <v>3342.134845</v>
      </c>
      <c r="G24" s="9">
        <v>2.1642531E-2</v>
      </c>
      <c r="H24" s="167"/>
    </row>
    <row r="25" spans="1:8" x14ac:dyDescent="0.2">
      <c r="A25" s="5">
        <v>19</v>
      </c>
      <c r="B25" s="6" t="s">
        <v>438</v>
      </c>
      <c r="C25" s="6" t="s">
        <v>439</v>
      </c>
      <c r="D25" s="6" t="s">
        <v>29</v>
      </c>
      <c r="E25" s="7">
        <v>174831</v>
      </c>
      <c r="F25" s="8">
        <v>3278.4309119999998</v>
      </c>
      <c r="G25" s="9">
        <v>2.1230005999999999E-2</v>
      </c>
      <c r="H25" s="167"/>
    </row>
    <row r="26" spans="1:8" x14ac:dyDescent="0.2">
      <c r="A26" s="5">
        <v>20</v>
      </c>
      <c r="B26" s="6" t="s">
        <v>427</v>
      </c>
      <c r="C26" s="6" t="s">
        <v>428</v>
      </c>
      <c r="D26" s="6" t="s">
        <v>158</v>
      </c>
      <c r="E26" s="7">
        <v>273463</v>
      </c>
      <c r="F26" s="8">
        <v>3242.3140595</v>
      </c>
      <c r="G26" s="9">
        <v>2.0996125000000001E-2</v>
      </c>
      <c r="H26" s="167"/>
    </row>
    <row r="27" spans="1:8" ht="25.5" x14ac:dyDescent="0.2">
      <c r="A27" s="5">
        <v>21</v>
      </c>
      <c r="B27" s="6" t="s">
        <v>376</v>
      </c>
      <c r="C27" s="6" t="s">
        <v>377</v>
      </c>
      <c r="D27" s="6" t="s">
        <v>78</v>
      </c>
      <c r="E27" s="7">
        <v>486033</v>
      </c>
      <c r="F27" s="8">
        <v>3226.5300705</v>
      </c>
      <c r="G27" s="9">
        <v>2.0893914E-2</v>
      </c>
      <c r="H27" s="167"/>
    </row>
    <row r="28" spans="1:8" x14ac:dyDescent="0.2">
      <c r="A28" s="5">
        <v>22</v>
      </c>
      <c r="B28" s="6" t="s">
        <v>226</v>
      </c>
      <c r="C28" s="6" t="s">
        <v>227</v>
      </c>
      <c r="D28" s="6" t="s">
        <v>32</v>
      </c>
      <c r="E28" s="7">
        <v>398508</v>
      </c>
      <c r="F28" s="8">
        <v>3152.9952960000001</v>
      </c>
      <c r="G28" s="9">
        <v>2.0417727E-2</v>
      </c>
      <c r="H28" s="167"/>
    </row>
    <row r="29" spans="1:8" x14ac:dyDescent="0.2">
      <c r="A29" s="5">
        <v>23</v>
      </c>
      <c r="B29" s="6" t="s">
        <v>362</v>
      </c>
      <c r="C29" s="6" t="s">
        <v>363</v>
      </c>
      <c r="D29" s="6" t="s">
        <v>75</v>
      </c>
      <c r="E29" s="7">
        <v>143316</v>
      </c>
      <c r="F29" s="8">
        <v>3099.065184</v>
      </c>
      <c r="G29" s="9">
        <v>2.0068493999999999E-2</v>
      </c>
      <c r="H29" s="167"/>
    </row>
    <row r="30" spans="1:8" x14ac:dyDescent="0.2">
      <c r="A30" s="5">
        <v>24</v>
      </c>
      <c r="B30" s="6" t="s">
        <v>97</v>
      </c>
      <c r="C30" s="6" t="s">
        <v>98</v>
      </c>
      <c r="D30" s="6" t="s">
        <v>29</v>
      </c>
      <c r="E30" s="7">
        <v>57000</v>
      </c>
      <c r="F30" s="8">
        <v>3014.3024999999998</v>
      </c>
      <c r="G30" s="9">
        <v>1.9519600000000002E-2</v>
      </c>
      <c r="H30" s="167"/>
    </row>
    <row r="31" spans="1:8" ht="25.5" x14ac:dyDescent="0.2">
      <c r="A31" s="5">
        <v>25</v>
      </c>
      <c r="B31" s="6" t="s">
        <v>331</v>
      </c>
      <c r="C31" s="6" t="s">
        <v>332</v>
      </c>
      <c r="D31" s="6" t="s">
        <v>75</v>
      </c>
      <c r="E31" s="7">
        <v>748756</v>
      </c>
      <c r="F31" s="8">
        <v>2981.9207700000002</v>
      </c>
      <c r="G31" s="9">
        <v>1.9309907000000001E-2</v>
      </c>
      <c r="H31" s="167"/>
    </row>
    <row r="32" spans="1:8" x14ac:dyDescent="0.2">
      <c r="A32" s="5">
        <v>26</v>
      </c>
      <c r="B32" s="6" t="s">
        <v>431</v>
      </c>
      <c r="C32" s="6" t="s">
        <v>432</v>
      </c>
      <c r="D32" s="6" t="s">
        <v>433</v>
      </c>
      <c r="E32" s="7">
        <v>715000</v>
      </c>
      <c r="F32" s="8">
        <v>2818.8874999999998</v>
      </c>
      <c r="G32" s="9">
        <v>1.8254158999999999E-2</v>
      </c>
      <c r="H32" s="167"/>
    </row>
    <row r="33" spans="1:8" x14ac:dyDescent="0.2">
      <c r="A33" s="5">
        <v>27</v>
      </c>
      <c r="B33" s="6" t="s">
        <v>301</v>
      </c>
      <c r="C33" s="6" t="s">
        <v>302</v>
      </c>
      <c r="D33" s="6" t="s">
        <v>178</v>
      </c>
      <c r="E33" s="7">
        <v>85672</v>
      </c>
      <c r="F33" s="8">
        <v>2714.7314999999999</v>
      </c>
      <c r="G33" s="9">
        <v>1.757968E-2</v>
      </c>
      <c r="H33" s="167"/>
    </row>
    <row r="34" spans="1:8" x14ac:dyDescent="0.2">
      <c r="A34" s="5">
        <v>28</v>
      </c>
      <c r="B34" s="6" t="s">
        <v>386</v>
      </c>
      <c r="C34" s="6" t="s">
        <v>387</v>
      </c>
      <c r="D34" s="6" t="s">
        <v>167</v>
      </c>
      <c r="E34" s="7">
        <v>134132</v>
      </c>
      <c r="F34" s="8">
        <v>2607.9955420000001</v>
      </c>
      <c r="G34" s="9">
        <v>1.6888494E-2</v>
      </c>
      <c r="H34" s="167"/>
    </row>
    <row r="35" spans="1:8" x14ac:dyDescent="0.2">
      <c r="A35" s="5">
        <v>29</v>
      </c>
      <c r="B35" s="6" t="s">
        <v>440</v>
      </c>
      <c r="C35" s="6" t="s">
        <v>441</v>
      </c>
      <c r="D35" s="6" t="s">
        <v>192</v>
      </c>
      <c r="E35" s="7">
        <v>242316</v>
      </c>
      <c r="F35" s="8">
        <v>2300.426946</v>
      </c>
      <c r="G35" s="9">
        <v>1.4896784E-2</v>
      </c>
      <c r="H35" s="167"/>
    </row>
    <row r="36" spans="1:8" x14ac:dyDescent="0.2">
      <c r="A36" s="5">
        <v>30</v>
      </c>
      <c r="B36" s="6" t="s">
        <v>24</v>
      </c>
      <c r="C36" s="6" t="s">
        <v>25</v>
      </c>
      <c r="D36" s="6" t="s">
        <v>26</v>
      </c>
      <c r="E36" s="7">
        <v>427668</v>
      </c>
      <c r="F36" s="8">
        <v>2287.5961320000001</v>
      </c>
      <c r="G36" s="9">
        <v>1.4813695999999999E-2</v>
      </c>
      <c r="H36" s="167"/>
    </row>
    <row r="37" spans="1:8" x14ac:dyDescent="0.2">
      <c r="A37" s="5">
        <v>31</v>
      </c>
      <c r="B37" s="6" t="s">
        <v>86</v>
      </c>
      <c r="C37" s="6" t="s">
        <v>87</v>
      </c>
      <c r="D37" s="6" t="s">
        <v>29</v>
      </c>
      <c r="E37" s="7">
        <v>286278</v>
      </c>
      <c r="F37" s="8">
        <v>2252.7215820000001</v>
      </c>
      <c r="G37" s="9">
        <v>1.4587859999999999E-2</v>
      </c>
      <c r="H37" s="167"/>
    </row>
    <row r="38" spans="1:8" x14ac:dyDescent="0.2">
      <c r="A38" s="5">
        <v>32</v>
      </c>
      <c r="B38" s="6" t="s">
        <v>442</v>
      </c>
      <c r="C38" s="6" t="s">
        <v>443</v>
      </c>
      <c r="D38" s="6" t="s">
        <v>158</v>
      </c>
      <c r="E38" s="7">
        <v>351207</v>
      </c>
      <c r="F38" s="8">
        <v>2251.4124735</v>
      </c>
      <c r="G38" s="9">
        <v>1.4579383E-2</v>
      </c>
      <c r="H38" s="167"/>
    </row>
    <row r="39" spans="1:8" x14ac:dyDescent="0.2">
      <c r="A39" s="5">
        <v>33</v>
      </c>
      <c r="B39" s="6" t="s">
        <v>421</v>
      </c>
      <c r="C39" s="6" t="s">
        <v>422</v>
      </c>
      <c r="D39" s="6" t="s">
        <v>192</v>
      </c>
      <c r="E39" s="7">
        <v>51253</v>
      </c>
      <c r="F39" s="8">
        <v>2149.5508199999999</v>
      </c>
      <c r="G39" s="9">
        <v>1.3919762E-2</v>
      </c>
      <c r="H39" s="167"/>
    </row>
    <row r="40" spans="1:8" ht="25.5" x14ac:dyDescent="0.2">
      <c r="A40" s="5">
        <v>34</v>
      </c>
      <c r="B40" s="6" t="s">
        <v>423</v>
      </c>
      <c r="C40" s="6" t="s">
        <v>424</v>
      </c>
      <c r="D40" s="6" t="s">
        <v>969</v>
      </c>
      <c r="E40" s="7">
        <v>145259</v>
      </c>
      <c r="F40" s="8">
        <v>2138.0672209999998</v>
      </c>
      <c r="G40" s="9">
        <v>1.3845398E-2</v>
      </c>
      <c r="H40" s="167"/>
    </row>
    <row r="41" spans="1:8" ht="25.5" x14ac:dyDescent="0.2">
      <c r="A41" s="5">
        <v>35</v>
      </c>
      <c r="B41" s="6" t="s">
        <v>374</v>
      </c>
      <c r="C41" s="6" t="s">
        <v>375</v>
      </c>
      <c r="D41" s="6" t="s">
        <v>67</v>
      </c>
      <c r="E41" s="7">
        <v>111832</v>
      </c>
      <c r="F41" s="8">
        <v>2128.3866240000002</v>
      </c>
      <c r="G41" s="9">
        <v>1.3782709000000001E-2</v>
      </c>
      <c r="H41" s="167"/>
    </row>
    <row r="42" spans="1:8" x14ac:dyDescent="0.2">
      <c r="A42" s="5">
        <v>36</v>
      </c>
      <c r="B42" s="6" t="s">
        <v>444</v>
      </c>
      <c r="C42" s="6" t="s">
        <v>445</v>
      </c>
      <c r="D42" s="6" t="s">
        <v>192</v>
      </c>
      <c r="E42" s="7">
        <v>39902</v>
      </c>
      <c r="F42" s="8">
        <v>2118.4570330000001</v>
      </c>
      <c r="G42" s="9">
        <v>1.3718409000000001E-2</v>
      </c>
      <c r="H42" s="167"/>
    </row>
    <row r="43" spans="1:8" x14ac:dyDescent="0.2">
      <c r="A43" s="5">
        <v>37</v>
      </c>
      <c r="B43" s="6" t="s">
        <v>92</v>
      </c>
      <c r="C43" s="6" t="s">
        <v>93</v>
      </c>
      <c r="D43" s="6" t="s">
        <v>94</v>
      </c>
      <c r="E43" s="7">
        <v>1708106</v>
      </c>
      <c r="F43" s="8">
        <v>2108.6568569999999</v>
      </c>
      <c r="G43" s="9">
        <v>1.3654945999999999E-2</v>
      </c>
      <c r="H43" s="167"/>
    </row>
    <row r="44" spans="1:8" x14ac:dyDescent="0.2">
      <c r="A44" s="5">
        <v>38</v>
      </c>
      <c r="B44" s="6" t="s">
        <v>303</v>
      </c>
      <c r="C44" s="6" t="s">
        <v>304</v>
      </c>
      <c r="D44" s="6" t="s">
        <v>192</v>
      </c>
      <c r="E44" s="7">
        <v>197997</v>
      </c>
      <c r="F44" s="8">
        <v>2080.9484699999998</v>
      </c>
      <c r="G44" s="9">
        <v>1.3475516E-2</v>
      </c>
      <c r="H44" s="167"/>
    </row>
    <row r="45" spans="1:8" x14ac:dyDescent="0.2">
      <c r="A45" s="5">
        <v>39</v>
      </c>
      <c r="B45" s="6" t="s">
        <v>309</v>
      </c>
      <c r="C45" s="6" t="s">
        <v>310</v>
      </c>
      <c r="D45" s="6" t="s">
        <v>971</v>
      </c>
      <c r="E45" s="7">
        <v>59335</v>
      </c>
      <c r="F45" s="8">
        <v>1846.03052</v>
      </c>
      <c r="G45" s="9">
        <v>1.1954266999999999E-2</v>
      </c>
      <c r="H45" s="167"/>
    </row>
    <row r="46" spans="1:8" x14ac:dyDescent="0.2">
      <c r="A46" s="5">
        <v>40</v>
      </c>
      <c r="B46" s="6" t="s">
        <v>335</v>
      </c>
      <c r="C46" s="6" t="s">
        <v>336</v>
      </c>
      <c r="D46" s="6" t="s">
        <v>284</v>
      </c>
      <c r="E46" s="7">
        <v>213937</v>
      </c>
      <c r="F46" s="8">
        <v>1821.9944605000001</v>
      </c>
      <c r="G46" s="9">
        <v>1.1798618E-2</v>
      </c>
      <c r="H46" s="167"/>
    </row>
    <row r="47" spans="1:8" x14ac:dyDescent="0.2">
      <c r="A47" s="5">
        <v>41</v>
      </c>
      <c r="B47" s="6" t="s">
        <v>305</v>
      </c>
      <c r="C47" s="6" t="s">
        <v>306</v>
      </c>
      <c r="D47" s="6" t="s">
        <v>75</v>
      </c>
      <c r="E47" s="7">
        <v>177499</v>
      </c>
      <c r="F47" s="8">
        <v>1787.9474270000001</v>
      </c>
      <c r="G47" s="9">
        <v>1.1578141E-2</v>
      </c>
      <c r="H47" s="167"/>
    </row>
    <row r="48" spans="1:8" ht="25.5" x14ac:dyDescent="0.2">
      <c r="A48" s="5">
        <v>42</v>
      </c>
      <c r="B48" s="6" t="s">
        <v>76</v>
      </c>
      <c r="C48" s="6" t="s">
        <v>77</v>
      </c>
      <c r="D48" s="6" t="s">
        <v>78</v>
      </c>
      <c r="E48" s="7">
        <v>300000</v>
      </c>
      <c r="F48" s="8">
        <v>1715.55</v>
      </c>
      <c r="G48" s="9">
        <v>1.1109320000000001E-2</v>
      </c>
      <c r="H48" s="167"/>
    </row>
    <row r="49" spans="1:8" x14ac:dyDescent="0.2">
      <c r="A49" s="5">
        <v>43</v>
      </c>
      <c r="B49" s="6" t="s">
        <v>388</v>
      </c>
      <c r="C49" s="6" t="s">
        <v>389</v>
      </c>
      <c r="D49" s="6" t="s">
        <v>969</v>
      </c>
      <c r="E49" s="7">
        <v>13683</v>
      </c>
      <c r="F49" s="8">
        <v>1615.4560289999999</v>
      </c>
      <c r="G49" s="9">
        <v>1.0461145E-2</v>
      </c>
      <c r="H49" s="167"/>
    </row>
    <row r="50" spans="1:8" x14ac:dyDescent="0.2">
      <c r="A50" s="5">
        <v>44</v>
      </c>
      <c r="B50" s="6" t="s">
        <v>434</v>
      </c>
      <c r="C50" s="6" t="s">
        <v>435</v>
      </c>
      <c r="D50" s="6" t="s">
        <v>94</v>
      </c>
      <c r="E50" s="7">
        <v>229341</v>
      </c>
      <c r="F50" s="8">
        <v>1410.9058319999999</v>
      </c>
      <c r="G50" s="9">
        <v>9.1365470000000001E-3</v>
      </c>
      <c r="H50" s="167"/>
    </row>
    <row r="51" spans="1:8" x14ac:dyDescent="0.2">
      <c r="A51" s="5">
        <v>45</v>
      </c>
      <c r="B51" s="6" t="s">
        <v>325</v>
      </c>
      <c r="C51" s="6" t="s">
        <v>326</v>
      </c>
      <c r="D51" s="6" t="s">
        <v>70</v>
      </c>
      <c r="E51" s="7">
        <v>145529</v>
      </c>
      <c r="F51" s="8">
        <v>769.63011649999999</v>
      </c>
      <c r="G51" s="9">
        <v>4.9838629999999998E-3</v>
      </c>
      <c r="H51" s="167"/>
    </row>
    <row r="52" spans="1:8" x14ac:dyDescent="0.2">
      <c r="A52" s="3" t="s">
        <v>10</v>
      </c>
      <c r="B52" s="3" t="s">
        <v>10</v>
      </c>
      <c r="C52" s="4" t="s">
        <v>104</v>
      </c>
      <c r="D52" s="3" t="s">
        <v>10</v>
      </c>
      <c r="E52" s="3" t="s">
        <v>10</v>
      </c>
      <c r="F52" s="10">
        <v>151589.17078249995</v>
      </c>
      <c r="G52" s="11">
        <v>0.981640022</v>
      </c>
      <c r="H52" s="167"/>
    </row>
    <row r="53" spans="1:8" x14ac:dyDescent="0.2">
      <c r="A53" s="3" t="s">
        <v>10</v>
      </c>
      <c r="B53" s="3" t="s">
        <v>10</v>
      </c>
      <c r="C53" s="12" t="s">
        <v>10</v>
      </c>
      <c r="D53" s="3" t="s">
        <v>10</v>
      </c>
      <c r="E53" s="3" t="s">
        <v>10</v>
      </c>
      <c r="F53" s="13" t="s">
        <v>10</v>
      </c>
      <c r="G53" s="13" t="s">
        <v>10</v>
      </c>
      <c r="H53" s="167"/>
    </row>
    <row r="54" spans="1:8" x14ac:dyDescent="0.2">
      <c r="A54" s="3" t="s">
        <v>10</v>
      </c>
      <c r="B54" s="3" t="s">
        <v>10</v>
      </c>
      <c r="C54" s="4" t="s">
        <v>105</v>
      </c>
      <c r="D54" s="3" t="s">
        <v>10</v>
      </c>
      <c r="E54" s="3" t="s">
        <v>10</v>
      </c>
      <c r="F54" s="3" t="s">
        <v>10</v>
      </c>
      <c r="G54" s="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104</v>
      </c>
      <c r="D55" s="3" t="s">
        <v>10</v>
      </c>
      <c r="E55" s="3" t="s">
        <v>10</v>
      </c>
      <c r="F55" s="14">
        <v>0</v>
      </c>
      <c r="G55" s="15">
        <v>0</v>
      </c>
      <c r="H55" s="167"/>
    </row>
    <row r="56" spans="1:8" x14ac:dyDescent="0.2">
      <c r="A56" s="3" t="s">
        <v>10</v>
      </c>
      <c r="B56" s="3" t="s">
        <v>10</v>
      </c>
      <c r="C56" s="12" t="s">
        <v>10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106</v>
      </c>
      <c r="D57" s="3" t="s">
        <v>10</v>
      </c>
      <c r="E57" s="3" t="s">
        <v>10</v>
      </c>
      <c r="F57" s="3" t="s">
        <v>10</v>
      </c>
      <c r="G57" s="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104</v>
      </c>
      <c r="D58" s="3" t="s">
        <v>10</v>
      </c>
      <c r="E58" s="3" t="s">
        <v>10</v>
      </c>
      <c r="F58" s="14">
        <v>0</v>
      </c>
      <c r="G58" s="15">
        <v>0</v>
      </c>
      <c r="H58" s="167"/>
    </row>
    <row r="59" spans="1:8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110</v>
      </c>
      <c r="D60" s="3" t="s">
        <v>10</v>
      </c>
      <c r="E60" s="3" t="s">
        <v>10</v>
      </c>
      <c r="F60" s="3" t="s">
        <v>10</v>
      </c>
      <c r="G60" s="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104</v>
      </c>
      <c r="D61" s="3" t="s">
        <v>10</v>
      </c>
      <c r="E61" s="3" t="s">
        <v>10</v>
      </c>
      <c r="F61" s="14">
        <v>0</v>
      </c>
      <c r="G61" s="15">
        <v>0</v>
      </c>
      <c r="H61" s="167"/>
    </row>
    <row r="62" spans="1:8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111</v>
      </c>
      <c r="D63" s="3" t="s">
        <v>10</v>
      </c>
      <c r="E63" s="3" t="s">
        <v>10</v>
      </c>
      <c r="F63" s="13" t="s">
        <v>10</v>
      </c>
      <c r="G63" s="1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104</v>
      </c>
      <c r="D64" s="3" t="s">
        <v>10</v>
      </c>
      <c r="E64" s="3" t="s">
        <v>10</v>
      </c>
      <c r="F64" s="14">
        <v>0</v>
      </c>
      <c r="G64" s="15">
        <v>0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112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104</v>
      </c>
      <c r="D67" s="3" t="s">
        <v>10</v>
      </c>
      <c r="E67" s="3" t="s">
        <v>10</v>
      </c>
      <c r="F67" s="14">
        <v>0</v>
      </c>
      <c r="G67" s="15">
        <v>0</v>
      </c>
      <c r="H67" s="167"/>
    </row>
    <row r="68" spans="1:8" x14ac:dyDescent="0.2">
      <c r="A68" s="3" t="s">
        <v>10</v>
      </c>
      <c r="B68" s="3" t="s">
        <v>10</v>
      </c>
      <c r="C68" s="12" t="s">
        <v>10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113</v>
      </c>
      <c r="D69" s="3" t="s">
        <v>10</v>
      </c>
      <c r="E69" s="3" t="s">
        <v>10</v>
      </c>
      <c r="F69" s="10">
        <v>151589.1707825</v>
      </c>
      <c r="G69" s="11">
        <v>0.981640022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114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ht="25.5" x14ac:dyDescent="0.2">
      <c r="A72" s="3" t="s">
        <v>10</v>
      </c>
      <c r="B72" s="3" t="s">
        <v>10</v>
      </c>
      <c r="C72" s="4" t="s">
        <v>12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4">
        <v>0</v>
      </c>
      <c r="G73" s="15">
        <v>0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115</v>
      </c>
      <c r="D75" s="3" t="s">
        <v>10</v>
      </c>
      <c r="E75" s="3" t="s">
        <v>10</v>
      </c>
      <c r="F75" s="3" t="s">
        <v>10</v>
      </c>
      <c r="G75" s="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116</v>
      </c>
      <c r="D78" s="3" t="s">
        <v>10</v>
      </c>
      <c r="E78" s="3" t="s">
        <v>10</v>
      </c>
      <c r="F78" s="3" t="s">
        <v>10</v>
      </c>
      <c r="G78" s="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117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4">
        <v>0</v>
      </c>
      <c r="G82" s="15">
        <v>0</v>
      </c>
      <c r="H82" s="167"/>
    </row>
    <row r="83" spans="1:8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118</v>
      </c>
      <c r="D84" s="3" t="s">
        <v>10</v>
      </c>
      <c r="E84" s="3" t="s">
        <v>10</v>
      </c>
      <c r="F84" s="10">
        <v>0</v>
      </c>
      <c r="G84" s="11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119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120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104</v>
      </c>
      <c r="D88" s="3" t="s">
        <v>10</v>
      </c>
      <c r="E88" s="3" t="s">
        <v>10</v>
      </c>
      <c r="F88" s="14">
        <v>0</v>
      </c>
      <c r="G88" s="15">
        <v>0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121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104</v>
      </c>
      <c r="D91" s="3" t="s">
        <v>10</v>
      </c>
      <c r="E91" s="3" t="s">
        <v>10</v>
      </c>
      <c r="F91" s="14">
        <v>0</v>
      </c>
      <c r="G91" s="15">
        <v>0</v>
      </c>
      <c r="H91" s="167"/>
    </row>
    <row r="92" spans="1:8" x14ac:dyDescent="0.2">
      <c r="A92" s="3" t="s">
        <v>10</v>
      </c>
      <c r="B92" s="3" t="s">
        <v>10</v>
      </c>
      <c r="C92" s="12" t="s">
        <v>10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122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123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5">
        <v>1</v>
      </c>
      <c r="B97" s="6"/>
      <c r="C97" s="6" t="s">
        <v>124</v>
      </c>
      <c r="D97" s="6"/>
      <c r="E97" s="16" t="s">
        <v>10</v>
      </c>
      <c r="F97" s="8">
        <v>1049.5598391999999</v>
      </c>
      <c r="G97" s="9">
        <v>6.7965930000000001E-3</v>
      </c>
      <c r="H97" s="108">
        <v>3.23</v>
      </c>
    </row>
    <row r="98" spans="1:8" x14ac:dyDescent="0.2">
      <c r="A98" s="5">
        <v>2</v>
      </c>
      <c r="B98" s="6"/>
      <c r="C98" s="6" t="s">
        <v>125</v>
      </c>
      <c r="D98" s="6"/>
      <c r="E98" s="16" t="s">
        <v>10</v>
      </c>
      <c r="F98" s="8">
        <v>294.81073609999999</v>
      </c>
      <c r="G98" s="9">
        <v>1.9090940000000001E-3</v>
      </c>
      <c r="H98" s="108">
        <v>3.35</v>
      </c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0">
        <v>1344.3705752999999</v>
      </c>
      <c r="G99" s="11">
        <v>8.7056870000000001E-3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126</v>
      </c>
      <c r="D101" s="3" t="s">
        <v>10</v>
      </c>
      <c r="E101" s="3" t="s">
        <v>10</v>
      </c>
      <c r="F101" s="10">
        <v>1344.3705752999999</v>
      </c>
      <c r="G101" s="11">
        <v>8.7056870000000001E-3</v>
      </c>
      <c r="H101" s="167"/>
    </row>
    <row r="102" spans="1:8" x14ac:dyDescent="0.2">
      <c r="A102" s="3" t="s">
        <v>10</v>
      </c>
      <c r="B102" s="3" t="s">
        <v>10</v>
      </c>
      <c r="C102" s="1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127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128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129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130</v>
      </c>
      <c r="D108" s="3" t="s">
        <v>10</v>
      </c>
      <c r="E108" s="3" t="s">
        <v>10</v>
      </c>
      <c r="F108" s="3" t="s">
        <v>10</v>
      </c>
      <c r="G108" s="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104</v>
      </c>
      <c r="D109" s="3" t="s">
        <v>10</v>
      </c>
      <c r="E109" s="3" t="s">
        <v>10</v>
      </c>
      <c r="F109" s="14">
        <v>0</v>
      </c>
      <c r="G109" s="15">
        <v>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ht="25.5" x14ac:dyDescent="0.2">
      <c r="A112" s="3" t="s">
        <v>10</v>
      </c>
      <c r="B112" s="3" t="s">
        <v>10</v>
      </c>
      <c r="C112" s="4" t="s">
        <v>131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104</v>
      </c>
      <c r="D113" s="3" t="s">
        <v>10</v>
      </c>
      <c r="E113" s="3" t="s">
        <v>10</v>
      </c>
      <c r="F113" s="14">
        <v>0</v>
      </c>
      <c r="G113" s="15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6" t="s">
        <v>10</v>
      </c>
      <c r="C115" s="6" t="s">
        <v>10</v>
      </c>
      <c r="D115" s="4" t="s">
        <v>10</v>
      </c>
      <c r="E115" s="3" t="s">
        <v>10</v>
      </c>
      <c r="F115" s="6" t="s">
        <v>10</v>
      </c>
      <c r="G115" s="16" t="s">
        <v>10</v>
      </c>
      <c r="H115" s="167"/>
    </row>
    <row r="116" spans="1:8" x14ac:dyDescent="0.2">
      <c r="A116" s="16" t="s">
        <v>10</v>
      </c>
      <c r="B116" s="6" t="s">
        <v>10</v>
      </c>
      <c r="C116" s="6" t="s">
        <v>132</v>
      </c>
      <c r="D116" s="6" t="s">
        <v>10</v>
      </c>
      <c r="E116" s="16" t="s">
        <v>10</v>
      </c>
      <c r="F116" s="8">
        <v>1490.8576296999931</v>
      </c>
      <c r="G116" s="9">
        <v>9.6542880000000005E-3</v>
      </c>
      <c r="H116" s="167"/>
    </row>
    <row r="117" spans="1:8" x14ac:dyDescent="0.2">
      <c r="A117" s="12" t="s">
        <v>10</v>
      </c>
      <c r="B117" s="12" t="s">
        <v>10</v>
      </c>
      <c r="C117" s="4" t="s">
        <v>133</v>
      </c>
      <c r="D117" s="17" t="s">
        <v>10</v>
      </c>
      <c r="E117" s="17" t="s">
        <v>10</v>
      </c>
      <c r="F117" s="10">
        <f>((SUM(F7:F51))+(SUM(F97:F98)+F116))</f>
        <v>154424.39898749994</v>
      </c>
      <c r="G117" s="11">
        <f>+G116+G101+G69</f>
        <v>0.99999999699999997</v>
      </c>
      <c r="H117" s="167"/>
    </row>
    <row r="118" spans="1:8" ht="14.1" customHeight="1" x14ac:dyDescent="0.2">
      <c r="A118" s="18" t="s">
        <v>10</v>
      </c>
      <c r="B118" s="18" t="s">
        <v>10</v>
      </c>
      <c r="C118" s="18" t="s">
        <v>10</v>
      </c>
      <c r="D118" s="19" t="s">
        <v>10</v>
      </c>
      <c r="E118" s="19" t="s">
        <v>10</v>
      </c>
      <c r="F118" s="19" t="s">
        <v>10</v>
      </c>
      <c r="G118" s="19" t="s">
        <v>10</v>
      </c>
    </row>
    <row r="119" spans="1:8" ht="14.1" customHeight="1" x14ac:dyDescent="0.2">
      <c r="A119" s="20" t="s">
        <v>10</v>
      </c>
      <c r="B119" s="208" t="s">
        <v>10</v>
      </c>
      <c r="C119" s="208"/>
      <c r="D119" s="208"/>
      <c r="E119" s="208"/>
      <c r="F119" s="208"/>
      <c r="G119" s="22" t="s">
        <v>10</v>
      </c>
    </row>
    <row r="120" spans="1:8" ht="14.1" customHeight="1" x14ac:dyDescent="0.2">
      <c r="A120" s="20" t="s">
        <v>10</v>
      </c>
      <c r="B120" s="208" t="s">
        <v>10</v>
      </c>
      <c r="C120" s="208"/>
      <c r="D120" s="208"/>
      <c r="E120" s="208"/>
      <c r="F120" s="208"/>
      <c r="G120" s="22" t="s">
        <v>10</v>
      </c>
    </row>
    <row r="121" spans="1:8" ht="14.1" customHeight="1" x14ac:dyDescent="0.2">
      <c r="A121" s="20" t="s">
        <v>10</v>
      </c>
      <c r="B121" s="20" t="s">
        <v>10</v>
      </c>
      <c r="C121" s="20" t="s">
        <v>10</v>
      </c>
      <c r="D121" s="22" t="s">
        <v>10</v>
      </c>
      <c r="E121" s="22" t="s">
        <v>10</v>
      </c>
      <c r="F121" s="22" t="s">
        <v>10</v>
      </c>
      <c r="G121" s="22" t="s">
        <v>10</v>
      </c>
    </row>
    <row r="122" spans="1:8" ht="14.1" customHeight="1" x14ac:dyDescent="0.2">
      <c r="A122" s="20" t="s">
        <v>10</v>
      </c>
      <c r="B122" s="206" t="s">
        <v>134</v>
      </c>
      <c r="C122" s="207"/>
      <c r="D122" s="13" t="s">
        <v>10</v>
      </c>
      <c r="E122" s="23" t="s">
        <v>10</v>
      </c>
      <c r="F122" s="22" t="s">
        <v>10</v>
      </c>
      <c r="G122" s="22" t="s">
        <v>10</v>
      </c>
    </row>
    <row r="123" spans="1:8" ht="29.1" customHeight="1" x14ac:dyDescent="0.2">
      <c r="A123" s="20" t="s">
        <v>10</v>
      </c>
      <c r="B123" s="213" t="s">
        <v>135</v>
      </c>
      <c r="C123" s="214"/>
      <c r="D123" s="4" t="s">
        <v>136</v>
      </c>
      <c r="E123" s="23" t="s">
        <v>10</v>
      </c>
      <c r="F123" s="22" t="s">
        <v>10</v>
      </c>
      <c r="G123" s="22" t="s">
        <v>10</v>
      </c>
    </row>
    <row r="124" spans="1:8" ht="17.100000000000001" customHeight="1" x14ac:dyDescent="0.2">
      <c r="A124" s="20" t="s">
        <v>10</v>
      </c>
      <c r="B124" s="213" t="s">
        <v>137</v>
      </c>
      <c r="C124" s="214"/>
      <c r="D124" s="4" t="s">
        <v>136</v>
      </c>
      <c r="E124" s="23" t="s">
        <v>10</v>
      </c>
      <c r="F124" s="22" t="s">
        <v>10</v>
      </c>
      <c r="G124" s="22" t="s">
        <v>10</v>
      </c>
    </row>
    <row r="125" spans="1:8" ht="17.100000000000001" customHeight="1" x14ac:dyDescent="0.2">
      <c r="A125" s="20" t="s">
        <v>10</v>
      </c>
      <c r="B125" s="213" t="s">
        <v>138</v>
      </c>
      <c r="C125" s="214"/>
      <c r="D125" s="13" t="s">
        <v>10</v>
      </c>
      <c r="E125" s="23" t="s">
        <v>10</v>
      </c>
      <c r="F125" s="22" t="s">
        <v>10</v>
      </c>
      <c r="G125" s="22" t="s">
        <v>10</v>
      </c>
    </row>
    <row r="126" spans="1:8" s="20" customFormat="1" ht="17.100000000000001" customHeight="1" x14ac:dyDescent="0.2"/>
    <row r="127" spans="1:8" x14ac:dyDescent="0.2">
      <c r="A127" s="24" t="s">
        <v>10</v>
      </c>
      <c r="B127" s="140" t="s">
        <v>10</v>
      </c>
      <c r="C127" s="140" t="s">
        <v>139</v>
      </c>
      <c r="D127" s="140" t="s">
        <v>140</v>
      </c>
      <c r="E127" s="24" t="s">
        <v>10</v>
      </c>
      <c r="F127" s="24" t="s">
        <v>10</v>
      </c>
      <c r="G127" s="24" t="s">
        <v>10</v>
      </c>
    </row>
    <row r="128" spans="1:8" ht="18" customHeight="1" x14ac:dyDescent="0.2">
      <c r="A128" s="24" t="s">
        <v>10</v>
      </c>
      <c r="B128" s="25" t="s">
        <v>141</v>
      </c>
      <c r="C128" s="25" t="s">
        <v>142</v>
      </c>
      <c r="D128" s="25" t="s">
        <v>143</v>
      </c>
      <c r="E128" s="24" t="s">
        <v>10</v>
      </c>
      <c r="F128" s="24" t="s">
        <v>10</v>
      </c>
      <c r="G128" s="24" t="s">
        <v>10</v>
      </c>
    </row>
    <row r="129" spans="1:7" ht="17.100000000000001" customHeight="1" x14ac:dyDescent="0.2">
      <c r="A129" s="24" t="s">
        <v>10</v>
      </c>
      <c r="B129" s="6" t="s">
        <v>144</v>
      </c>
      <c r="C129" s="26">
        <v>46.381399999999999</v>
      </c>
      <c r="D129" s="26">
        <v>49.034599999999998</v>
      </c>
      <c r="E129" s="24" t="s">
        <v>10</v>
      </c>
      <c r="F129" s="21" t="s">
        <v>10</v>
      </c>
      <c r="G129" s="27" t="s">
        <v>10</v>
      </c>
    </row>
    <row r="130" spans="1:7" ht="17.100000000000001" customHeight="1" x14ac:dyDescent="0.2">
      <c r="A130" s="24" t="s">
        <v>10</v>
      </c>
      <c r="B130" s="6" t="s">
        <v>917</v>
      </c>
      <c r="C130" s="26">
        <v>23.0472</v>
      </c>
      <c r="D130" s="26">
        <v>24.365500000000001</v>
      </c>
      <c r="E130" s="24" t="s">
        <v>10</v>
      </c>
      <c r="F130" s="21" t="s">
        <v>10</v>
      </c>
      <c r="G130" s="27" t="s">
        <v>10</v>
      </c>
    </row>
    <row r="131" spans="1:7" ht="17.100000000000001" customHeight="1" x14ac:dyDescent="0.2">
      <c r="A131" s="24" t="s">
        <v>10</v>
      </c>
      <c r="B131" s="6" t="s">
        <v>145</v>
      </c>
      <c r="C131" s="26">
        <v>43.255499999999998</v>
      </c>
      <c r="D131" s="26">
        <v>45.679699999999997</v>
      </c>
      <c r="E131" s="24" t="s">
        <v>10</v>
      </c>
      <c r="F131" s="21" t="s">
        <v>10</v>
      </c>
      <c r="G131" s="27" t="s">
        <v>10</v>
      </c>
    </row>
    <row r="132" spans="1:7" ht="17.100000000000001" customHeight="1" x14ac:dyDescent="0.2">
      <c r="A132" s="24" t="s">
        <v>10</v>
      </c>
      <c r="B132" s="6" t="s">
        <v>918</v>
      </c>
      <c r="C132" s="26">
        <v>21.042100000000001</v>
      </c>
      <c r="D132" s="26">
        <v>22.221399999999999</v>
      </c>
      <c r="E132" s="24" t="s">
        <v>10</v>
      </c>
      <c r="F132" s="21" t="s">
        <v>10</v>
      </c>
      <c r="G132" s="27" t="s">
        <v>10</v>
      </c>
    </row>
    <row r="133" spans="1:7" ht="14.1" customHeight="1" x14ac:dyDescent="0.2">
      <c r="A133" s="24" t="s">
        <v>10</v>
      </c>
      <c r="B133" s="24" t="s">
        <v>10</v>
      </c>
      <c r="C133" s="24" t="s">
        <v>10</v>
      </c>
      <c r="D133" s="24" t="s">
        <v>10</v>
      </c>
      <c r="E133" s="24" t="s">
        <v>10</v>
      </c>
      <c r="F133" s="24" t="s">
        <v>10</v>
      </c>
      <c r="G133" s="24" t="s">
        <v>10</v>
      </c>
    </row>
    <row r="134" spans="1:7" ht="17.100000000000001" customHeight="1" x14ac:dyDescent="0.2">
      <c r="A134" s="24" t="s">
        <v>10</v>
      </c>
      <c r="B134" s="213" t="s">
        <v>999</v>
      </c>
      <c r="C134" s="214"/>
      <c r="D134" s="4" t="s">
        <v>136</v>
      </c>
      <c r="E134" s="24" t="s">
        <v>10</v>
      </c>
      <c r="F134" s="24" t="s">
        <v>10</v>
      </c>
      <c r="G134" s="24" t="s">
        <v>10</v>
      </c>
    </row>
    <row r="135" spans="1:7" ht="18" customHeight="1" x14ac:dyDescent="0.2">
      <c r="A135" s="24" t="s">
        <v>10</v>
      </c>
      <c r="B135" s="28"/>
      <c r="C135" s="28"/>
      <c r="D135" s="29" t="s">
        <v>10</v>
      </c>
      <c r="E135" s="24" t="s">
        <v>10</v>
      </c>
      <c r="F135" s="24" t="s">
        <v>10</v>
      </c>
      <c r="G135" s="24" t="s">
        <v>10</v>
      </c>
    </row>
    <row r="136" spans="1:7" ht="18" customHeight="1" x14ac:dyDescent="0.2">
      <c r="A136" s="172"/>
      <c r="B136" s="217" t="s">
        <v>919</v>
      </c>
      <c r="C136" s="217"/>
      <c r="D136" s="217"/>
      <c r="E136" s="217"/>
      <c r="F136" s="217"/>
      <c r="G136" s="172"/>
    </row>
    <row r="137" spans="1:7" ht="14.1" customHeight="1" x14ac:dyDescent="0.2">
      <c r="A137" s="24" t="s">
        <v>10</v>
      </c>
      <c r="B137" s="21" t="s">
        <v>10</v>
      </c>
      <c r="C137" s="21" t="s">
        <v>10</v>
      </c>
      <c r="D137" s="24" t="s">
        <v>10</v>
      </c>
      <c r="E137" s="24" t="s">
        <v>10</v>
      </c>
      <c r="F137" s="24" t="s">
        <v>10</v>
      </c>
      <c r="G137" s="24" t="s">
        <v>10</v>
      </c>
    </row>
    <row r="138" spans="1:7" ht="29.1" customHeight="1" x14ac:dyDescent="0.2">
      <c r="A138" s="24" t="s">
        <v>10</v>
      </c>
      <c r="B138" s="213" t="s">
        <v>146</v>
      </c>
      <c r="C138" s="214"/>
      <c r="D138" s="4" t="s">
        <v>136</v>
      </c>
      <c r="E138" s="24" t="s">
        <v>10</v>
      </c>
      <c r="F138" s="24" t="s">
        <v>10</v>
      </c>
      <c r="G138" s="24" t="s">
        <v>10</v>
      </c>
    </row>
    <row r="139" spans="1:7" ht="29.1" customHeight="1" x14ac:dyDescent="0.2">
      <c r="A139" s="24" t="s">
        <v>10</v>
      </c>
      <c r="B139" s="213" t="s">
        <v>147</v>
      </c>
      <c r="C139" s="214"/>
      <c r="D139" s="4" t="s">
        <v>136</v>
      </c>
      <c r="E139" s="24" t="s">
        <v>10</v>
      </c>
      <c r="F139" s="24" t="s">
        <v>10</v>
      </c>
      <c r="G139" s="24" t="s">
        <v>10</v>
      </c>
    </row>
    <row r="140" spans="1:7" ht="17.100000000000001" customHeight="1" x14ac:dyDescent="0.2">
      <c r="A140" s="24" t="s">
        <v>10</v>
      </c>
      <c r="B140" s="213" t="s">
        <v>148</v>
      </c>
      <c r="C140" s="214"/>
      <c r="D140" s="30">
        <v>0.97016330957013142</v>
      </c>
      <c r="E140" s="24" t="s">
        <v>10</v>
      </c>
      <c r="F140" s="21" t="s">
        <v>10</v>
      </c>
      <c r="G140" s="27" t="s">
        <v>10</v>
      </c>
    </row>
    <row r="141" spans="1:7" ht="17.100000000000001" customHeight="1" x14ac:dyDescent="0.2">
      <c r="A141" s="24" t="s">
        <v>10</v>
      </c>
      <c r="B141" s="213" t="s">
        <v>149</v>
      </c>
      <c r="C141" s="214"/>
      <c r="D141" s="4" t="s">
        <v>136</v>
      </c>
      <c r="E141" s="24" t="s">
        <v>10</v>
      </c>
      <c r="F141" s="24" t="s">
        <v>10</v>
      </c>
      <c r="G141" s="24" t="s">
        <v>10</v>
      </c>
    </row>
  </sheetData>
  <mergeCells count="15">
    <mergeCell ref="B140:C140"/>
    <mergeCell ref="B141:C141"/>
    <mergeCell ref="B123:C123"/>
    <mergeCell ref="B124:C124"/>
    <mergeCell ref="B125:C125"/>
    <mergeCell ref="B134:C134"/>
    <mergeCell ref="B138:C138"/>
    <mergeCell ref="B139:C139"/>
    <mergeCell ref="B136:F136"/>
    <mergeCell ref="B122:C122"/>
    <mergeCell ref="B119:F119"/>
    <mergeCell ref="B120:F12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70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446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68334</v>
      </c>
      <c r="F7" s="8">
        <v>833.84563500000002</v>
      </c>
      <c r="G7" s="9">
        <v>3.7516219000000003E-2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23314</v>
      </c>
      <c r="F8" s="8">
        <v>751.82987200000002</v>
      </c>
      <c r="G8" s="9">
        <v>3.3826182000000003E-2</v>
      </c>
      <c r="H8" s="167"/>
    </row>
    <row r="9" spans="1:8" x14ac:dyDescent="0.2">
      <c r="A9" s="5">
        <v>3</v>
      </c>
      <c r="B9" s="6" t="s">
        <v>154</v>
      </c>
      <c r="C9" s="6" t="s">
        <v>155</v>
      </c>
      <c r="D9" s="6" t="s">
        <v>153</v>
      </c>
      <c r="E9" s="7">
        <v>44471</v>
      </c>
      <c r="F9" s="8">
        <v>545.54799249999996</v>
      </c>
      <c r="G9" s="9">
        <v>2.4545187999999999E-2</v>
      </c>
      <c r="H9" s="167"/>
    </row>
    <row r="10" spans="1:8" ht="25.5" x14ac:dyDescent="0.2">
      <c r="A10" s="5">
        <v>4</v>
      </c>
      <c r="B10" s="6" t="s">
        <v>33</v>
      </c>
      <c r="C10" s="6" t="s">
        <v>34</v>
      </c>
      <c r="D10" s="6" t="s">
        <v>970</v>
      </c>
      <c r="E10" s="7">
        <v>18912</v>
      </c>
      <c r="F10" s="8">
        <v>538.88798399999996</v>
      </c>
      <c r="G10" s="9">
        <v>2.4245541999999998E-2</v>
      </c>
      <c r="H10" s="167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564175</v>
      </c>
      <c r="F11" s="8">
        <v>518.75891249999995</v>
      </c>
      <c r="G11" s="9">
        <v>2.3339899000000001E-2</v>
      </c>
      <c r="H11" s="167"/>
    </row>
    <row r="12" spans="1:8" x14ac:dyDescent="0.2">
      <c r="A12" s="5">
        <v>6</v>
      </c>
      <c r="B12" s="6" t="s">
        <v>46</v>
      </c>
      <c r="C12" s="6" t="s">
        <v>47</v>
      </c>
      <c r="D12" s="6" t="s">
        <v>29</v>
      </c>
      <c r="E12" s="7">
        <v>51448</v>
      </c>
      <c r="F12" s="8">
        <v>502.46689199999997</v>
      </c>
      <c r="G12" s="9">
        <v>2.2606891E-2</v>
      </c>
      <c r="H12" s="167"/>
    </row>
    <row r="13" spans="1:8" x14ac:dyDescent="0.2">
      <c r="A13" s="5">
        <v>7</v>
      </c>
      <c r="B13" s="6" t="s">
        <v>447</v>
      </c>
      <c r="C13" s="6" t="s">
        <v>448</v>
      </c>
      <c r="D13" s="6" t="s">
        <v>75</v>
      </c>
      <c r="E13" s="7">
        <v>161016</v>
      </c>
      <c r="F13" s="8">
        <v>490.45473600000003</v>
      </c>
      <c r="G13" s="9">
        <v>2.2066443000000002E-2</v>
      </c>
      <c r="H13" s="167"/>
    </row>
    <row r="14" spans="1:8" x14ac:dyDescent="0.2">
      <c r="A14" s="5">
        <v>8</v>
      </c>
      <c r="B14" s="6" t="s">
        <v>159</v>
      </c>
      <c r="C14" s="6" t="s">
        <v>160</v>
      </c>
      <c r="D14" s="6" t="s">
        <v>29</v>
      </c>
      <c r="E14" s="7">
        <v>76859</v>
      </c>
      <c r="F14" s="8">
        <v>473.68201699999997</v>
      </c>
      <c r="G14" s="9">
        <v>2.1311808000000002E-2</v>
      </c>
      <c r="H14" s="167"/>
    </row>
    <row r="15" spans="1:8" x14ac:dyDescent="0.2">
      <c r="A15" s="5">
        <v>9</v>
      </c>
      <c r="B15" s="6" t="s">
        <v>165</v>
      </c>
      <c r="C15" s="6" t="s">
        <v>166</v>
      </c>
      <c r="D15" s="6" t="s">
        <v>167</v>
      </c>
      <c r="E15" s="7">
        <v>193164</v>
      </c>
      <c r="F15" s="8">
        <v>469.96801199999999</v>
      </c>
      <c r="G15" s="9">
        <v>2.1144708000000002E-2</v>
      </c>
      <c r="H15" s="167"/>
    </row>
    <row r="16" spans="1:8" x14ac:dyDescent="0.2">
      <c r="A16" s="5">
        <v>10</v>
      </c>
      <c r="B16" s="6" t="s">
        <v>168</v>
      </c>
      <c r="C16" s="6" t="s">
        <v>169</v>
      </c>
      <c r="D16" s="6" t="s">
        <v>75</v>
      </c>
      <c r="E16" s="7">
        <v>116159</v>
      </c>
      <c r="F16" s="8">
        <v>462.19666100000001</v>
      </c>
      <c r="G16" s="9">
        <v>2.0795061E-2</v>
      </c>
      <c r="H16" s="167"/>
    </row>
    <row r="17" spans="1:8" x14ac:dyDescent="0.2">
      <c r="A17" s="5">
        <v>11</v>
      </c>
      <c r="B17" s="6" t="s">
        <v>290</v>
      </c>
      <c r="C17" s="6" t="s">
        <v>291</v>
      </c>
      <c r="D17" s="6" t="s">
        <v>29</v>
      </c>
      <c r="E17" s="7">
        <v>89666</v>
      </c>
      <c r="F17" s="8">
        <v>429.36564099999998</v>
      </c>
      <c r="G17" s="9">
        <v>1.9317933999999998E-2</v>
      </c>
      <c r="H17" s="167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7989</v>
      </c>
      <c r="F18" s="8">
        <v>424.41562499999998</v>
      </c>
      <c r="G18" s="9">
        <v>1.9095224000000001E-2</v>
      </c>
      <c r="H18" s="167"/>
    </row>
    <row r="19" spans="1:8" x14ac:dyDescent="0.2">
      <c r="A19" s="5">
        <v>13</v>
      </c>
      <c r="B19" s="6" t="s">
        <v>311</v>
      </c>
      <c r="C19" s="6" t="s">
        <v>312</v>
      </c>
      <c r="D19" s="6" t="s">
        <v>185</v>
      </c>
      <c r="E19" s="7">
        <v>11524</v>
      </c>
      <c r="F19" s="8">
        <v>408.053316</v>
      </c>
      <c r="G19" s="9">
        <v>1.8359054E-2</v>
      </c>
      <c r="H19" s="167"/>
    </row>
    <row r="20" spans="1:8" ht="25.5" x14ac:dyDescent="0.2">
      <c r="A20" s="5">
        <v>14</v>
      </c>
      <c r="B20" s="6" t="s">
        <v>172</v>
      </c>
      <c r="C20" s="6" t="s">
        <v>173</v>
      </c>
      <c r="D20" s="6" t="s">
        <v>970</v>
      </c>
      <c r="E20" s="7">
        <v>154145</v>
      </c>
      <c r="F20" s="8">
        <v>387.52053000000001</v>
      </c>
      <c r="G20" s="9">
        <v>1.7435247000000001E-2</v>
      </c>
      <c r="H20" s="167"/>
    </row>
    <row r="21" spans="1:8" x14ac:dyDescent="0.2">
      <c r="A21" s="5">
        <v>15</v>
      </c>
      <c r="B21" s="6" t="s">
        <v>183</v>
      </c>
      <c r="C21" s="6" t="s">
        <v>184</v>
      </c>
      <c r="D21" s="6" t="s">
        <v>185</v>
      </c>
      <c r="E21" s="7">
        <v>31765</v>
      </c>
      <c r="F21" s="8">
        <v>376.82819499999999</v>
      </c>
      <c r="G21" s="9">
        <v>1.6954179999999999E-2</v>
      </c>
      <c r="H21" s="167"/>
    </row>
    <row r="22" spans="1:8" x14ac:dyDescent="0.2">
      <c r="A22" s="5">
        <v>16</v>
      </c>
      <c r="B22" s="6" t="s">
        <v>188</v>
      </c>
      <c r="C22" s="6" t="s">
        <v>189</v>
      </c>
      <c r="D22" s="6" t="s">
        <v>167</v>
      </c>
      <c r="E22" s="7">
        <v>14600</v>
      </c>
      <c r="F22" s="8">
        <v>371.27069999999998</v>
      </c>
      <c r="G22" s="9">
        <v>1.6704138E-2</v>
      </c>
      <c r="H22" s="167"/>
    </row>
    <row r="23" spans="1:8" x14ac:dyDescent="0.2">
      <c r="A23" s="5">
        <v>17</v>
      </c>
      <c r="B23" s="6" t="s">
        <v>181</v>
      </c>
      <c r="C23" s="6" t="s">
        <v>182</v>
      </c>
      <c r="D23" s="6" t="s">
        <v>29</v>
      </c>
      <c r="E23" s="7">
        <v>77404</v>
      </c>
      <c r="F23" s="8">
        <v>369.75890800000002</v>
      </c>
      <c r="G23" s="9">
        <v>1.6636120000000001E-2</v>
      </c>
      <c r="H23" s="167"/>
    </row>
    <row r="24" spans="1:8" ht="25.5" x14ac:dyDescent="0.2">
      <c r="A24" s="5">
        <v>18</v>
      </c>
      <c r="B24" s="6" t="s">
        <v>449</v>
      </c>
      <c r="C24" s="6" t="s">
        <v>450</v>
      </c>
      <c r="D24" s="6" t="s">
        <v>37</v>
      </c>
      <c r="E24" s="7">
        <v>29564</v>
      </c>
      <c r="F24" s="8">
        <v>358.30089800000002</v>
      </c>
      <c r="G24" s="9">
        <v>1.6120603000000001E-2</v>
      </c>
      <c r="H24" s="167"/>
    </row>
    <row r="25" spans="1:8" x14ac:dyDescent="0.2">
      <c r="A25" s="5">
        <v>19</v>
      </c>
      <c r="B25" s="6" t="s">
        <v>176</v>
      </c>
      <c r="C25" s="6" t="s">
        <v>177</v>
      </c>
      <c r="D25" s="6" t="s">
        <v>178</v>
      </c>
      <c r="E25" s="7">
        <v>33170</v>
      </c>
      <c r="F25" s="8">
        <v>352.97855499999997</v>
      </c>
      <c r="G25" s="9">
        <v>1.5881142000000001E-2</v>
      </c>
      <c r="H25" s="167"/>
    </row>
    <row r="26" spans="1:8" x14ac:dyDescent="0.2">
      <c r="A26" s="5">
        <v>20</v>
      </c>
      <c r="B26" s="6" t="s">
        <v>190</v>
      </c>
      <c r="C26" s="6" t="s">
        <v>191</v>
      </c>
      <c r="D26" s="6" t="s">
        <v>192</v>
      </c>
      <c r="E26" s="7">
        <v>88782</v>
      </c>
      <c r="F26" s="8">
        <v>349.00204200000002</v>
      </c>
      <c r="G26" s="9">
        <v>1.5702231000000001E-2</v>
      </c>
      <c r="H26" s="167"/>
    </row>
    <row r="27" spans="1:8" ht="25.5" x14ac:dyDescent="0.2">
      <c r="A27" s="5">
        <v>21</v>
      </c>
      <c r="B27" s="6" t="s">
        <v>161</v>
      </c>
      <c r="C27" s="6" t="s">
        <v>162</v>
      </c>
      <c r="D27" s="6" t="s">
        <v>970</v>
      </c>
      <c r="E27" s="7">
        <v>185202</v>
      </c>
      <c r="F27" s="8">
        <v>337.53064499999999</v>
      </c>
      <c r="G27" s="9">
        <v>1.5186112E-2</v>
      </c>
      <c r="H27" s="167"/>
    </row>
    <row r="28" spans="1:8" x14ac:dyDescent="0.2">
      <c r="A28" s="5">
        <v>22</v>
      </c>
      <c r="B28" s="6" t="s">
        <v>193</v>
      </c>
      <c r="C28" s="6" t="s">
        <v>194</v>
      </c>
      <c r="D28" s="6" t="s">
        <v>178</v>
      </c>
      <c r="E28" s="7">
        <v>178406</v>
      </c>
      <c r="F28" s="8">
        <v>326.12616800000001</v>
      </c>
      <c r="G28" s="9">
        <v>1.4673004E-2</v>
      </c>
      <c r="H28" s="167"/>
    </row>
    <row r="29" spans="1:8" x14ac:dyDescent="0.2">
      <c r="A29" s="5">
        <v>23</v>
      </c>
      <c r="B29" s="6" t="s">
        <v>451</v>
      </c>
      <c r="C29" s="6" t="s">
        <v>452</v>
      </c>
      <c r="D29" s="6" t="s">
        <v>67</v>
      </c>
      <c r="E29" s="7">
        <v>68578</v>
      </c>
      <c r="F29" s="8">
        <v>325.848367</v>
      </c>
      <c r="G29" s="9">
        <v>1.4660506E-2</v>
      </c>
      <c r="H29" s="167"/>
    </row>
    <row r="30" spans="1:8" x14ac:dyDescent="0.2">
      <c r="A30" s="5">
        <v>24</v>
      </c>
      <c r="B30" s="6" t="s">
        <v>174</v>
      </c>
      <c r="C30" s="6" t="s">
        <v>175</v>
      </c>
      <c r="D30" s="6" t="s">
        <v>50</v>
      </c>
      <c r="E30" s="7">
        <v>76646</v>
      </c>
      <c r="F30" s="8">
        <v>324.78742499999998</v>
      </c>
      <c r="G30" s="9">
        <v>1.4612772E-2</v>
      </c>
      <c r="H30" s="167"/>
    </row>
    <row r="31" spans="1:8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38730</v>
      </c>
      <c r="F31" s="8">
        <v>319.07710500000002</v>
      </c>
      <c r="G31" s="9">
        <v>1.4355853999999999E-2</v>
      </c>
      <c r="H31" s="167"/>
    </row>
    <row r="32" spans="1:8" ht="25.5" x14ac:dyDescent="0.2">
      <c r="A32" s="5">
        <v>26</v>
      </c>
      <c r="B32" s="6" t="s">
        <v>204</v>
      </c>
      <c r="C32" s="6" t="s">
        <v>205</v>
      </c>
      <c r="D32" s="6" t="s">
        <v>37</v>
      </c>
      <c r="E32" s="7">
        <v>348703</v>
      </c>
      <c r="F32" s="8">
        <v>298.48976800000003</v>
      </c>
      <c r="G32" s="9">
        <v>1.3429593E-2</v>
      </c>
      <c r="H32" s="167"/>
    </row>
    <row r="33" spans="1:8" x14ac:dyDescent="0.2">
      <c r="A33" s="5">
        <v>27</v>
      </c>
      <c r="B33" s="6" t="s">
        <v>453</v>
      </c>
      <c r="C33" s="6" t="s">
        <v>454</v>
      </c>
      <c r="D33" s="6" t="s">
        <v>158</v>
      </c>
      <c r="E33" s="7">
        <v>92049</v>
      </c>
      <c r="F33" s="8">
        <v>293.360163</v>
      </c>
      <c r="G33" s="9">
        <v>1.3198803E-2</v>
      </c>
      <c r="H33" s="167"/>
    </row>
    <row r="34" spans="1:8" x14ac:dyDescent="0.2">
      <c r="A34" s="5">
        <v>28</v>
      </c>
      <c r="B34" s="6" t="s">
        <v>210</v>
      </c>
      <c r="C34" s="6" t="s">
        <v>211</v>
      </c>
      <c r="D34" s="6" t="s">
        <v>29</v>
      </c>
      <c r="E34" s="7">
        <v>21494</v>
      </c>
      <c r="F34" s="8">
        <v>289.51343300000002</v>
      </c>
      <c r="G34" s="9">
        <v>1.3025731E-2</v>
      </c>
      <c r="H34" s="167"/>
    </row>
    <row r="35" spans="1:8" x14ac:dyDescent="0.2">
      <c r="A35" s="5">
        <v>29</v>
      </c>
      <c r="B35" s="6" t="s">
        <v>206</v>
      </c>
      <c r="C35" s="6" t="s">
        <v>207</v>
      </c>
      <c r="D35" s="6" t="s">
        <v>32</v>
      </c>
      <c r="E35" s="7">
        <v>307287</v>
      </c>
      <c r="F35" s="8">
        <v>288.84978000000001</v>
      </c>
      <c r="G35" s="9">
        <v>1.2995872E-2</v>
      </c>
      <c r="H35" s="167"/>
    </row>
    <row r="36" spans="1:8" x14ac:dyDescent="0.2">
      <c r="A36" s="5">
        <v>30</v>
      </c>
      <c r="B36" s="6" t="s">
        <v>214</v>
      </c>
      <c r="C36" s="6" t="s">
        <v>215</v>
      </c>
      <c r="D36" s="6" t="s">
        <v>976</v>
      </c>
      <c r="E36" s="7">
        <v>92808</v>
      </c>
      <c r="F36" s="8">
        <v>288.30805199999998</v>
      </c>
      <c r="G36" s="9">
        <v>1.2971498999999999E-2</v>
      </c>
      <c r="H36" s="167"/>
    </row>
    <row r="37" spans="1:8" x14ac:dyDescent="0.2">
      <c r="A37" s="5">
        <v>31</v>
      </c>
      <c r="B37" s="6" t="s">
        <v>218</v>
      </c>
      <c r="C37" s="6" t="s">
        <v>219</v>
      </c>
      <c r="D37" s="6" t="s">
        <v>973</v>
      </c>
      <c r="E37" s="7">
        <v>42000</v>
      </c>
      <c r="F37" s="8">
        <v>286.90199999999999</v>
      </c>
      <c r="G37" s="9">
        <v>1.2908238000000001E-2</v>
      </c>
      <c r="H37" s="167"/>
    </row>
    <row r="38" spans="1:8" x14ac:dyDescent="0.2">
      <c r="A38" s="5">
        <v>32</v>
      </c>
      <c r="B38" s="6" t="s">
        <v>212</v>
      </c>
      <c r="C38" s="6" t="s">
        <v>213</v>
      </c>
      <c r="D38" s="6" t="s">
        <v>158</v>
      </c>
      <c r="E38" s="7">
        <v>49859</v>
      </c>
      <c r="F38" s="8">
        <v>283.62292150000002</v>
      </c>
      <c r="G38" s="9">
        <v>1.2760707E-2</v>
      </c>
      <c r="H38" s="167"/>
    </row>
    <row r="39" spans="1:8" x14ac:dyDescent="0.2">
      <c r="A39" s="5">
        <v>33</v>
      </c>
      <c r="B39" s="6" t="s">
        <v>220</v>
      </c>
      <c r="C39" s="6" t="s">
        <v>221</v>
      </c>
      <c r="D39" s="6" t="s">
        <v>158</v>
      </c>
      <c r="E39" s="7">
        <v>497258</v>
      </c>
      <c r="F39" s="8">
        <v>283.18843099999998</v>
      </c>
      <c r="G39" s="9">
        <v>1.2741158000000001E-2</v>
      </c>
      <c r="H39" s="167"/>
    </row>
    <row r="40" spans="1:8" x14ac:dyDescent="0.2">
      <c r="A40" s="5">
        <v>34</v>
      </c>
      <c r="B40" s="6" t="s">
        <v>455</v>
      </c>
      <c r="C40" s="6" t="s">
        <v>456</v>
      </c>
      <c r="D40" s="6" t="s">
        <v>75</v>
      </c>
      <c r="E40" s="7">
        <v>34343</v>
      </c>
      <c r="F40" s="8">
        <v>283.02066300000001</v>
      </c>
      <c r="G40" s="9">
        <v>1.2733609999999999E-2</v>
      </c>
      <c r="H40" s="167"/>
    </row>
    <row r="41" spans="1:8" x14ac:dyDescent="0.2">
      <c r="A41" s="5">
        <v>35</v>
      </c>
      <c r="B41" s="6" t="s">
        <v>216</v>
      </c>
      <c r="C41" s="6" t="s">
        <v>217</v>
      </c>
      <c r="D41" s="6" t="s">
        <v>192</v>
      </c>
      <c r="E41" s="7">
        <v>53835</v>
      </c>
      <c r="F41" s="8">
        <v>281.96081249999997</v>
      </c>
      <c r="G41" s="9">
        <v>1.2685925000000001E-2</v>
      </c>
      <c r="H41" s="167"/>
    </row>
    <row r="42" spans="1:8" x14ac:dyDescent="0.2">
      <c r="A42" s="5">
        <v>36</v>
      </c>
      <c r="B42" s="6" t="s">
        <v>30</v>
      </c>
      <c r="C42" s="6" t="s">
        <v>31</v>
      </c>
      <c r="D42" s="6" t="s">
        <v>32</v>
      </c>
      <c r="E42" s="7">
        <v>108670</v>
      </c>
      <c r="F42" s="8">
        <v>281.40096499999999</v>
      </c>
      <c r="G42" s="9">
        <v>1.2660737E-2</v>
      </c>
      <c r="H42" s="167"/>
    </row>
    <row r="43" spans="1:8" ht="25.5" x14ac:dyDescent="0.2">
      <c r="A43" s="5">
        <v>37</v>
      </c>
      <c r="B43" s="6" t="s">
        <v>200</v>
      </c>
      <c r="C43" s="6" t="s">
        <v>201</v>
      </c>
      <c r="D43" s="6" t="s">
        <v>75</v>
      </c>
      <c r="E43" s="7">
        <v>12284</v>
      </c>
      <c r="F43" s="8">
        <v>276.88135999999997</v>
      </c>
      <c r="G43" s="9">
        <v>1.2457391999999999E-2</v>
      </c>
      <c r="H43" s="167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971</v>
      </c>
      <c r="E44" s="7">
        <v>83087</v>
      </c>
      <c r="F44" s="8">
        <v>272.52535999999998</v>
      </c>
      <c r="G44" s="9">
        <v>1.2261407E-2</v>
      </c>
      <c r="H44" s="167"/>
    </row>
    <row r="45" spans="1:8" ht="25.5" x14ac:dyDescent="0.2">
      <c r="A45" s="5">
        <v>39</v>
      </c>
      <c r="B45" s="6" t="s">
        <v>228</v>
      </c>
      <c r="C45" s="6" t="s">
        <v>229</v>
      </c>
      <c r="D45" s="6" t="s">
        <v>78</v>
      </c>
      <c r="E45" s="7">
        <v>79781</v>
      </c>
      <c r="F45" s="8">
        <v>270.97616649999998</v>
      </c>
      <c r="G45" s="9">
        <v>1.2191706E-2</v>
      </c>
      <c r="H45" s="167"/>
    </row>
    <row r="46" spans="1:8" x14ac:dyDescent="0.2">
      <c r="A46" s="5">
        <v>40</v>
      </c>
      <c r="B46" s="6" t="s">
        <v>202</v>
      </c>
      <c r="C46" s="6" t="s">
        <v>203</v>
      </c>
      <c r="D46" s="6" t="s">
        <v>57</v>
      </c>
      <c r="E46" s="7">
        <v>24997</v>
      </c>
      <c r="F46" s="8">
        <v>269.21769</v>
      </c>
      <c r="G46" s="9">
        <v>1.2112589E-2</v>
      </c>
      <c r="H46" s="167"/>
    </row>
    <row r="47" spans="1:8" x14ac:dyDescent="0.2">
      <c r="A47" s="5">
        <v>41</v>
      </c>
      <c r="B47" s="6" t="s">
        <v>44</v>
      </c>
      <c r="C47" s="6" t="s">
        <v>45</v>
      </c>
      <c r="D47" s="6" t="s">
        <v>29</v>
      </c>
      <c r="E47" s="7">
        <v>14565</v>
      </c>
      <c r="F47" s="8">
        <v>267.52992</v>
      </c>
      <c r="G47" s="9">
        <v>1.2036653E-2</v>
      </c>
      <c r="H47" s="167"/>
    </row>
    <row r="48" spans="1:8" x14ac:dyDescent="0.2">
      <c r="A48" s="5">
        <v>42</v>
      </c>
      <c r="B48" s="6" t="s">
        <v>457</v>
      </c>
      <c r="C48" s="6" t="s">
        <v>458</v>
      </c>
      <c r="D48" s="6" t="s">
        <v>247</v>
      </c>
      <c r="E48" s="7">
        <v>45800</v>
      </c>
      <c r="F48" s="8">
        <v>252.33510000000001</v>
      </c>
      <c r="G48" s="9">
        <v>1.1353011E-2</v>
      </c>
      <c r="H48" s="167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75</v>
      </c>
      <c r="E49" s="7">
        <v>41610</v>
      </c>
      <c r="F49" s="8">
        <v>251.15796</v>
      </c>
      <c r="G49" s="9">
        <v>1.1300049E-2</v>
      </c>
      <c r="H49" s="167"/>
    </row>
    <row r="50" spans="1:8" x14ac:dyDescent="0.2">
      <c r="A50" s="5">
        <v>44</v>
      </c>
      <c r="B50" s="6" t="s">
        <v>226</v>
      </c>
      <c r="C50" s="6" t="s">
        <v>227</v>
      </c>
      <c r="D50" s="6" t="s">
        <v>32</v>
      </c>
      <c r="E50" s="7">
        <v>31488</v>
      </c>
      <c r="F50" s="8">
        <v>249.13305600000001</v>
      </c>
      <c r="G50" s="9">
        <v>1.1208945E-2</v>
      </c>
      <c r="H50" s="167"/>
    </row>
    <row r="51" spans="1:8" x14ac:dyDescent="0.2">
      <c r="A51" s="5">
        <v>45</v>
      </c>
      <c r="B51" s="6" t="s">
        <v>286</v>
      </c>
      <c r="C51" s="6" t="s">
        <v>287</v>
      </c>
      <c r="D51" s="6" t="s">
        <v>29</v>
      </c>
      <c r="E51" s="7">
        <v>24212</v>
      </c>
      <c r="F51" s="8">
        <v>245.64284599999999</v>
      </c>
      <c r="G51" s="9">
        <v>1.1051915000000001E-2</v>
      </c>
      <c r="H51" s="167"/>
    </row>
    <row r="52" spans="1:8" x14ac:dyDescent="0.2">
      <c r="A52" s="5">
        <v>46</v>
      </c>
      <c r="B52" s="6" t="s">
        <v>232</v>
      </c>
      <c r="C52" s="6" t="s">
        <v>233</v>
      </c>
      <c r="D52" s="6" t="s">
        <v>185</v>
      </c>
      <c r="E52" s="7">
        <v>68046</v>
      </c>
      <c r="F52" s="8">
        <v>244.55732399999999</v>
      </c>
      <c r="G52" s="9">
        <v>1.1003074999999999E-2</v>
      </c>
      <c r="H52" s="167"/>
    </row>
    <row r="53" spans="1:8" x14ac:dyDescent="0.2">
      <c r="A53" s="5">
        <v>47</v>
      </c>
      <c r="B53" s="6" t="s">
        <v>234</v>
      </c>
      <c r="C53" s="6" t="s">
        <v>235</v>
      </c>
      <c r="D53" s="6" t="s">
        <v>29</v>
      </c>
      <c r="E53" s="7">
        <v>201299</v>
      </c>
      <c r="F53" s="8">
        <v>234.915933</v>
      </c>
      <c r="G53" s="9">
        <v>1.0569291E-2</v>
      </c>
      <c r="H53" s="167"/>
    </row>
    <row r="54" spans="1:8" x14ac:dyDescent="0.2">
      <c r="A54" s="5">
        <v>48</v>
      </c>
      <c r="B54" s="6" t="s">
        <v>238</v>
      </c>
      <c r="C54" s="6" t="s">
        <v>239</v>
      </c>
      <c r="D54" s="6" t="s">
        <v>240</v>
      </c>
      <c r="E54" s="7">
        <v>27872</v>
      </c>
      <c r="F54" s="8">
        <v>227.18467200000001</v>
      </c>
      <c r="G54" s="9">
        <v>1.0221447999999999E-2</v>
      </c>
      <c r="H54" s="167"/>
    </row>
    <row r="55" spans="1:8" ht="25.5" x14ac:dyDescent="0.2">
      <c r="A55" s="5">
        <v>49</v>
      </c>
      <c r="B55" s="6" t="s">
        <v>241</v>
      </c>
      <c r="C55" s="6" t="s">
        <v>242</v>
      </c>
      <c r="D55" s="6" t="s">
        <v>153</v>
      </c>
      <c r="E55" s="7">
        <v>60347</v>
      </c>
      <c r="F55" s="8">
        <v>226.8141995</v>
      </c>
      <c r="G55" s="9">
        <v>1.020478E-2</v>
      </c>
      <c r="H55" s="167"/>
    </row>
    <row r="56" spans="1:8" ht="25.5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63174</v>
      </c>
      <c r="F56" s="8">
        <v>223.95183</v>
      </c>
      <c r="G56" s="9">
        <v>1.0075997E-2</v>
      </c>
      <c r="H56" s="167"/>
    </row>
    <row r="57" spans="1:8" x14ac:dyDescent="0.2">
      <c r="A57" s="5">
        <v>51</v>
      </c>
      <c r="B57" s="6" t="s">
        <v>459</v>
      </c>
      <c r="C57" s="6" t="s">
        <v>460</v>
      </c>
      <c r="D57" s="6" t="s">
        <v>29</v>
      </c>
      <c r="E57" s="7">
        <v>37025</v>
      </c>
      <c r="F57" s="8">
        <v>221.61313749999999</v>
      </c>
      <c r="G57" s="9">
        <v>9.9707749999999994E-3</v>
      </c>
      <c r="H57" s="167"/>
    </row>
    <row r="58" spans="1:8" x14ac:dyDescent="0.2">
      <c r="A58" s="5">
        <v>52</v>
      </c>
      <c r="B58" s="6" t="s">
        <v>248</v>
      </c>
      <c r="C58" s="6" t="s">
        <v>249</v>
      </c>
      <c r="D58" s="6" t="s">
        <v>192</v>
      </c>
      <c r="E58" s="7">
        <v>15127</v>
      </c>
      <c r="F58" s="8">
        <v>219.46251599999999</v>
      </c>
      <c r="G58" s="9">
        <v>9.8740140000000004E-3</v>
      </c>
      <c r="H58" s="167"/>
    </row>
    <row r="59" spans="1:8" x14ac:dyDescent="0.2">
      <c r="A59" s="5">
        <v>53</v>
      </c>
      <c r="B59" s="6" t="s">
        <v>163</v>
      </c>
      <c r="C59" s="6" t="s">
        <v>164</v>
      </c>
      <c r="D59" s="6" t="s">
        <v>167</v>
      </c>
      <c r="E59" s="7">
        <v>25144</v>
      </c>
      <c r="F59" s="8">
        <v>218.13677200000001</v>
      </c>
      <c r="G59" s="9">
        <v>9.8143669999999992E-3</v>
      </c>
      <c r="H59" s="167"/>
    </row>
    <row r="60" spans="1:8" x14ac:dyDescent="0.2">
      <c r="A60" s="5">
        <v>54</v>
      </c>
      <c r="B60" s="6" t="s">
        <v>252</v>
      </c>
      <c r="C60" s="6" t="s">
        <v>253</v>
      </c>
      <c r="D60" s="6" t="s">
        <v>158</v>
      </c>
      <c r="E60" s="7">
        <v>39288</v>
      </c>
      <c r="F60" s="8">
        <v>215.45539199999999</v>
      </c>
      <c r="G60" s="9">
        <v>9.6937269999999992E-3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44268</v>
      </c>
      <c r="F61" s="8">
        <v>213.41602800000001</v>
      </c>
      <c r="G61" s="9">
        <v>9.6019720000000003E-3</v>
      </c>
      <c r="H61" s="167"/>
    </row>
    <row r="62" spans="1:8" x14ac:dyDescent="0.2">
      <c r="A62" s="5">
        <v>56</v>
      </c>
      <c r="B62" s="6" t="s">
        <v>258</v>
      </c>
      <c r="C62" s="6" t="s">
        <v>259</v>
      </c>
      <c r="D62" s="6" t="s">
        <v>23</v>
      </c>
      <c r="E62" s="7">
        <v>201808</v>
      </c>
      <c r="F62" s="8">
        <v>211.797496</v>
      </c>
      <c r="G62" s="9">
        <v>9.5291509999999996E-3</v>
      </c>
      <c r="H62" s="167"/>
    </row>
    <row r="63" spans="1:8" x14ac:dyDescent="0.2">
      <c r="A63" s="5">
        <v>57</v>
      </c>
      <c r="B63" s="6" t="s">
        <v>245</v>
      </c>
      <c r="C63" s="6" t="s">
        <v>246</v>
      </c>
      <c r="D63" s="6" t="s">
        <v>247</v>
      </c>
      <c r="E63" s="7">
        <v>129053</v>
      </c>
      <c r="F63" s="8">
        <v>211.64691999999999</v>
      </c>
      <c r="G63" s="9">
        <v>9.5223770000000003E-3</v>
      </c>
      <c r="H63" s="167"/>
    </row>
    <row r="64" spans="1:8" x14ac:dyDescent="0.2">
      <c r="A64" s="5">
        <v>58</v>
      </c>
      <c r="B64" s="6" t="s">
        <v>95</v>
      </c>
      <c r="C64" s="6" t="s">
        <v>96</v>
      </c>
      <c r="D64" s="6" t="s">
        <v>75</v>
      </c>
      <c r="E64" s="7">
        <v>82193</v>
      </c>
      <c r="F64" s="8">
        <v>210.45517649999999</v>
      </c>
      <c r="G64" s="9">
        <v>9.4687580000000007E-3</v>
      </c>
      <c r="H64" s="167"/>
    </row>
    <row r="65" spans="1:8" x14ac:dyDescent="0.2">
      <c r="A65" s="5">
        <v>59</v>
      </c>
      <c r="B65" s="6" t="s">
        <v>195</v>
      </c>
      <c r="C65" s="6" t="s">
        <v>196</v>
      </c>
      <c r="D65" s="6" t="s">
        <v>197</v>
      </c>
      <c r="E65" s="7">
        <v>26884</v>
      </c>
      <c r="F65" s="8">
        <v>203.095178</v>
      </c>
      <c r="G65" s="9">
        <v>9.1376180000000001E-3</v>
      </c>
      <c r="H65" s="167"/>
    </row>
    <row r="66" spans="1:8" ht="25.5" x14ac:dyDescent="0.2">
      <c r="A66" s="5">
        <v>60</v>
      </c>
      <c r="B66" s="6" t="s">
        <v>256</v>
      </c>
      <c r="C66" s="6" t="s">
        <v>257</v>
      </c>
      <c r="D66" s="6" t="s">
        <v>975</v>
      </c>
      <c r="E66" s="7">
        <v>233182</v>
      </c>
      <c r="F66" s="8">
        <v>197.854927</v>
      </c>
      <c r="G66" s="9">
        <v>8.9018499999999993E-3</v>
      </c>
      <c r="H66" s="167"/>
    </row>
    <row r="67" spans="1:8" x14ac:dyDescent="0.2">
      <c r="A67" s="5">
        <v>61</v>
      </c>
      <c r="B67" s="6" t="s">
        <v>461</v>
      </c>
      <c r="C67" s="6" t="s">
        <v>462</v>
      </c>
      <c r="D67" s="6" t="s">
        <v>972</v>
      </c>
      <c r="E67" s="7">
        <v>249507</v>
      </c>
      <c r="F67" s="8">
        <v>188.50253850000001</v>
      </c>
      <c r="G67" s="9">
        <v>8.4810690000000008E-3</v>
      </c>
      <c r="H67" s="167"/>
    </row>
    <row r="68" spans="1:8" x14ac:dyDescent="0.2">
      <c r="A68" s="5">
        <v>62</v>
      </c>
      <c r="B68" s="6" t="s">
        <v>260</v>
      </c>
      <c r="C68" s="6" t="s">
        <v>926</v>
      </c>
      <c r="D68" s="6" t="s">
        <v>261</v>
      </c>
      <c r="E68" s="7">
        <v>75410</v>
      </c>
      <c r="F68" s="8">
        <v>179.739735</v>
      </c>
      <c r="G68" s="9">
        <v>8.0868150000000007E-3</v>
      </c>
      <c r="H68" s="167"/>
    </row>
    <row r="69" spans="1:8" x14ac:dyDescent="0.2">
      <c r="A69" s="5">
        <v>63</v>
      </c>
      <c r="B69" s="6" t="s">
        <v>262</v>
      </c>
      <c r="C69" s="6" t="s">
        <v>263</v>
      </c>
      <c r="D69" s="6" t="s">
        <v>185</v>
      </c>
      <c r="E69" s="7">
        <v>31011</v>
      </c>
      <c r="F69" s="8">
        <v>176.34405150000001</v>
      </c>
      <c r="G69" s="9">
        <v>7.9340369999999997E-3</v>
      </c>
      <c r="H69" s="167"/>
    </row>
    <row r="70" spans="1:8" x14ac:dyDescent="0.2">
      <c r="A70" s="5">
        <v>64</v>
      </c>
      <c r="B70" s="6" t="s">
        <v>270</v>
      </c>
      <c r="C70" s="6" t="s">
        <v>271</v>
      </c>
      <c r="D70" s="6" t="s">
        <v>75</v>
      </c>
      <c r="E70" s="7">
        <v>102433</v>
      </c>
      <c r="F70" s="8">
        <v>161.946573</v>
      </c>
      <c r="G70" s="9">
        <v>7.2862680000000003E-3</v>
      </c>
      <c r="H70" s="167"/>
    </row>
    <row r="71" spans="1:8" x14ac:dyDescent="0.2">
      <c r="A71" s="5">
        <v>65</v>
      </c>
      <c r="B71" s="6" t="s">
        <v>463</v>
      </c>
      <c r="C71" s="6" t="s">
        <v>464</v>
      </c>
      <c r="D71" s="6" t="s">
        <v>158</v>
      </c>
      <c r="E71" s="7">
        <v>25528</v>
      </c>
      <c r="F71" s="8">
        <v>159.88186400000001</v>
      </c>
      <c r="G71" s="9">
        <v>7.1933730000000003E-3</v>
      </c>
      <c r="H71" s="167"/>
    </row>
    <row r="72" spans="1:8" x14ac:dyDescent="0.2">
      <c r="A72" s="5">
        <v>66</v>
      </c>
      <c r="B72" s="6" t="s">
        <v>292</v>
      </c>
      <c r="C72" s="6" t="s">
        <v>293</v>
      </c>
      <c r="D72" s="6" t="s">
        <v>971</v>
      </c>
      <c r="E72" s="7">
        <v>379760</v>
      </c>
      <c r="F72" s="8">
        <v>149.62544</v>
      </c>
      <c r="G72" s="9">
        <v>6.7319179999999999E-3</v>
      </c>
      <c r="H72" s="167"/>
    </row>
    <row r="73" spans="1:8" x14ac:dyDescent="0.2">
      <c r="A73" s="5">
        <v>67</v>
      </c>
      <c r="B73" s="6" t="s">
        <v>272</v>
      </c>
      <c r="C73" s="6" t="s">
        <v>273</v>
      </c>
      <c r="D73" s="6" t="s">
        <v>972</v>
      </c>
      <c r="E73" s="7">
        <v>9296</v>
      </c>
      <c r="F73" s="8">
        <v>143.99503999999999</v>
      </c>
      <c r="G73" s="9">
        <v>6.4785959999999997E-3</v>
      </c>
      <c r="H73" s="167"/>
    </row>
    <row r="74" spans="1:8" x14ac:dyDescent="0.2">
      <c r="A74" s="5">
        <v>68</v>
      </c>
      <c r="B74" s="6" t="s">
        <v>274</v>
      </c>
      <c r="C74" s="6" t="s">
        <v>275</v>
      </c>
      <c r="D74" s="6" t="s">
        <v>153</v>
      </c>
      <c r="E74" s="7">
        <v>9154</v>
      </c>
      <c r="F74" s="8">
        <v>140.41778299999999</v>
      </c>
      <c r="G74" s="9">
        <v>6.3176489999999998E-3</v>
      </c>
      <c r="H74" s="167"/>
    </row>
    <row r="75" spans="1:8" x14ac:dyDescent="0.2">
      <c r="A75" s="5">
        <v>69</v>
      </c>
      <c r="B75" s="6" t="s">
        <v>224</v>
      </c>
      <c r="C75" s="6" t="s">
        <v>225</v>
      </c>
      <c r="D75" s="6" t="s">
        <v>185</v>
      </c>
      <c r="E75" s="7">
        <v>32954</v>
      </c>
      <c r="F75" s="8">
        <v>136.08354299999999</v>
      </c>
      <c r="G75" s="9">
        <v>6.122644E-3</v>
      </c>
      <c r="H75" s="167"/>
    </row>
    <row r="76" spans="1:8" x14ac:dyDescent="0.2">
      <c r="A76" s="5">
        <v>70</v>
      </c>
      <c r="B76" s="6" t="s">
        <v>250</v>
      </c>
      <c r="C76" s="6" t="s">
        <v>251</v>
      </c>
      <c r="D76" s="6" t="s">
        <v>75</v>
      </c>
      <c r="E76" s="7">
        <v>21557</v>
      </c>
      <c r="F76" s="8">
        <v>131.9611755</v>
      </c>
      <c r="G76" s="9">
        <v>5.9371709999999998E-3</v>
      </c>
      <c r="H76" s="167"/>
    </row>
    <row r="77" spans="1:8" x14ac:dyDescent="0.2">
      <c r="A77" s="5">
        <v>71</v>
      </c>
      <c r="B77" s="6" t="s">
        <v>278</v>
      </c>
      <c r="C77" s="6" t="s">
        <v>279</v>
      </c>
      <c r="D77" s="6" t="s">
        <v>192</v>
      </c>
      <c r="E77" s="7">
        <v>13166</v>
      </c>
      <c r="F77" s="8">
        <v>125.22182599999999</v>
      </c>
      <c r="G77" s="9">
        <v>5.6339559999999999E-3</v>
      </c>
      <c r="H77" s="167"/>
    </row>
    <row r="78" spans="1:8" x14ac:dyDescent="0.2">
      <c r="A78" s="5">
        <v>72</v>
      </c>
      <c r="B78" s="6" t="s">
        <v>276</v>
      </c>
      <c r="C78" s="6" t="s">
        <v>277</v>
      </c>
      <c r="D78" s="6" t="s">
        <v>167</v>
      </c>
      <c r="E78" s="7">
        <v>20451</v>
      </c>
      <c r="F78" s="8">
        <v>113.3701185</v>
      </c>
      <c r="G78" s="9">
        <v>5.1007259999999999E-3</v>
      </c>
      <c r="H78" s="167"/>
    </row>
    <row r="79" spans="1:8" x14ac:dyDescent="0.2">
      <c r="A79" s="5">
        <v>73</v>
      </c>
      <c r="B79" s="6" t="s">
        <v>280</v>
      </c>
      <c r="C79" s="6" t="s">
        <v>281</v>
      </c>
      <c r="D79" s="6" t="s">
        <v>971</v>
      </c>
      <c r="E79" s="7">
        <v>204161</v>
      </c>
      <c r="F79" s="8">
        <v>85.339297999999999</v>
      </c>
      <c r="G79" s="9">
        <v>3.8395690000000001E-3</v>
      </c>
      <c r="H79" s="167"/>
    </row>
    <row r="80" spans="1:8" x14ac:dyDescent="0.2">
      <c r="A80" s="5">
        <v>74</v>
      </c>
      <c r="B80" s="6" t="s">
        <v>282</v>
      </c>
      <c r="C80" s="6" t="s">
        <v>283</v>
      </c>
      <c r="D80" s="6" t="s">
        <v>284</v>
      </c>
      <c r="E80" s="7">
        <v>45408</v>
      </c>
      <c r="F80" s="8">
        <v>65.8416</v>
      </c>
      <c r="G80" s="9">
        <v>2.9623319999999998E-3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0">
        <v>21801.147368999998</v>
      </c>
      <c r="G81" s="11">
        <v>0.98087292500000001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105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106</v>
      </c>
      <c r="D86" s="3" t="s">
        <v>10</v>
      </c>
      <c r="E86" s="3" t="s">
        <v>10</v>
      </c>
      <c r="F86" s="3" t="s">
        <v>10</v>
      </c>
      <c r="G86" s="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110</v>
      </c>
      <c r="D89" s="3" t="s">
        <v>10</v>
      </c>
      <c r="E89" s="3" t="s">
        <v>10</v>
      </c>
      <c r="F89" s="3" t="s">
        <v>10</v>
      </c>
      <c r="G89" s="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111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112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113</v>
      </c>
      <c r="D98" s="3" t="s">
        <v>10</v>
      </c>
      <c r="E98" s="3" t="s">
        <v>10</v>
      </c>
      <c r="F98" s="10">
        <v>21801.147368999998</v>
      </c>
      <c r="G98" s="11">
        <v>0.98087292500000001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114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ht="25.5" x14ac:dyDescent="0.2">
      <c r="A101" s="3" t="s">
        <v>10</v>
      </c>
      <c r="B101" s="3" t="s">
        <v>10</v>
      </c>
      <c r="C101" s="4" t="s">
        <v>12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115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116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117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118</v>
      </c>
      <c r="D113" s="3" t="s">
        <v>10</v>
      </c>
      <c r="E113" s="3" t="s">
        <v>10</v>
      </c>
      <c r="F113" s="10">
        <v>0</v>
      </c>
      <c r="G113" s="11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119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121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4">
        <v>0</v>
      </c>
      <c r="G120" s="15">
        <v>0</v>
      </c>
      <c r="H120" s="167"/>
    </row>
    <row r="121" spans="1:8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122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104</v>
      </c>
      <c r="D123" s="3" t="s">
        <v>10</v>
      </c>
      <c r="E123" s="3" t="s">
        <v>10</v>
      </c>
      <c r="F123" s="14">
        <v>0</v>
      </c>
      <c r="G123" s="15">
        <v>0</v>
      </c>
      <c r="H123" s="167"/>
    </row>
    <row r="124" spans="1:8" x14ac:dyDescent="0.2">
      <c r="A124" s="3" t="s">
        <v>10</v>
      </c>
      <c r="B124" s="3" t="s">
        <v>10</v>
      </c>
      <c r="C124" s="12" t="s">
        <v>10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123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5">
        <v>1</v>
      </c>
      <c r="B126" s="6"/>
      <c r="C126" s="6" t="s">
        <v>124</v>
      </c>
      <c r="D126" s="6"/>
      <c r="E126" s="16" t="s">
        <v>10</v>
      </c>
      <c r="F126" s="8">
        <v>277.97527930000001</v>
      </c>
      <c r="G126" s="9">
        <v>1.2506609E-2</v>
      </c>
      <c r="H126" s="108">
        <v>3.23</v>
      </c>
    </row>
    <row r="127" spans="1:8" x14ac:dyDescent="0.2">
      <c r="A127" s="5">
        <v>2</v>
      </c>
      <c r="B127" s="6"/>
      <c r="C127" s="6" t="s">
        <v>125</v>
      </c>
      <c r="D127" s="6"/>
      <c r="E127" s="16" t="s">
        <v>10</v>
      </c>
      <c r="F127" s="8">
        <v>78.080437599999996</v>
      </c>
      <c r="G127" s="9">
        <v>3.5129800000000002E-3</v>
      </c>
      <c r="H127" s="108">
        <v>3.35</v>
      </c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0">
        <v>356.05571689999999</v>
      </c>
      <c r="G128" s="11">
        <v>1.6019589000000001E-2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126</v>
      </c>
      <c r="D130" s="3" t="s">
        <v>10</v>
      </c>
      <c r="E130" s="3" t="s">
        <v>10</v>
      </c>
      <c r="F130" s="10">
        <v>356.05571689999999</v>
      </c>
      <c r="G130" s="11">
        <v>1.6019589000000001E-2</v>
      </c>
      <c r="H130" s="167"/>
    </row>
    <row r="131" spans="1:8" x14ac:dyDescent="0.2">
      <c r="A131" s="3" t="s">
        <v>10</v>
      </c>
      <c r="B131" s="3" t="s">
        <v>10</v>
      </c>
      <c r="C131" s="13" t="s">
        <v>10</v>
      </c>
      <c r="D131" s="3" t="s">
        <v>10</v>
      </c>
      <c r="E131" s="3" t="s">
        <v>10</v>
      </c>
      <c r="F131" s="3" t="s">
        <v>10</v>
      </c>
      <c r="G131" s="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127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128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3" t="s">
        <v>10</v>
      </c>
      <c r="C136" s="4" t="s">
        <v>129</v>
      </c>
      <c r="D136" s="3" t="s">
        <v>10</v>
      </c>
      <c r="E136" s="3" t="s">
        <v>10</v>
      </c>
      <c r="F136" s="3" t="s">
        <v>10</v>
      </c>
      <c r="G136" s="3" t="s">
        <v>10</v>
      </c>
      <c r="H136" s="167"/>
    </row>
    <row r="137" spans="1:8" x14ac:dyDescent="0.2">
      <c r="A137" s="3" t="s">
        <v>10</v>
      </c>
      <c r="B137" s="3" t="s">
        <v>10</v>
      </c>
      <c r="C137" s="4" t="s">
        <v>130</v>
      </c>
      <c r="D137" s="3" t="s">
        <v>10</v>
      </c>
      <c r="E137" s="3" t="s">
        <v>10</v>
      </c>
      <c r="F137" s="3" t="s">
        <v>10</v>
      </c>
      <c r="G137" s="3" t="s">
        <v>10</v>
      </c>
      <c r="H137" s="167"/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4">
        <v>0</v>
      </c>
      <c r="G138" s="15">
        <v>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ht="25.5" x14ac:dyDescent="0.2">
      <c r="A141" s="3" t="s">
        <v>10</v>
      </c>
      <c r="B141" s="3" t="s">
        <v>10</v>
      </c>
      <c r="C141" s="4" t="s">
        <v>131</v>
      </c>
      <c r="D141" s="3" t="s">
        <v>10</v>
      </c>
      <c r="E141" s="3" t="s">
        <v>10</v>
      </c>
      <c r="F141" s="13" t="s">
        <v>10</v>
      </c>
      <c r="G141" s="13" t="s">
        <v>10</v>
      </c>
      <c r="H141" s="167"/>
    </row>
    <row r="142" spans="1:8" x14ac:dyDescent="0.2">
      <c r="A142" s="3" t="s">
        <v>10</v>
      </c>
      <c r="B142" s="3" t="s">
        <v>10</v>
      </c>
      <c r="C142" s="4" t="s">
        <v>104</v>
      </c>
      <c r="D142" s="3" t="s">
        <v>10</v>
      </c>
      <c r="E142" s="3" t="s">
        <v>10</v>
      </c>
      <c r="F142" s="14">
        <v>0</v>
      </c>
      <c r="G142" s="15">
        <v>0</v>
      </c>
      <c r="H142" s="167"/>
    </row>
    <row r="143" spans="1:8" x14ac:dyDescent="0.2">
      <c r="A143" s="3" t="s">
        <v>10</v>
      </c>
      <c r="B143" s="3" t="s">
        <v>10</v>
      </c>
      <c r="C143" s="12" t="s">
        <v>10</v>
      </c>
      <c r="D143" s="3" t="s">
        <v>10</v>
      </c>
      <c r="E143" s="3" t="s">
        <v>10</v>
      </c>
      <c r="F143" s="13" t="s">
        <v>10</v>
      </c>
      <c r="G143" s="13" t="s">
        <v>10</v>
      </c>
      <c r="H143" s="167"/>
    </row>
    <row r="144" spans="1:8" x14ac:dyDescent="0.2">
      <c r="A144" s="3" t="s">
        <v>10</v>
      </c>
      <c r="B144" s="6" t="s">
        <v>10</v>
      </c>
      <c r="C144" s="6" t="s">
        <v>10</v>
      </c>
      <c r="D144" s="4" t="s">
        <v>10</v>
      </c>
      <c r="E144" s="3" t="s">
        <v>10</v>
      </c>
      <c r="F144" s="6" t="s">
        <v>10</v>
      </c>
      <c r="G144" s="16" t="s">
        <v>10</v>
      </c>
      <c r="H144" s="167"/>
    </row>
    <row r="145" spans="1:8" x14ac:dyDescent="0.2">
      <c r="A145" s="16" t="s">
        <v>10</v>
      </c>
      <c r="B145" s="6" t="s">
        <v>10</v>
      </c>
      <c r="C145" s="6" t="s">
        <v>132</v>
      </c>
      <c r="D145" s="6" t="s">
        <v>10</v>
      </c>
      <c r="E145" s="16" t="s">
        <v>10</v>
      </c>
      <c r="F145" s="8">
        <v>69.067723999999998</v>
      </c>
      <c r="G145" s="9">
        <v>3.107481E-3</v>
      </c>
      <c r="H145" s="167"/>
    </row>
    <row r="146" spans="1:8" x14ac:dyDescent="0.2">
      <c r="A146" s="12" t="s">
        <v>10</v>
      </c>
      <c r="B146" s="12" t="s">
        <v>10</v>
      </c>
      <c r="C146" s="4" t="s">
        <v>133</v>
      </c>
      <c r="D146" s="17" t="s">
        <v>10</v>
      </c>
      <c r="E146" s="17" t="s">
        <v>10</v>
      </c>
      <c r="F146" s="10">
        <v>22226.270809900001</v>
      </c>
      <c r="G146" s="11">
        <v>0.99999999500000003</v>
      </c>
      <c r="H146" s="167"/>
    </row>
    <row r="147" spans="1:8" ht="14.1" customHeight="1" x14ac:dyDescent="0.2">
      <c r="A147" s="18" t="s">
        <v>10</v>
      </c>
      <c r="B147" s="18" t="s">
        <v>10</v>
      </c>
      <c r="C147" s="18" t="s">
        <v>10</v>
      </c>
      <c r="D147" s="19" t="s">
        <v>10</v>
      </c>
      <c r="E147" s="19" t="s">
        <v>10</v>
      </c>
      <c r="F147" s="19" t="s">
        <v>10</v>
      </c>
      <c r="G147" s="19" t="s">
        <v>10</v>
      </c>
    </row>
    <row r="148" spans="1:8" ht="14.1" customHeight="1" x14ac:dyDescent="0.2">
      <c r="A148" s="20" t="s">
        <v>10</v>
      </c>
      <c r="B148" s="208" t="s">
        <v>10</v>
      </c>
      <c r="C148" s="208"/>
      <c r="D148" s="208"/>
      <c r="E148" s="208"/>
      <c r="F148" s="208"/>
      <c r="G148" s="22" t="s">
        <v>10</v>
      </c>
    </row>
    <row r="149" spans="1:8" ht="14.1" customHeight="1" x14ac:dyDescent="0.2">
      <c r="A149" s="20" t="s">
        <v>10</v>
      </c>
      <c r="B149" s="208" t="s">
        <v>10</v>
      </c>
      <c r="C149" s="208"/>
      <c r="D149" s="208"/>
      <c r="E149" s="208"/>
      <c r="F149" s="208"/>
      <c r="G149" s="22" t="s">
        <v>10</v>
      </c>
    </row>
    <row r="150" spans="1:8" ht="14.1" customHeight="1" x14ac:dyDescent="0.2">
      <c r="A150" s="20" t="s">
        <v>10</v>
      </c>
      <c r="B150" s="20" t="s">
        <v>10</v>
      </c>
      <c r="C150" s="20" t="s">
        <v>10</v>
      </c>
      <c r="D150" s="22" t="s">
        <v>10</v>
      </c>
      <c r="E150" s="22" t="s">
        <v>10</v>
      </c>
      <c r="F150" s="22" t="s">
        <v>10</v>
      </c>
      <c r="G150" s="22" t="s">
        <v>10</v>
      </c>
    </row>
    <row r="151" spans="1:8" ht="14.1" customHeight="1" x14ac:dyDescent="0.2">
      <c r="A151" s="20" t="s">
        <v>10</v>
      </c>
      <c r="B151" s="206" t="s">
        <v>134</v>
      </c>
      <c r="C151" s="207"/>
      <c r="D151" s="13" t="s">
        <v>10</v>
      </c>
      <c r="E151" s="23" t="s">
        <v>10</v>
      </c>
      <c r="F151" s="22" t="s">
        <v>10</v>
      </c>
      <c r="G151" s="22" t="s">
        <v>10</v>
      </c>
    </row>
    <row r="152" spans="1:8" ht="29.1" customHeight="1" x14ac:dyDescent="0.2">
      <c r="A152" s="20" t="s">
        <v>10</v>
      </c>
      <c r="B152" s="213" t="s">
        <v>135</v>
      </c>
      <c r="C152" s="214"/>
      <c r="D152" s="4" t="s">
        <v>136</v>
      </c>
      <c r="E152" s="23" t="s">
        <v>10</v>
      </c>
      <c r="F152" s="22" t="s">
        <v>10</v>
      </c>
      <c r="G152" s="22" t="s">
        <v>10</v>
      </c>
    </row>
    <row r="153" spans="1:8" ht="17.100000000000001" customHeight="1" x14ac:dyDescent="0.2">
      <c r="A153" s="20" t="s">
        <v>10</v>
      </c>
      <c r="B153" s="213" t="s">
        <v>137</v>
      </c>
      <c r="C153" s="214"/>
      <c r="D153" s="4" t="s">
        <v>136</v>
      </c>
      <c r="E153" s="23" t="s">
        <v>10</v>
      </c>
      <c r="F153" s="22" t="s">
        <v>10</v>
      </c>
      <c r="G153" s="22" t="s">
        <v>10</v>
      </c>
    </row>
    <row r="154" spans="1:8" ht="17.100000000000001" customHeight="1" x14ac:dyDescent="0.2">
      <c r="A154" s="20" t="s">
        <v>10</v>
      </c>
      <c r="B154" s="213" t="s">
        <v>138</v>
      </c>
      <c r="C154" s="214"/>
      <c r="D154" s="13" t="s">
        <v>10</v>
      </c>
      <c r="E154" s="23" t="s">
        <v>10</v>
      </c>
      <c r="F154" s="22" t="s">
        <v>10</v>
      </c>
      <c r="G154" s="22" t="s">
        <v>10</v>
      </c>
    </row>
    <row r="155" spans="1:8" s="20" customFormat="1" ht="17.100000000000001" customHeight="1" x14ac:dyDescent="0.2"/>
    <row r="156" spans="1:8" x14ac:dyDescent="0.2">
      <c r="A156" s="24" t="s">
        <v>10</v>
      </c>
      <c r="B156" s="140" t="s">
        <v>10</v>
      </c>
      <c r="C156" s="140" t="s">
        <v>139</v>
      </c>
      <c r="D156" s="140" t="s">
        <v>140</v>
      </c>
      <c r="E156" s="24" t="s">
        <v>10</v>
      </c>
      <c r="F156" s="24" t="s">
        <v>10</v>
      </c>
      <c r="G156" s="24" t="s">
        <v>10</v>
      </c>
    </row>
    <row r="157" spans="1:8" ht="18" customHeight="1" x14ac:dyDescent="0.2">
      <c r="A157" s="24" t="s">
        <v>10</v>
      </c>
      <c r="B157" s="25" t="s">
        <v>141</v>
      </c>
      <c r="C157" s="25" t="s">
        <v>142</v>
      </c>
      <c r="D157" s="25" t="s">
        <v>143</v>
      </c>
      <c r="E157" s="24" t="s">
        <v>10</v>
      </c>
      <c r="F157" s="24" t="s">
        <v>10</v>
      </c>
      <c r="G157" s="24" t="s">
        <v>10</v>
      </c>
    </row>
    <row r="158" spans="1:8" ht="17.100000000000001" customHeight="1" x14ac:dyDescent="0.2">
      <c r="A158" s="24" t="s">
        <v>10</v>
      </c>
      <c r="B158" s="6" t="s">
        <v>144</v>
      </c>
      <c r="C158" s="26">
        <v>11.1633</v>
      </c>
      <c r="D158" s="26">
        <v>12.267200000000001</v>
      </c>
      <c r="E158" s="24" t="s">
        <v>10</v>
      </c>
      <c r="F158" s="21" t="s">
        <v>10</v>
      </c>
      <c r="G158" s="27" t="s">
        <v>10</v>
      </c>
    </row>
    <row r="159" spans="1:8" ht="17.100000000000001" customHeight="1" x14ac:dyDescent="0.2">
      <c r="A159" s="24" t="s">
        <v>10</v>
      </c>
      <c r="B159" s="6" t="s">
        <v>917</v>
      </c>
      <c r="C159" s="26">
        <v>11.1633</v>
      </c>
      <c r="D159" s="26">
        <v>12.267200000000001</v>
      </c>
      <c r="E159" s="24" t="s">
        <v>10</v>
      </c>
      <c r="F159" s="21" t="s">
        <v>10</v>
      </c>
      <c r="G159" s="27" t="s">
        <v>10</v>
      </c>
    </row>
    <row r="160" spans="1:8" ht="17.100000000000001" customHeight="1" x14ac:dyDescent="0.2">
      <c r="A160" s="24" t="s">
        <v>10</v>
      </c>
      <c r="B160" s="6" t="s">
        <v>145</v>
      </c>
      <c r="C160" s="26">
        <v>10.9039</v>
      </c>
      <c r="D160" s="26">
        <v>11.9777</v>
      </c>
      <c r="E160" s="24" t="s">
        <v>10</v>
      </c>
      <c r="F160" s="21" t="s">
        <v>10</v>
      </c>
      <c r="G160" s="27" t="s">
        <v>10</v>
      </c>
    </row>
    <row r="161" spans="1:7" ht="17.100000000000001" customHeight="1" x14ac:dyDescent="0.2">
      <c r="A161" s="24" t="s">
        <v>10</v>
      </c>
      <c r="B161" s="6" t="s">
        <v>918</v>
      </c>
      <c r="C161" s="26">
        <v>10.9039</v>
      </c>
      <c r="D161" s="26">
        <v>11.9777</v>
      </c>
      <c r="E161" s="24" t="s">
        <v>10</v>
      </c>
      <c r="F161" s="21" t="s">
        <v>10</v>
      </c>
      <c r="G161" s="27" t="s">
        <v>10</v>
      </c>
    </row>
    <row r="162" spans="1:7" ht="14.1" customHeight="1" x14ac:dyDescent="0.2">
      <c r="A162" s="24" t="s">
        <v>10</v>
      </c>
      <c r="B162" s="24" t="s">
        <v>10</v>
      </c>
      <c r="C162" s="24" t="s">
        <v>10</v>
      </c>
      <c r="D162" s="24" t="s">
        <v>10</v>
      </c>
      <c r="E162" s="24" t="s">
        <v>10</v>
      </c>
      <c r="F162" s="24" t="s">
        <v>10</v>
      </c>
      <c r="G162" s="24" t="s">
        <v>10</v>
      </c>
    </row>
    <row r="163" spans="1:7" ht="17.100000000000001" customHeight="1" x14ac:dyDescent="0.2">
      <c r="A163" s="24" t="s">
        <v>10</v>
      </c>
      <c r="B163" s="213" t="s">
        <v>999</v>
      </c>
      <c r="C163" s="214"/>
      <c r="D163" s="4" t="s">
        <v>136</v>
      </c>
      <c r="E163" s="24" t="s">
        <v>10</v>
      </c>
      <c r="F163" s="24" t="s">
        <v>10</v>
      </c>
      <c r="G163" s="24" t="s">
        <v>10</v>
      </c>
    </row>
    <row r="164" spans="1:7" ht="18" customHeight="1" x14ac:dyDescent="0.2">
      <c r="A164" s="24" t="s">
        <v>10</v>
      </c>
      <c r="B164" s="28"/>
      <c r="C164" s="28"/>
      <c r="D164" s="29" t="s">
        <v>10</v>
      </c>
      <c r="E164" s="24" t="s">
        <v>10</v>
      </c>
      <c r="F164" s="24" t="s">
        <v>10</v>
      </c>
      <c r="G164" s="24" t="s">
        <v>10</v>
      </c>
    </row>
    <row r="165" spans="1:7" ht="18" customHeight="1" x14ac:dyDescent="0.2">
      <c r="A165" s="172"/>
      <c r="B165" s="217" t="s">
        <v>919</v>
      </c>
      <c r="C165" s="217"/>
      <c r="D165" s="217"/>
      <c r="E165" s="217"/>
      <c r="F165" s="217"/>
      <c r="G165" s="172"/>
    </row>
    <row r="166" spans="1:7" ht="14.1" customHeight="1" x14ac:dyDescent="0.2">
      <c r="A166" s="24" t="s">
        <v>10</v>
      </c>
      <c r="B166" s="21" t="s">
        <v>10</v>
      </c>
      <c r="C166" s="21" t="s">
        <v>10</v>
      </c>
      <c r="D166" s="24" t="s">
        <v>10</v>
      </c>
      <c r="E166" s="24" t="s">
        <v>10</v>
      </c>
      <c r="F166" s="24" t="s">
        <v>10</v>
      </c>
      <c r="G166" s="24" t="s">
        <v>10</v>
      </c>
    </row>
    <row r="167" spans="1:7" ht="29.1" customHeight="1" x14ac:dyDescent="0.2">
      <c r="A167" s="24" t="s">
        <v>10</v>
      </c>
      <c r="B167" s="213" t="s">
        <v>146</v>
      </c>
      <c r="C167" s="214"/>
      <c r="D167" s="4" t="s">
        <v>136</v>
      </c>
      <c r="E167" s="24" t="s">
        <v>10</v>
      </c>
      <c r="F167" s="24" t="s">
        <v>10</v>
      </c>
      <c r="G167" s="24" t="s">
        <v>10</v>
      </c>
    </row>
    <row r="168" spans="1:7" ht="29.1" customHeight="1" x14ac:dyDescent="0.2">
      <c r="A168" s="24" t="s">
        <v>10</v>
      </c>
      <c r="B168" s="213" t="s">
        <v>147</v>
      </c>
      <c r="C168" s="214"/>
      <c r="D168" s="4" t="s">
        <v>136</v>
      </c>
      <c r="E168" s="24" t="s">
        <v>10</v>
      </c>
      <c r="F168" s="24" t="s">
        <v>10</v>
      </c>
      <c r="G168" s="24" t="s">
        <v>10</v>
      </c>
    </row>
    <row r="169" spans="1:7" ht="17.100000000000001" customHeight="1" x14ac:dyDescent="0.2">
      <c r="A169" s="24" t="s">
        <v>10</v>
      </c>
      <c r="B169" s="213" t="s">
        <v>148</v>
      </c>
      <c r="C169" s="214"/>
      <c r="D169" s="30">
        <v>0.44224228333776372</v>
      </c>
      <c r="E169" s="24" t="s">
        <v>10</v>
      </c>
      <c r="F169" s="21" t="s">
        <v>10</v>
      </c>
      <c r="G169" s="27" t="s">
        <v>10</v>
      </c>
    </row>
    <row r="170" spans="1:7" ht="17.100000000000001" customHeight="1" x14ac:dyDescent="0.2">
      <c r="A170" s="24" t="s">
        <v>10</v>
      </c>
      <c r="B170" s="213" t="s">
        <v>149</v>
      </c>
      <c r="C170" s="214"/>
      <c r="D170" s="4" t="s">
        <v>136</v>
      </c>
      <c r="E170" s="24" t="s">
        <v>10</v>
      </c>
      <c r="F170" s="24" t="s">
        <v>10</v>
      </c>
      <c r="G170" s="24" t="s">
        <v>10</v>
      </c>
    </row>
  </sheetData>
  <mergeCells count="15">
    <mergeCell ref="B169:C169"/>
    <mergeCell ref="B170:C170"/>
    <mergeCell ref="B152:C152"/>
    <mergeCell ref="B153:C153"/>
    <mergeCell ref="B154:C154"/>
    <mergeCell ref="B163:C163"/>
    <mergeCell ref="B167:C167"/>
    <mergeCell ref="B168:C168"/>
    <mergeCell ref="B165:F165"/>
    <mergeCell ref="B151:C151"/>
    <mergeCell ref="B148:F148"/>
    <mergeCell ref="B149:F14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70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465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74035</v>
      </c>
      <c r="F7" s="8">
        <v>903.41208749999998</v>
      </c>
      <c r="G7" s="9">
        <v>3.7520382999999997E-2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25278</v>
      </c>
      <c r="F8" s="8">
        <v>815.16494399999999</v>
      </c>
      <c r="G8" s="9">
        <v>3.3855314999999997E-2</v>
      </c>
      <c r="H8" s="167"/>
    </row>
    <row r="9" spans="1:8" ht="25.5" x14ac:dyDescent="0.2">
      <c r="A9" s="5">
        <v>3</v>
      </c>
      <c r="B9" s="6" t="s">
        <v>33</v>
      </c>
      <c r="C9" s="6" t="s">
        <v>34</v>
      </c>
      <c r="D9" s="6" t="s">
        <v>970</v>
      </c>
      <c r="E9" s="7">
        <v>20510</v>
      </c>
      <c r="F9" s="8">
        <v>584.42219499999999</v>
      </c>
      <c r="G9" s="9">
        <v>2.4272140000000001E-2</v>
      </c>
      <c r="H9" s="167"/>
    </row>
    <row r="10" spans="1:8" x14ac:dyDescent="0.2">
      <c r="A10" s="5">
        <v>4</v>
      </c>
      <c r="B10" s="6" t="s">
        <v>156</v>
      </c>
      <c r="C10" s="6" t="s">
        <v>157</v>
      </c>
      <c r="D10" s="6" t="s">
        <v>158</v>
      </c>
      <c r="E10" s="7">
        <v>611133</v>
      </c>
      <c r="F10" s="8">
        <v>561.93679350000002</v>
      </c>
      <c r="G10" s="9">
        <v>2.3338279E-2</v>
      </c>
      <c r="H10" s="167"/>
    </row>
    <row r="11" spans="1:8" x14ac:dyDescent="0.2">
      <c r="A11" s="5">
        <v>5</v>
      </c>
      <c r="B11" s="6" t="s">
        <v>46</v>
      </c>
      <c r="C11" s="6" t="s">
        <v>47</v>
      </c>
      <c r="D11" s="6" t="s">
        <v>29</v>
      </c>
      <c r="E11" s="7">
        <v>55216</v>
      </c>
      <c r="F11" s="8">
        <v>539.267064</v>
      </c>
      <c r="G11" s="9">
        <v>2.2396763E-2</v>
      </c>
      <c r="H11" s="167"/>
    </row>
    <row r="12" spans="1:8" ht="25.5" x14ac:dyDescent="0.2">
      <c r="A12" s="5">
        <v>6</v>
      </c>
      <c r="B12" s="6" t="s">
        <v>161</v>
      </c>
      <c r="C12" s="6" t="s">
        <v>162</v>
      </c>
      <c r="D12" s="6" t="s">
        <v>970</v>
      </c>
      <c r="E12" s="7">
        <v>293868</v>
      </c>
      <c r="F12" s="8">
        <v>535.57443000000001</v>
      </c>
      <c r="G12" s="9">
        <v>2.2243400999999999E-2</v>
      </c>
      <c r="H12" s="167"/>
    </row>
    <row r="13" spans="1:8" x14ac:dyDescent="0.2">
      <c r="A13" s="5">
        <v>7</v>
      </c>
      <c r="B13" s="6" t="s">
        <v>447</v>
      </c>
      <c r="C13" s="6" t="s">
        <v>448</v>
      </c>
      <c r="D13" s="6" t="s">
        <v>75</v>
      </c>
      <c r="E13" s="7">
        <v>175415</v>
      </c>
      <c r="F13" s="8">
        <v>534.31408999999996</v>
      </c>
      <c r="G13" s="9">
        <v>2.2191057E-2</v>
      </c>
      <c r="H13" s="167"/>
    </row>
    <row r="14" spans="1:8" x14ac:dyDescent="0.2">
      <c r="A14" s="5">
        <v>8</v>
      </c>
      <c r="B14" s="6" t="s">
        <v>159</v>
      </c>
      <c r="C14" s="6" t="s">
        <v>160</v>
      </c>
      <c r="D14" s="6" t="s">
        <v>29</v>
      </c>
      <c r="E14" s="7">
        <v>84041</v>
      </c>
      <c r="F14" s="8">
        <v>517.94468300000005</v>
      </c>
      <c r="G14" s="9">
        <v>2.1511204999999999E-2</v>
      </c>
      <c r="H14" s="167"/>
    </row>
    <row r="15" spans="1:8" x14ac:dyDescent="0.2">
      <c r="A15" s="5">
        <v>9</v>
      </c>
      <c r="B15" s="6" t="s">
        <v>165</v>
      </c>
      <c r="C15" s="6" t="s">
        <v>166</v>
      </c>
      <c r="D15" s="6" t="s">
        <v>167</v>
      </c>
      <c r="E15" s="7">
        <v>209761</v>
      </c>
      <c r="F15" s="8">
        <v>510.34851300000003</v>
      </c>
      <c r="G15" s="9">
        <v>2.1195722E-2</v>
      </c>
      <c r="H15" s="167"/>
    </row>
    <row r="16" spans="1:8" x14ac:dyDescent="0.2">
      <c r="A16" s="5">
        <v>10</v>
      </c>
      <c r="B16" s="6" t="s">
        <v>168</v>
      </c>
      <c r="C16" s="6" t="s">
        <v>169</v>
      </c>
      <c r="D16" s="6" t="s">
        <v>75</v>
      </c>
      <c r="E16" s="7">
        <v>126176</v>
      </c>
      <c r="F16" s="8">
        <v>502.054304</v>
      </c>
      <c r="G16" s="9">
        <v>2.0851247999999999E-2</v>
      </c>
      <c r="H16" s="167"/>
    </row>
    <row r="17" spans="1:8" x14ac:dyDescent="0.2">
      <c r="A17" s="5">
        <v>11</v>
      </c>
      <c r="B17" s="6" t="s">
        <v>290</v>
      </c>
      <c r="C17" s="6" t="s">
        <v>291</v>
      </c>
      <c r="D17" s="6" t="s">
        <v>29</v>
      </c>
      <c r="E17" s="7">
        <v>98456</v>
      </c>
      <c r="F17" s="8">
        <v>471.45655599999998</v>
      </c>
      <c r="G17" s="9">
        <v>1.9580467000000001E-2</v>
      </c>
      <c r="H17" s="167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8654</v>
      </c>
      <c r="F18" s="8">
        <v>459.74374999999998</v>
      </c>
      <c r="G18" s="9">
        <v>1.9094012E-2</v>
      </c>
      <c r="H18" s="167"/>
    </row>
    <row r="19" spans="1:8" ht="25.5" x14ac:dyDescent="0.2">
      <c r="A19" s="5">
        <v>13</v>
      </c>
      <c r="B19" s="6" t="s">
        <v>172</v>
      </c>
      <c r="C19" s="6" t="s">
        <v>173</v>
      </c>
      <c r="D19" s="6" t="s">
        <v>970</v>
      </c>
      <c r="E19" s="7">
        <v>174815</v>
      </c>
      <c r="F19" s="8">
        <v>439.48491000000001</v>
      </c>
      <c r="G19" s="9">
        <v>1.8252625000000001E-2</v>
      </c>
      <c r="H19" s="167"/>
    </row>
    <row r="20" spans="1:8" x14ac:dyDescent="0.2">
      <c r="A20" s="5">
        <v>14</v>
      </c>
      <c r="B20" s="6" t="s">
        <v>311</v>
      </c>
      <c r="C20" s="6" t="s">
        <v>312</v>
      </c>
      <c r="D20" s="6" t="s">
        <v>185</v>
      </c>
      <c r="E20" s="7">
        <v>12356</v>
      </c>
      <c r="F20" s="8">
        <v>437.51360399999999</v>
      </c>
      <c r="G20" s="9">
        <v>1.8170753000000001E-2</v>
      </c>
      <c r="H20" s="167"/>
    </row>
    <row r="21" spans="1:8" x14ac:dyDescent="0.2">
      <c r="A21" s="5">
        <v>15</v>
      </c>
      <c r="B21" s="6" t="s">
        <v>181</v>
      </c>
      <c r="C21" s="6" t="s">
        <v>182</v>
      </c>
      <c r="D21" s="6" t="s">
        <v>29</v>
      </c>
      <c r="E21" s="7">
        <v>90886</v>
      </c>
      <c r="F21" s="8">
        <v>434.16242199999999</v>
      </c>
      <c r="G21" s="9">
        <v>1.8031571999999999E-2</v>
      </c>
      <c r="H21" s="167"/>
    </row>
    <row r="22" spans="1:8" x14ac:dyDescent="0.2">
      <c r="A22" s="5">
        <v>16</v>
      </c>
      <c r="B22" s="6" t="s">
        <v>183</v>
      </c>
      <c r="C22" s="6" t="s">
        <v>184</v>
      </c>
      <c r="D22" s="6" t="s">
        <v>185</v>
      </c>
      <c r="E22" s="7">
        <v>34302</v>
      </c>
      <c r="F22" s="8">
        <v>406.92462599999999</v>
      </c>
      <c r="G22" s="9">
        <v>1.6900335999999998E-2</v>
      </c>
      <c r="H22" s="167"/>
    </row>
    <row r="23" spans="1:8" x14ac:dyDescent="0.2">
      <c r="A23" s="5">
        <v>17</v>
      </c>
      <c r="B23" s="6" t="s">
        <v>188</v>
      </c>
      <c r="C23" s="6" t="s">
        <v>189</v>
      </c>
      <c r="D23" s="6" t="s">
        <v>167</v>
      </c>
      <c r="E23" s="7">
        <v>15854</v>
      </c>
      <c r="F23" s="8">
        <v>403.15929299999999</v>
      </c>
      <c r="G23" s="9">
        <v>1.6743955000000001E-2</v>
      </c>
      <c r="H23" s="167"/>
    </row>
    <row r="24" spans="1:8" x14ac:dyDescent="0.2">
      <c r="A24" s="5">
        <v>18</v>
      </c>
      <c r="B24" s="6" t="s">
        <v>176</v>
      </c>
      <c r="C24" s="6" t="s">
        <v>177</v>
      </c>
      <c r="D24" s="6" t="s">
        <v>178</v>
      </c>
      <c r="E24" s="7">
        <v>36097</v>
      </c>
      <c r="F24" s="8">
        <v>384.12622549999998</v>
      </c>
      <c r="G24" s="9">
        <v>1.5953476000000001E-2</v>
      </c>
      <c r="H24" s="167"/>
    </row>
    <row r="25" spans="1:8" x14ac:dyDescent="0.2">
      <c r="A25" s="5">
        <v>19</v>
      </c>
      <c r="B25" s="6" t="s">
        <v>190</v>
      </c>
      <c r="C25" s="6" t="s">
        <v>191</v>
      </c>
      <c r="D25" s="6" t="s">
        <v>192</v>
      </c>
      <c r="E25" s="7">
        <v>96348</v>
      </c>
      <c r="F25" s="8">
        <v>378.743988</v>
      </c>
      <c r="G25" s="9">
        <v>1.5729942E-2</v>
      </c>
      <c r="H25" s="167"/>
    </row>
    <row r="26" spans="1:8" x14ac:dyDescent="0.2">
      <c r="A26" s="5">
        <v>20</v>
      </c>
      <c r="B26" s="6" t="s">
        <v>451</v>
      </c>
      <c r="C26" s="6" t="s">
        <v>452</v>
      </c>
      <c r="D26" s="6" t="s">
        <v>67</v>
      </c>
      <c r="E26" s="7">
        <v>75234</v>
      </c>
      <c r="F26" s="8">
        <v>357.47435100000001</v>
      </c>
      <c r="G26" s="9">
        <v>1.4846574E-2</v>
      </c>
      <c r="H26" s="167"/>
    </row>
    <row r="27" spans="1:8" x14ac:dyDescent="0.2">
      <c r="A27" s="5">
        <v>21</v>
      </c>
      <c r="B27" s="6" t="s">
        <v>193</v>
      </c>
      <c r="C27" s="6" t="s">
        <v>194</v>
      </c>
      <c r="D27" s="6" t="s">
        <v>178</v>
      </c>
      <c r="E27" s="7">
        <v>194334</v>
      </c>
      <c r="F27" s="8">
        <v>355.24255199999999</v>
      </c>
      <c r="G27" s="9">
        <v>1.4753883000000001E-2</v>
      </c>
      <c r="H27" s="167"/>
    </row>
    <row r="28" spans="1:8" x14ac:dyDescent="0.2">
      <c r="A28" s="5">
        <v>22</v>
      </c>
      <c r="B28" s="6" t="s">
        <v>198</v>
      </c>
      <c r="C28" s="6" t="s">
        <v>199</v>
      </c>
      <c r="D28" s="6" t="s">
        <v>167</v>
      </c>
      <c r="E28" s="7">
        <v>42130</v>
      </c>
      <c r="F28" s="8">
        <v>347.08800500000001</v>
      </c>
      <c r="G28" s="9">
        <v>1.4415209999999999E-2</v>
      </c>
      <c r="H28" s="167"/>
    </row>
    <row r="29" spans="1:8" x14ac:dyDescent="0.2">
      <c r="A29" s="5">
        <v>23</v>
      </c>
      <c r="B29" s="6" t="s">
        <v>174</v>
      </c>
      <c r="C29" s="6" t="s">
        <v>175</v>
      </c>
      <c r="D29" s="6" t="s">
        <v>50</v>
      </c>
      <c r="E29" s="7">
        <v>81720</v>
      </c>
      <c r="F29" s="8">
        <v>346.2885</v>
      </c>
      <c r="G29" s="9">
        <v>1.4382005E-2</v>
      </c>
      <c r="H29" s="167"/>
    </row>
    <row r="30" spans="1:8" x14ac:dyDescent="0.2">
      <c r="A30" s="5">
        <v>24</v>
      </c>
      <c r="B30" s="6" t="s">
        <v>30</v>
      </c>
      <c r="C30" s="6" t="s">
        <v>31</v>
      </c>
      <c r="D30" s="6" t="s">
        <v>32</v>
      </c>
      <c r="E30" s="7">
        <v>125724</v>
      </c>
      <c r="F30" s="8">
        <v>325.562298</v>
      </c>
      <c r="G30" s="9">
        <v>1.3521207E-2</v>
      </c>
      <c r="H30" s="167"/>
    </row>
    <row r="31" spans="1:8" ht="25.5" x14ac:dyDescent="0.2">
      <c r="A31" s="5">
        <v>25</v>
      </c>
      <c r="B31" s="6" t="s">
        <v>204</v>
      </c>
      <c r="C31" s="6" t="s">
        <v>205</v>
      </c>
      <c r="D31" s="6" t="s">
        <v>37</v>
      </c>
      <c r="E31" s="7">
        <v>378656</v>
      </c>
      <c r="F31" s="8">
        <v>324.12953599999997</v>
      </c>
      <c r="G31" s="9">
        <v>1.3461702000000001E-2</v>
      </c>
      <c r="H31" s="167"/>
    </row>
    <row r="32" spans="1:8" ht="25.5" x14ac:dyDescent="0.2">
      <c r="A32" s="5">
        <v>26</v>
      </c>
      <c r="B32" s="6" t="s">
        <v>449</v>
      </c>
      <c r="C32" s="6" t="s">
        <v>450</v>
      </c>
      <c r="D32" s="6" t="s">
        <v>37</v>
      </c>
      <c r="E32" s="7">
        <v>26488</v>
      </c>
      <c r="F32" s="8">
        <v>321.02131600000001</v>
      </c>
      <c r="G32" s="9">
        <v>1.3332612000000001E-2</v>
      </c>
      <c r="H32" s="167"/>
    </row>
    <row r="33" spans="1:8" x14ac:dyDescent="0.2">
      <c r="A33" s="5">
        <v>27</v>
      </c>
      <c r="B33" s="6" t="s">
        <v>163</v>
      </c>
      <c r="C33" s="6" t="s">
        <v>164</v>
      </c>
      <c r="D33" s="6" t="s">
        <v>167</v>
      </c>
      <c r="E33" s="7">
        <v>36870</v>
      </c>
      <c r="F33" s="8">
        <v>319.86568499999998</v>
      </c>
      <c r="G33" s="9">
        <v>1.3284616000000001E-2</v>
      </c>
      <c r="H33" s="167"/>
    </row>
    <row r="34" spans="1:8" x14ac:dyDescent="0.2">
      <c r="A34" s="5">
        <v>28</v>
      </c>
      <c r="B34" s="6" t="s">
        <v>218</v>
      </c>
      <c r="C34" s="6" t="s">
        <v>219</v>
      </c>
      <c r="D34" s="6" t="s">
        <v>973</v>
      </c>
      <c r="E34" s="7">
        <v>46000</v>
      </c>
      <c r="F34" s="8">
        <v>314.226</v>
      </c>
      <c r="G34" s="9">
        <v>1.305039E-2</v>
      </c>
      <c r="H34" s="167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29</v>
      </c>
      <c r="E35" s="7">
        <v>23281</v>
      </c>
      <c r="F35" s="8">
        <v>313.58342950000002</v>
      </c>
      <c r="G35" s="9">
        <v>1.3023702999999999E-2</v>
      </c>
      <c r="H35" s="167"/>
    </row>
    <row r="36" spans="1:8" x14ac:dyDescent="0.2">
      <c r="A36" s="5">
        <v>30</v>
      </c>
      <c r="B36" s="6" t="s">
        <v>214</v>
      </c>
      <c r="C36" s="6" t="s">
        <v>215</v>
      </c>
      <c r="D36" s="6" t="s">
        <v>976</v>
      </c>
      <c r="E36" s="7">
        <v>100751</v>
      </c>
      <c r="F36" s="8">
        <v>312.98298149999999</v>
      </c>
      <c r="G36" s="9">
        <v>1.2998765000000001E-2</v>
      </c>
      <c r="H36" s="167"/>
    </row>
    <row r="37" spans="1:8" x14ac:dyDescent="0.2">
      <c r="A37" s="5">
        <v>31</v>
      </c>
      <c r="B37" s="6" t="s">
        <v>206</v>
      </c>
      <c r="C37" s="6" t="s">
        <v>207</v>
      </c>
      <c r="D37" s="6" t="s">
        <v>32</v>
      </c>
      <c r="E37" s="7">
        <v>332221</v>
      </c>
      <c r="F37" s="8">
        <v>312.28773999999999</v>
      </c>
      <c r="G37" s="9">
        <v>1.296989E-2</v>
      </c>
      <c r="H37" s="167"/>
    </row>
    <row r="38" spans="1:8" x14ac:dyDescent="0.2">
      <c r="A38" s="5">
        <v>32</v>
      </c>
      <c r="B38" s="6" t="s">
        <v>220</v>
      </c>
      <c r="C38" s="6" t="s">
        <v>221</v>
      </c>
      <c r="D38" s="6" t="s">
        <v>158</v>
      </c>
      <c r="E38" s="7">
        <v>539678</v>
      </c>
      <c r="F38" s="8">
        <v>307.34662100000003</v>
      </c>
      <c r="G38" s="9">
        <v>1.2764676000000001E-2</v>
      </c>
      <c r="H38" s="167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158</v>
      </c>
      <c r="E39" s="7">
        <v>54004</v>
      </c>
      <c r="F39" s="8">
        <v>307.20175399999999</v>
      </c>
      <c r="G39" s="9">
        <v>1.275866E-2</v>
      </c>
      <c r="H39" s="167"/>
    </row>
    <row r="40" spans="1:8" x14ac:dyDescent="0.2">
      <c r="A40" s="5">
        <v>34</v>
      </c>
      <c r="B40" s="6" t="s">
        <v>455</v>
      </c>
      <c r="C40" s="6" t="s">
        <v>456</v>
      </c>
      <c r="D40" s="6" t="s">
        <v>75</v>
      </c>
      <c r="E40" s="7">
        <v>37170</v>
      </c>
      <c r="F40" s="8">
        <v>306.31797</v>
      </c>
      <c r="G40" s="9">
        <v>1.2721955E-2</v>
      </c>
      <c r="H40" s="167"/>
    </row>
    <row r="41" spans="1:8" x14ac:dyDescent="0.2">
      <c r="A41" s="5">
        <v>35</v>
      </c>
      <c r="B41" s="6" t="s">
        <v>154</v>
      </c>
      <c r="C41" s="6" t="s">
        <v>155</v>
      </c>
      <c r="D41" s="6" t="s">
        <v>153</v>
      </c>
      <c r="E41" s="7">
        <v>24941</v>
      </c>
      <c r="F41" s="8">
        <v>305.96371749999997</v>
      </c>
      <c r="G41" s="9">
        <v>1.2707242000000001E-2</v>
      </c>
      <c r="H41" s="167"/>
    </row>
    <row r="42" spans="1:8" x14ac:dyDescent="0.2">
      <c r="A42" s="5">
        <v>36</v>
      </c>
      <c r="B42" s="6" t="s">
        <v>453</v>
      </c>
      <c r="C42" s="6" t="s">
        <v>454</v>
      </c>
      <c r="D42" s="6" t="s">
        <v>158</v>
      </c>
      <c r="E42" s="7">
        <v>95977</v>
      </c>
      <c r="F42" s="8">
        <v>305.87869899999998</v>
      </c>
      <c r="G42" s="9">
        <v>1.2703710999999999E-2</v>
      </c>
      <c r="H42" s="167"/>
    </row>
    <row r="43" spans="1:8" x14ac:dyDescent="0.2">
      <c r="A43" s="5">
        <v>37</v>
      </c>
      <c r="B43" s="6" t="s">
        <v>216</v>
      </c>
      <c r="C43" s="6" t="s">
        <v>217</v>
      </c>
      <c r="D43" s="6" t="s">
        <v>192</v>
      </c>
      <c r="E43" s="7">
        <v>58282</v>
      </c>
      <c r="F43" s="8">
        <v>305.25197500000002</v>
      </c>
      <c r="G43" s="9">
        <v>1.2677681999999999E-2</v>
      </c>
      <c r="H43" s="167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971</v>
      </c>
      <c r="E44" s="7">
        <v>90127</v>
      </c>
      <c r="F44" s="8">
        <v>295.61655999999999</v>
      </c>
      <c r="G44" s="9">
        <v>1.2277504999999999E-2</v>
      </c>
      <c r="H44" s="167"/>
    </row>
    <row r="45" spans="1:8" ht="25.5" x14ac:dyDescent="0.2">
      <c r="A45" s="5">
        <v>39</v>
      </c>
      <c r="B45" s="6" t="s">
        <v>228</v>
      </c>
      <c r="C45" s="6" t="s">
        <v>229</v>
      </c>
      <c r="D45" s="6" t="s">
        <v>78</v>
      </c>
      <c r="E45" s="7">
        <v>86680</v>
      </c>
      <c r="F45" s="8">
        <v>294.40861999999998</v>
      </c>
      <c r="G45" s="9">
        <v>1.2227337E-2</v>
      </c>
      <c r="H45" s="167"/>
    </row>
    <row r="46" spans="1:8" x14ac:dyDescent="0.2">
      <c r="A46" s="5">
        <v>40</v>
      </c>
      <c r="B46" s="6" t="s">
        <v>202</v>
      </c>
      <c r="C46" s="6" t="s">
        <v>203</v>
      </c>
      <c r="D46" s="6" t="s">
        <v>57</v>
      </c>
      <c r="E46" s="7">
        <v>27146</v>
      </c>
      <c r="F46" s="8">
        <v>292.36241999999999</v>
      </c>
      <c r="G46" s="9">
        <v>1.2142355000000001E-2</v>
      </c>
      <c r="H46" s="167"/>
    </row>
    <row r="47" spans="1:8" x14ac:dyDescent="0.2">
      <c r="A47" s="5">
        <v>41</v>
      </c>
      <c r="B47" s="6" t="s">
        <v>44</v>
      </c>
      <c r="C47" s="6" t="s">
        <v>45</v>
      </c>
      <c r="D47" s="6" t="s">
        <v>29</v>
      </c>
      <c r="E47" s="7">
        <v>15903</v>
      </c>
      <c r="F47" s="8">
        <v>292.10630400000002</v>
      </c>
      <c r="G47" s="9">
        <v>1.2131718E-2</v>
      </c>
      <c r="H47" s="167"/>
    </row>
    <row r="48" spans="1:8" x14ac:dyDescent="0.2">
      <c r="A48" s="5">
        <v>42</v>
      </c>
      <c r="B48" s="6" t="s">
        <v>457</v>
      </c>
      <c r="C48" s="6" t="s">
        <v>458</v>
      </c>
      <c r="D48" s="6" t="s">
        <v>247</v>
      </c>
      <c r="E48" s="7">
        <v>50258</v>
      </c>
      <c r="F48" s="8">
        <v>276.89645100000001</v>
      </c>
      <c r="G48" s="9">
        <v>1.1500023999999999E-2</v>
      </c>
      <c r="H48" s="167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75</v>
      </c>
      <c r="E49" s="7">
        <v>45220</v>
      </c>
      <c r="F49" s="8">
        <v>272.94792000000001</v>
      </c>
      <c r="G49" s="9">
        <v>1.1336034E-2</v>
      </c>
      <c r="H49" s="167"/>
    </row>
    <row r="50" spans="1:8" x14ac:dyDescent="0.2">
      <c r="A50" s="5">
        <v>44</v>
      </c>
      <c r="B50" s="6" t="s">
        <v>226</v>
      </c>
      <c r="C50" s="6" t="s">
        <v>227</v>
      </c>
      <c r="D50" s="6" t="s">
        <v>32</v>
      </c>
      <c r="E50" s="7">
        <v>34149</v>
      </c>
      <c r="F50" s="8">
        <v>270.18688800000001</v>
      </c>
      <c r="G50" s="9">
        <v>1.1221363999999999E-2</v>
      </c>
      <c r="H50" s="167"/>
    </row>
    <row r="51" spans="1:8" x14ac:dyDescent="0.2">
      <c r="A51" s="5">
        <v>45</v>
      </c>
      <c r="B51" s="6" t="s">
        <v>286</v>
      </c>
      <c r="C51" s="6" t="s">
        <v>287</v>
      </c>
      <c r="D51" s="6" t="s">
        <v>29</v>
      </c>
      <c r="E51" s="7">
        <v>26528</v>
      </c>
      <c r="F51" s="8">
        <v>269.13982399999998</v>
      </c>
      <c r="G51" s="9">
        <v>1.1177876999999999E-2</v>
      </c>
      <c r="H51" s="167"/>
    </row>
    <row r="52" spans="1:8" x14ac:dyDescent="0.2">
      <c r="A52" s="5">
        <v>46</v>
      </c>
      <c r="B52" s="6" t="s">
        <v>232</v>
      </c>
      <c r="C52" s="6" t="s">
        <v>233</v>
      </c>
      <c r="D52" s="6" t="s">
        <v>185</v>
      </c>
      <c r="E52" s="7">
        <v>73821</v>
      </c>
      <c r="F52" s="8">
        <v>265.31267400000002</v>
      </c>
      <c r="G52" s="9">
        <v>1.1018928000000001E-2</v>
      </c>
      <c r="H52" s="167"/>
    </row>
    <row r="53" spans="1:8" x14ac:dyDescent="0.2">
      <c r="A53" s="5">
        <v>47</v>
      </c>
      <c r="B53" s="6" t="s">
        <v>234</v>
      </c>
      <c r="C53" s="6" t="s">
        <v>235</v>
      </c>
      <c r="D53" s="6" t="s">
        <v>29</v>
      </c>
      <c r="E53" s="7">
        <v>218442</v>
      </c>
      <c r="F53" s="8">
        <v>254.92181400000001</v>
      </c>
      <c r="G53" s="9">
        <v>1.0587377E-2</v>
      </c>
      <c r="H53" s="167"/>
    </row>
    <row r="54" spans="1:8" x14ac:dyDescent="0.2">
      <c r="A54" s="5">
        <v>48</v>
      </c>
      <c r="B54" s="6" t="s">
        <v>238</v>
      </c>
      <c r="C54" s="6" t="s">
        <v>239</v>
      </c>
      <c r="D54" s="6" t="s">
        <v>240</v>
      </c>
      <c r="E54" s="7">
        <v>30195</v>
      </c>
      <c r="F54" s="8">
        <v>246.11944500000001</v>
      </c>
      <c r="G54" s="9">
        <v>1.0221798000000001E-2</v>
      </c>
      <c r="H54" s="167"/>
    </row>
    <row r="55" spans="1:8" ht="25.5" x14ac:dyDescent="0.2">
      <c r="A55" s="5">
        <v>49</v>
      </c>
      <c r="B55" s="6" t="s">
        <v>241</v>
      </c>
      <c r="C55" s="6" t="s">
        <v>242</v>
      </c>
      <c r="D55" s="6" t="s">
        <v>153</v>
      </c>
      <c r="E55" s="7">
        <v>65333</v>
      </c>
      <c r="F55" s="8">
        <v>245.5540805</v>
      </c>
      <c r="G55" s="9">
        <v>1.0198317E-2</v>
      </c>
      <c r="H55" s="167"/>
    </row>
    <row r="56" spans="1:8" ht="25.5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68454</v>
      </c>
      <c r="F56" s="8">
        <v>242.66943000000001</v>
      </c>
      <c r="G56" s="9">
        <v>1.0078512E-2</v>
      </c>
      <c r="H56" s="167"/>
    </row>
    <row r="57" spans="1:8" x14ac:dyDescent="0.2">
      <c r="A57" s="5">
        <v>51</v>
      </c>
      <c r="B57" s="6" t="s">
        <v>459</v>
      </c>
      <c r="C57" s="6" t="s">
        <v>460</v>
      </c>
      <c r="D57" s="6" t="s">
        <v>29</v>
      </c>
      <c r="E57" s="7">
        <v>40294</v>
      </c>
      <c r="F57" s="8">
        <v>241.17973699999999</v>
      </c>
      <c r="G57" s="9">
        <v>1.0016643E-2</v>
      </c>
      <c r="H57" s="167"/>
    </row>
    <row r="58" spans="1:8" x14ac:dyDescent="0.2">
      <c r="A58" s="5">
        <v>52</v>
      </c>
      <c r="B58" s="6" t="s">
        <v>248</v>
      </c>
      <c r="C58" s="6" t="s">
        <v>249</v>
      </c>
      <c r="D58" s="6" t="s">
        <v>192</v>
      </c>
      <c r="E58" s="7">
        <v>16433</v>
      </c>
      <c r="F58" s="8">
        <v>238.409964</v>
      </c>
      <c r="G58" s="9">
        <v>9.9016090000000005E-3</v>
      </c>
      <c r="H58" s="167"/>
    </row>
    <row r="59" spans="1:8" x14ac:dyDescent="0.2">
      <c r="A59" s="5">
        <v>53</v>
      </c>
      <c r="B59" s="6" t="s">
        <v>195</v>
      </c>
      <c r="C59" s="6" t="s">
        <v>196</v>
      </c>
      <c r="D59" s="6" t="s">
        <v>197</v>
      </c>
      <c r="E59" s="7">
        <v>31437</v>
      </c>
      <c r="F59" s="8">
        <v>237.49081649999999</v>
      </c>
      <c r="G59" s="9">
        <v>9.8634350000000003E-3</v>
      </c>
      <c r="H59" s="167"/>
    </row>
    <row r="60" spans="1:8" x14ac:dyDescent="0.2">
      <c r="A60" s="5">
        <v>54</v>
      </c>
      <c r="B60" s="6" t="s">
        <v>252</v>
      </c>
      <c r="C60" s="6" t="s">
        <v>253</v>
      </c>
      <c r="D60" s="6" t="s">
        <v>158</v>
      </c>
      <c r="E60" s="7">
        <v>42740</v>
      </c>
      <c r="F60" s="8">
        <v>234.38615999999999</v>
      </c>
      <c r="G60" s="9">
        <v>9.7344930000000003E-3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48094</v>
      </c>
      <c r="F61" s="8">
        <v>231.86117400000001</v>
      </c>
      <c r="G61" s="9">
        <v>9.6296249999999993E-3</v>
      </c>
      <c r="H61" s="167"/>
    </row>
    <row r="62" spans="1:8" x14ac:dyDescent="0.2">
      <c r="A62" s="5">
        <v>56</v>
      </c>
      <c r="B62" s="6" t="s">
        <v>245</v>
      </c>
      <c r="C62" s="6" t="s">
        <v>246</v>
      </c>
      <c r="D62" s="6" t="s">
        <v>247</v>
      </c>
      <c r="E62" s="7">
        <v>140250</v>
      </c>
      <c r="F62" s="8">
        <v>230.01</v>
      </c>
      <c r="G62" s="9">
        <v>9.5527430000000007E-3</v>
      </c>
      <c r="H62" s="167"/>
    </row>
    <row r="63" spans="1:8" x14ac:dyDescent="0.2">
      <c r="A63" s="5">
        <v>57</v>
      </c>
      <c r="B63" s="6" t="s">
        <v>95</v>
      </c>
      <c r="C63" s="6" t="s">
        <v>96</v>
      </c>
      <c r="D63" s="6" t="s">
        <v>75</v>
      </c>
      <c r="E63" s="7">
        <v>89146</v>
      </c>
      <c r="F63" s="8">
        <v>228.25833299999999</v>
      </c>
      <c r="G63" s="9">
        <v>9.4799930000000008E-3</v>
      </c>
      <c r="H63" s="167"/>
    </row>
    <row r="64" spans="1:8" x14ac:dyDescent="0.2">
      <c r="A64" s="5">
        <v>58</v>
      </c>
      <c r="B64" s="6" t="s">
        <v>258</v>
      </c>
      <c r="C64" s="6" t="s">
        <v>259</v>
      </c>
      <c r="D64" s="6" t="s">
        <v>23</v>
      </c>
      <c r="E64" s="7">
        <v>216684</v>
      </c>
      <c r="F64" s="8">
        <v>227.40985800000001</v>
      </c>
      <c r="G64" s="9">
        <v>9.4447539999999996E-3</v>
      </c>
      <c r="H64" s="167"/>
    </row>
    <row r="65" spans="1:8" x14ac:dyDescent="0.2">
      <c r="A65" s="5">
        <v>59</v>
      </c>
      <c r="B65" s="6" t="s">
        <v>224</v>
      </c>
      <c r="C65" s="6" t="s">
        <v>225</v>
      </c>
      <c r="D65" s="6" t="s">
        <v>185</v>
      </c>
      <c r="E65" s="7">
        <v>54815</v>
      </c>
      <c r="F65" s="8">
        <v>226.3585425</v>
      </c>
      <c r="G65" s="9">
        <v>9.4010910000000003E-3</v>
      </c>
      <c r="H65" s="167"/>
    </row>
    <row r="66" spans="1:8" ht="25.5" x14ac:dyDescent="0.2">
      <c r="A66" s="5">
        <v>60</v>
      </c>
      <c r="B66" s="6" t="s">
        <v>200</v>
      </c>
      <c r="C66" s="6" t="s">
        <v>201</v>
      </c>
      <c r="D66" s="6" t="s">
        <v>75</v>
      </c>
      <c r="E66" s="7">
        <v>9707</v>
      </c>
      <c r="F66" s="8">
        <v>218.79578000000001</v>
      </c>
      <c r="G66" s="9">
        <v>9.0869950000000005E-3</v>
      </c>
      <c r="H66" s="167"/>
    </row>
    <row r="67" spans="1:8" x14ac:dyDescent="0.2">
      <c r="A67" s="5">
        <v>61</v>
      </c>
      <c r="B67" s="6" t="s">
        <v>461</v>
      </c>
      <c r="C67" s="6" t="s">
        <v>462</v>
      </c>
      <c r="D67" s="6" t="s">
        <v>972</v>
      </c>
      <c r="E67" s="7">
        <v>266331</v>
      </c>
      <c r="F67" s="8">
        <v>201.21307049999999</v>
      </c>
      <c r="G67" s="9">
        <v>8.3567529999999998E-3</v>
      </c>
      <c r="H67" s="167"/>
    </row>
    <row r="68" spans="1:8" x14ac:dyDescent="0.2">
      <c r="A68" s="5">
        <v>62</v>
      </c>
      <c r="B68" s="6" t="s">
        <v>260</v>
      </c>
      <c r="C68" s="6" t="s">
        <v>926</v>
      </c>
      <c r="D68" s="6" t="s">
        <v>261</v>
      </c>
      <c r="E68" s="7">
        <v>81931</v>
      </c>
      <c r="F68" s="8">
        <v>195.28253849999999</v>
      </c>
      <c r="G68" s="9">
        <v>8.1104469999999998E-3</v>
      </c>
      <c r="H68" s="167"/>
    </row>
    <row r="69" spans="1:8" x14ac:dyDescent="0.2">
      <c r="A69" s="5">
        <v>63</v>
      </c>
      <c r="B69" s="6" t="s">
        <v>262</v>
      </c>
      <c r="C69" s="6" t="s">
        <v>263</v>
      </c>
      <c r="D69" s="6" t="s">
        <v>185</v>
      </c>
      <c r="E69" s="7">
        <v>33763</v>
      </c>
      <c r="F69" s="8">
        <v>191.99329950000001</v>
      </c>
      <c r="G69" s="9">
        <v>7.9738389999999999E-3</v>
      </c>
      <c r="H69" s="167"/>
    </row>
    <row r="70" spans="1:8" x14ac:dyDescent="0.2">
      <c r="A70" s="5">
        <v>64</v>
      </c>
      <c r="B70" s="6" t="s">
        <v>463</v>
      </c>
      <c r="C70" s="6" t="s">
        <v>464</v>
      </c>
      <c r="D70" s="6" t="s">
        <v>158</v>
      </c>
      <c r="E70" s="7">
        <v>30109</v>
      </c>
      <c r="F70" s="8">
        <v>188.572667</v>
      </c>
      <c r="G70" s="9">
        <v>7.8317730000000002E-3</v>
      </c>
      <c r="H70" s="167"/>
    </row>
    <row r="71" spans="1:8" x14ac:dyDescent="0.2">
      <c r="A71" s="5">
        <v>65</v>
      </c>
      <c r="B71" s="6" t="s">
        <v>270</v>
      </c>
      <c r="C71" s="6" t="s">
        <v>271</v>
      </c>
      <c r="D71" s="6" t="s">
        <v>75</v>
      </c>
      <c r="E71" s="7">
        <v>111421</v>
      </c>
      <c r="F71" s="8">
        <v>176.15660099999999</v>
      </c>
      <c r="G71" s="9">
        <v>7.3161110000000001E-3</v>
      </c>
      <c r="H71" s="167"/>
    </row>
    <row r="72" spans="1:8" ht="25.5" x14ac:dyDescent="0.2">
      <c r="A72" s="5">
        <v>66</v>
      </c>
      <c r="B72" s="6" t="s">
        <v>256</v>
      </c>
      <c r="C72" s="6" t="s">
        <v>257</v>
      </c>
      <c r="D72" s="6" t="s">
        <v>975</v>
      </c>
      <c r="E72" s="7">
        <v>201630</v>
      </c>
      <c r="F72" s="8">
        <v>171.083055</v>
      </c>
      <c r="G72" s="9">
        <v>7.1053970000000003E-3</v>
      </c>
      <c r="H72" s="167"/>
    </row>
    <row r="73" spans="1:8" x14ac:dyDescent="0.2">
      <c r="A73" s="5">
        <v>67</v>
      </c>
      <c r="B73" s="6" t="s">
        <v>292</v>
      </c>
      <c r="C73" s="6" t="s">
        <v>293</v>
      </c>
      <c r="D73" s="6" t="s">
        <v>971</v>
      </c>
      <c r="E73" s="7">
        <v>402399</v>
      </c>
      <c r="F73" s="8">
        <v>158.54520600000001</v>
      </c>
      <c r="G73" s="9">
        <v>6.5846769999999997E-3</v>
      </c>
      <c r="H73" s="167"/>
    </row>
    <row r="74" spans="1:8" x14ac:dyDescent="0.2">
      <c r="A74" s="5">
        <v>68</v>
      </c>
      <c r="B74" s="6" t="s">
        <v>272</v>
      </c>
      <c r="C74" s="6" t="s">
        <v>273</v>
      </c>
      <c r="D74" s="6" t="s">
        <v>972</v>
      </c>
      <c r="E74" s="7">
        <v>10084</v>
      </c>
      <c r="F74" s="8">
        <v>156.20115999999999</v>
      </c>
      <c r="G74" s="9">
        <v>6.487324E-3</v>
      </c>
      <c r="H74" s="167"/>
    </row>
    <row r="75" spans="1:8" x14ac:dyDescent="0.2">
      <c r="A75" s="5">
        <v>69</v>
      </c>
      <c r="B75" s="6" t="s">
        <v>274</v>
      </c>
      <c r="C75" s="6" t="s">
        <v>275</v>
      </c>
      <c r="D75" s="6" t="s">
        <v>153</v>
      </c>
      <c r="E75" s="7">
        <v>9638</v>
      </c>
      <c r="F75" s="8">
        <v>147.84210100000001</v>
      </c>
      <c r="G75" s="9">
        <v>6.1401570000000003E-3</v>
      </c>
      <c r="H75" s="167"/>
    </row>
    <row r="76" spans="1:8" x14ac:dyDescent="0.2">
      <c r="A76" s="5">
        <v>70</v>
      </c>
      <c r="B76" s="6" t="s">
        <v>250</v>
      </c>
      <c r="C76" s="6" t="s">
        <v>251</v>
      </c>
      <c r="D76" s="6" t="s">
        <v>75</v>
      </c>
      <c r="E76" s="7">
        <v>23426</v>
      </c>
      <c r="F76" s="8">
        <v>143.40225899999999</v>
      </c>
      <c r="G76" s="9">
        <v>5.9557619999999999E-3</v>
      </c>
      <c r="H76" s="167"/>
    </row>
    <row r="77" spans="1:8" x14ac:dyDescent="0.2">
      <c r="A77" s="5">
        <v>71</v>
      </c>
      <c r="B77" s="6" t="s">
        <v>278</v>
      </c>
      <c r="C77" s="6" t="s">
        <v>279</v>
      </c>
      <c r="D77" s="6" t="s">
        <v>192</v>
      </c>
      <c r="E77" s="7">
        <v>14230</v>
      </c>
      <c r="F77" s="8">
        <v>135.34153000000001</v>
      </c>
      <c r="G77" s="9">
        <v>5.6209850000000002E-3</v>
      </c>
      <c r="H77" s="167"/>
    </row>
    <row r="78" spans="1:8" x14ac:dyDescent="0.2">
      <c r="A78" s="5">
        <v>72</v>
      </c>
      <c r="B78" s="6" t="s">
        <v>276</v>
      </c>
      <c r="C78" s="6" t="s">
        <v>277</v>
      </c>
      <c r="D78" s="6" t="s">
        <v>167</v>
      </c>
      <c r="E78" s="7">
        <v>22156</v>
      </c>
      <c r="F78" s="8">
        <v>122.821786</v>
      </c>
      <c r="G78" s="9">
        <v>5.1010170000000002E-3</v>
      </c>
      <c r="H78" s="167"/>
    </row>
    <row r="79" spans="1:8" x14ac:dyDescent="0.2">
      <c r="A79" s="5">
        <v>73</v>
      </c>
      <c r="B79" s="6" t="s">
        <v>280</v>
      </c>
      <c r="C79" s="6" t="s">
        <v>281</v>
      </c>
      <c r="D79" s="6" t="s">
        <v>971</v>
      </c>
      <c r="E79" s="7">
        <v>222135</v>
      </c>
      <c r="F79" s="8">
        <v>92.852429999999998</v>
      </c>
      <c r="G79" s="9">
        <v>3.8563339999999999E-3</v>
      </c>
      <c r="H79" s="167"/>
    </row>
    <row r="80" spans="1:8" x14ac:dyDescent="0.2">
      <c r="A80" s="5">
        <v>74</v>
      </c>
      <c r="B80" s="6" t="s">
        <v>282</v>
      </c>
      <c r="C80" s="6" t="s">
        <v>283</v>
      </c>
      <c r="D80" s="6" t="s">
        <v>284</v>
      </c>
      <c r="E80" s="7">
        <v>49166</v>
      </c>
      <c r="F80" s="8">
        <v>71.290700000000001</v>
      </c>
      <c r="G80" s="9">
        <v>2.9608350000000002E-3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0">
        <v>23592.468808000001</v>
      </c>
      <c r="G81" s="11">
        <v>0.97983907199999998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105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106</v>
      </c>
      <c r="D86" s="3" t="s">
        <v>10</v>
      </c>
      <c r="E86" s="3" t="s">
        <v>10</v>
      </c>
      <c r="F86" s="3" t="s">
        <v>10</v>
      </c>
      <c r="G86" s="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110</v>
      </c>
      <c r="D89" s="3" t="s">
        <v>10</v>
      </c>
      <c r="E89" s="3" t="s">
        <v>10</v>
      </c>
      <c r="F89" s="3" t="s">
        <v>10</v>
      </c>
      <c r="G89" s="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111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112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113</v>
      </c>
      <c r="D98" s="3" t="s">
        <v>10</v>
      </c>
      <c r="E98" s="3" t="s">
        <v>10</v>
      </c>
      <c r="F98" s="10">
        <v>23592.468808000001</v>
      </c>
      <c r="G98" s="11">
        <v>0.97983907199999998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114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ht="25.5" x14ac:dyDescent="0.2">
      <c r="A101" s="3" t="s">
        <v>10</v>
      </c>
      <c r="B101" s="3" t="s">
        <v>10</v>
      </c>
      <c r="C101" s="4" t="s">
        <v>12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115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116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117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118</v>
      </c>
      <c r="D113" s="3" t="s">
        <v>10</v>
      </c>
      <c r="E113" s="3" t="s">
        <v>10</v>
      </c>
      <c r="F113" s="10">
        <v>0</v>
      </c>
      <c r="G113" s="11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119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121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4">
        <v>0</v>
      </c>
      <c r="G120" s="15">
        <v>0</v>
      </c>
      <c r="H120" s="167"/>
    </row>
    <row r="121" spans="1:8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122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104</v>
      </c>
      <c r="D123" s="3" t="s">
        <v>10</v>
      </c>
      <c r="E123" s="3" t="s">
        <v>10</v>
      </c>
      <c r="F123" s="14">
        <v>0</v>
      </c>
      <c r="G123" s="15">
        <v>0</v>
      </c>
      <c r="H123" s="167"/>
    </row>
    <row r="124" spans="1:8" x14ac:dyDescent="0.2">
      <c r="A124" s="3" t="s">
        <v>10</v>
      </c>
      <c r="B124" s="3" t="s">
        <v>10</v>
      </c>
      <c r="C124" s="12" t="s">
        <v>10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123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5">
        <v>1</v>
      </c>
      <c r="B126" s="6"/>
      <c r="C126" s="6" t="s">
        <v>124</v>
      </c>
      <c r="D126" s="6"/>
      <c r="E126" s="16" t="s">
        <v>10</v>
      </c>
      <c r="F126" s="8">
        <v>403.06749989999997</v>
      </c>
      <c r="G126" s="9">
        <v>1.6740142E-2</v>
      </c>
      <c r="H126" s="108">
        <v>3.23</v>
      </c>
    </row>
    <row r="127" spans="1:8" x14ac:dyDescent="0.2">
      <c r="A127" s="5">
        <v>2</v>
      </c>
      <c r="B127" s="6"/>
      <c r="C127" s="6" t="s">
        <v>125</v>
      </c>
      <c r="D127" s="6"/>
      <c r="E127" s="16" t="s">
        <v>10</v>
      </c>
      <c r="F127" s="8">
        <v>113.2176214</v>
      </c>
      <c r="G127" s="9">
        <v>4.7021379999999998E-3</v>
      </c>
      <c r="H127" s="108">
        <v>3.35</v>
      </c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0">
        <v>516.28512130000001</v>
      </c>
      <c r="G128" s="11">
        <v>2.1442280000000001E-2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126</v>
      </c>
      <c r="D130" s="3" t="s">
        <v>10</v>
      </c>
      <c r="E130" s="3" t="s">
        <v>10</v>
      </c>
      <c r="F130" s="10">
        <v>516.28512130000001</v>
      </c>
      <c r="G130" s="11">
        <v>2.1442280000000001E-2</v>
      </c>
      <c r="H130" s="167"/>
    </row>
    <row r="131" spans="1:8" x14ac:dyDescent="0.2">
      <c r="A131" s="3" t="s">
        <v>10</v>
      </c>
      <c r="B131" s="3" t="s">
        <v>10</v>
      </c>
      <c r="C131" s="13" t="s">
        <v>10</v>
      </c>
      <c r="D131" s="3" t="s">
        <v>10</v>
      </c>
      <c r="E131" s="3" t="s">
        <v>10</v>
      </c>
      <c r="F131" s="3" t="s">
        <v>10</v>
      </c>
      <c r="G131" s="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127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128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3" t="s">
        <v>10</v>
      </c>
      <c r="C136" s="4" t="s">
        <v>129</v>
      </c>
      <c r="D136" s="3" t="s">
        <v>10</v>
      </c>
      <c r="E136" s="3" t="s">
        <v>10</v>
      </c>
      <c r="F136" s="3" t="s">
        <v>10</v>
      </c>
      <c r="G136" s="3" t="s">
        <v>10</v>
      </c>
      <c r="H136" s="167"/>
    </row>
    <row r="137" spans="1:8" x14ac:dyDescent="0.2">
      <c r="A137" s="3" t="s">
        <v>10</v>
      </c>
      <c r="B137" s="3" t="s">
        <v>10</v>
      </c>
      <c r="C137" s="4" t="s">
        <v>130</v>
      </c>
      <c r="D137" s="3" t="s">
        <v>10</v>
      </c>
      <c r="E137" s="3" t="s">
        <v>10</v>
      </c>
      <c r="F137" s="3" t="s">
        <v>10</v>
      </c>
      <c r="G137" s="3" t="s">
        <v>10</v>
      </c>
      <c r="H137" s="167"/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4">
        <v>0</v>
      </c>
      <c r="G138" s="15">
        <v>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ht="25.5" x14ac:dyDescent="0.2">
      <c r="A141" s="3" t="s">
        <v>10</v>
      </c>
      <c r="B141" s="3" t="s">
        <v>10</v>
      </c>
      <c r="C141" s="4" t="s">
        <v>131</v>
      </c>
      <c r="D141" s="3" t="s">
        <v>10</v>
      </c>
      <c r="E141" s="3" t="s">
        <v>10</v>
      </c>
      <c r="F141" s="13" t="s">
        <v>10</v>
      </c>
      <c r="G141" s="13" t="s">
        <v>10</v>
      </c>
      <c r="H141" s="167"/>
    </row>
    <row r="142" spans="1:8" x14ac:dyDescent="0.2">
      <c r="A142" s="3" t="s">
        <v>10</v>
      </c>
      <c r="B142" s="3" t="s">
        <v>10</v>
      </c>
      <c r="C142" s="4" t="s">
        <v>104</v>
      </c>
      <c r="D142" s="3" t="s">
        <v>10</v>
      </c>
      <c r="E142" s="3" t="s">
        <v>10</v>
      </c>
      <c r="F142" s="14">
        <v>0</v>
      </c>
      <c r="G142" s="15">
        <v>0</v>
      </c>
      <c r="H142" s="167"/>
    </row>
    <row r="143" spans="1:8" x14ac:dyDescent="0.2">
      <c r="A143" s="3" t="s">
        <v>10</v>
      </c>
      <c r="B143" s="3" t="s">
        <v>10</v>
      </c>
      <c r="C143" s="12" t="s">
        <v>10</v>
      </c>
      <c r="D143" s="3" t="s">
        <v>10</v>
      </c>
      <c r="E143" s="3" t="s">
        <v>10</v>
      </c>
      <c r="F143" s="13" t="s">
        <v>10</v>
      </c>
      <c r="G143" s="13" t="s">
        <v>10</v>
      </c>
      <c r="H143" s="167"/>
    </row>
    <row r="144" spans="1:8" x14ac:dyDescent="0.2">
      <c r="A144" s="3" t="s">
        <v>10</v>
      </c>
      <c r="B144" s="6" t="s">
        <v>10</v>
      </c>
      <c r="C144" s="6" t="s">
        <v>10</v>
      </c>
      <c r="D144" s="4" t="s">
        <v>10</v>
      </c>
      <c r="E144" s="3" t="s">
        <v>10</v>
      </c>
      <c r="F144" s="6" t="s">
        <v>10</v>
      </c>
      <c r="G144" s="16" t="s">
        <v>10</v>
      </c>
      <c r="H144" s="167"/>
    </row>
    <row r="145" spans="1:8" x14ac:dyDescent="0.2">
      <c r="A145" s="16" t="s">
        <v>10</v>
      </c>
      <c r="B145" s="6" t="s">
        <v>10</v>
      </c>
      <c r="C145" s="6" t="s">
        <v>132</v>
      </c>
      <c r="D145" s="6" t="s">
        <v>10</v>
      </c>
      <c r="E145" s="16" t="s">
        <v>10</v>
      </c>
      <c r="F145" s="8">
        <v>-30.8524399</v>
      </c>
      <c r="G145" s="9">
        <v>-1.2813589999999999E-3</v>
      </c>
      <c r="H145" s="167"/>
    </row>
    <row r="146" spans="1:8" x14ac:dyDescent="0.2">
      <c r="A146" s="12" t="s">
        <v>10</v>
      </c>
      <c r="B146" s="12" t="s">
        <v>10</v>
      </c>
      <c r="C146" s="4" t="s">
        <v>133</v>
      </c>
      <c r="D146" s="17" t="s">
        <v>10</v>
      </c>
      <c r="E146" s="17" t="s">
        <v>10</v>
      </c>
      <c r="F146" s="10">
        <v>24077.901489399999</v>
      </c>
      <c r="G146" s="11">
        <v>0.99999999299999998</v>
      </c>
      <c r="H146" s="167"/>
    </row>
    <row r="147" spans="1:8" ht="14.1" customHeight="1" x14ac:dyDescent="0.2">
      <c r="A147" s="18" t="s">
        <v>10</v>
      </c>
      <c r="B147" s="18" t="s">
        <v>10</v>
      </c>
      <c r="C147" s="18" t="s">
        <v>10</v>
      </c>
      <c r="D147" s="19" t="s">
        <v>10</v>
      </c>
      <c r="E147" s="19" t="s">
        <v>10</v>
      </c>
      <c r="F147" s="19" t="s">
        <v>10</v>
      </c>
      <c r="G147" s="19" t="s">
        <v>10</v>
      </c>
    </row>
    <row r="148" spans="1:8" ht="14.1" customHeight="1" x14ac:dyDescent="0.2">
      <c r="A148" s="20" t="s">
        <v>10</v>
      </c>
      <c r="B148" s="208" t="s">
        <v>10</v>
      </c>
      <c r="C148" s="208"/>
      <c r="D148" s="208"/>
      <c r="E148" s="208"/>
      <c r="F148" s="208"/>
      <c r="G148" s="22" t="s">
        <v>10</v>
      </c>
    </row>
    <row r="149" spans="1:8" ht="14.1" customHeight="1" x14ac:dyDescent="0.2">
      <c r="A149" s="20" t="s">
        <v>10</v>
      </c>
      <c r="B149" s="208" t="s">
        <v>10</v>
      </c>
      <c r="C149" s="208"/>
      <c r="D149" s="208"/>
      <c r="E149" s="208"/>
      <c r="F149" s="208"/>
      <c r="G149" s="22" t="s">
        <v>10</v>
      </c>
    </row>
    <row r="150" spans="1:8" ht="14.1" customHeight="1" x14ac:dyDescent="0.2">
      <c r="A150" s="20" t="s">
        <v>10</v>
      </c>
      <c r="B150" s="20" t="s">
        <v>10</v>
      </c>
      <c r="C150" s="20" t="s">
        <v>10</v>
      </c>
      <c r="D150" s="22" t="s">
        <v>10</v>
      </c>
      <c r="E150" s="22" t="s">
        <v>10</v>
      </c>
      <c r="F150" s="22" t="s">
        <v>10</v>
      </c>
      <c r="G150" s="22" t="s">
        <v>10</v>
      </c>
    </row>
    <row r="151" spans="1:8" ht="14.1" customHeight="1" x14ac:dyDescent="0.2">
      <c r="A151" s="20" t="s">
        <v>10</v>
      </c>
      <c r="B151" s="206" t="s">
        <v>134</v>
      </c>
      <c r="C151" s="207"/>
      <c r="D151" s="13" t="s">
        <v>10</v>
      </c>
      <c r="E151" s="23" t="s">
        <v>10</v>
      </c>
      <c r="F151" s="22" t="s">
        <v>10</v>
      </c>
      <c r="G151" s="22" t="s">
        <v>10</v>
      </c>
    </row>
    <row r="152" spans="1:8" ht="29.1" customHeight="1" x14ac:dyDescent="0.2">
      <c r="A152" s="20" t="s">
        <v>10</v>
      </c>
      <c r="B152" s="213" t="s">
        <v>135</v>
      </c>
      <c r="C152" s="214"/>
      <c r="D152" s="4" t="s">
        <v>136</v>
      </c>
      <c r="E152" s="23" t="s">
        <v>10</v>
      </c>
      <c r="F152" s="22" t="s">
        <v>10</v>
      </c>
      <c r="G152" s="22" t="s">
        <v>10</v>
      </c>
    </row>
    <row r="153" spans="1:8" ht="17.100000000000001" customHeight="1" x14ac:dyDescent="0.2">
      <c r="A153" s="20" t="s">
        <v>10</v>
      </c>
      <c r="B153" s="213" t="s">
        <v>137</v>
      </c>
      <c r="C153" s="214"/>
      <c r="D153" s="4" t="s">
        <v>136</v>
      </c>
      <c r="E153" s="23" t="s">
        <v>10</v>
      </c>
      <c r="F153" s="22" t="s">
        <v>10</v>
      </c>
      <c r="G153" s="22" t="s">
        <v>10</v>
      </c>
    </row>
    <row r="154" spans="1:8" ht="17.100000000000001" customHeight="1" x14ac:dyDescent="0.2">
      <c r="A154" s="20" t="s">
        <v>10</v>
      </c>
      <c r="B154" s="213" t="s">
        <v>138</v>
      </c>
      <c r="C154" s="214"/>
      <c r="D154" s="13" t="s">
        <v>10</v>
      </c>
      <c r="E154" s="23" t="s">
        <v>10</v>
      </c>
      <c r="F154" s="22" t="s">
        <v>10</v>
      </c>
      <c r="G154" s="22" t="s">
        <v>10</v>
      </c>
    </row>
    <row r="155" spans="1:8" s="20" customFormat="1" ht="17.100000000000001" customHeight="1" x14ac:dyDescent="0.2"/>
    <row r="156" spans="1:8" x14ac:dyDescent="0.2">
      <c r="A156" s="24" t="s">
        <v>10</v>
      </c>
      <c r="B156" s="140" t="s">
        <v>10</v>
      </c>
      <c r="C156" s="140" t="s">
        <v>139</v>
      </c>
      <c r="D156" s="140" t="s">
        <v>140</v>
      </c>
      <c r="E156" s="24" t="s">
        <v>10</v>
      </c>
      <c r="F156" s="24" t="s">
        <v>10</v>
      </c>
      <c r="G156" s="24" t="s">
        <v>10</v>
      </c>
    </row>
    <row r="157" spans="1:8" ht="18" customHeight="1" x14ac:dyDescent="0.2">
      <c r="A157" s="24" t="s">
        <v>10</v>
      </c>
      <c r="B157" s="25" t="s">
        <v>141</v>
      </c>
      <c r="C157" s="25" t="s">
        <v>142</v>
      </c>
      <c r="D157" s="25" t="s">
        <v>143</v>
      </c>
      <c r="E157" s="24" t="s">
        <v>10</v>
      </c>
      <c r="F157" s="24" t="s">
        <v>10</v>
      </c>
      <c r="G157" s="24" t="s">
        <v>10</v>
      </c>
    </row>
    <row r="158" spans="1:8" ht="17.100000000000001" customHeight="1" x14ac:dyDescent="0.2">
      <c r="A158" s="24" t="s">
        <v>10</v>
      </c>
      <c r="B158" s="6" t="s">
        <v>144</v>
      </c>
      <c r="C158" s="26">
        <v>11.5481</v>
      </c>
      <c r="D158" s="26">
        <v>12.6952</v>
      </c>
      <c r="E158" s="24" t="s">
        <v>10</v>
      </c>
      <c r="F158" s="21" t="s">
        <v>10</v>
      </c>
      <c r="G158" s="27" t="s">
        <v>10</v>
      </c>
    </row>
    <row r="159" spans="1:8" ht="17.100000000000001" customHeight="1" x14ac:dyDescent="0.2">
      <c r="A159" s="24" t="s">
        <v>10</v>
      </c>
      <c r="B159" s="6" t="s">
        <v>917</v>
      </c>
      <c r="C159" s="26">
        <v>11.5481</v>
      </c>
      <c r="D159" s="26">
        <v>12.6952</v>
      </c>
      <c r="E159" s="24" t="s">
        <v>10</v>
      </c>
      <c r="F159" s="21" t="s">
        <v>10</v>
      </c>
      <c r="G159" s="27" t="s">
        <v>10</v>
      </c>
    </row>
    <row r="160" spans="1:8" ht="17.100000000000001" customHeight="1" x14ac:dyDescent="0.2">
      <c r="A160" s="24" t="s">
        <v>10</v>
      </c>
      <c r="B160" s="6" t="s">
        <v>145</v>
      </c>
      <c r="C160" s="26">
        <v>11.1854</v>
      </c>
      <c r="D160" s="26">
        <v>12.288399999999999</v>
      </c>
      <c r="E160" s="24" t="s">
        <v>10</v>
      </c>
      <c r="F160" s="21" t="s">
        <v>10</v>
      </c>
      <c r="G160" s="27" t="s">
        <v>10</v>
      </c>
    </row>
    <row r="161" spans="1:7" ht="17.100000000000001" customHeight="1" x14ac:dyDescent="0.2">
      <c r="A161" s="24" t="s">
        <v>10</v>
      </c>
      <c r="B161" s="6" t="s">
        <v>918</v>
      </c>
      <c r="C161" s="26">
        <v>11.1854</v>
      </c>
      <c r="D161" s="26">
        <v>12.288399999999999</v>
      </c>
      <c r="E161" s="24" t="s">
        <v>10</v>
      </c>
      <c r="F161" s="21" t="s">
        <v>10</v>
      </c>
      <c r="G161" s="27" t="s">
        <v>10</v>
      </c>
    </row>
    <row r="162" spans="1:7" ht="14.1" customHeight="1" x14ac:dyDescent="0.2">
      <c r="A162" s="24" t="s">
        <v>10</v>
      </c>
      <c r="B162" s="24" t="s">
        <v>10</v>
      </c>
      <c r="C162" s="24" t="s">
        <v>10</v>
      </c>
      <c r="D162" s="24" t="s">
        <v>10</v>
      </c>
      <c r="E162" s="24" t="s">
        <v>10</v>
      </c>
      <c r="F162" s="24" t="s">
        <v>10</v>
      </c>
      <c r="G162" s="24" t="s">
        <v>10</v>
      </c>
    </row>
    <row r="163" spans="1:7" ht="17.100000000000001" customHeight="1" x14ac:dyDescent="0.2">
      <c r="A163" s="24" t="s">
        <v>10</v>
      </c>
      <c r="B163" s="213" t="s">
        <v>999</v>
      </c>
      <c r="C163" s="214"/>
      <c r="D163" s="4" t="s">
        <v>136</v>
      </c>
      <c r="E163" s="24" t="s">
        <v>10</v>
      </c>
      <c r="F163" s="24" t="s">
        <v>10</v>
      </c>
      <c r="G163" s="24" t="s">
        <v>10</v>
      </c>
    </row>
    <row r="164" spans="1:7" ht="18" customHeight="1" x14ac:dyDescent="0.2">
      <c r="A164" s="24" t="s">
        <v>10</v>
      </c>
      <c r="B164" s="28"/>
      <c r="C164" s="28"/>
      <c r="D164" s="29" t="s">
        <v>10</v>
      </c>
      <c r="E164" s="24" t="s">
        <v>10</v>
      </c>
      <c r="F164" s="24" t="s">
        <v>10</v>
      </c>
      <c r="G164" s="24" t="s">
        <v>10</v>
      </c>
    </row>
    <row r="165" spans="1:7" ht="18" customHeight="1" x14ac:dyDescent="0.2">
      <c r="A165" s="172"/>
      <c r="B165" s="217" t="s">
        <v>919</v>
      </c>
      <c r="C165" s="217"/>
      <c r="D165" s="217"/>
      <c r="E165" s="217"/>
      <c r="F165" s="217"/>
      <c r="G165" s="172"/>
    </row>
    <row r="166" spans="1:7" ht="14.1" customHeight="1" x14ac:dyDescent="0.2">
      <c r="A166" s="24" t="s">
        <v>10</v>
      </c>
      <c r="B166" s="21" t="s">
        <v>10</v>
      </c>
      <c r="C166" s="21" t="s">
        <v>10</v>
      </c>
      <c r="D166" s="24" t="s">
        <v>10</v>
      </c>
      <c r="E166" s="24" t="s">
        <v>10</v>
      </c>
      <c r="F166" s="24" t="s">
        <v>10</v>
      </c>
      <c r="G166" s="24" t="s">
        <v>10</v>
      </c>
    </row>
    <row r="167" spans="1:7" ht="29.1" customHeight="1" x14ac:dyDescent="0.2">
      <c r="A167" s="24" t="s">
        <v>10</v>
      </c>
      <c r="B167" s="213" t="s">
        <v>146</v>
      </c>
      <c r="C167" s="214"/>
      <c r="D167" s="4" t="s">
        <v>136</v>
      </c>
      <c r="E167" s="24" t="s">
        <v>10</v>
      </c>
      <c r="F167" s="24" t="s">
        <v>10</v>
      </c>
      <c r="G167" s="24" t="s">
        <v>10</v>
      </c>
    </row>
    <row r="168" spans="1:7" ht="29.1" customHeight="1" x14ac:dyDescent="0.2">
      <c r="A168" s="24" t="s">
        <v>10</v>
      </c>
      <c r="B168" s="213" t="s">
        <v>147</v>
      </c>
      <c r="C168" s="214"/>
      <c r="D168" s="4" t="s">
        <v>136</v>
      </c>
      <c r="E168" s="24" t="s">
        <v>10</v>
      </c>
      <c r="F168" s="24" t="s">
        <v>10</v>
      </c>
      <c r="G168" s="24" t="s">
        <v>10</v>
      </c>
    </row>
    <row r="169" spans="1:7" ht="17.100000000000001" customHeight="1" x14ac:dyDescent="0.2">
      <c r="A169" s="24" t="s">
        <v>10</v>
      </c>
      <c r="B169" s="213" t="s">
        <v>148</v>
      </c>
      <c r="C169" s="214"/>
      <c r="D169" s="30">
        <v>0.43970555063259531</v>
      </c>
      <c r="E169" s="24" t="s">
        <v>10</v>
      </c>
      <c r="F169" s="21" t="s">
        <v>10</v>
      </c>
      <c r="G169" s="27" t="s">
        <v>10</v>
      </c>
    </row>
    <row r="170" spans="1:7" ht="17.100000000000001" customHeight="1" x14ac:dyDescent="0.2">
      <c r="A170" s="24" t="s">
        <v>10</v>
      </c>
      <c r="B170" s="213" t="s">
        <v>149</v>
      </c>
      <c r="C170" s="214"/>
      <c r="D170" s="4" t="s">
        <v>136</v>
      </c>
      <c r="E170" s="24" t="s">
        <v>10</v>
      </c>
      <c r="F170" s="24" t="s">
        <v>10</v>
      </c>
      <c r="G170" s="24" t="s">
        <v>10</v>
      </c>
    </row>
  </sheetData>
  <mergeCells count="15">
    <mergeCell ref="B169:C169"/>
    <mergeCell ref="B170:C170"/>
    <mergeCell ref="B152:C152"/>
    <mergeCell ref="B153:C153"/>
    <mergeCell ref="B154:C154"/>
    <mergeCell ref="B163:C163"/>
    <mergeCell ref="B167:C167"/>
    <mergeCell ref="B168:C168"/>
    <mergeCell ref="B165:F165"/>
    <mergeCell ref="B151:C151"/>
    <mergeCell ref="B148:F148"/>
    <mergeCell ref="B149:F14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73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466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65780</v>
      </c>
      <c r="F7" s="8">
        <v>802.68044999999995</v>
      </c>
      <c r="G7" s="9">
        <v>3.7601136E-2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22417</v>
      </c>
      <c r="F8" s="8">
        <v>722.90341599999999</v>
      </c>
      <c r="G8" s="9">
        <v>3.3864023E-2</v>
      </c>
      <c r="H8" s="167"/>
    </row>
    <row r="9" spans="1:8" ht="25.5" x14ac:dyDescent="0.2">
      <c r="A9" s="5">
        <v>3</v>
      </c>
      <c r="B9" s="6" t="s">
        <v>33</v>
      </c>
      <c r="C9" s="6" t="s">
        <v>34</v>
      </c>
      <c r="D9" s="6" t="s">
        <v>970</v>
      </c>
      <c r="E9" s="7">
        <v>18110</v>
      </c>
      <c r="F9" s="8">
        <v>516.03539499999999</v>
      </c>
      <c r="G9" s="9">
        <v>2.4173402E-2</v>
      </c>
      <c r="H9" s="167"/>
    </row>
    <row r="10" spans="1:8" x14ac:dyDescent="0.2">
      <c r="A10" s="5">
        <v>4</v>
      </c>
      <c r="B10" s="6" t="s">
        <v>447</v>
      </c>
      <c r="C10" s="6" t="s">
        <v>448</v>
      </c>
      <c r="D10" s="6" t="s">
        <v>75</v>
      </c>
      <c r="E10" s="7">
        <v>164997</v>
      </c>
      <c r="F10" s="8">
        <v>502.58086200000002</v>
      </c>
      <c r="G10" s="9">
        <v>2.3543130999999998E-2</v>
      </c>
      <c r="H10" s="167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541813</v>
      </c>
      <c r="F11" s="8">
        <v>498.19705349999998</v>
      </c>
      <c r="G11" s="9">
        <v>2.3337773999999999E-2</v>
      </c>
      <c r="H11" s="167"/>
    </row>
    <row r="12" spans="1:8" x14ac:dyDescent="0.2">
      <c r="A12" s="5">
        <v>6</v>
      </c>
      <c r="B12" s="6" t="s">
        <v>46</v>
      </c>
      <c r="C12" s="6" t="s">
        <v>47</v>
      </c>
      <c r="D12" s="6" t="s">
        <v>29</v>
      </c>
      <c r="E12" s="7">
        <v>48732</v>
      </c>
      <c r="F12" s="8">
        <v>475.941078</v>
      </c>
      <c r="G12" s="9">
        <v>2.2295204999999998E-2</v>
      </c>
      <c r="H12" s="167"/>
    </row>
    <row r="13" spans="1:8" x14ac:dyDescent="0.2">
      <c r="A13" s="5">
        <v>7</v>
      </c>
      <c r="B13" s="6" t="s">
        <v>183</v>
      </c>
      <c r="C13" s="6" t="s">
        <v>184</v>
      </c>
      <c r="D13" s="6" t="s">
        <v>185</v>
      </c>
      <c r="E13" s="7">
        <v>39769</v>
      </c>
      <c r="F13" s="8">
        <v>471.77964700000001</v>
      </c>
      <c r="G13" s="9">
        <v>2.2100265000000001E-2</v>
      </c>
      <c r="H13" s="167"/>
    </row>
    <row r="14" spans="1:8" x14ac:dyDescent="0.2">
      <c r="A14" s="5">
        <v>8</v>
      </c>
      <c r="B14" s="6" t="s">
        <v>290</v>
      </c>
      <c r="C14" s="6" t="s">
        <v>291</v>
      </c>
      <c r="D14" s="6" t="s">
        <v>29</v>
      </c>
      <c r="E14" s="7">
        <v>97000</v>
      </c>
      <c r="F14" s="8">
        <v>464.48450000000003</v>
      </c>
      <c r="G14" s="9">
        <v>2.1758527999999999E-2</v>
      </c>
      <c r="H14" s="167"/>
    </row>
    <row r="15" spans="1:8" x14ac:dyDescent="0.2">
      <c r="A15" s="5">
        <v>9</v>
      </c>
      <c r="B15" s="6" t="s">
        <v>159</v>
      </c>
      <c r="C15" s="6" t="s">
        <v>160</v>
      </c>
      <c r="D15" s="6" t="s">
        <v>29</v>
      </c>
      <c r="E15" s="7">
        <v>73643</v>
      </c>
      <c r="F15" s="8">
        <v>453.86180899999999</v>
      </c>
      <c r="G15" s="9">
        <v>2.1260912999999999E-2</v>
      </c>
      <c r="H15" s="167"/>
    </row>
    <row r="16" spans="1:8" x14ac:dyDescent="0.2">
      <c r="A16" s="5">
        <v>10</v>
      </c>
      <c r="B16" s="6" t="s">
        <v>165</v>
      </c>
      <c r="C16" s="6" t="s">
        <v>166</v>
      </c>
      <c r="D16" s="6" t="s">
        <v>167</v>
      </c>
      <c r="E16" s="7">
        <v>184729</v>
      </c>
      <c r="F16" s="8">
        <v>449.44565699999998</v>
      </c>
      <c r="G16" s="9">
        <v>2.1054040999999999E-2</v>
      </c>
      <c r="H16" s="167"/>
    </row>
    <row r="17" spans="1:8" x14ac:dyDescent="0.2">
      <c r="A17" s="5">
        <v>11</v>
      </c>
      <c r="B17" s="6" t="s">
        <v>168</v>
      </c>
      <c r="C17" s="6" t="s">
        <v>169</v>
      </c>
      <c r="D17" s="6" t="s">
        <v>75</v>
      </c>
      <c r="E17" s="7">
        <v>111247</v>
      </c>
      <c r="F17" s="8">
        <v>442.651813</v>
      </c>
      <c r="G17" s="9">
        <v>2.0735786999999999E-2</v>
      </c>
      <c r="H17" s="167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7685</v>
      </c>
      <c r="F18" s="8">
        <v>408.265625</v>
      </c>
      <c r="G18" s="9">
        <v>1.9124984000000001E-2</v>
      </c>
      <c r="H18" s="167"/>
    </row>
    <row r="19" spans="1:8" ht="25.5" x14ac:dyDescent="0.2">
      <c r="A19" s="5">
        <v>13</v>
      </c>
      <c r="B19" s="6" t="s">
        <v>172</v>
      </c>
      <c r="C19" s="6" t="s">
        <v>173</v>
      </c>
      <c r="D19" s="6" t="s">
        <v>970</v>
      </c>
      <c r="E19" s="7">
        <v>151609</v>
      </c>
      <c r="F19" s="8">
        <v>381.14502599999997</v>
      </c>
      <c r="G19" s="9">
        <v>1.7854535000000001E-2</v>
      </c>
      <c r="H19" s="167"/>
    </row>
    <row r="20" spans="1:8" x14ac:dyDescent="0.2">
      <c r="A20" s="5">
        <v>14</v>
      </c>
      <c r="B20" s="6" t="s">
        <v>311</v>
      </c>
      <c r="C20" s="6" t="s">
        <v>312</v>
      </c>
      <c r="D20" s="6" t="s">
        <v>185</v>
      </c>
      <c r="E20" s="7">
        <v>10312</v>
      </c>
      <c r="F20" s="8">
        <v>365.137608</v>
      </c>
      <c r="G20" s="9">
        <v>1.7104675999999999E-2</v>
      </c>
      <c r="H20" s="167"/>
    </row>
    <row r="21" spans="1:8" x14ac:dyDescent="0.2">
      <c r="A21" s="5">
        <v>15</v>
      </c>
      <c r="B21" s="6" t="s">
        <v>181</v>
      </c>
      <c r="C21" s="6" t="s">
        <v>182</v>
      </c>
      <c r="D21" s="6" t="s">
        <v>29</v>
      </c>
      <c r="E21" s="7">
        <v>74492</v>
      </c>
      <c r="F21" s="8">
        <v>355.84828399999998</v>
      </c>
      <c r="G21" s="9">
        <v>1.6669521999999999E-2</v>
      </c>
      <c r="H21" s="167"/>
    </row>
    <row r="22" spans="1:8" x14ac:dyDescent="0.2">
      <c r="A22" s="5">
        <v>16</v>
      </c>
      <c r="B22" s="6" t="s">
        <v>188</v>
      </c>
      <c r="C22" s="6" t="s">
        <v>189</v>
      </c>
      <c r="D22" s="6" t="s">
        <v>167</v>
      </c>
      <c r="E22" s="7">
        <v>13964</v>
      </c>
      <c r="F22" s="8">
        <v>355.09753799999999</v>
      </c>
      <c r="G22" s="9">
        <v>1.6634354000000001E-2</v>
      </c>
      <c r="H22" s="167"/>
    </row>
    <row r="23" spans="1:8" x14ac:dyDescent="0.2">
      <c r="A23" s="5">
        <v>17</v>
      </c>
      <c r="B23" s="6" t="s">
        <v>176</v>
      </c>
      <c r="C23" s="6" t="s">
        <v>177</v>
      </c>
      <c r="D23" s="6" t="s">
        <v>178</v>
      </c>
      <c r="E23" s="7">
        <v>31899</v>
      </c>
      <c r="F23" s="8">
        <v>339.45320850000002</v>
      </c>
      <c r="G23" s="9">
        <v>1.5901504E-2</v>
      </c>
      <c r="H23" s="167"/>
    </row>
    <row r="24" spans="1:8" x14ac:dyDescent="0.2">
      <c r="A24" s="5">
        <v>18</v>
      </c>
      <c r="B24" s="6" t="s">
        <v>467</v>
      </c>
      <c r="C24" s="6" t="s">
        <v>468</v>
      </c>
      <c r="D24" s="6" t="s">
        <v>192</v>
      </c>
      <c r="E24" s="7">
        <v>84664</v>
      </c>
      <c r="F24" s="8">
        <v>333.40683200000001</v>
      </c>
      <c r="G24" s="9">
        <v>1.5618264E-2</v>
      </c>
      <c r="H24" s="167"/>
    </row>
    <row r="25" spans="1:8" x14ac:dyDescent="0.2">
      <c r="A25" s="5">
        <v>19</v>
      </c>
      <c r="B25" s="6" t="s">
        <v>190</v>
      </c>
      <c r="C25" s="6" t="s">
        <v>191</v>
      </c>
      <c r="D25" s="6" t="s">
        <v>192</v>
      </c>
      <c r="E25" s="7">
        <v>84682</v>
      </c>
      <c r="F25" s="8">
        <v>332.88494200000002</v>
      </c>
      <c r="G25" s="9">
        <v>1.5593816999999999E-2</v>
      </c>
      <c r="H25" s="167"/>
    </row>
    <row r="26" spans="1:8" x14ac:dyDescent="0.2">
      <c r="A26" s="5">
        <v>20</v>
      </c>
      <c r="B26" s="6" t="s">
        <v>457</v>
      </c>
      <c r="C26" s="6" t="s">
        <v>458</v>
      </c>
      <c r="D26" s="6" t="s">
        <v>247</v>
      </c>
      <c r="E26" s="7">
        <v>59631</v>
      </c>
      <c r="F26" s="8">
        <v>328.53699449999999</v>
      </c>
      <c r="G26" s="9">
        <v>1.5390139000000001E-2</v>
      </c>
      <c r="H26" s="167"/>
    </row>
    <row r="27" spans="1:8" x14ac:dyDescent="0.2">
      <c r="A27" s="5">
        <v>21</v>
      </c>
      <c r="B27" s="6" t="s">
        <v>30</v>
      </c>
      <c r="C27" s="6" t="s">
        <v>31</v>
      </c>
      <c r="D27" s="6" t="s">
        <v>32</v>
      </c>
      <c r="E27" s="7">
        <v>125414</v>
      </c>
      <c r="F27" s="8">
        <v>324.75955299999998</v>
      </c>
      <c r="G27" s="9">
        <v>1.5213187E-2</v>
      </c>
      <c r="H27" s="167"/>
    </row>
    <row r="28" spans="1:8" x14ac:dyDescent="0.2">
      <c r="A28" s="5">
        <v>22</v>
      </c>
      <c r="B28" s="6" t="s">
        <v>451</v>
      </c>
      <c r="C28" s="6" t="s">
        <v>452</v>
      </c>
      <c r="D28" s="6" t="s">
        <v>67</v>
      </c>
      <c r="E28" s="7">
        <v>66186</v>
      </c>
      <c r="F28" s="8">
        <v>314.48277899999999</v>
      </c>
      <c r="G28" s="9">
        <v>1.4731777E-2</v>
      </c>
      <c r="H28" s="167"/>
    </row>
    <row r="29" spans="1:8" x14ac:dyDescent="0.2">
      <c r="A29" s="5">
        <v>23</v>
      </c>
      <c r="B29" s="6" t="s">
        <v>193</v>
      </c>
      <c r="C29" s="6" t="s">
        <v>194</v>
      </c>
      <c r="D29" s="6" t="s">
        <v>178</v>
      </c>
      <c r="E29" s="7">
        <v>171020</v>
      </c>
      <c r="F29" s="8">
        <v>312.62455999999997</v>
      </c>
      <c r="G29" s="9">
        <v>1.464473E-2</v>
      </c>
      <c r="H29" s="167"/>
    </row>
    <row r="30" spans="1:8" x14ac:dyDescent="0.2">
      <c r="A30" s="5">
        <v>24</v>
      </c>
      <c r="B30" s="6" t="s">
        <v>163</v>
      </c>
      <c r="C30" s="6" t="s">
        <v>164</v>
      </c>
      <c r="D30" s="6" t="s">
        <v>167</v>
      </c>
      <c r="E30" s="7">
        <v>35402</v>
      </c>
      <c r="F30" s="8">
        <v>307.13005099999998</v>
      </c>
      <c r="G30" s="9">
        <v>1.4387343E-2</v>
      </c>
      <c r="H30" s="167"/>
    </row>
    <row r="31" spans="1:8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37221</v>
      </c>
      <c r="F31" s="8">
        <v>306.64520850000002</v>
      </c>
      <c r="G31" s="9">
        <v>1.436463E-2</v>
      </c>
      <c r="H31" s="167"/>
    </row>
    <row r="32" spans="1:8" x14ac:dyDescent="0.2">
      <c r="A32" s="5">
        <v>26</v>
      </c>
      <c r="B32" s="6" t="s">
        <v>226</v>
      </c>
      <c r="C32" s="6" t="s">
        <v>227</v>
      </c>
      <c r="D32" s="6" t="s">
        <v>32</v>
      </c>
      <c r="E32" s="7">
        <v>36572</v>
      </c>
      <c r="F32" s="8">
        <v>289.357664</v>
      </c>
      <c r="G32" s="9">
        <v>1.3554805E-2</v>
      </c>
      <c r="H32" s="167"/>
    </row>
    <row r="33" spans="1:8" ht="25.5" x14ac:dyDescent="0.2">
      <c r="A33" s="5">
        <v>27</v>
      </c>
      <c r="B33" s="6" t="s">
        <v>449</v>
      </c>
      <c r="C33" s="6" t="s">
        <v>450</v>
      </c>
      <c r="D33" s="6" t="s">
        <v>37</v>
      </c>
      <c r="E33" s="7">
        <v>23869</v>
      </c>
      <c r="F33" s="8">
        <v>289.28034550000001</v>
      </c>
      <c r="G33" s="9">
        <v>1.3551183E-2</v>
      </c>
      <c r="H33" s="167"/>
    </row>
    <row r="34" spans="1:8" ht="25.5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334561</v>
      </c>
      <c r="F34" s="8">
        <v>286.38421599999998</v>
      </c>
      <c r="G34" s="9">
        <v>1.3415514999999999E-2</v>
      </c>
      <c r="H34" s="167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29</v>
      </c>
      <c r="E35" s="7">
        <v>20665</v>
      </c>
      <c r="F35" s="8">
        <v>278.3472175</v>
      </c>
      <c r="G35" s="9">
        <v>1.3039026E-2</v>
      </c>
      <c r="H35" s="167"/>
    </row>
    <row r="36" spans="1:8" x14ac:dyDescent="0.2">
      <c r="A36" s="5">
        <v>30</v>
      </c>
      <c r="B36" s="6" t="s">
        <v>214</v>
      </c>
      <c r="C36" s="6" t="s">
        <v>215</v>
      </c>
      <c r="D36" s="6" t="s">
        <v>976</v>
      </c>
      <c r="E36" s="7">
        <v>89462</v>
      </c>
      <c r="F36" s="8">
        <v>277.913703</v>
      </c>
      <c r="G36" s="9">
        <v>1.3018719E-2</v>
      </c>
      <c r="H36" s="167"/>
    </row>
    <row r="37" spans="1:8" x14ac:dyDescent="0.2">
      <c r="A37" s="5">
        <v>31</v>
      </c>
      <c r="B37" s="6" t="s">
        <v>218</v>
      </c>
      <c r="C37" s="6" t="s">
        <v>219</v>
      </c>
      <c r="D37" s="6" t="s">
        <v>973</v>
      </c>
      <c r="E37" s="7">
        <v>40169</v>
      </c>
      <c r="F37" s="8">
        <v>274.39443899999998</v>
      </c>
      <c r="G37" s="9">
        <v>1.285386E-2</v>
      </c>
      <c r="H37" s="167"/>
    </row>
    <row r="38" spans="1:8" x14ac:dyDescent="0.2">
      <c r="A38" s="5">
        <v>32</v>
      </c>
      <c r="B38" s="6" t="s">
        <v>230</v>
      </c>
      <c r="C38" s="6" t="s">
        <v>231</v>
      </c>
      <c r="D38" s="6" t="s">
        <v>75</v>
      </c>
      <c r="E38" s="7">
        <v>45220</v>
      </c>
      <c r="F38" s="8">
        <v>272.94792000000001</v>
      </c>
      <c r="G38" s="9">
        <v>1.2786099E-2</v>
      </c>
      <c r="H38" s="167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158</v>
      </c>
      <c r="E39" s="7">
        <v>47844</v>
      </c>
      <c r="F39" s="8">
        <v>272.160594</v>
      </c>
      <c r="G39" s="9">
        <v>1.2749217E-2</v>
      </c>
      <c r="H39" s="167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158</v>
      </c>
      <c r="E40" s="7">
        <v>476454</v>
      </c>
      <c r="F40" s="8">
        <v>271.340553</v>
      </c>
      <c r="G40" s="9">
        <v>1.2710803E-2</v>
      </c>
      <c r="H40" s="167"/>
    </row>
    <row r="41" spans="1:8" x14ac:dyDescent="0.2">
      <c r="A41" s="5">
        <v>35</v>
      </c>
      <c r="B41" s="6" t="s">
        <v>206</v>
      </c>
      <c r="C41" s="6" t="s">
        <v>207</v>
      </c>
      <c r="D41" s="6" t="s">
        <v>32</v>
      </c>
      <c r="E41" s="7">
        <v>288303</v>
      </c>
      <c r="F41" s="8">
        <v>271.00482</v>
      </c>
      <c r="G41" s="9">
        <v>1.2695076E-2</v>
      </c>
      <c r="H41" s="167"/>
    </row>
    <row r="42" spans="1:8" x14ac:dyDescent="0.2">
      <c r="A42" s="5">
        <v>36</v>
      </c>
      <c r="B42" s="6" t="s">
        <v>216</v>
      </c>
      <c r="C42" s="6" t="s">
        <v>217</v>
      </c>
      <c r="D42" s="6" t="s">
        <v>192</v>
      </c>
      <c r="E42" s="7">
        <v>51431</v>
      </c>
      <c r="F42" s="8">
        <v>269.36986250000001</v>
      </c>
      <c r="G42" s="9">
        <v>1.2618486999999999E-2</v>
      </c>
      <c r="H42" s="167"/>
    </row>
    <row r="43" spans="1:8" x14ac:dyDescent="0.2">
      <c r="A43" s="5">
        <v>37</v>
      </c>
      <c r="B43" s="6" t="s">
        <v>455</v>
      </c>
      <c r="C43" s="6" t="s">
        <v>456</v>
      </c>
      <c r="D43" s="6" t="s">
        <v>75</v>
      </c>
      <c r="E43" s="7">
        <v>32427</v>
      </c>
      <c r="F43" s="8">
        <v>267.230907</v>
      </c>
      <c r="G43" s="9">
        <v>1.2518289E-2</v>
      </c>
      <c r="H43" s="167"/>
    </row>
    <row r="44" spans="1:8" x14ac:dyDescent="0.2">
      <c r="A44" s="5">
        <v>38</v>
      </c>
      <c r="B44" s="6" t="s">
        <v>461</v>
      </c>
      <c r="C44" s="6" t="s">
        <v>462</v>
      </c>
      <c r="D44" s="6" t="s">
        <v>972</v>
      </c>
      <c r="E44" s="7">
        <v>349791</v>
      </c>
      <c r="F44" s="8">
        <v>264.26710050000003</v>
      </c>
      <c r="G44" s="9">
        <v>1.2379451E-2</v>
      </c>
      <c r="H44" s="167"/>
    </row>
    <row r="45" spans="1:8" x14ac:dyDescent="0.2">
      <c r="A45" s="5">
        <v>39</v>
      </c>
      <c r="B45" s="6" t="s">
        <v>222</v>
      </c>
      <c r="C45" s="6" t="s">
        <v>223</v>
      </c>
      <c r="D45" s="6" t="s">
        <v>971</v>
      </c>
      <c r="E45" s="7">
        <v>79639</v>
      </c>
      <c r="F45" s="8">
        <v>261.21591999999998</v>
      </c>
      <c r="G45" s="9">
        <v>1.2236520000000001E-2</v>
      </c>
      <c r="H45" s="167"/>
    </row>
    <row r="46" spans="1:8" ht="25.5" x14ac:dyDescent="0.2">
      <c r="A46" s="5">
        <v>40</v>
      </c>
      <c r="B46" s="6" t="s">
        <v>228</v>
      </c>
      <c r="C46" s="6" t="s">
        <v>229</v>
      </c>
      <c r="D46" s="6" t="s">
        <v>78</v>
      </c>
      <c r="E46" s="7">
        <v>76500</v>
      </c>
      <c r="F46" s="8">
        <v>259.83224999999999</v>
      </c>
      <c r="G46" s="9">
        <v>1.2171703000000001E-2</v>
      </c>
      <c r="H46" s="167"/>
    </row>
    <row r="47" spans="1:8" x14ac:dyDescent="0.2">
      <c r="A47" s="5">
        <v>41</v>
      </c>
      <c r="B47" s="6" t="s">
        <v>202</v>
      </c>
      <c r="C47" s="6" t="s">
        <v>203</v>
      </c>
      <c r="D47" s="6" t="s">
        <v>57</v>
      </c>
      <c r="E47" s="7">
        <v>23929</v>
      </c>
      <c r="F47" s="8">
        <v>257.71532999999999</v>
      </c>
      <c r="G47" s="9">
        <v>1.2072537E-2</v>
      </c>
      <c r="H47" s="167"/>
    </row>
    <row r="48" spans="1:8" x14ac:dyDescent="0.2">
      <c r="A48" s="5">
        <v>42</v>
      </c>
      <c r="B48" s="6" t="s">
        <v>44</v>
      </c>
      <c r="C48" s="6" t="s">
        <v>45</v>
      </c>
      <c r="D48" s="6" t="s">
        <v>29</v>
      </c>
      <c r="E48" s="7">
        <v>13819</v>
      </c>
      <c r="F48" s="8">
        <v>253.827392</v>
      </c>
      <c r="G48" s="9">
        <v>1.1890408E-2</v>
      </c>
      <c r="H48" s="167"/>
    </row>
    <row r="49" spans="1:8" x14ac:dyDescent="0.2">
      <c r="A49" s="5">
        <v>43</v>
      </c>
      <c r="B49" s="6" t="s">
        <v>286</v>
      </c>
      <c r="C49" s="6" t="s">
        <v>287</v>
      </c>
      <c r="D49" s="6" t="s">
        <v>29</v>
      </c>
      <c r="E49" s="7">
        <v>23993</v>
      </c>
      <c r="F49" s="8">
        <v>243.42098150000001</v>
      </c>
      <c r="G49" s="9">
        <v>1.1402925E-2</v>
      </c>
      <c r="H49" s="167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185</v>
      </c>
      <c r="E50" s="7">
        <v>65216</v>
      </c>
      <c r="F50" s="8">
        <v>234.386304</v>
      </c>
      <c r="G50" s="9">
        <v>1.0979701E-2</v>
      </c>
      <c r="H50" s="167"/>
    </row>
    <row r="51" spans="1:8" x14ac:dyDescent="0.2">
      <c r="A51" s="5">
        <v>45</v>
      </c>
      <c r="B51" s="6" t="s">
        <v>174</v>
      </c>
      <c r="C51" s="6" t="s">
        <v>175</v>
      </c>
      <c r="D51" s="6" t="s">
        <v>50</v>
      </c>
      <c r="E51" s="7">
        <v>53690</v>
      </c>
      <c r="F51" s="8">
        <v>227.51137499999999</v>
      </c>
      <c r="G51" s="9">
        <v>1.0657648E-2</v>
      </c>
      <c r="H51" s="167"/>
    </row>
    <row r="52" spans="1:8" x14ac:dyDescent="0.2">
      <c r="A52" s="5">
        <v>46</v>
      </c>
      <c r="B52" s="6" t="s">
        <v>234</v>
      </c>
      <c r="C52" s="6" t="s">
        <v>235</v>
      </c>
      <c r="D52" s="6" t="s">
        <v>29</v>
      </c>
      <c r="E52" s="7">
        <v>193402</v>
      </c>
      <c r="F52" s="8">
        <v>225.70013399999999</v>
      </c>
      <c r="G52" s="9">
        <v>1.0572801999999999E-2</v>
      </c>
      <c r="H52" s="167"/>
    </row>
    <row r="53" spans="1:8" x14ac:dyDescent="0.2">
      <c r="A53" s="5">
        <v>47</v>
      </c>
      <c r="B53" s="6" t="s">
        <v>238</v>
      </c>
      <c r="C53" s="6" t="s">
        <v>239</v>
      </c>
      <c r="D53" s="6" t="s">
        <v>240</v>
      </c>
      <c r="E53" s="7">
        <v>26891</v>
      </c>
      <c r="F53" s="8">
        <v>219.18854099999999</v>
      </c>
      <c r="G53" s="9">
        <v>1.0267770000000001E-2</v>
      </c>
      <c r="H53" s="167"/>
    </row>
    <row r="54" spans="1:8" ht="25.5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58230</v>
      </c>
      <c r="F54" s="8">
        <v>218.85745499999999</v>
      </c>
      <c r="G54" s="9">
        <v>1.0252259999999999E-2</v>
      </c>
      <c r="H54" s="167"/>
    </row>
    <row r="55" spans="1:8" ht="25.5" x14ac:dyDescent="0.2">
      <c r="A55" s="5">
        <v>49</v>
      </c>
      <c r="B55" s="6" t="s">
        <v>243</v>
      </c>
      <c r="C55" s="6" t="s">
        <v>244</v>
      </c>
      <c r="D55" s="6" t="s">
        <v>78</v>
      </c>
      <c r="E55" s="7">
        <v>60710</v>
      </c>
      <c r="F55" s="8">
        <v>215.21695</v>
      </c>
      <c r="G55" s="9">
        <v>1.0081723000000001E-2</v>
      </c>
      <c r="H55" s="167"/>
    </row>
    <row r="56" spans="1:8" x14ac:dyDescent="0.2">
      <c r="A56" s="5">
        <v>50</v>
      </c>
      <c r="B56" s="6" t="s">
        <v>195</v>
      </c>
      <c r="C56" s="6" t="s">
        <v>196</v>
      </c>
      <c r="D56" s="6" t="s">
        <v>197</v>
      </c>
      <c r="E56" s="7">
        <v>28480</v>
      </c>
      <c r="F56" s="8">
        <v>215.15216000000001</v>
      </c>
      <c r="G56" s="9">
        <v>1.0078688000000001E-2</v>
      </c>
      <c r="H56" s="167"/>
    </row>
    <row r="57" spans="1:8" x14ac:dyDescent="0.2">
      <c r="A57" s="5">
        <v>51</v>
      </c>
      <c r="B57" s="6" t="s">
        <v>459</v>
      </c>
      <c r="C57" s="6" t="s">
        <v>460</v>
      </c>
      <c r="D57" s="6" t="s">
        <v>29</v>
      </c>
      <c r="E57" s="7">
        <v>35318</v>
      </c>
      <c r="F57" s="8">
        <v>211.39588900000001</v>
      </c>
      <c r="G57" s="9">
        <v>9.9027270000000001E-3</v>
      </c>
      <c r="H57" s="167"/>
    </row>
    <row r="58" spans="1:8" x14ac:dyDescent="0.2">
      <c r="A58" s="5">
        <v>52</v>
      </c>
      <c r="B58" s="6" t="s">
        <v>248</v>
      </c>
      <c r="C58" s="6" t="s">
        <v>249</v>
      </c>
      <c r="D58" s="6" t="s">
        <v>192</v>
      </c>
      <c r="E58" s="7">
        <v>14493</v>
      </c>
      <c r="F58" s="8">
        <v>210.264444</v>
      </c>
      <c r="G58" s="9">
        <v>9.8497250000000001E-3</v>
      </c>
      <c r="H58" s="167"/>
    </row>
    <row r="59" spans="1:8" x14ac:dyDescent="0.2">
      <c r="A59" s="5">
        <v>53</v>
      </c>
      <c r="B59" s="6" t="s">
        <v>250</v>
      </c>
      <c r="C59" s="6" t="s">
        <v>251</v>
      </c>
      <c r="D59" s="6" t="s">
        <v>75</v>
      </c>
      <c r="E59" s="7">
        <v>34229</v>
      </c>
      <c r="F59" s="8">
        <v>209.53282350000001</v>
      </c>
      <c r="G59" s="9">
        <v>9.815453E-3</v>
      </c>
      <c r="H59" s="167"/>
    </row>
    <row r="60" spans="1:8" x14ac:dyDescent="0.2">
      <c r="A60" s="5">
        <v>54</v>
      </c>
      <c r="B60" s="6" t="s">
        <v>252</v>
      </c>
      <c r="C60" s="6" t="s">
        <v>253</v>
      </c>
      <c r="D60" s="6" t="s">
        <v>158</v>
      </c>
      <c r="E60" s="7">
        <v>37774</v>
      </c>
      <c r="F60" s="8">
        <v>207.15261599999999</v>
      </c>
      <c r="G60" s="9">
        <v>9.7039529999999995E-3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42347</v>
      </c>
      <c r="F61" s="8">
        <v>204.154887</v>
      </c>
      <c r="G61" s="9">
        <v>9.5635259999999993E-3</v>
      </c>
      <c r="H61" s="167"/>
    </row>
    <row r="62" spans="1:8" x14ac:dyDescent="0.2">
      <c r="A62" s="5">
        <v>56</v>
      </c>
      <c r="B62" s="6" t="s">
        <v>95</v>
      </c>
      <c r="C62" s="6" t="s">
        <v>96</v>
      </c>
      <c r="D62" s="6" t="s">
        <v>75</v>
      </c>
      <c r="E62" s="7">
        <v>79370</v>
      </c>
      <c r="F62" s="8">
        <v>203.22688500000001</v>
      </c>
      <c r="G62" s="9">
        <v>9.5200549999999995E-3</v>
      </c>
      <c r="H62" s="167"/>
    </row>
    <row r="63" spans="1:8" x14ac:dyDescent="0.2">
      <c r="A63" s="5">
        <v>57</v>
      </c>
      <c r="B63" s="6" t="s">
        <v>245</v>
      </c>
      <c r="C63" s="6" t="s">
        <v>246</v>
      </c>
      <c r="D63" s="6" t="s">
        <v>247</v>
      </c>
      <c r="E63" s="7">
        <v>123782</v>
      </c>
      <c r="F63" s="8">
        <v>203.00247999999999</v>
      </c>
      <c r="G63" s="9">
        <v>9.5095419999999993E-3</v>
      </c>
      <c r="H63" s="167"/>
    </row>
    <row r="64" spans="1:8" x14ac:dyDescent="0.2">
      <c r="A64" s="5">
        <v>58</v>
      </c>
      <c r="B64" s="6" t="s">
        <v>258</v>
      </c>
      <c r="C64" s="6" t="s">
        <v>259</v>
      </c>
      <c r="D64" s="6" t="s">
        <v>23</v>
      </c>
      <c r="E64" s="7">
        <v>191773</v>
      </c>
      <c r="F64" s="8">
        <v>201.26576349999999</v>
      </c>
      <c r="G64" s="9">
        <v>9.4281869999999993E-3</v>
      </c>
      <c r="H64" s="167"/>
    </row>
    <row r="65" spans="1:8" x14ac:dyDescent="0.2">
      <c r="A65" s="5">
        <v>59</v>
      </c>
      <c r="B65" s="6" t="s">
        <v>224</v>
      </c>
      <c r="C65" s="6" t="s">
        <v>225</v>
      </c>
      <c r="D65" s="6" t="s">
        <v>185</v>
      </c>
      <c r="E65" s="7">
        <v>46515</v>
      </c>
      <c r="F65" s="8">
        <v>192.08369250000001</v>
      </c>
      <c r="G65" s="9">
        <v>8.9980579999999998E-3</v>
      </c>
      <c r="H65" s="167"/>
    </row>
    <row r="66" spans="1:8" ht="25.5" x14ac:dyDescent="0.2">
      <c r="A66" s="5">
        <v>60</v>
      </c>
      <c r="B66" s="6" t="s">
        <v>200</v>
      </c>
      <c r="C66" s="6" t="s">
        <v>201</v>
      </c>
      <c r="D66" s="6" t="s">
        <v>75</v>
      </c>
      <c r="E66" s="7">
        <v>8392</v>
      </c>
      <c r="F66" s="8">
        <v>189.15567999999999</v>
      </c>
      <c r="G66" s="9">
        <v>8.8608960000000001E-3</v>
      </c>
      <c r="H66" s="167"/>
    </row>
    <row r="67" spans="1:8" x14ac:dyDescent="0.2">
      <c r="A67" s="5">
        <v>61</v>
      </c>
      <c r="B67" s="6" t="s">
        <v>260</v>
      </c>
      <c r="C67" s="6" t="s">
        <v>926</v>
      </c>
      <c r="D67" s="6" t="s">
        <v>261</v>
      </c>
      <c r="E67" s="7">
        <v>72207</v>
      </c>
      <c r="F67" s="8">
        <v>172.10538450000001</v>
      </c>
      <c r="G67" s="9">
        <v>8.0621849999999995E-3</v>
      </c>
      <c r="H67" s="167"/>
    </row>
    <row r="68" spans="1:8" ht="25.5" x14ac:dyDescent="0.2">
      <c r="A68" s="5">
        <v>62</v>
      </c>
      <c r="B68" s="6" t="s">
        <v>161</v>
      </c>
      <c r="C68" s="6" t="s">
        <v>162</v>
      </c>
      <c r="D68" s="6" t="s">
        <v>970</v>
      </c>
      <c r="E68" s="7">
        <v>93537</v>
      </c>
      <c r="F68" s="8">
        <v>170.4711825</v>
      </c>
      <c r="G68" s="9">
        <v>7.985631E-3</v>
      </c>
      <c r="H68" s="167"/>
    </row>
    <row r="69" spans="1:8" x14ac:dyDescent="0.2">
      <c r="A69" s="5">
        <v>63</v>
      </c>
      <c r="B69" s="6" t="s">
        <v>453</v>
      </c>
      <c r="C69" s="6" t="s">
        <v>454</v>
      </c>
      <c r="D69" s="6" t="s">
        <v>158</v>
      </c>
      <c r="E69" s="7">
        <v>53184</v>
      </c>
      <c r="F69" s="8">
        <v>169.49740800000001</v>
      </c>
      <c r="G69" s="9">
        <v>7.9400149999999999E-3</v>
      </c>
      <c r="H69" s="167"/>
    </row>
    <row r="70" spans="1:8" x14ac:dyDescent="0.2">
      <c r="A70" s="5">
        <v>64</v>
      </c>
      <c r="B70" s="6" t="s">
        <v>262</v>
      </c>
      <c r="C70" s="6" t="s">
        <v>263</v>
      </c>
      <c r="D70" s="6" t="s">
        <v>185</v>
      </c>
      <c r="E70" s="7">
        <v>29625</v>
      </c>
      <c r="F70" s="8">
        <v>168.46256249999999</v>
      </c>
      <c r="G70" s="9">
        <v>7.891538E-3</v>
      </c>
      <c r="H70" s="167"/>
    </row>
    <row r="71" spans="1:8" x14ac:dyDescent="0.2">
      <c r="A71" s="5">
        <v>65</v>
      </c>
      <c r="B71" s="6" t="s">
        <v>463</v>
      </c>
      <c r="C71" s="6" t="s">
        <v>464</v>
      </c>
      <c r="D71" s="6" t="s">
        <v>158</v>
      </c>
      <c r="E71" s="7">
        <v>26475</v>
      </c>
      <c r="F71" s="8">
        <v>165.81292500000001</v>
      </c>
      <c r="G71" s="9">
        <v>7.7674179999999999E-3</v>
      </c>
      <c r="H71" s="167"/>
    </row>
    <row r="72" spans="1:8" x14ac:dyDescent="0.2">
      <c r="A72" s="5">
        <v>66</v>
      </c>
      <c r="B72" s="6" t="s">
        <v>270</v>
      </c>
      <c r="C72" s="6" t="s">
        <v>271</v>
      </c>
      <c r="D72" s="6" t="s">
        <v>75</v>
      </c>
      <c r="E72" s="7">
        <v>98339</v>
      </c>
      <c r="F72" s="8">
        <v>155.47395900000001</v>
      </c>
      <c r="G72" s="9">
        <v>7.2830940000000004E-3</v>
      </c>
      <c r="H72" s="167"/>
    </row>
    <row r="73" spans="1:8" ht="25.5" x14ac:dyDescent="0.2">
      <c r="A73" s="5">
        <v>67</v>
      </c>
      <c r="B73" s="6" t="s">
        <v>256</v>
      </c>
      <c r="C73" s="6" t="s">
        <v>257</v>
      </c>
      <c r="D73" s="6" t="s">
        <v>975</v>
      </c>
      <c r="E73" s="7">
        <v>176425</v>
      </c>
      <c r="F73" s="8">
        <v>149.69661249999999</v>
      </c>
      <c r="G73" s="9">
        <v>7.0124580000000001E-3</v>
      </c>
      <c r="H73" s="167"/>
    </row>
    <row r="74" spans="1:8" x14ac:dyDescent="0.2">
      <c r="A74" s="5">
        <v>68</v>
      </c>
      <c r="B74" s="6" t="s">
        <v>272</v>
      </c>
      <c r="C74" s="6" t="s">
        <v>273</v>
      </c>
      <c r="D74" s="6" t="s">
        <v>972</v>
      </c>
      <c r="E74" s="7">
        <v>8929</v>
      </c>
      <c r="F74" s="8">
        <v>138.31021000000001</v>
      </c>
      <c r="G74" s="9">
        <v>6.4790680000000002E-3</v>
      </c>
      <c r="H74" s="167"/>
    </row>
    <row r="75" spans="1:8" x14ac:dyDescent="0.2">
      <c r="A75" s="5">
        <v>69</v>
      </c>
      <c r="B75" s="6" t="s">
        <v>292</v>
      </c>
      <c r="C75" s="6" t="s">
        <v>293</v>
      </c>
      <c r="D75" s="6" t="s">
        <v>971</v>
      </c>
      <c r="E75" s="7">
        <v>319686</v>
      </c>
      <c r="F75" s="8">
        <v>125.956284</v>
      </c>
      <c r="G75" s="9">
        <v>5.9003550000000004E-3</v>
      </c>
      <c r="H75" s="167"/>
    </row>
    <row r="76" spans="1:8" x14ac:dyDescent="0.2">
      <c r="A76" s="5">
        <v>70</v>
      </c>
      <c r="B76" s="6" t="s">
        <v>274</v>
      </c>
      <c r="C76" s="6" t="s">
        <v>275</v>
      </c>
      <c r="D76" s="6" t="s">
        <v>153</v>
      </c>
      <c r="E76" s="7">
        <v>8196</v>
      </c>
      <c r="F76" s="8">
        <v>125.722542</v>
      </c>
      <c r="G76" s="9">
        <v>5.8894050000000003E-3</v>
      </c>
      <c r="H76" s="167"/>
    </row>
    <row r="77" spans="1:8" x14ac:dyDescent="0.2">
      <c r="A77" s="5">
        <v>71</v>
      </c>
      <c r="B77" s="6" t="s">
        <v>278</v>
      </c>
      <c r="C77" s="6" t="s">
        <v>279</v>
      </c>
      <c r="D77" s="6" t="s">
        <v>192</v>
      </c>
      <c r="E77" s="7">
        <v>12446</v>
      </c>
      <c r="F77" s="8">
        <v>118.37390600000001</v>
      </c>
      <c r="G77" s="9">
        <v>5.5451620000000002E-3</v>
      </c>
      <c r="H77" s="167"/>
    </row>
    <row r="78" spans="1:8" x14ac:dyDescent="0.2">
      <c r="A78" s="5">
        <v>72</v>
      </c>
      <c r="B78" s="6" t="s">
        <v>276</v>
      </c>
      <c r="C78" s="6" t="s">
        <v>277</v>
      </c>
      <c r="D78" s="6" t="s">
        <v>167</v>
      </c>
      <c r="E78" s="7">
        <v>19732</v>
      </c>
      <c r="F78" s="8">
        <v>109.384342</v>
      </c>
      <c r="G78" s="9">
        <v>5.1240510000000001E-3</v>
      </c>
      <c r="H78" s="167"/>
    </row>
    <row r="79" spans="1:8" x14ac:dyDescent="0.2">
      <c r="A79" s="5">
        <v>73</v>
      </c>
      <c r="B79" s="6" t="s">
        <v>280</v>
      </c>
      <c r="C79" s="6" t="s">
        <v>281</v>
      </c>
      <c r="D79" s="6" t="s">
        <v>971</v>
      </c>
      <c r="E79" s="7">
        <v>193860</v>
      </c>
      <c r="F79" s="8">
        <v>81.033479999999997</v>
      </c>
      <c r="G79" s="9">
        <v>3.7959700000000001E-3</v>
      </c>
      <c r="H79" s="167"/>
    </row>
    <row r="80" spans="1:8" x14ac:dyDescent="0.2">
      <c r="A80" s="5">
        <v>74</v>
      </c>
      <c r="B80" s="6" t="s">
        <v>282</v>
      </c>
      <c r="C80" s="6" t="s">
        <v>283</v>
      </c>
      <c r="D80" s="6" t="s">
        <v>284</v>
      </c>
      <c r="E80" s="7">
        <v>44577</v>
      </c>
      <c r="F80" s="8">
        <v>64.636650000000003</v>
      </c>
      <c r="G80" s="9">
        <v>3.0278689999999999E-3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0">
        <v>20928.176632999999</v>
      </c>
      <c r="G81" s="11">
        <v>0.98036922299999996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105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106</v>
      </c>
      <c r="D86" s="3" t="s">
        <v>10</v>
      </c>
      <c r="E86" s="3" t="s">
        <v>10</v>
      </c>
      <c r="F86" s="3" t="s">
        <v>10</v>
      </c>
      <c r="G86" s="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110</v>
      </c>
      <c r="D89" s="3" t="s">
        <v>10</v>
      </c>
      <c r="E89" s="3" t="s">
        <v>10</v>
      </c>
      <c r="F89" s="3" t="s">
        <v>10</v>
      </c>
      <c r="G89" s="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111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112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113</v>
      </c>
      <c r="D98" s="3" t="s">
        <v>10</v>
      </c>
      <c r="E98" s="3" t="s">
        <v>10</v>
      </c>
      <c r="F98" s="10">
        <v>20928.176632999999</v>
      </c>
      <c r="G98" s="11">
        <v>0.98036922299999996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114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ht="25.5" x14ac:dyDescent="0.2">
      <c r="A101" s="3" t="s">
        <v>10</v>
      </c>
      <c r="B101" s="3" t="s">
        <v>10</v>
      </c>
      <c r="C101" s="4" t="s">
        <v>12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115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116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117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118</v>
      </c>
      <c r="D113" s="3" t="s">
        <v>10</v>
      </c>
      <c r="E113" s="3" t="s">
        <v>10</v>
      </c>
      <c r="F113" s="10">
        <v>0</v>
      </c>
      <c r="G113" s="11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119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121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4">
        <v>0</v>
      </c>
      <c r="G120" s="15">
        <v>0</v>
      </c>
      <c r="H120" s="167"/>
    </row>
    <row r="121" spans="1:8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122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104</v>
      </c>
      <c r="D123" s="3" t="s">
        <v>10</v>
      </c>
      <c r="E123" s="3" t="s">
        <v>10</v>
      </c>
      <c r="F123" s="14">
        <v>0</v>
      </c>
      <c r="G123" s="15">
        <v>0</v>
      </c>
      <c r="H123" s="167"/>
    </row>
    <row r="124" spans="1:8" x14ac:dyDescent="0.2">
      <c r="A124" s="3" t="s">
        <v>10</v>
      </c>
      <c r="B124" s="3" t="s">
        <v>10</v>
      </c>
      <c r="C124" s="12" t="s">
        <v>10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123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5">
        <v>1</v>
      </c>
      <c r="B126" s="6"/>
      <c r="C126" s="6" t="s">
        <v>124</v>
      </c>
      <c r="D126" s="6"/>
      <c r="E126" s="16" t="s">
        <v>10</v>
      </c>
      <c r="F126" s="8">
        <v>296.82650969999997</v>
      </c>
      <c r="G126" s="9">
        <v>1.3904679E-2</v>
      </c>
      <c r="H126" s="108">
        <v>3.23</v>
      </c>
    </row>
    <row r="127" spans="1:8" x14ac:dyDescent="0.2">
      <c r="A127" s="5">
        <v>2</v>
      </c>
      <c r="B127" s="6"/>
      <c r="C127" s="6" t="s">
        <v>125</v>
      </c>
      <c r="D127" s="6"/>
      <c r="E127" s="16" t="s">
        <v>10</v>
      </c>
      <c r="F127" s="8">
        <v>83.375548699999996</v>
      </c>
      <c r="G127" s="9">
        <v>3.9056830000000001E-3</v>
      </c>
      <c r="H127" s="108">
        <v>3.35</v>
      </c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0">
        <v>380.2020584</v>
      </c>
      <c r="G128" s="11">
        <v>1.7810362E-2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126</v>
      </c>
      <c r="D130" s="3" t="s">
        <v>10</v>
      </c>
      <c r="E130" s="3" t="s">
        <v>10</v>
      </c>
      <c r="F130" s="10">
        <v>380.2020584</v>
      </c>
      <c r="G130" s="11">
        <v>1.7810362E-2</v>
      </c>
      <c r="H130" s="167"/>
    </row>
    <row r="131" spans="1:8" x14ac:dyDescent="0.2">
      <c r="A131" s="3" t="s">
        <v>10</v>
      </c>
      <c r="B131" s="3" t="s">
        <v>10</v>
      </c>
      <c r="C131" s="13" t="s">
        <v>10</v>
      </c>
      <c r="D131" s="3" t="s">
        <v>10</v>
      </c>
      <c r="E131" s="3" t="s">
        <v>10</v>
      </c>
      <c r="F131" s="3" t="s">
        <v>10</v>
      </c>
      <c r="G131" s="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127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128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3" t="s">
        <v>10</v>
      </c>
      <c r="C136" s="4" t="s">
        <v>129</v>
      </c>
      <c r="D136" s="3" t="s">
        <v>10</v>
      </c>
      <c r="E136" s="3" t="s">
        <v>10</v>
      </c>
      <c r="F136" s="3" t="s">
        <v>10</v>
      </c>
      <c r="G136" s="3" t="s">
        <v>10</v>
      </c>
      <c r="H136" s="167"/>
    </row>
    <row r="137" spans="1:8" x14ac:dyDescent="0.2">
      <c r="A137" s="3" t="s">
        <v>10</v>
      </c>
      <c r="B137" s="3" t="s">
        <v>10</v>
      </c>
      <c r="C137" s="4" t="s">
        <v>130</v>
      </c>
      <c r="D137" s="3" t="s">
        <v>10</v>
      </c>
      <c r="E137" s="3" t="s">
        <v>10</v>
      </c>
      <c r="F137" s="3" t="s">
        <v>10</v>
      </c>
      <c r="G137" s="3" t="s">
        <v>10</v>
      </c>
      <c r="H137" s="167"/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4">
        <v>0</v>
      </c>
      <c r="G138" s="15">
        <v>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ht="25.5" x14ac:dyDescent="0.2">
      <c r="A141" s="3" t="s">
        <v>10</v>
      </c>
      <c r="B141" s="3" t="s">
        <v>10</v>
      </c>
      <c r="C141" s="4" t="s">
        <v>131</v>
      </c>
      <c r="D141" s="3" t="s">
        <v>10</v>
      </c>
      <c r="E141" s="3" t="s">
        <v>10</v>
      </c>
      <c r="F141" s="13" t="s">
        <v>10</v>
      </c>
      <c r="G141" s="13" t="s">
        <v>10</v>
      </c>
      <c r="H141" s="167"/>
    </row>
    <row r="142" spans="1:8" x14ac:dyDescent="0.2">
      <c r="A142" s="3" t="s">
        <v>10</v>
      </c>
      <c r="B142" s="3" t="s">
        <v>10</v>
      </c>
      <c r="C142" s="4" t="s">
        <v>104</v>
      </c>
      <c r="D142" s="3" t="s">
        <v>10</v>
      </c>
      <c r="E142" s="3" t="s">
        <v>10</v>
      </c>
      <c r="F142" s="14">
        <v>0</v>
      </c>
      <c r="G142" s="15">
        <v>0</v>
      </c>
      <c r="H142" s="167"/>
    </row>
    <row r="143" spans="1:8" x14ac:dyDescent="0.2">
      <c r="A143" s="3" t="s">
        <v>10</v>
      </c>
      <c r="B143" s="3" t="s">
        <v>10</v>
      </c>
      <c r="C143" s="12" t="s">
        <v>10</v>
      </c>
      <c r="D143" s="3" t="s">
        <v>10</v>
      </c>
      <c r="E143" s="3" t="s">
        <v>10</v>
      </c>
      <c r="F143" s="13" t="s">
        <v>10</v>
      </c>
      <c r="G143" s="13" t="s">
        <v>10</v>
      </c>
      <c r="H143" s="167"/>
    </row>
    <row r="144" spans="1:8" x14ac:dyDescent="0.2">
      <c r="A144" s="3" t="s">
        <v>10</v>
      </c>
      <c r="B144" s="6" t="s">
        <v>10</v>
      </c>
      <c r="C144" s="6" t="s">
        <v>10</v>
      </c>
      <c r="D144" s="4" t="s">
        <v>10</v>
      </c>
      <c r="E144" s="3" t="s">
        <v>10</v>
      </c>
      <c r="F144" s="6" t="s">
        <v>10</v>
      </c>
      <c r="G144" s="16" t="s">
        <v>10</v>
      </c>
      <c r="H144" s="167"/>
    </row>
    <row r="145" spans="1:8" x14ac:dyDescent="0.2">
      <c r="A145" s="16" t="s">
        <v>10</v>
      </c>
      <c r="B145" s="6" t="s">
        <v>10</v>
      </c>
      <c r="C145" s="6" t="s">
        <v>132</v>
      </c>
      <c r="D145" s="6" t="s">
        <v>10</v>
      </c>
      <c r="E145" s="16" t="s">
        <v>10</v>
      </c>
      <c r="F145" s="8">
        <v>38.860898229999997</v>
      </c>
      <c r="G145" s="9">
        <v>1.8204180000000001E-3</v>
      </c>
      <c r="H145" s="167"/>
    </row>
    <row r="146" spans="1:8" x14ac:dyDescent="0.2">
      <c r="A146" s="12" t="s">
        <v>10</v>
      </c>
      <c r="B146" s="12" t="s">
        <v>10</v>
      </c>
      <c r="C146" s="4" t="s">
        <v>133</v>
      </c>
      <c r="D146" s="17" t="s">
        <v>10</v>
      </c>
      <c r="E146" s="17" t="s">
        <v>10</v>
      </c>
      <c r="F146" s="10">
        <v>21347.23958963</v>
      </c>
      <c r="G146" s="11">
        <v>1.000000003</v>
      </c>
      <c r="H146" s="167"/>
    </row>
    <row r="147" spans="1:8" ht="14.1" customHeight="1" x14ac:dyDescent="0.2">
      <c r="A147" s="18" t="s">
        <v>10</v>
      </c>
      <c r="B147" s="18" t="s">
        <v>10</v>
      </c>
      <c r="C147" s="18" t="s">
        <v>10</v>
      </c>
      <c r="D147" s="19" t="s">
        <v>10</v>
      </c>
      <c r="E147" s="19" t="s">
        <v>10</v>
      </c>
      <c r="F147" s="19" t="s">
        <v>10</v>
      </c>
      <c r="G147" s="19" t="s">
        <v>10</v>
      </c>
    </row>
    <row r="148" spans="1:8" ht="14.1" customHeight="1" x14ac:dyDescent="0.2">
      <c r="A148" s="20" t="s">
        <v>10</v>
      </c>
      <c r="B148" s="208" t="s">
        <v>10</v>
      </c>
      <c r="C148" s="208"/>
      <c r="D148" s="208"/>
      <c r="E148" s="208"/>
      <c r="F148" s="208"/>
      <c r="G148" s="22" t="s">
        <v>10</v>
      </c>
    </row>
    <row r="149" spans="1:8" ht="14.1" customHeight="1" x14ac:dyDescent="0.2">
      <c r="A149" s="20" t="s">
        <v>10</v>
      </c>
      <c r="B149" s="208" t="s">
        <v>10</v>
      </c>
      <c r="C149" s="208"/>
      <c r="D149" s="208"/>
      <c r="E149" s="208"/>
      <c r="F149" s="208"/>
      <c r="G149" s="22" t="s">
        <v>10</v>
      </c>
    </row>
    <row r="150" spans="1:8" ht="14.1" customHeight="1" x14ac:dyDescent="0.2">
      <c r="A150" s="20" t="s">
        <v>10</v>
      </c>
      <c r="B150" s="20" t="s">
        <v>10</v>
      </c>
      <c r="C150" s="20" t="s">
        <v>10</v>
      </c>
      <c r="D150" s="22" t="s">
        <v>10</v>
      </c>
      <c r="E150" s="22" t="s">
        <v>10</v>
      </c>
      <c r="F150" s="22" t="s">
        <v>10</v>
      </c>
      <c r="G150" s="22" t="s">
        <v>10</v>
      </c>
    </row>
    <row r="151" spans="1:8" ht="14.1" customHeight="1" x14ac:dyDescent="0.2">
      <c r="A151" s="20" t="s">
        <v>10</v>
      </c>
      <c r="B151" s="206" t="s">
        <v>134</v>
      </c>
      <c r="C151" s="207"/>
      <c r="D151" s="13" t="s">
        <v>10</v>
      </c>
      <c r="E151" s="23" t="s">
        <v>10</v>
      </c>
      <c r="F151" s="22" t="s">
        <v>10</v>
      </c>
      <c r="G151" s="22" t="s">
        <v>10</v>
      </c>
    </row>
    <row r="152" spans="1:8" ht="29.1" customHeight="1" x14ac:dyDescent="0.2">
      <c r="A152" s="20" t="s">
        <v>10</v>
      </c>
      <c r="B152" s="213" t="s">
        <v>135</v>
      </c>
      <c r="C152" s="214"/>
      <c r="D152" s="4" t="s">
        <v>136</v>
      </c>
      <c r="E152" s="23" t="s">
        <v>10</v>
      </c>
      <c r="F152" s="22" t="s">
        <v>10</v>
      </c>
      <c r="G152" s="22" t="s">
        <v>10</v>
      </c>
    </row>
    <row r="153" spans="1:8" ht="17.100000000000001" customHeight="1" x14ac:dyDescent="0.2">
      <c r="A153" s="20" t="s">
        <v>10</v>
      </c>
      <c r="B153" s="213" t="s">
        <v>137</v>
      </c>
      <c r="C153" s="214"/>
      <c r="D153" s="4" t="s">
        <v>136</v>
      </c>
      <c r="E153" s="23" t="s">
        <v>10</v>
      </c>
      <c r="F153" s="22" t="s">
        <v>10</v>
      </c>
      <c r="G153" s="22" t="s">
        <v>10</v>
      </c>
    </row>
    <row r="154" spans="1:8" ht="17.100000000000001" customHeight="1" x14ac:dyDescent="0.2">
      <c r="A154" s="20" t="s">
        <v>10</v>
      </c>
      <c r="B154" s="213" t="s">
        <v>138</v>
      </c>
      <c r="C154" s="214"/>
      <c r="D154" s="13" t="s">
        <v>10</v>
      </c>
      <c r="E154" s="23" t="s">
        <v>10</v>
      </c>
      <c r="F154" s="22" t="s">
        <v>10</v>
      </c>
      <c r="G154" s="22" t="s">
        <v>10</v>
      </c>
    </row>
    <row r="155" spans="1:8" s="20" customFormat="1" ht="17.100000000000001" customHeight="1" x14ac:dyDescent="0.2"/>
    <row r="156" spans="1:8" x14ac:dyDescent="0.2">
      <c r="A156" s="24" t="s">
        <v>10</v>
      </c>
      <c r="B156" s="140" t="s">
        <v>10</v>
      </c>
      <c r="C156" s="140" t="s">
        <v>139</v>
      </c>
      <c r="D156" s="140" t="s">
        <v>140</v>
      </c>
      <c r="E156" s="24" t="s">
        <v>10</v>
      </c>
      <c r="F156" s="24" t="s">
        <v>10</v>
      </c>
      <c r="G156" s="24" t="s">
        <v>10</v>
      </c>
    </row>
    <row r="157" spans="1:8" ht="18" customHeight="1" x14ac:dyDescent="0.2">
      <c r="A157" s="24" t="s">
        <v>10</v>
      </c>
      <c r="B157" s="25" t="s">
        <v>141</v>
      </c>
      <c r="C157" s="25" t="s">
        <v>142</v>
      </c>
      <c r="D157" s="25" t="s">
        <v>143</v>
      </c>
      <c r="E157" s="24" t="s">
        <v>10</v>
      </c>
      <c r="F157" s="24" t="s">
        <v>10</v>
      </c>
      <c r="G157" s="24" t="s">
        <v>10</v>
      </c>
    </row>
    <row r="158" spans="1:8" ht="17.100000000000001" customHeight="1" x14ac:dyDescent="0.2">
      <c r="A158" s="24" t="s">
        <v>10</v>
      </c>
      <c r="B158" s="6" t="s">
        <v>144</v>
      </c>
      <c r="C158" s="26">
        <v>12.6623</v>
      </c>
      <c r="D158" s="26">
        <v>13.9993</v>
      </c>
      <c r="E158" s="24" t="s">
        <v>10</v>
      </c>
      <c r="F158" s="21" t="s">
        <v>10</v>
      </c>
      <c r="G158" s="27" t="s">
        <v>10</v>
      </c>
    </row>
    <row r="159" spans="1:8" ht="17.100000000000001" customHeight="1" x14ac:dyDescent="0.2">
      <c r="A159" s="24" t="s">
        <v>10</v>
      </c>
      <c r="B159" s="6" t="s">
        <v>917</v>
      </c>
      <c r="C159" s="26">
        <v>12.6625</v>
      </c>
      <c r="D159" s="26">
        <v>13.7423</v>
      </c>
      <c r="E159" s="24" t="s">
        <v>10</v>
      </c>
      <c r="F159" s="21" t="s">
        <v>10</v>
      </c>
      <c r="G159" s="27" t="s">
        <v>10</v>
      </c>
    </row>
    <row r="160" spans="1:8" ht="17.100000000000001" customHeight="1" x14ac:dyDescent="0.2">
      <c r="A160" s="24" t="s">
        <v>10</v>
      </c>
      <c r="B160" s="6" t="s">
        <v>145</v>
      </c>
      <c r="C160" s="26">
        <v>12.3474</v>
      </c>
      <c r="D160" s="26">
        <v>13.6441</v>
      </c>
      <c r="E160" s="24" t="s">
        <v>10</v>
      </c>
      <c r="F160" s="21" t="s">
        <v>10</v>
      </c>
      <c r="G160" s="27" t="s">
        <v>10</v>
      </c>
    </row>
    <row r="161" spans="1:8" ht="17.100000000000001" customHeight="1" x14ac:dyDescent="0.2">
      <c r="A161" s="24" t="s">
        <v>10</v>
      </c>
      <c r="B161" s="6" t="s">
        <v>918</v>
      </c>
      <c r="C161" s="26">
        <v>12.3474</v>
      </c>
      <c r="D161" s="26">
        <v>13.387</v>
      </c>
      <c r="E161" s="24" t="s">
        <v>10</v>
      </c>
      <c r="F161" s="21" t="s">
        <v>10</v>
      </c>
      <c r="G161" s="27" t="s">
        <v>10</v>
      </c>
    </row>
    <row r="162" spans="1:8" ht="14.1" customHeight="1" x14ac:dyDescent="0.2">
      <c r="A162" s="24" t="s">
        <v>10</v>
      </c>
      <c r="B162" s="24" t="s">
        <v>10</v>
      </c>
      <c r="C162" s="24" t="s">
        <v>10</v>
      </c>
      <c r="D162" s="24" t="s">
        <v>10</v>
      </c>
      <c r="E162" s="24" t="s">
        <v>10</v>
      </c>
      <c r="F162" s="24" t="s">
        <v>10</v>
      </c>
      <c r="G162" s="24" t="s">
        <v>10</v>
      </c>
    </row>
    <row r="163" spans="1:8" ht="29.1" customHeight="1" x14ac:dyDescent="0.2">
      <c r="A163" s="24" t="s">
        <v>10</v>
      </c>
      <c r="B163" s="220" t="s">
        <v>999</v>
      </c>
      <c r="C163" s="220"/>
      <c r="D163" s="145"/>
      <c r="E163" s="24" t="s">
        <v>10</v>
      </c>
      <c r="F163" s="24" t="s">
        <v>10</v>
      </c>
      <c r="G163" s="24" t="s">
        <v>10</v>
      </c>
    </row>
    <row r="164" spans="1:8" s="144" customFormat="1" ht="15" x14ac:dyDescent="0.2">
      <c r="A164" s="141" t="s">
        <v>10</v>
      </c>
      <c r="B164" s="142" t="s">
        <v>141</v>
      </c>
      <c r="C164" s="142" t="s">
        <v>827</v>
      </c>
      <c r="D164" s="142" t="s">
        <v>828</v>
      </c>
      <c r="E164" s="141" t="s">
        <v>10</v>
      </c>
      <c r="F164" s="141" t="s">
        <v>10</v>
      </c>
      <c r="G164" s="141" t="s">
        <v>10</v>
      </c>
      <c r="H164" s="143"/>
    </row>
    <row r="165" spans="1:8" ht="17.100000000000001" customHeight="1" x14ac:dyDescent="0.2">
      <c r="A165" s="24" t="s">
        <v>10</v>
      </c>
      <c r="B165" s="146" t="s">
        <v>917</v>
      </c>
      <c r="C165" s="147">
        <v>0.25</v>
      </c>
      <c r="D165" s="149" t="s">
        <v>782</v>
      </c>
      <c r="E165" s="24" t="s">
        <v>10</v>
      </c>
      <c r="F165" s="21" t="s">
        <v>10</v>
      </c>
      <c r="G165" s="27" t="s">
        <v>10</v>
      </c>
    </row>
    <row r="166" spans="1:8" ht="17.100000000000001" customHeight="1" x14ac:dyDescent="0.2">
      <c r="A166" s="24" t="s">
        <v>10</v>
      </c>
      <c r="B166" s="146" t="s">
        <v>918</v>
      </c>
      <c r="C166" s="147">
        <v>0.25</v>
      </c>
      <c r="D166" s="149" t="s">
        <v>782</v>
      </c>
      <c r="E166" s="24" t="s">
        <v>10</v>
      </c>
      <c r="F166" s="21" t="s">
        <v>10</v>
      </c>
      <c r="G166" s="27" t="s">
        <v>10</v>
      </c>
    </row>
    <row r="167" spans="1:8" ht="17.100000000000001" customHeight="1" x14ac:dyDescent="0.2">
      <c r="A167" s="24"/>
      <c r="B167" s="150"/>
      <c r="C167" s="173"/>
      <c r="D167" s="174"/>
      <c r="E167" s="24"/>
      <c r="F167" s="150"/>
      <c r="G167" s="27"/>
    </row>
    <row r="168" spans="1:8" s="175" customFormat="1" x14ac:dyDescent="0.2">
      <c r="B168" s="221" t="s">
        <v>919</v>
      </c>
      <c r="C168" s="221"/>
      <c r="D168" s="221"/>
      <c r="E168" s="221"/>
      <c r="F168" s="221"/>
    </row>
    <row r="169" spans="1:8" ht="14.1" customHeight="1" x14ac:dyDescent="0.2">
      <c r="A169" s="24" t="s">
        <v>10</v>
      </c>
      <c r="B169" s="21" t="s">
        <v>10</v>
      </c>
      <c r="C169" s="21" t="s">
        <v>10</v>
      </c>
      <c r="D169" s="24" t="s">
        <v>10</v>
      </c>
      <c r="E169" s="24" t="s">
        <v>10</v>
      </c>
      <c r="F169" s="24" t="s">
        <v>10</v>
      </c>
      <c r="G169" s="24" t="s">
        <v>10</v>
      </c>
    </row>
    <row r="170" spans="1:8" ht="29.1" customHeight="1" x14ac:dyDescent="0.2">
      <c r="A170" s="24" t="s">
        <v>10</v>
      </c>
      <c r="B170" s="213" t="s">
        <v>146</v>
      </c>
      <c r="C170" s="214"/>
      <c r="D170" s="4" t="s">
        <v>136</v>
      </c>
      <c r="E170" s="24" t="s">
        <v>10</v>
      </c>
      <c r="F170" s="24" t="s">
        <v>10</v>
      </c>
      <c r="G170" s="24" t="s">
        <v>10</v>
      </c>
    </row>
    <row r="171" spans="1:8" ht="29.1" customHeight="1" x14ac:dyDescent="0.2">
      <c r="A171" s="24" t="s">
        <v>10</v>
      </c>
      <c r="B171" s="213" t="s">
        <v>147</v>
      </c>
      <c r="C171" s="214"/>
      <c r="D171" s="4" t="s">
        <v>136</v>
      </c>
      <c r="E171" s="24" t="s">
        <v>10</v>
      </c>
      <c r="F171" s="24" t="s">
        <v>10</v>
      </c>
      <c r="G171" s="24" t="s">
        <v>10</v>
      </c>
    </row>
    <row r="172" spans="1:8" ht="17.100000000000001" customHeight="1" x14ac:dyDescent="0.2">
      <c r="A172" s="24" t="s">
        <v>10</v>
      </c>
      <c r="B172" s="213" t="s">
        <v>148</v>
      </c>
      <c r="C172" s="214"/>
      <c r="D172" s="30">
        <v>0.47093904181067048</v>
      </c>
      <c r="E172" s="24" t="s">
        <v>10</v>
      </c>
      <c r="F172" s="21" t="s">
        <v>10</v>
      </c>
      <c r="G172" s="27" t="s">
        <v>10</v>
      </c>
    </row>
    <row r="173" spans="1:8" ht="17.100000000000001" customHeight="1" x14ac:dyDescent="0.2">
      <c r="A173" s="24" t="s">
        <v>10</v>
      </c>
      <c r="B173" s="213" t="s">
        <v>149</v>
      </c>
      <c r="C173" s="214"/>
      <c r="D173" s="4" t="s">
        <v>136</v>
      </c>
      <c r="E173" s="24" t="s">
        <v>10</v>
      </c>
      <c r="F173" s="24" t="s">
        <v>10</v>
      </c>
      <c r="G173" s="24" t="s">
        <v>10</v>
      </c>
    </row>
  </sheetData>
  <mergeCells count="15">
    <mergeCell ref="B172:C172"/>
    <mergeCell ref="B173:C173"/>
    <mergeCell ref="B152:C152"/>
    <mergeCell ref="B153:C153"/>
    <mergeCell ref="B154:C154"/>
    <mergeCell ref="B163:C163"/>
    <mergeCell ref="B170:C170"/>
    <mergeCell ref="B171:C171"/>
    <mergeCell ref="B168:F168"/>
    <mergeCell ref="B151:C151"/>
    <mergeCell ref="B148:F148"/>
    <mergeCell ref="B149:F14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72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469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47303</v>
      </c>
      <c r="F7" s="8">
        <v>577.21485749999999</v>
      </c>
      <c r="G7" s="9">
        <v>3.7788958999999997E-2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16133</v>
      </c>
      <c r="F8" s="8">
        <v>520.25698399999999</v>
      </c>
      <c r="G8" s="9">
        <v>3.4060054999999999E-2</v>
      </c>
      <c r="H8" s="167"/>
    </row>
    <row r="9" spans="1:8" ht="25.5" x14ac:dyDescent="0.2">
      <c r="A9" s="5">
        <v>3</v>
      </c>
      <c r="B9" s="6" t="s">
        <v>33</v>
      </c>
      <c r="C9" s="6" t="s">
        <v>34</v>
      </c>
      <c r="D9" s="6" t="s">
        <v>970</v>
      </c>
      <c r="E9" s="7">
        <v>13080</v>
      </c>
      <c r="F9" s="8">
        <v>372.70805999999999</v>
      </c>
      <c r="G9" s="9">
        <v>2.4400358E-2</v>
      </c>
      <c r="H9" s="167"/>
    </row>
    <row r="10" spans="1:8" x14ac:dyDescent="0.2">
      <c r="A10" s="5">
        <v>4</v>
      </c>
      <c r="B10" s="6" t="s">
        <v>159</v>
      </c>
      <c r="C10" s="6" t="s">
        <v>160</v>
      </c>
      <c r="D10" s="6" t="s">
        <v>29</v>
      </c>
      <c r="E10" s="7">
        <v>58698</v>
      </c>
      <c r="F10" s="8">
        <v>361.75577399999997</v>
      </c>
      <c r="G10" s="9">
        <v>2.3683336999999999E-2</v>
      </c>
      <c r="H10" s="167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389455</v>
      </c>
      <c r="F11" s="8">
        <v>358.10387250000002</v>
      </c>
      <c r="G11" s="9">
        <v>2.3444255000000001E-2</v>
      </c>
      <c r="H11" s="167"/>
    </row>
    <row r="12" spans="1:8" x14ac:dyDescent="0.2">
      <c r="A12" s="5">
        <v>6</v>
      </c>
      <c r="B12" s="6" t="s">
        <v>290</v>
      </c>
      <c r="C12" s="6" t="s">
        <v>291</v>
      </c>
      <c r="D12" s="6" t="s">
        <v>29</v>
      </c>
      <c r="E12" s="7">
        <v>72000</v>
      </c>
      <c r="F12" s="8">
        <v>344.77199999999999</v>
      </c>
      <c r="G12" s="9">
        <v>2.2571447000000001E-2</v>
      </c>
      <c r="H12" s="167"/>
    </row>
    <row r="13" spans="1:8" x14ac:dyDescent="0.2">
      <c r="A13" s="5">
        <v>7</v>
      </c>
      <c r="B13" s="6" t="s">
        <v>165</v>
      </c>
      <c r="C13" s="6" t="s">
        <v>166</v>
      </c>
      <c r="D13" s="6" t="s">
        <v>167</v>
      </c>
      <c r="E13" s="7">
        <v>134408</v>
      </c>
      <c r="F13" s="8">
        <v>327.01466399999998</v>
      </c>
      <c r="G13" s="9">
        <v>2.1408915000000001E-2</v>
      </c>
      <c r="H13" s="167"/>
    </row>
    <row r="14" spans="1:8" x14ac:dyDescent="0.2">
      <c r="A14" s="5">
        <v>8</v>
      </c>
      <c r="B14" s="6" t="s">
        <v>168</v>
      </c>
      <c r="C14" s="6" t="s">
        <v>169</v>
      </c>
      <c r="D14" s="6" t="s">
        <v>75</v>
      </c>
      <c r="E14" s="7">
        <v>80777</v>
      </c>
      <c r="F14" s="8">
        <v>321.41168299999998</v>
      </c>
      <c r="G14" s="9">
        <v>2.1042100000000001E-2</v>
      </c>
      <c r="H14" s="167"/>
    </row>
    <row r="15" spans="1:8" x14ac:dyDescent="0.2">
      <c r="A15" s="5">
        <v>9</v>
      </c>
      <c r="B15" s="6" t="s">
        <v>46</v>
      </c>
      <c r="C15" s="6" t="s">
        <v>47</v>
      </c>
      <c r="D15" s="6" t="s">
        <v>29</v>
      </c>
      <c r="E15" s="7">
        <v>31667</v>
      </c>
      <c r="F15" s="8">
        <v>309.2757555</v>
      </c>
      <c r="G15" s="9">
        <v>2.0247588E-2</v>
      </c>
      <c r="H15" s="167"/>
    </row>
    <row r="16" spans="1:8" x14ac:dyDescent="0.2">
      <c r="A16" s="5">
        <v>10</v>
      </c>
      <c r="B16" s="6" t="s">
        <v>447</v>
      </c>
      <c r="C16" s="6" t="s">
        <v>448</v>
      </c>
      <c r="D16" s="6" t="s">
        <v>75</v>
      </c>
      <c r="E16" s="7">
        <v>101250</v>
      </c>
      <c r="F16" s="8">
        <v>308.40750000000003</v>
      </c>
      <c r="G16" s="9">
        <v>2.0190745E-2</v>
      </c>
      <c r="H16" s="167"/>
    </row>
    <row r="17" spans="1:8" x14ac:dyDescent="0.2">
      <c r="A17" s="5">
        <v>11</v>
      </c>
      <c r="B17" s="6" t="s">
        <v>170</v>
      </c>
      <c r="C17" s="6" t="s">
        <v>171</v>
      </c>
      <c r="D17" s="6" t="s">
        <v>167</v>
      </c>
      <c r="E17" s="7">
        <v>5528</v>
      </c>
      <c r="F17" s="8">
        <v>293.67500000000001</v>
      </c>
      <c r="G17" s="9">
        <v>1.9226242000000001E-2</v>
      </c>
      <c r="H17" s="167"/>
    </row>
    <row r="18" spans="1:8" x14ac:dyDescent="0.2">
      <c r="A18" s="5">
        <v>12</v>
      </c>
      <c r="B18" s="6" t="s">
        <v>163</v>
      </c>
      <c r="C18" s="6" t="s">
        <v>164</v>
      </c>
      <c r="D18" s="6" t="s">
        <v>167</v>
      </c>
      <c r="E18" s="7">
        <v>32517</v>
      </c>
      <c r="F18" s="8">
        <v>282.10123349999998</v>
      </c>
      <c r="G18" s="9">
        <v>1.8468532999999999E-2</v>
      </c>
      <c r="H18" s="167"/>
    </row>
    <row r="19" spans="1:8" ht="25.5" x14ac:dyDescent="0.2">
      <c r="A19" s="5">
        <v>13</v>
      </c>
      <c r="B19" s="6" t="s">
        <v>172</v>
      </c>
      <c r="C19" s="6" t="s">
        <v>173</v>
      </c>
      <c r="D19" s="6" t="s">
        <v>970</v>
      </c>
      <c r="E19" s="7">
        <v>111054</v>
      </c>
      <c r="F19" s="8">
        <v>279.18975599999999</v>
      </c>
      <c r="G19" s="9">
        <v>1.8277925E-2</v>
      </c>
      <c r="H19" s="167"/>
    </row>
    <row r="20" spans="1:8" x14ac:dyDescent="0.2">
      <c r="A20" s="5">
        <v>14</v>
      </c>
      <c r="B20" s="6" t="s">
        <v>181</v>
      </c>
      <c r="C20" s="6" t="s">
        <v>182</v>
      </c>
      <c r="D20" s="6" t="s">
        <v>29</v>
      </c>
      <c r="E20" s="7">
        <v>55758</v>
      </c>
      <c r="F20" s="8">
        <v>266.35596600000002</v>
      </c>
      <c r="G20" s="9">
        <v>1.7437726000000001E-2</v>
      </c>
      <c r="H20" s="167"/>
    </row>
    <row r="21" spans="1:8" x14ac:dyDescent="0.2">
      <c r="A21" s="5">
        <v>15</v>
      </c>
      <c r="B21" s="6" t="s">
        <v>183</v>
      </c>
      <c r="C21" s="6" t="s">
        <v>184</v>
      </c>
      <c r="D21" s="6" t="s">
        <v>185</v>
      </c>
      <c r="E21" s="7">
        <v>22184</v>
      </c>
      <c r="F21" s="8">
        <v>263.168792</v>
      </c>
      <c r="G21" s="9">
        <v>1.7229069E-2</v>
      </c>
      <c r="H21" s="167"/>
    </row>
    <row r="22" spans="1:8" x14ac:dyDescent="0.2">
      <c r="A22" s="5">
        <v>16</v>
      </c>
      <c r="B22" s="6" t="s">
        <v>188</v>
      </c>
      <c r="C22" s="6" t="s">
        <v>189</v>
      </c>
      <c r="D22" s="6" t="s">
        <v>167</v>
      </c>
      <c r="E22" s="7">
        <v>10158</v>
      </c>
      <c r="F22" s="8">
        <v>258.312861</v>
      </c>
      <c r="G22" s="9">
        <v>1.6911162E-2</v>
      </c>
      <c r="H22" s="167"/>
    </row>
    <row r="23" spans="1:8" x14ac:dyDescent="0.2">
      <c r="A23" s="5">
        <v>17</v>
      </c>
      <c r="B23" s="6" t="s">
        <v>467</v>
      </c>
      <c r="C23" s="6" t="s">
        <v>468</v>
      </c>
      <c r="D23" s="6" t="s">
        <v>192</v>
      </c>
      <c r="E23" s="7">
        <v>62069</v>
      </c>
      <c r="F23" s="8">
        <v>244.42772199999999</v>
      </c>
      <c r="G23" s="9">
        <v>1.6002133000000002E-2</v>
      </c>
      <c r="H23" s="167"/>
    </row>
    <row r="24" spans="1:8" x14ac:dyDescent="0.2">
      <c r="A24" s="5">
        <v>18</v>
      </c>
      <c r="B24" s="6" t="s">
        <v>190</v>
      </c>
      <c r="C24" s="6" t="s">
        <v>191</v>
      </c>
      <c r="D24" s="6" t="s">
        <v>192</v>
      </c>
      <c r="E24" s="7">
        <v>61648</v>
      </c>
      <c r="F24" s="8">
        <v>242.33828800000001</v>
      </c>
      <c r="G24" s="9">
        <v>1.5865343000000001E-2</v>
      </c>
      <c r="H24" s="167"/>
    </row>
    <row r="25" spans="1:8" x14ac:dyDescent="0.2">
      <c r="A25" s="5">
        <v>19</v>
      </c>
      <c r="B25" s="6" t="s">
        <v>311</v>
      </c>
      <c r="C25" s="6" t="s">
        <v>312</v>
      </c>
      <c r="D25" s="6" t="s">
        <v>185</v>
      </c>
      <c r="E25" s="7">
        <v>6790</v>
      </c>
      <c r="F25" s="8">
        <v>240.42711</v>
      </c>
      <c r="G25" s="9">
        <v>1.5740222000000002E-2</v>
      </c>
      <c r="H25" s="167"/>
    </row>
    <row r="26" spans="1:8" x14ac:dyDescent="0.2">
      <c r="A26" s="5">
        <v>20</v>
      </c>
      <c r="B26" s="6" t="s">
        <v>457</v>
      </c>
      <c r="C26" s="6" t="s">
        <v>458</v>
      </c>
      <c r="D26" s="6" t="s">
        <v>247</v>
      </c>
      <c r="E26" s="7">
        <v>43487</v>
      </c>
      <c r="F26" s="8">
        <v>239.59162649999999</v>
      </c>
      <c r="G26" s="9">
        <v>1.5685524999999999E-2</v>
      </c>
      <c r="H26" s="167"/>
    </row>
    <row r="27" spans="1:8" ht="25.5" x14ac:dyDescent="0.2">
      <c r="A27" s="5">
        <v>21</v>
      </c>
      <c r="B27" s="6" t="s">
        <v>200</v>
      </c>
      <c r="C27" s="6" t="s">
        <v>201</v>
      </c>
      <c r="D27" s="6" t="s">
        <v>75</v>
      </c>
      <c r="E27" s="7">
        <v>10609</v>
      </c>
      <c r="F27" s="8">
        <v>239.12685999999999</v>
      </c>
      <c r="G27" s="9">
        <v>1.5655097999999999E-2</v>
      </c>
      <c r="H27" s="167"/>
    </row>
    <row r="28" spans="1:8" x14ac:dyDescent="0.2">
      <c r="A28" s="5">
        <v>22</v>
      </c>
      <c r="B28" s="6" t="s">
        <v>193</v>
      </c>
      <c r="C28" s="6" t="s">
        <v>194</v>
      </c>
      <c r="D28" s="6" t="s">
        <v>178</v>
      </c>
      <c r="E28" s="7">
        <v>124748</v>
      </c>
      <c r="F28" s="8">
        <v>228.039344</v>
      </c>
      <c r="G28" s="9">
        <v>1.4929223E-2</v>
      </c>
      <c r="H28" s="167"/>
    </row>
    <row r="29" spans="1:8" x14ac:dyDescent="0.2">
      <c r="A29" s="5">
        <v>23</v>
      </c>
      <c r="B29" s="6" t="s">
        <v>451</v>
      </c>
      <c r="C29" s="6" t="s">
        <v>452</v>
      </c>
      <c r="D29" s="6" t="s">
        <v>67</v>
      </c>
      <c r="E29" s="7">
        <v>47887</v>
      </c>
      <c r="F29" s="8">
        <v>227.53508049999999</v>
      </c>
      <c r="G29" s="9">
        <v>1.489621E-2</v>
      </c>
      <c r="H29" s="167"/>
    </row>
    <row r="30" spans="1:8" x14ac:dyDescent="0.2">
      <c r="A30" s="5">
        <v>24</v>
      </c>
      <c r="B30" s="6" t="s">
        <v>198</v>
      </c>
      <c r="C30" s="6" t="s">
        <v>199</v>
      </c>
      <c r="D30" s="6" t="s">
        <v>167</v>
      </c>
      <c r="E30" s="7">
        <v>26792</v>
      </c>
      <c r="F30" s="8">
        <v>220.72589199999999</v>
      </c>
      <c r="G30" s="9">
        <v>1.4450428E-2</v>
      </c>
      <c r="H30" s="167"/>
    </row>
    <row r="31" spans="1:8" x14ac:dyDescent="0.2">
      <c r="A31" s="5">
        <v>25</v>
      </c>
      <c r="B31" s="6" t="s">
        <v>176</v>
      </c>
      <c r="C31" s="6" t="s">
        <v>177</v>
      </c>
      <c r="D31" s="6" t="s">
        <v>178</v>
      </c>
      <c r="E31" s="7">
        <v>20284</v>
      </c>
      <c r="F31" s="8">
        <v>215.85218599999999</v>
      </c>
      <c r="G31" s="9">
        <v>1.4131357000000001E-2</v>
      </c>
      <c r="H31" s="167"/>
    </row>
    <row r="32" spans="1:8" ht="25.5" x14ac:dyDescent="0.2">
      <c r="A32" s="5">
        <v>26</v>
      </c>
      <c r="B32" s="6" t="s">
        <v>449</v>
      </c>
      <c r="C32" s="6" t="s">
        <v>450</v>
      </c>
      <c r="D32" s="6" t="s">
        <v>37</v>
      </c>
      <c r="E32" s="7">
        <v>17534</v>
      </c>
      <c r="F32" s="8">
        <v>212.50331299999999</v>
      </c>
      <c r="G32" s="9">
        <v>1.3912114E-2</v>
      </c>
      <c r="H32" s="167"/>
    </row>
    <row r="33" spans="1:8" x14ac:dyDescent="0.2">
      <c r="A33" s="5">
        <v>27</v>
      </c>
      <c r="B33" s="6" t="s">
        <v>226</v>
      </c>
      <c r="C33" s="6" t="s">
        <v>227</v>
      </c>
      <c r="D33" s="6" t="s">
        <v>32</v>
      </c>
      <c r="E33" s="7">
        <v>26331</v>
      </c>
      <c r="F33" s="8">
        <v>208.330872</v>
      </c>
      <c r="G33" s="9">
        <v>1.3638954E-2</v>
      </c>
      <c r="H33" s="167"/>
    </row>
    <row r="34" spans="1:8" ht="25.5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240780</v>
      </c>
      <c r="F34" s="8">
        <v>206.10767999999999</v>
      </c>
      <c r="G34" s="9">
        <v>1.3493405999999999E-2</v>
      </c>
      <c r="H34" s="167"/>
    </row>
    <row r="35" spans="1:8" x14ac:dyDescent="0.2">
      <c r="A35" s="5">
        <v>29</v>
      </c>
      <c r="B35" s="6" t="s">
        <v>218</v>
      </c>
      <c r="C35" s="6" t="s">
        <v>219</v>
      </c>
      <c r="D35" s="6" t="s">
        <v>973</v>
      </c>
      <c r="E35" s="7">
        <v>30000</v>
      </c>
      <c r="F35" s="8">
        <v>204.93</v>
      </c>
      <c r="G35" s="9">
        <v>1.3416305999999999E-2</v>
      </c>
      <c r="H35" s="167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29</v>
      </c>
      <c r="E36" s="7">
        <v>14859</v>
      </c>
      <c r="F36" s="8">
        <v>200.14330050000001</v>
      </c>
      <c r="G36" s="9">
        <v>1.3102931999999999E-2</v>
      </c>
      <c r="H36" s="167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976</v>
      </c>
      <c r="E37" s="7">
        <v>64251</v>
      </c>
      <c r="F37" s="8">
        <v>199.5957315</v>
      </c>
      <c r="G37" s="9">
        <v>1.3067084E-2</v>
      </c>
      <c r="H37" s="167"/>
    </row>
    <row r="38" spans="1:8" x14ac:dyDescent="0.2">
      <c r="A38" s="5">
        <v>32</v>
      </c>
      <c r="B38" s="6" t="s">
        <v>455</v>
      </c>
      <c r="C38" s="6" t="s">
        <v>456</v>
      </c>
      <c r="D38" s="6" t="s">
        <v>75</v>
      </c>
      <c r="E38" s="7">
        <v>24137</v>
      </c>
      <c r="F38" s="8">
        <v>198.913017</v>
      </c>
      <c r="G38" s="9">
        <v>1.3022387999999999E-2</v>
      </c>
      <c r="H38" s="167"/>
    </row>
    <row r="39" spans="1:8" x14ac:dyDescent="0.2">
      <c r="A39" s="5">
        <v>33</v>
      </c>
      <c r="B39" s="6" t="s">
        <v>220</v>
      </c>
      <c r="C39" s="6" t="s">
        <v>221</v>
      </c>
      <c r="D39" s="6" t="s">
        <v>158</v>
      </c>
      <c r="E39" s="7">
        <v>343505</v>
      </c>
      <c r="F39" s="8">
        <v>195.62609749999999</v>
      </c>
      <c r="G39" s="9">
        <v>1.2807201000000001E-2</v>
      </c>
      <c r="H39" s="167"/>
    </row>
    <row r="40" spans="1:8" x14ac:dyDescent="0.2">
      <c r="A40" s="5">
        <v>34</v>
      </c>
      <c r="B40" s="6" t="s">
        <v>216</v>
      </c>
      <c r="C40" s="6" t="s">
        <v>217</v>
      </c>
      <c r="D40" s="6" t="s">
        <v>192</v>
      </c>
      <c r="E40" s="7">
        <v>37335</v>
      </c>
      <c r="F40" s="8">
        <v>195.54206249999999</v>
      </c>
      <c r="G40" s="9">
        <v>1.2801699E-2</v>
      </c>
      <c r="H40" s="167"/>
    </row>
    <row r="41" spans="1:8" x14ac:dyDescent="0.2">
      <c r="A41" s="5">
        <v>35</v>
      </c>
      <c r="B41" s="6" t="s">
        <v>212</v>
      </c>
      <c r="C41" s="6" t="s">
        <v>213</v>
      </c>
      <c r="D41" s="6" t="s">
        <v>158</v>
      </c>
      <c r="E41" s="7">
        <v>34234</v>
      </c>
      <c r="F41" s="8">
        <v>194.74010899999999</v>
      </c>
      <c r="G41" s="9">
        <v>1.2749197E-2</v>
      </c>
      <c r="H41" s="167"/>
    </row>
    <row r="42" spans="1:8" x14ac:dyDescent="0.2">
      <c r="A42" s="5">
        <v>36</v>
      </c>
      <c r="B42" s="6" t="s">
        <v>461</v>
      </c>
      <c r="C42" s="6" t="s">
        <v>462</v>
      </c>
      <c r="D42" s="6" t="s">
        <v>972</v>
      </c>
      <c r="E42" s="7">
        <v>253726</v>
      </c>
      <c r="F42" s="8">
        <v>191.68999299999999</v>
      </c>
      <c r="G42" s="9">
        <v>1.2549513E-2</v>
      </c>
      <c r="H42" s="167"/>
    </row>
    <row r="43" spans="1:8" x14ac:dyDescent="0.2">
      <c r="A43" s="5">
        <v>37</v>
      </c>
      <c r="B43" s="6" t="s">
        <v>206</v>
      </c>
      <c r="C43" s="6" t="s">
        <v>207</v>
      </c>
      <c r="D43" s="6" t="s">
        <v>32</v>
      </c>
      <c r="E43" s="7">
        <v>203257</v>
      </c>
      <c r="F43" s="8">
        <v>191.06157999999999</v>
      </c>
      <c r="G43" s="9">
        <v>1.2508372E-2</v>
      </c>
      <c r="H43" s="167"/>
    </row>
    <row r="44" spans="1:8" ht="25.5" x14ac:dyDescent="0.2">
      <c r="A44" s="5">
        <v>38</v>
      </c>
      <c r="B44" s="6" t="s">
        <v>228</v>
      </c>
      <c r="C44" s="6" t="s">
        <v>229</v>
      </c>
      <c r="D44" s="6" t="s">
        <v>78</v>
      </c>
      <c r="E44" s="7">
        <v>55539</v>
      </c>
      <c r="F44" s="8">
        <v>188.63821350000001</v>
      </c>
      <c r="G44" s="9">
        <v>1.234972E-2</v>
      </c>
      <c r="H44" s="167"/>
    </row>
    <row r="45" spans="1:8" x14ac:dyDescent="0.2">
      <c r="A45" s="5">
        <v>39</v>
      </c>
      <c r="B45" s="6" t="s">
        <v>222</v>
      </c>
      <c r="C45" s="6" t="s">
        <v>223</v>
      </c>
      <c r="D45" s="6" t="s">
        <v>971</v>
      </c>
      <c r="E45" s="7">
        <v>57235</v>
      </c>
      <c r="F45" s="8">
        <v>187.73079999999999</v>
      </c>
      <c r="G45" s="9">
        <v>1.2290313000000001E-2</v>
      </c>
      <c r="H45" s="167"/>
    </row>
    <row r="46" spans="1:8" x14ac:dyDescent="0.2">
      <c r="A46" s="5">
        <v>40</v>
      </c>
      <c r="B46" s="6" t="s">
        <v>202</v>
      </c>
      <c r="C46" s="6" t="s">
        <v>203</v>
      </c>
      <c r="D46" s="6" t="s">
        <v>57</v>
      </c>
      <c r="E46" s="7">
        <v>17301</v>
      </c>
      <c r="F46" s="8">
        <v>186.33177000000001</v>
      </c>
      <c r="G46" s="9">
        <v>1.2198722E-2</v>
      </c>
      <c r="H46" s="167"/>
    </row>
    <row r="47" spans="1:8" x14ac:dyDescent="0.2">
      <c r="A47" s="5">
        <v>41</v>
      </c>
      <c r="B47" s="6" t="s">
        <v>44</v>
      </c>
      <c r="C47" s="6" t="s">
        <v>45</v>
      </c>
      <c r="D47" s="6" t="s">
        <v>29</v>
      </c>
      <c r="E47" s="7">
        <v>10114</v>
      </c>
      <c r="F47" s="8">
        <v>185.77395200000001</v>
      </c>
      <c r="G47" s="9">
        <v>1.2162203E-2</v>
      </c>
      <c r="H47" s="167"/>
    </row>
    <row r="48" spans="1:8" x14ac:dyDescent="0.2">
      <c r="A48" s="5">
        <v>42</v>
      </c>
      <c r="B48" s="6" t="s">
        <v>232</v>
      </c>
      <c r="C48" s="6" t="s">
        <v>233</v>
      </c>
      <c r="D48" s="6" t="s">
        <v>185</v>
      </c>
      <c r="E48" s="7">
        <v>50534</v>
      </c>
      <c r="F48" s="8">
        <v>181.61919599999999</v>
      </c>
      <c r="G48" s="9">
        <v>1.18902E-2</v>
      </c>
      <c r="H48" s="167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75</v>
      </c>
      <c r="E49" s="7">
        <v>28880</v>
      </c>
      <c r="F49" s="8">
        <v>174.31968000000001</v>
      </c>
      <c r="G49" s="9">
        <v>1.1412317E-2</v>
      </c>
      <c r="H49" s="167"/>
    </row>
    <row r="50" spans="1:8" x14ac:dyDescent="0.2">
      <c r="A50" s="5">
        <v>44</v>
      </c>
      <c r="B50" s="6" t="s">
        <v>286</v>
      </c>
      <c r="C50" s="6" t="s">
        <v>287</v>
      </c>
      <c r="D50" s="6" t="s">
        <v>29</v>
      </c>
      <c r="E50" s="7">
        <v>16870</v>
      </c>
      <c r="F50" s="8">
        <v>171.154585</v>
      </c>
      <c r="G50" s="9">
        <v>1.1205105999999999E-2</v>
      </c>
      <c r="H50" s="167"/>
    </row>
    <row r="51" spans="1:8" x14ac:dyDescent="0.2">
      <c r="A51" s="5">
        <v>45</v>
      </c>
      <c r="B51" s="6" t="s">
        <v>174</v>
      </c>
      <c r="C51" s="6" t="s">
        <v>175</v>
      </c>
      <c r="D51" s="6" t="s">
        <v>50</v>
      </c>
      <c r="E51" s="7">
        <v>39951</v>
      </c>
      <c r="F51" s="8">
        <v>169.2923625</v>
      </c>
      <c r="G51" s="9">
        <v>1.108319E-2</v>
      </c>
      <c r="H51" s="167"/>
    </row>
    <row r="52" spans="1:8" x14ac:dyDescent="0.2">
      <c r="A52" s="5">
        <v>46</v>
      </c>
      <c r="B52" s="6" t="s">
        <v>234</v>
      </c>
      <c r="C52" s="6" t="s">
        <v>235</v>
      </c>
      <c r="D52" s="6" t="s">
        <v>29</v>
      </c>
      <c r="E52" s="7">
        <v>139037</v>
      </c>
      <c r="F52" s="8">
        <v>162.256179</v>
      </c>
      <c r="G52" s="9">
        <v>1.0622547E-2</v>
      </c>
      <c r="H52" s="167"/>
    </row>
    <row r="53" spans="1:8" x14ac:dyDescent="0.2">
      <c r="A53" s="5">
        <v>47</v>
      </c>
      <c r="B53" s="6" t="s">
        <v>238</v>
      </c>
      <c r="C53" s="6" t="s">
        <v>239</v>
      </c>
      <c r="D53" s="6" t="s">
        <v>240</v>
      </c>
      <c r="E53" s="7">
        <v>19334</v>
      </c>
      <c r="F53" s="8">
        <v>157.59143399999999</v>
      </c>
      <c r="G53" s="9">
        <v>1.0317157E-2</v>
      </c>
      <c r="H53" s="167"/>
    </row>
    <row r="54" spans="1:8" ht="25.5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41854</v>
      </c>
      <c r="F54" s="8">
        <v>157.30825899999999</v>
      </c>
      <c r="G54" s="9">
        <v>1.0298618000000001E-2</v>
      </c>
      <c r="H54" s="167"/>
    </row>
    <row r="55" spans="1:8" ht="25.5" x14ac:dyDescent="0.2">
      <c r="A55" s="5">
        <v>49</v>
      </c>
      <c r="B55" s="6" t="s">
        <v>243</v>
      </c>
      <c r="C55" s="6" t="s">
        <v>244</v>
      </c>
      <c r="D55" s="6" t="s">
        <v>78</v>
      </c>
      <c r="E55" s="7">
        <v>43436</v>
      </c>
      <c r="F55" s="8">
        <v>153.98061999999999</v>
      </c>
      <c r="G55" s="9">
        <v>1.0080765E-2</v>
      </c>
      <c r="H55" s="167"/>
    </row>
    <row r="56" spans="1:8" x14ac:dyDescent="0.2">
      <c r="A56" s="5">
        <v>50</v>
      </c>
      <c r="B56" s="6" t="s">
        <v>459</v>
      </c>
      <c r="C56" s="6" t="s">
        <v>460</v>
      </c>
      <c r="D56" s="6" t="s">
        <v>29</v>
      </c>
      <c r="E56" s="7">
        <v>25628</v>
      </c>
      <c r="F56" s="8">
        <v>153.39639399999999</v>
      </c>
      <c r="G56" s="9">
        <v>1.0042517000000001E-2</v>
      </c>
      <c r="H56" s="167"/>
    </row>
    <row r="57" spans="1:8" x14ac:dyDescent="0.2">
      <c r="A57" s="5">
        <v>51</v>
      </c>
      <c r="B57" s="6" t="s">
        <v>248</v>
      </c>
      <c r="C57" s="6" t="s">
        <v>249</v>
      </c>
      <c r="D57" s="6" t="s">
        <v>192</v>
      </c>
      <c r="E57" s="7">
        <v>10472</v>
      </c>
      <c r="F57" s="8">
        <v>151.92777599999999</v>
      </c>
      <c r="G57" s="9">
        <v>9.9463699999999995E-3</v>
      </c>
      <c r="H57" s="167"/>
    </row>
    <row r="58" spans="1:8" x14ac:dyDescent="0.2">
      <c r="A58" s="5">
        <v>52</v>
      </c>
      <c r="B58" s="6" t="s">
        <v>250</v>
      </c>
      <c r="C58" s="6" t="s">
        <v>251</v>
      </c>
      <c r="D58" s="6" t="s">
        <v>75</v>
      </c>
      <c r="E58" s="7">
        <v>24424</v>
      </c>
      <c r="F58" s="8">
        <v>149.511516</v>
      </c>
      <c r="G58" s="9">
        <v>9.7881830000000006E-3</v>
      </c>
      <c r="H58" s="167"/>
    </row>
    <row r="59" spans="1:8" x14ac:dyDescent="0.2">
      <c r="A59" s="5">
        <v>53</v>
      </c>
      <c r="B59" s="6" t="s">
        <v>252</v>
      </c>
      <c r="C59" s="6" t="s">
        <v>253</v>
      </c>
      <c r="D59" s="6" t="s">
        <v>158</v>
      </c>
      <c r="E59" s="7">
        <v>27186</v>
      </c>
      <c r="F59" s="8">
        <v>149.08802399999999</v>
      </c>
      <c r="G59" s="9">
        <v>9.7604579999999996E-3</v>
      </c>
      <c r="H59" s="167"/>
    </row>
    <row r="60" spans="1:8" x14ac:dyDescent="0.2">
      <c r="A60" s="5">
        <v>54</v>
      </c>
      <c r="B60" s="6" t="s">
        <v>195</v>
      </c>
      <c r="C60" s="6" t="s">
        <v>196</v>
      </c>
      <c r="D60" s="6" t="s">
        <v>197</v>
      </c>
      <c r="E60" s="7">
        <v>19644</v>
      </c>
      <c r="F60" s="8">
        <v>148.400598</v>
      </c>
      <c r="G60" s="9">
        <v>9.7154530000000006E-3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30619</v>
      </c>
      <c r="F61" s="8">
        <v>147.61419900000001</v>
      </c>
      <c r="G61" s="9">
        <v>9.6639699999999992E-3</v>
      </c>
      <c r="H61" s="167"/>
    </row>
    <row r="62" spans="1:8" x14ac:dyDescent="0.2">
      <c r="A62" s="5">
        <v>56</v>
      </c>
      <c r="B62" s="6" t="s">
        <v>258</v>
      </c>
      <c r="C62" s="6" t="s">
        <v>259</v>
      </c>
      <c r="D62" s="6" t="s">
        <v>23</v>
      </c>
      <c r="E62" s="7">
        <v>140383</v>
      </c>
      <c r="F62" s="8">
        <v>147.33195850000001</v>
      </c>
      <c r="G62" s="9">
        <v>9.6454920000000003E-3</v>
      </c>
      <c r="H62" s="167"/>
    </row>
    <row r="63" spans="1:8" x14ac:dyDescent="0.2">
      <c r="A63" s="5">
        <v>57</v>
      </c>
      <c r="B63" s="6" t="s">
        <v>245</v>
      </c>
      <c r="C63" s="6" t="s">
        <v>246</v>
      </c>
      <c r="D63" s="6" t="s">
        <v>247</v>
      </c>
      <c r="E63" s="7">
        <v>89345</v>
      </c>
      <c r="F63" s="8">
        <v>146.5258</v>
      </c>
      <c r="G63" s="9">
        <v>9.5927149999999999E-3</v>
      </c>
      <c r="H63" s="167"/>
    </row>
    <row r="64" spans="1:8" x14ac:dyDescent="0.2">
      <c r="A64" s="5">
        <v>58</v>
      </c>
      <c r="B64" s="6" t="s">
        <v>95</v>
      </c>
      <c r="C64" s="6" t="s">
        <v>96</v>
      </c>
      <c r="D64" s="6" t="s">
        <v>75</v>
      </c>
      <c r="E64" s="7">
        <v>57068</v>
      </c>
      <c r="F64" s="8">
        <v>146.122614</v>
      </c>
      <c r="G64" s="9">
        <v>9.5663190000000002E-3</v>
      </c>
      <c r="H64" s="167"/>
    </row>
    <row r="65" spans="1:8" x14ac:dyDescent="0.2">
      <c r="A65" s="5">
        <v>59</v>
      </c>
      <c r="B65" s="6" t="s">
        <v>224</v>
      </c>
      <c r="C65" s="6" t="s">
        <v>225</v>
      </c>
      <c r="D65" s="6" t="s">
        <v>185</v>
      </c>
      <c r="E65" s="7">
        <v>32998</v>
      </c>
      <c r="F65" s="8">
        <v>136.265241</v>
      </c>
      <c r="G65" s="9">
        <v>8.9209790000000008E-3</v>
      </c>
      <c r="H65" s="167"/>
    </row>
    <row r="66" spans="1:8" x14ac:dyDescent="0.2">
      <c r="A66" s="5">
        <v>60</v>
      </c>
      <c r="B66" s="6" t="s">
        <v>260</v>
      </c>
      <c r="C66" s="6" t="s">
        <v>926</v>
      </c>
      <c r="D66" s="6" t="s">
        <v>261</v>
      </c>
      <c r="E66" s="7">
        <v>52168</v>
      </c>
      <c r="F66" s="8">
        <v>124.342428</v>
      </c>
      <c r="G66" s="9">
        <v>8.1404189999999994E-3</v>
      </c>
      <c r="H66" s="167"/>
    </row>
    <row r="67" spans="1:8" ht="25.5" x14ac:dyDescent="0.2">
      <c r="A67" s="5">
        <v>61</v>
      </c>
      <c r="B67" s="6" t="s">
        <v>161</v>
      </c>
      <c r="C67" s="6" t="s">
        <v>162</v>
      </c>
      <c r="D67" s="6" t="s">
        <v>970</v>
      </c>
      <c r="E67" s="7">
        <v>67771</v>
      </c>
      <c r="F67" s="8">
        <v>123.5126475</v>
      </c>
      <c r="G67" s="9">
        <v>8.0860949999999997E-3</v>
      </c>
      <c r="H67" s="167"/>
    </row>
    <row r="68" spans="1:8" x14ac:dyDescent="0.2">
      <c r="A68" s="5">
        <v>62</v>
      </c>
      <c r="B68" s="6" t="s">
        <v>262</v>
      </c>
      <c r="C68" s="6" t="s">
        <v>263</v>
      </c>
      <c r="D68" s="6" t="s">
        <v>185</v>
      </c>
      <c r="E68" s="7">
        <v>21471</v>
      </c>
      <c r="F68" s="8">
        <v>122.0948415</v>
      </c>
      <c r="G68" s="9">
        <v>7.9932749999999993E-3</v>
      </c>
      <c r="H68" s="167"/>
    </row>
    <row r="69" spans="1:8" x14ac:dyDescent="0.2">
      <c r="A69" s="5">
        <v>63</v>
      </c>
      <c r="B69" s="6" t="s">
        <v>463</v>
      </c>
      <c r="C69" s="6" t="s">
        <v>464</v>
      </c>
      <c r="D69" s="6" t="s">
        <v>158</v>
      </c>
      <c r="E69" s="7">
        <v>19196</v>
      </c>
      <c r="F69" s="8">
        <v>120.224548</v>
      </c>
      <c r="G69" s="9">
        <v>7.870831E-3</v>
      </c>
      <c r="H69" s="167"/>
    </row>
    <row r="70" spans="1:8" ht="25.5" x14ac:dyDescent="0.2">
      <c r="A70" s="5">
        <v>64</v>
      </c>
      <c r="B70" s="6" t="s">
        <v>256</v>
      </c>
      <c r="C70" s="6" t="s">
        <v>257</v>
      </c>
      <c r="D70" s="6" t="s">
        <v>975</v>
      </c>
      <c r="E70" s="7">
        <v>135238</v>
      </c>
      <c r="F70" s="8">
        <v>114.749443</v>
      </c>
      <c r="G70" s="9">
        <v>7.5123880000000001E-3</v>
      </c>
      <c r="H70" s="167"/>
    </row>
    <row r="71" spans="1:8" x14ac:dyDescent="0.2">
      <c r="A71" s="5">
        <v>65</v>
      </c>
      <c r="B71" s="6" t="s">
        <v>270</v>
      </c>
      <c r="C71" s="6" t="s">
        <v>271</v>
      </c>
      <c r="D71" s="6" t="s">
        <v>75</v>
      </c>
      <c r="E71" s="7">
        <v>70796</v>
      </c>
      <c r="F71" s="8">
        <v>111.928476</v>
      </c>
      <c r="G71" s="9">
        <v>7.3277059999999998E-3</v>
      </c>
      <c r="H71" s="167"/>
    </row>
    <row r="72" spans="1:8" x14ac:dyDescent="0.2">
      <c r="A72" s="5">
        <v>66</v>
      </c>
      <c r="B72" s="6" t="s">
        <v>453</v>
      </c>
      <c r="C72" s="6" t="s">
        <v>454</v>
      </c>
      <c r="D72" s="6" t="s">
        <v>158</v>
      </c>
      <c r="E72" s="7">
        <v>33000</v>
      </c>
      <c r="F72" s="8">
        <v>105.17100000000001</v>
      </c>
      <c r="G72" s="9">
        <v>6.885309E-3</v>
      </c>
      <c r="H72" s="167"/>
    </row>
    <row r="73" spans="1:8" x14ac:dyDescent="0.2">
      <c r="A73" s="5">
        <v>67</v>
      </c>
      <c r="B73" s="6" t="s">
        <v>30</v>
      </c>
      <c r="C73" s="6" t="s">
        <v>31</v>
      </c>
      <c r="D73" s="6" t="s">
        <v>32</v>
      </c>
      <c r="E73" s="7">
        <v>40384</v>
      </c>
      <c r="F73" s="8">
        <v>104.57436800000001</v>
      </c>
      <c r="G73" s="9">
        <v>6.8462490000000004E-3</v>
      </c>
      <c r="H73" s="167"/>
    </row>
    <row r="74" spans="1:8" x14ac:dyDescent="0.2">
      <c r="A74" s="5">
        <v>68</v>
      </c>
      <c r="B74" s="6" t="s">
        <v>272</v>
      </c>
      <c r="C74" s="6" t="s">
        <v>273</v>
      </c>
      <c r="D74" s="6" t="s">
        <v>972</v>
      </c>
      <c r="E74" s="7">
        <v>6421</v>
      </c>
      <c r="F74" s="8">
        <v>99.461290000000005</v>
      </c>
      <c r="G74" s="9">
        <v>6.5115069999999997E-3</v>
      </c>
      <c r="H74" s="167"/>
    </row>
    <row r="75" spans="1:8" x14ac:dyDescent="0.2">
      <c r="A75" s="5">
        <v>69</v>
      </c>
      <c r="B75" s="6" t="s">
        <v>274</v>
      </c>
      <c r="C75" s="6" t="s">
        <v>275</v>
      </c>
      <c r="D75" s="6" t="s">
        <v>153</v>
      </c>
      <c r="E75" s="7">
        <v>6324</v>
      </c>
      <c r="F75" s="8">
        <v>97.006997999999996</v>
      </c>
      <c r="G75" s="9">
        <v>6.35083E-3</v>
      </c>
      <c r="H75" s="167"/>
    </row>
    <row r="76" spans="1:8" x14ac:dyDescent="0.2">
      <c r="A76" s="5">
        <v>70</v>
      </c>
      <c r="B76" s="6" t="s">
        <v>292</v>
      </c>
      <c r="C76" s="6" t="s">
        <v>293</v>
      </c>
      <c r="D76" s="6" t="s">
        <v>971</v>
      </c>
      <c r="E76" s="7">
        <v>244905</v>
      </c>
      <c r="F76" s="8">
        <v>96.492570000000001</v>
      </c>
      <c r="G76" s="9">
        <v>6.3171520000000004E-3</v>
      </c>
      <c r="H76" s="167"/>
    </row>
    <row r="77" spans="1:8" x14ac:dyDescent="0.2">
      <c r="A77" s="5">
        <v>71</v>
      </c>
      <c r="B77" s="6" t="s">
        <v>276</v>
      </c>
      <c r="C77" s="6" t="s">
        <v>277</v>
      </c>
      <c r="D77" s="6" t="s">
        <v>167</v>
      </c>
      <c r="E77" s="7">
        <v>14186</v>
      </c>
      <c r="F77" s="8">
        <v>78.640090999999998</v>
      </c>
      <c r="G77" s="9">
        <v>5.1483900000000001E-3</v>
      </c>
      <c r="H77" s="167"/>
    </row>
    <row r="78" spans="1:8" x14ac:dyDescent="0.2">
      <c r="A78" s="5">
        <v>72</v>
      </c>
      <c r="B78" s="6" t="s">
        <v>280</v>
      </c>
      <c r="C78" s="6" t="s">
        <v>281</v>
      </c>
      <c r="D78" s="6" t="s">
        <v>971</v>
      </c>
      <c r="E78" s="7">
        <v>140987</v>
      </c>
      <c r="F78" s="8">
        <v>58.932566000000001</v>
      </c>
      <c r="G78" s="9">
        <v>3.8581829999999998E-3</v>
      </c>
      <c r="H78" s="167"/>
    </row>
    <row r="79" spans="1:8" x14ac:dyDescent="0.2">
      <c r="A79" s="5">
        <v>73</v>
      </c>
      <c r="B79" s="6" t="s">
        <v>282</v>
      </c>
      <c r="C79" s="6" t="s">
        <v>283</v>
      </c>
      <c r="D79" s="6" t="s">
        <v>284</v>
      </c>
      <c r="E79" s="7">
        <v>33714</v>
      </c>
      <c r="F79" s="8">
        <v>48.885300000000001</v>
      </c>
      <c r="G79" s="9">
        <v>3.2004109999999998E-3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0">
        <v>14899.170362499999</v>
      </c>
      <c r="G80" s="11">
        <v>0.97541518000000005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105</v>
      </c>
      <c r="D82" s="3" t="s">
        <v>10</v>
      </c>
      <c r="E82" s="3" t="s">
        <v>10</v>
      </c>
      <c r="F82" s="3" t="s">
        <v>10</v>
      </c>
      <c r="G82" s="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106</v>
      </c>
      <c r="D85" s="3" t="s">
        <v>10</v>
      </c>
      <c r="E85" s="3" t="s">
        <v>10</v>
      </c>
      <c r="F85" s="3" t="s">
        <v>10</v>
      </c>
      <c r="G85" s="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110</v>
      </c>
      <c r="D88" s="3" t="s">
        <v>10</v>
      </c>
      <c r="E88" s="3" t="s">
        <v>10</v>
      </c>
      <c r="F88" s="3" t="s">
        <v>10</v>
      </c>
      <c r="G88" s="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4">
        <v>0</v>
      </c>
      <c r="G89" s="15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111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4">
        <v>0</v>
      </c>
      <c r="G92" s="15">
        <v>0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112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4">
        <v>0</v>
      </c>
      <c r="G95" s="15">
        <v>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113</v>
      </c>
      <c r="D97" s="3" t="s">
        <v>10</v>
      </c>
      <c r="E97" s="3" t="s">
        <v>10</v>
      </c>
      <c r="F97" s="10">
        <v>14899.170362499999</v>
      </c>
      <c r="G97" s="11">
        <v>0.97541518000000005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114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ht="25.5" x14ac:dyDescent="0.2">
      <c r="A100" s="3" t="s">
        <v>10</v>
      </c>
      <c r="B100" s="3" t="s">
        <v>10</v>
      </c>
      <c r="C100" s="4" t="s">
        <v>12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115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116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117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118</v>
      </c>
      <c r="D112" s="3" t="s">
        <v>10</v>
      </c>
      <c r="E112" s="3" t="s">
        <v>10</v>
      </c>
      <c r="F112" s="10">
        <v>0</v>
      </c>
      <c r="G112" s="11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119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120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4">
        <v>0</v>
      </c>
      <c r="G116" s="15">
        <v>0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121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104</v>
      </c>
      <c r="D119" s="3" t="s">
        <v>10</v>
      </c>
      <c r="E119" s="3" t="s">
        <v>10</v>
      </c>
      <c r="F119" s="14">
        <v>0</v>
      </c>
      <c r="G119" s="15">
        <v>0</v>
      </c>
      <c r="H119" s="167"/>
    </row>
    <row r="120" spans="1:8" x14ac:dyDescent="0.2">
      <c r="A120" s="3" t="s">
        <v>10</v>
      </c>
      <c r="B120" s="3" t="s">
        <v>10</v>
      </c>
      <c r="C120" s="12" t="s">
        <v>10</v>
      </c>
      <c r="D120" s="3" t="s">
        <v>10</v>
      </c>
      <c r="E120" s="3" t="s">
        <v>10</v>
      </c>
      <c r="F120" s="13" t="s">
        <v>10</v>
      </c>
      <c r="G120" s="1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122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123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x14ac:dyDescent="0.2">
      <c r="A125" s="5">
        <v>1</v>
      </c>
      <c r="B125" s="6"/>
      <c r="C125" s="6" t="s">
        <v>124</v>
      </c>
      <c r="D125" s="6"/>
      <c r="E125" s="16" t="s">
        <v>10</v>
      </c>
      <c r="F125" s="8">
        <v>323.51794580000001</v>
      </c>
      <c r="G125" s="9">
        <v>2.1179992000000002E-2</v>
      </c>
      <c r="H125" s="108">
        <v>3.23</v>
      </c>
    </row>
    <row r="126" spans="1:8" x14ac:dyDescent="0.2">
      <c r="A126" s="5">
        <v>2</v>
      </c>
      <c r="B126" s="6"/>
      <c r="C126" s="6" t="s">
        <v>125</v>
      </c>
      <c r="D126" s="6"/>
      <c r="E126" s="16" t="s">
        <v>10</v>
      </c>
      <c r="F126" s="8">
        <v>90.872873400000003</v>
      </c>
      <c r="G126" s="9">
        <v>5.9492429999999999E-3</v>
      </c>
      <c r="H126" s="108">
        <v>3.35</v>
      </c>
    </row>
    <row r="127" spans="1:8" x14ac:dyDescent="0.2">
      <c r="A127" s="3" t="s">
        <v>10</v>
      </c>
      <c r="B127" s="3" t="s">
        <v>10</v>
      </c>
      <c r="C127" s="4" t="s">
        <v>104</v>
      </c>
      <c r="D127" s="3" t="s">
        <v>10</v>
      </c>
      <c r="E127" s="3" t="s">
        <v>10</v>
      </c>
      <c r="F127" s="10">
        <v>414.39081920000001</v>
      </c>
      <c r="G127" s="11">
        <v>2.7129235000000002E-2</v>
      </c>
      <c r="H127" s="167"/>
    </row>
    <row r="128" spans="1:8" x14ac:dyDescent="0.2">
      <c r="A128" s="3" t="s">
        <v>10</v>
      </c>
      <c r="B128" s="3" t="s">
        <v>10</v>
      </c>
      <c r="C128" s="12" t="s">
        <v>10</v>
      </c>
      <c r="D128" s="3" t="s">
        <v>10</v>
      </c>
      <c r="E128" s="3" t="s">
        <v>10</v>
      </c>
      <c r="F128" s="13" t="s">
        <v>10</v>
      </c>
      <c r="G128" s="1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126</v>
      </c>
      <c r="D129" s="3" t="s">
        <v>10</v>
      </c>
      <c r="E129" s="3" t="s">
        <v>10</v>
      </c>
      <c r="F129" s="10">
        <v>414.39081920000001</v>
      </c>
      <c r="G129" s="11">
        <v>2.7129235000000002E-2</v>
      </c>
      <c r="H129" s="167"/>
    </row>
    <row r="130" spans="1:8" x14ac:dyDescent="0.2">
      <c r="A130" s="3" t="s">
        <v>10</v>
      </c>
      <c r="B130" s="3" t="s">
        <v>10</v>
      </c>
      <c r="C130" s="13" t="s">
        <v>10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x14ac:dyDescent="0.2">
      <c r="A131" s="3" t="s">
        <v>10</v>
      </c>
      <c r="B131" s="3" t="s">
        <v>10</v>
      </c>
      <c r="C131" s="4" t="s">
        <v>127</v>
      </c>
      <c r="D131" s="3" t="s">
        <v>10</v>
      </c>
      <c r="E131" s="3" t="s">
        <v>10</v>
      </c>
      <c r="F131" s="3" t="s">
        <v>10</v>
      </c>
      <c r="G131" s="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128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104</v>
      </c>
      <c r="D133" s="3" t="s">
        <v>10</v>
      </c>
      <c r="E133" s="3" t="s">
        <v>10</v>
      </c>
      <c r="F133" s="14">
        <v>0</v>
      </c>
      <c r="G133" s="15">
        <v>0</v>
      </c>
      <c r="H133" s="167"/>
    </row>
    <row r="134" spans="1:8" x14ac:dyDescent="0.2">
      <c r="A134" s="3" t="s">
        <v>10</v>
      </c>
      <c r="B134" s="3" t="s">
        <v>10</v>
      </c>
      <c r="C134" s="12" t="s">
        <v>10</v>
      </c>
      <c r="D134" s="3" t="s">
        <v>10</v>
      </c>
      <c r="E134" s="3" t="s">
        <v>10</v>
      </c>
      <c r="F134" s="13" t="s">
        <v>10</v>
      </c>
      <c r="G134" s="13" t="s">
        <v>10</v>
      </c>
      <c r="H134" s="167"/>
    </row>
    <row r="135" spans="1:8" x14ac:dyDescent="0.2">
      <c r="A135" s="3" t="s">
        <v>10</v>
      </c>
      <c r="B135" s="3" t="s">
        <v>10</v>
      </c>
      <c r="C135" s="4" t="s">
        <v>129</v>
      </c>
      <c r="D135" s="3" t="s">
        <v>10</v>
      </c>
      <c r="E135" s="3" t="s">
        <v>10</v>
      </c>
      <c r="F135" s="3" t="s">
        <v>10</v>
      </c>
      <c r="G135" s="3" t="s">
        <v>10</v>
      </c>
      <c r="H135" s="167"/>
    </row>
    <row r="136" spans="1:8" x14ac:dyDescent="0.2">
      <c r="A136" s="3" t="s">
        <v>10</v>
      </c>
      <c r="B136" s="3" t="s">
        <v>10</v>
      </c>
      <c r="C136" s="4" t="s">
        <v>130</v>
      </c>
      <c r="D136" s="3" t="s">
        <v>10</v>
      </c>
      <c r="E136" s="3" t="s">
        <v>10</v>
      </c>
      <c r="F136" s="3" t="s">
        <v>10</v>
      </c>
      <c r="G136" s="3" t="s">
        <v>10</v>
      </c>
      <c r="H136" s="167"/>
    </row>
    <row r="137" spans="1:8" x14ac:dyDescent="0.2">
      <c r="A137" s="3" t="s">
        <v>10</v>
      </c>
      <c r="B137" s="3" t="s">
        <v>10</v>
      </c>
      <c r="C137" s="4" t="s">
        <v>104</v>
      </c>
      <c r="D137" s="3" t="s">
        <v>10</v>
      </c>
      <c r="E137" s="3" t="s">
        <v>10</v>
      </c>
      <c r="F137" s="14">
        <v>0</v>
      </c>
      <c r="G137" s="15">
        <v>0</v>
      </c>
      <c r="H137" s="167"/>
    </row>
    <row r="138" spans="1:8" x14ac:dyDescent="0.2">
      <c r="A138" s="3" t="s">
        <v>10</v>
      </c>
      <c r="B138" s="3" t="s">
        <v>10</v>
      </c>
      <c r="C138" s="12" t="s">
        <v>10</v>
      </c>
      <c r="D138" s="3" t="s">
        <v>10</v>
      </c>
      <c r="E138" s="3" t="s">
        <v>10</v>
      </c>
      <c r="F138" s="13" t="s">
        <v>10</v>
      </c>
      <c r="G138" s="13" t="s">
        <v>10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ht="25.5" x14ac:dyDescent="0.2">
      <c r="A140" s="3" t="s">
        <v>10</v>
      </c>
      <c r="B140" s="3" t="s">
        <v>10</v>
      </c>
      <c r="C140" s="4" t="s">
        <v>131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x14ac:dyDescent="0.2">
      <c r="A141" s="3" t="s">
        <v>10</v>
      </c>
      <c r="B141" s="3" t="s">
        <v>10</v>
      </c>
      <c r="C141" s="4" t="s">
        <v>104</v>
      </c>
      <c r="D141" s="3" t="s">
        <v>10</v>
      </c>
      <c r="E141" s="3" t="s">
        <v>10</v>
      </c>
      <c r="F141" s="14">
        <v>0</v>
      </c>
      <c r="G141" s="15">
        <v>0</v>
      </c>
      <c r="H141" s="167"/>
    </row>
    <row r="142" spans="1:8" x14ac:dyDescent="0.2">
      <c r="A142" s="3" t="s">
        <v>10</v>
      </c>
      <c r="B142" s="3" t="s">
        <v>10</v>
      </c>
      <c r="C142" s="12" t="s">
        <v>10</v>
      </c>
      <c r="D142" s="3" t="s">
        <v>10</v>
      </c>
      <c r="E142" s="3" t="s">
        <v>10</v>
      </c>
      <c r="F142" s="13" t="s">
        <v>10</v>
      </c>
      <c r="G142" s="13" t="s">
        <v>10</v>
      </c>
      <c r="H142" s="167"/>
    </row>
    <row r="143" spans="1:8" x14ac:dyDescent="0.2">
      <c r="A143" s="3" t="s">
        <v>10</v>
      </c>
      <c r="B143" s="6" t="s">
        <v>10</v>
      </c>
      <c r="C143" s="6" t="s">
        <v>10</v>
      </c>
      <c r="D143" s="4" t="s">
        <v>10</v>
      </c>
      <c r="E143" s="3" t="s">
        <v>10</v>
      </c>
      <c r="F143" s="6" t="s">
        <v>10</v>
      </c>
      <c r="G143" s="16" t="s">
        <v>10</v>
      </c>
      <c r="H143" s="167"/>
    </row>
    <row r="144" spans="1:8" x14ac:dyDescent="0.2">
      <c r="A144" s="16" t="s">
        <v>10</v>
      </c>
      <c r="B144" s="6" t="s">
        <v>10</v>
      </c>
      <c r="C144" s="6" t="s">
        <v>132</v>
      </c>
      <c r="D144" s="6" t="s">
        <v>10</v>
      </c>
      <c r="E144" s="16" t="s">
        <v>10</v>
      </c>
      <c r="F144" s="8">
        <v>-38.865111429999999</v>
      </c>
      <c r="G144" s="9">
        <v>-2.5444109999999999E-3</v>
      </c>
      <c r="H144" s="167"/>
    </row>
    <row r="145" spans="1:8" x14ac:dyDescent="0.2">
      <c r="A145" s="12" t="s">
        <v>10</v>
      </c>
      <c r="B145" s="12" t="s">
        <v>10</v>
      </c>
      <c r="C145" s="4" t="s">
        <v>133</v>
      </c>
      <c r="D145" s="17" t="s">
        <v>10</v>
      </c>
      <c r="E145" s="17" t="s">
        <v>10</v>
      </c>
      <c r="F145" s="10">
        <v>15274.69607027</v>
      </c>
      <c r="G145" s="11">
        <v>1.0000000040000001</v>
      </c>
      <c r="H145" s="167"/>
    </row>
    <row r="146" spans="1:8" ht="14.1" customHeight="1" x14ac:dyDescent="0.2">
      <c r="A146" s="18" t="s">
        <v>10</v>
      </c>
      <c r="B146" s="18" t="s">
        <v>10</v>
      </c>
      <c r="C146" s="18" t="s">
        <v>10</v>
      </c>
      <c r="D146" s="19" t="s">
        <v>10</v>
      </c>
      <c r="E146" s="19" t="s">
        <v>10</v>
      </c>
      <c r="F146" s="19" t="s">
        <v>10</v>
      </c>
      <c r="G146" s="19" t="s">
        <v>10</v>
      </c>
    </row>
    <row r="147" spans="1:8" ht="14.1" customHeight="1" x14ac:dyDescent="0.2">
      <c r="A147" s="20" t="s">
        <v>10</v>
      </c>
      <c r="B147" s="208" t="s">
        <v>10</v>
      </c>
      <c r="C147" s="208"/>
      <c r="D147" s="208"/>
      <c r="E147" s="208"/>
      <c r="F147" s="208"/>
      <c r="G147" s="22" t="s">
        <v>10</v>
      </c>
    </row>
    <row r="148" spans="1:8" ht="14.1" customHeight="1" x14ac:dyDescent="0.2">
      <c r="A148" s="20" t="s">
        <v>10</v>
      </c>
      <c r="B148" s="208" t="s">
        <v>10</v>
      </c>
      <c r="C148" s="208"/>
      <c r="D148" s="208"/>
      <c r="E148" s="208"/>
      <c r="F148" s="208"/>
      <c r="G148" s="22" t="s">
        <v>10</v>
      </c>
    </row>
    <row r="149" spans="1:8" ht="14.1" customHeight="1" x14ac:dyDescent="0.2">
      <c r="A149" s="20" t="s">
        <v>10</v>
      </c>
      <c r="B149" s="20" t="s">
        <v>10</v>
      </c>
      <c r="C149" s="20" t="s">
        <v>10</v>
      </c>
      <c r="D149" s="22" t="s">
        <v>10</v>
      </c>
      <c r="E149" s="22" t="s">
        <v>10</v>
      </c>
      <c r="F149" s="22" t="s">
        <v>10</v>
      </c>
      <c r="G149" s="22" t="s">
        <v>10</v>
      </c>
    </row>
    <row r="150" spans="1:8" ht="14.1" customHeight="1" x14ac:dyDescent="0.2">
      <c r="A150" s="20" t="s">
        <v>10</v>
      </c>
      <c r="B150" s="206" t="s">
        <v>134</v>
      </c>
      <c r="C150" s="207"/>
      <c r="D150" s="13" t="s">
        <v>10</v>
      </c>
      <c r="E150" s="23" t="s">
        <v>10</v>
      </c>
      <c r="F150" s="22" t="s">
        <v>10</v>
      </c>
      <c r="G150" s="22" t="s">
        <v>10</v>
      </c>
    </row>
    <row r="151" spans="1:8" ht="29.1" customHeight="1" x14ac:dyDescent="0.2">
      <c r="A151" s="20" t="s">
        <v>10</v>
      </c>
      <c r="B151" s="213" t="s">
        <v>135</v>
      </c>
      <c r="C151" s="214"/>
      <c r="D151" s="4" t="s">
        <v>136</v>
      </c>
      <c r="E151" s="23" t="s">
        <v>10</v>
      </c>
      <c r="F151" s="22" t="s">
        <v>10</v>
      </c>
      <c r="G151" s="22" t="s">
        <v>10</v>
      </c>
    </row>
    <row r="152" spans="1:8" ht="17.100000000000001" customHeight="1" x14ac:dyDescent="0.2">
      <c r="A152" s="20" t="s">
        <v>10</v>
      </c>
      <c r="B152" s="213" t="s">
        <v>137</v>
      </c>
      <c r="C152" s="214"/>
      <c r="D152" s="4" t="s">
        <v>136</v>
      </c>
      <c r="E152" s="23" t="s">
        <v>10</v>
      </c>
      <c r="F152" s="22" t="s">
        <v>10</v>
      </c>
      <c r="G152" s="22" t="s">
        <v>10</v>
      </c>
    </row>
    <row r="153" spans="1:8" ht="17.100000000000001" customHeight="1" x14ac:dyDescent="0.2">
      <c r="A153" s="20" t="s">
        <v>10</v>
      </c>
      <c r="B153" s="213" t="s">
        <v>138</v>
      </c>
      <c r="C153" s="214"/>
      <c r="D153" s="13" t="s">
        <v>10</v>
      </c>
      <c r="E153" s="23" t="s">
        <v>10</v>
      </c>
      <c r="F153" s="22" t="s">
        <v>10</v>
      </c>
      <c r="G153" s="22" t="s">
        <v>10</v>
      </c>
    </row>
    <row r="154" spans="1:8" s="20" customFormat="1" ht="17.100000000000001" customHeight="1" x14ac:dyDescent="0.2"/>
    <row r="155" spans="1:8" x14ac:dyDescent="0.2">
      <c r="A155" s="24" t="s">
        <v>10</v>
      </c>
      <c r="B155" s="140" t="s">
        <v>10</v>
      </c>
      <c r="C155" s="140" t="s">
        <v>139</v>
      </c>
      <c r="D155" s="140" t="s">
        <v>140</v>
      </c>
      <c r="E155" s="24" t="s">
        <v>10</v>
      </c>
      <c r="F155" s="24" t="s">
        <v>10</v>
      </c>
      <c r="G155" s="24" t="s">
        <v>10</v>
      </c>
    </row>
    <row r="156" spans="1:8" ht="18" customHeight="1" x14ac:dyDescent="0.2">
      <c r="A156" s="24" t="s">
        <v>10</v>
      </c>
      <c r="B156" s="25" t="s">
        <v>141</v>
      </c>
      <c r="C156" s="25" t="s">
        <v>142</v>
      </c>
      <c r="D156" s="25" t="s">
        <v>143</v>
      </c>
      <c r="E156" s="24" t="s">
        <v>10</v>
      </c>
      <c r="F156" s="24" t="s">
        <v>10</v>
      </c>
      <c r="G156" s="24" t="s">
        <v>10</v>
      </c>
    </row>
    <row r="157" spans="1:8" ht="17.100000000000001" customHeight="1" x14ac:dyDescent="0.2">
      <c r="A157" s="24" t="s">
        <v>10</v>
      </c>
      <c r="B157" s="6" t="s">
        <v>144</v>
      </c>
      <c r="C157" s="26">
        <v>13.040900000000001</v>
      </c>
      <c r="D157" s="26">
        <v>14.4252</v>
      </c>
      <c r="E157" s="24" t="s">
        <v>10</v>
      </c>
      <c r="F157" s="21" t="s">
        <v>10</v>
      </c>
      <c r="G157" s="27" t="s">
        <v>10</v>
      </c>
    </row>
    <row r="158" spans="1:8" ht="17.100000000000001" customHeight="1" x14ac:dyDescent="0.2">
      <c r="A158" s="24" t="s">
        <v>10</v>
      </c>
      <c r="B158" s="6" t="s">
        <v>917</v>
      </c>
      <c r="C158" s="26">
        <v>13.040900000000001</v>
      </c>
      <c r="D158" s="26">
        <v>13.910399999999999</v>
      </c>
      <c r="E158" s="24" t="s">
        <v>10</v>
      </c>
      <c r="F158" s="21" t="s">
        <v>10</v>
      </c>
      <c r="G158" s="27" t="s">
        <v>10</v>
      </c>
    </row>
    <row r="159" spans="1:8" ht="17.100000000000001" customHeight="1" x14ac:dyDescent="0.2">
      <c r="A159" s="24" t="s">
        <v>10</v>
      </c>
      <c r="B159" s="6" t="s">
        <v>145</v>
      </c>
      <c r="C159" s="26">
        <v>12.712199999999999</v>
      </c>
      <c r="D159" s="26">
        <v>14.0543</v>
      </c>
      <c r="E159" s="24" t="s">
        <v>10</v>
      </c>
      <c r="F159" s="21" t="s">
        <v>10</v>
      </c>
      <c r="G159" s="27" t="s">
        <v>10</v>
      </c>
    </row>
    <row r="160" spans="1:8" ht="17.100000000000001" customHeight="1" x14ac:dyDescent="0.2">
      <c r="A160" s="24" t="s">
        <v>10</v>
      </c>
      <c r="B160" s="6" t="s">
        <v>918</v>
      </c>
      <c r="C160" s="26">
        <v>12.712199999999999</v>
      </c>
      <c r="D160" s="26">
        <v>13.5397</v>
      </c>
      <c r="E160" s="24" t="s">
        <v>10</v>
      </c>
      <c r="F160" s="21" t="s">
        <v>10</v>
      </c>
      <c r="G160" s="27" t="s">
        <v>10</v>
      </c>
    </row>
    <row r="161" spans="1:8" ht="14.1" customHeight="1" x14ac:dyDescent="0.2">
      <c r="A161" s="24" t="s">
        <v>10</v>
      </c>
      <c r="B161" s="24" t="s">
        <v>10</v>
      </c>
      <c r="C161" s="24" t="s">
        <v>10</v>
      </c>
      <c r="D161" s="24" t="s">
        <v>10</v>
      </c>
      <c r="E161" s="24" t="s">
        <v>10</v>
      </c>
      <c r="F161" s="24" t="s">
        <v>10</v>
      </c>
      <c r="G161" s="24" t="s">
        <v>10</v>
      </c>
    </row>
    <row r="162" spans="1:8" ht="29.1" customHeight="1" x14ac:dyDescent="0.2">
      <c r="A162" s="24" t="s">
        <v>10</v>
      </c>
      <c r="B162" s="220" t="s">
        <v>999</v>
      </c>
      <c r="C162" s="220"/>
      <c r="D162" s="145"/>
      <c r="E162" s="24" t="s">
        <v>10</v>
      </c>
      <c r="F162" s="24" t="s">
        <v>10</v>
      </c>
      <c r="G162" s="24" t="s">
        <v>10</v>
      </c>
    </row>
    <row r="163" spans="1:8" s="144" customFormat="1" ht="15" x14ac:dyDescent="0.2">
      <c r="A163" s="141" t="s">
        <v>10</v>
      </c>
      <c r="B163" s="142" t="s">
        <v>141</v>
      </c>
      <c r="C163" s="142" t="s">
        <v>827</v>
      </c>
      <c r="D163" s="142" t="s">
        <v>828</v>
      </c>
      <c r="E163" s="141" t="s">
        <v>10</v>
      </c>
      <c r="F163" s="141" t="s">
        <v>10</v>
      </c>
      <c r="G163" s="141" t="s">
        <v>10</v>
      </c>
      <c r="H163" s="143"/>
    </row>
    <row r="164" spans="1:8" ht="17.100000000000001" customHeight="1" x14ac:dyDescent="0.2">
      <c r="A164" s="24" t="s">
        <v>10</v>
      </c>
      <c r="B164" s="146" t="s">
        <v>917</v>
      </c>
      <c r="C164" s="147">
        <v>0.5</v>
      </c>
      <c r="D164" s="147">
        <v>0</v>
      </c>
      <c r="E164" s="24" t="s">
        <v>10</v>
      </c>
      <c r="F164" s="21" t="s">
        <v>10</v>
      </c>
      <c r="G164" s="27" t="s">
        <v>10</v>
      </c>
    </row>
    <row r="165" spans="1:8" ht="17.100000000000001" customHeight="1" x14ac:dyDescent="0.2">
      <c r="A165" s="24" t="s">
        <v>10</v>
      </c>
      <c r="B165" s="146" t="s">
        <v>918</v>
      </c>
      <c r="C165" s="147">
        <v>0.5</v>
      </c>
      <c r="D165" s="147">
        <v>0</v>
      </c>
      <c r="E165" s="24" t="s">
        <v>10</v>
      </c>
      <c r="F165" s="21" t="s">
        <v>10</v>
      </c>
      <c r="G165" s="27" t="s">
        <v>10</v>
      </c>
    </row>
    <row r="166" spans="1:8" ht="17.100000000000001" customHeight="1" x14ac:dyDescent="0.2">
      <c r="A166" s="24"/>
      <c r="B166" s="150"/>
      <c r="C166" s="173"/>
      <c r="D166" s="173"/>
      <c r="E166" s="24"/>
      <c r="F166" s="150"/>
      <c r="G166" s="27"/>
    </row>
    <row r="167" spans="1:8" s="175" customFormat="1" x14ac:dyDescent="0.2">
      <c r="B167" s="221" t="s">
        <v>919</v>
      </c>
      <c r="C167" s="221"/>
      <c r="D167" s="221"/>
      <c r="E167" s="221"/>
      <c r="F167" s="221"/>
    </row>
    <row r="168" spans="1:8" ht="14.1" customHeight="1" x14ac:dyDescent="0.2">
      <c r="A168" s="24" t="s">
        <v>10</v>
      </c>
      <c r="B168" s="21" t="s">
        <v>10</v>
      </c>
      <c r="C168" s="21" t="s">
        <v>10</v>
      </c>
      <c r="D168" s="24" t="s">
        <v>10</v>
      </c>
      <c r="E168" s="24" t="s">
        <v>10</v>
      </c>
      <c r="F168" s="24" t="s">
        <v>10</v>
      </c>
      <c r="G168" s="24" t="s">
        <v>10</v>
      </c>
    </row>
    <row r="169" spans="1:8" ht="29.1" customHeight="1" x14ac:dyDescent="0.2">
      <c r="A169" s="24" t="s">
        <v>10</v>
      </c>
      <c r="B169" s="213" t="s">
        <v>146</v>
      </c>
      <c r="C169" s="214"/>
      <c r="D169" s="4" t="s">
        <v>136</v>
      </c>
      <c r="E169" s="24" t="s">
        <v>10</v>
      </c>
      <c r="F169" s="24" t="s">
        <v>10</v>
      </c>
      <c r="G169" s="24" t="s">
        <v>10</v>
      </c>
    </row>
    <row r="170" spans="1:8" ht="29.1" customHeight="1" x14ac:dyDescent="0.2">
      <c r="A170" s="24" t="s">
        <v>10</v>
      </c>
      <c r="B170" s="213" t="s">
        <v>147</v>
      </c>
      <c r="C170" s="214"/>
      <c r="D170" s="4" t="s">
        <v>136</v>
      </c>
      <c r="E170" s="24" t="s">
        <v>10</v>
      </c>
      <c r="F170" s="24" t="s">
        <v>10</v>
      </c>
      <c r="G170" s="24" t="s">
        <v>10</v>
      </c>
    </row>
    <row r="171" spans="1:8" ht="17.100000000000001" customHeight="1" x14ac:dyDescent="0.2">
      <c r="A171" s="24" t="s">
        <v>10</v>
      </c>
      <c r="B171" s="213" t="s">
        <v>148</v>
      </c>
      <c r="C171" s="214"/>
      <c r="D171" s="30">
        <v>0.47805802266128961</v>
      </c>
      <c r="E171" s="24" t="s">
        <v>10</v>
      </c>
      <c r="F171" s="21" t="s">
        <v>10</v>
      </c>
      <c r="G171" s="27" t="s">
        <v>10</v>
      </c>
    </row>
    <row r="172" spans="1:8" ht="17.100000000000001" customHeight="1" x14ac:dyDescent="0.2">
      <c r="A172" s="24" t="s">
        <v>10</v>
      </c>
      <c r="B172" s="213" t="s">
        <v>149</v>
      </c>
      <c r="C172" s="214"/>
      <c r="D172" s="4" t="s">
        <v>136</v>
      </c>
      <c r="E172" s="24" t="s">
        <v>10</v>
      </c>
      <c r="F172" s="24" t="s">
        <v>10</v>
      </c>
      <c r="G172" s="24" t="s">
        <v>10</v>
      </c>
    </row>
  </sheetData>
  <mergeCells count="15">
    <mergeCell ref="B171:C171"/>
    <mergeCell ref="B172:C172"/>
    <mergeCell ref="B151:C151"/>
    <mergeCell ref="B152:C152"/>
    <mergeCell ref="B153:C153"/>
    <mergeCell ref="B162:C162"/>
    <mergeCell ref="B169:C169"/>
    <mergeCell ref="B170:C170"/>
    <mergeCell ref="B167:F167"/>
    <mergeCell ref="B150:C150"/>
    <mergeCell ref="B147:F147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72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470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17738</v>
      </c>
      <c r="F7" s="8">
        <v>216.447945</v>
      </c>
      <c r="G7" s="9">
        <v>3.7533983999999999E-2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6040</v>
      </c>
      <c r="F8" s="8">
        <v>194.77791999999999</v>
      </c>
      <c r="G8" s="9">
        <v>3.3776210000000001E-2</v>
      </c>
      <c r="H8" s="167"/>
    </row>
    <row r="9" spans="1:8" ht="25.5" x14ac:dyDescent="0.2">
      <c r="A9" s="5">
        <v>3</v>
      </c>
      <c r="B9" s="6" t="s">
        <v>33</v>
      </c>
      <c r="C9" s="6" t="s">
        <v>34</v>
      </c>
      <c r="D9" s="6" t="s">
        <v>970</v>
      </c>
      <c r="E9" s="7">
        <v>4896</v>
      </c>
      <c r="F9" s="8">
        <v>139.509072</v>
      </c>
      <c r="G9" s="9">
        <v>2.4192103999999999E-2</v>
      </c>
      <c r="H9" s="167"/>
    </row>
    <row r="10" spans="1:8" x14ac:dyDescent="0.2">
      <c r="A10" s="5">
        <v>4</v>
      </c>
      <c r="B10" s="6" t="s">
        <v>467</v>
      </c>
      <c r="C10" s="6" t="s">
        <v>468</v>
      </c>
      <c r="D10" s="6" t="s">
        <v>192</v>
      </c>
      <c r="E10" s="7">
        <v>35102</v>
      </c>
      <c r="F10" s="8">
        <v>138.23167599999999</v>
      </c>
      <c r="G10" s="9">
        <v>2.3970592999999998E-2</v>
      </c>
      <c r="H10" s="167"/>
    </row>
    <row r="11" spans="1:8" x14ac:dyDescent="0.2">
      <c r="A11" s="5">
        <v>5</v>
      </c>
      <c r="B11" s="6" t="s">
        <v>159</v>
      </c>
      <c r="C11" s="6" t="s">
        <v>160</v>
      </c>
      <c r="D11" s="6" t="s">
        <v>29</v>
      </c>
      <c r="E11" s="7">
        <v>22067</v>
      </c>
      <c r="F11" s="8">
        <v>135.998921</v>
      </c>
      <c r="G11" s="9">
        <v>2.3583413000000001E-2</v>
      </c>
      <c r="H11" s="167"/>
    </row>
    <row r="12" spans="1:8" x14ac:dyDescent="0.2">
      <c r="A12" s="5">
        <v>6</v>
      </c>
      <c r="B12" s="6" t="s">
        <v>156</v>
      </c>
      <c r="C12" s="6" t="s">
        <v>157</v>
      </c>
      <c r="D12" s="6" t="s">
        <v>158</v>
      </c>
      <c r="E12" s="7">
        <v>145875</v>
      </c>
      <c r="F12" s="8">
        <v>134.13206249999999</v>
      </c>
      <c r="G12" s="9">
        <v>2.3259683E-2</v>
      </c>
      <c r="H12" s="167"/>
    </row>
    <row r="13" spans="1:8" x14ac:dyDescent="0.2">
      <c r="A13" s="5">
        <v>7</v>
      </c>
      <c r="B13" s="6" t="s">
        <v>290</v>
      </c>
      <c r="C13" s="6" t="s">
        <v>291</v>
      </c>
      <c r="D13" s="6" t="s">
        <v>29</v>
      </c>
      <c r="E13" s="7">
        <v>26674</v>
      </c>
      <c r="F13" s="8">
        <v>127.728449</v>
      </c>
      <c r="G13" s="9">
        <v>2.2149240000000001E-2</v>
      </c>
      <c r="H13" s="167"/>
    </row>
    <row r="14" spans="1:8" x14ac:dyDescent="0.2">
      <c r="A14" s="5">
        <v>8</v>
      </c>
      <c r="B14" s="6" t="s">
        <v>165</v>
      </c>
      <c r="C14" s="6" t="s">
        <v>166</v>
      </c>
      <c r="D14" s="6" t="s">
        <v>167</v>
      </c>
      <c r="E14" s="7">
        <v>50476</v>
      </c>
      <c r="F14" s="8">
        <v>122.808108</v>
      </c>
      <c r="G14" s="9">
        <v>2.1296010000000001E-2</v>
      </c>
      <c r="H14" s="167"/>
    </row>
    <row r="15" spans="1:8" x14ac:dyDescent="0.2">
      <c r="A15" s="5">
        <v>9</v>
      </c>
      <c r="B15" s="6" t="s">
        <v>168</v>
      </c>
      <c r="C15" s="6" t="s">
        <v>169</v>
      </c>
      <c r="D15" s="6" t="s">
        <v>75</v>
      </c>
      <c r="E15" s="7">
        <v>30178</v>
      </c>
      <c r="F15" s="8">
        <v>120.078262</v>
      </c>
      <c r="G15" s="9">
        <v>2.0822630000000002E-2</v>
      </c>
      <c r="H15" s="167"/>
    </row>
    <row r="16" spans="1:8" x14ac:dyDescent="0.2">
      <c r="A16" s="5">
        <v>10</v>
      </c>
      <c r="B16" s="6" t="s">
        <v>46</v>
      </c>
      <c r="C16" s="6" t="s">
        <v>47</v>
      </c>
      <c r="D16" s="6" t="s">
        <v>29</v>
      </c>
      <c r="E16" s="7">
        <v>12093</v>
      </c>
      <c r="F16" s="8">
        <v>118.1062845</v>
      </c>
      <c r="G16" s="9">
        <v>2.0480671999999998E-2</v>
      </c>
      <c r="H16" s="167"/>
    </row>
    <row r="17" spans="1:8" x14ac:dyDescent="0.2">
      <c r="A17" s="5">
        <v>11</v>
      </c>
      <c r="B17" s="6" t="s">
        <v>311</v>
      </c>
      <c r="C17" s="6" t="s">
        <v>312</v>
      </c>
      <c r="D17" s="6" t="s">
        <v>185</v>
      </c>
      <c r="E17" s="7">
        <v>3172</v>
      </c>
      <c r="F17" s="8">
        <v>112.317348</v>
      </c>
      <c r="G17" s="9">
        <v>1.9476818999999999E-2</v>
      </c>
      <c r="H17" s="167"/>
    </row>
    <row r="18" spans="1:8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2070</v>
      </c>
      <c r="F18" s="8">
        <v>109.96875</v>
      </c>
      <c r="G18" s="9">
        <v>1.9069552E-2</v>
      </c>
      <c r="H18" s="167"/>
    </row>
    <row r="19" spans="1:8" x14ac:dyDescent="0.2">
      <c r="A19" s="5">
        <v>13</v>
      </c>
      <c r="B19" s="6" t="s">
        <v>163</v>
      </c>
      <c r="C19" s="6" t="s">
        <v>164</v>
      </c>
      <c r="D19" s="6" t="s">
        <v>167</v>
      </c>
      <c r="E19" s="7">
        <v>12182</v>
      </c>
      <c r="F19" s="8">
        <v>105.68494099999999</v>
      </c>
      <c r="G19" s="9">
        <v>1.8326702E-2</v>
      </c>
      <c r="H19" s="167"/>
    </row>
    <row r="20" spans="1:8" ht="25.5" x14ac:dyDescent="0.2">
      <c r="A20" s="5">
        <v>14</v>
      </c>
      <c r="B20" s="6" t="s">
        <v>172</v>
      </c>
      <c r="C20" s="6" t="s">
        <v>173</v>
      </c>
      <c r="D20" s="6" t="s">
        <v>970</v>
      </c>
      <c r="E20" s="7">
        <v>42002</v>
      </c>
      <c r="F20" s="8">
        <v>105.593028</v>
      </c>
      <c r="G20" s="9">
        <v>1.8310763000000001E-2</v>
      </c>
      <c r="H20" s="167"/>
    </row>
    <row r="21" spans="1:8" x14ac:dyDescent="0.2">
      <c r="A21" s="5">
        <v>15</v>
      </c>
      <c r="B21" s="6" t="s">
        <v>181</v>
      </c>
      <c r="C21" s="6" t="s">
        <v>182</v>
      </c>
      <c r="D21" s="6" t="s">
        <v>29</v>
      </c>
      <c r="E21" s="7">
        <v>21271</v>
      </c>
      <c r="F21" s="8">
        <v>101.61156699999999</v>
      </c>
      <c r="G21" s="9">
        <v>1.7620343E-2</v>
      </c>
      <c r="H21" s="167"/>
    </row>
    <row r="22" spans="1:8" x14ac:dyDescent="0.2">
      <c r="A22" s="5">
        <v>16</v>
      </c>
      <c r="B22" s="6" t="s">
        <v>183</v>
      </c>
      <c r="C22" s="6" t="s">
        <v>184</v>
      </c>
      <c r="D22" s="6" t="s">
        <v>185</v>
      </c>
      <c r="E22" s="7">
        <v>8296</v>
      </c>
      <c r="F22" s="8">
        <v>98.415447999999998</v>
      </c>
      <c r="G22" s="9">
        <v>1.7066107E-2</v>
      </c>
      <c r="H22" s="167"/>
    </row>
    <row r="23" spans="1:8" x14ac:dyDescent="0.2">
      <c r="A23" s="5">
        <v>17</v>
      </c>
      <c r="B23" s="6" t="s">
        <v>188</v>
      </c>
      <c r="C23" s="6" t="s">
        <v>189</v>
      </c>
      <c r="D23" s="6" t="s">
        <v>167</v>
      </c>
      <c r="E23" s="7">
        <v>3812</v>
      </c>
      <c r="F23" s="8">
        <v>96.937253999999996</v>
      </c>
      <c r="G23" s="9">
        <v>1.6809774999999999E-2</v>
      </c>
      <c r="H23" s="167"/>
    </row>
    <row r="24" spans="1:8" x14ac:dyDescent="0.2">
      <c r="A24" s="5">
        <v>18</v>
      </c>
      <c r="B24" s="6" t="s">
        <v>461</v>
      </c>
      <c r="C24" s="6" t="s">
        <v>462</v>
      </c>
      <c r="D24" s="6" t="s">
        <v>972</v>
      </c>
      <c r="E24" s="7">
        <v>127060</v>
      </c>
      <c r="F24" s="8">
        <v>95.993830000000003</v>
      </c>
      <c r="G24" s="9">
        <v>1.6646177000000002E-2</v>
      </c>
      <c r="H24" s="167"/>
    </row>
    <row r="25" spans="1:8" x14ac:dyDescent="0.2">
      <c r="A25" s="5">
        <v>19</v>
      </c>
      <c r="B25" s="6" t="s">
        <v>190</v>
      </c>
      <c r="C25" s="6" t="s">
        <v>191</v>
      </c>
      <c r="D25" s="6" t="s">
        <v>192</v>
      </c>
      <c r="E25" s="7">
        <v>23104</v>
      </c>
      <c r="F25" s="8">
        <v>90.821824000000007</v>
      </c>
      <c r="G25" s="9">
        <v>1.5749306000000001E-2</v>
      </c>
      <c r="H25" s="167"/>
    </row>
    <row r="26" spans="1:8" x14ac:dyDescent="0.2">
      <c r="A26" s="5">
        <v>20</v>
      </c>
      <c r="B26" s="6" t="s">
        <v>457</v>
      </c>
      <c r="C26" s="6" t="s">
        <v>458</v>
      </c>
      <c r="D26" s="6" t="s">
        <v>247</v>
      </c>
      <c r="E26" s="7">
        <v>16417</v>
      </c>
      <c r="F26" s="8">
        <v>90.449461499999998</v>
      </c>
      <c r="G26" s="9">
        <v>1.5684735000000002E-2</v>
      </c>
      <c r="H26" s="167"/>
    </row>
    <row r="27" spans="1:8" ht="25.5" x14ac:dyDescent="0.2">
      <c r="A27" s="5">
        <v>21</v>
      </c>
      <c r="B27" s="6" t="s">
        <v>200</v>
      </c>
      <c r="C27" s="6" t="s">
        <v>201</v>
      </c>
      <c r="D27" s="6" t="s">
        <v>75</v>
      </c>
      <c r="E27" s="7">
        <v>3957</v>
      </c>
      <c r="F27" s="8">
        <v>89.190780000000004</v>
      </c>
      <c r="G27" s="9">
        <v>1.5466468000000001E-2</v>
      </c>
      <c r="H27" s="167"/>
    </row>
    <row r="28" spans="1:8" x14ac:dyDescent="0.2">
      <c r="A28" s="5">
        <v>22</v>
      </c>
      <c r="B28" s="6" t="s">
        <v>451</v>
      </c>
      <c r="C28" s="6" t="s">
        <v>452</v>
      </c>
      <c r="D28" s="6" t="s">
        <v>67</v>
      </c>
      <c r="E28" s="7">
        <v>18007</v>
      </c>
      <c r="F28" s="8">
        <v>85.560260499999998</v>
      </c>
      <c r="G28" s="9">
        <v>1.4836904E-2</v>
      </c>
      <c r="H28" s="167"/>
    </row>
    <row r="29" spans="1:8" x14ac:dyDescent="0.2">
      <c r="A29" s="5">
        <v>23</v>
      </c>
      <c r="B29" s="6" t="s">
        <v>193</v>
      </c>
      <c r="C29" s="6" t="s">
        <v>194</v>
      </c>
      <c r="D29" s="6" t="s">
        <v>178</v>
      </c>
      <c r="E29" s="7">
        <v>46520</v>
      </c>
      <c r="F29" s="8">
        <v>85.038560000000004</v>
      </c>
      <c r="G29" s="9">
        <v>1.4746436999999999E-2</v>
      </c>
      <c r="H29" s="167"/>
    </row>
    <row r="30" spans="1:8" x14ac:dyDescent="0.2">
      <c r="A30" s="5">
        <v>24</v>
      </c>
      <c r="B30" s="6" t="s">
        <v>198</v>
      </c>
      <c r="C30" s="6" t="s">
        <v>199</v>
      </c>
      <c r="D30" s="6" t="s">
        <v>167</v>
      </c>
      <c r="E30" s="7">
        <v>10021</v>
      </c>
      <c r="F30" s="8">
        <v>82.5580085</v>
      </c>
      <c r="G30" s="9">
        <v>1.4316287E-2</v>
      </c>
      <c r="H30" s="167"/>
    </row>
    <row r="31" spans="1:8" ht="25.5" x14ac:dyDescent="0.2">
      <c r="A31" s="5">
        <v>25</v>
      </c>
      <c r="B31" s="6" t="s">
        <v>449</v>
      </c>
      <c r="C31" s="6" t="s">
        <v>450</v>
      </c>
      <c r="D31" s="6" t="s">
        <v>37</v>
      </c>
      <c r="E31" s="7">
        <v>6784</v>
      </c>
      <c r="F31" s="8">
        <v>82.218688</v>
      </c>
      <c r="G31" s="9">
        <v>1.4257446E-2</v>
      </c>
      <c r="H31" s="167"/>
    </row>
    <row r="32" spans="1:8" x14ac:dyDescent="0.2">
      <c r="A32" s="5">
        <v>26</v>
      </c>
      <c r="B32" s="6" t="s">
        <v>176</v>
      </c>
      <c r="C32" s="6" t="s">
        <v>177</v>
      </c>
      <c r="D32" s="6" t="s">
        <v>178</v>
      </c>
      <c r="E32" s="7">
        <v>7593</v>
      </c>
      <c r="F32" s="8">
        <v>80.800909500000003</v>
      </c>
      <c r="G32" s="9">
        <v>1.4011591E-2</v>
      </c>
      <c r="H32" s="167"/>
    </row>
    <row r="33" spans="1:8" x14ac:dyDescent="0.2">
      <c r="A33" s="5">
        <v>27</v>
      </c>
      <c r="B33" s="6" t="s">
        <v>226</v>
      </c>
      <c r="C33" s="6" t="s">
        <v>227</v>
      </c>
      <c r="D33" s="6" t="s">
        <v>32</v>
      </c>
      <c r="E33" s="7">
        <v>9799</v>
      </c>
      <c r="F33" s="8">
        <v>77.529687999999993</v>
      </c>
      <c r="G33" s="9">
        <v>1.3444332E-2</v>
      </c>
      <c r="H33" s="167"/>
    </row>
    <row r="34" spans="1:8" ht="25.5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90123</v>
      </c>
      <c r="F34" s="8">
        <v>77.145287999999994</v>
      </c>
      <c r="G34" s="9">
        <v>1.3377674000000001E-2</v>
      </c>
      <c r="H34" s="167"/>
    </row>
    <row r="35" spans="1:8" x14ac:dyDescent="0.2">
      <c r="A35" s="5">
        <v>29</v>
      </c>
      <c r="B35" s="6" t="s">
        <v>218</v>
      </c>
      <c r="C35" s="6" t="s">
        <v>219</v>
      </c>
      <c r="D35" s="6" t="s">
        <v>973</v>
      </c>
      <c r="E35" s="7">
        <v>11000</v>
      </c>
      <c r="F35" s="8">
        <v>75.141000000000005</v>
      </c>
      <c r="G35" s="9">
        <v>1.3030112999999999E-2</v>
      </c>
      <c r="H35" s="167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29</v>
      </c>
      <c r="E36" s="7">
        <v>5569</v>
      </c>
      <c r="F36" s="8">
        <v>75.0116455</v>
      </c>
      <c r="G36" s="9">
        <v>1.3007681E-2</v>
      </c>
      <c r="H36" s="167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976</v>
      </c>
      <c r="E37" s="7">
        <v>24037</v>
      </c>
      <c r="F37" s="8">
        <v>74.6709405</v>
      </c>
      <c r="G37" s="9">
        <v>1.2948599999999999E-2</v>
      </c>
      <c r="H37" s="167"/>
    </row>
    <row r="38" spans="1:8" x14ac:dyDescent="0.2">
      <c r="A38" s="5">
        <v>32</v>
      </c>
      <c r="B38" s="6" t="s">
        <v>455</v>
      </c>
      <c r="C38" s="6" t="s">
        <v>456</v>
      </c>
      <c r="D38" s="6" t="s">
        <v>75</v>
      </c>
      <c r="E38" s="7">
        <v>8981</v>
      </c>
      <c r="F38" s="8">
        <v>74.012421000000003</v>
      </c>
      <c r="G38" s="9">
        <v>1.2834407000000001E-2</v>
      </c>
      <c r="H38" s="167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158</v>
      </c>
      <c r="E39" s="7">
        <v>12918</v>
      </c>
      <c r="F39" s="8">
        <v>73.484043</v>
      </c>
      <c r="G39" s="9">
        <v>1.2742781999999999E-2</v>
      </c>
      <c r="H39" s="167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158</v>
      </c>
      <c r="E40" s="7">
        <v>128598</v>
      </c>
      <c r="F40" s="8">
        <v>73.236560999999995</v>
      </c>
      <c r="G40" s="9">
        <v>1.2699866000000001E-2</v>
      </c>
      <c r="H40" s="167"/>
    </row>
    <row r="41" spans="1:8" x14ac:dyDescent="0.2">
      <c r="A41" s="5">
        <v>35</v>
      </c>
      <c r="B41" s="6" t="s">
        <v>216</v>
      </c>
      <c r="C41" s="6" t="s">
        <v>217</v>
      </c>
      <c r="D41" s="6" t="s">
        <v>192</v>
      </c>
      <c r="E41" s="7">
        <v>13902</v>
      </c>
      <c r="F41" s="8">
        <v>72.811724999999996</v>
      </c>
      <c r="G41" s="9">
        <v>1.2626195999999999E-2</v>
      </c>
      <c r="H41" s="167"/>
    </row>
    <row r="42" spans="1:8" x14ac:dyDescent="0.2">
      <c r="A42" s="5">
        <v>36</v>
      </c>
      <c r="B42" s="6" t="s">
        <v>206</v>
      </c>
      <c r="C42" s="6" t="s">
        <v>207</v>
      </c>
      <c r="D42" s="6" t="s">
        <v>32</v>
      </c>
      <c r="E42" s="7">
        <v>75207</v>
      </c>
      <c r="F42" s="8">
        <v>70.694580000000002</v>
      </c>
      <c r="G42" s="9">
        <v>1.2259064E-2</v>
      </c>
      <c r="H42" s="167"/>
    </row>
    <row r="43" spans="1:8" ht="25.5" x14ac:dyDescent="0.2">
      <c r="A43" s="5">
        <v>37</v>
      </c>
      <c r="B43" s="6" t="s">
        <v>228</v>
      </c>
      <c r="C43" s="6" t="s">
        <v>229</v>
      </c>
      <c r="D43" s="6" t="s">
        <v>78</v>
      </c>
      <c r="E43" s="7">
        <v>20765</v>
      </c>
      <c r="F43" s="8">
        <v>70.528322500000002</v>
      </c>
      <c r="G43" s="9">
        <v>1.2230234E-2</v>
      </c>
      <c r="H43" s="167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971</v>
      </c>
      <c r="E44" s="7">
        <v>21380</v>
      </c>
      <c r="F44" s="8">
        <v>70.126400000000004</v>
      </c>
      <c r="G44" s="9">
        <v>1.2160537000000001E-2</v>
      </c>
      <c r="H44" s="167"/>
    </row>
    <row r="45" spans="1:8" x14ac:dyDescent="0.2">
      <c r="A45" s="5">
        <v>39</v>
      </c>
      <c r="B45" s="6" t="s">
        <v>202</v>
      </c>
      <c r="C45" s="6" t="s">
        <v>203</v>
      </c>
      <c r="D45" s="6" t="s">
        <v>57</v>
      </c>
      <c r="E45" s="7">
        <v>6486</v>
      </c>
      <c r="F45" s="8">
        <v>69.854219999999998</v>
      </c>
      <c r="G45" s="9">
        <v>1.2113338E-2</v>
      </c>
      <c r="H45" s="167"/>
    </row>
    <row r="46" spans="1:8" x14ac:dyDescent="0.2">
      <c r="A46" s="5">
        <v>40</v>
      </c>
      <c r="B46" s="6" t="s">
        <v>44</v>
      </c>
      <c r="C46" s="6" t="s">
        <v>45</v>
      </c>
      <c r="D46" s="6" t="s">
        <v>29</v>
      </c>
      <c r="E46" s="7">
        <v>3792</v>
      </c>
      <c r="F46" s="8">
        <v>69.651455999999996</v>
      </c>
      <c r="G46" s="9">
        <v>1.2078177000000001E-2</v>
      </c>
      <c r="H46" s="167"/>
    </row>
    <row r="47" spans="1:8" x14ac:dyDescent="0.2">
      <c r="A47" s="5">
        <v>41</v>
      </c>
      <c r="B47" s="6" t="s">
        <v>230</v>
      </c>
      <c r="C47" s="6" t="s">
        <v>231</v>
      </c>
      <c r="D47" s="6" t="s">
        <v>75</v>
      </c>
      <c r="E47" s="7">
        <v>10830</v>
      </c>
      <c r="F47" s="8">
        <v>65.369879999999995</v>
      </c>
      <c r="G47" s="9">
        <v>1.1335714E-2</v>
      </c>
      <c r="H47" s="167"/>
    </row>
    <row r="48" spans="1:8" x14ac:dyDescent="0.2">
      <c r="A48" s="5">
        <v>42</v>
      </c>
      <c r="B48" s="6" t="s">
        <v>286</v>
      </c>
      <c r="C48" s="6" t="s">
        <v>287</v>
      </c>
      <c r="D48" s="6" t="s">
        <v>29</v>
      </c>
      <c r="E48" s="7">
        <v>6298</v>
      </c>
      <c r="F48" s="8">
        <v>63.896358999999997</v>
      </c>
      <c r="G48" s="9">
        <v>1.1080193E-2</v>
      </c>
      <c r="H48" s="167"/>
    </row>
    <row r="49" spans="1:8" x14ac:dyDescent="0.2">
      <c r="A49" s="5">
        <v>43</v>
      </c>
      <c r="B49" s="6" t="s">
        <v>174</v>
      </c>
      <c r="C49" s="6" t="s">
        <v>175</v>
      </c>
      <c r="D49" s="6" t="s">
        <v>50</v>
      </c>
      <c r="E49" s="7">
        <v>15004</v>
      </c>
      <c r="F49" s="8">
        <v>63.579450000000001</v>
      </c>
      <c r="G49" s="9">
        <v>1.1025238E-2</v>
      </c>
      <c r="H49" s="167"/>
    </row>
    <row r="50" spans="1:8" x14ac:dyDescent="0.2">
      <c r="A50" s="5">
        <v>44</v>
      </c>
      <c r="B50" s="6" t="s">
        <v>232</v>
      </c>
      <c r="C50" s="6" t="s">
        <v>233</v>
      </c>
      <c r="D50" s="6" t="s">
        <v>185</v>
      </c>
      <c r="E50" s="7">
        <v>17494</v>
      </c>
      <c r="F50" s="8">
        <v>62.873435999999998</v>
      </c>
      <c r="G50" s="9">
        <v>1.0902808999999999E-2</v>
      </c>
      <c r="H50" s="167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29</v>
      </c>
      <c r="E51" s="7">
        <v>51936</v>
      </c>
      <c r="F51" s="8">
        <v>60.609312000000003</v>
      </c>
      <c r="G51" s="9">
        <v>1.0510190000000001E-2</v>
      </c>
      <c r="H51" s="167"/>
    </row>
    <row r="52" spans="1:8" x14ac:dyDescent="0.2">
      <c r="A52" s="5">
        <v>46</v>
      </c>
      <c r="B52" s="6" t="s">
        <v>238</v>
      </c>
      <c r="C52" s="6" t="s">
        <v>239</v>
      </c>
      <c r="D52" s="6" t="s">
        <v>240</v>
      </c>
      <c r="E52" s="7">
        <v>7257</v>
      </c>
      <c r="F52" s="8">
        <v>59.151806999999998</v>
      </c>
      <c r="G52" s="9">
        <v>1.0257445E-2</v>
      </c>
      <c r="H52" s="167"/>
    </row>
    <row r="53" spans="1:8" ht="25.5" x14ac:dyDescent="0.2">
      <c r="A53" s="5">
        <v>47</v>
      </c>
      <c r="B53" s="6" t="s">
        <v>241</v>
      </c>
      <c r="C53" s="6" t="s">
        <v>242</v>
      </c>
      <c r="D53" s="6" t="s">
        <v>153</v>
      </c>
      <c r="E53" s="7">
        <v>15712</v>
      </c>
      <c r="F53" s="8">
        <v>59.053552000000003</v>
      </c>
      <c r="G53" s="9">
        <v>1.0240407E-2</v>
      </c>
      <c r="H53" s="167"/>
    </row>
    <row r="54" spans="1:8" ht="25.5" x14ac:dyDescent="0.2">
      <c r="A54" s="5">
        <v>48</v>
      </c>
      <c r="B54" s="6" t="s">
        <v>243</v>
      </c>
      <c r="C54" s="6" t="s">
        <v>244</v>
      </c>
      <c r="D54" s="6" t="s">
        <v>78</v>
      </c>
      <c r="E54" s="7">
        <v>16397</v>
      </c>
      <c r="F54" s="8">
        <v>58.127364999999998</v>
      </c>
      <c r="G54" s="9">
        <v>1.0079797999999999E-2</v>
      </c>
      <c r="H54" s="167"/>
    </row>
    <row r="55" spans="1:8" x14ac:dyDescent="0.2">
      <c r="A55" s="5">
        <v>49</v>
      </c>
      <c r="B55" s="6" t="s">
        <v>459</v>
      </c>
      <c r="C55" s="6" t="s">
        <v>460</v>
      </c>
      <c r="D55" s="6" t="s">
        <v>29</v>
      </c>
      <c r="E55" s="7">
        <v>9582</v>
      </c>
      <c r="F55" s="8">
        <v>57.353060999999997</v>
      </c>
      <c r="G55" s="9">
        <v>9.9455269999999991E-3</v>
      </c>
      <c r="H55" s="167"/>
    </row>
    <row r="56" spans="1:8" x14ac:dyDescent="0.2">
      <c r="A56" s="5">
        <v>50</v>
      </c>
      <c r="B56" s="6" t="s">
        <v>248</v>
      </c>
      <c r="C56" s="6" t="s">
        <v>249</v>
      </c>
      <c r="D56" s="6" t="s">
        <v>192</v>
      </c>
      <c r="E56" s="7">
        <v>3920</v>
      </c>
      <c r="F56" s="8">
        <v>56.871360000000003</v>
      </c>
      <c r="G56" s="9">
        <v>9.8619959999999996E-3</v>
      </c>
      <c r="H56" s="167"/>
    </row>
    <row r="57" spans="1:8" x14ac:dyDescent="0.2">
      <c r="A57" s="5">
        <v>51</v>
      </c>
      <c r="B57" s="6" t="s">
        <v>250</v>
      </c>
      <c r="C57" s="6" t="s">
        <v>251</v>
      </c>
      <c r="D57" s="6" t="s">
        <v>75</v>
      </c>
      <c r="E57" s="7">
        <v>9133</v>
      </c>
      <c r="F57" s="8">
        <v>55.907659500000001</v>
      </c>
      <c r="G57" s="9">
        <v>9.6948820000000002E-3</v>
      </c>
      <c r="H57" s="167"/>
    </row>
    <row r="58" spans="1:8" x14ac:dyDescent="0.2">
      <c r="A58" s="5">
        <v>52</v>
      </c>
      <c r="B58" s="6" t="s">
        <v>453</v>
      </c>
      <c r="C58" s="6" t="s">
        <v>454</v>
      </c>
      <c r="D58" s="6" t="s">
        <v>158</v>
      </c>
      <c r="E58" s="7">
        <v>17500</v>
      </c>
      <c r="F58" s="8">
        <v>55.772500000000001</v>
      </c>
      <c r="G58" s="9">
        <v>9.6714439999999995E-3</v>
      </c>
      <c r="H58" s="167"/>
    </row>
    <row r="59" spans="1:8" x14ac:dyDescent="0.2">
      <c r="A59" s="5">
        <v>53</v>
      </c>
      <c r="B59" s="6" t="s">
        <v>252</v>
      </c>
      <c r="C59" s="6" t="s">
        <v>253</v>
      </c>
      <c r="D59" s="6" t="s">
        <v>158</v>
      </c>
      <c r="E59" s="7">
        <v>10167</v>
      </c>
      <c r="F59" s="8">
        <v>55.755828000000001</v>
      </c>
      <c r="G59" s="9">
        <v>9.6685529999999999E-3</v>
      </c>
      <c r="H59" s="167"/>
    </row>
    <row r="60" spans="1:8" x14ac:dyDescent="0.2">
      <c r="A60" s="5">
        <v>54</v>
      </c>
      <c r="B60" s="6" t="s">
        <v>195</v>
      </c>
      <c r="C60" s="6" t="s">
        <v>196</v>
      </c>
      <c r="D60" s="6" t="s">
        <v>197</v>
      </c>
      <c r="E60" s="7">
        <v>7374</v>
      </c>
      <c r="F60" s="8">
        <v>55.706882999999998</v>
      </c>
      <c r="G60" s="9">
        <v>9.6600650000000007E-3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11454</v>
      </c>
      <c r="F61" s="8">
        <v>55.219734000000003</v>
      </c>
      <c r="G61" s="9">
        <v>9.5755890000000007E-3</v>
      </c>
      <c r="H61" s="167"/>
    </row>
    <row r="62" spans="1:8" x14ac:dyDescent="0.2">
      <c r="A62" s="5">
        <v>56</v>
      </c>
      <c r="B62" s="6" t="s">
        <v>258</v>
      </c>
      <c r="C62" s="6" t="s">
        <v>259</v>
      </c>
      <c r="D62" s="6" t="s">
        <v>23</v>
      </c>
      <c r="E62" s="7">
        <v>52374</v>
      </c>
      <c r="F62" s="8">
        <v>54.966512999999999</v>
      </c>
      <c r="G62" s="9">
        <v>9.531678E-3</v>
      </c>
      <c r="H62" s="167"/>
    </row>
    <row r="63" spans="1:8" x14ac:dyDescent="0.2">
      <c r="A63" s="5">
        <v>57</v>
      </c>
      <c r="B63" s="6" t="s">
        <v>245</v>
      </c>
      <c r="C63" s="6" t="s">
        <v>246</v>
      </c>
      <c r="D63" s="6" t="s">
        <v>247</v>
      </c>
      <c r="E63" s="7">
        <v>33456</v>
      </c>
      <c r="F63" s="8">
        <v>54.867840000000001</v>
      </c>
      <c r="G63" s="9">
        <v>9.5145679999999993E-3</v>
      </c>
      <c r="H63" s="167"/>
    </row>
    <row r="64" spans="1:8" x14ac:dyDescent="0.2">
      <c r="A64" s="5">
        <v>58</v>
      </c>
      <c r="B64" s="6" t="s">
        <v>95</v>
      </c>
      <c r="C64" s="6" t="s">
        <v>96</v>
      </c>
      <c r="D64" s="6" t="s">
        <v>75</v>
      </c>
      <c r="E64" s="7">
        <v>21420</v>
      </c>
      <c r="F64" s="8">
        <v>54.845910000000003</v>
      </c>
      <c r="G64" s="9">
        <v>9.5107649999999992E-3</v>
      </c>
      <c r="H64" s="167"/>
    </row>
    <row r="65" spans="1:8" x14ac:dyDescent="0.2">
      <c r="A65" s="5">
        <v>59</v>
      </c>
      <c r="B65" s="6" t="s">
        <v>224</v>
      </c>
      <c r="C65" s="6" t="s">
        <v>225</v>
      </c>
      <c r="D65" s="6" t="s">
        <v>185</v>
      </c>
      <c r="E65" s="7">
        <v>12334</v>
      </c>
      <c r="F65" s="8">
        <v>50.933253000000001</v>
      </c>
      <c r="G65" s="9">
        <v>8.832276E-3</v>
      </c>
      <c r="H65" s="167"/>
    </row>
    <row r="66" spans="1:8" x14ac:dyDescent="0.2">
      <c r="A66" s="5">
        <v>60</v>
      </c>
      <c r="B66" s="6" t="s">
        <v>260</v>
      </c>
      <c r="C66" s="6" t="s">
        <v>926</v>
      </c>
      <c r="D66" s="6" t="s">
        <v>261</v>
      </c>
      <c r="E66" s="7">
        <v>19523</v>
      </c>
      <c r="F66" s="8">
        <v>46.533070500000001</v>
      </c>
      <c r="G66" s="9">
        <v>8.0692449999999992E-3</v>
      </c>
      <c r="H66" s="167"/>
    </row>
    <row r="67" spans="1:8" ht="25.5" x14ac:dyDescent="0.2">
      <c r="A67" s="5">
        <v>61</v>
      </c>
      <c r="B67" s="6" t="s">
        <v>161</v>
      </c>
      <c r="C67" s="6" t="s">
        <v>162</v>
      </c>
      <c r="D67" s="6" t="s">
        <v>970</v>
      </c>
      <c r="E67" s="7">
        <v>25342</v>
      </c>
      <c r="F67" s="8">
        <v>46.185794999999999</v>
      </c>
      <c r="G67" s="9">
        <v>8.009024E-3</v>
      </c>
      <c r="H67" s="167"/>
    </row>
    <row r="68" spans="1:8" x14ac:dyDescent="0.2">
      <c r="A68" s="5">
        <v>62</v>
      </c>
      <c r="B68" s="6" t="s">
        <v>262</v>
      </c>
      <c r="C68" s="6" t="s">
        <v>263</v>
      </c>
      <c r="D68" s="6" t="s">
        <v>185</v>
      </c>
      <c r="E68" s="7">
        <v>8028</v>
      </c>
      <c r="F68" s="8">
        <v>45.651221999999997</v>
      </c>
      <c r="G68" s="9">
        <v>7.9163250000000001E-3</v>
      </c>
      <c r="H68" s="167"/>
    </row>
    <row r="69" spans="1:8" x14ac:dyDescent="0.2">
      <c r="A69" s="5">
        <v>63</v>
      </c>
      <c r="B69" s="6" t="s">
        <v>463</v>
      </c>
      <c r="C69" s="6" t="s">
        <v>464</v>
      </c>
      <c r="D69" s="6" t="s">
        <v>158</v>
      </c>
      <c r="E69" s="7">
        <v>7194</v>
      </c>
      <c r="F69" s="8">
        <v>45.056021999999999</v>
      </c>
      <c r="G69" s="9">
        <v>7.8131120000000005E-3</v>
      </c>
      <c r="H69" s="167"/>
    </row>
    <row r="70" spans="1:8" ht="25.5" x14ac:dyDescent="0.2">
      <c r="A70" s="5">
        <v>64</v>
      </c>
      <c r="B70" s="6" t="s">
        <v>256</v>
      </c>
      <c r="C70" s="6" t="s">
        <v>257</v>
      </c>
      <c r="D70" s="6" t="s">
        <v>975</v>
      </c>
      <c r="E70" s="7">
        <v>51151</v>
      </c>
      <c r="F70" s="8">
        <v>43.401623499999999</v>
      </c>
      <c r="G70" s="9">
        <v>7.5262250000000001E-3</v>
      </c>
      <c r="H70" s="167"/>
    </row>
    <row r="71" spans="1:8" x14ac:dyDescent="0.2">
      <c r="A71" s="5">
        <v>65</v>
      </c>
      <c r="B71" s="6" t="s">
        <v>270</v>
      </c>
      <c r="C71" s="6" t="s">
        <v>271</v>
      </c>
      <c r="D71" s="6" t="s">
        <v>75</v>
      </c>
      <c r="E71" s="7">
        <v>26481</v>
      </c>
      <c r="F71" s="8">
        <v>41.866461000000001</v>
      </c>
      <c r="G71" s="9">
        <v>7.2600140000000004E-3</v>
      </c>
      <c r="H71" s="167"/>
    </row>
    <row r="72" spans="1:8" x14ac:dyDescent="0.2">
      <c r="A72" s="5">
        <v>66</v>
      </c>
      <c r="B72" s="6" t="s">
        <v>272</v>
      </c>
      <c r="C72" s="6" t="s">
        <v>273</v>
      </c>
      <c r="D72" s="6" t="s">
        <v>972</v>
      </c>
      <c r="E72" s="7">
        <v>2402</v>
      </c>
      <c r="F72" s="8">
        <v>37.206980000000001</v>
      </c>
      <c r="G72" s="9">
        <v>6.4520189999999998E-3</v>
      </c>
      <c r="H72" s="167"/>
    </row>
    <row r="73" spans="1:8" x14ac:dyDescent="0.2">
      <c r="A73" s="5">
        <v>67</v>
      </c>
      <c r="B73" s="6" t="s">
        <v>292</v>
      </c>
      <c r="C73" s="6" t="s">
        <v>293</v>
      </c>
      <c r="D73" s="6" t="s">
        <v>971</v>
      </c>
      <c r="E73" s="7">
        <v>93287</v>
      </c>
      <c r="F73" s="8">
        <v>36.755077999999997</v>
      </c>
      <c r="G73" s="9">
        <v>6.3736549999999998E-3</v>
      </c>
      <c r="H73" s="167"/>
    </row>
    <row r="74" spans="1:8" x14ac:dyDescent="0.2">
      <c r="A74" s="5">
        <v>68</v>
      </c>
      <c r="B74" s="6" t="s">
        <v>276</v>
      </c>
      <c r="C74" s="6" t="s">
        <v>277</v>
      </c>
      <c r="D74" s="6" t="s">
        <v>167</v>
      </c>
      <c r="E74" s="7">
        <v>5325</v>
      </c>
      <c r="F74" s="8">
        <v>29.519137499999999</v>
      </c>
      <c r="G74" s="9">
        <v>5.1188789999999998E-3</v>
      </c>
      <c r="H74" s="167"/>
    </row>
    <row r="75" spans="1:8" x14ac:dyDescent="0.2">
      <c r="A75" s="5">
        <v>69</v>
      </c>
      <c r="B75" s="6" t="s">
        <v>30</v>
      </c>
      <c r="C75" s="6" t="s">
        <v>31</v>
      </c>
      <c r="D75" s="6" t="s">
        <v>32</v>
      </c>
      <c r="E75" s="7">
        <v>10971</v>
      </c>
      <c r="F75" s="8">
        <v>28.409404500000001</v>
      </c>
      <c r="G75" s="9">
        <v>4.9264410000000002E-3</v>
      </c>
      <c r="H75" s="167"/>
    </row>
    <row r="76" spans="1:8" x14ac:dyDescent="0.2">
      <c r="A76" s="5">
        <v>70</v>
      </c>
      <c r="B76" s="6" t="s">
        <v>274</v>
      </c>
      <c r="C76" s="6" t="s">
        <v>275</v>
      </c>
      <c r="D76" s="6" t="s">
        <v>153</v>
      </c>
      <c r="E76" s="7">
        <v>1852</v>
      </c>
      <c r="F76" s="8">
        <v>28.408753999999998</v>
      </c>
      <c r="G76" s="9">
        <v>4.9263290000000001E-3</v>
      </c>
      <c r="H76" s="167"/>
    </row>
    <row r="77" spans="1:8" x14ac:dyDescent="0.2">
      <c r="A77" s="5">
        <v>71</v>
      </c>
      <c r="B77" s="6" t="s">
        <v>447</v>
      </c>
      <c r="C77" s="6" t="s">
        <v>448</v>
      </c>
      <c r="D77" s="6" t="s">
        <v>75</v>
      </c>
      <c r="E77" s="7">
        <v>8699</v>
      </c>
      <c r="F77" s="8">
        <v>26.497153999999998</v>
      </c>
      <c r="G77" s="9">
        <v>4.5948400000000002E-3</v>
      </c>
      <c r="H77" s="167"/>
    </row>
    <row r="78" spans="1:8" x14ac:dyDescent="0.2">
      <c r="A78" s="5">
        <v>72</v>
      </c>
      <c r="B78" s="6" t="s">
        <v>282</v>
      </c>
      <c r="C78" s="6" t="s">
        <v>283</v>
      </c>
      <c r="D78" s="6" t="s">
        <v>284</v>
      </c>
      <c r="E78" s="7">
        <v>17025</v>
      </c>
      <c r="F78" s="8">
        <v>24.686250000000001</v>
      </c>
      <c r="G78" s="9">
        <v>4.280814E-3</v>
      </c>
      <c r="H78" s="167"/>
    </row>
    <row r="79" spans="1:8" x14ac:dyDescent="0.2">
      <c r="A79" s="5">
        <v>73</v>
      </c>
      <c r="B79" s="6" t="s">
        <v>280</v>
      </c>
      <c r="C79" s="6" t="s">
        <v>281</v>
      </c>
      <c r="D79" s="6" t="s">
        <v>971</v>
      </c>
      <c r="E79" s="7">
        <v>52922</v>
      </c>
      <c r="F79" s="8">
        <v>22.121396000000001</v>
      </c>
      <c r="G79" s="9">
        <v>3.8360450000000002E-3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0">
        <v>5588.0376990000004</v>
      </c>
      <c r="G80" s="11">
        <v>0.96901505600000004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105</v>
      </c>
      <c r="D82" s="3" t="s">
        <v>10</v>
      </c>
      <c r="E82" s="3" t="s">
        <v>10</v>
      </c>
      <c r="F82" s="3" t="s">
        <v>10</v>
      </c>
      <c r="G82" s="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106</v>
      </c>
      <c r="D85" s="3" t="s">
        <v>10</v>
      </c>
      <c r="E85" s="3" t="s">
        <v>10</v>
      </c>
      <c r="F85" s="3" t="s">
        <v>10</v>
      </c>
      <c r="G85" s="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110</v>
      </c>
      <c r="D88" s="3" t="s">
        <v>10</v>
      </c>
      <c r="E88" s="3" t="s">
        <v>10</v>
      </c>
      <c r="F88" s="3" t="s">
        <v>10</v>
      </c>
      <c r="G88" s="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4">
        <v>0</v>
      </c>
      <c r="G89" s="15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111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4">
        <v>0</v>
      </c>
      <c r="G92" s="15">
        <v>0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112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4">
        <v>0</v>
      </c>
      <c r="G95" s="15">
        <v>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113</v>
      </c>
      <c r="D97" s="3" t="s">
        <v>10</v>
      </c>
      <c r="E97" s="3" t="s">
        <v>10</v>
      </c>
      <c r="F97" s="10">
        <v>5588.0376990000004</v>
      </c>
      <c r="G97" s="11">
        <v>0.96901505600000004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114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ht="25.5" x14ac:dyDescent="0.2">
      <c r="A100" s="3" t="s">
        <v>10</v>
      </c>
      <c r="B100" s="3" t="s">
        <v>10</v>
      </c>
      <c r="C100" s="4" t="s">
        <v>12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115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116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117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118</v>
      </c>
      <c r="D112" s="3" t="s">
        <v>10</v>
      </c>
      <c r="E112" s="3" t="s">
        <v>10</v>
      </c>
      <c r="F112" s="10">
        <v>0</v>
      </c>
      <c r="G112" s="11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119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120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4">
        <v>0</v>
      </c>
      <c r="G116" s="15">
        <v>0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121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104</v>
      </c>
      <c r="D119" s="3" t="s">
        <v>10</v>
      </c>
      <c r="E119" s="3" t="s">
        <v>10</v>
      </c>
      <c r="F119" s="14">
        <v>0</v>
      </c>
      <c r="G119" s="15">
        <v>0</v>
      </c>
      <c r="H119" s="167"/>
    </row>
    <row r="120" spans="1:8" x14ac:dyDescent="0.2">
      <c r="A120" s="3" t="s">
        <v>10</v>
      </c>
      <c r="B120" s="3" t="s">
        <v>10</v>
      </c>
      <c r="C120" s="12" t="s">
        <v>10</v>
      </c>
      <c r="D120" s="3" t="s">
        <v>10</v>
      </c>
      <c r="E120" s="3" t="s">
        <v>10</v>
      </c>
      <c r="F120" s="13" t="s">
        <v>10</v>
      </c>
      <c r="G120" s="1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122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123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x14ac:dyDescent="0.2">
      <c r="A125" s="5">
        <v>1</v>
      </c>
      <c r="B125" s="6"/>
      <c r="C125" s="6" t="s">
        <v>124</v>
      </c>
      <c r="D125" s="6"/>
      <c r="E125" s="16" t="s">
        <v>10</v>
      </c>
      <c r="F125" s="8">
        <v>146.78179950000001</v>
      </c>
      <c r="G125" s="9">
        <v>2.5453258999999999E-2</v>
      </c>
      <c r="H125" s="108">
        <v>3.23</v>
      </c>
    </row>
    <row r="126" spans="1:8" x14ac:dyDescent="0.2">
      <c r="A126" s="5">
        <v>2</v>
      </c>
      <c r="B126" s="6"/>
      <c r="C126" s="6" t="s">
        <v>125</v>
      </c>
      <c r="D126" s="6"/>
      <c r="E126" s="16" t="s">
        <v>10</v>
      </c>
      <c r="F126" s="8">
        <v>41.229538300000002</v>
      </c>
      <c r="G126" s="9">
        <v>7.1495660000000004E-3</v>
      </c>
      <c r="H126" s="108">
        <v>3.35</v>
      </c>
    </row>
    <row r="127" spans="1:8" x14ac:dyDescent="0.2">
      <c r="A127" s="3" t="s">
        <v>10</v>
      </c>
      <c r="B127" s="3" t="s">
        <v>10</v>
      </c>
      <c r="C127" s="4" t="s">
        <v>104</v>
      </c>
      <c r="D127" s="3" t="s">
        <v>10</v>
      </c>
      <c r="E127" s="3" t="s">
        <v>10</v>
      </c>
      <c r="F127" s="10">
        <v>188.01133780000001</v>
      </c>
      <c r="G127" s="11">
        <v>3.2602825000000002E-2</v>
      </c>
      <c r="H127" s="167"/>
    </row>
    <row r="128" spans="1:8" x14ac:dyDescent="0.2">
      <c r="A128" s="3" t="s">
        <v>10</v>
      </c>
      <c r="B128" s="3" t="s">
        <v>10</v>
      </c>
      <c r="C128" s="12" t="s">
        <v>10</v>
      </c>
      <c r="D128" s="3" t="s">
        <v>10</v>
      </c>
      <c r="E128" s="3" t="s">
        <v>10</v>
      </c>
      <c r="F128" s="13" t="s">
        <v>10</v>
      </c>
      <c r="G128" s="1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126</v>
      </c>
      <c r="D129" s="3" t="s">
        <v>10</v>
      </c>
      <c r="E129" s="3" t="s">
        <v>10</v>
      </c>
      <c r="F129" s="10">
        <v>188.01133780000001</v>
      </c>
      <c r="G129" s="11">
        <v>3.2602825000000002E-2</v>
      </c>
      <c r="H129" s="167"/>
    </row>
    <row r="130" spans="1:8" x14ac:dyDescent="0.2">
      <c r="A130" s="3" t="s">
        <v>10</v>
      </c>
      <c r="B130" s="3" t="s">
        <v>10</v>
      </c>
      <c r="C130" s="13" t="s">
        <v>10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x14ac:dyDescent="0.2">
      <c r="A131" s="3" t="s">
        <v>10</v>
      </c>
      <c r="B131" s="3" t="s">
        <v>10</v>
      </c>
      <c r="C131" s="4" t="s">
        <v>127</v>
      </c>
      <c r="D131" s="3" t="s">
        <v>10</v>
      </c>
      <c r="E131" s="3" t="s">
        <v>10</v>
      </c>
      <c r="F131" s="3" t="s">
        <v>10</v>
      </c>
      <c r="G131" s="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128</v>
      </c>
      <c r="D132" s="3" t="s">
        <v>10</v>
      </c>
      <c r="E132" s="3" t="s">
        <v>10</v>
      </c>
      <c r="F132" s="3" t="s">
        <v>10</v>
      </c>
      <c r="G132" s="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104</v>
      </c>
      <c r="D133" s="3" t="s">
        <v>10</v>
      </c>
      <c r="E133" s="3" t="s">
        <v>10</v>
      </c>
      <c r="F133" s="14">
        <v>0</v>
      </c>
      <c r="G133" s="15">
        <v>0</v>
      </c>
      <c r="H133" s="167"/>
    </row>
    <row r="134" spans="1:8" x14ac:dyDescent="0.2">
      <c r="A134" s="3" t="s">
        <v>10</v>
      </c>
      <c r="B134" s="3" t="s">
        <v>10</v>
      </c>
      <c r="C134" s="12" t="s">
        <v>10</v>
      </c>
      <c r="D134" s="3" t="s">
        <v>10</v>
      </c>
      <c r="E134" s="3" t="s">
        <v>10</v>
      </c>
      <c r="F134" s="13" t="s">
        <v>10</v>
      </c>
      <c r="G134" s="13" t="s">
        <v>10</v>
      </c>
      <c r="H134" s="167"/>
    </row>
    <row r="135" spans="1:8" x14ac:dyDescent="0.2">
      <c r="A135" s="3" t="s">
        <v>10</v>
      </c>
      <c r="B135" s="3" t="s">
        <v>10</v>
      </c>
      <c r="C135" s="4" t="s">
        <v>129</v>
      </c>
      <c r="D135" s="3" t="s">
        <v>10</v>
      </c>
      <c r="E135" s="3" t="s">
        <v>10</v>
      </c>
      <c r="F135" s="3" t="s">
        <v>10</v>
      </c>
      <c r="G135" s="3" t="s">
        <v>10</v>
      </c>
      <c r="H135" s="167"/>
    </row>
    <row r="136" spans="1:8" x14ac:dyDescent="0.2">
      <c r="A136" s="3" t="s">
        <v>10</v>
      </c>
      <c r="B136" s="3" t="s">
        <v>10</v>
      </c>
      <c r="C136" s="4" t="s">
        <v>130</v>
      </c>
      <c r="D136" s="3" t="s">
        <v>10</v>
      </c>
      <c r="E136" s="3" t="s">
        <v>10</v>
      </c>
      <c r="F136" s="3" t="s">
        <v>10</v>
      </c>
      <c r="G136" s="3" t="s">
        <v>10</v>
      </c>
      <c r="H136" s="167"/>
    </row>
    <row r="137" spans="1:8" x14ac:dyDescent="0.2">
      <c r="A137" s="3" t="s">
        <v>10</v>
      </c>
      <c r="B137" s="3" t="s">
        <v>10</v>
      </c>
      <c r="C137" s="4" t="s">
        <v>104</v>
      </c>
      <c r="D137" s="3" t="s">
        <v>10</v>
      </c>
      <c r="E137" s="3" t="s">
        <v>10</v>
      </c>
      <c r="F137" s="14">
        <v>0</v>
      </c>
      <c r="G137" s="15">
        <v>0</v>
      </c>
      <c r="H137" s="167"/>
    </row>
    <row r="138" spans="1:8" x14ac:dyDescent="0.2">
      <c r="A138" s="3" t="s">
        <v>10</v>
      </c>
      <c r="B138" s="3" t="s">
        <v>10</v>
      </c>
      <c r="C138" s="12" t="s">
        <v>10</v>
      </c>
      <c r="D138" s="3" t="s">
        <v>10</v>
      </c>
      <c r="E138" s="3" t="s">
        <v>10</v>
      </c>
      <c r="F138" s="13" t="s">
        <v>10</v>
      </c>
      <c r="G138" s="13" t="s">
        <v>10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ht="25.5" x14ac:dyDescent="0.2">
      <c r="A140" s="3" t="s">
        <v>10</v>
      </c>
      <c r="B140" s="3" t="s">
        <v>10</v>
      </c>
      <c r="C140" s="4" t="s">
        <v>131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x14ac:dyDescent="0.2">
      <c r="A141" s="3" t="s">
        <v>10</v>
      </c>
      <c r="B141" s="3" t="s">
        <v>10</v>
      </c>
      <c r="C141" s="4" t="s">
        <v>104</v>
      </c>
      <c r="D141" s="3" t="s">
        <v>10</v>
      </c>
      <c r="E141" s="3" t="s">
        <v>10</v>
      </c>
      <c r="F141" s="14">
        <v>0</v>
      </c>
      <c r="G141" s="15">
        <v>0</v>
      </c>
      <c r="H141" s="167"/>
    </row>
    <row r="142" spans="1:8" x14ac:dyDescent="0.2">
      <c r="A142" s="3" t="s">
        <v>10</v>
      </c>
      <c r="B142" s="3" t="s">
        <v>10</v>
      </c>
      <c r="C142" s="12" t="s">
        <v>10</v>
      </c>
      <c r="D142" s="3" t="s">
        <v>10</v>
      </c>
      <c r="E142" s="3" t="s">
        <v>10</v>
      </c>
      <c r="F142" s="13" t="s">
        <v>10</v>
      </c>
      <c r="G142" s="13" t="s">
        <v>10</v>
      </c>
      <c r="H142" s="167"/>
    </row>
    <row r="143" spans="1:8" x14ac:dyDescent="0.2">
      <c r="A143" s="3" t="s">
        <v>10</v>
      </c>
      <c r="B143" s="6" t="s">
        <v>10</v>
      </c>
      <c r="C143" s="6" t="s">
        <v>10</v>
      </c>
      <c r="D143" s="4" t="s">
        <v>10</v>
      </c>
      <c r="E143" s="3" t="s">
        <v>10</v>
      </c>
      <c r="F143" s="6" t="s">
        <v>10</v>
      </c>
      <c r="G143" s="16" t="s">
        <v>10</v>
      </c>
      <c r="H143" s="167"/>
    </row>
    <row r="144" spans="1:8" x14ac:dyDescent="0.2">
      <c r="A144" s="16" t="s">
        <v>10</v>
      </c>
      <c r="B144" s="6" t="s">
        <v>10</v>
      </c>
      <c r="C144" s="6" t="s">
        <v>132</v>
      </c>
      <c r="D144" s="6" t="s">
        <v>10</v>
      </c>
      <c r="E144" s="16" t="s">
        <v>10</v>
      </c>
      <c r="F144" s="8">
        <v>-9.3298641099989421</v>
      </c>
      <c r="G144" s="9">
        <v>-1.617881E-3</v>
      </c>
      <c r="H144" s="167"/>
    </row>
    <row r="145" spans="1:8" x14ac:dyDescent="0.2">
      <c r="A145" s="12" t="s">
        <v>10</v>
      </c>
      <c r="B145" s="12" t="s">
        <v>10</v>
      </c>
      <c r="C145" s="4" t="s">
        <v>133</v>
      </c>
      <c r="D145" s="17" t="s">
        <v>10</v>
      </c>
      <c r="E145" s="17" t="s">
        <v>10</v>
      </c>
      <c r="F145" s="10">
        <v>5766.719172690001</v>
      </c>
      <c r="G145" s="11">
        <v>1.000000003</v>
      </c>
      <c r="H145" s="167"/>
    </row>
    <row r="146" spans="1:8" ht="14.1" customHeight="1" x14ac:dyDescent="0.2">
      <c r="A146" s="18" t="s">
        <v>10</v>
      </c>
      <c r="B146" s="18" t="s">
        <v>10</v>
      </c>
      <c r="C146" s="18" t="s">
        <v>10</v>
      </c>
      <c r="D146" s="19" t="s">
        <v>10</v>
      </c>
      <c r="E146" s="19" t="s">
        <v>10</v>
      </c>
      <c r="F146" s="19" t="s">
        <v>10</v>
      </c>
      <c r="G146" s="19" t="s">
        <v>10</v>
      </c>
    </row>
    <row r="147" spans="1:8" ht="14.1" customHeight="1" x14ac:dyDescent="0.2">
      <c r="A147" s="20" t="s">
        <v>10</v>
      </c>
      <c r="B147" s="208" t="s">
        <v>10</v>
      </c>
      <c r="C147" s="208"/>
      <c r="D147" s="208"/>
      <c r="E147" s="208"/>
      <c r="F147" s="208"/>
      <c r="G147" s="22" t="s">
        <v>10</v>
      </c>
    </row>
    <row r="148" spans="1:8" ht="17.100000000000001" customHeight="1" x14ac:dyDescent="0.2">
      <c r="A148" s="20"/>
      <c r="B148" s="208"/>
      <c r="C148" s="208"/>
      <c r="D148" s="208"/>
      <c r="E148" s="208"/>
      <c r="F148" s="208"/>
      <c r="G148" s="22"/>
    </row>
    <row r="149" spans="1:8" ht="14.1" customHeight="1" x14ac:dyDescent="0.2">
      <c r="A149" s="20" t="s">
        <v>10</v>
      </c>
      <c r="B149" s="20" t="s">
        <v>10</v>
      </c>
      <c r="C149" s="20" t="s">
        <v>10</v>
      </c>
      <c r="D149" s="22" t="s">
        <v>10</v>
      </c>
      <c r="E149" s="22" t="s">
        <v>10</v>
      </c>
      <c r="F149" s="22" t="s">
        <v>10</v>
      </c>
      <c r="G149" s="22" t="s">
        <v>10</v>
      </c>
    </row>
    <row r="150" spans="1:8" ht="14.1" customHeight="1" x14ac:dyDescent="0.2">
      <c r="A150" s="20" t="s">
        <v>10</v>
      </c>
      <c r="B150" s="206" t="s">
        <v>134</v>
      </c>
      <c r="C150" s="207"/>
      <c r="D150" s="13" t="s">
        <v>10</v>
      </c>
      <c r="E150" s="23" t="s">
        <v>10</v>
      </c>
      <c r="F150" s="22" t="s">
        <v>10</v>
      </c>
      <c r="G150" s="22" t="s">
        <v>10</v>
      </c>
    </row>
    <row r="151" spans="1:8" ht="29.1" customHeight="1" x14ac:dyDescent="0.2">
      <c r="A151" s="20" t="s">
        <v>10</v>
      </c>
      <c r="B151" s="213" t="s">
        <v>135</v>
      </c>
      <c r="C151" s="214"/>
      <c r="D151" s="4" t="s">
        <v>136</v>
      </c>
      <c r="E151" s="23" t="s">
        <v>10</v>
      </c>
      <c r="F151" s="22" t="s">
        <v>10</v>
      </c>
      <c r="G151" s="22" t="s">
        <v>10</v>
      </c>
    </row>
    <row r="152" spans="1:8" ht="17.100000000000001" customHeight="1" x14ac:dyDescent="0.2">
      <c r="A152" s="20" t="s">
        <v>10</v>
      </c>
      <c r="B152" s="213" t="s">
        <v>137</v>
      </c>
      <c r="C152" s="214"/>
      <c r="D152" s="4" t="s">
        <v>136</v>
      </c>
      <c r="E152" s="23" t="s">
        <v>10</v>
      </c>
      <c r="F152" s="22" t="s">
        <v>10</v>
      </c>
      <c r="G152" s="22" t="s">
        <v>10</v>
      </c>
    </row>
    <row r="153" spans="1:8" ht="17.100000000000001" customHeight="1" x14ac:dyDescent="0.2">
      <c r="A153" s="20" t="s">
        <v>10</v>
      </c>
      <c r="B153" s="213" t="s">
        <v>138</v>
      </c>
      <c r="C153" s="214"/>
      <c r="D153" s="13" t="s">
        <v>10</v>
      </c>
      <c r="E153" s="23" t="s">
        <v>10</v>
      </c>
      <c r="F153" s="22" t="s">
        <v>10</v>
      </c>
      <c r="G153" s="22" t="s">
        <v>10</v>
      </c>
    </row>
    <row r="154" spans="1:8" s="20" customFormat="1" ht="17.100000000000001" customHeight="1" x14ac:dyDescent="0.2"/>
    <row r="155" spans="1:8" x14ac:dyDescent="0.2">
      <c r="A155" s="24" t="s">
        <v>10</v>
      </c>
      <c r="B155" s="140" t="s">
        <v>10</v>
      </c>
      <c r="C155" s="140" t="s">
        <v>139</v>
      </c>
      <c r="D155" s="140" t="s">
        <v>140</v>
      </c>
      <c r="E155" s="24" t="s">
        <v>10</v>
      </c>
      <c r="F155" s="24" t="s">
        <v>10</v>
      </c>
      <c r="G155" s="24" t="s">
        <v>10</v>
      </c>
    </row>
    <row r="156" spans="1:8" ht="18" customHeight="1" x14ac:dyDescent="0.2">
      <c r="A156" s="24" t="s">
        <v>10</v>
      </c>
      <c r="B156" s="25" t="s">
        <v>141</v>
      </c>
      <c r="C156" s="25" t="s">
        <v>142</v>
      </c>
      <c r="D156" s="25" t="s">
        <v>143</v>
      </c>
      <c r="E156" s="24" t="s">
        <v>10</v>
      </c>
      <c r="F156" s="24" t="s">
        <v>10</v>
      </c>
      <c r="G156" s="24" t="s">
        <v>10</v>
      </c>
    </row>
    <row r="157" spans="1:8" ht="17.100000000000001" customHeight="1" x14ac:dyDescent="0.2">
      <c r="A157" s="24" t="s">
        <v>10</v>
      </c>
      <c r="B157" s="6" t="s">
        <v>144</v>
      </c>
      <c r="C157" s="26">
        <v>13.0578</v>
      </c>
      <c r="D157" s="26">
        <v>14.4833</v>
      </c>
      <c r="E157" s="24" t="s">
        <v>10</v>
      </c>
      <c r="F157" s="21" t="s">
        <v>10</v>
      </c>
      <c r="G157" s="27" t="s">
        <v>10</v>
      </c>
    </row>
    <row r="158" spans="1:8" ht="17.100000000000001" customHeight="1" x14ac:dyDescent="0.2">
      <c r="A158" s="24" t="s">
        <v>10</v>
      </c>
      <c r="B158" s="6" t="s">
        <v>917</v>
      </c>
      <c r="C158" s="26">
        <v>13.0578</v>
      </c>
      <c r="D158" s="26">
        <v>13.968299999999999</v>
      </c>
      <c r="E158" s="24" t="s">
        <v>10</v>
      </c>
      <c r="F158" s="21" t="s">
        <v>10</v>
      </c>
      <c r="G158" s="27" t="s">
        <v>10</v>
      </c>
    </row>
    <row r="159" spans="1:8" ht="17.100000000000001" customHeight="1" x14ac:dyDescent="0.2">
      <c r="A159" s="24" t="s">
        <v>10</v>
      </c>
      <c r="B159" s="6" t="s">
        <v>145</v>
      </c>
      <c r="C159" s="26">
        <v>12.843</v>
      </c>
      <c r="D159" s="26">
        <v>14.238300000000001</v>
      </c>
      <c r="E159" s="24" t="s">
        <v>10</v>
      </c>
      <c r="F159" s="21" t="s">
        <v>10</v>
      </c>
      <c r="G159" s="27" t="s">
        <v>10</v>
      </c>
    </row>
    <row r="160" spans="1:8" ht="17.100000000000001" customHeight="1" x14ac:dyDescent="0.2">
      <c r="A160" s="24" t="s">
        <v>10</v>
      </c>
      <c r="B160" s="6" t="s">
        <v>918</v>
      </c>
      <c r="C160" s="26">
        <v>12.843</v>
      </c>
      <c r="D160" s="26">
        <v>13.7234</v>
      </c>
      <c r="E160" s="24" t="s">
        <v>10</v>
      </c>
      <c r="F160" s="21" t="s">
        <v>10</v>
      </c>
      <c r="G160" s="27" t="s">
        <v>10</v>
      </c>
    </row>
    <row r="161" spans="1:8" ht="14.1" customHeight="1" x14ac:dyDescent="0.2">
      <c r="A161" s="24" t="s">
        <v>10</v>
      </c>
      <c r="B161" s="24" t="s">
        <v>10</v>
      </c>
      <c r="C161" s="24" t="s">
        <v>10</v>
      </c>
      <c r="D161" s="24" t="s">
        <v>10</v>
      </c>
      <c r="E161" s="24" t="s">
        <v>10</v>
      </c>
      <c r="F161" s="24" t="s">
        <v>10</v>
      </c>
      <c r="G161" s="24" t="s">
        <v>10</v>
      </c>
    </row>
    <row r="162" spans="1:8" ht="29.1" customHeight="1" x14ac:dyDescent="0.2">
      <c r="A162" s="24" t="s">
        <v>10</v>
      </c>
      <c r="B162" s="220" t="s">
        <v>999</v>
      </c>
      <c r="C162" s="220"/>
      <c r="D162" s="145"/>
      <c r="E162" s="24" t="s">
        <v>10</v>
      </c>
      <c r="F162" s="24" t="s">
        <v>10</v>
      </c>
      <c r="G162" s="24" t="s">
        <v>10</v>
      </c>
    </row>
    <row r="163" spans="1:8" s="144" customFormat="1" ht="15" x14ac:dyDescent="0.2">
      <c r="A163" s="141" t="s">
        <v>10</v>
      </c>
      <c r="B163" s="142" t="s">
        <v>141</v>
      </c>
      <c r="C163" s="142" t="s">
        <v>827</v>
      </c>
      <c r="D163" s="142" t="s">
        <v>828</v>
      </c>
      <c r="E163" s="141" t="s">
        <v>10</v>
      </c>
      <c r="F163" s="141" t="s">
        <v>10</v>
      </c>
      <c r="G163" s="141" t="s">
        <v>10</v>
      </c>
      <c r="H163" s="143"/>
    </row>
    <row r="164" spans="1:8" ht="17.100000000000001" customHeight="1" x14ac:dyDescent="0.2">
      <c r="A164" s="24" t="s">
        <v>10</v>
      </c>
      <c r="B164" s="146" t="s">
        <v>917</v>
      </c>
      <c r="C164" s="147">
        <v>0.5</v>
      </c>
      <c r="D164" s="147">
        <v>0</v>
      </c>
      <c r="E164" s="24" t="s">
        <v>10</v>
      </c>
      <c r="F164" s="21" t="s">
        <v>10</v>
      </c>
      <c r="G164" s="27" t="s">
        <v>10</v>
      </c>
    </row>
    <row r="165" spans="1:8" ht="17.100000000000001" customHeight="1" x14ac:dyDescent="0.2">
      <c r="A165" s="24" t="s">
        <v>10</v>
      </c>
      <c r="B165" s="146" t="s">
        <v>918</v>
      </c>
      <c r="C165" s="147">
        <v>0.5</v>
      </c>
      <c r="D165" s="147">
        <v>0</v>
      </c>
      <c r="E165" s="24" t="s">
        <v>10</v>
      </c>
      <c r="F165" s="21" t="s">
        <v>10</v>
      </c>
      <c r="G165" s="27" t="s">
        <v>10</v>
      </c>
    </row>
    <row r="166" spans="1:8" ht="14.1" customHeight="1" x14ac:dyDescent="0.2">
      <c r="A166" s="24" t="s">
        <v>10</v>
      </c>
      <c r="B166" s="21" t="s">
        <v>10</v>
      </c>
      <c r="C166" s="21" t="s">
        <v>10</v>
      </c>
      <c r="D166" s="24" t="s">
        <v>10</v>
      </c>
      <c r="E166" s="24" t="s">
        <v>10</v>
      </c>
      <c r="F166" s="24" t="s">
        <v>10</v>
      </c>
      <c r="G166" s="24" t="s">
        <v>10</v>
      </c>
    </row>
    <row r="167" spans="1:8" s="175" customFormat="1" x14ac:dyDescent="0.2">
      <c r="B167" s="221" t="s">
        <v>919</v>
      </c>
      <c r="C167" s="221"/>
      <c r="D167" s="221"/>
      <c r="E167" s="221"/>
      <c r="F167" s="221"/>
    </row>
    <row r="168" spans="1:8" ht="14.1" customHeight="1" x14ac:dyDescent="0.2">
      <c r="A168" s="24"/>
      <c r="B168" s="150"/>
      <c r="C168" s="150"/>
      <c r="D168" s="24"/>
      <c r="E168" s="24"/>
      <c r="F168" s="24"/>
      <c r="G168" s="24"/>
    </row>
    <row r="169" spans="1:8" ht="29.1" customHeight="1" x14ac:dyDescent="0.2">
      <c r="A169" s="24" t="s">
        <v>10</v>
      </c>
      <c r="B169" s="213" t="s">
        <v>146</v>
      </c>
      <c r="C169" s="214"/>
      <c r="D169" s="4" t="s">
        <v>136</v>
      </c>
      <c r="E169" s="24" t="s">
        <v>10</v>
      </c>
      <c r="F169" s="24" t="s">
        <v>10</v>
      </c>
      <c r="G169" s="24" t="s">
        <v>10</v>
      </c>
    </row>
    <row r="170" spans="1:8" ht="29.1" customHeight="1" x14ac:dyDescent="0.2">
      <c r="A170" s="24" t="s">
        <v>10</v>
      </c>
      <c r="B170" s="213" t="s">
        <v>147</v>
      </c>
      <c r="C170" s="214"/>
      <c r="D170" s="4" t="s">
        <v>136</v>
      </c>
      <c r="E170" s="24" t="s">
        <v>10</v>
      </c>
      <c r="F170" s="24" t="s">
        <v>10</v>
      </c>
      <c r="G170" s="24" t="s">
        <v>10</v>
      </c>
    </row>
    <row r="171" spans="1:8" ht="17.100000000000001" customHeight="1" x14ac:dyDescent="0.2">
      <c r="A171" s="24" t="s">
        <v>10</v>
      </c>
      <c r="B171" s="213" t="s">
        <v>148</v>
      </c>
      <c r="C171" s="214"/>
      <c r="D171" s="30">
        <v>0.46874366676144741</v>
      </c>
      <c r="E171" s="24" t="s">
        <v>10</v>
      </c>
      <c r="F171" s="21" t="s">
        <v>10</v>
      </c>
      <c r="G171" s="27" t="s">
        <v>10</v>
      </c>
    </row>
    <row r="172" spans="1:8" ht="17.100000000000001" customHeight="1" x14ac:dyDescent="0.2">
      <c r="A172" s="24" t="s">
        <v>10</v>
      </c>
      <c r="B172" s="213" t="s">
        <v>149</v>
      </c>
      <c r="C172" s="214"/>
      <c r="D172" s="4" t="s">
        <v>136</v>
      </c>
      <c r="E172" s="24" t="s">
        <v>10</v>
      </c>
      <c r="F172" s="24" t="s">
        <v>10</v>
      </c>
      <c r="G172" s="24" t="s">
        <v>10</v>
      </c>
    </row>
  </sheetData>
  <mergeCells count="15">
    <mergeCell ref="B171:C171"/>
    <mergeCell ref="B172:C172"/>
    <mergeCell ref="B151:C151"/>
    <mergeCell ref="B152:C152"/>
    <mergeCell ref="B153:C153"/>
    <mergeCell ref="B162:C162"/>
    <mergeCell ref="B169:C169"/>
    <mergeCell ref="B170:C170"/>
    <mergeCell ref="B167:F167"/>
    <mergeCell ref="B150:C150"/>
    <mergeCell ref="B147:F147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71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8" customHeight="1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7.100000000000001" customHeight="1" x14ac:dyDescent="0.2">
      <c r="A2" s="210" t="s">
        <v>471</v>
      </c>
      <c r="B2" s="211"/>
      <c r="C2" s="211"/>
      <c r="D2" s="211"/>
      <c r="E2" s="211"/>
      <c r="F2" s="211"/>
      <c r="G2" s="211"/>
      <c r="H2" s="212"/>
    </row>
    <row r="3" spans="1:8" ht="21" customHeight="1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ht="14.1" customHeight="1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4" customHeight="1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17.100000000000001" customHeight="1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9421</v>
      </c>
      <c r="F7" s="8">
        <v>114.95975249999999</v>
      </c>
      <c r="G7" s="9">
        <v>3.8197894000000003E-2</v>
      </c>
      <c r="H7" s="167"/>
    </row>
    <row r="8" spans="1:8" ht="17.100000000000001" customHeight="1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3212</v>
      </c>
      <c r="F8" s="8">
        <v>103.58057599999999</v>
      </c>
      <c r="G8" s="9">
        <v>3.4416914E-2</v>
      </c>
      <c r="H8" s="167"/>
    </row>
    <row r="9" spans="1:8" ht="17.100000000000001" customHeight="1" x14ac:dyDescent="0.2">
      <c r="A9" s="5">
        <v>3</v>
      </c>
      <c r="B9" s="6" t="s">
        <v>159</v>
      </c>
      <c r="C9" s="6" t="s">
        <v>160</v>
      </c>
      <c r="D9" s="6" t="s">
        <v>29</v>
      </c>
      <c r="E9" s="7">
        <v>12939</v>
      </c>
      <c r="F9" s="8">
        <v>79.743056999999993</v>
      </c>
      <c r="G9" s="9">
        <v>2.6496375999999999E-2</v>
      </c>
      <c r="H9" s="167"/>
    </row>
    <row r="10" spans="1:8" ht="17.100000000000001" customHeight="1" x14ac:dyDescent="0.2">
      <c r="A10" s="5">
        <v>4</v>
      </c>
      <c r="B10" s="6" t="s">
        <v>33</v>
      </c>
      <c r="C10" s="6" t="s">
        <v>34</v>
      </c>
      <c r="D10" s="6" t="s">
        <v>970</v>
      </c>
      <c r="E10" s="7">
        <v>2597</v>
      </c>
      <c r="F10" s="8">
        <v>74.000216499999993</v>
      </c>
      <c r="G10" s="9">
        <v>2.4588191999999998E-2</v>
      </c>
      <c r="H10" s="167"/>
    </row>
    <row r="11" spans="1:8" ht="17.100000000000001" customHeight="1" x14ac:dyDescent="0.2">
      <c r="A11" s="5">
        <v>5</v>
      </c>
      <c r="B11" s="6" t="s">
        <v>46</v>
      </c>
      <c r="C11" s="6" t="s">
        <v>47</v>
      </c>
      <c r="D11" s="6" t="s">
        <v>29</v>
      </c>
      <c r="E11" s="7">
        <v>7409</v>
      </c>
      <c r="F11" s="8">
        <v>72.359998500000003</v>
      </c>
      <c r="G11" s="9">
        <v>2.4043194E-2</v>
      </c>
      <c r="H11" s="167"/>
    </row>
    <row r="12" spans="1:8" ht="17.100000000000001" customHeight="1" x14ac:dyDescent="0.2">
      <c r="A12" s="5">
        <v>6</v>
      </c>
      <c r="B12" s="6" t="s">
        <v>156</v>
      </c>
      <c r="C12" s="6" t="s">
        <v>157</v>
      </c>
      <c r="D12" s="6" t="s">
        <v>158</v>
      </c>
      <c r="E12" s="7">
        <v>77537</v>
      </c>
      <c r="F12" s="8">
        <v>71.295271499999998</v>
      </c>
      <c r="G12" s="9">
        <v>2.3689414999999998E-2</v>
      </c>
      <c r="H12" s="167"/>
    </row>
    <row r="13" spans="1:8" ht="17.100000000000001" customHeight="1" x14ac:dyDescent="0.2">
      <c r="A13" s="5">
        <v>7</v>
      </c>
      <c r="B13" s="6" t="s">
        <v>467</v>
      </c>
      <c r="C13" s="6" t="s">
        <v>468</v>
      </c>
      <c r="D13" s="6" t="s">
        <v>192</v>
      </c>
      <c r="E13" s="7">
        <v>18056</v>
      </c>
      <c r="F13" s="8">
        <v>71.104528000000002</v>
      </c>
      <c r="G13" s="9">
        <v>2.3626036E-2</v>
      </c>
      <c r="H13" s="167"/>
    </row>
    <row r="14" spans="1:8" ht="17.100000000000001" customHeight="1" x14ac:dyDescent="0.2">
      <c r="A14" s="5">
        <v>8</v>
      </c>
      <c r="B14" s="6" t="s">
        <v>447</v>
      </c>
      <c r="C14" s="6" t="s">
        <v>448</v>
      </c>
      <c r="D14" s="6" t="s">
        <v>75</v>
      </c>
      <c r="E14" s="7">
        <v>22660</v>
      </c>
      <c r="F14" s="8">
        <v>69.022360000000006</v>
      </c>
      <c r="G14" s="9">
        <v>2.293419E-2</v>
      </c>
      <c r="H14" s="167"/>
    </row>
    <row r="15" spans="1:8" ht="17.100000000000001" customHeight="1" x14ac:dyDescent="0.2">
      <c r="A15" s="5">
        <v>9</v>
      </c>
      <c r="B15" s="6" t="s">
        <v>165</v>
      </c>
      <c r="C15" s="6" t="s">
        <v>166</v>
      </c>
      <c r="D15" s="6" t="s">
        <v>167</v>
      </c>
      <c r="E15" s="7">
        <v>26767</v>
      </c>
      <c r="F15" s="8">
        <v>65.124110999999999</v>
      </c>
      <c r="G15" s="9">
        <v>2.1638912E-2</v>
      </c>
      <c r="H15" s="167"/>
    </row>
    <row r="16" spans="1:8" ht="17.100000000000001" customHeight="1" x14ac:dyDescent="0.2">
      <c r="A16" s="5">
        <v>10</v>
      </c>
      <c r="B16" s="6" t="s">
        <v>168</v>
      </c>
      <c r="C16" s="6" t="s">
        <v>169</v>
      </c>
      <c r="D16" s="6" t="s">
        <v>75</v>
      </c>
      <c r="E16" s="7">
        <v>16012</v>
      </c>
      <c r="F16" s="8">
        <v>63.711748</v>
      </c>
      <c r="G16" s="9">
        <v>2.1169622999999999E-2</v>
      </c>
      <c r="H16" s="167"/>
    </row>
    <row r="17" spans="1:8" ht="17.100000000000001" customHeight="1" x14ac:dyDescent="0.2">
      <c r="A17" s="5">
        <v>11</v>
      </c>
      <c r="B17" s="6" t="s">
        <v>181</v>
      </c>
      <c r="C17" s="6" t="s">
        <v>182</v>
      </c>
      <c r="D17" s="6" t="s">
        <v>29</v>
      </c>
      <c r="E17" s="7">
        <v>12363</v>
      </c>
      <c r="F17" s="8">
        <v>59.058050999999999</v>
      </c>
      <c r="G17" s="9">
        <v>1.9623330000000001E-2</v>
      </c>
      <c r="H17" s="167"/>
    </row>
    <row r="18" spans="1:8" ht="17.100000000000001" customHeight="1" x14ac:dyDescent="0.2">
      <c r="A18" s="5">
        <v>12</v>
      </c>
      <c r="B18" s="6" t="s">
        <v>170</v>
      </c>
      <c r="C18" s="6" t="s">
        <v>171</v>
      </c>
      <c r="D18" s="6" t="s">
        <v>167</v>
      </c>
      <c r="E18" s="7">
        <v>1104</v>
      </c>
      <c r="F18" s="8">
        <v>58.65</v>
      </c>
      <c r="G18" s="9">
        <v>1.9487746E-2</v>
      </c>
      <c r="H18" s="167"/>
    </row>
    <row r="19" spans="1:8" ht="17.100000000000001" customHeight="1" x14ac:dyDescent="0.2">
      <c r="A19" s="5">
        <v>13</v>
      </c>
      <c r="B19" s="6" t="s">
        <v>311</v>
      </c>
      <c r="C19" s="6" t="s">
        <v>312</v>
      </c>
      <c r="D19" s="6" t="s">
        <v>185</v>
      </c>
      <c r="E19" s="7">
        <v>1632</v>
      </c>
      <c r="F19" s="8">
        <v>57.787488000000003</v>
      </c>
      <c r="G19" s="9">
        <v>1.9201157999999999E-2</v>
      </c>
      <c r="H19" s="167"/>
    </row>
    <row r="20" spans="1:8" ht="17.100000000000001" customHeight="1" x14ac:dyDescent="0.2">
      <c r="A20" s="5">
        <v>14</v>
      </c>
      <c r="B20" s="6" t="s">
        <v>172</v>
      </c>
      <c r="C20" s="6" t="s">
        <v>173</v>
      </c>
      <c r="D20" s="6" t="s">
        <v>970</v>
      </c>
      <c r="E20" s="7">
        <v>22301</v>
      </c>
      <c r="F20" s="8">
        <v>56.064714000000002</v>
      </c>
      <c r="G20" s="9">
        <v>1.8628729E-2</v>
      </c>
      <c r="H20" s="167"/>
    </row>
    <row r="21" spans="1:8" ht="17.100000000000001" customHeight="1" x14ac:dyDescent="0.2">
      <c r="A21" s="5">
        <v>15</v>
      </c>
      <c r="B21" s="6" t="s">
        <v>183</v>
      </c>
      <c r="C21" s="6" t="s">
        <v>184</v>
      </c>
      <c r="D21" s="6" t="s">
        <v>185</v>
      </c>
      <c r="E21" s="7">
        <v>4415</v>
      </c>
      <c r="F21" s="8">
        <v>52.375145000000003</v>
      </c>
      <c r="G21" s="9">
        <v>1.7402788999999998E-2</v>
      </c>
      <c r="H21" s="167"/>
    </row>
    <row r="22" spans="1:8" ht="29.1" customHeight="1" x14ac:dyDescent="0.2">
      <c r="A22" s="5">
        <v>16</v>
      </c>
      <c r="B22" s="6" t="s">
        <v>200</v>
      </c>
      <c r="C22" s="6" t="s">
        <v>201</v>
      </c>
      <c r="D22" s="6" t="s">
        <v>75</v>
      </c>
      <c r="E22" s="7">
        <v>2300</v>
      </c>
      <c r="F22" s="8">
        <v>51.841999999999999</v>
      </c>
      <c r="G22" s="9">
        <v>1.7225639000000001E-2</v>
      </c>
      <c r="H22" s="167"/>
    </row>
    <row r="23" spans="1:8" ht="17.100000000000001" customHeight="1" x14ac:dyDescent="0.2">
      <c r="A23" s="5">
        <v>17</v>
      </c>
      <c r="B23" s="6" t="s">
        <v>188</v>
      </c>
      <c r="C23" s="6" t="s">
        <v>189</v>
      </c>
      <c r="D23" s="6" t="s">
        <v>167</v>
      </c>
      <c r="E23" s="7">
        <v>2021</v>
      </c>
      <c r="F23" s="8">
        <v>51.393019500000001</v>
      </c>
      <c r="G23" s="9">
        <v>1.7076456E-2</v>
      </c>
      <c r="H23" s="167"/>
    </row>
    <row r="24" spans="1:8" ht="17.100000000000001" customHeight="1" x14ac:dyDescent="0.2">
      <c r="A24" s="5">
        <v>18</v>
      </c>
      <c r="B24" s="6" t="s">
        <v>163</v>
      </c>
      <c r="C24" s="6" t="s">
        <v>164</v>
      </c>
      <c r="D24" s="6" t="s">
        <v>167</v>
      </c>
      <c r="E24" s="7">
        <v>5830</v>
      </c>
      <c r="F24" s="8">
        <v>50.578164999999998</v>
      </c>
      <c r="G24" s="9">
        <v>1.6805703000000002E-2</v>
      </c>
      <c r="H24" s="167"/>
    </row>
    <row r="25" spans="1:8" ht="17.100000000000001" customHeight="1" x14ac:dyDescent="0.2">
      <c r="A25" s="5">
        <v>19</v>
      </c>
      <c r="B25" s="6" t="s">
        <v>461</v>
      </c>
      <c r="C25" s="6" t="s">
        <v>462</v>
      </c>
      <c r="D25" s="6" t="s">
        <v>972</v>
      </c>
      <c r="E25" s="7">
        <v>66582</v>
      </c>
      <c r="F25" s="8">
        <v>50.302700999999999</v>
      </c>
      <c r="G25" s="9">
        <v>1.6714173999999998E-2</v>
      </c>
      <c r="H25" s="167"/>
    </row>
    <row r="26" spans="1:8" ht="17.100000000000001" customHeight="1" x14ac:dyDescent="0.2">
      <c r="A26" s="5">
        <v>20</v>
      </c>
      <c r="B26" s="6" t="s">
        <v>457</v>
      </c>
      <c r="C26" s="6" t="s">
        <v>458</v>
      </c>
      <c r="D26" s="6" t="s">
        <v>247</v>
      </c>
      <c r="E26" s="7">
        <v>9098</v>
      </c>
      <c r="F26" s="8">
        <v>50.125430999999999</v>
      </c>
      <c r="G26" s="9">
        <v>1.6655271999999999E-2</v>
      </c>
      <c r="H26" s="167"/>
    </row>
    <row r="27" spans="1:8" ht="17.100000000000001" customHeight="1" x14ac:dyDescent="0.2">
      <c r="A27" s="5">
        <v>21</v>
      </c>
      <c r="B27" s="6" t="s">
        <v>190</v>
      </c>
      <c r="C27" s="6" t="s">
        <v>191</v>
      </c>
      <c r="D27" s="6" t="s">
        <v>192</v>
      </c>
      <c r="E27" s="7">
        <v>12247</v>
      </c>
      <c r="F27" s="8">
        <v>48.142957000000003</v>
      </c>
      <c r="G27" s="9">
        <v>1.5996551000000001E-2</v>
      </c>
      <c r="H27" s="167"/>
    </row>
    <row r="28" spans="1:8" ht="17.100000000000001" customHeight="1" x14ac:dyDescent="0.2">
      <c r="A28" s="5">
        <v>22</v>
      </c>
      <c r="B28" s="6" t="s">
        <v>193</v>
      </c>
      <c r="C28" s="6" t="s">
        <v>194</v>
      </c>
      <c r="D28" s="6" t="s">
        <v>178</v>
      </c>
      <c r="E28" s="7">
        <v>24683</v>
      </c>
      <c r="F28" s="8">
        <v>45.120524000000003</v>
      </c>
      <c r="G28" s="9">
        <v>1.4992281999999999E-2</v>
      </c>
      <c r="H28" s="167"/>
    </row>
    <row r="29" spans="1:8" ht="17.100000000000001" customHeight="1" x14ac:dyDescent="0.2">
      <c r="A29" s="5">
        <v>23</v>
      </c>
      <c r="B29" s="6" t="s">
        <v>451</v>
      </c>
      <c r="C29" s="6" t="s">
        <v>452</v>
      </c>
      <c r="D29" s="6" t="s">
        <v>67</v>
      </c>
      <c r="E29" s="7">
        <v>9464</v>
      </c>
      <c r="F29" s="8">
        <v>44.968195999999999</v>
      </c>
      <c r="G29" s="9">
        <v>1.4941668E-2</v>
      </c>
      <c r="H29" s="167"/>
    </row>
    <row r="30" spans="1:8" ht="29.1" customHeight="1" x14ac:dyDescent="0.2">
      <c r="A30" s="5">
        <v>24</v>
      </c>
      <c r="B30" s="6" t="s">
        <v>449</v>
      </c>
      <c r="C30" s="6" t="s">
        <v>450</v>
      </c>
      <c r="D30" s="6" t="s">
        <v>37</v>
      </c>
      <c r="E30" s="7">
        <v>3630</v>
      </c>
      <c r="F30" s="8">
        <v>43.993785000000003</v>
      </c>
      <c r="G30" s="9">
        <v>1.4617898000000001E-2</v>
      </c>
      <c r="H30" s="167"/>
    </row>
    <row r="31" spans="1:8" ht="17.100000000000001" customHeight="1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5305</v>
      </c>
      <c r="F31" s="8">
        <v>43.705242499999997</v>
      </c>
      <c r="G31" s="9">
        <v>1.4522024E-2</v>
      </c>
      <c r="H31" s="167"/>
    </row>
    <row r="32" spans="1:8" ht="17.100000000000001" customHeight="1" x14ac:dyDescent="0.2">
      <c r="A32" s="5">
        <v>26</v>
      </c>
      <c r="B32" s="6" t="s">
        <v>226</v>
      </c>
      <c r="C32" s="6" t="s">
        <v>227</v>
      </c>
      <c r="D32" s="6" t="s">
        <v>32</v>
      </c>
      <c r="E32" s="7">
        <v>5426</v>
      </c>
      <c r="F32" s="8">
        <v>42.930512</v>
      </c>
      <c r="G32" s="9">
        <v>1.4264601999999999E-2</v>
      </c>
      <c r="H32" s="167"/>
    </row>
    <row r="33" spans="1:8" ht="17.100000000000001" customHeight="1" x14ac:dyDescent="0.2">
      <c r="A33" s="5">
        <v>27</v>
      </c>
      <c r="B33" s="6" t="s">
        <v>176</v>
      </c>
      <c r="C33" s="6" t="s">
        <v>177</v>
      </c>
      <c r="D33" s="6" t="s">
        <v>178</v>
      </c>
      <c r="E33" s="7">
        <v>4026</v>
      </c>
      <c r="F33" s="8">
        <v>42.842678999999997</v>
      </c>
      <c r="G33" s="9">
        <v>1.4235418E-2</v>
      </c>
      <c r="H33" s="167"/>
    </row>
    <row r="34" spans="1:8" ht="17.100000000000001" customHeight="1" x14ac:dyDescent="0.2">
      <c r="A34" s="5">
        <v>28</v>
      </c>
      <c r="B34" s="6" t="s">
        <v>218</v>
      </c>
      <c r="C34" s="6" t="s">
        <v>219</v>
      </c>
      <c r="D34" s="6" t="s">
        <v>973</v>
      </c>
      <c r="E34" s="7">
        <v>6000</v>
      </c>
      <c r="F34" s="8">
        <v>40.985999999999997</v>
      </c>
      <c r="G34" s="9">
        <v>1.3618496000000001E-2</v>
      </c>
      <c r="H34" s="167"/>
    </row>
    <row r="35" spans="1:8" ht="17.100000000000001" customHeight="1" x14ac:dyDescent="0.2">
      <c r="A35" s="5">
        <v>29</v>
      </c>
      <c r="B35" s="6" t="s">
        <v>210</v>
      </c>
      <c r="C35" s="6" t="s">
        <v>211</v>
      </c>
      <c r="D35" s="6" t="s">
        <v>29</v>
      </c>
      <c r="E35" s="7">
        <v>2958</v>
      </c>
      <c r="F35" s="8">
        <v>39.842781000000002</v>
      </c>
      <c r="G35" s="9">
        <v>1.3238636E-2</v>
      </c>
      <c r="H35" s="167"/>
    </row>
    <row r="36" spans="1:8" ht="29.1" customHeight="1" x14ac:dyDescent="0.2">
      <c r="A36" s="5">
        <v>30</v>
      </c>
      <c r="B36" s="6" t="s">
        <v>214</v>
      </c>
      <c r="C36" s="6" t="s">
        <v>215</v>
      </c>
      <c r="D36" s="6" t="s">
        <v>976</v>
      </c>
      <c r="E36" s="7">
        <v>12758</v>
      </c>
      <c r="F36" s="8">
        <v>39.632727000000003</v>
      </c>
      <c r="G36" s="9">
        <v>1.3168841000000001E-2</v>
      </c>
      <c r="H36" s="167"/>
    </row>
    <row r="37" spans="1:8" ht="17.100000000000001" customHeight="1" x14ac:dyDescent="0.2">
      <c r="A37" s="5">
        <v>31</v>
      </c>
      <c r="B37" s="6" t="s">
        <v>455</v>
      </c>
      <c r="C37" s="6" t="s">
        <v>456</v>
      </c>
      <c r="D37" s="6" t="s">
        <v>75</v>
      </c>
      <c r="E37" s="7">
        <v>4749</v>
      </c>
      <c r="F37" s="8">
        <v>39.136508999999997</v>
      </c>
      <c r="G37" s="9">
        <v>1.3003962000000001E-2</v>
      </c>
      <c r="H37" s="167"/>
    </row>
    <row r="38" spans="1:8" ht="17.100000000000001" customHeight="1" x14ac:dyDescent="0.2">
      <c r="A38" s="5">
        <v>32</v>
      </c>
      <c r="B38" s="6" t="s">
        <v>220</v>
      </c>
      <c r="C38" s="6" t="s">
        <v>221</v>
      </c>
      <c r="D38" s="6" t="s">
        <v>158</v>
      </c>
      <c r="E38" s="7">
        <v>68251</v>
      </c>
      <c r="F38" s="8">
        <v>38.868944499999998</v>
      </c>
      <c r="G38" s="9">
        <v>1.2915058E-2</v>
      </c>
      <c r="H38" s="167"/>
    </row>
    <row r="39" spans="1:8" ht="17.100000000000001" customHeight="1" x14ac:dyDescent="0.2">
      <c r="A39" s="5">
        <v>33</v>
      </c>
      <c r="B39" s="6" t="s">
        <v>216</v>
      </c>
      <c r="C39" s="6" t="s">
        <v>217</v>
      </c>
      <c r="D39" s="6" t="s">
        <v>192</v>
      </c>
      <c r="E39" s="7">
        <v>7372</v>
      </c>
      <c r="F39" s="8">
        <v>38.610849999999999</v>
      </c>
      <c r="G39" s="9">
        <v>1.28293E-2</v>
      </c>
      <c r="H39" s="167"/>
    </row>
    <row r="40" spans="1:8" ht="17.100000000000001" customHeight="1" x14ac:dyDescent="0.2">
      <c r="A40" s="5">
        <v>34</v>
      </c>
      <c r="B40" s="6" t="s">
        <v>212</v>
      </c>
      <c r="C40" s="6" t="s">
        <v>213</v>
      </c>
      <c r="D40" s="6" t="s">
        <v>158</v>
      </c>
      <c r="E40" s="7">
        <v>6746</v>
      </c>
      <c r="F40" s="8">
        <v>38.374620999999998</v>
      </c>
      <c r="G40" s="9">
        <v>1.2750808000000001E-2</v>
      </c>
      <c r="H40" s="167"/>
    </row>
    <row r="41" spans="1:8" ht="29.1" customHeight="1" x14ac:dyDescent="0.2">
      <c r="A41" s="5">
        <v>35</v>
      </c>
      <c r="B41" s="6" t="s">
        <v>204</v>
      </c>
      <c r="C41" s="6" t="s">
        <v>205</v>
      </c>
      <c r="D41" s="6" t="s">
        <v>37</v>
      </c>
      <c r="E41" s="7">
        <v>44355</v>
      </c>
      <c r="F41" s="8">
        <v>37.967880000000001</v>
      </c>
      <c r="G41" s="9">
        <v>1.2615659E-2</v>
      </c>
      <c r="H41" s="167"/>
    </row>
    <row r="42" spans="1:8" ht="29.1" customHeight="1" x14ac:dyDescent="0.2">
      <c r="A42" s="5">
        <v>36</v>
      </c>
      <c r="B42" s="6" t="s">
        <v>228</v>
      </c>
      <c r="C42" s="6" t="s">
        <v>229</v>
      </c>
      <c r="D42" s="6" t="s">
        <v>78</v>
      </c>
      <c r="E42" s="7">
        <v>11014</v>
      </c>
      <c r="F42" s="8">
        <v>37.409050999999998</v>
      </c>
      <c r="G42" s="9">
        <v>1.2429976000000001E-2</v>
      </c>
      <c r="H42" s="167"/>
    </row>
    <row r="43" spans="1:8" ht="17.100000000000001" customHeight="1" x14ac:dyDescent="0.2">
      <c r="A43" s="5">
        <v>37</v>
      </c>
      <c r="B43" s="6" t="s">
        <v>222</v>
      </c>
      <c r="C43" s="6" t="s">
        <v>223</v>
      </c>
      <c r="D43" s="6" t="s">
        <v>971</v>
      </c>
      <c r="E43" s="7">
        <v>11388</v>
      </c>
      <c r="F43" s="8">
        <v>37.352640000000001</v>
      </c>
      <c r="G43" s="9">
        <v>1.2411231999999999E-2</v>
      </c>
      <c r="H43" s="167"/>
    </row>
    <row r="44" spans="1:8" ht="17.100000000000001" customHeight="1" x14ac:dyDescent="0.2">
      <c r="A44" s="5">
        <v>38</v>
      </c>
      <c r="B44" s="6" t="s">
        <v>202</v>
      </c>
      <c r="C44" s="6" t="s">
        <v>203</v>
      </c>
      <c r="D44" s="6" t="s">
        <v>57</v>
      </c>
      <c r="E44" s="7">
        <v>3445</v>
      </c>
      <c r="F44" s="8">
        <v>37.102649999999997</v>
      </c>
      <c r="G44" s="9">
        <v>1.2328168E-2</v>
      </c>
      <c r="H44" s="167"/>
    </row>
    <row r="45" spans="1:8" ht="17.100000000000001" customHeight="1" x14ac:dyDescent="0.2">
      <c r="A45" s="5">
        <v>39</v>
      </c>
      <c r="B45" s="6" t="s">
        <v>195</v>
      </c>
      <c r="C45" s="6" t="s">
        <v>196</v>
      </c>
      <c r="D45" s="6" t="s">
        <v>197</v>
      </c>
      <c r="E45" s="7">
        <v>4863</v>
      </c>
      <c r="F45" s="8">
        <v>36.737533499999998</v>
      </c>
      <c r="G45" s="9">
        <v>1.220685E-2</v>
      </c>
      <c r="H45" s="167"/>
    </row>
    <row r="46" spans="1:8" ht="17.100000000000001" customHeight="1" x14ac:dyDescent="0.2">
      <c r="A46" s="5">
        <v>40</v>
      </c>
      <c r="B46" s="6" t="s">
        <v>174</v>
      </c>
      <c r="C46" s="6" t="s">
        <v>175</v>
      </c>
      <c r="D46" s="6" t="s">
        <v>50</v>
      </c>
      <c r="E46" s="7">
        <v>8109</v>
      </c>
      <c r="F46" s="8">
        <v>34.361887500000002</v>
      </c>
      <c r="G46" s="9">
        <v>1.1417488999999999E-2</v>
      </c>
      <c r="H46" s="167"/>
    </row>
    <row r="47" spans="1:8" ht="41.1" customHeight="1" x14ac:dyDescent="0.2">
      <c r="A47" s="5">
        <v>41</v>
      </c>
      <c r="B47" s="6" t="s">
        <v>254</v>
      </c>
      <c r="C47" s="6" t="s">
        <v>255</v>
      </c>
      <c r="D47" s="6" t="s">
        <v>971</v>
      </c>
      <c r="E47" s="7">
        <v>7009</v>
      </c>
      <c r="F47" s="8">
        <v>33.790388999999998</v>
      </c>
      <c r="G47" s="9">
        <v>1.1227595999999999E-2</v>
      </c>
      <c r="H47" s="167"/>
    </row>
    <row r="48" spans="1:8" ht="17.100000000000001" customHeight="1" x14ac:dyDescent="0.2">
      <c r="A48" s="5">
        <v>42</v>
      </c>
      <c r="B48" s="6" t="s">
        <v>232</v>
      </c>
      <c r="C48" s="6" t="s">
        <v>233</v>
      </c>
      <c r="D48" s="6" t="s">
        <v>185</v>
      </c>
      <c r="E48" s="7">
        <v>9322</v>
      </c>
      <c r="F48" s="8">
        <v>33.503267999999998</v>
      </c>
      <c r="G48" s="9">
        <v>1.1132194E-2</v>
      </c>
      <c r="H48" s="167"/>
    </row>
    <row r="49" spans="1:8" ht="17.100000000000001" customHeight="1" x14ac:dyDescent="0.2">
      <c r="A49" s="5">
        <v>43</v>
      </c>
      <c r="B49" s="6" t="s">
        <v>286</v>
      </c>
      <c r="C49" s="6" t="s">
        <v>287</v>
      </c>
      <c r="D49" s="6" t="s">
        <v>29</v>
      </c>
      <c r="E49" s="7">
        <v>3268</v>
      </c>
      <c r="F49" s="8">
        <v>33.155493999999997</v>
      </c>
      <c r="G49" s="9">
        <v>1.1016639E-2</v>
      </c>
      <c r="H49" s="167"/>
    </row>
    <row r="50" spans="1:8" ht="17.100000000000001" customHeight="1" x14ac:dyDescent="0.2">
      <c r="A50" s="5">
        <v>44</v>
      </c>
      <c r="B50" s="6" t="s">
        <v>234</v>
      </c>
      <c r="C50" s="6" t="s">
        <v>235</v>
      </c>
      <c r="D50" s="6" t="s">
        <v>29</v>
      </c>
      <c r="E50" s="7">
        <v>27652</v>
      </c>
      <c r="F50" s="8">
        <v>32.269883999999998</v>
      </c>
      <c r="G50" s="9">
        <v>1.0722374999999999E-2</v>
      </c>
      <c r="H50" s="167"/>
    </row>
    <row r="51" spans="1:8" ht="17.100000000000001" customHeight="1" x14ac:dyDescent="0.2">
      <c r="A51" s="5">
        <v>45</v>
      </c>
      <c r="B51" s="6" t="s">
        <v>238</v>
      </c>
      <c r="C51" s="6" t="s">
        <v>239</v>
      </c>
      <c r="D51" s="6" t="s">
        <v>240</v>
      </c>
      <c r="E51" s="7">
        <v>3852</v>
      </c>
      <c r="F51" s="8">
        <v>31.397652000000001</v>
      </c>
      <c r="G51" s="9">
        <v>1.0432557E-2</v>
      </c>
      <c r="H51" s="167"/>
    </row>
    <row r="52" spans="1:8" ht="29.1" customHeight="1" x14ac:dyDescent="0.2">
      <c r="A52" s="5">
        <v>46</v>
      </c>
      <c r="B52" s="6" t="s">
        <v>241</v>
      </c>
      <c r="C52" s="6" t="s">
        <v>242</v>
      </c>
      <c r="D52" s="6" t="s">
        <v>153</v>
      </c>
      <c r="E52" s="7">
        <v>8347</v>
      </c>
      <c r="F52" s="8">
        <v>31.372199500000001</v>
      </c>
      <c r="G52" s="9">
        <v>1.04241E-2</v>
      </c>
      <c r="H52" s="167"/>
    </row>
    <row r="53" spans="1:8" ht="17.100000000000001" customHeight="1" x14ac:dyDescent="0.2">
      <c r="A53" s="5">
        <v>47</v>
      </c>
      <c r="B53" s="6" t="s">
        <v>459</v>
      </c>
      <c r="C53" s="6" t="s">
        <v>460</v>
      </c>
      <c r="D53" s="6" t="s">
        <v>29</v>
      </c>
      <c r="E53" s="7">
        <v>5096</v>
      </c>
      <c r="F53" s="8">
        <v>30.502108</v>
      </c>
      <c r="G53" s="9">
        <v>1.0134993E-2</v>
      </c>
      <c r="H53" s="167"/>
    </row>
    <row r="54" spans="1:8" ht="29.1" customHeight="1" x14ac:dyDescent="0.2">
      <c r="A54" s="5">
        <v>48</v>
      </c>
      <c r="B54" s="6" t="s">
        <v>243</v>
      </c>
      <c r="C54" s="6" t="s">
        <v>244</v>
      </c>
      <c r="D54" s="6" t="s">
        <v>78</v>
      </c>
      <c r="E54" s="7">
        <v>8568</v>
      </c>
      <c r="F54" s="8">
        <v>30.373560000000001</v>
      </c>
      <c r="G54" s="9">
        <v>1.009228E-2</v>
      </c>
      <c r="H54" s="167"/>
    </row>
    <row r="55" spans="1:8" ht="17.100000000000001" customHeight="1" x14ac:dyDescent="0.2">
      <c r="A55" s="5">
        <v>49</v>
      </c>
      <c r="B55" s="6" t="s">
        <v>248</v>
      </c>
      <c r="C55" s="6" t="s">
        <v>249</v>
      </c>
      <c r="D55" s="6" t="s">
        <v>192</v>
      </c>
      <c r="E55" s="7">
        <v>2084</v>
      </c>
      <c r="F55" s="8">
        <v>30.234672</v>
      </c>
      <c r="G55" s="9">
        <v>1.0046131999999999E-2</v>
      </c>
      <c r="H55" s="167"/>
    </row>
    <row r="56" spans="1:8" ht="17.100000000000001" customHeight="1" x14ac:dyDescent="0.2">
      <c r="A56" s="5">
        <v>50</v>
      </c>
      <c r="B56" s="6" t="s">
        <v>250</v>
      </c>
      <c r="C56" s="6" t="s">
        <v>251</v>
      </c>
      <c r="D56" s="6" t="s">
        <v>75</v>
      </c>
      <c r="E56" s="7">
        <v>4838</v>
      </c>
      <c r="F56" s="8">
        <v>29.615817</v>
      </c>
      <c r="G56" s="9">
        <v>9.8405039999999999E-3</v>
      </c>
      <c r="H56" s="167"/>
    </row>
    <row r="57" spans="1:8" ht="17.100000000000001" customHeight="1" x14ac:dyDescent="0.2">
      <c r="A57" s="5">
        <v>51</v>
      </c>
      <c r="B57" s="6" t="s">
        <v>252</v>
      </c>
      <c r="C57" s="6" t="s">
        <v>253</v>
      </c>
      <c r="D57" s="6" t="s">
        <v>158</v>
      </c>
      <c r="E57" s="7">
        <v>5385</v>
      </c>
      <c r="F57" s="8">
        <v>29.53134</v>
      </c>
      <c r="G57" s="9">
        <v>9.8124340000000001E-3</v>
      </c>
      <c r="H57" s="167"/>
    </row>
    <row r="58" spans="1:8" ht="17.100000000000001" customHeight="1" x14ac:dyDescent="0.2">
      <c r="A58" s="5">
        <v>52</v>
      </c>
      <c r="B58" s="6" t="s">
        <v>95</v>
      </c>
      <c r="C58" s="6" t="s">
        <v>96</v>
      </c>
      <c r="D58" s="6" t="s">
        <v>75</v>
      </c>
      <c r="E58" s="7">
        <v>11383</v>
      </c>
      <c r="F58" s="8">
        <v>29.146171500000001</v>
      </c>
      <c r="G58" s="9">
        <v>9.6844540000000003E-3</v>
      </c>
      <c r="H58" s="167"/>
    </row>
    <row r="59" spans="1:8" ht="17.100000000000001" customHeight="1" x14ac:dyDescent="0.2">
      <c r="A59" s="5">
        <v>53</v>
      </c>
      <c r="B59" s="6" t="s">
        <v>258</v>
      </c>
      <c r="C59" s="6" t="s">
        <v>259</v>
      </c>
      <c r="D59" s="6" t="s">
        <v>23</v>
      </c>
      <c r="E59" s="7">
        <v>27737</v>
      </c>
      <c r="F59" s="8">
        <v>29.1099815</v>
      </c>
      <c r="G59" s="9">
        <v>9.6724289999999997E-3</v>
      </c>
      <c r="H59" s="167"/>
    </row>
    <row r="60" spans="1:8" ht="17.100000000000001" customHeight="1" x14ac:dyDescent="0.2">
      <c r="A60" s="5">
        <v>54</v>
      </c>
      <c r="B60" s="6" t="s">
        <v>245</v>
      </c>
      <c r="C60" s="6" t="s">
        <v>246</v>
      </c>
      <c r="D60" s="6" t="s">
        <v>247</v>
      </c>
      <c r="E60" s="7">
        <v>17729</v>
      </c>
      <c r="F60" s="8">
        <v>29.075559999999999</v>
      </c>
      <c r="G60" s="9">
        <v>9.6609910000000007E-3</v>
      </c>
      <c r="H60" s="167"/>
    </row>
    <row r="61" spans="1:8" ht="17.100000000000001" customHeight="1" x14ac:dyDescent="0.2">
      <c r="A61" s="5">
        <v>55</v>
      </c>
      <c r="B61" s="6" t="s">
        <v>230</v>
      </c>
      <c r="C61" s="6" t="s">
        <v>231</v>
      </c>
      <c r="D61" s="6" t="s">
        <v>75</v>
      </c>
      <c r="E61" s="7">
        <v>4713</v>
      </c>
      <c r="F61" s="8">
        <v>28.447668</v>
      </c>
      <c r="G61" s="9">
        <v>9.4523599999999999E-3</v>
      </c>
      <c r="H61" s="167"/>
    </row>
    <row r="62" spans="1:8" ht="17.100000000000001" customHeight="1" x14ac:dyDescent="0.2">
      <c r="A62" s="5">
        <v>56</v>
      </c>
      <c r="B62" s="6" t="s">
        <v>290</v>
      </c>
      <c r="C62" s="6" t="s">
        <v>291</v>
      </c>
      <c r="D62" s="6" t="s">
        <v>29</v>
      </c>
      <c r="E62" s="7">
        <v>5737</v>
      </c>
      <c r="F62" s="8">
        <v>27.471624500000001</v>
      </c>
      <c r="G62" s="9">
        <v>9.1280489999999992E-3</v>
      </c>
      <c r="H62" s="167"/>
    </row>
    <row r="63" spans="1:8" ht="17.100000000000001" customHeight="1" x14ac:dyDescent="0.2">
      <c r="A63" s="5">
        <v>57</v>
      </c>
      <c r="B63" s="6" t="s">
        <v>260</v>
      </c>
      <c r="C63" s="6" t="s">
        <v>926</v>
      </c>
      <c r="D63" s="6" t="s">
        <v>261</v>
      </c>
      <c r="E63" s="7">
        <v>10365</v>
      </c>
      <c r="F63" s="8">
        <v>24.704977499999998</v>
      </c>
      <c r="G63" s="9">
        <v>8.2087700000000006E-3</v>
      </c>
      <c r="H63" s="167"/>
    </row>
    <row r="64" spans="1:8" ht="17.100000000000001" customHeight="1" x14ac:dyDescent="0.2">
      <c r="A64" s="5">
        <v>58</v>
      </c>
      <c r="B64" s="6" t="s">
        <v>161</v>
      </c>
      <c r="C64" s="6" t="s">
        <v>162</v>
      </c>
      <c r="D64" s="6" t="s">
        <v>970</v>
      </c>
      <c r="E64" s="7">
        <v>13429</v>
      </c>
      <c r="F64" s="8">
        <v>24.474352499999998</v>
      </c>
      <c r="G64" s="9">
        <v>8.132139E-3</v>
      </c>
      <c r="H64" s="167"/>
    </row>
    <row r="65" spans="1:8" ht="17.100000000000001" customHeight="1" x14ac:dyDescent="0.2">
      <c r="A65" s="5">
        <v>59</v>
      </c>
      <c r="B65" s="6" t="s">
        <v>262</v>
      </c>
      <c r="C65" s="6" t="s">
        <v>263</v>
      </c>
      <c r="D65" s="6" t="s">
        <v>185</v>
      </c>
      <c r="E65" s="7">
        <v>4265</v>
      </c>
      <c r="F65" s="8">
        <v>24.2529225</v>
      </c>
      <c r="G65" s="9">
        <v>8.0585640000000007E-3</v>
      </c>
      <c r="H65" s="167"/>
    </row>
    <row r="66" spans="1:8" ht="17.100000000000001" customHeight="1" x14ac:dyDescent="0.2">
      <c r="A66" s="5">
        <v>60</v>
      </c>
      <c r="B66" s="6" t="s">
        <v>463</v>
      </c>
      <c r="C66" s="6" t="s">
        <v>464</v>
      </c>
      <c r="D66" s="6" t="s">
        <v>158</v>
      </c>
      <c r="E66" s="7">
        <v>3781</v>
      </c>
      <c r="F66" s="8">
        <v>23.680402999999998</v>
      </c>
      <c r="G66" s="9">
        <v>7.8683320000000005E-3</v>
      </c>
      <c r="H66" s="167"/>
    </row>
    <row r="67" spans="1:8" ht="29.1" customHeight="1" x14ac:dyDescent="0.2">
      <c r="A67" s="5">
        <v>61</v>
      </c>
      <c r="B67" s="6" t="s">
        <v>256</v>
      </c>
      <c r="C67" s="6" t="s">
        <v>257</v>
      </c>
      <c r="D67" s="6" t="s">
        <v>975</v>
      </c>
      <c r="E67" s="7">
        <v>26528</v>
      </c>
      <c r="F67" s="8">
        <v>22.509008000000001</v>
      </c>
      <c r="G67" s="9">
        <v>7.4791110000000001E-3</v>
      </c>
      <c r="H67" s="167"/>
    </row>
    <row r="68" spans="1:8" ht="17.100000000000001" customHeight="1" x14ac:dyDescent="0.2">
      <c r="A68" s="5">
        <v>62</v>
      </c>
      <c r="B68" s="6" t="s">
        <v>270</v>
      </c>
      <c r="C68" s="6" t="s">
        <v>271</v>
      </c>
      <c r="D68" s="6" t="s">
        <v>75</v>
      </c>
      <c r="E68" s="7">
        <v>14021</v>
      </c>
      <c r="F68" s="8">
        <v>22.167200999999999</v>
      </c>
      <c r="G68" s="9">
        <v>7.3655379999999996E-3</v>
      </c>
      <c r="H68" s="167"/>
    </row>
    <row r="69" spans="1:8" ht="17.100000000000001" customHeight="1" x14ac:dyDescent="0.2">
      <c r="A69" s="5">
        <v>63</v>
      </c>
      <c r="B69" s="6" t="s">
        <v>272</v>
      </c>
      <c r="C69" s="6" t="s">
        <v>273</v>
      </c>
      <c r="D69" s="6" t="s">
        <v>972</v>
      </c>
      <c r="E69" s="7">
        <v>1276</v>
      </c>
      <c r="F69" s="8">
        <v>19.765239999999999</v>
      </c>
      <c r="G69" s="9">
        <v>6.5674339999999996E-3</v>
      </c>
      <c r="H69" s="167"/>
    </row>
    <row r="70" spans="1:8" ht="17.100000000000001" customHeight="1" x14ac:dyDescent="0.2">
      <c r="A70" s="5">
        <v>64</v>
      </c>
      <c r="B70" s="6" t="s">
        <v>44</v>
      </c>
      <c r="C70" s="6" t="s">
        <v>45</v>
      </c>
      <c r="D70" s="6" t="s">
        <v>29</v>
      </c>
      <c r="E70" s="7">
        <v>1047</v>
      </c>
      <c r="F70" s="8">
        <v>19.231296</v>
      </c>
      <c r="G70" s="9">
        <v>6.3900190000000003E-3</v>
      </c>
      <c r="H70" s="167"/>
    </row>
    <row r="71" spans="1:8" ht="41.1" customHeight="1" x14ac:dyDescent="0.2">
      <c r="A71" s="5">
        <v>65</v>
      </c>
      <c r="B71" s="6" t="s">
        <v>292</v>
      </c>
      <c r="C71" s="6" t="s">
        <v>293</v>
      </c>
      <c r="D71" s="6" t="s">
        <v>971</v>
      </c>
      <c r="E71" s="7">
        <v>47427</v>
      </c>
      <c r="F71" s="8">
        <v>18.686237999999999</v>
      </c>
      <c r="G71" s="9">
        <v>6.2089119999999996E-3</v>
      </c>
      <c r="H71" s="167"/>
    </row>
    <row r="72" spans="1:8" ht="17.100000000000001" customHeight="1" x14ac:dyDescent="0.2">
      <c r="A72" s="5">
        <v>66</v>
      </c>
      <c r="B72" s="6" t="s">
        <v>276</v>
      </c>
      <c r="C72" s="6" t="s">
        <v>277</v>
      </c>
      <c r="D72" s="6" t="s">
        <v>167</v>
      </c>
      <c r="E72" s="7">
        <v>2826</v>
      </c>
      <c r="F72" s="8">
        <v>15.665931</v>
      </c>
      <c r="G72" s="9">
        <v>5.2053489999999997E-3</v>
      </c>
      <c r="H72" s="167"/>
    </row>
    <row r="73" spans="1:8" ht="17.100000000000001" customHeight="1" x14ac:dyDescent="0.2">
      <c r="A73" s="5">
        <v>67</v>
      </c>
      <c r="B73" s="6" t="s">
        <v>274</v>
      </c>
      <c r="C73" s="6" t="s">
        <v>275</v>
      </c>
      <c r="D73" s="6" t="s">
        <v>153</v>
      </c>
      <c r="E73" s="7">
        <v>982</v>
      </c>
      <c r="F73" s="8">
        <v>15.063389000000001</v>
      </c>
      <c r="G73" s="9">
        <v>5.0051410000000003E-3</v>
      </c>
      <c r="H73" s="167"/>
    </row>
    <row r="74" spans="1:8" ht="17.100000000000001" customHeight="1" x14ac:dyDescent="0.2">
      <c r="A74" s="5">
        <v>68</v>
      </c>
      <c r="B74" s="6" t="s">
        <v>30</v>
      </c>
      <c r="C74" s="6" t="s">
        <v>31</v>
      </c>
      <c r="D74" s="6" t="s">
        <v>32</v>
      </c>
      <c r="E74" s="7">
        <v>5816</v>
      </c>
      <c r="F74" s="8">
        <v>15.060532</v>
      </c>
      <c r="G74" s="9">
        <v>5.0041909999999998E-3</v>
      </c>
      <c r="H74" s="167"/>
    </row>
    <row r="75" spans="1:8" ht="17.100000000000001" customHeight="1" x14ac:dyDescent="0.2">
      <c r="A75" s="5">
        <v>69</v>
      </c>
      <c r="B75" s="6" t="s">
        <v>282</v>
      </c>
      <c r="C75" s="6" t="s">
        <v>283</v>
      </c>
      <c r="D75" s="6" t="s">
        <v>284</v>
      </c>
      <c r="E75" s="7">
        <v>8598</v>
      </c>
      <c r="F75" s="8">
        <v>12.4671</v>
      </c>
      <c r="G75" s="9">
        <v>4.1424670000000004E-3</v>
      </c>
      <c r="H75" s="167"/>
    </row>
    <row r="76" spans="1:8" ht="41.1" customHeight="1" x14ac:dyDescent="0.2">
      <c r="A76" s="5">
        <v>70</v>
      </c>
      <c r="B76" s="6" t="s">
        <v>280</v>
      </c>
      <c r="C76" s="6" t="s">
        <v>281</v>
      </c>
      <c r="D76" s="6" t="s">
        <v>971</v>
      </c>
      <c r="E76" s="7">
        <v>28020</v>
      </c>
      <c r="F76" s="8">
        <v>11.71236</v>
      </c>
      <c r="G76" s="9">
        <v>3.8916879999999999E-3</v>
      </c>
      <c r="H76" s="167"/>
    </row>
    <row r="77" spans="1:8" ht="17.100000000000001" customHeight="1" x14ac:dyDescent="0.2">
      <c r="A77" s="5">
        <v>71</v>
      </c>
      <c r="B77" s="6" t="s">
        <v>453</v>
      </c>
      <c r="C77" s="6" t="s">
        <v>454</v>
      </c>
      <c r="D77" s="6" t="s">
        <v>158</v>
      </c>
      <c r="E77" s="7">
        <v>3361</v>
      </c>
      <c r="F77" s="8">
        <v>10.711506999999999</v>
      </c>
      <c r="G77" s="9">
        <v>3.5591329999999999E-3</v>
      </c>
      <c r="H77" s="167"/>
    </row>
    <row r="78" spans="1:8" ht="14.1" customHeight="1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0">
        <v>2900.3161500000001</v>
      </c>
      <c r="G78" s="11">
        <v>0.96369353499999999</v>
      </c>
      <c r="H78" s="167"/>
    </row>
    <row r="79" spans="1:8" ht="14.1" customHeight="1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ht="14.1" customHeight="1" x14ac:dyDescent="0.2">
      <c r="A80" s="3" t="s">
        <v>10</v>
      </c>
      <c r="B80" s="3" t="s">
        <v>10</v>
      </c>
      <c r="C80" s="4" t="s">
        <v>105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ht="14.1" customHeight="1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ht="14.1" customHeight="1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ht="14.1" customHeight="1" x14ac:dyDescent="0.2">
      <c r="A83" s="3" t="s">
        <v>10</v>
      </c>
      <c r="B83" s="3" t="s">
        <v>10</v>
      </c>
      <c r="C83" s="4" t="s">
        <v>106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ht="14.1" customHeight="1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ht="14.1" customHeight="1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ht="14.1" customHeight="1" x14ac:dyDescent="0.2">
      <c r="A86" s="3" t="s">
        <v>10</v>
      </c>
      <c r="B86" s="3" t="s">
        <v>10</v>
      </c>
      <c r="C86" s="4" t="s">
        <v>110</v>
      </c>
      <c r="D86" s="3" t="s">
        <v>10</v>
      </c>
      <c r="E86" s="3" t="s">
        <v>10</v>
      </c>
      <c r="F86" s="3" t="s">
        <v>10</v>
      </c>
      <c r="G86" s="3" t="s">
        <v>10</v>
      </c>
      <c r="H86" s="167"/>
    </row>
    <row r="87" spans="1:8" ht="14.1" customHeight="1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ht="14.1" customHeight="1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ht="14.1" customHeight="1" x14ac:dyDescent="0.2">
      <c r="A89" s="3" t="s">
        <v>10</v>
      </c>
      <c r="B89" s="3" t="s">
        <v>10</v>
      </c>
      <c r="C89" s="4" t="s">
        <v>111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ht="14.1" customHeight="1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ht="14.1" customHeight="1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ht="14.1" customHeight="1" x14ac:dyDescent="0.2">
      <c r="A92" s="3" t="s">
        <v>10</v>
      </c>
      <c r="B92" s="3" t="s">
        <v>10</v>
      </c>
      <c r="C92" s="4" t="s">
        <v>112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ht="14.1" customHeight="1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ht="14.1" customHeight="1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ht="18" customHeight="1" x14ac:dyDescent="0.2">
      <c r="A95" s="3" t="s">
        <v>10</v>
      </c>
      <c r="B95" s="3" t="s">
        <v>10</v>
      </c>
      <c r="C95" s="4" t="s">
        <v>113</v>
      </c>
      <c r="D95" s="3" t="s">
        <v>10</v>
      </c>
      <c r="E95" s="3" t="s">
        <v>10</v>
      </c>
      <c r="F95" s="10">
        <v>2900.3161500000001</v>
      </c>
      <c r="G95" s="11">
        <v>0.96369353499999999</v>
      </c>
      <c r="H95" s="167"/>
    </row>
    <row r="96" spans="1:8" ht="14.1" customHeight="1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ht="14.1" customHeight="1" x14ac:dyDescent="0.2">
      <c r="A97" s="3" t="s">
        <v>10</v>
      </c>
      <c r="B97" s="3" t="s">
        <v>10</v>
      </c>
      <c r="C97" s="4" t="s">
        <v>114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ht="24" customHeight="1" x14ac:dyDescent="0.2">
      <c r="A98" s="3" t="s">
        <v>10</v>
      </c>
      <c r="B98" s="3" t="s">
        <v>10</v>
      </c>
      <c r="C98" s="4" t="s">
        <v>12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ht="14.1" customHeight="1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ht="14.1" customHeight="1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ht="14.1" customHeight="1" x14ac:dyDescent="0.2">
      <c r="A101" s="3" t="s">
        <v>10</v>
      </c>
      <c r="B101" s="3" t="s">
        <v>10</v>
      </c>
      <c r="C101" s="4" t="s">
        <v>115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ht="14.1" customHeight="1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ht="14.1" customHeight="1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ht="14.1" customHeight="1" x14ac:dyDescent="0.2">
      <c r="A104" s="3" t="s">
        <v>10</v>
      </c>
      <c r="B104" s="3" t="s">
        <v>10</v>
      </c>
      <c r="C104" s="4" t="s">
        <v>116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ht="14.1" customHeight="1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ht="14.1" customHeight="1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ht="14.1" customHeight="1" x14ac:dyDescent="0.2">
      <c r="A107" s="3" t="s">
        <v>10</v>
      </c>
      <c r="B107" s="3" t="s">
        <v>10</v>
      </c>
      <c r="C107" s="4" t="s">
        <v>117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ht="14.1" customHeight="1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ht="14.1" customHeight="1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ht="14.1" customHeight="1" x14ac:dyDescent="0.2">
      <c r="A110" s="3" t="s">
        <v>10</v>
      </c>
      <c r="B110" s="3" t="s">
        <v>10</v>
      </c>
      <c r="C110" s="4" t="s">
        <v>118</v>
      </c>
      <c r="D110" s="3" t="s">
        <v>10</v>
      </c>
      <c r="E110" s="3" t="s">
        <v>10</v>
      </c>
      <c r="F110" s="10">
        <v>0</v>
      </c>
      <c r="G110" s="11">
        <v>0</v>
      </c>
      <c r="H110" s="167"/>
    </row>
    <row r="111" spans="1:8" ht="14.1" customHeight="1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ht="14.1" customHeight="1" x14ac:dyDescent="0.2">
      <c r="A112" s="3" t="s">
        <v>10</v>
      </c>
      <c r="B112" s="3" t="s">
        <v>10</v>
      </c>
      <c r="C112" s="4" t="s">
        <v>119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ht="14.1" customHeight="1" x14ac:dyDescent="0.2">
      <c r="A113" s="3" t="s">
        <v>10</v>
      </c>
      <c r="B113" s="3" t="s">
        <v>10</v>
      </c>
      <c r="C113" s="4" t="s">
        <v>120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ht="14.1" customHeight="1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ht="14.1" customHeight="1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ht="14.1" customHeight="1" x14ac:dyDescent="0.2">
      <c r="A116" s="3" t="s">
        <v>10</v>
      </c>
      <c r="B116" s="3" t="s">
        <v>10</v>
      </c>
      <c r="C116" s="4" t="s">
        <v>121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ht="14.1" customHeight="1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ht="14.1" customHeight="1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ht="14.1" customHeight="1" x14ac:dyDescent="0.2">
      <c r="A119" s="3" t="s">
        <v>10</v>
      </c>
      <c r="B119" s="3" t="s">
        <v>10</v>
      </c>
      <c r="C119" s="4" t="s">
        <v>122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ht="14.1" customHeight="1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4">
        <v>0</v>
      </c>
      <c r="G120" s="15">
        <v>0</v>
      </c>
      <c r="H120" s="167"/>
    </row>
    <row r="121" spans="1:8" ht="14.1" customHeight="1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ht="14.1" customHeight="1" x14ac:dyDescent="0.2">
      <c r="A122" s="3" t="s">
        <v>10</v>
      </c>
      <c r="B122" s="3" t="s">
        <v>10</v>
      </c>
      <c r="C122" s="4" t="s">
        <v>123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7"/>
    </row>
    <row r="123" spans="1:8" ht="17.100000000000001" customHeight="1" x14ac:dyDescent="0.2">
      <c r="A123" s="5">
        <v>1</v>
      </c>
      <c r="B123" s="6"/>
      <c r="C123" s="6" t="s">
        <v>124</v>
      </c>
      <c r="D123" s="6"/>
      <c r="E123" s="16" t="s">
        <v>10</v>
      </c>
      <c r="F123" s="8">
        <v>92.315823300000005</v>
      </c>
      <c r="G123" s="9">
        <v>3.0673953E-2</v>
      </c>
      <c r="H123" s="108">
        <v>3.23</v>
      </c>
    </row>
    <row r="124" spans="1:8" ht="17.100000000000001" customHeight="1" x14ac:dyDescent="0.2">
      <c r="A124" s="5">
        <v>2</v>
      </c>
      <c r="B124" s="6"/>
      <c r="C124" s="6" t="s">
        <v>125</v>
      </c>
      <c r="D124" s="6"/>
      <c r="E124" s="16" t="s">
        <v>10</v>
      </c>
      <c r="F124" s="8">
        <v>25.930593200000001</v>
      </c>
      <c r="G124" s="9">
        <v>8.6160070000000002E-3</v>
      </c>
      <c r="H124" s="108">
        <v>3.35</v>
      </c>
    </row>
    <row r="125" spans="1:8" ht="14.1" customHeight="1" x14ac:dyDescent="0.2">
      <c r="A125" s="3" t="s">
        <v>10</v>
      </c>
      <c r="B125" s="3" t="s">
        <v>10</v>
      </c>
      <c r="C125" s="4" t="s">
        <v>104</v>
      </c>
      <c r="D125" s="3" t="s">
        <v>10</v>
      </c>
      <c r="E125" s="3" t="s">
        <v>10</v>
      </c>
      <c r="F125" s="10">
        <v>118.2464165</v>
      </c>
      <c r="G125" s="11">
        <v>3.9289959999999999E-2</v>
      </c>
      <c r="H125" s="167"/>
    </row>
    <row r="126" spans="1:8" ht="14.1" customHeight="1" x14ac:dyDescent="0.2">
      <c r="A126" s="3" t="s">
        <v>10</v>
      </c>
      <c r="B126" s="3" t="s">
        <v>10</v>
      </c>
      <c r="C126" s="12" t="s">
        <v>10</v>
      </c>
      <c r="D126" s="3" t="s">
        <v>10</v>
      </c>
      <c r="E126" s="3" t="s">
        <v>10</v>
      </c>
      <c r="F126" s="13" t="s">
        <v>10</v>
      </c>
      <c r="G126" s="13" t="s">
        <v>10</v>
      </c>
      <c r="H126" s="167"/>
    </row>
    <row r="127" spans="1:8" ht="14.1" customHeight="1" x14ac:dyDescent="0.2">
      <c r="A127" s="3" t="s">
        <v>10</v>
      </c>
      <c r="B127" s="3" t="s">
        <v>10</v>
      </c>
      <c r="C127" s="4" t="s">
        <v>126</v>
      </c>
      <c r="D127" s="3" t="s">
        <v>10</v>
      </c>
      <c r="E127" s="3" t="s">
        <v>10</v>
      </c>
      <c r="F127" s="10">
        <v>118.2464165</v>
      </c>
      <c r="G127" s="11">
        <v>3.9289959999999999E-2</v>
      </c>
      <c r="H127" s="167"/>
    </row>
    <row r="128" spans="1:8" ht="14.1" customHeight="1" x14ac:dyDescent="0.2">
      <c r="A128" s="3" t="s">
        <v>10</v>
      </c>
      <c r="B128" s="3" t="s">
        <v>10</v>
      </c>
      <c r="C128" s="13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ht="14.1" customHeight="1" x14ac:dyDescent="0.2">
      <c r="A129" s="3" t="s">
        <v>10</v>
      </c>
      <c r="B129" s="3" t="s">
        <v>10</v>
      </c>
      <c r="C129" s="4" t="s">
        <v>127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ht="14.1" customHeight="1" x14ac:dyDescent="0.2">
      <c r="A130" s="3" t="s">
        <v>10</v>
      </c>
      <c r="B130" s="3" t="s">
        <v>10</v>
      </c>
      <c r="C130" s="4" t="s">
        <v>128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ht="14.1" customHeight="1" x14ac:dyDescent="0.2">
      <c r="A131" s="3" t="s">
        <v>10</v>
      </c>
      <c r="B131" s="3" t="s">
        <v>10</v>
      </c>
      <c r="C131" s="4" t="s">
        <v>104</v>
      </c>
      <c r="D131" s="3" t="s">
        <v>10</v>
      </c>
      <c r="E131" s="3" t="s">
        <v>10</v>
      </c>
      <c r="F131" s="14">
        <v>0</v>
      </c>
      <c r="G131" s="15">
        <v>0</v>
      </c>
      <c r="H131" s="167"/>
    </row>
    <row r="132" spans="1:8" ht="14.1" customHeight="1" x14ac:dyDescent="0.2">
      <c r="A132" s="3" t="s">
        <v>10</v>
      </c>
      <c r="B132" s="3" t="s">
        <v>10</v>
      </c>
      <c r="C132" s="12" t="s">
        <v>10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ht="14.1" customHeight="1" x14ac:dyDescent="0.2">
      <c r="A133" s="3" t="s">
        <v>10</v>
      </c>
      <c r="B133" s="3" t="s">
        <v>10</v>
      </c>
      <c r="C133" s="4" t="s">
        <v>129</v>
      </c>
      <c r="D133" s="3" t="s">
        <v>10</v>
      </c>
      <c r="E133" s="3" t="s">
        <v>10</v>
      </c>
      <c r="F133" s="3" t="s">
        <v>10</v>
      </c>
      <c r="G133" s="3" t="s">
        <v>10</v>
      </c>
      <c r="H133" s="167"/>
    </row>
    <row r="134" spans="1:8" ht="14.1" customHeight="1" x14ac:dyDescent="0.2">
      <c r="A134" s="3" t="s">
        <v>10</v>
      </c>
      <c r="B134" s="3" t="s">
        <v>10</v>
      </c>
      <c r="C134" s="4" t="s">
        <v>130</v>
      </c>
      <c r="D134" s="3" t="s">
        <v>10</v>
      </c>
      <c r="E134" s="3" t="s">
        <v>10</v>
      </c>
      <c r="F134" s="3" t="s">
        <v>10</v>
      </c>
      <c r="G134" s="3" t="s">
        <v>10</v>
      </c>
      <c r="H134" s="167"/>
    </row>
    <row r="135" spans="1:8" ht="14.1" customHeight="1" x14ac:dyDescent="0.2">
      <c r="A135" s="3" t="s">
        <v>10</v>
      </c>
      <c r="B135" s="3" t="s">
        <v>10</v>
      </c>
      <c r="C135" s="4" t="s">
        <v>104</v>
      </c>
      <c r="D135" s="3" t="s">
        <v>10</v>
      </c>
      <c r="E135" s="3" t="s">
        <v>10</v>
      </c>
      <c r="F135" s="14">
        <v>0</v>
      </c>
      <c r="G135" s="15">
        <v>0</v>
      </c>
      <c r="H135" s="167"/>
    </row>
    <row r="136" spans="1:8" ht="14.1" customHeight="1" x14ac:dyDescent="0.2">
      <c r="A136" s="3" t="s">
        <v>10</v>
      </c>
      <c r="B136" s="3" t="s">
        <v>10</v>
      </c>
      <c r="C136" s="12" t="s">
        <v>10</v>
      </c>
      <c r="D136" s="3" t="s">
        <v>10</v>
      </c>
      <c r="E136" s="3" t="s">
        <v>10</v>
      </c>
      <c r="F136" s="13" t="s">
        <v>10</v>
      </c>
      <c r="G136" s="13" t="s">
        <v>10</v>
      </c>
      <c r="H136" s="167"/>
    </row>
    <row r="137" spans="1:8" ht="14.1" customHeight="1" x14ac:dyDescent="0.2">
      <c r="A137" s="3" t="s">
        <v>10</v>
      </c>
      <c r="B137" s="3" t="s">
        <v>10</v>
      </c>
      <c r="C137" s="12" t="s">
        <v>10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ht="24" customHeight="1" x14ac:dyDescent="0.2">
      <c r="A138" s="3" t="s">
        <v>10</v>
      </c>
      <c r="B138" s="3" t="s">
        <v>10</v>
      </c>
      <c r="C138" s="4" t="s">
        <v>131</v>
      </c>
      <c r="D138" s="3" t="s">
        <v>10</v>
      </c>
      <c r="E138" s="3" t="s">
        <v>10</v>
      </c>
      <c r="F138" s="13" t="s">
        <v>10</v>
      </c>
      <c r="G138" s="13" t="s">
        <v>10</v>
      </c>
      <c r="H138" s="167"/>
    </row>
    <row r="139" spans="1:8" ht="14.1" customHeight="1" x14ac:dyDescent="0.2">
      <c r="A139" s="3" t="s">
        <v>10</v>
      </c>
      <c r="B139" s="3" t="s">
        <v>10</v>
      </c>
      <c r="C139" s="4" t="s">
        <v>104</v>
      </c>
      <c r="D139" s="3" t="s">
        <v>10</v>
      </c>
      <c r="E139" s="3" t="s">
        <v>10</v>
      </c>
      <c r="F139" s="14">
        <v>0</v>
      </c>
      <c r="G139" s="15">
        <v>0</v>
      </c>
      <c r="H139" s="167"/>
    </row>
    <row r="140" spans="1:8" ht="14.1" customHeight="1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7"/>
    </row>
    <row r="141" spans="1:8" ht="14.1" customHeight="1" x14ac:dyDescent="0.2">
      <c r="A141" s="3" t="s">
        <v>10</v>
      </c>
      <c r="B141" s="6" t="s">
        <v>10</v>
      </c>
      <c r="C141" s="6" t="s">
        <v>10</v>
      </c>
      <c r="D141" s="4" t="s">
        <v>10</v>
      </c>
      <c r="E141" s="3" t="s">
        <v>10</v>
      </c>
      <c r="F141" s="6" t="s">
        <v>10</v>
      </c>
      <c r="G141" s="16" t="s">
        <v>10</v>
      </c>
      <c r="H141" s="167"/>
    </row>
    <row r="142" spans="1:8" ht="18" customHeight="1" x14ac:dyDescent="0.2">
      <c r="A142" s="16" t="s">
        <v>10</v>
      </c>
      <c r="B142" s="6" t="s">
        <v>10</v>
      </c>
      <c r="C142" s="6" t="s">
        <v>132</v>
      </c>
      <c r="D142" s="6" t="s">
        <v>10</v>
      </c>
      <c r="E142" s="16" t="s">
        <v>10</v>
      </c>
      <c r="F142" s="8">
        <v>-8.9790745199999993</v>
      </c>
      <c r="G142" s="9">
        <v>-2.9834940000000002E-3</v>
      </c>
      <c r="H142" s="167"/>
    </row>
    <row r="143" spans="1:8" ht="14.1" customHeight="1" x14ac:dyDescent="0.2">
      <c r="A143" s="12" t="s">
        <v>10</v>
      </c>
      <c r="B143" s="12" t="s">
        <v>10</v>
      </c>
      <c r="C143" s="4" t="s">
        <v>133</v>
      </c>
      <c r="D143" s="17" t="s">
        <v>10</v>
      </c>
      <c r="E143" s="17" t="s">
        <v>10</v>
      </c>
      <c r="F143" s="10">
        <v>3009.58349198</v>
      </c>
      <c r="G143" s="11">
        <v>1.0000000010000001</v>
      </c>
      <c r="H143" s="167"/>
    </row>
    <row r="144" spans="1:8" ht="14.1" customHeight="1" x14ac:dyDescent="0.2">
      <c r="A144" s="18" t="s">
        <v>10</v>
      </c>
      <c r="B144" s="18" t="s">
        <v>10</v>
      </c>
      <c r="C144" s="18" t="s">
        <v>10</v>
      </c>
      <c r="D144" s="19" t="s">
        <v>10</v>
      </c>
      <c r="E144" s="19" t="s">
        <v>10</v>
      </c>
      <c r="F144" s="19" t="s">
        <v>10</v>
      </c>
      <c r="G144" s="19" t="s">
        <v>10</v>
      </c>
    </row>
    <row r="145" spans="1:7" ht="14.1" customHeight="1" x14ac:dyDescent="0.2">
      <c r="A145" s="20" t="s">
        <v>10</v>
      </c>
      <c r="B145" s="208" t="s">
        <v>10</v>
      </c>
      <c r="C145" s="208"/>
      <c r="D145" s="208"/>
      <c r="E145" s="208"/>
      <c r="F145" s="208"/>
      <c r="G145" s="22" t="s">
        <v>10</v>
      </c>
    </row>
    <row r="146" spans="1:7" ht="14.1" customHeight="1" x14ac:dyDescent="0.2">
      <c r="A146" s="20" t="s">
        <v>10</v>
      </c>
      <c r="B146" s="208" t="s">
        <v>10</v>
      </c>
      <c r="C146" s="208"/>
      <c r="D146" s="208"/>
      <c r="E146" s="208"/>
      <c r="F146" s="208"/>
      <c r="G146" s="22" t="s">
        <v>10</v>
      </c>
    </row>
    <row r="147" spans="1:7" ht="14.1" customHeight="1" x14ac:dyDescent="0.2">
      <c r="A147" s="20" t="s">
        <v>10</v>
      </c>
      <c r="B147" s="20" t="s">
        <v>10</v>
      </c>
      <c r="C147" s="20" t="s">
        <v>10</v>
      </c>
      <c r="D147" s="22" t="s">
        <v>10</v>
      </c>
      <c r="E147" s="22" t="s">
        <v>10</v>
      </c>
      <c r="F147" s="22" t="s">
        <v>10</v>
      </c>
      <c r="G147" s="22" t="s">
        <v>10</v>
      </c>
    </row>
    <row r="148" spans="1:7" ht="14.1" customHeight="1" x14ac:dyDescent="0.2">
      <c r="A148" s="20" t="s">
        <v>10</v>
      </c>
      <c r="B148" s="206" t="s">
        <v>134</v>
      </c>
      <c r="C148" s="207"/>
      <c r="D148" s="13" t="s">
        <v>10</v>
      </c>
      <c r="E148" s="23" t="s">
        <v>10</v>
      </c>
      <c r="F148" s="22" t="s">
        <v>10</v>
      </c>
      <c r="G148" s="22" t="s">
        <v>10</v>
      </c>
    </row>
    <row r="149" spans="1:7" ht="29.1" customHeight="1" x14ac:dyDescent="0.2">
      <c r="A149" s="20" t="s">
        <v>10</v>
      </c>
      <c r="B149" s="213" t="s">
        <v>135</v>
      </c>
      <c r="C149" s="214"/>
      <c r="D149" s="4" t="s">
        <v>136</v>
      </c>
      <c r="E149" s="23" t="s">
        <v>10</v>
      </c>
      <c r="F149" s="22" t="s">
        <v>10</v>
      </c>
      <c r="G149" s="22" t="s">
        <v>10</v>
      </c>
    </row>
    <row r="150" spans="1:7" ht="17.100000000000001" customHeight="1" x14ac:dyDescent="0.2">
      <c r="A150" s="20" t="s">
        <v>10</v>
      </c>
      <c r="B150" s="213" t="s">
        <v>137</v>
      </c>
      <c r="C150" s="214"/>
      <c r="D150" s="4" t="s">
        <v>136</v>
      </c>
      <c r="E150" s="23" t="s">
        <v>10</v>
      </c>
      <c r="F150" s="22" t="s">
        <v>10</v>
      </c>
      <c r="G150" s="22" t="s">
        <v>10</v>
      </c>
    </row>
    <row r="151" spans="1:7" ht="17.100000000000001" customHeight="1" x14ac:dyDescent="0.2">
      <c r="A151" s="20" t="s">
        <v>10</v>
      </c>
      <c r="B151" s="213" t="s">
        <v>138</v>
      </c>
      <c r="C151" s="214"/>
      <c r="D151" s="13" t="s">
        <v>10</v>
      </c>
      <c r="E151" s="23" t="s">
        <v>10</v>
      </c>
      <c r="F151" s="22" t="s">
        <v>10</v>
      </c>
      <c r="G151" s="22" t="s">
        <v>10</v>
      </c>
    </row>
    <row r="152" spans="1:7" s="20" customFormat="1" ht="17.100000000000001" customHeight="1" x14ac:dyDescent="0.2"/>
    <row r="153" spans="1:7" x14ac:dyDescent="0.2">
      <c r="A153" s="24" t="s">
        <v>10</v>
      </c>
      <c r="B153" s="140" t="s">
        <v>10</v>
      </c>
      <c r="C153" s="140" t="s">
        <v>139</v>
      </c>
      <c r="D153" s="140" t="s">
        <v>140</v>
      </c>
      <c r="E153" s="24" t="s">
        <v>10</v>
      </c>
      <c r="F153" s="24" t="s">
        <v>10</v>
      </c>
      <c r="G153" s="24" t="s">
        <v>10</v>
      </c>
    </row>
    <row r="154" spans="1:7" ht="18" customHeight="1" x14ac:dyDescent="0.2">
      <c r="A154" s="24" t="s">
        <v>10</v>
      </c>
      <c r="B154" s="25" t="s">
        <v>141</v>
      </c>
      <c r="C154" s="25" t="s">
        <v>142</v>
      </c>
      <c r="D154" s="25" t="s">
        <v>143</v>
      </c>
      <c r="E154" s="24" t="s">
        <v>10</v>
      </c>
      <c r="F154" s="24" t="s">
        <v>10</v>
      </c>
      <c r="G154" s="24" t="s">
        <v>10</v>
      </c>
    </row>
    <row r="155" spans="1:7" ht="17.100000000000001" customHeight="1" x14ac:dyDescent="0.2">
      <c r="A155" s="24" t="s">
        <v>10</v>
      </c>
      <c r="B155" s="6" t="s">
        <v>144</v>
      </c>
      <c r="C155" s="26">
        <v>14.834199999999999</v>
      </c>
      <c r="D155" s="26">
        <v>16.418600000000001</v>
      </c>
      <c r="E155" s="24" t="s">
        <v>10</v>
      </c>
      <c r="F155" s="21" t="s">
        <v>10</v>
      </c>
      <c r="G155" s="27" t="s">
        <v>10</v>
      </c>
    </row>
    <row r="156" spans="1:7" ht="17.100000000000001" customHeight="1" x14ac:dyDescent="0.2">
      <c r="A156" s="24" t="s">
        <v>10</v>
      </c>
      <c r="B156" s="6" t="s">
        <v>917</v>
      </c>
      <c r="C156" s="26">
        <v>14.834199999999999</v>
      </c>
      <c r="D156" s="26">
        <v>15.3918</v>
      </c>
      <c r="E156" s="24" t="s">
        <v>10</v>
      </c>
      <c r="F156" s="21" t="s">
        <v>10</v>
      </c>
      <c r="G156" s="27" t="s">
        <v>10</v>
      </c>
    </row>
    <row r="157" spans="1:7" ht="17.100000000000001" customHeight="1" x14ac:dyDescent="0.2">
      <c r="A157" s="24" t="s">
        <v>10</v>
      </c>
      <c r="B157" s="6" t="s">
        <v>145</v>
      </c>
      <c r="C157" s="26">
        <v>14.620100000000001</v>
      </c>
      <c r="D157" s="26">
        <v>16.173999999999999</v>
      </c>
      <c r="E157" s="24" t="s">
        <v>10</v>
      </c>
      <c r="F157" s="21" t="s">
        <v>10</v>
      </c>
      <c r="G157" s="27" t="s">
        <v>10</v>
      </c>
    </row>
    <row r="158" spans="1:7" ht="17.100000000000001" customHeight="1" x14ac:dyDescent="0.2">
      <c r="A158" s="24" t="s">
        <v>10</v>
      </c>
      <c r="B158" s="6" t="s">
        <v>918</v>
      </c>
      <c r="C158" s="26">
        <v>14.620100000000001</v>
      </c>
      <c r="D158" s="26">
        <v>15.147399999999999</v>
      </c>
      <c r="E158" s="24" t="s">
        <v>10</v>
      </c>
      <c r="F158" s="21" t="s">
        <v>10</v>
      </c>
      <c r="G158" s="27" t="s">
        <v>10</v>
      </c>
    </row>
    <row r="159" spans="1:7" ht="14.1" customHeight="1" x14ac:dyDescent="0.2">
      <c r="A159" s="24" t="s">
        <v>10</v>
      </c>
      <c r="B159" s="24" t="s">
        <v>10</v>
      </c>
      <c r="C159" s="24" t="s">
        <v>10</v>
      </c>
      <c r="D159" s="24" t="s">
        <v>10</v>
      </c>
      <c r="E159" s="24" t="s">
        <v>10</v>
      </c>
      <c r="F159" s="24" t="s">
        <v>10</v>
      </c>
      <c r="G159" s="24" t="s">
        <v>10</v>
      </c>
    </row>
    <row r="160" spans="1:7" ht="29.1" customHeight="1" x14ac:dyDescent="0.2">
      <c r="A160" s="24" t="s">
        <v>10</v>
      </c>
      <c r="B160" s="220" t="s">
        <v>999</v>
      </c>
      <c r="C160" s="220"/>
      <c r="D160" s="145"/>
      <c r="E160" s="24" t="s">
        <v>10</v>
      </c>
      <c r="F160" s="24" t="s">
        <v>10</v>
      </c>
      <c r="G160" s="24" t="s">
        <v>10</v>
      </c>
    </row>
    <row r="161" spans="1:8" s="144" customFormat="1" ht="15" x14ac:dyDescent="0.2">
      <c r="A161" s="141" t="s">
        <v>10</v>
      </c>
      <c r="B161" s="142" t="s">
        <v>141</v>
      </c>
      <c r="C161" s="142" t="s">
        <v>827</v>
      </c>
      <c r="D161" s="142" t="s">
        <v>828</v>
      </c>
      <c r="E161" s="141" t="s">
        <v>10</v>
      </c>
      <c r="F161" s="141" t="s">
        <v>10</v>
      </c>
      <c r="G161" s="141" t="s">
        <v>10</v>
      </c>
      <c r="H161" s="143"/>
    </row>
    <row r="162" spans="1:8" ht="17.100000000000001" customHeight="1" x14ac:dyDescent="0.2">
      <c r="A162" s="24" t="s">
        <v>10</v>
      </c>
      <c r="B162" s="146" t="s">
        <v>917</v>
      </c>
      <c r="C162" s="147">
        <v>1</v>
      </c>
      <c r="D162" s="148" t="s">
        <v>10</v>
      </c>
      <c r="E162" s="24" t="s">
        <v>10</v>
      </c>
      <c r="F162" s="21" t="s">
        <v>10</v>
      </c>
      <c r="G162" s="27" t="s">
        <v>10</v>
      </c>
    </row>
    <row r="163" spans="1:8" ht="17.100000000000001" customHeight="1" x14ac:dyDescent="0.2">
      <c r="A163" s="24" t="s">
        <v>10</v>
      </c>
      <c r="B163" s="146" t="s">
        <v>918</v>
      </c>
      <c r="C163" s="147">
        <v>1</v>
      </c>
      <c r="D163" s="148" t="s">
        <v>10</v>
      </c>
      <c r="E163" s="24" t="s">
        <v>10</v>
      </c>
      <c r="F163" s="21" t="s">
        <v>10</v>
      </c>
      <c r="G163" s="27" t="s">
        <v>10</v>
      </c>
    </row>
    <row r="164" spans="1:8" s="155" customFormat="1" ht="15" x14ac:dyDescent="0.2">
      <c r="A164" s="176" t="s">
        <v>10</v>
      </c>
      <c r="B164" s="177"/>
      <c r="C164" s="177"/>
      <c r="D164" s="178" t="s">
        <v>10</v>
      </c>
      <c r="E164" s="172" t="s">
        <v>10</v>
      </c>
      <c r="F164" s="172" t="s">
        <v>10</v>
      </c>
      <c r="G164" s="176" t="s">
        <v>10</v>
      </c>
      <c r="H164" s="161"/>
    </row>
    <row r="165" spans="1:8" s="175" customFormat="1" x14ac:dyDescent="0.2">
      <c r="B165" s="221" t="s">
        <v>919</v>
      </c>
      <c r="C165" s="221"/>
      <c r="D165" s="221"/>
      <c r="E165" s="221"/>
      <c r="F165" s="221"/>
    </row>
    <row r="166" spans="1:8" s="155" customFormat="1" ht="15" x14ac:dyDescent="0.2">
      <c r="A166" s="176" t="s">
        <v>10</v>
      </c>
      <c r="B166" s="163" t="s">
        <v>10</v>
      </c>
      <c r="C166" s="163" t="s">
        <v>10</v>
      </c>
      <c r="D166" s="172" t="s">
        <v>10</v>
      </c>
      <c r="E166" s="172" t="s">
        <v>10</v>
      </c>
      <c r="F166" s="172" t="s">
        <v>10</v>
      </c>
      <c r="G166" s="176" t="s">
        <v>10</v>
      </c>
      <c r="H166" s="161"/>
    </row>
    <row r="167" spans="1:8" ht="14.1" customHeight="1" x14ac:dyDescent="0.2">
      <c r="A167" s="24" t="s">
        <v>10</v>
      </c>
      <c r="B167" s="21" t="s">
        <v>10</v>
      </c>
      <c r="C167" s="21" t="s">
        <v>10</v>
      </c>
      <c r="D167" s="24" t="s">
        <v>10</v>
      </c>
      <c r="E167" s="24" t="s">
        <v>10</v>
      </c>
      <c r="F167" s="24" t="s">
        <v>10</v>
      </c>
      <c r="G167" s="24" t="s">
        <v>10</v>
      </c>
    </row>
    <row r="168" spans="1:8" ht="29.1" customHeight="1" x14ac:dyDescent="0.2">
      <c r="A168" s="24" t="s">
        <v>10</v>
      </c>
      <c r="B168" s="213" t="s">
        <v>146</v>
      </c>
      <c r="C168" s="214"/>
      <c r="D168" s="4" t="s">
        <v>136</v>
      </c>
      <c r="E168" s="24" t="s">
        <v>10</v>
      </c>
      <c r="F168" s="24" t="s">
        <v>10</v>
      </c>
      <c r="G168" s="24" t="s">
        <v>10</v>
      </c>
    </row>
    <row r="169" spans="1:8" ht="29.1" customHeight="1" x14ac:dyDescent="0.2">
      <c r="A169" s="24" t="s">
        <v>10</v>
      </c>
      <c r="B169" s="213" t="s">
        <v>147</v>
      </c>
      <c r="C169" s="214"/>
      <c r="D169" s="4" t="s">
        <v>136</v>
      </c>
      <c r="E169" s="24" t="s">
        <v>10</v>
      </c>
      <c r="F169" s="24" t="s">
        <v>10</v>
      </c>
      <c r="G169" s="24" t="s">
        <v>10</v>
      </c>
    </row>
    <row r="170" spans="1:8" ht="17.100000000000001" customHeight="1" x14ac:dyDescent="0.2">
      <c r="A170" s="24" t="s">
        <v>10</v>
      </c>
      <c r="B170" s="213" t="s">
        <v>148</v>
      </c>
      <c r="C170" s="214"/>
      <c r="D170" s="30">
        <v>0.46600846021565612</v>
      </c>
      <c r="E170" s="24" t="s">
        <v>10</v>
      </c>
      <c r="F170" s="21" t="s">
        <v>10</v>
      </c>
      <c r="G170" s="27" t="s">
        <v>10</v>
      </c>
    </row>
    <row r="171" spans="1:8" ht="17.100000000000001" customHeight="1" x14ac:dyDescent="0.2">
      <c r="A171" s="24" t="s">
        <v>10</v>
      </c>
      <c r="B171" s="213" t="s">
        <v>149</v>
      </c>
      <c r="C171" s="214"/>
      <c r="D171" s="4" t="s">
        <v>136</v>
      </c>
      <c r="E171" s="24" t="s">
        <v>10</v>
      </c>
      <c r="F171" s="24" t="s">
        <v>10</v>
      </c>
      <c r="G171" s="24" t="s">
        <v>10</v>
      </c>
    </row>
  </sheetData>
  <mergeCells count="15">
    <mergeCell ref="B170:C170"/>
    <mergeCell ref="B171:C171"/>
    <mergeCell ref="B149:C149"/>
    <mergeCell ref="B150:C150"/>
    <mergeCell ref="B151:C151"/>
    <mergeCell ref="B160:C160"/>
    <mergeCell ref="B168:C168"/>
    <mergeCell ref="B169:C169"/>
    <mergeCell ref="B165:F165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62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472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37098</v>
      </c>
      <c r="F7" s="8">
        <v>452.68834500000003</v>
      </c>
      <c r="G7" s="9">
        <v>4.259023E-2</v>
      </c>
      <c r="H7" s="167"/>
    </row>
    <row r="8" spans="1:8" x14ac:dyDescent="0.2">
      <c r="A8" s="5">
        <v>2</v>
      </c>
      <c r="B8" s="6" t="s">
        <v>467</v>
      </c>
      <c r="C8" s="6" t="s">
        <v>468</v>
      </c>
      <c r="D8" s="6" t="s">
        <v>192</v>
      </c>
      <c r="E8" s="7">
        <v>105000</v>
      </c>
      <c r="F8" s="8">
        <v>413.49</v>
      </c>
      <c r="G8" s="9">
        <v>3.8902337000000002E-2</v>
      </c>
      <c r="H8" s="167"/>
    </row>
    <row r="9" spans="1:8" x14ac:dyDescent="0.2">
      <c r="A9" s="5">
        <v>3</v>
      </c>
      <c r="B9" s="6" t="s">
        <v>151</v>
      </c>
      <c r="C9" s="6" t="s">
        <v>152</v>
      </c>
      <c r="D9" s="6" t="s">
        <v>153</v>
      </c>
      <c r="E9" s="7">
        <v>11668</v>
      </c>
      <c r="F9" s="8">
        <v>376.26966399999998</v>
      </c>
      <c r="G9" s="9">
        <v>3.5400540000000001E-2</v>
      </c>
      <c r="H9" s="167"/>
    </row>
    <row r="10" spans="1:8" x14ac:dyDescent="0.2">
      <c r="A10" s="5">
        <v>4</v>
      </c>
      <c r="B10" s="6" t="s">
        <v>46</v>
      </c>
      <c r="C10" s="6" t="s">
        <v>47</v>
      </c>
      <c r="D10" s="6" t="s">
        <v>29</v>
      </c>
      <c r="E10" s="7">
        <v>37713</v>
      </c>
      <c r="F10" s="8">
        <v>368.32401449999998</v>
      </c>
      <c r="G10" s="9">
        <v>3.4652990000000002E-2</v>
      </c>
      <c r="H10" s="167"/>
    </row>
    <row r="11" spans="1:8" ht="25.5" x14ac:dyDescent="0.2">
      <c r="A11" s="5">
        <v>5</v>
      </c>
      <c r="B11" s="6" t="s">
        <v>449</v>
      </c>
      <c r="C11" s="6" t="s">
        <v>450</v>
      </c>
      <c r="D11" s="6" t="s">
        <v>37</v>
      </c>
      <c r="E11" s="7">
        <v>25868</v>
      </c>
      <c r="F11" s="8">
        <v>313.507226</v>
      </c>
      <c r="G11" s="9">
        <v>2.9495667999999999E-2</v>
      </c>
      <c r="H11" s="167"/>
    </row>
    <row r="12" spans="1:8" x14ac:dyDescent="0.2">
      <c r="A12" s="5">
        <v>6</v>
      </c>
      <c r="B12" s="6" t="s">
        <v>473</v>
      </c>
      <c r="C12" s="6" t="s">
        <v>474</v>
      </c>
      <c r="D12" s="6" t="s">
        <v>185</v>
      </c>
      <c r="E12" s="7">
        <v>94486</v>
      </c>
      <c r="F12" s="8">
        <v>304.10319099999998</v>
      </c>
      <c r="G12" s="9">
        <v>2.8610909E-2</v>
      </c>
      <c r="H12" s="167"/>
    </row>
    <row r="13" spans="1:8" ht="25.5" x14ac:dyDescent="0.2">
      <c r="A13" s="5">
        <v>7</v>
      </c>
      <c r="B13" s="6" t="s">
        <v>172</v>
      </c>
      <c r="C13" s="6" t="s">
        <v>173</v>
      </c>
      <c r="D13" s="6" t="s">
        <v>970</v>
      </c>
      <c r="E13" s="7">
        <v>112163</v>
      </c>
      <c r="F13" s="8">
        <v>281.97778199999999</v>
      </c>
      <c r="G13" s="9">
        <v>2.6529285999999999E-2</v>
      </c>
      <c r="H13" s="167"/>
    </row>
    <row r="14" spans="1:8" x14ac:dyDescent="0.2">
      <c r="A14" s="5">
        <v>8</v>
      </c>
      <c r="B14" s="6" t="s">
        <v>447</v>
      </c>
      <c r="C14" s="6" t="s">
        <v>448</v>
      </c>
      <c r="D14" s="6" t="s">
        <v>75</v>
      </c>
      <c r="E14" s="7">
        <v>90401</v>
      </c>
      <c r="F14" s="8">
        <v>275.361446</v>
      </c>
      <c r="G14" s="9">
        <v>2.5906802E-2</v>
      </c>
      <c r="H14" s="167"/>
    </row>
    <row r="15" spans="1:8" x14ac:dyDescent="0.2">
      <c r="A15" s="5">
        <v>9</v>
      </c>
      <c r="B15" s="6" t="s">
        <v>156</v>
      </c>
      <c r="C15" s="6" t="s">
        <v>157</v>
      </c>
      <c r="D15" s="6" t="s">
        <v>158</v>
      </c>
      <c r="E15" s="7">
        <v>281351</v>
      </c>
      <c r="F15" s="8">
        <v>258.70224450000001</v>
      </c>
      <c r="G15" s="9">
        <v>2.4339455999999999E-2</v>
      </c>
      <c r="H15" s="167"/>
    </row>
    <row r="16" spans="1:8" x14ac:dyDescent="0.2">
      <c r="A16" s="5">
        <v>10</v>
      </c>
      <c r="B16" s="6" t="s">
        <v>451</v>
      </c>
      <c r="C16" s="6" t="s">
        <v>452</v>
      </c>
      <c r="D16" s="6" t="s">
        <v>67</v>
      </c>
      <c r="E16" s="7">
        <v>53500</v>
      </c>
      <c r="F16" s="8">
        <v>254.20525000000001</v>
      </c>
      <c r="G16" s="9">
        <v>2.3916366000000001E-2</v>
      </c>
      <c r="H16" s="167"/>
    </row>
    <row r="17" spans="1:8" x14ac:dyDescent="0.2">
      <c r="A17" s="5">
        <v>11</v>
      </c>
      <c r="B17" s="6" t="s">
        <v>210</v>
      </c>
      <c r="C17" s="6" t="s">
        <v>211</v>
      </c>
      <c r="D17" s="6" t="s">
        <v>29</v>
      </c>
      <c r="E17" s="7">
        <v>18691</v>
      </c>
      <c r="F17" s="8">
        <v>251.75842449999999</v>
      </c>
      <c r="G17" s="9">
        <v>2.3686162E-2</v>
      </c>
      <c r="H17" s="167"/>
    </row>
    <row r="18" spans="1:8" ht="25.5" x14ac:dyDescent="0.2">
      <c r="A18" s="5">
        <v>12</v>
      </c>
      <c r="B18" s="6" t="s">
        <v>331</v>
      </c>
      <c r="C18" s="6" t="s">
        <v>332</v>
      </c>
      <c r="D18" s="6" t="s">
        <v>75</v>
      </c>
      <c r="E18" s="7">
        <v>63068</v>
      </c>
      <c r="F18" s="8">
        <v>251.16830999999999</v>
      </c>
      <c r="G18" s="9">
        <v>2.3630642E-2</v>
      </c>
      <c r="H18" s="167"/>
    </row>
    <row r="19" spans="1:8" x14ac:dyDescent="0.2">
      <c r="A19" s="5">
        <v>13</v>
      </c>
      <c r="B19" s="6" t="s">
        <v>254</v>
      </c>
      <c r="C19" s="6" t="s">
        <v>255</v>
      </c>
      <c r="D19" s="6" t="s">
        <v>971</v>
      </c>
      <c r="E19" s="7">
        <v>51380</v>
      </c>
      <c r="F19" s="8">
        <v>247.70298</v>
      </c>
      <c r="G19" s="9">
        <v>2.3304614000000001E-2</v>
      </c>
      <c r="H19" s="167"/>
    </row>
    <row r="20" spans="1:8" x14ac:dyDescent="0.2">
      <c r="A20" s="5">
        <v>14</v>
      </c>
      <c r="B20" s="6" t="s">
        <v>193</v>
      </c>
      <c r="C20" s="6" t="s">
        <v>194</v>
      </c>
      <c r="D20" s="6" t="s">
        <v>178</v>
      </c>
      <c r="E20" s="7">
        <v>127326</v>
      </c>
      <c r="F20" s="8">
        <v>232.75192799999999</v>
      </c>
      <c r="G20" s="9">
        <v>2.1897975E-2</v>
      </c>
      <c r="H20" s="167"/>
    </row>
    <row r="21" spans="1:8" x14ac:dyDescent="0.2">
      <c r="A21" s="5">
        <v>15</v>
      </c>
      <c r="B21" s="6" t="s">
        <v>286</v>
      </c>
      <c r="C21" s="6" t="s">
        <v>287</v>
      </c>
      <c r="D21" s="6" t="s">
        <v>29</v>
      </c>
      <c r="E21" s="7">
        <v>22325</v>
      </c>
      <c r="F21" s="8">
        <v>226.4982875</v>
      </c>
      <c r="G21" s="9">
        <v>2.1309615000000001E-2</v>
      </c>
      <c r="H21" s="167"/>
    </row>
    <row r="22" spans="1:8" x14ac:dyDescent="0.2">
      <c r="A22" s="5">
        <v>16</v>
      </c>
      <c r="B22" s="6" t="s">
        <v>475</v>
      </c>
      <c r="C22" s="6" t="s">
        <v>476</v>
      </c>
      <c r="D22" s="6" t="s">
        <v>67</v>
      </c>
      <c r="E22" s="7">
        <v>202773</v>
      </c>
      <c r="F22" s="8">
        <v>218.589294</v>
      </c>
      <c r="G22" s="9">
        <v>2.0565514E-2</v>
      </c>
      <c r="H22" s="167"/>
    </row>
    <row r="23" spans="1:8" ht="25.5" x14ac:dyDescent="0.2">
      <c r="A23" s="5">
        <v>17</v>
      </c>
      <c r="B23" s="6" t="s">
        <v>200</v>
      </c>
      <c r="C23" s="6" t="s">
        <v>201</v>
      </c>
      <c r="D23" s="6" t="s">
        <v>75</v>
      </c>
      <c r="E23" s="7">
        <v>9500</v>
      </c>
      <c r="F23" s="8">
        <v>214.13</v>
      </c>
      <c r="G23" s="9">
        <v>2.0145969999999999E-2</v>
      </c>
      <c r="H23" s="167"/>
    </row>
    <row r="24" spans="1:8" x14ac:dyDescent="0.2">
      <c r="A24" s="5">
        <v>18</v>
      </c>
      <c r="B24" s="6" t="s">
        <v>170</v>
      </c>
      <c r="C24" s="6" t="s">
        <v>171</v>
      </c>
      <c r="D24" s="6" t="s">
        <v>167</v>
      </c>
      <c r="E24" s="7">
        <v>3880</v>
      </c>
      <c r="F24" s="8">
        <v>206.125</v>
      </c>
      <c r="G24" s="9">
        <v>1.9392837E-2</v>
      </c>
      <c r="H24" s="167"/>
    </row>
    <row r="25" spans="1:8" x14ac:dyDescent="0.2">
      <c r="A25" s="5">
        <v>19</v>
      </c>
      <c r="B25" s="6" t="s">
        <v>183</v>
      </c>
      <c r="C25" s="6" t="s">
        <v>184</v>
      </c>
      <c r="D25" s="6" t="s">
        <v>185</v>
      </c>
      <c r="E25" s="7">
        <v>16680</v>
      </c>
      <c r="F25" s="8">
        <v>197.87484000000001</v>
      </c>
      <c r="G25" s="9">
        <v>1.8616638000000001E-2</v>
      </c>
      <c r="H25" s="167"/>
    </row>
    <row r="26" spans="1:8" x14ac:dyDescent="0.2">
      <c r="A26" s="5">
        <v>20</v>
      </c>
      <c r="B26" s="6" t="s">
        <v>477</v>
      </c>
      <c r="C26" s="6" t="s">
        <v>478</v>
      </c>
      <c r="D26" s="6" t="s">
        <v>192</v>
      </c>
      <c r="E26" s="7">
        <v>2436</v>
      </c>
      <c r="F26" s="8">
        <v>188.084778</v>
      </c>
      <c r="G26" s="9">
        <v>1.7695560999999999E-2</v>
      </c>
      <c r="H26" s="167"/>
    </row>
    <row r="27" spans="1:8" x14ac:dyDescent="0.2">
      <c r="A27" s="5">
        <v>21</v>
      </c>
      <c r="B27" s="6" t="s">
        <v>479</v>
      </c>
      <c r="C27" s="6" t="s">
        <v>480</v>
      </c>
      <c r="D27" s="6" t="s">
        <v>192</v>
      </c>
      <c r="E27" s="7">
        <v>3589</v>
      </c>
      <c r="F27" s="8">
        <v>184.33283449999999</v>
      </c>
      <c r="G27" s="9">
        <v>1.7342567E-2</v>
      </c>
      <c r="H27" s="167"/>
    </row>
    <row r="28" spans="1:8" x14ac:dyDescent="0.2">
      <c r="A28" s="5">
        <v>22</v>
      </c>
      <c r="B28" s="6" t="s">
        <v>163</v>
      </c>
      <c r="C28" s="6" t="s">
        <v>164</v>
      </c>
      <c r="D28" s="6" t="s">
        <v>167</v>
      </c>
      <c r="E28" s="7">
        <v>21176</v>
      </c>
      <c r="F28" s="8">
        <v>183.712388</v>
      </c>
      <c r="G28" s="9">
        <v>1.7284193E-2</v>
      </c>
      <c r="H28" s="167"/>
    </row>
    <row r="29" spans="1:8" x14ac:dyDescent="0.2">
      <c r="A29" s="5">
        <v>23</v>
      </c>
      <c r="B29" s="6" t="s">
        <v>362</v>
      </c>
      <c r="C29" s="6" t="s">
        <v>363</v>
      </c>
      <c r="D29" s="6" t="s">
        <v>75</v>
      </c>
      <c r="E29" s="7">
        <v>8109</v>
      </c>
      <c r="F29" s="8">
        <v>175.34901600000001</v>
      </c>
      <c r="G29" s="9">
        <v>1.6497343000000001E-2</v>
      </c>
      <c r="H29" s="167"/>
    </row>
    <row r="30" spans="1:8" x14ac:dyDescent="0.2">
      <c r="A30" s="5">
        <v>24</v>
      </c>
      <c r="B30" s="6" t="s">
        <v>218</v>
      </c>
      <c r="C30" s="6" t="s">
        <v>219</v>
      </c>
      <c r="D30" s="6" t="s">
        <v>973</v>
      </c>
      <c r="E30" s="7">
        <v>24745</v>
      </c>
      <c r="F30" s="8">
        <v>169.033095</v>
      </c>
      <c r="G30" s="9">
        <v>1.5903123000000002E-2</v>
      </c>
      <c r="H30" s="167"/>
    </row>
    <row r="31" spans="1:8" x14ac:dyDescent="0.2">
      <c r="A31" s="5">
        <v>25</v>
      </c>
      <c r="B31" s="6" t="s">
        <v>198</v>
      </c>
      <c r="C31" s="6" t="s">
        <v>199</v>
      </c>
      <c r="D31" s="6" t="s">
        <v>167</v>
      </c>
      <c r="E31" s="7">
        <v>19362</v>
      </c>
      <c r="F31" s="8">
        <v>159.513837</v>
      </c>
      <c r="G31" s="9">
        <v>1.5007524E-2</v>
      </c>
      <c r="H31" s="167"/>
    </row>
    <row r="32" spans="1:8" x14ac:dyDescent="0.2">
      <c r="A32" s="5">
        <v>26</v>
      </c>
      <c r="B32" s="6" t="s">
        <v>226</v>
      </c>
      <c r="C32" s="6" t="s">
        <v>227</v>
      </c>
      <c r="D32" s="6" t="s">
        <v>32</v>
      </c>
      <c r="E32" s="7">
        <v>19637</v>
      </c>
      <c r="F32" s="8">
        <v>155.36794399999999</v>
      </c>
      <c r="G32" s="9">
        <v>1.4617466000000001E-2</v>
      </c>
      <c r="H32" s="167"/>
    </row>
    <row r="33" spans="1:8" ht="25.5" x14ac:dyDescent="0.2">
      <c r="A33" s="5">
        <v>27</v>
      </c>
      <c r="B33" s="6" t="s">
        <v>76</v>
      </c>
      <c r="C33" s="6" t="s">
        <v>77</v>
      </c>
      <c r="D33" s="6" t="s">
        <v>78</v>
      </c>
      <c r="E33" s="7">
        <v>26165</v>
      </c>
      <c r="F33" s="8">
        <v>149.62455249999999</v>
      </c>
      <c r="G33" s="9">
        <v>1.4077111E-2</v>
      </c>
      <c r="H33" s="167"/>
    </row>
    <row r="34" spans="1:8" x14ac:dyDescent="0.2">
      <c r="A34" s="5">
        <v>28</v>
      </c>
      <c r="B34" s="6" t="s">
        <v>214</v>
      </c>
      <c r="C34" s="6" t="s">
        <v>215</v>
      </c>
      <c r="D34" s="6" t="s">
        <v>976</v>
      </c>
      <c r="E34" s="7">
        <v>47840</v>
      </c>
      <c r="F34" s="8">
        <v>148.61496</v>
      </c>
      <c r="G34" s="9">
        <v>1.3982125999999999E-2</v>
      </c>
      <c r="H34" s="167"/>
    </row>
    <row r="35" spans="1:8" x14ac:dyDescent="0.2">
      <c r="A35" s="5">
        <v>29</v>
      </c>
      <c r="B35" s="6" t="s">
        <v>481</v>
      </c>
      <c r="C35" s="6" t="s">
        <v>482</v>
      </c>
      <c r="D35" s="6" t="s">
        <v>18</v>
      </c>
      <c r="E35" s="7">
        <v>108924</v>
      </c>
      <c r="F35" s="8">
        <v>146.284932</v>
      </c>
      <c r="G35" s="9">
        <v>1.376291E-2</v>
      </c>
      <c r="H35" s="167"/>
    </row>
    <row r="36" spans="1:8" x14ac:dyDescent="0.2">
      <c r="A36" s="5">
        <v>30</v>
      </c>
      <c r="B36" s="6" t="s">
        <v>216</v>
      </c>
      <c r="C36" s="6" t="s">
        <v>217</v>
      </c>
      <c r="D36" s="6" t="s">
        <v>192</v>
      </c>
      <c r="E36" s="7">
        <v>27841</v>
      </c>
      <c r="F36" s="8">
        <v>145.8172375</v>
      </c>
      <c r="G36" s="9">
        <v>1.3718908E-2</v>
      </c>
      <c r="H36" s="167"/>
    </row>
    <row r="37" spans="1:8" x14ac:dyDescent="0.2">
      <c r="A37" s="5">
        <v>31</v>
      </c>
      <c r="B37" s="6" t="s">
        <v>220</v>
      </c>
      <c r="C37" s="6" t="s">
        <v>221</v>
      </c>
      <c r="D37" s="6" t="s">
        <v>158</v>
      </c>
      <c r="E37" s="7">
        <v>254112</v>
      </c>
      <c r="F37" s="8">
        <v>144.71678399999999</v>
      </c>
      <c r="G37" s="9">
        <v>1.3615374E-2</v>
      </c>
      <c r="H37" s="167"/>
    </row>
    <row r="38" spans="1:8" x14ac:dyDescent="0.2">
      <c r="A38" s="5">
        <v>32</v>
      </c>
      <c r="B38" s="6" t="s">
        <v>181</v>
      </c>
      <c r="C38" s="6" t="s">
        <v>182</v>
      </c>
      <c r="D38" s="6" t="s">
        <v>29</v>
      </c>
      <c r="E38" s="7">
        <v>30000</v>
      </c>
      <c r="F38" s="8">
        <v>143.31</v>
      </c>
      <c r="G38" s="9">
        <v>1.348302E-2</v>
      </c>
      <c r="H38" s="167"/>
    </row>
    <row r="39" spans="1:8" ht="25.5" x14ac:dyDescent="0.2">
      <c r="A39" s="5">
        <v>33</v>
      </c>
      <c r="B39" s="6" t="s">
        <v>204</v>
      </c>
      <c r="C39" s="6" t="s">
        <v>205</v>
      </c>
      <c r="D39" s="6" t="s">
        <v>37</v>
      </c>
      <c r="E39" s="7">
        <v>162476</v>
      </c>
      <c r="F39" s="8">
        <v>139.07945599999999</v>
      </c>
      <c r="G39" s="9">
        <v>1.3084998E-2</v>
      </c>
      <c r="H39" s="167"/>
    </row>
    <row r="40" spans="1:8" x14ac:dyDescent="0.2">
      <c r="A40" s="5">
        <v>34</v>
      </c>
      <c r="B40" s="6" t="s">
        <v>202</v>
      </c>
      <c r="C40" s="6" t="s">
        <v>203</v>
      </c>
      <c r="D40" s="6" t="s">
        <v>57</v>
      </c>
      <c r="E40" s="7">
        <v>12647</v>
      </c>
      <c r="F40" s="8">
        <v>136.20819</v>
      </c>
      <c r="G40" s="9">
        <v>1.2814861E-2</v>
      </c>
      <c r="H40" s="167"/>
    </row>
    <row r="41" spans="1:8" x14ac:dyDescent="0.2">
      <c r="A41" s="5">
        <v>35</v>
      </c>
      <c r="B41" s="6" t="s">
        <v>222</v>
      </c>
      <c r="C41" s="6" t="s">
        <v>223</v>
      </c>
      <c r="D41" s="6" t="s">
        <v>971</v>
      </c>
      <c r="E41" s="7">
        <v>41485</v>
      </c>
      <c r="F41" s="8">
        <v>136.07079999999999</v>
      </c>
      <c r="G41" s="9">
        <v>1.2801935E-2</v>
      </c>
      <c r="H41" s="167"/>
    </row>
    <row r="42" spans="1:8" x14ac:dyDescent="0.2">
      <c r="A42" s="5">
        <v>36</v>
      </c>
      <c r="B42" s="6" t="s">
        <v>212</v>
      </c>
      <c r="C42" s="6" t="s">
        <v>213</v>
      </c>
      <c r="D42" s="6" t="s">
        <v>158</v>
      </c>
      <c r="E42" s="7">
        <v>23905</v>
      </c>
      <c r="F42" s="8">
        <v>135.98359249999999</v>
      </c>
      <c r="G42" s="9">
        <v>1.279373E-2</v>
      </c>
      <c r="H42" s="167"/>
    </row>
    <row r="43" spans="1:8" ht="25.5" x14ac:dyDescent="0.2">
      <c r="A43" s="5">
        <v>37</v>
      </c>
      <c r="B43" s="6" t="s">
        <v>483</v>
      </c>
      <c r="C43" s="6" t="s">
        <v>484</v>
      </c>
      <c r="D43" s="6" t="s">
        <v>78</v>
      </c>
      <c r="E43" s="7">
        <v>20000</v>
      </c>
      <c r="F43" s="8">
        <v>122.49</v>
      </c>
      <c r="G43" s="9">
        <v>1.1524214E-2</v>
      </c>
      <c r="H43" s="167"/>
    </row>
    <row r="44" spans="1:8" x14ac:dyDescent="0.2">
      <c r="A44" s="5">
        <v>38</v>
      </c>
      <c r="B44" s="6" t="s">
        <v>232</v>
      </c>
      <c r="C44" s="6" t="s">
        <v>233</v>
      </c>
      <c r="D44" s="6" t="s">
        <v>185</v>
      </c>
      <c r="E44" s="7">
        <v>33876</v>
      </c>
      <c r="F44" s="8">
        <v>121.750344</v>
      </c>
      <c r="G44" s="9">
        <v>1.1454625E-2</v>
      </c>
      <c r="H44" s="167"/>
    </row>
    <row r="45" spans="1:8" x14ac:dyDescent="0.2">
      <c r="A45" s="5">
        <v>39</v>
      </c>
      <c r="B45" s="6" t="s">
        <v>459</v>
      </c>
      <c r="C45" s="6" t="s">
        <v>460</v>
      </c>
      <c r="D45" s="6" t="s">
        <v>29</v>
      </c>
      <c r="E45" s="7">
        <v>19126</v>
      </c>
      <c r="F45" s="8">
        <v>114.478673</v>
      </c>
      <c r="G45" s="9">
        <v>1.0770485E-2</v>
      </c>
      <c r="H45" s="167"/>
    </row>
    <row r="46" spans="1:8" ht="25.5" x14ac:dyDescent="0.2">
      <c r="A46" s="5">
        <v>40</v>
      </c>
      <c r="B46" s="6" t="s">
        <v>241</v>
      </c>
      <c r="C46" s="6" t="s">
        <v>242</v>
      </c>
      <c r="D46" s="6" t="s">
        <v>153</v>
      </c>
      <c r="E46" s="7">
        <v>30331</v>
      </c>
      <c r="F46" s="8">
        <v>113.99906350000001</v>
      </c>
      <c r="G46" s="9">
        <v>1.0725362E-2</v>
      </c>
      <c r="H46" s="167"/>
    </row>
    <row r="47" spans="1:8" x14ac:dyDescent="0.2">
      <c r="A47" s="5">
        <v>41</v>
      </c>
      <c r="B47" s="6" t="s">
        <v>238</v>
      </c>
      <c r="C47" s="6" t="s">
        <v>239</v>
      </c>
      <c r="D47" s="6" t="s">
        <v>240</v>
      </c>
      <c r="E47" s="7">
        <v>13982</v>
      </c>
      <c r="F47" s="8">
        <v>113.967282</v>
      </c>
      <c r="G47" s="9">
        <v>1.0722372000000001E-2</v>
      </c>
      <c r="H47" s="167"/>
    </row>
    <row r="48" spans="1:8" x14ac:dyDescent="0.2">
      <c r="A48" s="5">
        <v>42</v>
      </c>
      <c r="B48" s="6" t="s">
        <v>248</v>
      </c>
      <c r="C48" s="6" t="s">
        <v>249</v>
      </c>
      <c r="D48" s="6" t="s">
        <v>192</v>
      </c>
      <c r="E48" s="7">
        <v>7795</v>
      </c>
      <c r="F48" s="8">
        <v>113.08986</v>
      </c>
      <c r="G48" s="9">
        <v>1.0639822E-2</v>
      </c>
      <c r="H48" s="167"/>
    </row>
    <row r="49" spans="1:8" x14ac:dyDescent="0.2">
      <c r="A49" s="5">
        <v>43</v>
      </c>
      <c r="B49" s="6" t="s">
        <v>485</v>
      </c>
      <c r="C49" s="6" t="s">
        <v>486</v>
      </c>
      <c r="D49" s="6" t="s">
        <v>32</v>
      </c>
      <c r="E49" s="7">
        <v>138600</v>
      </c>
      <c r="F49" s="8">
        <v>112.959</v>
      </c>
      <c r="G49" s="9">
        <v>1.062751E-2</v>
      </c>
      <c r="H49" s="167"/>
    </row>
    <row r="50" spans="1:8" x14ac:dyDescent="0.2">
      <c r="A50" s="5">
        <v>44</v>
      </c>
      <c r="B50" s="6" t="s">
        <v>463</v>
      </c>
      <c r="C50" s="6" t="s">
        <v>464</v>
      </c>
      <c r="D50" s="6" t="s">
        <v>158</v>
      </c>
      <c r="E50" s="7">
        <v>17966</v>
      </c>
      <c r="F50" s="8">
        <v>112.521058</v>
      </c>
      <c r="G50" s="9">
        <v>1.0586307E-2</v>
      </c>
      <c r="H50" s="167"/>
    </row>
    <row r="51" spans="1:8" x14ac:dyDescent="0.2">
      <c r="A51" s="5">
        <v>45</v>
      </c>
      <c r="B51" s="6" t="s">
        <v>252</v>
      </c>
      <c r="C51" s="6" t="s">
        <v>253</v>
      </c>
      <c r="D51" s="6" t="s">
        <v>158</v>
      </c>
      <c r="E51" s="7">
        <v>20448</v>
      </c>
      <c r="F51" s="8">
        <v>112.136832</v>
      </c>
      <c r="G51" s="9">
        <v>1.0550158E-2</v>
      </c>
      <c r="H51" s="167"/>
    </row>
    <row r="52" spans="1:8" ht="25.5" x14ac:dyDescent="0.2">
      <c r="A52" s="5">
        <v>46</v>
      </c>
      <c r="B52" s="6" t="s">
        <v>243</v>
      </c>
      <c r="C52" s="6" t="s">
        <v>244</v>
      </c>
      <c r="D52" s="6" t="s">
        <v>78</v>
      </c>
      <c r="E52" s="7">
        <v>30368</v>
      </c>
      <c r="F52" s="8">
        <v>107.65456</v>
      </c>
      <c r="G52" s="9">
        <v>1.0128453000000001E-2</v>
      </c>
      <c r="H52" s="167"/>
    </row>
    <row r="53" spans="1:8" x14ac:dyDescent="0.2">
      <c r="A53" s="5">
        <v>47</v>
      </c>
      <c r="B53" s="6" t="s">
        <v>195</v>
      </c>
      <c r="C53" s="6" t="s">
        <v>196</v>
      </c>
      <c r="D53" s="6" t="s">
        <v>197</v>
      </c>
      <c r="E53" s="7">
        <v>14087</v>
      </c>
      <c r="F53" s="8">
        <v>106.4202415</v>
      </c>
      <c r="G53" s="9">
        <v>1.0012324E-2</v>
      </c>
      <c r="H53" s="167"/>
    </row>
    <row r="54" spans="1:8" ht="25.5" x14ac:dyDescent="0.2">
      <c r="A54" s="5">
        <v>48</v>
      </c>
      <c r="B54" s="6" t="s">
        <v>487</v>
      </c>
      <c r="C54" s="6" t="s">
        <v>488</v>
      </c>
      <c r="D54" s="6" t="s">
        <v>78</v>
      </c>
      <c r="E54" s="7">
        <v>801</v>
      </c>
      <c r="F54" s="8">
        <v>105.1508745</v>
      </c>
      <c r="G54" s="9">
        <v>9.8928990000000001E-3</v>
      </c>
      <c r="H54" s="167"/>
    </row>
    <row r="55" spans="1:8" x14ac:dyDescent="0.2">
      <c r="A55" s="5">
        <v>49</v>
      </c>
      <c r="B55" s="6" t="s">
        <v>44</v>
      </c>
      <c r="C55" s="6" t="s">
        <v>45</v>
      </c>
      <c r="D55" s="6" t="s">
        <v>29</v>
      </c>
      <c r="E55" s="7">
        <v>5688</v>
      </c>
      <c r="F55" s="8">
        <v>104.47718399999999</v>
      </c>
      <c r="G55" s="9">
        <v>9.8295159999999999E-3</v>
      </c>
      <c r="H55" s="167"/>
    </row>
    <row r="56" spans="1:8" x14ac:dyDescent="0.2">
      <c r="A56" s="5">
        <v>50</v>
      </c>
      <c r="B56" s="6" t="s">
        <v>95</v>
      </c>
      <c r="C56" s="6" t="s">
        <v>96</v>
      </c>
      <c r="D56" s="6" t="s">
        <v>75</v>
      </c>
      <c r="E56" s="7">
        <v>40799</v>
      </c>
      <c r="F56" s="8">
        <v>104.4658395</v>
      </c>
      <c r="G56" s="9">
        <v>9.8284489999999995E-3</v>
      </c>
      <c r="H56" s="167"/>
    </row>
    <row r="57" spans="1:8" x14ac:dyDescent="0.2">
      <c r="A57" s="5">
        <v>51</v>
      </c>
      <c r="B57" s="6" t="s">
        <v>230</v>
      </c>
      <c r="C57" s="6" t="s">
        <v>231</v>
      </c>
      <c r="D57" s="6" t="s">
        <v>75</v>
      </c>
      <c r="E57" s="7">
        <v>17114</v>
      </c>
      <c r="F57" s="8">
        <v>103.300104</v>
      </c>
      <c r="G57" s="9">
        <v>9.718773E-3</v>
      </c>
      <c r="H57" s="167"/>
    </row>
    <row r="58" spans="1:8" x14ac:dyDescent="0.2">
      <c r="A58" s="5">
        <v>52</v>
      </c>
      <c r="B58" s="6" t="s">
        <v>262</v>
      </c>
      <c r="C58" s="6" t="s">
        <v>263</v>
      </c>
      <c r="D58" s="6" t="s">
        <v>185</v>
      </c>
      <c r="E58" s="7">
        <v>16139</v>
      </c>
      <c r="F58" s="8">
        <v>91.774423499999997</v>
      </c>
      <c r="G58" s="9">
        <v>8.634404E-3</v>
      </c>
      <c r="H58" s="167"/>
    </row>
    <row r="59" spans="1:8" x14ac:dyDescent="0.2">
      <c r="A59" s="5">
        <v>53</v>
      </c>
      <c r="B59" s="6" t="s">
        <v>245</v>
      </c>
      <c r="C59" s="6" t="s">
        <v>246</v>
      </c>
      <c r="D59" s="6" t="s">
        <v>247</v>
      </c>
      <c r="E59" s="7">
        <v>54852</v>
      </c>
      <c r="F59" s="8">
        <v>89.957279999999997</v>
      </c>
      <c r="G59" s="9">
        <v>8.4634410000000004E-3</v>
      </c>
      <c r="H59" s="167"/>
    </row>
    <row r="60" spans="1:8" x14ac:dyDescent="0.2">
      <c r="A60" s="5">
        <v>54</v>
      </c>
      <c r="B60" s="6" t="s">
        <v>260</v>
      </c>
      <c r="C60" s="6" t="s">
        <v>926</v>
      </c>
      <c r="D60" s="6" t="s">
        <v>261</v>
      </c>
      <c r="E60" s="7">
        <v>36994</v>
      </c>
      <c r="F60" s="8">
        <v>88.175199000000006</v>
      </c>
      <c r="G60" s="9">
        <v>8.2957780000000002E-3</v>
      </c>
      <c r="H60" s="167"/>
    </row>
    <row r="61" spans="1:8" x14ac:dyDescent="0.2">
      <c r="A61" s="5">
        <v>55</v>
      </c>
      <c r="B61" s="6" t="s">
        <v>270</v>
      </c>
      <c r="C61" s="6" t="s">
        <v>271</v>
      </c>
      <c r="D61" s="6" t="s">
        <v>75</v>
      </c>
      <c r="E61" s="7">
        <v>51244</v>
      </c>
      <c r="F61" s="8">
        <v>81.016763999999995</v>
      </c>
      <c r="G61" s="9">
        <v>7.6222920000000001E-3</v>
      </c>
      <c r="H61" s="167"/>
    </row>
    <row r="62" spans="1:8" ht="25.5" x14ac:dyDescent="0.2">
      <c r="A62" s="5">
        <v>56</v>
      </c>
      <c r="B62" s="6" t="s">
        <v>256</v>
      </c>
      <c r="C62" s="6" t="s">
        <v>257</v>
      </c>
      <c r="D62" s="6" t="s">
        <v>975</v>
      </c>
      <c r="E62" s="7">
        <v>92584</v>
      </c>
      <c r="F62" s="8">
        <v>78.557524000000001</v>
      </c>
      <c r="G62" s="9">
        <v>7.3909190000000001E-3</v>
      </c>
      <c r="H62" s="167"/>
    </row>
    <row r="63" spans="1:8" x14ac:dyDescent="0.2">
      <c r="A63" s="5">
        <v>57</v>
      </c>
      <c r="B63" s="6" t="s">
        <v>272</v>
      </c>
      <c r="C63" s="6" t="s">
        <v>273</v>
      </c>
      <c r="D63" s="6" t="s">
        <v>972</v>
      </c>
      <c r="E63" s="7">
        <v>4651</v>
      </c>
      <c r="F63" s="8">
        <v>72.043989999999994</v>
      </c>
      <c r="G63" s="9">
        <v>6.7781070000000002E-3</v>
      </c>
      <c r="H63" s="167"/>
    </row>
    <row r="64" spans="1:8" x14ac:dyDescent="0.2">
      <c r="A64" s="5">
        <v>58</v>
      </c>
      <c r="B64" s="6" t="s">
        <v>278</v>
      </c>
      <c r="C64" s="6" t="s">
        <v>279</v>
      </c>
      <c r="D64" s="6" t="s">
        <v>192</v>
      </c>
      <c r="E64" s="7">
        <v>7006</v>
      </c>
      <c r="F64" s="8">
        <v>66.634066000000004</v>
      </c>
      <c r="G64" s="9">
        <v>6.2691259999999999E-3</v>
      </c>
      <c r="H64" s="167"/>
    </row>
    <row r="65" spans="1:8" x14ac:dyDescent="0.2">
      <c r="A65" s="5">
        <v>59</v>
      </c>
      <c r="B65" s="6" t="s">
        <v>280</v>
      </c>
      <c r="C65" s="6" t="s">
        <v>281</v>
      </c>
      <c r="D65" s="6" t="s">
        <v>971</v>
      </c>
      <c r="E65" s="7">
        <v>155931</v>
      </c>
      <c r="F65" s="8">
        <v>65.179158000000001</v>
      </c>
      <c r="G65" s="9">
        <v>6.1322440000000002E-3</v>
      </c>
      <c r="H65" s="167"/>
    </row>
    <row r="66" spans="1:8" x14ac:dyDescent="0.2">
      <c r="A66" s="5">
        <v>60</v>
      </c>
      <c r="B66" s="6" t="s">
        <v>276</v>
      </c>
      <c r="C66" s="6" t="s">
        <v>277</v>
      </c>
      <c r="D66" s="6" t="s">
        <v>167</v>
      </c>
      <c r="E66" s="7">
        <v>10259</v>
      </c>
      <c r="F66" s="8">
        <v>56.870766500000002</v>
      </c>
      <c r="G66" s="9">
        <v>5.3505660000000002E-3</v>
      </c>
      <c r="H66" s="167"/>
    </row>
    <row r="67" spans="1:8" x14ac:dyDescent="0.2">
      <c r="A67" s="5">
        <v>61</v>
      </c>
      <c r="B67" s="6" t="s">
        <v>455</v>
      </c>
      <c r="C67" s="6" t="s">
        <v>456</v>
      </c>
      <c r="D67" s="6" t="s">
        <v>75</v>
      </c>
      <c r="E67" s="7">
        <v>6000</v>
      </c>
      <c r="F67" s="8">
        <v>49.445999999999998</v>
      </c>
      <c r="G67" s="9">
        <v>4.6520229999999999E-3</v>
      </c>
      <c r="H67" s="167"/>
    </row>
    <row r="68" spans="1:8" x14ac:dyDescent="0.2">
      <c r="A68" s="5">
        <v>62</v>
      </c>
      <c r="B68" s="6" t="s">
        <v>282</v>
      </c>
      <c r="C68" s="6" t="s">
        <v>283</v>
      </c>
      <c r="D68" s="6" t="s">
        <v>284</v>
      </c>
      <c r="E68" s="7">
        <v>21925</v>
      </c>
      <c r="F68" s="8">
        <v>31.791250000000002</v>
      </c>
      <c r="G68" s="9">
        <v>2.9910129999999998E-3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0">
        <v>10426.639961000001</v>
      </c>
      <c r="G69" s="11">
        <v>0.98096848299999995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105</v>
      </c>
      <c r="D71" s="3" t="s">
        <v>10</v>
      </c>
      <c r="E71" s="3" t="s">
        <v>10</v>
      </c>
      <c r="F71" s="3" t="s">
        <v>10</v>
      </c>
      <c r="G71" s="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106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110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111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112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113</v>
      </c>
      <c r="D86" s="3" t="s">
        <v>10</v>
      </c>
      <c r="E86" s="3" t="s">
        <v>10</v>
      </c>
      <c r="F86" s="10">
        <v>10426.639961000001</v>
      </c>
      <c r="G86" s="11">
        <v>0.98096848299999995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114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ht="25.5" x14ac:dyDescent="0.2">
      <c r="A89" s="3" t="s">
        <v>10</v>
      </c>
      <c r="B89" s="3" t="s">
        <v>10</v>
      </c>
      <c r="C89" s="4" t="s">
        <v>12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115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116</v>
      </c>
      <c r="D95" s="3" t="s">
        <v>10</v>
      </c>
      <c r="E95" s="3" t="s">
        <v>10</v>
      </c>
      <c r="F95" s="3" t="s">
        <v>10</v>
      </c>
      <c r="G95" s="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117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118</v>
      </c>
      <c r="D101" s="3" t="s">
        <v>10</v>
      </c>
      <c r="E101" s="3" t="s">
        <v>10</v>
      </c>
      <c r="F101" s="10">
        <v>0</v>
      </c>
      <c r="G101" s="11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119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120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121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122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123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5">
        <v>1</v>
      </c>
      <c r="B114" s="6"/>
      <c r="C114" s="6" t="s">
        <v>124</v>
      </c>
      <c r="D114" s="6"/>
      <c r="E114" s="16" t="s">
        <v>10</v>
      </c>
      <c r="F114" s="8">
        <v>199.98458719999999</v>
      </c>
      <c r="G114" s="9">
        <v>1.8815129E-2</v>
      </c>
      <c r="H114" s="108">
        <v>3.23</v>
      </c>
    </row>
    <row r="115" spans="1:8" x14ac:dyDescent="0.2">
      <c r="A115" s="5">
        <v>2</v>
      </c>
      <c r="B115" s="6"/>
      <c r="C115" s="6" t="s">
        <v>125</v>
      </c>
      <c r="D115" s="6"/>
      <c r="E115" s="16" t="s">
        <v>10</v>
      </c>
      <c r="F115" s="8">
        <v>56.173670399999999</v>
      </c>
      <c r="G115" s="9">
        <v>5.2849819999999997E-3</v>
      </c>
      <c r="H115" s="108">
        <v>3.35</v>
      </c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0">
        <v>256.15825760000001</v>
      </c>
      <c r="G116" s="11">
        <v>2.4100111E-2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126</v>
      </c>
      <c r="D118" s="3" t="s">
        <v>10</v>
      </c>
      <c r="E118" s="3" t="s">
        <v>10</v>
      </c>
      <c r="F118" s="10">
        <v>256.15825760000001</v>
      </c>
      <c r="G118" s="11">
        <v>2.4100111E-2</v>
      </c>
      <c r="H118" s="167"/>
    </row>
    <row r="119" spans="1:8" x14ac:dyDescent="0.2">
      <c r="A119" s="3" t="s">
        <v>10</v>
      </c>
      <c r="B119" s="3" t="s">
        <v>10</v>
      </c>
      <c r="C119" s="13" t="s">
        <v>10</v>
      </c>
      <c r="D119" s="3" t="s">
        <v>10</v>
      </c>
      <c r="E119" s="3" t="s">
        <v>10</v>
      </c>
      <c r="F119" s="3" t="s">
        <v>10</v>
      </c>
      <c r="G119" s="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127</v>
      </c>
      <c r="D120" s="3" t="s">
        <v>10</v>
      </c>
      <c r="E120" s="3" t="s">
        <v>10</v>
      </c>
      <c r="F120" s="3" t="s">
        <v>10</v>
      </c>
      <c r="G120" s="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128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129</v>
      </c>
      <c r="D124" s="3" t="s">
        <v>10</v>
      </c>
      <c r="E124" s="3" t="s">
        <v>10</v>
      </c>
      <c r="F124" s="3" t="s">
        <v>10</v>
      </c>
      <c r="G124" s="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130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4">
        <v>0</v>
      </c>
      <c r="G126" s="15">
        <v>0</v>
      </c>
      <c r="H126" s="167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3" t="s">
        <v>10</v>
      </c>
      <c r="B128" s="3" t="s">
        <v>10</v>
      </c>
      <c r="C128" s="12" t="s">
        <v>10</v>
      </c>
      <c r="D128" s="3" t="s">
        <v>10</v>
      </c>
      <c r="E128" s="3" t="s">
        <v>10</v>
      </c>
      <c r="F128" s="13" t="s">
        <v>10</v>
      </c>
      <c r="G128" s="13" t="s">
        <v>10</v>
      </c>
      <c r="H128" s="167"/>
    </row>
    <row r="129" spans="1:8" ht="25.5" x14ac:dyDescent="0.2">
      <c r="A129" s="3" t="s">
        <v>10</v>
      </c>
      <c r="B129" s="3" t="s">
        <v>10</v>
      </c>
      <c r="C129" s="4" t="s">
        <v>131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6" t="s">
        <v>10</v>
      </c>
      <c r="C132" s="6" t="s">
        <v>10</v>
      </c>
      <c r="D132" s="4" t="s">
        <v>10</v>
      </c>
      <c r="E132" s="3" t="s">
        <v>10</v>
      </c>
      <c r="F132" s="6" t="s">
        <v>10</v>
      </c>
      <c r="G132" s="16" t="s">
        <v>10</v>
      </c>
      <c r="H132" s="167"/>
    </row>
    <row r="133" spans="1:8" x14ac:dyDescent="0.2">
      <c r="A133" s="16" t="s">
        <v>10</v>
      </c>
      <c r="B133" s="6" t="s">
        <v>10</v>
      </c>
      <c r="C133" s="6" t="s">
        <v>132</v>
      </c>
      <c r="D133" s="6" t="s">
        <v>10</v>
      </c>
      <c r="E133" s="16" t="s">
        <v>10</v>
      </c>
      <c r="F133" s="8">
        <v>-53.873679719999998</v>
      </c>
      <c r="G133" s="9">
        <v>-5.0685920000000002E-3</v>
      </c>
      <c r="H133" s="167"/>
    </row>
    <row r="134" spans="1:8" x14ac:dyDescent="0.2">
      <c r="A134" s="12" t="s">
        <v>10</v>
      </c>
      <c r="B134" s="12" t="s">
        <v>10</v>
      </c>
      <c r="C134" s="4" t="s">
        <v>133</v>
      </c>
      <c r="D134" s="17" t="s">
        <v>10</v>
      </c>
      <c r="E134" s="17" t="s">
        <v>10</v>
      </c>
      <c r="F134" s="10">
        <v>10628.924538879999</v>
      </c>
      <c r="G134" s="11">
        <v>1.0000000019999999</v>
      </c>
      <c r="H134" s="167"/>
    </row>
    <row r="135" spans="1:8" ht="14.1" customHeight="1" x14ac:dyDescent="0.2">
      <c r="A135" s="18" t="s">
        <v>10</v>
      </c>
      <c r="B135" s="18" t="s">
        <v>10</v>
      </c>
      <c r="C135" s="18" t="s">
        <v>10</v>
      </c>
      <c r="D135" s="19" t="s">
        <v>10</v>
      </c>
      <c r="E135" s="19" t="s">
        <v>10</v>
      </c>
      <c r="F135" s="19" t="s">
        <v>10</v>
      </c>
      <c r="G135" s="19" t="s">
        <v>10</v>
      </c>
    </row>
    <row r="136" spans="1:8" ht="14.1" customHeight="1" x14ac:dyDescent="0.2">
      <c r="A136" s="20" t="s">
        <v>10</v>
      </c>
      <c r="B136" s="208" t="s">
        <v>10</v>
      </c>
      <c r="C136" s="208"/>
      <c r="D136" s="208"/>
      <c r="E136" s="208"/>
      <c r="F136" s="208"/>
      <c r="G136" s="22" t="s">
        <v>10</v>
      </c>
    </row>
    <row r="137" spans="1:8" ht="14.1" customHeight="1" x14ac:dyDescent="0.2">
      <c r="A137" s="20" t="s">
        <v>10</v>
      </c>
      <c r="B137" s="208" t="s">
        <v>10</v>
      </c>
      <c r="C137" s="208"/>
      <c r="D137" s="208"/>
      <c r="E137" s="208"/>
      <c r="F137" s="208"/>
      <c r="G137" s="22" t="s">
        <v>10</v>
      </c>
    </row>
    <row r="138" spans="1:8" ht="14.1" customHeight="1" x14ac:dyDescent="0.2">
      <c r="A138" s="20" t="s">
        <v>10</v>
      </c>
      <c r="B138" s="20" t="s">
        <v>10</v>
      </c>
      <c r="C138" s="20" t="s">
        <v>10</v>
      </c>
      <c r="D138" s="22" t="s">
        <v>10</v>
      </c>
      <c r="E138" s="22" t="s">
        <v>10</v>
      </c>
      <c r="F138" s="22" t="s">
        <v>10</v>
      </c>
      <c r="G138" s="22" t="s">
        <v>10</v>
      </c>
    </row>
    <row r="139" spans="1:8" ht="14.1" customHeight="1" x14ac:dyDescent="0.2">
      <c r="A139" s="20" t="s">
        <v>10</v>
      </c>
      <c r="B139" s="206" t="s">
        <v>134</v>
      </c>
      <c r="C139" s="207"/>
      <c r="D139" s="13" t="s">
        <v>10</v>
      </c>
      <c r="E139" s="23" t="s">
        <v>10</v>
      </c>
      <c r="F139" s="22" t="s">
        <v>10</v>
      </c>
      <c r="G139" s="22" t="s">
        <v>10</v>
      </c>
    </row>
    <row r="140" spans="1:8" ht="29.1" customHeight="1" x14ac:dyDescent="0.2">
      <c r="A140" s="20" t="s">
        <v>10</v>
      </c>
      <c r="B140" s="213" t="s">
        <v>135</v>
      </c>
      <c r="C140" s="214"/>
      <c r="D140" s="4" t="s">
        <v>136</v>
      </c>
      <c r="E140" s="23" t="s">
        <v>10</v>
      </c>
      <c r="F140" s="22" t="s">
        <v>10</v>
      </c>
      <c r="G140" s="22" t="s">
        <v>10</v>
      </c>
    </row>
    <row r="141" spans="1:8" ht="17.100000000000001" customHeight="1" x14ac:dyDescent="0.2">
      <c r="A141" s="20" t="s">
        <v>10</v>
      </c>
      <c r="B141" s="213" t="s">
        <v>137</v>
      </c>
      <c r="C141" s="214"/>
      <c r="D141" s="4" t="s">
        <v>136</v>
      </c>
      <c r="E141" s="23" t="s">
        <v>10</v>
      </c>
      <c r="F141" s="22" t="s">
        <v>10</v>
      </c>
      <c r="G141" s="22" t="s">
        <v>10</v>
      </c>
    </row>
    <row r="142" spans="1:8" ht="17.100000000000001" customHeight="1" x14ac:dyDescent="0.2">
      <c r="A142" s="20" t="s">
        <v>10</v>
      </c>
      <c r="B142" s="213" t="s">
        <v>138</v>
      </c>
      <c r="C142" s="214"/>
      <c r="D142" s="13" t="s">
        <v>10</v>
      </c>
      <c r="E142" s="23" t="s">
        <v>10</v>
      </c>
      <c r="F142" s="22" t="s">
        <v>10</v>
      </c>
      <c r="G142" s="22" t="s">
        <v>10</v>
      </c>
    </row>
    <row r="143" spans="1:8" s="20" customFormat="1" ht="17.100000000000001" customHeight="1" x14ac:dyDescent="0.2"/>
    <row r="144" spans="1:8" x14ac:dyDescent="0.2">
      <c r="A144" s="24" t="s">
        <v>10</v>
      </c>
      <c r="B144" s="140" t="s">
        <v>10</v>
      </c>
      <c r="C144" s="140" t="s">
        <v>139</v>
      </c>
      <c r="D144" s="140" t="s">
        <v>140</v>
      </c>
      <c r="E144" s="24" t="s">
        <v>10</v>
      </c>
      <c r="F144" s="24" t="s">
        <v>10</v>
      </c>
      <c r="G144" s="24" t="s">
        <v>10</v>
      </c>
    </row>
    <row r="145" spans="1:8" ht="18" customHeight="1" x14ac:dyDescent="0.2">
      <c r="A145" s="24" t="s">
        <v>10</v>
      </c>
      <c r="B145" s="25" t="s">
        <v>141</v>
      </c>
      <c r="C145" s="25" t="s">
        <v>142</v>
      </c>
      <c r="D145" s="25" t="s">
        <v>143</v>
      </c>
      <c r="E145" s="24" t="s">
        <v>10</v>
      </c>
      <c r="F145" s="24" t="s">
        <v>10</v>
      </c>
      <c r="G145" s="24" t="s">
        <v>10</v>
      </c>
    </row>
    <row r="146" spans="1:8" ht="17.100000000000001" customHeight="1" x14ac:dyDescent="0.2">
      <c r="A146" s="24" t="s">
        <v>10</v>
      </c>
      <c r="B146" s="6" t="s">
        <v>144</v>
      </c>
      <c r="C146" s="26">
        <v>15.2074</v>
      </c>
      <c r="D146" s="26">
        <v>16.702500000000001</v>
      </c>
      <c r="E146" s="24" t="s">
        <v>10</v>
      </c>
      <c r="F146" s="21" t="s">
        <v>10</v>
      </c>
      <c r="G146" s="27" t="s">
        <v>10</v>
      </c>
    </row>
    <row r="147" spans="1:8" ht="17.100000000000001" customHeight="1" x14ac:dyDescent="0.2">
      <c r="A147" s="24" t="s">
        <v>10</v>
      </c>
      <c r="B147" s="6" t="s">
        <v>917</v>
      </c>
      <c r="C147" s="26">
        <v>15.2074</v>
      </c>
      <c r="D147" s="26">
        <v>15.677</v>
      </c>
      <c r="E147" s="24" t="s">
        <v>10</v>
      </c>
      <c r="F147" s="21" t="s">
        <v>10</v>
      </c>
      <c r="G147" s="27" t="s">
        <v>10</v>
      </c>
    </row>
    <row r="148" spans="1:8" ht="17.100000000000001" customHeight="1" x14ac:dyDescent="0.2">
      <c r="A148" s="24" t="s">
        <v>10</v>
      </c>
      <c r="B148" s="6" t="s">
        <v>145</v>
      </c>
      <c r="C148" s="26">
        <v>15.017200000000001</v>
      </c>
      <c r="D148" s="26">
        <v>16.4879</v>
      </c>
      <c r="E148" s="24" t="s">
        <v>10</v>
      </c>
      <c r="F148" s="21" t="s">
        <v>10</v>
      </c>
      <c r="G148" s="27" t="s">
        <v>10</v>
      </c>
    </row>
    <row r="149" spans="1:8" ht="17.100000000000001" customHeight="1" x14ac:dyDescent="0.2">
      <c r="A149" s="24" t="s">
        <v>10</v>
      </c>
      <c r="B149" s="6" t="s">
        <v>918</v>
      </c>
      <c r="C149" s="26">
        <v>15.017300000000001</v>
      </c>
      <c r="D149" s="26">
        <v>15.4625</v>
      </c>
      <c r="E149" s="24" t="s">
        <v>10</v>
      </c>
      <c r="F149" s="21" t="s">
        <v>10</v>
      </c>
      <c r="G149" s="27" t="s">
        <v>10</v>
      </c>
    </row>
    <row r="150" spans="1:8" ht="14.1" customHeight="1" x14ac:dyDescent="0.2">
      <c r="A150" s="24" t="s">
        <v>10</v>
      </c>
      <c r="B150" s="24" t="s">
        <v>10</v>
      </c>
      <c r="C150" s="24" t="s">
        <v>10</v>
      </c>
      <c r="D150" s="24" t="s">
        <v>10</v>
      </c>
      <c r="E150" s="24" t="s">
        <v>10</v>
      </c>
      <c r="F150" s="24" t="s">
        <v>10</v>
      </c>
      <c r="G150" s="24" t="s">
        <v>10</v>
      </c>
    </row>
    <row r="151" spans="1:8" ht="29.1" customHeight="1" x14ac:dyDescent="0.2">
      <c r="A151" s="24" t="s">
        <v>10</v>
      </c>
      <c r="B151" s="220" t="s">
        <v>999</v>
      </c>
      <c r="C151" s="220"/>
      <c r="D151" s="145"/>
      <c r="E151" s="24" t="s">
        <v>10</v>
      </c>
      <c r="F151" s="24" t="s">
        <v>10</v>
      </c>
      <c r="G151" s="24" t="s">
        <v>10</v>
      </c>
    </row>
    <row r="152" spans="1:8" s="144" customFormat="1" ht="15" x14ac:dyDescent="0.2">
      <c r="A152" s="141" t="s">
        <v>10</v>
      </c>
      <c r="B152" s="142" t="s">
        <v>141</v>
      </c>
      <c r="C152" s="142" t="s">
        <v>827</v>
      </c>
      <c r="D152" s="142" t="s">
        <v>828</v>
      </c>
      <c r="E152" s="141" t="s">
        <v>10</v>
      </c>
      <c r="F152" s="141" t="s">
        <v>10</v>
      </c>
      <c r="G152" s="141" t="s">
        <v>10</v>
      </c>
      <c r="H152" s="143"/>
    </row>
    <row r="153" spans="1:8" ht="17.100000000000001" customHeight="1" x14ac:dyDescent="0.2">
      <c r="A153" s="24" t="s">
        <v>10</v>
      </c>
      <c r="B153" s="146" t="s">
        <v>917</v>
      </c>
      <c r="C153" s="147">
        <v>1</v>
      </c>
      <c r="D153" s="148" t="s">
        <v>10</v>
      </c>
      <c r="E153" s="24" t="s">
        <v>10</v>
      </c>
      <c r="F153" s="21" t="s">
        <v>10</v>
      </c>
      <c r="G153" s="27" t="s">
        <v>10</v>
      </c>
    </row>
    <row r="154" spans="1:8" ht="17.100000000000001" customHeight="1" x14ac:dyDescent="0.2">
      <c r="A154" s="24" t="s">
        <v>10</v>
      </c>
      <c r="B154" s="146" t="s">
        <v>918</v>
      </c>
      <c r="C154" s="147">
        <v>1</v>
      </c>
      <c r="D154" s="148" t="s">
        <v>10</v>
      </c>
      <c r="E154" s="24" t="s">
        <v>10</v>
      </c>
      <c r="F154" s="21" t="s">
        <v>10</v>
      </c>
      <c r="G154" s="27" t="s">
        <v>10</v>
      </c>
    </row>
    <row r="155" spans="1:8" s="155" customFormat="1" ht="15" x14ac:dyDescent="0.2">
      <c r="A155" s="176" t="s">
        <v>10</v>
      </c>
      <c r="B155" s="177"/>
      <c r="C155" s="177"/>
      <c r="D155" s="178" t="s">
        <v>10</v>
      </c>
      <c r="E155" s="172" t="s">
        <v>10</v>
      </c>
      <c r="F155" s="172" t="s">
        <v>10</v>
      </c>
      <c r="G155" s="176" t="s">
        <v>10</v>
      </c>
      <c r="H155" s="161"/>
    </row>
    <row r="156" spans="1:8" s="175" customFormat="1" x14ac:dyDescent="0.2">
      <c r="B156" s="221" t="s">
        <v>919</v>
      </c>
      <c r="C156" s="221"/>
      <c r="D156" s="221"/>
      <c r="E156" s="221"/>
      <c r="F156" s="221"/>
    </row>
    <row r="157" spans="1:8" s="155" customFormat="1" ht="15" x14ac:dyDescent="0.2">
      <c r="A157" s="176" t="s">
        <v>10</v>
      </c>
      <c r="B157" s="163" t="s">
        <v>10</v>
      </c>
      <c r="C157" s="163" t="s">
        <v>10</v>
      </c>
      <c r="D157" s="172" t="s">
        <v>10</v>
      </c>
      <c r="E157" s="172" t="s">
        <v>10</v>
      </c>
      <c r="F157" s="172" t="s">
        <v>10</v>
      </c>
      <c r="G157" s="176" t="s">
        <v>10</v>
      </c>
      <c r="H157" s="161"/>
    </row>
    <row r="158" spans="1:8" ht="14.1" customHeight="1" x14ac:dyDescent="0.2">
      <c r="A158" s="24" t="s">
        <v>10</v>
      </c>
      <c r="B158" s="21" t="s">
        <v>10</v>
      </c>
      <c r="C158" s="21" t="s">
        <v>10</v>
      </c>
      <c r="D158" s="24" t="s">
        <v>10</v>
      </c>
      <c r="E158" s="24" t="s">
        <v>10</v>
      </c>
      <c r="F158" s="24" t="s">
        <v>10</v>
      </c>
      <c r="G158" s="24" t="s">
        <v>10</v>
      </c>
    </row>
    <row r="159" spans="1:8" ht="29.1" customHeight="1" x14ac:dyDescent="0.2">
      <c r="A159" s="24" t="s">
        <v>10</v>
      </c>
      <c r="B159" s="213" t="s">
        <v>146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8" ht="29.1" customHeight="1" x14ac:dyDescent="0.2">
      <c r="A160" s="24" t="s">
        <v>10</v>
      </c>
      <c r="B160" s="213" t="s">
        <v>147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  <row r="161" spans="1:7" ht="17.100000000000001" customHeight="1" x14ac:dyDescent="0.2">
      <c r="A161" s="24" t="s">
        <v>10</v>
      </c>
      <c r="B161" s="213" t="s">
        <v>148</v>
      </c>
      <c r="C161" s="214"/>
      <c r="D161" s="30">
        <v>0.49819299476325468</v>
      </c>
      <c r="E161" s="24" t="s">
        <v>10</v>
      </c>
      <c r="F161" s="21" t="s">
        <v>10</v>
      </c>
      <c r="G161" s="27" t="s">
        <v>10</v>
      </c>
    </row>
    <row r="162" spans="1:7" ht="17.100000000000001" customHeight="1" x14ac:dyDescent="0.2">
      <c r="A162" s="24" t="s">
        <v>10</v>
      </c>
      <c r="B162" s="213" t="s">
        <v>149</v>
      </c>
      <c r="C162" s="214"/>
      <c r="D162" s="4" t="s">
        <v>136</v>
      </c>
      <c r="E162" s="24" t="s">
        <v>10</v>
      </c>
      <c r="F162" s="24" t="s">
        <v>10</v>
      </c>
      <c r="G162" s="24" t="s">
        <v>10</v>
      </c>
    </row>
  </sheetData>
  <mergeCells count="15">
    <mergeCell ref="B161:C161"/>
    <mergeCell ref="B162:C162"/>
    <mergeCell ref="B140:C140"/>
    <mergeCell ref="B141:C141"/>
    <mergeCell ref="B142:C142"/>
    <mergeCell ref="B151:C151"/>
    <mergeCell ref="B159:C159"/>
    <mergeCell ref="B160:C160"/>
    <mergeCell ref="B156:F156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27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0" max="10" width="9.57031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489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1900078</v>
      </c>
      <c r="F7" s="8">
        <v>12592.766944999999</v>
      </c>
      <c r="G7" s="9">
        <v>9.8908266999999994E-2</v>
      </c>
      <c r="H7" s="167"/>
    </row>
    <row r="8" spans="1:8" x14ac:dyDescent="0.2">
      <c r="A8" s="5">
        <v>2</v>
      </c>
      <c r="B8" s="6" t="s">
        <v>399</v>
      </c>
      <c r="C8" s="6" t="s">
        <v>400</v>
      </c>
      <c r="D8" s="6" t="s">
        <v>167</v>
      </c>
      <c r="E8" s="7">
        <v>854970</v>
      </c>
      <c r="F8" s="8">
        <v>11916.144375</v>
      </c>
      <c r="G8" s="9">
        <v>9.3593821999999993E-2</v>
      </c>
      <c r="H8" s="167"/>
    </row>
    <row r="9" spans="1:8" x14ac:dyDescent="0.2">
      <c r="A9" s="5">
        <v>3</v>
      </c>
      <c r="B9" s="6" t="s">
        <v>51</v>
      </c>
      <c r="C9" s="6" t="s">
        <v>52</v>
      </c>
      <c r="D9" s="6" t="s">
        <v>23</v>
      </c>
      <c r="E9" s="7">
        <v>780385</v>
      </c>
      <c r="F9" s="8">
        <v>11829.466022500001</v>
      </c>
      <c r="G9" s="9">
        <v>9.2913018E-2</v>
      </c>
      <c r="H9" s="167"/>
    </row>
    <row r="10" spans="1:8" x14ac:dyDescent="0.2">
      <c r="A10" s="5">
        <v>4</v>
      </c>
      <c r="B10" s="6" t="s">
        <v>16</v>
      </c>
      <c r="C10" s="6" t="s">
        <v>17</v>
      </c>
      <c r="D10" s="6" t="s">
        <v>18</v>
      </c>
      <c r="E10" s="7">
        <v>399090</v>
      </c>
      <c r="F10" s="8">
        <v>8621.5412699999997</v>
      </c>
      <c r="G10" s="9">
        <v>6.7716786000000001E-2</v>
      </c>
      <c r="H10" s="167"/>
    </row>
    <row r="11" spans="1:8" x14ac:dyDescent="0.2">
      <c r="A11" s="5">
        <v>5</v>
      </c>
      <c r="B11" s="6" t="s">
        <v>13</v>
      </c>
      <c r="C11" s="6" t="s">
        <v>14</v>
      </c>
      <c r="D11" s="6" t="s">
        <v>15</v>
      </c>
      <c r="E11" s="7">
        <v>471874</v>
      </c>
      <c r="F11" s="8">
        <v>6925.6946980000002</v>
      </c>
      <c r="G11" s="9">
        <v>5.4396977999999999E-2</v>
      </c>
      <c r="H11" s="167"/>
    </row>
    <row r="12" spans="1:8" x14ac:dyDescent="0.2">
      <c r="A12" s="5">
        <v>6</v>
      </c>
      <c r="B12" s="6" t="s">
        <v>403</v>
      </c>
      <c r="C12" s="6" t="s">
        <v>404</v>
      </c>
      <c r="D12" s="6" t="s">
        <v>23</v>
      </c>
      <c r="E12" s="7">
        <v>1616281</v>
      </c>
      <c r="F12" s="8">
        <v>6858.6884234999998</v>
      </c>
      <c r="G12" s="9">
        <v>5.3870686000000001E-2</v>
      </c>
      <c r="H12" s="167"/>
    </row>
    <row r="13" spans="1:8" x14ac:dyDescent="0.2">
      <c r="A13" s="5">
        <v>7</v>
      </c>
      <c r="B13" s="6" t="s">
        <v>370</v>
      </c>
      <c r="C13" s="6" t="s">
        <v>371</v>
      </c>
      <c r="D13" s="6" t="s">
        <v>23</v>
      </c>
      <c r="E13" s="7">
        <v>901060</v>
      </c>
      <c r="F13" s="8">
        <v>6764.2574199999999</v>
      </c>
      <c r="G13" s="9">
        <v>5.3128989000000001E-2</v>
      </c>
      <c r="H13" s="167"/>
    </row>
    <row r="14" spans="1:8" x14ac:dyDescent="0.2">
      <c r="A14" s="5">
        <v>8</v>
      </c>
      <c r="B14" s="6" t="s">
        <v>413</v>
      </c>
      <c r="C14" s="6" t="s">
        <v>414</v>
      </c>
      <c r="D14" s="6" t="s">
        <v>167</v>
      </c>
      <c r="E14" s="7">
        <v>209248</v>
      </c>
      <c r="F14" s="8">
        <v>6610.4581920000001</v>
      </c>
      <c r="G14" s="9">
        <v>5.1920992999999999E-2</v>
      </c>
      <c r="H14" s="167"/>
    </row>
    <row r="15" spans="1:8" ht="25.5" x14ac:dyDescent="0.2">
      <c r="A15" s="5">
        <v>9</v>
      </c>
      <c r="B15" s="6" t="s">
        <v>401</v>
      </c>
      <c r="C15" s="6" t="s">
        <v>402</v>
      </c>
      <c r="D15" s="6" t="s">
        <v>158</v>
      </c>
      <c r="E15" s="7">
        <v>233917</v>
      </c>
      <c r="F15" s="8">
        <v>5971.5501345000002</v>
      </c>
      <c r="G15" s="9">
        <v>4.6902772000000002E-2</v>
      </c>
      <c r="H15" s="167"/>
    </row>
    <row r="16" spans="1:8" x14ac:dyDescent="0.2">
      <c r="A16" s="5">
        <v>10</v>
      </c>
      <c r="B16" s="6" t="s">
        <v>366</v>
      </c>
      <c r="C16" s="6" t="s">
        <v>367</v>
      </c>
      <c r="D16" s="6" t="s">
        <v>167</v>
      </c>
      <c r="E16" s="7">
        <v>580857</v>
      </c>
      <c r="F16" s="8">
        <v>5490.2603639999998</v>
      </c>
      <c r="G16" s="9">
        <v>4.3122542999999999E-2</v>
      </c>
      <c r="H16" s="167"/>
    </row>
    <row r="17" spans="1:8" x14ac:dyDescent="0.2">
      <c r="A17" s="5">
        <v>11</v>
      </c>
      <c r="B17" s="6" t="s">
        <v>61</v>
      </c>
      <c r="C17" s="6" t="s">
        <v>62</v>
      </c>
      <c r="D17" s="6" t="s">
        <v>18</v>
      </c>
      <c r="E17" s="7">
        <v>1105245</v>
      </c>
      <c r="F17" s="8">
        <v>5216.7564000000002</v>
      </c>
      <c r="G17" s="9">
        <v>4.0974341999999997E-2</v>
      </c>
      <c r="H17" s="167"/>
    </row>
    <row r="18" spans="1:8" x14ac:dyDescent="0.2">
      <c r="A18" s="5">
        <v>12</v>
      </c>
      <c r="B18" s="6" t="s">
        <v>415</v>
      </c>
      <c r="C18" s="6" t="s">
        <v>416</v>
      </c>
      <c r="D18" s="6" t="s">
        <v>192</v>
      </c>
      <c r="E18" s="7">
        <v>555225</v>
      </c>
      <c r="F18" s="8">
        <v>3710.568675</v>
      </c>
      <c r="G18" s="9">
        <v>2.9144184E-2</v>
      </c>
      <c r="H18" s="167"/>
    </row>
    <row r="19" spans="1:8" x14ac:dyDescent="0.2">
      <c r="A19" s="5">
        <v>13</v>
      </c>
      <c r="B19" s="6" t="s">
        <v>24</v>
      </c>
      <c r="C19" s="6" t="s">
        <v>25</v>
      </c>
      <c r="D19" s="6" t="s">
        <v>26</v>
      </c>
      <c r="E19" s="7">
        <v>682349</v>
      </c>
      <c r="F19" s="8">
        <v>3649.8848010000002</v>
      </c>
      <c r="G19" s="9">
        <v>2.866755E-2</v>
      </c>
      <c r="H19" s="167"/>
    </row>
    <row r="20" spans="1:8" x14ac:dyDescent="0.2">
      <c r="A20" s="5">
        <v>14</v>
      </c>
      <c r="B20" s="6" t="s">
        <v>317</v>
      </c>
      <c r="C20" s="6" t="s">
        <v>318</v>
      </c>
      <c r="D20" s="6" t="s">
        <v>240</v>
      </c>
      <c r="E20" s="7">
        <v>137157</v>
      </c>
      <c r="F20" s="8">
        <v>3586.5869714999999</v>
      </c>
      <c r="G20" s="9">
        <v>2.8170385999999999E-2</v>
      </c>
      <c r="H20" s="167"/>
    </row>
    <row r="21" spans="1:8" ht="25.5" x14ac:dyDescent="0.2">
      <c r="A21" s="5">
        <v>15</v>
      </c>
      <c r="B21" s="6" t="s">
        <v>327</v>
      </c>
      <c r="C21" s="6" t="s">
        <v>328</v>
      </c>
      <c r="D21" s="6" t="s">
        <v>78</v>
      </c>
      <c r="E21" s="7">
        <v>342296</v>
      </c>
      <c r="F21" s="8">
        <v>3462.4951879999999</v>
      </c>
      <c r="G21" s="9">
        <v>2.7195723000000002E-2</v>
      </c>
      <c r="H21" s="167"/>
    </row>
    <row r="22" spans="1:8" x14ac:dyDescent="0.2">
      <c r="A22" s="5">
        <v>16</v>
      </c>
      <c r="B22" s="6" t="s">
        <v>325</v>
      </c>
      <c r="C22" s="6" t="s">
        <v>326</v>
      </c>
      <c r="D22" s="6" t="s">
        <v>70</v>
      </c>
      <c r="E22" s="7">
        <v>493526</v>
      </c>
      <c r="F22" s="8">
        <v>2610.0122510000001</v>
      </c>
      <c r="G22" s="9">
        <v>2.0500005000000002E-2</v>
      </c>
      <c r="H22" s="167"/>
    </row>
    <row r="23" spans="1:8" ht="25.5" x14ac:dyDescent="0.2">
      <c r="A23" s="5">
        <v>17</v>
      </c>
      <c r="B23" s="6" t="s">
        <v>376</v>
      </c>
      <c r="C23" s="6" t="s">
        <v>377</v>
      </c>
      <c r="D23" s="6" t="s">
        <v>78</v>
      </c>
      <c r="E23" s="7">
        <v>378041</v>
      </c>
      <c r="F23" s="8">
        <v>2509.6251784999999</v>
      </c>
      <c r="G23" s="9">
        <v>1.9711527999999999E-2</v>
      </c>
      <c r="H23" s="167"/>
    </row>
    <row r="24" spans="1:8" x14ac:dyDescent="0.2">
      <c r="A24" s="5">
        <v>18</v>
      </c>
      <c r="B24" s="6" t="s">
        <v>388</v>
      </c>
      <c r="C24" s="6" t="s">
        <v>389</v>
      </c>
      <c r="D24" s="6" t="s">
        <v>969</v>
      </c>
      <c r="E24" s="7">
        <v>20342</v>
      </c>
      <c r="F24" s="8">
        <v>2401.6375459999999</v>
      </c>
      <c r="G24" s="9">
        <v>1.8863352999999999E-2</v>
      </c>
      <c r="H24" s="167"/>
    </row>
    <row r="25" spans="1:8" ht="25.5" x14ac:dyDescent="0.2">
      <c r="A25" s="5">
        <v>19</v>
      </c>
      <c r="B25" s="6" t="s">
        <v>419</v>
      </c>
      <c r="C25" s="6" t="s">
        <v>420</v>
      </c>
      <c r="D25" s="6" t="s">
        <v>78</v>
      </c>
      <c r="E25" s="7">
        <v>95708</v>
      </c>
      <c r="F25" s="8">
        <v>2239.6150539999999</v>
      </c>
      <c r="G25" s="9">
        <v>1.7590768E-2</v>
      </c>
      <c r="H25" s="167"/>
    </row>
    <row r="26" spans="1:8" ht="25.5" x14ac:dyDescent="0.2">
      <c r="A26" s="5">
        <v>20</v>
      </c>
      <c r="B26" s="6" t="s">
        <v>40</v>
      </c>
      <c r="C26" s="6" t="s">
        <v>41</v>
      </c>
      <c r="D26" s="6" t="s">
        <v>970</v>
      </c>
      <c r="E26" s="7">
        <v>31653</v>
      </c>
      <c r="F26" s="8">
        <v>2123.2832400000002</v>
      </c>
      <c r="G26" s="9">
        <v>1.6677055E-2</v>
      </c>
      <c r="H26" s="167"/>
    </row>
    <row r="27" spans="1:8" x14ac:dyDescent="0.2">
      <c r="A27" s="5">
        <v>21</v>
      </c>
      <c r="B27" s="6" t="s">
        <v>92</v>
      </c>
      <c r="C27" s="6" t="s">
        <v>93</v>
      </c>
      <c r="D27" s="6" t="s">
        <v>94</v>
      </c>
      <c r="E27" s="7">
        <v>1309472</v>
      </c>
      <c r="F27" s="8">
        <v>1616.5431840000001</v>
      </c>
      <c r="G27" s="9">
        <v>1.269693E-2</v>
      </c>
      <c r="H27" s="167"/>
    </row>
    <row r="28" spans="1:8" x14ac:dyDescent="0.2">
      <c r="A28" s="5">
        <v>22</v>
      </c>
      <c r="B28" s="6" t="s">
        <v>417</v>
      </c>
      <c r="C28" s="6" t="s">
        <v>418</v>
      </c>
      <c r="D28" s="6" t="s">
        <v>57</v>
      </c>
      <c r="E28" s="7">
        <v>138248</v>
      </c>
      <c r="F28" s="8">
        <v>1556.1886119999999</v>
      </c>
      <c r="G28" s="9">
        <v>1.2222883E-2</v>
      </c>
      <c r="H28" s="167"/>
    </row>
    <row r="29" spans="1:8" x14ac:dyDescent="0.2">
      <c r="A29" s="5">
        <v>23</v>
      </c>
      <c r="B29" s="6" t="s">
        <v>429</v>
      </c>
      <c r="C29" s="6" t="s">
        <v>430</v>
      </c>
      <c r="D29" s="6" t="s">
        <v>23</v>
      </c>
      <c r="E29" s="7">
        <v>79396</v>
      </c>
      <c r="F29" s="8">
        <v>1435.2414920000001</v>
      </c>
      <c r="G29" s="9">
        <v>1.1272920000000001E-2</v>
      </c>
      <c r="H29" s="167"/>
    </row>
    <row r="30" spans="1:8" x14ac:dyDescent="0.2">
      <c r="A30" s="5">
        <v>24</v>
      </c>
      <c r="B30" s="6" t="s">
        <v>490</v>
      </c>
      <c r="C30" s="6" t="s">
        <v>491</v>
      </c>
      <c r="D30" s="6" t="s">
        <v>185</v>
      </c>
      <c r="E30" s="7">
        <v>510000</v>
      </c>
      <c r="F30" s="8">
        <v>1225.02</v>
      </c>
      <c r="G30" s="9">
        <v>9.6217620000000007E-3</v>
      </c>
      <c r="H30" s="167"/>
    </row>
    <row r="31" spans="1:8" x14ac:dyDescent="0.2">
      <c r="A31" s="5">
        <v>25</v>
      </c>
      <c r="B31" s="6" t="s">
        <v>440</v>
      </c>
      <c r="C31" s="6" t="s">
        <v>441</v>
      </c>
      <c r="D31" s="6" t="s">
        <v>192</v>
      </c>
      <c r="E31" s="7">
        <v>106035</v>
      </c>
      <c r="F31" s="8">
        <v>1006.6432725</v>
      </c>
      <c r="G31" s="9">
        <v>7.90655E-3</v>
      </c>
      <c r="H31" s="167"/>
    </row>
    <row r="32" spans="1:8" ht="25.5" x14ac:dyDescent="0.2">
      <c r="A32" s="5">
        <v>26</v>
      </c>
      <c r="B32" s="6" t="s">
        <v>423</v>
      </c>
      <c r="C32" s="6" t="s">
        <v>424</v>
      </c>
      <c r="D32" s="6" t="s">
        <v>969</v>
      </c>
      <c r="E32" s="7">
        <v>43750</v>
      </c>
      <c r="F32" s="8">
        <v>643.95624999999995</v>
      </c>
      <c r="G32" s="9">
        <v>5.0578710000000002E-3</v>
      </c>
      <c r="H32" s="167"/>
    </row>
    <row r="33" spans="1:8" ht="25.5" x14ac:dyDescent="0.2">
      <c r="A33" s="5">
        <v>27</v>
      </c>
      <c r="B33" s="6" t="s">
        <v>331</v>
      </c>
      <c r="C33" s="6" t="s">
        <v>332</v>
      </c>
      <c r="D33" s="6" t="s">
        <v>75</v>
      </c>
      <c r="E33" s="7">
        <v>154923</v>
      </c>
      <c r="F33" s="8">
        <v>616.98084749999998</v>
      </c>
      <c r="G33" s="9">
        <v>4.8459970000000003E-3</v>
      </c>
      <c r="H33" s="167"/>
    </row>
    <row r="34" spans="1:8" x14ac:dyDescent="0.2">
      <c r="A34" s="5">
        <v>28</v>
      </c>
      <c r="B34" s="6" t="s">
        <v>226</v>
      </c>
      <c r="C34" s="6" t="s">
        <v>227</v>
      </c>
      <c r="D34" s="6" t="s">
        <v>32</v>
      </c>
      <c r="E34" s="7">
        <v>77567</v>
      </c>
      <c r="F34" s="8">
        <v>613.710104</v>
      </c>
      <c r="G34" s="9">
        <v>4.8203070000000002E-3</v>
      </c>
      <c r="H34" s="167"/>
    </row>
    <row r="35" spans="1:8" x14ac:dyDescent="0.2">
      <c r="A35" s="5">
        <v>29</v>
      </c>
      <c r="B35" s="6" t="s">
        <v>492</v>
      </c>
      <c r="C35" s="6" t="s">
        <v>493</v>
      </c>
      <c r="D35" s="6" t="s">
        <v>94</v>
      </c>
      <c r="E35" s="7">
        <v>8255</v>
      </c>
      <c r="F35" s="8">
        <v>584.974065</v>
      </c>
      <c r="G35" s="9">
        <v>4.5946040000000004E-3</v>
      </c>
      <c r="H35" s="167"/>
    </row>
    <row r="36" spans="1:8" x14ac:dyDescent="0.2">
      <c r="A36" s="5">
        <v>30</v>
      </c>
      <c r="B36" s="6" t="s">
        <v>407</v>
      </c>
      <c r="C36" s="6" t="s">
        <v>408</v>
      </c>
      <c r="D36" s="6" t="s">
        <v>94</v>
      </c>
      <c r="E36" s="7">
        <v>3175</v>
      </c>
      <c r="F36" s="8">
        <v>25.652412500000001</v>
      </c>
      <c r="G36" s="9">
        <v>2.0148400000000001E-4</v>
      </c>
      <c r="H36" s="167"/>
    </row>
    <row r="37" spans="1:8" x14ac:dyDescent="0.2">
      <c r="A37" s="3" t="s">
        <v>10</v>
      </c>
      <c r="B37" s="3" t="s">
        <v>10</v>
      </c>
      <c r="C37" s="4" t="s">
        <v>104</v>
      </c>
      <c r="D37" s="3" t="s">
        <v>10</v>
      </c>
      <c r="E37" s="3" t="s">
        <v>10</v>
      </c>
      <c r="F37" s="10">
        <v>124416.203389</v>
      </c>
      <c r="G37" s="11">
        <v>0.97721105600000002</v>
      </c>
      <c r="H37" s="167"/>
    </row>
    <row r="38" spans="1:8" x14ac:dyDescent="0.2">
      <c r="A38" s="3" t="s">
        <v>10</v>
      </c>
      <c r="B38" s="3" t="s">
        <v>10</v>
      </c>
      <c r="C38" s="12" t="s">
        <v>10</v>
      </c>
      <c r="D38" s="3" t="s">
        <v>10</v>
      </c>
      <c r="E38" s="3" t="s">
        <v>10</v>
      </c>
      <c r="F38" s="13" t="s">
        <v>10</v>
      </c>
      <c r="G38" s="13" t="s">
        <v>10</v>
      </c>
      <c r="H38" s="167"/>
    </row>
    <row r="39" spans="1:8" x14ac:dyDescent="0.2">
      <c r="A39" s="3" t="s">
        <v>10</v>
      </c>
      <c r="B39" s="3" t="s">
        <v>10</v>
      </c>
      <c r="C39" s="4" t="s">
        <v>105</v>
      </c>
      <c r="D39" s="3" t="s">
        <v>10</v>
      </c>
      <c r="E39" s="3" t="s">
        <v>10</v>
      </c>
      <c r="F39" s="3" t="s">
        <v>10</v>
      </c>
      <c r="G39" s="3" t="s">
        <v>10</v>
      </c>
      <c r="H39" s="167"/>
    </row>
    <row r="40" spans="1:8" x14ac:dyDescent="0.2">
      <c r="A40" s="3" t="s">
        <v>10</v>
      </c>
      <c r="B40" s="3" t="s">
        <v>10</v>
      </c>
      <c r="C40" s="4" t="s">
        <v>104</v>
      </c>
      <c r="D40" s="3" t="s">
        <v>10</v>
      </c>
      <c r="E40" s="3" t="s">
        <v>10</v>
      </c>
      <c r="F40" s="14">
        <v>0</v>
      </c>
      <c r="G40" s="15">
        <v>0</v>
      </c>
      <c r="H40" s="167"/>
    </row>
    <row r="41" spans="1:8" x14ac:dyDescent="0.2">
      <c r="A41" s="3" t="s">
        <v>10</v>
      </c>
      <c r="B41" s="3" t="s">
        <v>10</v>
      </c>
      <c r="C41" s="12" t="s">
        <v>10</v>
      </c>
      <c r="D41" s="3" t="s">
        <v>10</v>
      </c>
      <c r="E41" s="3" t="s">
        <v>10</v>
      </c>
      <c r="F41" s="13" t="s">
        <v>10</v>
      </c>
      <c r="G41" s="13" t="s">
        <v>10</v>
      </c>
      <c r="H41" s="167"/>
    </row>
    <row r="42" spans="1:8" x14ac:dyDescent="0.2">
      <c r="A42" s="3" t="s">
        <v>10</v>
      </c>
      <c r="B42" s="3" t="s">
        <v>10</v>
      </c>
      <c r="C42" s="4" t="s">
        <v>106</v>
      </c>
      <c r="D42" s="3" t="s">
        <v>10</v>
      </c>
      <c r="E42" s="3" t="s">
        <v>10</v>
      </c>
      <c r="F42" s="3" t="s">
        <v>10</v>
      </c>
      <c r="G42" s="3" t="s">
        <v>10</v>
      </c>
      <c r="H42" s="167"/>
    </row>
    <row r="43" spans="1:8" x14ac:dyDescent="0.2">
      <c r="A43" s="3" t="s">
        <v>10</v>
      </c>
      <c r="B43" s="3" t="s">
        <v>10</v>
      </c>
      <c r="C43" s="4" t="s">
        <v>104</v>
      </c>
      <c r="D43" s="3" t="s">
        <v>10</v>
      </c>
      <c r="E43" s="3" t="s">
        <v>10</v>
      </c>
      <c r="F43" s="14">
        <v>0</v>
      </c>
      <c r="G43" s="15">
        <v>0</v>
      </c>
      <c r="H43" s="167"/>
    </row>
    <row r="44" spans="1:8" x14ac:dyDescent="0.2">
      <c r="A44" s="3" t="s">
        <v>10</v>
      </c>
      <c r="B44" s="3" t="s">
        <v>10</v>
      </c>
      <c r="C44" s="12" t="s">
        <v>10</v>
      </c>
      <c r="D44" s="3" t="s">
        <v>10</v>
      </c>
      <c r="E44" s="3" t="s">
        <v>10</v>
      </c>
      <c r="F44" s="13" t="s">
        <v>10</v>
      </c>
      <c r="G44" s="13" t="s">
        <v>10</v>
      </c>
      <c r="H44" s="167"/>
    </row>
    <row r="45" spans="1:8" x14ac:dyDescent="0.2">
      <c r="A45" s="3" t="s">
        <v>10</v>
      </c>
      <c r="B45" s="3" t="s">
        <v>10</v>
      </c>
      <c r="C45" s="4" t="s">
        <v>110</v>
      </c>
      <c r="D45" s="3" t="s">
        <v>10</v>
      </c>
      <c r="E45" s="3" t="s">
        <v>10</v>
      </c>
      <c r="F45" s="3" t="s">
        <v>10</v>
      </c>
      <c r="G45" s="3" t="s">
        <v>10</v>
      </c>
      <c r="H45" s="167"/>
    </row>
    <row r="46" spans="1:8" x14ac:dyDescent="0.2">
      <c r="A46" s="3" t="s">
        <v>10</v>
      </c>
      <c r="B46" s="3" t="s">
        <v>10</v>
      </c>
      <c r="C46" s="4" t="s">
        <v>104</v>
      </c>
      <c r="D46" s="3" t="s">
        <v>10</v>
      </c>
      <c r="E46" s="3" t="s">
        <v>10</v>
      </c>
      <c r="F46" s="14">
        <v>0</v>
      </c>
      <c r="G46" s="15">
        <v>0</v>
      </c>
      <c r="H46" s="167"/>
    </row>
    <row r="47" spans="1:8" x14ac:dyDescent="0.2">
      <c r="A47" s="3" t="s">
        <v>10</v>
      </c>
      <c r="B47" s="3" t="s">
        <v>10</v>
      </c>
      <c r="C47" s="12" t="s">
        <v>10</v>
      </c>
      <c r="D47" s="3" t="s">
        <v>10</v>
      </c>
      <c r="E47" s="3" t="s">
        <v>10</v>
      </c>
      <c r="F47" s="13" t="s">
        <v>10</v>
      </c>
      <c r="G47" s="13" t="s">
        <v>10</v>
      </c>
      <c r="H47" s="167"/>
    </row>
    <row r="48" spans="1:8" x14ac:dyDescent="0.2">
      <c r="A48" s="3" t="s">
        <v>10</v>
      </c>
      <c r="B48" s="3" t="s">
        <v>10</v>
      </c>
      <c r="C48" s="4" t="s">
        <v>111</v>
      </c>
      <c r="D48" s="3" t="s">
        <v>10</v>
      </c>
      <c r="E48" s="3" t="s">
        <v>10</v>
      </c>
      <c r="F48" s="13" t="s">
        <v>10</v>
      </c>
      <c r="G48" s="13" t="s">
        <v>10</v>
      </c>
      <c r="H48" s="167"/>
    </row>
    <row r="49" spans="1:8" x14ac:dyDescent="0.2">
      <c r="A49" s="3" t="s">
        <v>10</v>
      </c>
      <c r="B49" s="3" t="s">
        <v>10</v>
      </c>
      <c r="C49" s="4" t="s">
        <v>104</v>
      </c>
      <c r="D49" s="3" t="s">
        <v>10</v>
      </c>
      <c r="E49" s="3" t="s">
        <v>10</v>
      </c>
      <c r="F49" s="14">
        <v>0</v>
      </c>
      <c r="G49" s="15">
        <v>0</v>
      </c>
      <c r="H49" s="167"/>
    </row>
    <row r="50" spans="1:8" x14ac:dyDescent="0.2">
      <c r="A50" s="3" t="s">
        <v>10</v>
      </c>
      <c r="B50" s="3" t="s">
        <v>10</v>
      </c>
      <c r="C50" s="12" t="s">
        <v>10</v>
      </c>
      <c r="D50" s="3" t="s">
        <v>10</v>
      </c>
      <c r="E50" s="3" t="s">
        <v>10</v>
      </c>
      <c r="F50" s="13" t="s">
        <v>10</v>
      </c>
      <c r="G50" s="13" t="s">
        <v>10</v>
      </c>
      <c r="H50" s="167"/>
    </row>
    <row r="51" spans="1:8" x14ac:dyDescent="0.2">
      <c r="A51" s="3" t="s">
        <v>10</v>
      </c>
      <c r="B51" s="3" t="s">
        <v>10</v>
      </c>
      <c r="C51" s="4" t="s">
        <v>112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104</v>
      </c>
      <c r="D52" s="3" t="s">
        <v>10</v>
      </c>
      <c r="E52" s="3" t="s">
        <v>10</v>
      </c>
      <c r="F52" s="14">
        <v>0</v>
      </c>
      <c r="G52" s="15">
        <v>0</v>
      </c>
      <c r="H52" s="167"/>
    </row>
    <row r="53" spans="1:8" x14ac:dyDescent="0.2">
      <c r="A53" s="3" t="s">
        <v>10</v>
      </c>
      <c r="B53" s="3" t="s">
        <v>10</v>
      </c>
      <c r="C53" s="12" t="s">
        <v>10</v>
      </c>
      <c r="D53" s="3" t="s">
        <v>10</v>
      </c>
      <c r="E53" s="3" t="s">
        <v>10</v>
      </c>
      <c r="F53" s="13" t="s">
        <v>10</v>
      </c>
      <c r="G53" s="13" t="s">
        <v>10</v>
      </c>
      <c r="H53" s="167"/>
    </row>
    <row r="54" spans="1:8" x14ac:dyDescent="0.2">
      <c r="A54" s="3" t="s">
        <v>10</v>
      </c>
      <c r="B54" s="3" t="s">
        <v>10</v>
      </c>
      <c r="C54" s="4" t="s">
        <v>113</v>
      </c>
      <c r="D54" s="3" t="s">
        <v>10</v>
      </c>
      <c r="E54" s="3" t="s">
        <v>10</v>
      </c>
      <c r="F54" s="10">
        <v>124416.203389</v>
      </c>
      <c r="G54" s="11">
        <v>0.97721105600000002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114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ht="25.5" x14ac:dyDescent="0.2">
      <c r="A57" s="3" t="s">
        <v>10</v>
      </c>
      <c r="B57" s="3" t="s">
        <v>10</v>
      </c>
      <c r="C57" s="4" t="s">
        <v>12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104</v>
      </c>
      <c r="D58" s="3" t="s">
        <v>10</v>
      </c>
      <c r="E58" s="3" t="s">
        <v>10</v>
      </c>
      <c r="F58" s="14">
        <v>0</v>
      </c>
      <c r="G58" s="15">
        <v>0</v>
      </c>
      <c r="H58" s="167"/>
    </row>
    <row r="59" spans="1:8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115</v>
      </c>
      <c r="D60" s="3" t="s">
        <v>10</v>
      </c>
      <c r="E60" s="3" t="s">
        <v>10</v>
      </c>
      <c r="F60" s="3" t="s">
        <v>10</v>
      </c>
      <c r="G60" s="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104</v>
      </c>
      <c r="D61" s="3" t="s">
        <v>10</v>
      </c>
      <c r="E61" s="3" t="s">
        <v>10</v>
      </c>
      <c r="F61" s="14">
        <v>0</v>
      </c>
      <c r="G61" s="15">
        <v>0</v>
      </c>
      <c r="H61" s="167"/>
    </row>
    <row r="62" spans="1:8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116</v>
      </c>
      <c r="D63" s="3" t="s">
        <v>10</v>
      </c>
      <c r="E63" s="3" t="s">
        <v>10</v>
      </c>
      <c r="F63" s="3" t="s">
        <v>10</v>
      </c>
      <c r="G63" s="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104</v>
      </c>
      <c r="D64" s="3" t="s">
        <v>10</v>
      </c>
      <c r="E64" s="3" t="s">
        <v>10</v>
      </c>
      <c r="F64" s="14">
        <v>0</v>
      </c>
      <c r="G64" s="15">
        <v>0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117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104</v>
      </c>
      <c r="D67" s="3" t="s">
        <v>10</v>
      </c>
      <c r="E67" s="3" t="s">
        <v>10</v>
      </c>
      <c r="F67" s="14">
        <v>0</v>
      </c>
      <c r="G67" s="15">
        <v>0</v>
      </c>
      <c r="H67" s="167"/>
    </row>
    <row r="68" spans="1:8" x14ac:dyDescent="0.2">
      <c r="A68" s="3" t="s">
        <v>10</v>
      </c>
      <c r="B68" s="3" t="s">
        <v>10</v>
      </c>
      <c r="C68" s="12" t="s">
        <v>10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118</v>
      </c>
      <c r="D69" s="3" t="s">
        <v>10</v>
      </c>
      <c r="E69" s="3" t="s">
        <v>10</v>
      </c>
      <c r="F69" s="10">
        <v>0</v>
      </c>
      <c r="G69" s="11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119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120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4">
        <v>0</v>
      </c>
      <c r="G73" s="15">
        <v>0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121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122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123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5">
        <v>1</v>
      </c>
      <c r="B82" s="6"/>
      <c r="C82" s="6" t="s">
        <v>124</v>
      </c>
      <c r="D82" s="6"/>
      <c r="E82" s="16" t="s">
        <v>10</v>
      </c>
      <c r="F82" s="8">
        <v>1172.2272745</v>
      </c>
      <c r="G82" s="9">
        <v>9.2071080000000003E-3</v>
      </c>
      <c r="H82" s="108">
        <v>3.23</v>
      </c>
    </row>
    <row r="83" spans="1:8" x14ac:dyDescent="0.2">
      <c r="A83" s="5">
        <v>2</v>
      </c>
      <c r="B83" s="6"/>
      <c r="C83" s="6" t="s">
        <v>125</v>
      </c>
      <c r="D83" s="6"/>
      <c r="E83" s="16" t="s">
        <v>10</v>
      </c>
      <c r="F83" s="8">
        <v>329.26676789999999</v>
      </c>
      <c r="G83" s="9">
        <v>2.5861830000000001E-3</v>
      </c>
      <c r="H83" s="108">
        <v>3.35</v>
      </c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0">
        <v>1501.4940423999999</v>
      </c>
      <c r="G84" s="11">
        <v>1.1793290999999999E-2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126</v>
      </c>
      <c r="D86" s="3" t="s">
        <v>10</v>
      </c>
      <c r="E86" s="3" t="s">
        <v>10</v>
      </c>
      <c r="F86" s="10">
        <v>1501.4940423999999</v>
      </c>
      <c r="G86" s="11">
        <v>1.1793290999999999E-2</v>
      </c>
      <c r="H86" s="167"/>
    </row>
    <row r="87" spans="1:8" x14ac:dyDescent="0.2">
      <c r="A87" s="3" t="s">
        <v>10</v>
      </c>
      <c r="B87" s="3" t="s">
        <v>10</v>
      </c>
      <c r="C87" s="1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127</v>
      </c>
      <c r="D88" s="3" t="s">
        <v>10</v>
      </c>
      <c r="E88" s="3" t="s">
        <v>10</v>
      </c>
      <c r="F88" s="3" t="s">
        <v>10</v>
      </c>
      <c r="G88" s="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128</v>
      </c>
      <c r="D89" s="3" t="s">
        <v>10</v>
      </c>
      <c r="E89" s="3" t="s">
        <v>10</v>
      </c>
      <c r="F89" s="3" t="s">
        <v>10</v>
      </c>
      <c r="G89" s="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129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130</v>
      </c>
      <c r="D93" s="3" t="s">
        <v>10</v>
      </c>
      <c r="E93" s="3" t="s">
        <v>10</v>
      </c>
      <c r="F93" s="3" t="s">
        <v>10</v>
      </c>
      <c r="G93" s="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ht="25.5" x14ac:dyDescent="0.2">
      <c r="A97" s="3" t="s">
        <v>10</v>
      </c>
      <c r="B97" s="3" t="s">
        <v>10</v>
      </c>
      <c r="C97" s="4" t="s">
        <v>131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6" t="s">
        <v>10</v>
      </c>
      <c r="C100" s="6" t="s">
        <v>10</v>
      </c>
      <c r="D100" s="4" t="s">
        <v>10</v>
      </c>
      <c r="E100" s="3" t="s">
        <v>10</v>
      </c>
      <c r="F100" s="6" t="s">
        <v>10</v>
      </c>
      <c r="G100" s="16" t="s">
        <v>10</v>
      </c>
      <c r="H100" s="167"/>
    </row>
    <row r="101" spans="1:8" x14ac:dyDescent="0.2">
      <c r="A101" s="16" t="s">
        <v>10</v>
      </c>
      <c r="B101" s="6" t="s">
        <v>10</v>
      </c>
      <c r="C101" s="6" t="s">
        <v>132</v>
      </c>
      <c r="D101" s="6" t="s">
        <v>10</v>
      </c>
      <c r="E101" s="16" t="s">
        <v>10</v>
      </c>
      <c r="F101" s="8">
        <v>1399.9402598500062</v>
      </c>
      <c r="G101" s="9">
        <v>1.0995651E-2</v>
      </c>
      <c r="H101" s="167"/>
    </row>
    <row r="102" spans="1:8" x14ac:dyDescent="0.2">
      <c r="A102" s="12" t="s">
        <v>10</v>
      </c>
      <c r="B102" s="12" t="s">
        <v>10</v>
      </c>
      <c r="C102" s="4" t="s">
        <v>133</v>
      </c>
      <c r="D102" s="17" t="s">
        <v>10</v>
      </c>
      <c r="E102" s="17" t="s">
        <v>10</v>
      </c>
      <c r="F102" s="10">
        <v>127317.63769125</v>
      </c>
      <c r="G102" s="11">
        <v>1</v>
      </c>
      <c r="H102" s="167"/>
    </row>
    <row r="103" spans="1:8" ht="14.1" customHeight="1" x14ac:dyDescent="0.2">
      <c r="A103" s="18" t="s">
        <v>10</v>
      </c>
      <c r="B103" s="18" t="s">
        <v>10</v>
      </c>
      <c r="C103" s="18" t="s">
        <v>10</v>
      </c>
      <c r="D103" s="19" t="s">
        <v>10</v>
      </c>
      <c r="E103" s="19" t="s">
        <v>10</v>
      </c>
      <c r="F103" s="19" t="s">
        <v>10</v>
      </c>
      <c r="G103" s="19" t="s">
        <v>10</v>
      </c>
    </row>
    <row r="104" spans="1:8" ht="14.1" customHeight="1" x14ac:dyDescent="0.2">
      <c r="A104" s="20" t="s">
        <v>10</v>
      </c>
      <c r="B104" s="208" t="s">
        <v>10</v>
      </c>
      <c r="C104" s="208"/>
      <c r="D104" s="208"/>
      <c r="E104" s="208"/>
      <c r="F104" s="208"/>
      <c r="G104" s="22" t="s">
        <v>10</v>
      </c>
    </row>
    <row r="105" spans="1:8" ht="14.1" customHeight="1" x14ac:dyDescent="0.2">
      <c r="A105" s="20" t="s">
        <v>10</v>
      </c>
      <c r="B105" s="208" t="s">
        <v>10</v>
      </c>
      <c r="C105" s="208"/>
      <c r="D105" s="208"/>
      <c r="E105" s="208"/>
      <c r="F105" s="208"/>
      <c r="G105" s="22" t="s">
        <v>10</v>
      </c>
    </row>
    <row r="106" spans="1:8" ht="14.1" customHeight="1" x14ac:dyDescent="0.2">
      <c r="A106" s="20" t="s">
        <v>10</v>
      </c>
      <c r="B106" s="20" t="s">
        <v>10</v>
      </c>
      <c r="C106" s="20" t="s">
        <v>10</v>
      </c>
      <c r="D106" s="22" t="s">
        <v>10</v>
      </c>
      <c r="E106" s="22" t="s">
        <v>10</v>
      </c>
      <c r="F106" s="22" t="s">
        <v>10</v>
      </c>
      <c r="G106" s="22" t="s">
        <v>10</v>
      </c>
    </row>
    <row r="107" spans="1:8" ht="14.1" customHeight="1" x14ac:dyDescent="0.2">
      <c r="A107" s="20" t="s">
        <v>10</v>
      </c>
      <c r="B107" s="206" t="s">
        <v>134</v>
      </c>
      <c r="C107" s="207"/>
      <c r="D107" s="13" t="s">
        <v>10</v>
      </c>
      <c r="E107" s="23" t="s">
        <v>10</v>
      </c>
      <c r="F107" s="22" t="s">
        <v>10</v>
      </c>
      <c r="G107" s="22" t="s">
        <v>10</v>
      </c>
    </row>
    <row r="108" spans="1:8" ht="29.1" customHeight="1" x14ac:dyDescent="0.2">
      <c r="A108" s="20" t="s">
        <v>10</v>
      </c>
      <c r="B108" s="213" t="s">
        <v>135</v>
      </c>
      <c r="C108" s="214"/>
      <c r="D108" s="4" t="s">
        <v>136</v>
      </c>
      <c r="E108" s="23" t="s">
        <v>10</v>
      </c>
      <c r="F108" s="22" t="s">
        <v>10</v>
      </c>
      <c r="G108" s="22" t="s">
        <v>10</v>
      </c>
    </row>
    <row r="109" spans="1:8" ht="17.100000000000001" customHeight="1" x14ac:dyDescent="0.2">
      <c r="A109" s="20" t="s">
        <v>10</v>
      </c>
      <c r="B109" s="213" t="s">
        <v>137</v>
      </c>
      <c r="C109" s="214"/>
      <c r="D109" s="4" t="s">
        <v>136</v>
      </c>
      <c r="E109" s="23" t="s">
        <v>10</v>
      </c>
      <c r="F109" s="22" t="s">
        <v>10</v>
      </c>
      <c r="G109" s="22" t="s">
        <v>10</v>
      </c>
    </row>
    <row r="110" spans="1:8" ht="17.100000000000001" customHeight="1" x14ac:dyDescent="0.2">
      <c r="A110" s="20" t="s">
        <v>10</v>
      </c>
      <c r="B110" s="213" t="s">
        <v>138</v>
      </c>
      <c r="C110" s="214"/>
      <c r="D110" s="13" t="s">
        <v>10</v>
      </c>
      <c r="E110" s="23" t="s">
        <v>10</v>
      </c>
      <c r="F110" s="22" t="s">
        <v>10</v>
      </c>
      <c r="G110" s="22" t="s">
        <v>10</v>
      </c>
    </row>
    <row r="111" spans="1:8" s="20" customFormat="1" ht="17.100000000000001" customHeight="1" x14ac:dyDescent="0.2"/>
    <row r="112" spans="1:8" x14ac:dyDescent="0.2">
      <c r="A112" s="24" t="s">
        <v>10</v>
      </c>
      <c r="B112" s="140" t="s">
        <v>10</v>
      </c>
      <c r="C112" s="140" t="s">
        <v>139</v>
      </c>
      <c r="D112" s="140" t="s">
        <v>140</v>
      </c>
      <c r="E112" s="24" t="s">
        <v>10</v>
      </c>
      <c r="F112" s="24" t="s">
        <v>10</v>
      </c>
      <c r="G112" s="24" t="s">
        <v>10</v>
      </c>
    </row>
    <row r="113" spans="1:7" ht="18" customHeight="1" x14ac:dyDescent="0.2">
      <c r="A113" s="24" t="s">
        <v>10</v>
      </c>
      <c r="B113" s="25" t="s">
        <v>141</v>
      </c>
      <c r="C113" s="25" t="s">
        <v>142</v>
      </c>
      <c r="D113" s="25" t="s">
        <v>143</v>
      </c>
      <c r="E113" s="24" t="s">
        <v>10</v>
      </c>
      <c r="F113" s="24" t="s">
        <v>10</v>
      </c>
      <c r="G113" s="24" t="s">
        <v>10</v>
      </c>
    </row>
    <row r="114" spans="1:7" ht="17.100000000000001" customHeight="1" x14ac:dyDescent="0.2">
      <c r="A114" s="24" t="s">
        <v>10</v>
      </c>
      <c r="B114" s="6" t="s">
        <v>144</v>
      </c>
      <c r="C114" s="26">
        <v>240.53059999999999</v>
      </c>
      <c r="D114" s="26">
        <v>255.53460000000001</v>
      </c>
      <c r="E114" s="24" t="s">
        <v>10</v>
      </c>
      <c r="F114" s="21" t="s">
        <v>10</v>
      </c>
      <c r="G114" s="27" t="s">
        <v>10</v>
      </c>
    </row>
    <row r="115" spans="1:7" ht="17.100000000000001" customHeight="1" x14ac:dyDescent="0.2">
      <c r="A115" s="24" t="s">
        <v>10</v>
      </c>
      <c r="B115" s="6" t="s">
        <v>917</v>
      </c>
      <c r="C115" s="26">
        <v>15.8925</v>
      </c>
      <c r="D115" s="26">
        <v>16.883800000000001</v>
      </c>
      <c r="E115" s="24" t="s">
        <v>10</v>
      </c>
      <c r="F115" s="21" t="s">
        <v>10</v>
      </c>
      <c r="G115" s="27" t="s">
        <v>10</v>
      </c>
    </row>
    <row r="116" spans="1:7" ht="29.1" customHeight="1" x14ac:dyDescent="0.2">
      <c r="A116" s="24" t="s">
        <v>10</v>
      </c>
      <c r="B116" s="6" t="s">
        <v>397</v>
      </c>
      <c r="C116" s="26">
        <v>245.84370000000001</v>
      </c>
      <c r="D116" s="26">
        <v>261.1789</v>
      </c>
      <c r="E116" s="24" t="s">
        <v>10</v>
      </c>
      <c r="F116" s="21" t="s">
        <v>10</v>
      </c>
      <c r="G116" s="27" t="s">
        <v>10</v>
      </c>
    </row>
    <row r="117" spans="1:7" ht="17.100000000000001" customHeight="1" x14ac:dyDescent="0.2">
      <c r="A117" s="24" t="s">
        <v>10</v>
      </c>
      <c r="B117" s="6" t="s">
        <v>145</v>
      </c>
      <c r="C117" s="26">
        <v>226.23920000000001</v>
      </c>
      <c r="D117" s="26">
        <v>240.149</v>
      </c>
      <c r="E117" s="24" t="s">
        <v>10</v>
      </c>
      <c r="F117" s="21" t="s">
        <v>10</v>
      </c>
      <c r="G117" s="27" t="s">
        <v>10</v>
      </c>
    </row>
    <row r="118" spans="1:7" ht="17.100000000000001" customHeight="1" x14ac:dyDescent="0.2">
      <c r="A118" s="24" t="s">
        <v>10</v>
      </c>
      <c r="B118" s="6" t="s">
        <v>918</v>
      </c>
      <c r="C118" s="26">
        <v>14.773</v>
      </c>
      <c r="D118" s="26">
        <v>15.6813</v>
      </c>
      <c r="E118" s="24" t="s">
        <v>10</v>
      </c>
      <c r="F118" s="21" t="s">
        <v>10</v>
      </c>
      <c r="G118" s="27" t="s">
        <v>10</v>
      </c>
    </row>
    <row r="119" spans="1:7" ht="14.1" customHeight="1" x14ac:dyDescent="0.2">
      <c r="A119" s="24" t="s">
        <v>10</v>
      </c>
      <c r="B119" s="24" t="s">
        <v>10</v>
      </c>
      <c r="C119" s="24" t="s">
        <v>10</v>
      </c>
      <c r="D119" s="24" t="s">
        <v>10</v>
      </c>
      <c r="E119" s="24" t="s">
        <v>10</v>
      </c>
      <c r="F119" s="24" t="s">
        <v>10</v>
      </c>
      <c r="G119" s="24" t="s">
        <v>10</v>
      </c>
    </row>
    <row r="120" spans="1:7" ht="17.100000000000001" customHeight="1" x14ac:dyDescent="0.2">
      <c r="A120" s="24" t="s">
        <v>10</v>
      </c>
      <c r="B120" s="213" t="s">
        <v>999</v>
      </c>
      <c r="C120" s="214"/>
      <c r="D120" s="4" t="s">
        <v>136</v>
      </c>
      <c r="E120" s="24" t="s">
        <v>10</v>
      </c>
      <c r="F120" s="24" t="s">
        <v>10</v>
      </c>
      <c r="G120" s="24" t="s">
        <v>10</v>
      </c>
    </row>
    <row r="121" spans="1:7" ht="18" customHeight="1" x14ac:dyDescent="0.2">
      <c r="A121" s="24" t="s">
        <v>10</v>
      </c>
      <c r="B121" s="28"/>
      <c r="C121" s="28"/>
      <c r="D121" s="29" t="s">
        <v>10</v>
      </c>
      <c r="E121" s="24" t="s">
        <v>10</v>
      </c>
      <c r="F121" s="24" t="s">
        <v>10</v>
      </c>
      <c r="G121" s="24" t="s">
        <v>10</v>
      </c>
    </row>
    <row r="122" spans="1:7" s="175" customFormat="1" x14ac:dyDescent="0.2">
      <c r="B122" s="221" t="s">
        <v>919</v>
      </c>
      <c r="C122" s="221"/>
      <c r="D122" s="221"/>
      <c r="E122" s="221"/>
      <c r="F122" s="221"/>
    </row>
    <row r="123" spans="1:7" ht="14.1" customHeight="1" x14ac:dyDescent="0.2">
      <c r="A123" s="24" t="s">
        <v>10</v>
      </c>
      <c r="B123" s="21" t="s">
        <v>10</v>
      </c>
      <c r="C123" s="21" t="s">
        <v>10</v>
      </c>
      <c r="D123" s="24" t="s">
        <v>10</v>
      </c>
      <c r="E123" s="24" t="s">
        <v>10</v>
      </c>
      <c r="F123" s="24" t="s">
        <v>10</v>
      </c>
      <c r="G123" s="24" t="s">
        <v>10</v>
      </c>
    </row>
    <row r="124" spans="1:7" ht="29.1" customHeight="1" x14ac:dyDescent="0.2">
      <c r="A124" s="24" t="s">
        <v>10</v>
      </c>
      <c r="B124" s="213" t="s">
        <v>146</v>
      </c>
      <c r="C124" s="214"/>
      <c r="D124" s="4" t="s">
        <v>136</v>
      </c>
      <c r="E124" s="24" t="s">
        <v>10</v>
      </c>
      <c r="F124" s="24" t="s">
        <v>10</v>
      </c>
      <c r="G124" s="24" t="s">
        <v>10</v>
      </c>
    </row>
    <row r="125" spans="1:7" ht="29.1" customHeight="1" x14ac:dyDescent="0.2">
      <c r="A125" s="24" t="s">
        <v>10</v>
      </c>
      <c r="B125" s="213" t="s">
        <v>147</v>
      </c>
      <c r="C125" s="214"/>
      <c r="D125" s="4" t="s">
        <v>136</v>
      </c>
      <c r="E125" s="24" t="s">
        <v>10</v>
      </c>
      <c r="F125" s="24" t="s">
        <v>10</v>
      </c>
      <c r="G125" s="24" t="s">
        <v>10</v>
      </c>
    </row>
    <row r="126" spans="1:7" ht="17.100000000000001" customHeight="1" x14ac:dyDescent="0.2">
      <c r="A126" s="24" t="s">
        <v>10</v>
      </c>
      <c r="B126" s="213" t="s">
        <v>148</v>
      </c>
      <c r="C126" s="214"/>
      <c r="D126" s="30">
        <v>0.6936791407189915</v>
      </c>
      <c r="E126" s="24" t="s">
        <v>10</v>
      </c>
      <c r="F126" s="21" t="s">
        <v>10</v>
      </c>
      <c r="G126" s="27" t="s">
        <v>10</v>
      </c>
    </row>
    <row r="127" spans="1:7" ht="17.100000000000001" customHeight="1" x14ac:dyDescent="0.2">
      <c r="A127" s="24" t="s">
        <v>10</v>
      </c>
      <c r="B127" s="213" t="s">
        <v>149</v>
      </c>
      <c r="C127" s="214"/>
      <c r="D127" s="4" t="s">
        <v>136</v>
      </c>
      <c r="E127" s="24" t="s">
        <v>10</v>
      </c>
      <c r="F127" s="24" t="s">
        <v>10</v>
      </c>
      <c r="G127" s="24" t="s">
        <v>10</v>
      </c>
    </row>
  </sheetData>
  <mergeCells count="15">
    <mergeCell ref="B126:C126"/>
    <mergeCell ref="B127:C127"/>
    <mergeCell ref="B108:C108"/>
    <mergeCell ref="B109:C109"/>
    <mergeCell ref="B110:C110"/>
    <mergeCell ref="B120:C120"/>
    <mergeCell ref="B124:C124"/>
    <mergeCell ref="B125:C125"/>
    <mergeCell ref="B122:F122"/>
    <mergeCell ref="B107:C107"/>
    <mergeCell ref="B104:F104"/>
    <mergeCell ref="B105:F10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61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494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154</v>
      </c>
      <c r="C7" s="6" t="s">
        <v>155</v>
      </c>
      <c r="D7" s="6" t="s">
        <v>153</v>
      </c>
      <c r="E7" s="7">
        <v>23765</v>
      </c>
      <c r="F7" s="8">
        <v>291.53713749999997</v>
      </c>
      <c r="G7" s="9">
        <v>6.2362513000000001E-2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5047</v>
      </c>
      <c r="F8" s="8">
        <v>162.75565599999999</v>
      </c>
      <c r="G8" s="9">
        <v>3.4814953000000003E-2</v>
      </c>
      <c r="H8" s="167"/>
    </row>
    <row r="9" spans="1:8" x14ac:dyDescent="0.2">
      <c r="A9" s="5">
        <v>3</v>
      </c>
      <c r="B9" s="6" t="s">
        <v>467</v>
      </c>
      <c r="C9" s="6" t="s">
        <v>468</v>
      </c>
      <c r="D9" s="6" t="s">
        <v>192</v>
      </c>
      <c r="E9" s="7">
        <v>40884</v>
      </c>
      <c r="F9" s="8">
        <v>161.001192</v>
      </c>
      <c r="G9" s="9">
        <v>3.4439656999999999E-2</v>
      </c>
      <c r="H9" s="167"/>
    </row>
    <row r="10" spans="1:8" x14ac:dyDescent="0.2">
      <c r="A10" s="5">
        <v>4</v>
      </c>
      <c r="B10" s="6" t="s">
        <v>159</v>
      </c>
      <c r="C10" s="6" t="s">
        <v>160</v>
      </c>
      <c r="D10" s="6" t="s">
        <v>29</v>
      </c>
      <c r="E10" s="7">
        <v>19654</v>
      </c>
      <c r="F10" s="8">
        <v>121.127602</v>
      </c>
      <c r="G10" s="9">
        <v>2.5910323999999998E-2</v>
      </c>
      <c r="H10" s="167"/>
    </row>
    <row r="11" spans="1:8" ht="25.5" x14ac:dyDescent="0.2">
      <c r="A11" s="5">
        <v>5</v>
      </c>
      <c r="B11" s="6" t="s">
        <v>33</v>
      </c>
      <c r="C11" s="6" t="s">
        <v>34</v>
      </c>
      <c r="D11" s="6" t="s">
        <v>970</v>
      </c>
      <c r="E11" s="7">
        <v>4122</v>
      </c>
      <c r="F11" s="8">
        <v>117.454329</v>
      </c>
      <c r="G11" s="9">
        <v>2.5124576999999999E-2</v>
      </c>
      <c r="H11" s="167"/>
    </row>
    <row r="12" spans="1:8" x14ac:dyDescent="0.2">
      <c r="A12" s="5">
        <v>6</v>
      </c>
      <c r="B12" s="6" t="s">
        <v>290</v>
      </c>
      <c r="C12" s="6" t="s">
        <v>291</v>
      </c>
      <c r="D12" s="6" t="s">
        <v>29</v>
      </c>
      <c r="E12" s="7">
        <v>24180</v>
      </c>
      <c r="F12" s="8">
        <v>115.78592999999999</v>
      </c>
      <c r="G12" s="9">
        <v>2.4767691000000001E-2</v>
      </c>
      <c r="H12" s="167"/>
    </row>
    <row r="13" spans="1:8" x14ac:dyDescent="0.2">
      <c r="A13" s="5">
        <v>7</v>
      </c>
      <c r="B13" s="6" t="s">
        <v>168</v>
      </c>
      <c r="C13" s="6" t="s">
        <v>169</v>
      </c>
      <c r="D13" s="6" t="s">
        <v>75</v>
      </c>
      <c r="E13" s="7">
        <v>28111</v>
      </c>
      <c r="F13" s="8">
        <v>111.853669</v>
      </c>
      <c r="G13" s="9">
        <v>2.3926543000000002E-2</v>
      </c>
      <c r="H13" s="167"/>
    </row>
    <row r="14" spans="1:8" x14ac:dyDescent="0.2">
      <c r="A14" s="5">
        <v>8</v>
      </c>
      <c r="B14" s="6" t="s">
        <v>156</v>
      </c>
      <c r="C14" s="6" t="s">
        <v>157</v>
      </c>
      <c r="D14" s="6" t="s">
        <v>158</v>
      </c>
      <c r="E14" s="7">
        <v>121618</v>
      </c>
      <c r="F14" s="8">
        <v>111.82775100000001</v>
      </c>
      <c r="G14" s="9">
        <v>2.3920998999999998E-2</v>
      </c>
      <c r="H14" s="167"/>
    </row>
    <row r="15" spans="1:8" x14ac:dyDescent="0.2">
      <c r="A15" s="5">
        <v>9</v>
      </c>
      <c r="B15" s="6" t="s">
        <v>27</v>
      </c>
      <c r="C15" s="6" t="s">
        <v>28</v>
      </c>
      <c r="D15" s="6" t="s">
        <v>29</v>
      </c>
      <c r="E15" s="7">
        <v>9119</v>
      </c>
      <c r="F15" s="8">
        <v>111.2745975</v>
      </c>
      <c r="G15" s="9">
        <v>2.3802673999999999E-2</v>
      </c>
      <c r="H15" s="167"/>
    </row>
    <row r="16" spans="1:8" x14ac:dyDescent="0.2">
      <c r="A16" s="5">
        <v>10</v>
      </c>
      <c r="B16" s="6" t="s">
        <v>447</v>
      </c>
      <c r="C16" s="6" t="s">
        <v>448</v>
      </c>
      <c r="D16" s="6" t="s">
        <v>75</v>
      </c>
      <c r="E16" s="7">
        <v>36061</v>
      </c>
      <c r="F16" s="8">
        <v>109.84180600000001</v>
      </c>
      <c r="G16" s="9">
        <v>2.3496187000000002E-2</v>
      </c>
      <c r="H16" s="167"/>
    </row>
    <row r="17" spans="1:8" x14ac:dyDescent="0.2">
      <c r="A17" s="5">
        <v>11</v>
      </c>
      <c r="B17" s="6" t="s">
        <v>46</v>
      </c>
      <c r="C17" s="6" t="s">
        <v>47</v>
      </c>
      <c r="D17" s="6" t="s">
        <v>29</v>
      </c>
      <c r="E17" s="7">
        <v>10772</v>
      </c>
      <c r="F17" s="8">
        <v>105.20473800000001</v>
      </c>
      <c r="G17" s="9">
        <v>2.2504275000000001E-2</v>
      </c>
      <c r="H17" s="167"/>
    </row>
    <row r="18" spans="1:8" x14ac:dyDescent="0.2">
      <c r="A18" s="5">
        <v>12</v>
      </c>
      <c r="B18" s="6" t="s">
        <v>165</v>
      </c>
      <c r="C18" s="6" t="s">
        <v>166</v>
      </c>
      <c r="D18" s="6" t="s">
        <v>167</v>
      </c>
      <c r="E18" s="7">
        <v>41521</v>
      </c>
      <c r="F18" s="8">
        <v>101.02059300000001</v>
      </c>
      <c r="G18" s="9">
        <v>2.1609247000000002E-2</v>
      </c>
      <c r="H18" s="167"/>
    </row>
    <row r="19" spans="1:8" x14ac:dyDescent="0.2">
      <c r="A19" s="5">
        <v>13</v>
      </c>
      <c r="B19" s="6" t="s">
        <v>181</v>
      </c>
      <c r="C19" s="6" t="s">
        <v>182</v>
      </c>
      <c r="D19" s="6" t="s">
        <v>29</v>
      </c>
      <c r="E19" s="7">
        <v>20262</v>
      </c>
      <c r="F19" s="8">
        <v>96.791573999999997</v>
      </c>
      <c r="G19" s="9">
        <v>2.0704620999999999E-2</v>
      </c>
      <c r="H19" s="167"/>
    </row>
    <row r="20" spans="1:8" x14ac:dyDescent="0.2">
      <c r="A20" s="5">
        <v>14</v>
      </c>
      <c r="B20" s="6" t="s">
        <v>457</v>
      </c>
      <c r="C20" s="6" t="s">
        <v>458</v>
      </c>
      <c r="D20" s="6" t="s">
        <v>247</v>
      </c>
      <c r="E20" s="7">
        <v>16467</v>
      </c>
      <c r="F20" s="8">
        <v>90.724936499999998</v>
      </c>
      <c r="G20" s="9">
        <v>1.9406909999999999E-2</v>
      </c>
      <c r="H20" s="167"/>
    </row>
    <row r="21" spans="1:8" x14ac:dyDescent="0.2">
      <c r="A21" s="5">
        <v>15</v>
      </c>
      <c r="B21" s="6" t="s">
        <v>311</v>
      </c>
      <c r="C21" s="6" t="s">
        <v>312</v>
      </c>
      <c r="D21" s="6" t="s">
        <v>185</v>
      </c>
      <c r="E21" s="7">
        <v>2466</v>
      </c>
      <c r="F21" s="8">
        <v>87.318594000000004</v>
      </c>
      <c r="G21" s="9">
        <v>1.8678262000000001E-2</v>
      </c>
      <c r="H21" s="167"/>
    </row>
    <row r="22" spans="1:8" x14ac:dyDescent="0.2">
      <c r="A22" s="5">
        <v>16</v>
      </c>
      <c r="B22" s="6" t="s">
        <v>190</v>
      </c>
      <c r="C22" s="6" t="s">
        <v>191</v>
      </c>
      <c r="D22" s="6" t="s">
        <v>192</v>
      </c>
      <c r="E22" s="7">
        <v>20532</v>
      </c>
      <c r="F22" s="8">
        <v>80.711292</v>
      </c>
      <c r="G22" s="9">
        <v>1.7264898000000001E-2</v>
      </c>
      <c r="H22" s="167"/>
    </row>
    <row r="23" spans="1:8" x14ac:dyDescent="0.2">
      <c r="A23" s="5">
        <v>17</v>
      </c>
      <c r="B23" s="6" t="s">
        <v>188</v>
      </c>
      <c r="C23" s="6" t="s">
        <v>189</v>
      </c>
      <c r="D23" s="6" t="s">
        <v>167</v>
      </c>
      <c r="E23" s="7">
        <v>3164</v>
      </c>
      <c r="F23" s="8">
        <v>80.458938000000003</v>
      </c>
      <c r="G23" s="9">
        <v>1.7210916999999999E-2</v>
      </c>
      <c r="H23" s="167"/>
    </row>
    <row r="24" spans="1:8" x14ac:dyDescent="0.2">
      <c r="A24" s="5">
        <v>18</v>
      </c>
      <c r="B24" s="6" t="s">
        <v>193</v>
      </c>
      <c r="C24" s="6" t="s">
        <v>194</v>
      </c>
      <c r="D24" s="6" t="s">
        <v>178</v>
      </c>
      <c r="E24" s="7">
        <v>41699</v>
      </c>
      <c r="F24" s="8">
        <v>76.225772000000006</v>
      </c>
      <c r="G24" s="9">
        <v>1.6305403999999999E-2</v>
      </c>
      <c r="H24" s="167"/>
    </row>
    <row r="25" spans="1:8" ht="25.5" x14ac:dyDescent="0.2">
      <c r="A25" s="5">
        <v>19</v>
      </c>
      <c r="B25" s="6" t="s">
        <v>204</v>
      </c>
      <c r="C25" s="6" t="s">
        <v>205</v>
      </c>
      <c r="D25" s="6" t="s">
        <v>37</v>
      </c>
      <c r="E25" s="7">
        <v>83942</v>
      </c>
      <c r="F25" s="8">
        <v>71.854352000000006</v>
      </c>
      <c r="G25" s="9">
        <v>1.5370316E-2</v>
      </c>
      <c r="H25" s="167"/>
    </row>
    <row r="26" spans="1:8" x14ac:dyDescent="0.2">
      <c r="A26" s="5">
        <v>20</v>
      </c>
      <c r="B26" s="6" t="s">
        <v>214</v>
      </c>
      <c r="C26" s="6" t="s">
        <v>215</v>
      </c>
      <c r="D26" s="6" t="s">
        <v>976</v>
      </c>
      <c r="E26" s="7">
        <v>22231</v>
      </c>
      <c r="F26" s="8">
        <v>69.060601500000004</v>
      </c>
      <c r="G26" s="9">
        <v>1.4772707E-2</v>
      </c>
      <c r="H26" s="167"/>
    </row>
    <row r="27" spans="1:8" ht="25.5" x14ac:dyDescent="0.2">
      <c r="A27" s="5">
        <v>21</v>
      </c>
      <c r="B27" s="6" t="s">
        <v>172</v>
      </c>
      <c r="C27" s="6" t="s">
        <v>173</v>
      </c>
      <c r="D27" s="6" t="s">
        <v>970</v>
      </c>
      <c r="E27" s="7">
        <v>27362</v>
      </c>
      <c r="F27" s="8">
        <v>68.788067999999996</v>
      </c>
      <c r="G27" s="9">
        <v>1.4714408999999999E-2</v>
      </c>
      <c r="H27" s="167"/>
    </row>
    <row r="28" spans="1:8" x14ac:dyDescent="0.2">
      <c r="A28" s="5">
        <v>22</v>
      </c>
      <c r="B28" s="6" t="s">
        <v>163</v>
      </c>
      <c r="C28" s="6" t="s">
        <v>164</v>
      </c>
      <c r="D28" s="6" t="s">
        <v>167</v>
      </c>
      <c r="E28" s="7">
        <v>7886</v>
      </c>
      <c r="F28" s="8">
        <v>68.414992999999996</v>
      </c>
      <c r="G28" s="9">
        <v>1.4634605E-2</v>
      </c>
      <c r="H28" s="167"/>
    </row>
    <row r="29" spans="1:8" x14ac:dyDescent="0.2">
      <c r="A29" s="5">
        <v>23</v>
      </c>
      <c r="B29" s="6" t="s">
        <v>206</v>
      </c>
      <c r="C29" s="6" t="s">
        <v>207</v>
      </c>
      <c r="D29" s="6" t="s">
        <v>32</v>
      </c>
      <c r="E29" s="7">
        <v>72425</v>
      </c>
      <c r="F29" s="8">
        <v>68.079499999999996</v>
      </c>
      <c r="G29" s="9">
        <v>1.4562840000000001E-2</v>
      </c>
      <c r="H29" s="167"/>
    </row>
    <row r="30" spans="1:8" x14ac:dyDescent="0.2">
      <c r="A30" s="5">
        <v>24</v>
      </c>
      <c r="B30" s="6" t="s">
        <v>198</v>
      </c>
      <c r="C30" s="6" t="s">
        <v>199</v>
      </c>
      <c r="D30" s="6" t="s">
        <v>167</v>
      </c>
      <c r="E30" s="7">
        <v>7999</v>
      </c>
      <c r="F30" s="8">
        <v>65.899761499999997</v>
      </c>
      <c r="G30" s="9">
        <v>1.4096574000000001E-2</v>
      </c>
      <c r="H30" s="167"/>
    </row>
    <row r="31" spans="1:8" x14ac:dyDescent="0.2">
      <c r="A31" s="5">
        <v>25</v>
      </c>
      <c r="B31" s="6" t="s">
        <v>216</v>
      </c>
      <c r="C31" s="6" t="s">
        <v>217</v>
      </c>
      <c r="D31" s="6" t="s">
        <v>192</v>
      </c>
      <c r="E31" s="7">
        <v>12470</v>
      </c>
      <c r="F31" s="8">
        <v>65.311625000000006</v>
      </c>
      <c r="G31" s="9">
        <v>1.3970766000000001E-2</v>
      </c>
      <c r="H31" s="167"/>
    </row>
    <row r="32" spans="1:8" x14ac:dyDescent="0.2">
      <c r="A32" s="5">
        <v>26</v>
      </c>
      <c r="B32" s="6" t="s">
        <v>220</v>
      </c>
      <c r="C32" s="6" t="s">
        <v>221</v>
      </c>
      <c r="D32" s="6" t="s">
        <v>158</v>
      </c>
      <c r="E32" s="7">
        <v>114515</v>
      </c>
      <c r="F32" s="8">
        <v>65.216292499999994</v>
      </c>
      <c r="G32" s="9">
        <v>1.3950373E-2</v>
      </c>
      <c r="H32" s="167"/>
    </row>
    <row r="33" spans="1:8" x14ac:dyDescent="0.2">
      <c r="A33" s="5">
        <v>27</v>
      </c>
      <c r="B33" s="6" t="s">
        <v>222</v>
      </c>
      <c r="C33" s="6" t="s">
        <v>223</v>
      </c>
      <c r="D33" s="6" t="s">
        <v>971</v>
      </c>
      <c r="E33" s="7">
        <v>19697</v>
      </c>
      <c r="F33" s="8">
        <v>64.606160000000003</v>
      </c>
      <c r="G33" s="9">
        <v>1.381986E-2</v>
      </c>
      <c r="H33" s="167"/>
    </row>
    <row r="34" spans="1:8" x14ac:dyDescent="0.2">
      <c r="A34" s="5">
        <v>28</v>
      </c>
      <c r="B34" s="6" t="s">
        <v>451</v>
      </c>
      <c r="C34" s="6" t="s">
        <v>452</v>
      </c>
      <c r="D34" s="6" t="s">
        <v>67</v>
      </c>
      <c r="E34" s="7">
        <v>13487</v>
      </c>
      <c r="F34" s="8">
        <v>64.083480499999993</v>
      </c>
      <c r="G34" s="9">
        <v>1.3708054000000001E-2</v>
      </c>
      <c r="H34" s="167"/>
    </row>
    <row r="35" spans="1:8" x14ac:dyDescent="0.2">
      <c r="A35" s="5">
        <v>29</v>
      </c>
      <c r="B35" s="6" t="s">
        <v>174</v>
      </c>
      <c r="C35" s="6" t="s">
        <v>175</v>
      </c>
      <c r="D35" s="6" t="s">
        <v>50</v>
      </c>
      <c r="E35" s="7">
        <v>14751</v>
      </c>
      <c r="F35" s="8">
        <v>62.507362499999999</v>
      </c>
      <c r="G35" s="9">
        <v>1.3370908000000001E-2</v>
      </c>
      <c r="H35" s="167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29</v>
      </c>
      <c r="E36" s="7">
        <v>4621</v>
      </c>
      <c r="F36" s="8">
        <v>62.242559499999999</v>
      </c>
      <c r="G36" s="9">
        <v>1.3314263999999999E-2</v>
      </c>
      <c r="H36" s="167"/>
    </row>
    <row r="37" spans="1:8" ht="25.5" x14ac:dyDescent="0.2">
      <c r="A37" s="5">
        <v>31</v>
      </c>
      <c r="B37" s="6" t="s">
        <v>228</v>
      </c>
      <c r="C37" s="6" t="s">
        <v>229</v>
      </c>
      <c r="D37" s="6" t="s">
        <v>78</v>
      </c>
      <c r="E37" s="7">
        <v>18151</v>
      </c>
      <c r="F37" s="8">
        <v>61.649871500000003</v>
      </c>
      <c r="G37" s="9">
        <v>1.3187483E-2</v>
      </c>
      <c r="H37" s="167"/>
    </row>
    <row r="38" spans="1:8" ht="25.5" x14ac:dyDescent="0.2">
      <c r="A38" s="5">
        <v>32</v>
      </c>
      <c r="B38" s="6" t="s">
        <v>449</v>
      </c>
      <c r="C38" s="6" t="s">
        <v>450</v>
      </c>
      <c r="D38" s="6" t="s">
        <v>37</v>
      </c>
      <c r="E38" s="7">
        <v>5026</v>
      </c>
      <c r="F38" s="8">
        <v>60.912607000000001</v>
      </c>
      <c r="G38" s="9">
        <v>1.3029775E-2</v>
      </c>
      <c r="H38" s="167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158</v>
      </c>
      <c r="E39" s="7">
        <v>10678</v>
      </c>
      <c r="F39" s="8">
        <v>60.741802999999997</v>
      </c>
      <c r="G39" s="9">
        <v>1.2993238000000001E-2</v>
      </c>
      <c r="H39" s="167"/>
    </row>
    <row r="40" spans="1:8" x14ac:dyDescent="0.2">
      <c r="A40" s="5">
        <v>34</v>
      </c>
      <c r="B40" s="6" t="s">
        <v>202</v>
      </c>
      <c r="C40" s="6" t="s">
        <v>203</v>
      </c>
      <c r="D40" s="6" t="s">
        <v>57</v>
      </c>
      <c r="E40" s="7">
        <v>5583</v>
      </c>
      <c r="F40" s="8">
        <v>60.128909999999998</v>
      </c>
      <c r="G40" s="9">
        <v>1.2862135E-2</v>
      </c>
      <c r="H40" s="167"/>
    </row>
    <row r="41" spans="1:8" x14ac:dyDescent="0.2">
      <c r="A41" s="5">
        <v>35</v>
      </c>
      <c r="B41" s="6" t="s">
        <v>453</v>
      </c>
      <c r="C41" s="6" t="s">
        <v>454</v>
      </c>
      <c r="D41" s="6" t="s">
        <v>158</v>
      </c>
      <c r="E41" s="7">
        <v>18788</v>
      </c>
      <c r="F41" s="8">
        <v>59.877355999999999</v>
      </c>
      <c r="G41" s="9">
        <v>1.2808325000000001E-2</v>
      </c>
      <c r="H41" s="167"/>
    </row>
    <row r="42" spans="1:8" x14ac:dyDescent="0.2">
      <c r="A42" s="5">
        <v>36</v>
      </c>
      <c r="B42" s="6" t="s">
        <v>195</v>
      </c>
      <c r="C42" s="6" t="s">
        <v>196</v>
      </c>
      <c r="D42" s="6" t="s">
        <v>197</v>
      </c>
      <c r="E42" s="7">
        <v>7639</v>
      </c>
      <c r="F42" s="8">
        <v>57.708825500000003</v>
      </c>
      <c r="G42" s="9">
        <v>1.2344456E-2</v>
      </c>
      <c r="H42" s="167"/>
    </row>
    <row r="43" spans="1:8" x14ac:dyDescent="0.2">
      <c r="A43" s="5">
        <v>37</v>
      </c>
      <c r="B43" s="6" t="s">
        <v>232</v>
      </c>
      <c r="C43" s="6" t="s">
        <v>233</v>
      </c>
      <c r="D43" s="6" t="s">
        <v>185</v>
      </c>
      <c r="E43" s="7">
        <v>15992</v>
      </c>
      <c r="F43" s="8">
        <v>57.475248000000001</v>
      </c>
      <c r="G43" s="9">
        <v>1.2294492000000001E-2</v>
      </c>
      <c r="H43" s="167"/>
    </row>
    <row r="44" spans="1:8" x14ac:dyDescent="0.2">
      <c r="A44" s="5">
        <v>38</v>
      </c>
      <c r="B44" s="6" t="s">
        <v>30</v>
      </c>
      <c r="C44" s="6" t="s">
        <v>31</v>
      </c>
      <c r="D44" s="6" t="s">
        <v>32</v>
      </c>
      <c r="E44" s="7">
        <v>22079</v>
      </c>
      <c r="F44" s="8">
        <v>57.173570499999997</v>
      </c>
      <c r="G44" s="9">
        <v>1.222996E-2</v>
      </c>
      <c r="H44" s="167"/>
    </row>
    <row r="45" spans="1:8" x14ac:dyDescent="0.2">
      <c r="A45" s="5">
        <v>39</v>
      </c>
      <c r="B45" s="6" t="s">
        <v>461</v>
      </c>
      <c r="C45" s="6" t="s">
        <v>462</v>
      </c>
      <c r="D45" s="6" t="s">
        <v>972</v>
      </c>
      <c r="E45" s="7">
        <v>74960</v>
      </c>
      <c r="F45" s="8">
        <v>56.632280000000002</v>
      </c>
      <c r="G45" s="9">
        <v>1.2114173000000001E-2</v>
      </c>
      <c r="H45" s="167"/>
    </row>
    <row r="46" spans="1:8" x14ac:dyDescent="0.2">
      <c r="A46" s="5">
        <v>40</v>
      </c>
      <c r="B46" s="6" t="s">
        <v>226</v>
      </c>
      <c r="C46" s="6" t="s">
        <v>227</v>
      </c>
      <c r="D46" s="6" t="s">
        <v>32</v>
      </c>
      <c r="E46" s="7">
        <v>6936</v>
      </c>
      <c r="F46" s="8">
        <v>54.877631999999998</v>
      </c>
      <c r="G46" s="9">
        <v>1.1738837E-2</v>
      </c>
      <c r="H46" s="167"/>
    </row>
    <row r="47" spans="1:8" x14ac:dyDescent="0.2">
      <c r="A47" s="5">
        <v>41</v>
      </c>
      <c r="B47" s="6" t="s">
        <v>250</v>
      </c>
      <c r="C47" s="6" t="s">
        <v>251</v>
      </c>
      <c r="D47" s="6" t="s">
        <v>75</v>
      </c>
      <c r="E47" s="7">
        <v>8499</v>
      </c>
      <c r="F47" s="8">
        <v>52.026628500000001</v>
      </c>
      <c r="G47" s="9">
        <v>1.1128981E-2</v>
      </c>
      <c r="H47" s="167"/>
    </row>
    <row r="48" spans="1:8" x14ac:dyDescent="0.2">
      <c r="A48" s="5">
        <v>42</v>
      </c>
      <c r="B48" s="6" t="s">
        <v>286</v>
      </c>
      <c r="C48" s="6" t="s">
        <v>287</v>
      </c>
      <c r="D48" s="6" t="s">
        <v>29</v>
      </c>
      <c r="E48" s="7">
        <v>5065</v>
      </c>
      <c r="F48" s="8">
        <v>51.386957500000001</v>
      </c>
      <c r="G48" s="9">
        <v>1.0992149999999999E-2</v>
      </c>
      <c r="H48" s="167"/>
    </row>
    <row r="49" spans="1:8" x14ac:dyDescent="0.2">
      <c r="A49" s="5">
        <v>43</v>
      </c>
      <c r="B49" s="6" t="s">
        <v>254</v>
      </c>
      <c r="C49" s="6" t="s">
        <v>255</v>
      </c>
      <c r="D49" s="6" t="s">
        <v>971</v>
      </c>
      <c r="E49" s="7">
        <v>10548</v>
      </c>
      <c r="F49" s="8">
        <v>50.851908000000002</v>
      </c>
      <c r="G49" s="9">
        <v>1.0877698E-2</v>
      </c>
      <c r="H49" s="167"/>
    </row>
    <row r="50" spans="1:8" x14ac:dyDescent="0.2">
      <c r="A50" s="5">
        <v>44</v>
      </c>
      <c r="B50" s="6" t="s">
        <v>248</v>
      </c>
      <c r="C50" s="6" t="s">
        <v>249</v>
      </c>
      <c r="D50" s="6" t="s">
        <v>192</v>
      </c>
      <c r="E50" s="7">
        <v>3496</v>
      </c>
      <c r="F50" s="8">
        <v>50.719968000000001</v>
      </c>
      <c r="G50" s="9">
        <v>1.0849474E-2</v>
      </c>
      <c r="H50" s="167"/>
    </row>
    <row r="51" spans="1:8" ht="25.5" x14ac:dyDescent="0.2">
      <c r="A51" s="5">
        <v>45</v>
      </c>
      <c r="B51" s="6" t="s">
        <v>241</v>
      </c>
      <c r="C51" s="6" t="s">
        <v>242</v>
      </c>
      <c r="D51" s="6" t="s">
        <v>153</v>
      </c>
      <c r="E51" s="7">
        <v>13363</v>
      </c>
      <c r="F51" s="8">
        <v>50.224835499999998</v>
      </c>
      <c r="G51" s="9">
        <v>1.0743561E-2</v>
      </c>
      <c r="H51" s="167"/>
    </row>
    <row r="52" spans="1:8" x14ac:dyDescent="0.2">
      <c r="A52" s="5">
        <v>46</v>
      </c>
      <c r="B52" s="6" t="s">
        <v>260</v>
      </c>
      <c r="C52" s="6" t="s">
        <v>926</v>
      </c>
      <c r="D52" s="6" t="s">
        <v>261</v>
      </c>
      <c r="E52" s="7">
        <v>20978</v>
      </c>
      <c r="F52" s="8">
        <v>50.001063000000002</v>
      </c>
      <c r="G52" s="9">
        <v>1.0695694E-2</v>
      </c>
      <c r="H52" s="167"/>
    </row>
    <row r="53" spans="1:8" x14ac:dyDescent="0.2">
      <c r="A53" s="5">
        <v>47</v>
      </c>
      <c r="B53" s="6" t="s">
        <v>234</v>
      </c>
      <c r="C53" s="6" t="s">
        <v>235</v>
      </c>
      <c r="D53" s="6" t="s">
        <v>29</v>
      </c>
      <c r="E53" s="7">
        <v>42479</v>
      </c>
      <c r="F53" s="8">
        <v>49.572992999999997</v>
      </c>
      <c r="G53" s="9">
        <v>1.0604126E-2</v>
      </c>
      <c r="H53" s="167"/>
    </row>
    <row r="54" spans="1:8" x14ac:dyDescent="0.2">
      <c r="A54" s="5">
        <v>48</v>
      </c>
      <c r="B54" s="6" t="s">
        <v>252</v>
      </c>
      <c r="C54" s="6" t="s">
        <v>253</v>
      </c>
      <c r="D54" s="6" t="s">
        <v>158</v>
      </c>
      <c r="E54" s="7">
        <v>8996</v>
      </c>
      <c r="F54" s="8">
        <v>49.334063999999998</v>
      </c>
      <c r="G54" s="9">
        <v>1.0553017E-2</v>
      </c>
      <c r="H54" s="167"/>
    </row>
    <row r="55" spans="1:8" ht="25.5" x14ac:dyDescent="0.2">
      <c r="A55" s="5">
        <v>49</v>
      </c>
      <c r="B55" s="6" t="s">
        <v>243</v>
      </c>
      <c r="C55" s="6" t="s">
        <v>244</v>
      </c>
      <c r="D55" s="6" t="s">
        <v>78</v>
      </c>
      <c r="E55" s="7">
        <v>13540</v>
      </c>
      <c r="F55" s="8">
        <v>47.999299999999998</v>
      </c>
      <c r="G55" s="9">
        <v>1.0267498E-2</v>
      </c>
      <c r="H55" s="167"/>
    </row>
    <row r="56" spans="1:8" x14ac:dyDescent="0.2">
      <c r="A56" s="5">
        <v>50</v>
      </c>
      <c r="B56" s="6" t="s">
        <v>258</v>
      </c>
      <c r="C56" s="6" t="s">
        <v>259</v>
      </c>
      <c r="D56" s="6" t="s">
        <v>23</v>
      </c>
      <c r="E56" s="7">
        <v>44477</v>
      </c>
      <c r="F56" s="8">
        <v>46.678611500000002</v>
      </c>
      <c r="G56" s="9">
        <v>9.9849899999999991E-3</v>
      </c>
      <c r="H56" s="167"/>
    </row>
    <row r="57" spans="1:8" ht="25.5" x14ac:dyDescent="0.2">
      <c r="A57" s="5">
        <v>51</v>
      </c>
      <c r="B57" s="6" t="s">
        <v>161</v>
      </c>
      <c r="C57" s="6" t="s">
        <v>162</v>
      </c>
      <c r="D57" s="6" t="s">
        <v>970</v>
      </c>
      <c r="E57" s="7">
        <v>25558</v>
      </c>
      <c r="F57" s="8">
        <v>46.579455000000003</v>
      </c>
      <c r="G57" s="9">
        <v>9.9637800000000002E-3</v>
      </c>
      <c r="H57" s="167"/>
    </row>
    <row r="58" spans="1:8" x14ac:dyDescent="0.2">
      <c r="A58" s="5">
        <v>52</v>
      </c>
      <c r="B58" s="6" t="s">
        <v>95</v>
      </c>
      <c r="C58" s="6" t="s">
        <v>96</v>
      </c>
      <c r="D58" s="6" t="s">
        <v>75</v>
      </c>
      <c r="E58" s="7">
        <v>17752</v>
      </c>
      <c r="F58" s="8">
        <v>45.453995999999997</v>
      </c>
      <c r="G58" s="9">
        <v>9.7230340000000002E-3</v>
      </c>
      <c r="H58" s="167"/>
    </row>
    <row r="59" spans="1:8" x14ac:dyDescent="0.2">
      <c r="A59" s="5">
        <v>53</v>
      </c>
      <c r="B59" s="6" t="s">
        <v>270</v>
      </c>
      <c r="C59" s="6" t="s">
        <v>271</v>
      </c>
      <c r="D59" s="6" t="s">
        <v>75</v>
      </c>
      <c r="E59" s="7">
        <v>28401</v>
      </c>
      <c r="F59" s="8">
        <v>44.901980999999999</v>
      </c>
      <c r="G59" s="9">
        <v>9.6049529999999994E-3</v>
      </c>
      <c r="H59" s="167"/>
    </row>
    <row r="60" spans="1:8" x14ac:dyDescent="0.2">
      <c r="A60" s="5">
        <v>54</v>
      </c>
      <c r="B60" s="6" t="s">
        <v>262</v>
      </c>
      <c r="C60" s="6" t="s">
        <v>263</v>
      </c>
      <c r="D60" s="6" t="s">
        <v>185</v>
      </c>
      <c r="E60" s="7">
        <v>7781</v>
      </c>
      <c r="F60" s="8">
        <v>44.2466565</v>
      </c>
      <c r="G60" s="9">
        <v>9.4647729999999992E-3</v>
      </c>
      <c r="H60" s="167"/>
    </row>
    <row r="61" spans="1:8" x14ac:dyDescent="0.2">
      <c r="A61" s="5">
        <v>55</v>
      </c>
      <c r="B61" s="6" t="s">
        <v>230</v>
      </c>
      <c r="C61" s="6" t="s">
        <v>231</v>
      </c>
      <c r="D61" s="6" t="s">
        <v>75</v>
      </c>
      <c r="E61" s="7">
        <v>7330</v>
      </c>
      <c r="F61" s="8">
        <v>44.243879999999997</v>
      </c>
      <c r="G61" s="9">
        <v>9.4641789999999996E-3</v>
      </c>
      <c r="H61" s="167"/>
    </row>
    <row r="62" spans="1:8" x14ac:dyDescent="0.2">
      <c r="A62" s="5">
        <v>56</v>
      </c>
      <c r="B62" s="6" t="s">
        <v>459</v>
      </c>
      <c r="C62" s="6" t="s">
        <v>460</v>
      </c>
      <c r="D62" s="6" t="s">
        <v>29</v>
      </c>
      <c r="E62" s="7">
        <v>7346</v>
      </c>
      <c r="F62" s="8">
        <v>43.969482999999997</v>
      </c>
      <c r="G62" s="9">
        <v>9.4054829999999992E-3</v>
      </c>
      <c r="H62" s="167"/>
    </row>
    <row r="63" spans="1:8" x14ac:dyDescent="0.2">
      <c r="A63" s="5">
        <v>57</v>
      </c>
      <c r="B63" s="6" t="s">
        <v>218</v>
      </c>
      <c r="C63" s="6" t="s">
        <v>219</v>
      </c>
      <c r="D63" s="6" t="s">
        <v>973</v>
      </c>
      <c r="E63" s="7">
        <v>6263</v>
      </c>
      <c r="F63" s="8">
        <v>42.782553</v>
      </c>
      <c r="G63" s="9">
        <v>9.1515869999999992E-3</v>
      </c>
      <c r="H63" s="167"/>
    </row>
    <row r="64" spans="1:8" x14ac:dyDescent="0.2">
      <c r="A64" s="5">
        <v>58</v>
      </c>
      <c r="B64" s="6" t="s">
        <v>463</v>
      </c>
      <c r="C64" s="6" t="s">
        <v>464</v>
      </c>
      <c r="D64" s="6" t="s">
        <v>158</v>
      </c>
      <c r="E64" s="7">
        <v>6433</v>
      </c>
      <c r="F64" s="8">
        <v>40.289878999999999</v>
      </c>
      <c r="G64" s="9">
        <v>8.6183809999999996E-3</v>
      </c>
      <c r="H64" s="167"/>
    </row>
    <row r="65" spans="1:8" ht="25.5" x14ac:dyDescent="0.2">
      <c r="A65" s="5">
        <v>59</v>
      </c>
      <c r="B65" s="6" t="s">
        <v>256</v>
      </c>
      <c r="C65" s="6" t="s">
        <v>257</v>
      </c>
      <c r="D65" s="6" t="s">
        <v>975</v>
      </c>
      <c r="E65" s="7">
        <v>45634</v>
      </c>
      <c r="F65" s="8">
        <v>38.720449000000002</v>
      </c>
      <c r="G65" s="9">
        <v>8.2826649999999998E-3</v>
      </c>
      <c r="H65" s="167"/>
    </row>
    <row r="66" spans="1:8" x14ac:dyDescent="0.2">
      <c r="A66" s="5">
        <v>60</v>
      </c>
      <c r="B66" s="6" t="s">
        <v>245</v>
      </c>
      <c r="C66" s="6" t="s">
        <v>246</v>
      </c>
      <c r="D66" s="6" t="s">
        <v>247</v>
      </c>
      <c r="E66" s="7">
        <v>23472</v>
      </c>
      <c r="F66" s="8">
        <v>38.494079999999997</v>
      </c>
      <c r="G66" s="9">
        <v>8.2342430000000005E-3</v>
      </c>
      <c r="H66" s="167"/>
    </row>
    <row r="67" spans="1:8" x14ac:dyDescent="0.2">
      <c r="A67" s="5">
        <v>61</v>
      </c>
      <c r="B67" s="6" t="s">
        <v>274</v>
      </c>
      <c r="C67" s="6" t="s">
        <v>275</v>
      </c>
      <c r="D67" s="6" t="s">
        <v>153</v>
      </c>
      <c r="E67" s="7">
        <v>2348</v>
      </c>
      <c r="F67" s="8">
        <v>36.017145999999997</v>
      </c>
      <c r="G67" s="9">
        <v>7.7044039999999998E-3</v>
      </c>
      <c r="H67" s="167"/>
    </row>
    <row r="68" spans="1:8" x14ac:dyDescent="0.2">
      <c r="A68" s="5">
        <v>62</v>
      </c>
      <c r="B68" s="6" t="s">
        <v>272</v>
      </c>
      <c r="C68" s="6" t="s">
        <v>273</v>
      </c>
      <c r="D68" s="6" t="s">
        <v>972</v>
      </c>
      <c r="E68" s="7">
        <v>2065</v>
      </c>
      <c r="F68" s="8">
        <v>31.98685</v>
      </c>
      <c r="G68" s="9">
        <v>6.8422860000000004E-3</v>
      </c>
      <c r="H68" s="167"/>
    </row>
    <row r="69" spans="1:8" x14ac:dyDescent="0.2">
      <c r="A69" s="5">
        <v>63</v>
      </c>
      <c r="B69" s="6" t="s">
        <v>276</v>
      </c>
      <c r="C69" s="6" t="s">
        <v>277</v>
      </c>
      <c r="D69" s="6" t="s">
        <v>167</v>
      </c>
      <c r="E69" s="7">
        <v>4487</v>
      </c>
      <c r="F69" s="8">
        <v>24.8736845</v>
      </c>
      <c r="G69" s="9">
        <v>5.3207130000000004E-3</v>
      </c>
      <c r="H69" s="167"/>
    </row>
    <row r="70" spans="1:8" x14ac:dyDescent="0.2">
      <c r="A70" s="5">
        <v>64</v>
      </c>
      <c r="B70" s="6" t="s">
        <v>280</v>
      </c>
      <c r="C70" s="6" t="s">
        <v>281</v>
      </c>
      <c r="D70" s="6" t="s">
        <v>971</v>
      </c>
      <c r="E70" s="7">
        <v>49635</v>
      </c>
      <c r="F70" s="8">
        <v>20.747430000000001</v>
      </c>
      <c r="G70" s="9">
        <v>4.4380690000000002E-3</v>
      </c>
      <c r="H70" s="167"/>
    </row>
    <row r="71" spans="1:8" x14ac:dyDescent="0.2">
      <c r="A71" s="5">
        <v>65</v>
      </c>
      <c r="B71" s="6" t="s">
        <v>282</v>
      </c>
      <c r="C71" s="6" t="s">
        <v>283</v>
      </c>
      <c r="D71" s="6" t="s">
        <v>284</v>
      </c>
      <c r="E71" s="7">
        <v>11719</v>
      </c>
      <c r="F71" s="8">
        <v>16.992550000000001</v>
      </c>
      <c r="G71" s="9">
        <v>3.6348650000000001E-3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0">
        <v>4575.2553690000004</v>
      </c>
      <c r="G72" s="11">
        <v>0.978689806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105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106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110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111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112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113</v>
      </c>
      <c r="D89" s="3" t="s">
        <v>10</v>
      </c>
      <c r="E89" s="3" t="s">
        <v>10</v>
      </c>
      <c r="F89" s="10">
        <v>4575.2553690000004</v>
      </c>
      <c r="G89" s="11">
        <v>0.978689806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114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ht="25.5" x14ac:dyDescent="0.2">
      <c r="A92" s="3" t="s">
        <v>10</v>
      </c>
      <c r="B92" s="3" t="s">
        <v>10</v>
      </c>
      <c r="C92" s="4" t="s">
        <v>12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115</v>
      </c>
      <c r="D95" s="3" t="s">
        <v>10</v>
      </c>
      <c r="E95" s="3" t="s">
        <v>10</v>
      </c>
      <c r="F95" s="3" t="s">
        <v>10</v>
      </c>
      <c r="G95" s="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116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117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118</v>
      </c>
      <c r="D104" s="3" t="s">
        <v>10</v>
      </c>
      <c r="E104" s="3" t="s">
        <v>10</v>
      </c>
      <c r="F104" s="10">
        <v>0</v>
      </c>
      <c r="G104" s="11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119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120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121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122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123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5">
        <v>1</v>
      </c>
      <c r="B117" s="6"/>
      <c r="C117" s="6" t="s">
        <v>124</v>
      </c>
      <c r="D117" s="6"/>
      <c r="E117" s="16" t="s">
        <v>10</v>
      </c>
      <c r="F117" s="8">
        <v>20.949744500000001</v>
      </c>
      <c r="G117" s="9">
        <v>4.4813459999999998E-3</v>
      </c>
      <c r="H117" s="108">
        <v>3.23</v>
      </c>
    </row>
    <row r="118" spans="1:8" x14ac:dyDescent="0.2">
      <c r="A118" s="5">
        <v>2</v>
      </c>
      <c r="B118" s="6"/>
      <c r="C118" s="6" t="s">
        <v>125</v>
      </c>
      <c r="D118" s="6"/>
      <c r="E118" s="16" t="s">
        <v>10</v>
      </c>
      <c r="F118" s="8">
        <v>5.8845574000000003</v>
      </c>
      <c r="G118" s="9">
        <v>1.2587620000000001E-3</v>
      </c>
      <c r="H118" s="108">
        <v>3.35</v>
      </c>
    </row>
    <row r="119" spans="1:8" x14ac:dyDescent="0.2">
      <c r="A119" s="3" t="s">
        <v>10</v>
      </c>
      <c r="B119" s="3" t="s">
        <v>10</v>
      </c>
      <c r="C119" s="4" t="s">
        <v>104</v>
      </c>
      <c r="D119" s="3" t="s">
        <v>10</v>
      </c>
      <c r="E119" s="3" t="s">
        <v>10</v>
      </c>
      <c r="F119" s="10">
        <v>26.8343019</v>
      </c>
      <c r="G119" s="11">
        <v>5.7401079999999998E-3</v>
      </c>
      <c r="H119" s="167"/>
    </row>
    <row r="120" spans="1:8" x14ac:dyDescent="0.2">
      <c r="A120" s="3" t="s">
        <v>10</v>
      </c>
      <c r="B120" s="3" t="s">
        <v>10</v>
      </c>
      <c r="C120" s="12" t="s">
        <v>10</v>
      </c>
      <c r="D120" s="3" t="s">
        <v>10</v>
      </c>
      <c r="E120" s="3" t="s">
        <v>10</v>
      </c>
      <c r="F120" s="13" t="s">
        <v>10</v>
      </c>
      <c r="G120" s="1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126</v>
      </c>
      <c r="D121" s="3" t="s">
        <v>10</v>
      </c>
      <c r="E121" s="3" t="s">
        <v>10</v>
      </c>
      <c r="F121" s="10">
        <v>26.8343019</v>
      </c>
      <c r="G121" s="11">
        <v>5.7401079999999998E-3</v>
      </c>
      <c r="H121" s="167"/>
    </row>
    <row r="122" spans="1:8" x14ac:dyDescent="0.2">
      <c r="A122" s="3" t="s">
        <v>10</v>
      </c>
      <c r="B122" s="3" t="s">
        <v>10</v>
      </c>
      <c r="C122" s="13" t="s">
        <v>10</v>
      </c>
      <c r="D122" s="3" t="s">
        <v>10</v>
      </c>
      <c r="E122" s="3" t="s">
        <v>10</v>
      </c>
      <c r="F122" s="3" t="s">
        <v>10</v>
      </c>
      <c r="G122" s="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127</v>
      </c>
      <c r="D123" s="3" t="s">
        <v>10</v>
      </c>
      <c r="E123" s="3" t="s">
        <v>10</v>
      </c>
      <c r="F123" s="3" t="s">
        <v>10</v>
      </c>
      <c r="G123" s="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128</v>
      </c>
      <c r="D124" s="3" t="s">
        <v>10</v>
      </c>
      <c r="E124" s="3" t="s">
        <v>10</v>
      </c>
      <c r="F124" s="3" t="s">
        <v>10</v>
      </c>
      <c r="G124" s="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104</v>
      </c>
      <c r="D125" s="3" t="s">
        <v>10</v>
      </c>
      <c r="E125" s="3" t="s">
        <v>10</v>
      </c>
      <c r="F125" s="14">
        <v>0</v>
      </c>
      <c r="G125" s="15">
        <v>0</v>
      </c>
      <c r="H125" s="167"/>
    </row>
    <row r="126" spans="1:8" x14ac:dyDescent="0.2">
      <c r="A126" s="3" t="s">
        <v>10</v>
      </c>
      <c r="B126" s="3" t="s">
        <v>10</v>
      </c>
      <c r="C126" s="12" t="s">
        <v>10</v>
      </c>
      <c r="D126" s="3" t="s">
        <v>10</v>
      </c>
      <c r="E126" s="3" t="s">
        <v>10</v>
      </c>
      <c r="F126" s="13" t="s">
        <v>10</v>
      </c>
      <c r="G126" s="13" t="s">
        <v>10</v>
      </c>
      <c r="H126" s="167"/>
    </row>
    <row r="127" spans="1:8" x14ac:dyDescent="0.2">
      <c r="A127" s="3" t="s">
        <v>10</v>
      </c>
      <c r="B127" s="3" t="s">
        <v>10</v>
      </c>
      <c r="C127" s="4" t="s">
        <v>129</v>
      </c>
      <c r="D127" s="3" t="s">
        <v>10</v>
      </c>
      <c r="E127" s="3" t="s">
        <v>10</v>
      </c>
      <c r="F127" s="3" t="s">
        <v>10</v>
      </c>
      <c r="G127" s="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130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104</v>
      </c>
      <c r="D129" s="3" t="s">
        <v>10</v>
      </c>
      <c r="E129" s="3" t="s">
        <v>10</v>
      </c>
      <c r="F129" s="14">
        <v>0</v>
      </c>
      <c r="G129" s="15">
        <v>0</v>
      </c>
      <c r="H129" s="167"/>
    </row>
    <row r="130" spans="1:8" x14ac:dyDescent="0.2">
      <c r="A130" s="3" t="s">
        <v>10</v>
      </c>
      <c r="B130" s="3" t="s">
        <v>10</v>
      </c>
      <c r="C130" s="12" t="s">
        <v>10</v>
      </c>
      <c r="D130" s="3" t="s">
        <v>10</v>
      </c>
      <c r="E130" s="3" t="s">
        <v>10</v>
      </c>
      <c r="F130" s="13" t="s">
        <v>10</v>
      </c>
      <c r="G130" s="13" t="s">
        <v>10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ht="25.5" x14ac:dyDescent="0.2">
      <c r="A132" s="3" t="s">
        <v>10</v>
      </c>
      <c r="B132" s="3" t="s">
        <v>10</v>
      </c>
      <c r="C132" s="4" t="s">
        <v>131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x14ac:dyDescent="0.2">
      <c r="A133" s="3" t="s">
        <v>10</v>
      </c>
      <c r="B133" s="3" t="s">
        <v>10</v>
      </c>
      <c r="C133" s="4" t="s">
        <v>104</v>
      </c>
      <c r="D133" s="3" t="s">
        <v>10</v>
      </c>
      <c r="E133" s="3" t="s">
        <v>10</v>
      </c>
      <c r="F133" s="14">
        <v>0</v>
      </c>
      <c r="G133" s="15">
        <v>0</v>
      </c>
      <c r="H133" s="167"/>
    </row>
    <row r="134" spans="1:8" x14ac:dyDescent="0.2">
      <c r="A134" s="3" t="s">
        <v>10</v>
      </c>
      <c r="B134" s="3" t="s">
        <v>10</v>
      </c>
      <c r="C134" s="12" t="s">
        <v>10</v>
      </c>
      <c r="D134" s="3" t="s">
        <v>10</v>
      </c>
      <c r="E134" s="3" t="s">
        <v>10</v>
      </c>
      <c r="F134" s="13" t="s">
        <v>10</v>
      </c>
      <c r="G134" s="13" t="s">
        <v>10</v>
      </c>
      <c r="H134" s="167"/>
    </row>
    <row r="135" spans="1:8" x14ac:dyDescent="0.2">
      <c r="A135" s="3" t="s">
        <v>10</v>
      </c>
      <c r="B135" s="6" t="s">
        <v>10</v>
      </c>
      <c r="C135" s="6" t="s">
        <v>10</v>
      </c>
      <c r="D135" s="4" t="s">
        <v>10</v>
      </c>
      <c r="E135" s="3" t="s">
        <v>10</v>
      </c>
      <c r="F135" s="6" t="s">
        <v>10</v>
      </c>
      <c r="G135" s="16" t="s">
        <v>10</v>
      </c>
      <c r="H135" s="167"/>
    </row>
    <row r="136" spans="1:8" x14ac:dyDescent="0.2">
      <c r="A136" s="16" t="s">
        <v>10</v>
      </c>
      <c r="B136" s="6" t="s">
        <v>10</v>
      </c>
      <c r="C136" s="6" t="s">
        <v>132</v>
      </c>
      <c r="D136" s="6" t="s">
        <v>10</v>
      </c>
      <c r="E136" s="16" t="s">
        <v>10</v>
      </c>
      <c r="F136" s="8">
        <v>72.788258409999997</v>
      </c>
      <c r="G136" s="9">
        <v>1.5570087E-2</v>
      </c>
      <c r="H136" s="167"/>
    </row>
    <row r="137" spans="1:8" x14ac:dyDescent="0.2">
      <c r="A137" s="12" t="s">
        <v>10</v>
      </c>
      <c r="B137" s="12" t="s">
        <v>10</v>
      </c>
      <c r="C137" s="4" t="s">
        <v>133</v>
      </c>
      <c r="D137" s="17" t="s">
        <v>10</v>
      </c>
      <c r="E137" s="17" t="s">
        <v>10</v>
      </c>
      <c r="F137" s="10">
        <v>4674.8779293099997</v>
      </c>
      <c r="G137" s="11">
        <v>1.0000000010000001</v>
      </c>
      <c r="H137" s="167"/>
    </row>
    <row r="138" spans="1:8" ht="14.1" customHeight="1" x14ac:dyDescent="0.2">
      <c r="A138" s="18" t="s">
        <v>10</v>
      </c>
      <c r="B138" s="18" t="s">
        <v>10</v>
      </c>
      <c r="C138" s="18" t="s">
        <v>10</v>
      </c>
      <c r="D138" s="19" t="s">
        <v>10</v>
      </c>
      <c r="E138" s="19" t="s">
        <v>10</v>
      </c>
      <c r="F138" s="19" t="s">
        <v>10</v>
      </c>
      <c r="G138" s="19" t="s">
        <v>10</v>
      </c>
    </row>
    <row r="139" spans="1:8" ht="14.1" customHeight="1" x14ac:dyDescent="0.2">
      <c r="A139" s="20" t="s">
        <v>10</v>
      </c>
      <c r="B139" s="208" t="s">
        <v>10</v>
      </c>
      <c r="C139" s="208"/>
      <c r="D139" s="208"/>
      <c r="E139" s="208"/>
      <c r="F139" s="208"/>
      <c r="G139" s="22" t="s">
        <v>10</v>
      </c>
    </row>
    <row r="140" spans="1:8" ht="14.1" customHeight="1" x14ac:dyDescent="0.2">
      <c r="A140" s="20" t="s">
        <v>10</v>
      </c>
      <c r="B140" s="208" t="s">
        <v>10</v>
      </c>
      <c r="C140" s="208"/>
      <c r="D140" s="208"/>
      <c r="E140" s="208"/>
      <c r="F140" s="208"/>
      <c r="G140" s="22" t="s">
        <v>10</v>
      </c>
    </row>
    <row r="141" spans="1:8" ht="14.1" customHeight="1" x14ac:dyDescent="0.2">
      <c r="A141" s="20" t="s">
        <v>10</v>
      </c>
      <c r="B141" s="20" t="s">
        <v>10</v>
      </c>
      <c r="C141" s="20" t="s">
        <v>10</v>
      </c>
      <c r="D141" s="22" t="s">
        <v>10</v>
      </c>
      <c r="E141" s="22" t="s">
        <v>10</v>
      </c>
      <c r="F141" s="22" t="s">
        <v>10</v>
      </c>
      <c r="G141" s="22" t="s">
        <v>10</v>
      </c>
    </row>
    <row r="142" spans="1:8" ht="14.1" customHeight="1" x14ac:dyDescent="0.2">
      <c r="A142" s="20" t="s">
        <v>10</v>
      </c>
      <c r="B142" s="206" t="s">
        <v>134</v>
      </c>
      <c r="C142" s="207"/>
      <c r="D142" s="13" t="s">
        <v>10</v>
      </c>
      <c r="E142" s="23" t="s">
        <v>10</v>
      </c>
      <c r="F142" s="22" t="s">
        <v>10</v>
      </c>
      <c r="G142" s="22" t="s">
        <v>10</v>
      </c>
    </row>
    <row r="143" spans="1:8" ht="29.1" customHeight="1" x14ac:dyDescent="0.2">
      <c r="A143" s="20" t="s">
        <v>10</v>
      </c>
      <c r="B143" s="213" t="s">
        <v>135</v>
      </c>
      <c r="C143" s="214"/>
      <c r="D143" s="4" t="s">
        <v>136</v>
      </c>
      <c r="E143" s="23" t="s">
        <v>10</v>
      </c>
      <c r="F143" s="22" t="s">
        <v>10</v>
      </c>
      <c r="G143" s="22" t="s">
        <v>10</v>
      </c>
    </row>
    <row r="144" spans="1:8" ht="17.100000000000001" customHeight="1" x14ac:dyDescent="0.2">
      <c r="A144" s="20" t="s">
        <v>10</v>
      </c>
      <c r="B144" s="213" t="s">
        <v>137</v>
      </c>
      <c r="C144" s="214"/>
      <c r="D144" s="4" t="s">
        <v>136</v>
      </c>
      <c r="E144" s="23" t="s">
        <v>10</v>
      </c>
      <c r="F144" s="22" t="s">
        <v>10</v>
      </c>
      <c r="G144" s="22" t="s">
        <v>10</v>
      </c>
    </row>
    <row r="145" spans="1:7" ht="17.100000000000001" customHeight="1" x14ac:dyDescent="0.2">
      <c r="A145" s="20" t="s">
        <v>10</v>
      </c>
      <c r="B145" s="213" t="s">
        <v>138</v>
      </c>
      <c r="C145" s="214"/>
      <c r="D145" s="13" t="s">
        <v>10</v>
      </c>
      <c r="E145" s="23" t="s">
        <v>10</v>
      </c>
      <c r="F145" s="22" t="s">
        <v>10</v>
      </c>
      <c r="G145" s="22" t="s">
        <v>10</v>
      </c>
    </row>
    <row r="146" spans="1:7" s="20" customFormat="1" ht="17.100000000000001" customHeight="1" x14ac:dyDescent="0.2"/>
    <row r="147" spans="1:7" x14ac:dyDescent="0.2">
      <c r="A147" s="24" t="s">
        <v>10</v>
      </c>
      <c r="B147" s="140" t="s">
        <v>10</v>
      </c>
      <c r="C147" s="140" t="s">
        <v>139</v>
      </c>
      <c r="D147" s="140" t="s">
        <v>140</v>
      </c>
      <c r="E147" s="24" t="s">
        <v>10</v>
      </c>
      <c r="F147" s="24" t="s">
        <v>10</v>
      </c>
      <c r="G147" s="24" t="s">
        <v>10</v>
      </c>
    </row>
    <row r="148" spans="1:7" ht="18" customHeight="1" x14ac:dyDescent="0.2">
      <c r="A148" s="24" t="s">
        <v>10</v>
      </c>
      <c r="B148" s="25" t="s">
        <v>141</v>
      </c>
      <c r="C148" s="25" t="s">
        <v>142</v>
      </c>
      <c r="D148" s="25" t="s">
        <v>143</v>
      </c>
      <c r="E148" s="24" t="s">
        <v>10</v>
      </c>
      <c r="F148" s="24" t="s">
        <v>10</v>
      </c>
      <c r="G148" s="24" t="s">
        <v>10</v>
      </c>
    </row>
    <row r="149" spans="1:7" ht="17.100000000000001" customHeight="1" x14ac:dyDescent="0.2">
      <c r="A149" s="24" t="s">
        <v>10</v>
      </c>
      <c r="B149" s="6" t="s">
        <v>144</v>
      </c>
      <c r="C149" s="26">
        <v>10.904999999999999</v>
      </c>
      <c r="D149" s="26">
        <v>12.148199999999999</v>
      </c>
      <c r="E149" s="24" t="s">
        <v>10</v>
      </c>
      <c r="F149" s="21" t="s">
        <v>10</v>
      </c>
      <c r="G149" s="27" t="s">
        <v>10</v>
      </c>
    </row>
    <row r="150" spans="1:7" ht="17.100000000000001" customHeight="1" x14ac:dyDescent="0.2">
      <c r="A150" s="24" t="s">
        <v>10</v>
      </c>
      <c r="B150" s="6" t="s">
        <v>917</v>
      </c>
      <c r="C150" s="26">
        <v>10.904999999999999</v>
      </c>
      <c r="D150" s="26">
        <v>12.148099999999999</v>
      </c>
      <c r="E150" s="24" t="s">
        <v>10</v>
      </c>
      <c r="F150" s="21" t="s">
        <v>10</v>
      </c>
      <c r="G150" s="27" t="s">
        <v>10</v>
      </c>
    </row>
    <row r="151" spans="1:7" ht="17.100000000000001" customHeight="1" x14ac:dyDescent="0.2">
      <c r="A151" s="24" t="s">
        <v>10</v>
      </c>
      <c r="B151" s="6" t="s">
        <v>145</v>
      </c>
      <c r="C151" s="26">
        <v>10.6669</v>
      </c>
      <c r="D151" s="26">
        <v>11.8819</v>
      </c>
      <c r="E151" s="24" t="s">
        <v>10</v>
      </c>
      <c r="F151" s="21" t="s">
        <v>10</v>
      </c>
      <c r="G151" s="27" t="s">
        <v>10</v>
      </c>
    </row>
    <row r="152" spans="1:7" ht="17.100000000000001" customHeight="1" x14ac:dyDescent="0.2">
      <c r="A152" s="24" t="s">
        <v>10</v>
      </c>
      <c r="B152" s="6" t="s">
        <v>918</v>
      </c>
      <c r="C152" s="26">
        <v>10.667</v>
      </c>
      <c r="D152" s="26">
        <v>11.882</v>
      </c>
      <c r="E152" s="24" t="s">
        <v>10</v>
      </c>
      <c r="F152" s="21" t="s">
        <v>10</v>
      </c>
      <c r="G152" s="27" t="s">
        <v>10</v>
      </c>
    </row>
    <row r="153" spans="1:7" ht="14.1" customHeight="1" x14ac:dyDescent="0.2">
      <c r="A153" s="24" t="s">
        <v>10</v>
      </c>
      <c r="B153" s="24" t="s">
        <v>10</v>
      </c>
      <c r="C153" s="24" t="s">
        <v>10</v>
      </c>
      <c r="D153" s="24" t="s">
        <v>10</v>
      </c>
      <c r="E153" s="24" t="s">
        <v>10</v>
      </c>
      <c r="F153" s="24" t="s">
        <v>10</v>
      </c>
      <c r="G153" s="24" t="s">
        <v>10</v>
      </c>
    </row>
    <row r="154" spans="1:7" ht="17.100000000000001" customHeight="1" x14ac:dyDescent="0.2">
      <c r="A154" s="24" t="s">
        <v>10</v>
      </c>
      <c r="B154" s="213" t="s">
        <v>999</v>
      </c>
      <c r="C154" s="214"/>
      <c r="D154" s="4" t="s">
        <v>136</v>
      </c>
      <c r="E154" s="24" t="s">
        <v>10</v>
      </c>
      <c r="F154" s="24" t="s">
        <v>10</v>
      </c>
      <c r="G154" s="24" t="s">
        <v>10</v>
      </c>
    </row>
    <row r="155" spans="1:7" ht="18" customHeight="1" x14ac:dyDescent="0.2">
      <c r="A155" s="24" t="s">
        <v>10</v>
      </c>
      <c r="B155" s="28"/>
      <c r="C155" s="28"/>
      <c r="D155" s="29" t="s">
        <v>10</v>
      </c>
      <c r="E155" s="24" t="s">
        <v>10</v>
      </c>
      <c r="F155" s="24" t="s">
        <v>10</v>
      </c>
      <c r="G155" s="24" t="s">
        <v>10</v>
      </c>
    </row>
    <row r="156" spans="1:7" s="175" customFormat="1" x14ac:dyDescent="0.2">
      <c r="B156" s="221" t="s">
        <v>919</v>
      </c>
      <c r="C156" s="221"/>
      <c r="D156" s="221"/>
      <c r="E156" s="221"/>
      <c r="F156" s="221"/>
    </row>
    <row r="157" spans="1:7" ht="14.1" customHeight="1" x14ac:dyDescent="0.2">
      <c r="A157" s="24" t="s">
        <v>10</v>
      </c>
      <c r="B157" s="21" t="s">
        <v>10</v>
      </c>
      <c r="C157" s="21" t="s">
        <v>10</v>
      </c>
      <c r="D157" s="24" t="s">
        <v>10</v>
      </c>
      <c r="E157" s="24" t="s">
        <v>10</v>
      </c>
      <c r="F157" s="24" t="s">
        <v>10</v>
      </c>
      <c r="G157" s="24" t="s">
        <v>10</v>
      </c>
    </row>
    <row r="158" spans="1:7" ht="29.1" customHeight="1" x14ac:dyDescent="0.2">
      <c r="A158" s="24" t="s">
        <v>10</v>
      </c>
      <c r="B158" s="213" t="s">
        <v>146</v>
      </c>
      <c r="C158" s="214"/>
      <c r="D158" s="4" t="s">
        <v>136</v>
      </c>
      <c r="E158" s="24" t="s">
        <v>10</v>
      </c>
      <c r="F158" s="24" t="s">
        <v>10</v>
      </c>
      <c r="G158" s="24" t="s">
        <v>10</v>
      </c>
    </row>
    <row r="159" spans="1:7" ht="29.1" customHeight="1" x14ac:dyDescent="0.2">
      <c r="A159" s="24" t="s">
        <v>10</v>
      </c>
      <c r="B159" s="213" t="s">
        <v>147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7" ht="17.100000000000001" customHeight="1" x14ac:dyDescent="0.2">
      <c r="A160" s="24" t="s">
        <v>10</v>
      </c>
      <c r="B160" s="213" t="s">
        <v>148</v>
      </c>
      <c r="C160" s="214"/>
      <c r="D160" s="30">
        <v>0.42381634732889312</v>
      </c>
      <c r="E160" s="24" t="s">
        <v>10</v>
      </c>
      <c r="F160" s="21" t="s">
        <v>10</v>
      </c>
      <c r="G160" s="27" t="s">
        <v>10</v>
      </c>
    </row>
    <row r="161" spans="1:7" ht="17.100000000000001" customHeight="1" x14ac:dyDescent="0.2">
      <c r="A161" s="24" t="s">
        <v>10</v>
      </c>
      <c r="B161" s="213" t="s">
        <v>149</v>
      </c>
      <c r="C161" s="214"/>
      <c r="D161" s="4" t="s">
        <v>136</v>
      </c>
      <c r="E161" s="24" t="s">
        <v>10</v>
      </c>
      <c r="F161" s="24" t="s">
        <v>10</v>
      </c>
      <c r="G161" s="24" t="s">
        <v>10</v>
      </c>
    </row>
  </sheetData>
  <mergeCells count="15">
    <mergeCell ref="B160:C160"/>
    <mergeCell ref="B161:C161"/>
    <mergeCell ref="B143:C143"/>
    <mergeCell ref="B144:C144"/>
    <mergeCell ref="B145:C145"/>
    <mergeCell ref="B154:C154"/>
    <mergeCell ref="B158:C158"/>
    <mergeCell ref="B159:C159"/>
    <mergeCell ref="B156:F156"/>
    <mergeCell ref="B142:C142"/>
    <mergeCell ref="B139:F139"/>
    <mergeCell ref="B140:F14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64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495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12264</v>
      </c>
      <c r="F7" s="8">
        <v>149.65145999999999</v>
      </c>
      <c r="G7" s="9">
        <v>3.6912595999999999E-2</v>
      </c>
      <c r="H7" s="167"/>
    </row>
    <row r="8" spans="1:8" x14ac:dyDescent="0.2">
      <c r="A8" s="5">
        <v>2</v>
      </c>
      <c r="B8" s="6" t="s">
        <v>467</v>
      </c>
      <c r="C8" s="6" t="s">
        <v>468</v>
      </c>
      <c r="D8" s="6" t="s">
        <v>192</v>
      </c>
      <c r="E8" s="7">
        <v>36279</v>
      </c>
      <c r="F8" s="8">
        <v>142.866702</v>
      </c>
      <c r="G8" s="9">
        <v>3.5239087000000002E-2</v>
      </c>
      <c r="H8" s="167"/>
    </row>
    <row r="9" spans="1:8" x14ac:dyDescent="0.2">
      <c r="A9" s="5">
        <v>3</v>
      </c>
      <c r="B9" s="6" t="s">
        <v>151</v>
      </c>
      <c r="C9" s="6" t="s">
        <v>152</v>
      </c>
      <c r="D9" s="6" t="s">
        <v>153</v>
      </c>
      <c r="E9" s="7">
        <v>4173</v>
      </c>
      <c r="F9" s="8">
        <v>134.57090400000001</v>
      </c>
      <c r="G9" s="9">
        <v>3.3192869999999999E-2</v>
      </c>
      <c r="H9" s="167"/>
    </row>
    <row r="10" spans="1:8" ht="25.5" x14ac:dyDescent="0.2">
      <c r="A10" s="5">
        <v>4</v>
      </c>
      <c r="B10" s="6" t="s">
        <v>161</v>
      </c>
      <c r="C10" s="6" t="s">
        <v>162</v>
      </c>
      <c r="D10" s="6" t="s">
        <v>970</v>
      </c>
      <c r="E10" s="7">
        <v>59961</v>
      </c>
      <c r="F10" s="8">
        <v>109.27892249999999</v>
      </c>
      <c r="G10" s="9">
        <v>2.6954423000000002E-2</v>
      </c>
      <c r="H10" s="167"/>
    </row>
    <row r="11" spans="1:8" x14ac:dyDescent="0.2">
      <c r="A11" s="5">
        <v>5</v>
      </c>
      <c r="B11" s="6" t="s">
        <v>159</v>
      </c>
      <c r="C11" s="6" t="s">
        <v>160</v>
      </c>
      <c r="D11" s="6" t="s">
        <v>29</v>
      </c>
      <c r="E11" s="7">
        <v>15959</v>
      </c>
      <c r="F11" s="8">
        <v>98.355316999999999</v>
      </c>
      <c r="G11" s="9">
        <v>2.4260038000000001E-2</v>
      </c>
      <c r="H11" s="167"/>
    </row>
    <row r="12" spans="1:8" ht="25.5" x14ac:dyDescent="0.2">
      <c r="A12" s="5">
        <v>6</v>
      </c>
      <c r="B12" s="6" t="s">
        <v>33</v>
      </c>
      <c r="C12" s="6" t="s">
        <v>34</v>
      </c>
      <c r="D12" s="6" t="s">
        <v>970</v>
      </c>
      <c r="E12" s="7">
        <v>3402</v>
      </c>
      <c r="F12" s="8">
        <v>96.938288999999997</v>
      </c>
      <c r="G12" s="9">
        <v>2.3910517999999999E-2</v>
      </c>
      <c r="H12" s="167"/>
    </row>
    <row r="13" spans="1:8" x14ac:dyDescent="0.2">
      <c r="A13" s="5">
        <v>7</v>
      </c>
      <c r="B13" s="6" t="s">
        <v>290</v>
      </c>
      <c r="C13" s="6" t="s">
        <v>291</v>
      </c>
      <c r="D13" s="6" t="s">
        <v>29</v>
      </c>
      <c r="E13" s="7">
        <v>20151</v>
      </c>
      <c r="F13" s="8">
        <v>96.493063500000005</v>
      </c>
      <c r="G13" s="9">
        <v>2.3800700000000001E-2</v>
      </c>
      <c r="H13" s="167"/>
    </row>
    <row r="14" spans="1:8" x14ac:dyDescent="0.2">
      <c r="A14" s="5">
        <v>8</v>
      </c>
      <c r="B14" s="6" t="s">
        <v>168</v>
      </c>
      <c r="C14" s="6" t="s">
        <v>169</v>
      </c>
      <c r="D14" s="6" t="s">
        <v>75</v>
      </c>
      <c r="E14" s="7">
        <v>24144</v>
      </c>
      <c r="F14" s="8">
        <v>96.068976000000006</v>
      </c>
      <c r="G14" s="9">
        <v>2.3696096E-2</v>
      </c>
      <c r="H14" s="167"/>
    </row>
    <row r="15" spans="1:8" x14ac:dyDescent="0.2">
      <c r="A15" s="5">
        <v>9</v>
      </c>
      <c r="B15" s="6" t="s">
        <v>447</v>
      </c>
      <c r="C15" s="6" t="s">
        <v>448</v>
      </c>
      <c r="D15" s="6" t="s">
        <v>75</v>
      </c>
      <c r="E15" s="7">
        <v>31195</v>
      </c>
      <c r="F15" s="8">
        <v>95.019970000000001</v>
      </c>
      <c r="G15" s="9">
        <v>2.3437350999999999E-2</v>
      </c>
      <c r="H15" s="167"/>
    </row>
    <row r="16" spans="1:8" x14ac:dyDescent="0.2">
      <c r="A16" s="5">
        <v>10</v>
      </c>
      <c r="B16" s="6" t="s">
        <v>46</v>
      </c>
      <c r="C16" s="6" t="s">
        <v>47</v>
      </c>
      <c r="D16" s="6" t="s">
        <v>29</v>
      </c>
      <c r="E16" s="7">
        <v>9615</v>
      </c>
      <c r="F16" s="8">
        <v>93.904897500000004</v>
      </c>
      <c r="G16" s="9">
        <v>2.3162309999999998E-2</v>
      </c>
      <c r="H16" s="167"/>
    </row>
    <row r="17" spans="1:8" x14ac:dyDescent="0.2">
      <c r="A17" s="5">
        <v>11</v>
      </c>
      <c r="B17" s="6" t="s">
        <v>156</v>
      </c>
      <c r="C17" s="6" t="s">
        <v>157</v>
      </c>
      <c r="D17" s="6" t="s">
        <v>158</v>
      </c>
      <c r="E17" s="7">
        <v>100688</v>
      </c>
      <c r="F17" s="8">
        <v>92.582616000000002</v>
      </c>
      <c r="G17" s="9">
        <v>2.2836160000000001E-2</v>
      </c>
      <c r="H17" s="167"/>
    </row>
    <row r="18" spans="1:8" x14ac:dyDescent="0.2">
      <c r="A18" s="5">
        <v>12</v>
      </c>
      <c r="B18" s="6" t="s">
        <v>311</v>
      </c>
      <c r="C18" s="6" t="s">
        <v>312</v>
      </c>
      <c r="D18" s="6" t="s">
        <v>185</v>
      </c>
      <c r="E18" s="7">
        <v>2551</v>
      </c>
      <c r="F18" s="8">
        <v>90.328359000000006</v>
      </c>
      <c r="G18" s="9">
        <v>2.2280132000000001E-2</v>
      </c>
      <c r="H18" s="167"/>
    </row>
    <row r="19" spans="1:8" x14ac:dyDescent="0.2">
      <c r="A19" s="5">
        <v>13</v>
      </c>
      <c r="B19" s="6" t="s">
        <v>165</v>
      </c>
      <c r="C19" s="6" t="s">
        <v>166</v>
      </c>
      <c r="D19" s="6" t="s">
        <v>167</v>
      </c>
      <c r="E19" s="7">
        <v>34865</v>
      </c>
      <c r="F19" s="8">
        <v>84.826544999999996</v>
      </c>
      <c r="G19" s="9">
        <v>2.0923069999999998E-2</v>
      </c>
      <c r="H19" s="167"/>
    </row>
    <row r="20" spans="1:8" ht="25.5" x14ac:dyDescent="0.2">
      <c r="A20" s="5">
        <v>14</v>
      </c>
      <c r="B20" s="6" t="s">
        <v>172</v>
      </c>
      <c r="C20" s="6" t="s">
        <v>173</v>
      </c>
      <c r="D20" s="6" t="s">
        <v>970</v>
      </c>
      <c r="E20" s="7">
        <v>30295</v>
      </c>
      <c r="F20" s="8">
        <v>76.161630000000002</v>
      </c>
      <c r="G20" s="9">
        <v>1.8785807000000002E-2</v>
      </c>
      <c r="H20" s="167"/>
    </row>
    <row r="21" spans="1:8" x14ac:dyDescent="0.2">
      <c r="A21" s="5">
        <v>15</v>
      </c>
      <c r="B21" s="6" t="s">
        <v>170</v>
      </c>
      <c r="C21" s="6" t="s">
        <v>171</v>
      </c>
      <c r="D21" s="6" t="s">
        <v>167</v>
      </c>
      <c r="E21" s="7">
        <v>1400</v>
      </c>
      <c r="F21" s="8">
        <v>74.375</v>
      </c>
      <c r="G21" s="9">
        <v>1.8345121999999998E-2</v>
      </c>
      <c r="H21" s="167"/>
    </row>
    <row r="22" spans="1:8" x14ac:dyDescent="0.2">
      <c r="A22" s="5">
        <v>16</v>
      </c>
      <c r="B22" s="6" t="s">
        <v>451</v>
      </c>
      <c r="C22" s="6" t="s">
        <v>452</v>
      </c>
      <c r="D22" s="6" t="s">
        <v>67</v>
      </c>
      <c r="E22" s="7">
        <v>15500</v>
      </c>
      <c r="F22" s="8">
        <v>73.648250000000004</v>
      </c>
      <c r="G22" s="9">
        <v>1.8165864E-2</v>
      </c>
      <c r="H22" s="167"/>
    </row>
    <row r="23" spans="1:8" x14ac:dyDescent="0.2">
      <c r="A23" s="5">
        <v>17</v>
      </c>
      <c r="B23" s="6" t="s">
        <v>163</v>
      </c>
      <c r="C23" s="6" t="s">
        <v>164</v>
      </c>
      <c r="D23" s="6" t="s">
        <v>167</v>
      </c>
      <c r="E23" s="7">
        <v>8476</v>
      </c>
      <c r="F23" s="8">
        <v>73.533537999999993</v>
      </c>
      <c r="G23" s="9">
        <v>1.8137569999999999E-2</v>
      </c>
      <c r="H23" s="167"/>
    </row>
    <row r="24" spans="1:8" x14ac:dyDescent="0.2">
      <c r="A24" s="5">
        <v>18</v>
      </c>
      <c r="B24" s="6" t="s">
        <v>181</v>
      </c>
      <c r="C24" s="6" t="s">
        <v>182</v>
      </c>
      <c r="D24" s="6" t="s">
        <v>29</v>
      </c>
      <c r="E24" s="7">
        <v>14991</v>
      </c>
      <c r="F24" s="8">
        <v>71.612007000000006</v>
      </c>
      <c r="G24" s="9">
        <v>1.7663610999999999E-2</v>
      </c>
      <c r="H24" s="167"/>
    </row>
    <row r="25" spans="1:8" x14ac:dyDescent="0.2">
      <c r="A25" s="5">
        <v>19</v>
      </c>
      <c r="B25" s="6" t="s">
        <v>457</v>
      </c>
      <c r="C25" s="6" t="s">
        <v>458</v>
      </c>
      <c r="D25" s="6" t="s">
        <v>247</v>
      </c>
      <c r="E25" s="7">
        <v>12694</v>
      </c>
      <c r="F25" s="8">
        <v>69.937593000000007</v>
      </c>
      <c r="G25" s="9">
        <v>1.7250603999999999E-2</v>
      </c>
      <c r="H25" s="167"/>
    </row>
    <row r="26" spans="1:8" x14ac:dyDescent="0.2">
      <c r="A26" s="5">
        <v>20</v>
      </c>
      <c r="B26" s="6" t="s">
        <v>188</v>
      </c>
      <c r="C26" s="6" t="s">
        <v>189</v>
      </c>
      <c r="D26" s="6" t="s">
        <v>167</v>
      </c>
      <c r="E26" s="7">
        <v>2633</v>
      </c>
      <c r="F26" s="8">
        <v>66.955873499999996</v>
      </c>
      <c r="G26" s="9">
        <v>1.6515142E-2</v>
      </c>
      <c r="H26" s="167"/>
    </row>
    <row r="27" spans="1:8" x14ac:dyDescent="0.2">
      <c r="A27" s="5">
        <v>21</v>
      </c>
      <c r="B27" s="6" t="s">
        <v>176</v>
      </c>
      <c r="C27" s="6" t="s">
        <v>177</v>
      </c>
      <c r="D27" s="6" t="s">
        <v>178</v>
      </c>
      <c r="E27" s="7">
        <v>5981</v>
      </c>
      <c r="F27" s="8">
        <v>63.646811499999998</v>
      </c>
      <c r="G27" s="9">
        <v>1.5698937999999999E-2</v>
      </c>
      <c r="H27" s="167"/>
    </row>
    <row r="28" spans="1:8" x14ac:dyDescent="0.2">
      <c r="A28" s="5">
        <v>22</v>
      </c>
      <c r="B28" s="6" t="s">
        <v>190</v>
      </c>
      <c r="C28" s="6" t="s">
        <v>191</v>
      </c>
      <c r="D28" s="6" t="s">
        <v>192</v>
      </c>
      <c r="E28" s="7">
        <v>15988</v>
      </c>
      <c r="F28" s="8">
        <v>62.848827999999997</v>
      </c>
      <c r="G28" s="9">
        <v>1.550211E-2</v>
      </c>
      <c r="H28" s="167"/>
    </row>
    <row r="29" spans="1:8" x14ac:dyDescent="0.2">
      <c r="A29" s="5">
        <v>23</v>
      </c>
      <c r="B29" s="6" t="s">
        <v>226</v>
      </c>
      <c r="C29" s="6" t="s">
        <v>227</v>
      </c>
      <c r="D29" s="6" t="s">
        <v>32</v>
      </c>
      <c r="E29" s="7">
        <v>7763</v>
      </c>
      <c r="F29" s="8">
        <v>61.420856000000001</v>
      </c>
      <c r="G29" s="9">
        <v>1.5149891E-2</v>
      </c>
      <c r="H29" s="167"/>
    </row>
    <row r="30" spans="1:8" x14ac:dyDescent="0.2">
      <c r="A30" s="5">
        <v>24</v>
      </c>
      <c r="B30" s="6" t="s">
        <v>206</v>
      </c>
      <c r="C30" s="6" t="s">
        <v>207</v>
      </c>
      <c r="D30" s="6" t="s">
        <v>32</v>
      </c>
      <c r="E30" s="7">
        <v>62965</v>
      </c>
      <c r="F30" s="8">
        <v>59.187100000000001</v>
      </c>
      <c r="G30" s="9">
        <v>1.4598919E-2</v>
      </c>
      <c r="H30" s="167"/>
    </row>
    <row r="31" spans="1:8" x14ac:dyDescent="0.2">
      <c r="A31" s="5">
        <v>25</v>
      </c>
      <c r="B31" s="6" t="s">
        <v>193</v>
      </c>
      <c r="C31" s="6" t="s">
        <v>194</v>
      </c>
      <c r="D31" s="6" t="s">
        <v>178</v>
      </c>
      <c r="E31" s="7">
        <v>31828</v>
      </c>
      <c r="F31" s="8">
        <v>58.181584000000001</v>
      </c>
      <c r="G31" s="9">
        <v>1.4350900999999999E-2</v>
      </c>
      <c r="H31" s="167"/>
    </row>
    <row r="32" spans="1:8" x14ac:dyDescent="0.2">
      <c r="A32" s="5">
        <v>26</v>
      </c>
      <c r="B32" s="6" t="s">
        <v>198</v>
      </c>
      <c r="C32" s="6" t="s">
        <v>199</v>
      </c>
      <c r="D32" s="6" t="s">
        <v>167</v>
      </c>
      <c r="E32" s="7">
        <v>6942</v>
      </c>
      <c r="F32" s="8">
        <v>57.191667000000002</v>
      </c>
      <c r="G32" s="9">
        <v>1.4106731000000001E-2</v>
      </c>
      <c r="H32" s="167"/>
    </row>
    <row r="33" spans="1:8" x14ac:dyDescent="0.2">
      <c r="A33" s="5">
        <v>27</v>
      </c>
      <c r="B33" s="6" t="s">
        <v>216</v>
      </c>
      <c r="C33" s="6" t="s">
        <v>217</v>
      </c>
      <c r="D33" s="6" t="s">
        <v>192</v>
      </c>
      <c r="E33" s="7">
        <v>10775</v>
      </c>
      <c r="F33" s="8">
        <v>56.434062500000003</v>
      </c>
      <c r="G33" s="9">
        <v>1.3919862999999999E-2</v>
      </c>
      <c r="H33" s="167"/>
    </row>
    <row r="34" spans="1:8" x14ac:dyDescent="0.2">
      <c r="A34" s="5">
        <v>28</v>
      </c>
      <c r="B34" s="6" t="s">
        <v>453</v>
      </c>
      <c r="C34" s="6" t="s">
        <v>454</v>
      </c>
      <c r="D34" s="6" t="s">
        <v>158</v>
      </c>
      <c r="E34" s="7">
        <v>17000</v>
      </c>
      <c r="F34" s="8">
        <v>54.179000000000002</v>
      </c>
      <c r="G34" s="9">
        <v>1.3363635E-2</v>
      </c>
      <c r="H34" s="167"/>
    </row>
    <row r="35" spans="1:8" ht="25.5" x14ac:dyDescent="0.2">
      <c r="A35" s="5">
        <v>29</v>
      </c>
      <c r="B35" s="6" t="s">
        <v>204</v>
      </c>
      <c r="C35" s="6" t="s">
        <v>205</v>
      </c>
      <c r="D35" s="6" t="s">
        <v>37</v>
      </c>
      <c r="E35" s="7">
        <v>62303</v>
      </c>
      <c r="F35" s="8">
        <v>53.331367999999998</v>
      </c>
      <c r="G35" s="9">
        <v>1.3154561E-2</v>
      </c>
      <c r="H35" s="167"/>
    </row>
    <row r="36" spans="1:8" x14ac:dyDescent="0.2">
      <c r="A36" s="5">
        <v>30</v>
      </c>
      <c r="B36" s="6" t="s">
        <v>218</v>
      </c>
      <c r="C36" s="6" t="s">
        <v>219</v>
      </c>
      <c r="D36" s="6" t="s">
        <v>973</v>
      </c>
      <c r="E36" s="7">
        <v>7761</v>
      </c>
      <c r="F36" s="8">
        <v>53.015391000000001</v>
      </c>
      <c r="G36" s="9">
        <v>1.3076623000000001E-2</v>
      </c>
      <c r="H36" s="167"/>
    </row>
    <row r="37" spans="1:8" x14ac:dyDescent="0.2">
      <c r="A37" s="5">
        <v>31</v>
      </c>
      <c r="B37" s="6" t="s">
        <v>286</v>
      </c>
      <c r="C37" s="6" t="s">
        <v>287</v>
      </c>
      <c r="D37" s="6" t="s">
        <v>29</v>
      </c>
      <c r="E37" s="7">
        <v>5189</v>
      </c>
      <c r="F37" s="8">
        <v>52.644999499999997</v>
      </c>
      <c r="G37" s="9">
        <v>1.2985263E-2</v>
      </c>
      <c r="H37" s="167"/>
    </row>
    <row r="38" spans="1:8" x14ac:dyDescent="0.2">
      <c r="A38" s="5">
        <v>32</v>
      </c>
      <c r="B38" s="6" t="s">
        <v>214</v>
      </c>
      <c r="C38" s="6" t="s">
        <v>215</v>
      </c>
      <c r="D38" s="6" t="s">
        <v>976</v>
      </c>
      <c r="E38" s="7">
        <v>16760</v>
      </c>
      <c r="F38" s="8">
        <v>52.06494</v>
      </c>
      <c r="G38" s="9">
        <v>1.2842187999999999E-2</v>
      </c>
      <c r="H38" s="167"/>
    </row>
    <row r="39" spans="1:8" x14ac:dyDescent="0.2">
      <c r="A39" s="5">
        <v>33</v>
      </c>
      <c r="B39" s="6" t="s">
        <v>210</v>
      </c>
      <c r="C39" s="6" t="s">
        <v>211</v>
      </c>
      <c r="D39" s="6" t="s">
        <v>29</v>
      </c>
      <c r="E39" s="7">
        <v>3848</v>
      </c>
      <c r="F39" s="8">
        <v>51.830635999999998</v>
      </c>
      <c r="G39" s="9">
        <v>1.2784395E-2</v>
      </c>
      <c r="H39" s="167"/>
    </row>
    <row r="40" spans="1:8" x14ac:dyDescent="0.2">
      <c r="A40" s="5">
        <v>34</v>
      </c>
      <c r="B40" s="6" t="s">
        <v>212</v>
      </c>
      <c r="C40" s="6" t="s">
        <v>213</v>
      </c>
      <c r="D40" s="6" t="s">
        <v>158</v>
      </c>
      <c r="E40" s="7">
        <v>9070</v>
      </c>
      <c r="F40" s="8">
        <v>51.594695000000002</v>
      </c>
      <c r="G40" s="9">
        <v>1.2726197999999999E-2</v>
      </c>
      <c r="H40" s="167"/>
    </row>
    <row r="41" spans="1:8" x14ac:dyDescent="0.2">
      <c r="A41" s="5">
        <v>35</v>
      </c>
      <c r="B41" s="6" t="s">
        <v>220</v>
      </c>
      <c r="C41" s="6" t="s">
        <v>221</v>
      </c>
      <c r="D41" s="6" t="s">
        <v>158</v>
      </c>
      <c r="E41" s="7">
        <v>89246</v>
      </c>
      <c r="F41" s="8">
        <v>50.825597000000002</v>
      </c>
      <c r="G41" s="9">
        <v>1.2536495E-2</v>
      </c>
      <c r="H41" s="167"/>
    </row>
    <row r="42" spans="1:8" x14ac:dyDescent="0.2">
      <c r="A42" s="5">
        <v>36</v>
      </c>
      <c r="B42" s="6" t="s">
        <v>174</v>
      </c>
      <c r="C42" s="6" t="s">
        <v>175</v>
      </c>
      <c r="D42" s="6" t="s">
        <v>50</v>
      </c>
      <c r="E42" s="7">
        <v>11831</v>
      </c>
      <c r="F42" s="8">
        <v>50.133862499999999</v>
      </c>
      <c r="G42" s="9">
        <v>1.2365874000000001E-2</v>
      </c>
      <c r="H42" s="167"/>
    </row>
    <row r="43" spans="1:8" x14ac:dyDescent="0.2">
      <c r="A43" s="5">
        <v>37</v>
      </c>
      <c r="B43" s="6" t="s">
        <v>30</v>
      </c>
      <c r="C43" s="6" t="s">
        <v>31</v>
      </c>
      <c r="D43" s="6" t="s">
        <v>32</v>
      </c>
      <c r="E43" s="7">
        <v>19233</v>
      </c>
      <c r="F43" s="8">
        <v>49.803853500000002</v>
      </c>
      <c r="G43" s="9">
        <v>1.2284474E-2</v>
      </c>
      <c r="H43" s="167"/>
    </row>
    <row r="44" spans="1:8" ht="25.5" x14ac:dyDescent="0.2">
      <c r="A44" s="5">
        <v>38</v>
      </c>
      <c r="B44" s="6" t="s">
        <v>228</v>
      </c>
      <c r="C44" s="6" t="s">
        <v>229</v>
      </c>
      <c r="D44" s="6" t="s">
        <v>78</v>
      </c>
      <c r="E44" s="7">
        <v>14589</v>
      </c>
      <c r="F44" s="8">
        <v>49.551538499999999</v>
      </c>
      <c r="G44" s="9">
        <v>1.2222238999999999E-2</v>
      </c>
      <c r="H44" s="167"/>
    </row>
    <row r="45" spans="1:8" x14ac:dyDescent="0.2">
      <c r="A45" s="5">
        <v>39</v>
      </c>
      <c r="B45" s="6" t="s">
        <v>202</v>
      </c>
      <c r="C45" s="6" t="s">
        <v>203</v>
      </c>
      <c r="D45" s="6" t="s">
        <v>57</v>
      </c>
      <c r="E45" s="7">
        <v>4499</v>
      </c>
      <c r="F45" s="8">
        <v>48.454230000000003</v>
      </c>
      <c r="G45" s="9">
        <v>1.195158E-2</v>
      </c>
      <c r="H45" s="167"/>
    </row>
    <row r="46" spans="1:8" x14ac:dyDescent="0.2">
      <c r="A46" s="5">
        <v>40</v>
      </c>
      <c r="B46" s="6" t="s">
        <v>222</v>
      </c>
      <c r="C46" s="6" t="s">
        <v>223</v>
      </c>
      <c r="D46" s="6" t="s">
        <v>971</v>
      </c>
      <c r="E46" s="7">
        <v>14763</v>
      </c>
      <c r="F46" s="8">
        <v>48.422640000000001</v>
      </c>
      <c r="G46" s="9">
        <v>1.1943788E-2</v>
      </c>
      <c r="H46" s="167"/>
    </row>
    <row r="47" spans="1:8" x14ac:dyDescent="0.2">
      <c r="A47" s="5">
        <v>41</v>
      </c>
      <c r="B47" s="6" t="s">
        <v>245</v>
      </c>
      <c r="C47" s="6" t="s">
        <v>246</v>
      </c>
      <c r="D47" s="6" t="s">
        <v>247</v>
      </c>
      <c r="E47" s="7">
        <v>29206</v>
      </c>
      <c r="F47" s="8">
        <v>47.897840000000002</v>
      </c>
      <c r="G47" s="9">
        <v>1.1814343E-2</v>
      </c>
      <c r="H47" s="167"/>
    </row>
    <row r="48" spans="1:8" ht="25.5" x14ac:dyDescent="0.2">
      <c r="A48" s="5">
        <v>42</v>
      </c>
      <c r="B48" s="6" t="s">
        <v>449</v>
      </c>
      <c r="C48" s="6" t="s">
        <v>450</v>
      </c>
      <c r="D48" s="6" t="s">
        <v>37</v>
      </c>
      <c r="E48" s="7">
        <v>3915</v>
      </c>
      <c r="F48" s="8">
        <v>47.4478425</v>
      </c>
      <c r="G48" s="9">
        <v>1.1703348000000001E-2</v>
      </c>
      <c r="H48" s="167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75</v>
      </c>
      <c r="E49" s="7">
        <v>7524</v>
      </c>
      <c r="F49" s="8">
        <v>45.414864000000001</v>
      </c>
      <c r="G49" s="9">
        <v>1.1201899E-2</v>
      </c>
      <c r="H49" s="167"/>
    </row>
    <row r="50" spans="1:8" x14ac:dyDescent="0.2">
      <c r="A50" s="5">
        <v>44</v>
      </c>
      <c r="B50" s="6" t="s">
        <v>195</v>
      </c>
      <c r="C50" s="6" t="s">
        <v>196</v>
      </c>
      <c r="D50" s="6" t="s">
        <v>197</v>
      </c>
      <c r="E50" s="7">
        <v>6011</v>
      </c>
      <c r="F50" s="8">
        <v>45.410099500000001</v>
      </c>
      <c r="G50" s="9">
        <v>1.1200724E-2</v>
      </c>
      <c r="H50" s="167"/>
    </row>
    <row r="51" spans="1:8" x14ac:dyDescent="0.2">
      <c r="A51" s="5">
        <v>45</v>
      </c>
      <c r="B51" s="6" t="s">
        <v>461</v>
      </c>
      <c r="C51" s="6" t="s">
        <v>462</v>
      </c>
      <c r="D51" s="6" t="s">
        <v>972</v>
      </c>
      <c r="E51" s="7">
        <v>57920</v>
      </c>
      <c r="F51" s="8">
        <v>43.758560000000003</v>
      </c>
      <c r="G51" s="9">
        <v>1.079336E-2</v>
      </c>
      <c r="H51" s="167"/>
    </row>
    <row r="52" spans="1:8" x14ac:dyDescent="0.2">
      <c r="A52" s="5">
        <v>46</v>
      </c>
      <c r="B52" s="6" t="s">
        <v>232</v>
      </c>
      <c r="C52" s="6" t="s">
        <v>233</v>
      </c>
      <c r="D52" s="6" t="s">
        <v>185</v>
      </c>
      <c r="E52" s="7">
        <v>12084</v>
      </c>
      <c r="F52" s="8">
        <v>43.429895999999999</v>
      </c>
      <c r="G52" s="9">
        <v>1.0712292999999999E-2</v>
      </c>
      <c r="H52" s="167"/>
    </row>
    <row r="53" spans="1:8" x14ac:dyDescent="0.2">
      <c r="A53" s="5">
        <v>47</v>
      </c>
      <c r="B53" s="6" t="s">
        <v>234</v>
      </c>
      <c r="C53" s="6" t="s">
        <v>235</v>
      </c>
      <c r="D53" s="6" t="s">
        <v>29</v>
      </c>
      <c r="E53" s="7">
        <v>35891</v>
      </c>
      <c r="F53" s="8">
        <v>41.884796999999999</v>
      </c>
      <c r="G53" s="9">
        <v>1.0331183000000001E-2</v>
      </c>
      <c r="H53" s="167"/>
    </row>
    <row r="54" spans="1:8" x14ac:dyDescent="0.2">
      <c r="A54" s="5">
        <v>48</v>
      </c>
      <c r="B54" s="6" t="s">
        <v>238</v>
      </c>
      <c r="C54" s="6" t="s">
        <v>239</v>
      </c>
      <c r="D54" s="6" t="s">
        <v>240</v>
      </c>
      <c r="E54" s="7">
        <v>5050</v>
      </c>
      <c r="F54" s="8">
        <v>41.162550000000003</v>
      </c>
      <c r="G54" s="9">
        <v>1.0153036000000001E-2</v>
      </c>
      <c r="H54" s="167"/>
    </row>
    <row r="55" spans="1:8" ht="25.5" x14ac:dyDescent="0.2">
      <c r="A55" s="5">
        <v>49</v>
      </c>
      <c r="B55" s="6" t="s">
        <v>241</v>
      </c>
      <c r="C55" s="6" t="s">
        <v>242</v>
      </c>
      <c r="D55" s="6" t="s">
        <v>153</v>
      </c>
      <c r="E55" s="7">
        <v>10944</v>
      </c>
      <c r="F55" s="8">
        <v>41.133023999999999</v>
      </c>
      <c r="G55" s="9">
        <v>1.0145753E-2</v>
      </c>
      <c r="H55" s="167"/>
    </row>
    <row r="56" spans="1:8" ht="25.5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11531</v>
      </c>
      <c r="F56" s="8">
        <v>40.877395</v>
      </c>
      <c r="G56" s="9">
        <v>1.00827E-2</v>
      </c>
      <c r="H56" s="167"/>
    </row>
    <row r="57" spans="1:8" x14ac:dyDescent="0.2">
      <c r="A57" s="5">
        <v>51</v>
      </c>
      <c r="B57" s="6" t="s">
        <v>459</v>
      </c>
      <c r="C57" s="6" t="s">
        <v>460</v>
      </c>
      <c r="D57" s="6" t="s">
        <v>29</v>
      </c>
      <c r="E57" s="7">
        <v>6668</v>
      </c>
      <c r="F57" s="8">
        <v>39.911313999999997</v>
      </c>
      <c r="G57" s="9">
        <v>9.8444090000000001E-3</v>
      </c>
      <c r="H57" s="167"/>
    </row>
    <row r="58" spans="1:8" x14ac:dyDescent="0.2">
      <c r="A58" s="5">
        <v>52</v>
      </c>
      <c r="B58" s="6" t="s">
        <v>248</v>
      </c>
      <c r="C58" s="6" t="s">
        <v>249</v>
      </c>
      <c r="D58" s="6" t="s">
        <v>192</v>
      </c>
      <c r="E58" s="7">
        <v>2735</v>
      </c>
      <c r="F58" s="8">
        <v>39.679380000000002</v>
      </c>
      <c r="G58" s="9">
        <v>9.7872010000000006E-3</v>
      </c>
      <c r="H58" s="167"/>
    </row>
    <row r="59" spans="1:8" x14ac:dyDescent="0.2">
      <c r="A59" s="5">
        <v>53</v>
      </c>
      <c r="B59" s="6" t="s">
        <v>250</v>
      </c>
      <c r="C59" s="6" t="s">
        <v>251</v>
      </c>
      <c r="D59" s="6" t="s">
        <v>75</v>
      </c>
      <c r="E59" s="7">
        <v>6332</v>
      </c>
      <c r="F59" s="8">
        <v>38.761338000000002</v>
      </c>
      <c r="G59" s="9">
        <v>9.5607599999999997E-3</v>
      </c>
      <c r="H59" s="167"/>
    </row>
    <row r="60" spans="1:8" x14ac:dyDescent="0.2">
      <c r="A60" s="5">
        <v>54</v>
      </c>
      <c r="B60" s="6" t="s">
        <v>252</v>
      </c>
      <c r="C60" s="6" t="s">
        <v>253</v>
      </c>
      <c r="D60" s="6" t="s">
        <v>158</v>
      </c>
      <c r="E60" s="7">
        <v>7021</v>
      </c>
      <c r="F60" s="8">
        <v>38.503163999999998</v>
      </c>
      <c r="G60" s="9">
        <v>9.4970790000000003E-3</v>
      </c>
      <c r="H60" s="167"/>
    </row>
    <row r="61" spans="1:8" x14ac:dyDescent="0.2">
      <c r="A61" s="5">
        <v>55</v>
      </c>
      <c r="B61" s="6" t="s">
        <v>254</v>
      </c>
      <c r="C61" s="6" t="s">
        <v>255</v>
      </c>
      <c r="D61" s="6" t="s">
        <v>971</v>
      </c>
      <c r="E61" s="7">
        <v>7984</v>
      </c>
      <c r="F61" s="8">
        <v>38.490864000000002</v>
      </c>
      <c r="G61" s="9">
        <v>9.4940449999999996E-3</v>
      </c>
      <c r="H61" s="167"/>
    </row>
    <row r="62" spans="1:8" x14ac:dyDescent="0.2">
      <c r="A62" s="5">
        <v>56</v>
      </c>
      <c r="B62" s="6" t="s">
        <v>95</v>
      </c>
      <c r="C62" s="6" t="s">
        <v>96</v>
      </c>
      <c r="D62" s="6" t="s">
        <v>75</v>
      </c>
      <c r="E62" s="7">
        <v>14964</v>
      </c>
      <c r="F62" s="8">
        <v>38.315322000000002</v>
      </c>
      <c r="G62" s="9">
        <v>9.4507459999999995E-3</v>
      </c>
      <c r="H62" s="167"/>
    </row>
    <row r="63" spans="1:8" x14ac:dyDescent="0.2">
      <c r="A63" s="5">
        <v>57</v>
      </c>
      <c r="B63" s="6" t="s">
        <v>258</v>
      </c>
      <c r="C63" s="6" t="s">
        <v>259</v>
      </c>
      <c r="D63" s="6" t="s">
        <v>23</v>
      </c>
      <c r="E63" s="7">
        <v>36492</v>
      </c>
      <c r="F63" s="8">
        <v>38.298354000000003</v>
      </c>
      <c r="G63" s="9">
        <v>9.4465609999999992E-3</v>
      </c>
      <c r="H63" s="167"/>
    </row>
    <row r="64" spans="1:8" x14ac:dyDescent="0.2">
      <c r="A64" s="5">
        <v>58</v>
      </c>
      <c r="B64" s="6" t="s">
        <v>262</v>
      </c>
      <c r="C64" s="6" t="s">
        <v>263</v>
      </c>
      <c r="D64" s="6" t="s">
        <v>185</v>
      </c>
      <c r="E64" s="7">
        <v>6278</v>
      </c>
      <c r="F64" s="8">
        <v>35.699846999999998</v>
      </c>
      <c r="G64" s="9">
        <v>8.8056209999999996E-3</v>
      </c>
      <c r="H64" s="167"/>
    </row>
    <row r="65" spans="1:8" x14ac:dyDescent="0.2">
      <c r="A65" s="5">
        <v>59</v>
      </c>
      <c r="B65" s="6" t="s">
        <v>260</v>
      </c>
      <c r="C65" s="6" t="s">
        <v>926</v>
      </c>
      <c r="D65" s="6" t="s">
        <v>261</v>
      </c>
      <c r="E65" s="7">
        <v>13630</v>
      </c>
      <c r="F65" s="8">
        <v>32.487105</v>
      </c>
      <c r="G65" s="9">
        <v>8.0131750000000009E-3</v>
      </c>
      <c r="H65" s="167"/>
    </row>
    <row r="66" spans="1:8" x14ac:dyDescent="0.2">
      <c r="A66" s="5">
        <v>60</v>
      </c>
      <c r="B66" s="6" t="s">
        <v>463</v>
      </c>
      <c r="C66" s="6" t="s">
        <v>464</v>
      </c>
      <c r="D66" s="6" t="s">
        <v>158</v>
      </c>
      <c r="E66" s="7">
        <v>5021</v>
      </c>
      <c r="F66" s="8">
        <v>31.446522999999999</v>
      </c>
      <c r="G66" s="9">
        <v>7.7565079999999996E-3</v>
      </c>
      <c r="H66" s="167"/>
    </row>
    <row r="67" spans="1:8" x14ac:dyDescent="0.2">
      <c r="A67" s="5">
        <v>61</v>
      </c>
      <c r="B67" s="6" t="s">
        <v>270</v>
      </c>
      <c r="C67" s="6" t="s">
        <v>271</v>
      </c>
      <c r="D67" s="6" t="s">
        <v>75</v>
      </c>
      <c r="E67" s="7">
        <v>18334</v>
      </c>
      <c r="F67" s="8">
        <v>28.986053999999999</v>
      </c>
      <c r="G67" s="9">
        <v>7.1496160000000001E-3</v>
      </c>
      <c r="H67" s="167"/>
    </row>
    <row r="68" spans="1:8" ht="25.5" x14ac:dyDescent="0.2">
      <c r="A68" s="5">
        <v>62</v>
      </c>
      <c r="B68" s="6" t="s">
        <v>256</v>
      </c>
      <c r="C68" s="6" t="s">
        <v>257</v>
      </c>
      <c r="D68" s="6" t="s">
        <v>975</v>
      </c>
      <c r="E68" s="7">
        <v>33958</v>
      </c>
      <c r="F68" s="8">
        <v>28.813362999999999</v>
      </c>
      <c r="G68" s="9">
        <v>7.1070209999999998E-3</v>
      </c>
      <c r="H68" s="167"/>
    </row>
    <row r="69" spans="1:8" x14ac:dyDescent="0.2">
      <c r="A69" s="5">
        <v>63</v>
      </c>
      <c r="B69" s="6" t="s">
        <v>272</v>
      </c>
      <c r="C69" s="6" t="s">
        <v>273</v>
      </c>
      <c r="D69" s="6" t="s">
        <v>972</v>
      </c>
      <c r="E69" s="7">
        <v>1658</v>
      </c>
      <c r="F69" s="8">
        <v>25.68242</v>
      </c>
      <c r="G69" s="9">
        <v>6.3347509999999996E-3</v>
      </c>
      <c r="H69" s="167"/>
    </row>
    <row r="70" spans="1:8" x14ac:dyDescent="0.2">
      <c r="A70" s="5">
        <v>64</v>
      </c>
      <c r="B70" s="6" t="s">
        <v>278</v>
      </c>
      <c r="C70" s="6" t="s">
        <v>279</v>
      </c>
      <c r="D70" s="6" t="s">
        <v>192</v>
      </c>
      <c r="E70" s="7">
        <v>2585</v>
      </c>
      <c r="F70" s="8">
        <v>24.585934999999999</v>
      </c>
      <c r="G70" s="9">
        <v>6.0642960000000003E-3</v>
      </c>
      <c r="H70" s="167"/>
    </row>
    <row r="71" spans="1:8" x14ac:dyDescent="0.2">
      <c r="A71" s="5">
        <v>65</v>
      </c>
      <c r="B71" s="6" t="s">
        <v>274</v>
      </c>
      <c r="C71" s="6" t="s">
        <v>275</v>
      </c>
      <c r="D71" s="6" t="s">
        <v>153</v>
      </c>
      <c r="E71" s="7">
        <v>1512</v>
      </c>
      <c r="F71" s="8">
        <v>23.193324</v>
      </c>
      <c r="G71" s="9">
        <v>5.720798E-3</v>
      </c>
      <c r="H71" s="167"/>
    </row>
    <row r="72" spans="1:8" x14ac:dyDescent="0.2">
      <c r="A72" s="5">
        <v>66</v>
      </c>
      <c r="B72" s="6" t="s">
        <v>276</v>
      </c>
      <c r="C72" s="6" t="s">
        <v>277</v>
      </c>
      <c r="D72" s="6" t="s">
        <v>167</v>
      </c>
      <c r="E72" s="7">
        <v>3705</v>
      </c>
      <c r="F72" s="8">
        <v>20.538667499999999</v>
      </c>
      <c r="G72" s="9">
        <v>5.0660080000000003E-3</v>
      </c>
      <c r="H72" s="167"/>
    </row>
    <row r="73" spans="1:8" x14ac:dyDescent="0.2">
      <c r="A73" s="5">
        <v>67</v>
      </c>
      <c r="B73" s="6" t="s">
        <v>280</v>
      </c>
      <c r="C73" s="6" t="s">
        <v>281</v>
      </c>
      <c r="D73" s="6" t="s">
        <v>971</v>
      </c>
      <c r="E73" s="7">
        <v>36863</v>
      </c>
      <c r="F73" s="8">
        <v>15.408734000000001</v>
      </c>
      <c r="G73" s="9">
        <v>3.800674E-3</v>
      </c>
      <c r="H73" s="167"/>
    </row>
    <row r="74" spans="1:8" x14ac:dyDescent="0.2">
      <c r="A74" s="5">
        <v>68</v>
      </c>
      <c r="B74" s="6" t="s">
        <v>282</v>
      </c>
      <c r="C74" s="6" t="s">
        <v>283</v>
      </c>
      <c r="D74" s="6" t="s">
        <v>284</v>
      </c>
      <c r="E74" s="7">
        <v>9158</v>
      </c>
      <c r="F74" s="8">
        <v>13.2791</v>
      </c>
      <c r="G74" s="9">
        <v>3.2753840000000001E-3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0">
        <v>3962.3712495</v>
      </c>
      <c r="G75" s="11">
        <v>0.97734702900000003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105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106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110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111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112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113</v>
      </c>
      <c r="D92" s="3" t="s">
        <v>10</v>
      </c>
      <c r="E92" s="3" t="s">
        <v>10</v>
      </c>
      <c r="F92" s="10">
        <v>3962.3712495</v>
      </c>
      <c r="G92" s="11">
        <v>0.97734702900000003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114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ht="25.5" x14ac:dyDescent="0.2">
      <c r="A95" s="3" t="s">
        <v>10</v>
      </c>
      <c r="B95" s="3" t="s">
        <v>10</v>
      </c>
      <c r="C95" s="4" t="s">
        <v>12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115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116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117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118</v>
      </c>
      <c r="D107" s="3" t="s">
        <v>10</v>
      </c>
      <c r="E107" s="3" t="s">
        <v>10</v>
      </c>
      <c r="F107" s="10">
        <v>0</v>
      </c>
      <c r="G107" s="11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119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120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121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7"/>
    </row>
    <row r="115" spans="1:8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122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7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123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5">
        <v>1</v>
      </c>
      <c r="B120" s="6"/>
      <c r="C120" s="6" t="s">
        <v>124</v>
      </c>
      <c r="D120" s="6"/>
      <c r="E120" s="16" t="s">
        <v>10</v>
      </c>
      <c r="F120" s="8">
        <v>74.370312999999996</v>
      </c>
      <c r="G120" s="9">
        <v>1.8343966E-2</v>
      </c>
      <c r="H120" s="108">
        <v>3.23</v>
      </c>
    </row>
    <row r="121" spans="1:8" x14ac:dyDescent="0.2">
      <c r="A121" s="5">
        <v>2</v>
      </c>
      <c r="B121" s="6"/>
      <c r="C121" s="6" t="s">
        <v>125</v>
      </c>
      <c r="D121" s="6"/>
      <c r="E121" s="16" t="s">
        <v>10</v>
      </c>
      <c r="F121" s="8">
        <v>20.889819299999999</v>
      </c>
      <c r="G121" s="9">
        <v>5.1526219999999999E-3</v>
      </c>
      <c r="H121" s="108">
        <v>3.35</v>
      </c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0">
        <v>95.260132299999995</v>
      </c>
      <c r="G122" s="11">
        <v>2.3496587999999999E-2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126</v>
      </c>
      <c r="D124" s="3" t="s">
        <v>10</v>
      </c>
      <c r="E124" s="3" t="s">
        <v>10</v>
      </c>
      <c r="F124" s="10">
        <v>95.260132299999995</v>
      </c>
      <c r="G124" s="11">
        <v>2.3496587999999999E-2</v>
      </c>
      <c r="H124" s="167"/>
    </row>
    <row r="125" spans="1:8" x14ac:dyDescent="0.2">
      <c r="A125" s="3" t="s">
        <v>10</v>
      </c>
      <c r="B125" s="3" t="s">
        <v>10</v>
      </c>
      <c r="C125" s="13" t="s">
        <v>10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127</v>
      </c>
      <c r="D126" s="3" t="s">
        <v>10</v>
      </c>
      <c r="E126" s="3" t="s">
        <v>10</v>
      </c>
      <c r="F126" s="3" t="s">
        <v>10</v>
      </c>
      <c r="G126" s="3" t="s">
        <v>10</v>
      </c>
      <c r="H126" s="167"/>
    </row>
    <row r="127" spans="1:8" x14ac:dyDescent="0.2">
      <c r="A127" s="3" t="s">
        <v>10</v>
      </c>
      <c r="B127" s="3" t="s">
        <v>10</v>
      </c>
      <c r="C127" s="4" t="s">
        <v>128</v>
      </c>
      <c r="D127" s="3" t="s">
        <v>10</v>
      </c>
      <c r="E127" s="3" t="s">
        <v>10</v>
      </c>
      <c r="F127" s="3" t="s">
        <v>10</v>
      </c>
      <c r="G127" s="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4">
        <v>0</v>
      </c>
      <c r="G128" s="15">
        <v>0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129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x14ac:dyDescent="0.2">
      <c r="A131" s="3" t="s">
        <v>10</v>
      </c>
      <c r="B131" s="3" t="s">
        <v>10</v>
      </c>
      <c r="C131" s="4" t="s">
        <v>130</v>
      </c>
      <c r="D131" s="3" t="s">
        <v>10</v>
      </c>
      <c r="E131" s="3" t="s">
        <v>10</v>
      </c>
      <c r="F131" s="3" t="s">
        <v>10</v>
      </c>
      <c r="G131" s="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104</v>
      </c>
      <c r="D132" s="3" t="s">
        <v>10</v>
      </c>
      <c r="E132" s="3" t="s">
        <v>10</v>
      </c>
      <c r="F132" s="14">
        <v>0</v>
      </c>
      <c r="G132" s="15">
        <v>0</v>
      </c>
      <c r="H132" s="167"/>
    </row>
    <row r="133" spans="1:8" x14ac:dyDescent="0.2">
      <c r="A133" s="3" t="s">
        <v>10</v>
      </c>
      <c r="B133" s="3" t="s">
        <v>10</v>
      </c>
      <c r="C133" s="12" t="s">
        <v>10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7"/>
    </row>
    <row r="134" spans="1:8" x14ac:dyDescent="0.2">
      <c r="A134" s="3" t="s">
        <v>10</v>
      </c>
      <c r="B134" s="3" t="s">
        <v>10</v>
      </c>
      <c r="C134" s="12" t="s">
        <v>10</v>
      </c>
      <c r="D134" s="3" t="s">
        <v>10</v>
      </c>
      <c r="E134" s="3" t="s">
        <v>10</v>
      </c>
      <c r="F134" s="13" t="s">
        <v>10</v>
      </c>
      <c r="G134" s="13" t="s">
        <v>10</v>
      </c>
      <c r="H134" s="167"/>
    </row>
    <row r="135" spans="1:8" ht="25.5" x14ac:dyDescent="0.2">
      <c r="A135" s="3" t="s">
        <v>10</v>
      </c>
      <c r="B135" s="3" t="s">
        <v>10</v>
      </c>
      <c r="C135" s="4" t="s">
        <v>131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3" t="s">
        <v>10</v>
      </c>
      <c r="C136" s="4" t="s">
        <v>104</v>
      </c>
      <c r="D136" s="3" t="s">
        <v>10</v>
      </c>
      <c r="E136" s="3" t="s">
        <v>10</v>
      </c>
      <c r="F136" s="14">
        <v>0</v>
      </c>
      <c r="G136" s="15">
        <v>0</v>
      </c>
      <c r="H136" s="167"/>
    </row>
    <row r="137" spans="1:8" x14ac:dyDescent="0.2">
      <c r="A137" s="3" t="s">
        <v>10</v>
      </c>
      <c r="B137" s="3" t="s">
        <v>10</v>
      </c>
      <c r="C137" s="12" t="s">
        <v>10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x14ac:dyDescent="0.2">
      <c r="A138" s="3" t="s">
        <v>10</v>
      </c>
      <c r="B138" s="6" t="s">
        <v>10</v>
      </c>
      <c r="C138" s="6" t="s">
        <v>10</v>
      </c>
      <c r="D138" s="4" t="s">
        <v>10</v>
      </c>
      <c r="E138" s="3" t="s">
        <v>10</v>
      </c>
      <c r="F138" s="6" t="s">
        <v>10</v>
      </c>
      <c r="G138" s="16" t="s">
        <v>10</v>
      </c>
      <c r="H138" s="167"/>
    </row>
    <row r="139" spans="1:8" x14ac:dyDescent="0.2">
      <c r="A139" s="16" t="s">
        <v>10</v>
      </c>
      <c r="B139" s="6" t="s">
        <v>10</v>
      </c>
      <c r="C139" s="6" t="s">
        <v>132</v>
      </c>
      <c r="D139" s="6" t="s">
        <v>10</v>
      </c>
      <c r="E139" s="16" t="s">
        <v>10</v>
      </c>
      <c r="F139" s="8">
        <v>-3.4202133899999998</v>
      </c>
      <c r="G139" s="9">
        <v>-8.4362E-4</v>
      </c>
      <c r="H139" s="167"/>
    </row>
    <row r="140" spans="1:8" x14ac:dyDescent="0.2">
      <c r="A140" s="12" t="s">
        <v>10</v>
      </c>
      <c r="B140" s="12" t="s">
        <v>10</v>
      </c>
      <c r="C140" s="4" t="s">
        <v>133</v>
      </c>
      <c r="D140" s="17" t="s">
        <v>10</v>
      </c>
      <c r="E140" s="17" t="s">
        <v>10</v>
      </c>
      <c r="F140" s="10">
        <v>4054.21116841</v>
      </c>
      <c r="G140" s="11">
        <v>0.99999999699999997</v>
      </c>
      <c r="H140" s="167"/>
    </row>
    <row r="141" spans="1:8" ht="14.1" customHeight="1" x14ac:dyDescent="0.2">
      <c r="A141" s="18" t="s">
        <v>10</v>
      </c>
      <c r="B141" s="18" t="s">
        <v>10</v>
      </c>
      <c r="C141" s="18" t="s">
        <v>10</v>
      </c>
      <c r="D141" s="19" t="s">
        <v>10</v>
      </c>
      <c r="E141" s="19" t="s">
        <v>10</v>
      </c>
      <c r="F141" s="19" t="s">
        <v>10</v>
      </c>
      <c r="G141" s="19" t="s">
        <v>10</v>
      </c>
    </row>
    <row r="142" spans="1:8" ht="14.1" customHeight="1" x14ac:dyDescent="0.2">
      <c r="A142" s="20" t="s">
        <v>10</v>
      </c>
      <c r="B142" s="208" t="s">
        <v>10</v>
      </c>
      <c r="C142" s="208"/>
      <c r="D142" s="208"/>
      <c r="E142" s="208"/>
      <c r="F142" s="208"/>
      <c r="G142" s="22" t="s">
        <v>10</v>
      </c>
    </row>
    <row r="143" spans="1:8" ht="14.1" customHeight="1" x14ac:dyDescent="0.2">
      <c r="A143" s="20" t="s">
        <v>10</v>
      </c>
      <c r="B143" s="208" t="s">
        <v>10</v>
      </c>
      <c r="C143" s="208"/>
      <c r="D143" s="208"/>
      <c r="E143" s="208"/>
      <c r="F143" s="208"/>
      <c r="G143" s="22" t="s">
        <v>10</v>
      </c>
    </row>
    <row r="144" spans="1:8" ht="14.1" customHeight="1" x14ac:dyDescent="0.2">
      <c r="A144" s="20" t="s">
        <v>10</v>
      </c>
      <c r="B144" s="20" t="s">
        <v>10</v>
      </c>
      <c r="C144" s="20" t="s">
        <v>10</v>
      </c>
      <c r="D144" s="22" t="s">
        <v>10</v>
      </c>
      <c r="E144" s="22" t="s">
        <v>10</v>
      </c>
      <c r="F144" s="22" t="s">
        <v>10</v>
      </c>
      <c r="G144" s="22" t="s">
        <v>10</v>
      </c>
    </row>
    <row r="145" spans="1:7" ht="14.1" customHeight="1" x14ac:dyDescent="0.2">
      <c r="A145" s="20" t="s">
        <v>10</v>
      </c>
      <c r="B145" s="206" t="s">
        <v>134</v>
      </c>
      <c r="C145" s="207"/>
      <c r="D145" s="13" t="s">
        <v>10</v>
      </c>
      <c r="E145" s="23" t="s">
        <v>10</v>
      </c>
      <c r="F145" s="22" t="s">
        <v>10</v>
      </c>
      <c r="G145" s="22" t="s">
        <v>10</v>
      </c>
    </row>
    <row r="146" spans="1:7" ht="29.1" customHeight="1" x14ac:dyDescent="0.2">
      <c r="A146" s="20" t="s">
        <v>10</v>
      </c>
      <c r="B146" s="213" t="s">
        <v>135</v>
      </c>
      <c r="C146" s="214"/>
      <c r="D146" s="4" t="s">
        <v>136</v>
      </c>
      <c r="E146" s="23" t="s">
        <v>10</v>
      </c>
      <c r="F146" s="22" t="s">
        <v>10</v>
      </c>
      <c r="G146" s="22" t="s">
        <v>10</v>
      </c>
    </row>
    <row r="147" spans="1:7" ht="17.100000000000001" customHeight="1" x14ac:dyDescent="0.2">
      <c r="A147" s="20" t="s">
        <v>10</v>
      </c>
      <c r="B147" s="213" t="s">
        <v>137</v>
      </c>
      <c r="C147" s="214"/>
      <c r="D147" s="4" t="s">
        <v>136</v>
      </c>
      <c r="E147" s="23" t="s">
        <v>10</v>
      </c>
      <c r="F147" s="22" t="s">
        <v>10</v>
      </c>
      <c r="G147" s="22" t="s">
        <v>10</v>
      </c>
    </row>
    <row r="148" spans="1:7" ht="17.100000000000001" customHeight="1" x14ac:dyDescent="0.2">
      <c r="A148" s="20" t="s">
        <v>10</v>
      </c>
      <c r="B148" s="213" t="s">
        <v>138</v>
      </c>
      <c r="C148" s="214"/>
      <c r="D148" s="13" t="s">
        <v>10</v>
      </c>
      <c r="E148" s="23" t="s">
        <v>10</v>
      </c>
      <c r="F148" s="22" t="s">
        <v>10</v>
      </c>
      <c r="G148" s="22" t="s">
        <v>10</v>
      </c>
    </row>
    <row r="149" spans="1:7" s="20" customFormat="1" ht="17.100000000000001" customHeight="1" x14ac:dyDescent="0.2"/>
    <row r="150" spans="1:7" x14ac:dyDescent="0.2">
      <c r="A150" s="24" t="s">
        <v>10</v>
      </c>
      <c r="B150" s="140" t="s">
        <v>10</v>
      </c>
      <c r="C150" s="140" t="s">
        <v>139</v>
      </c>
      <c r="D150" s="140" t="s">
        <v>140</v>
      </c>
      <c r="E150" s="24" t="s">
        <v>10</v>
      </c>
      <c r="F150" s="24" t="s">
        <v>10</v>
      </c>
      <c r="G150" s="24" t="s">
        <v>10</v>
      </c>
    </row>
    <row r="151" spans="1:7" ht="18" customHeight="1" x14ac:dyDescent="0.2">
      <c r="A151" s="24" t="s">
        <v>10</v>
      </c>
      <c r="B151" s="25" t="s">
        <v>141</v>
      </c>
      <c r="C151" s="25" t="s">
        <v>142</v>
      </c>
      <c r="D151" s="25" t="s">
        <v>143</v>
      </c>
      <c r="E151" s="24" t="s">
        <v>10</v>
      </c>
      <c r="F151" s="24" t="s">
        <v>10</v>
      </c>
      <c r="G151" s="24" t="s">
        <v>10</v>
      </c>
    </row>
    <row r="152" spans="1:7" ht="17.100000000000001" customHeight="1" x14ac:dyDescent="0.2">
      <c r="A152" s="24" t="s">
        <v>10</v>
      </c>
      <c r="B152" s="6" t="s">
        <v>144</v>
      </c>
      <c r="C152" s="26">
        <v>12.475899999999999</v>
      </c>
      <c r="D152" s="26">
        <v>13.9686</v>
      </c>
      <c r="E152" s="24" t="s">
        <v>10</v>
      </c>
      <c r="F152" s="21" t="s">
        <v>10</v>
      </c>
      <c r="G152" s="27" t="s">
        <v>10</v>
      </c>
    </row>
    <row r="153" spans="1:7" ht="17.100000000000001" customHeight="1" x14ac:dyDescent="0.2">
      <c r="A153" s="24" t="s">
        <v>10</v>
      </c>
      <c r="B153" s="6" t="s">
        <v>917</v>
      </c>
      <c r="C153" s="26">
        <v>12.475899999999999</v>
      </c>
      <c r="D153" s="26">
        <v>13.9686</v>
      </c>
      <c r="E153" s="24" t="s">
        <v>10</v>
      </c>
      <c r="F153" s="21" t="s">
        <v>10</v>
      </c>
      <c r="G153" s="27" t="s">
        <v>10</v>
      </c>
    </row>
    <row r="154" spans="1:7" ht="17.100000000000001" customHeight="1" x14ac:dyDescent="0.2">
      <c r="A154" s="24" t="s">
        <v>10</v>
      </c>
      <c r="B154" s="6" t="s">
        <v>145</v>
      </c>
      <c r="C154" s="26">
        <v>12.3467</v>
      </c>
      <c r="D154" s="26">
        <v>13.820600000000001</v>
      </c>
      <c r="E154" s="24" t="s">
        <v>10</v>
      </c>
      <c r="F154" s="21" t="s">
        <v>10</v>
      </c>
      <c r="G154" s="27" t="s">
        <v>10</v>
      </c>
    </row>
    <row r="155" spans="1:7" ht="17.100000000000001" customHeight="1" x14ac:dyDescent="0.2">
      <c r="A155" s="24" t="s">
        <v>10</v>
      </c>
      <c r="B155" s="6" t="s">
        <v>918</v>
      </c>
      <c r="C155" s="26">
        <v>12.3467</v>
      </c>
      <c r="D155" s="26">
        <v>13.820600000000001</v>
      </c>
      <c r="E155" s="24" t="s">
        <v>10</v>
      </c>
      <c r="F155" s="21" t="s">
        <v>10</v>
      </c>
      <c r="G155" s="27" t="s">
        <v>10</v>
      </c>
    </row>
    <row r="156" spans="1:7" ht="14.1" customHeight="1" x14ac:dyDescent="0.2">
      <c r="A156" s="24" t="s">
        <v>10</v>
      </c>
      <c r="B156" s="24" t="s">
        <v>10</v>
      </c>
      <c r="C156" s="24" t="s">
        <v>10</v>
      </c>
      <c r="D156" s="24" t="s">
        <v>10</v>
      </c>
      <c r="E156" s="24" t="s">
        <v>10</v>
      </c>
      <c r="F156" s="24" t="s">
        <v>10</v>
      </c>
      <c r="G156" s="24" t="s">
        <v>10</v>
      </c>
    </row>
    <row r="157" spans="1:7" ht="17.100000000000001" customHeight="1" x14ac:dyDescent="0.2">
      <c r="A157" s="24" t="s">
        <v>10</v>
      </c>
      <c r="B157" s="213" t="s">
        <v>999</v>
      </c>
      <c r="C157" s="214"/>
      <c r="D157" s="4" t="s">
        <v>136</v>
      </c>
      <c r="E157" s="24" t="s">
        <v>10</v>
      </c>
      <c r="F157" s="24" t="s">
        <v>10</v>
      </c>
      <c r="G157" s="24" t="s">
        <v>10</v>
      </c>
    </row>
    <row r="158" spans="1:7" ht="18" customHeight="1" x14ac:dyDescent="0.2">
      <c r="A158" s="24" t="s">
        <v>10</v>
      </c>
      <c r="B158" s="28"/>
      <c r="C158" s="28"/>
      <c r="D158" s="29" t="s">
        <v>10</v>
      </c>
      <c r="E158" s="24" t="s">
        <v>10</v>
      </c>
      <c r="F158" s="24" t="s">
        <v>10</v>
      </c>
      <c r="G158" s="24" t="s">
        <v>10</v>
      </c>
    </row>
    <row r="159" spans="1:7" s="175" customFormat="1" x14ac:dyDescent="0.2">
      <c r="B159" s="221" t="s">
        <v>919</v>
      </c>
      <c r="C159" s="221"/>
      <c r="D159" s="221"/>
      <c r="E159" s="221"/>
      <c r="F159" s="221"/>
    </row>
    <row r="160" spans="1:7" ht="14.1" customHeight="1" x14ac:dyDescent="0.2">
      <c r="A160" s="24" t="s">
        <v>10</v>
      </c>
      <c r="B160" s="21" t="s">
        <v>10</v>
      </c>
      <c r="C160" s="21" t="s">
        <v>10</v>
      </c>
      <c r="D160" s="24" t="s">
        <v>10</v>
      </c>
      <c r="E160" s="24" t="s">
        <v>10</v>
      </c>
      <c r="F160" s="24" t="s">
        <v>10</v>
      </c>
      <c r="G160" s="24" t="s">
        <v>10</v>
      </c>
    </row>
    <row r="161" spans="1:7" ht="29.1" customHeight="1" x14ac:dyDescent="0.2">
      <c r="A161" s="24" t="s">
        <v>10</v>
      </c>
      <c r="B161" s="213" t="s">
        <v>146</v>
      </c>
      <c r="C161" s="214"/>
      <c r="D161" s="4" t="s">
        <v>136</v>
      </c>
      <c r="E161" s="24" t="s">
        <v>10</v>
      </c>
      <c r="F161" s="24" t="s">
        <v>10</v>
      </c>
      <c r="G161" s="24" t="s">
        <v>10</v>
      </c>
    </row>
    <row r="162" spans="1:7" ht="29.1" customHeight="1" x14ac:dyDescent="0.2">
      <c r="A162" s="24" t="s">
        <v>10</v>
      </c>
      <c r="B162" s="213" t="s">
        <v>147</v>
      </c>
      <c r="C162" s="214"/>
      <c r="D162" s="4" t="s">
        <v>136</v>
      </c>
      <c r="E162" s="24" t="s">
        <v>10</v>
      </c>
      <c r="F162" s="24" t="s">
        <v>10</v>
      </c>
      <c r="G162" s="24" t="s">
        <v>10</v>
      </c>
    </row>
    <row r="163" spans="1:7" ht="17.100000000000001" customHeight="1" x14ac:dyDescent="0.2">
      <c r="A163" s="24" t="s">
        <v>10</v>
      </c>
      <c r="B163" s="213" t="s">
        <v>148</v>
      </c>
      <c r="C163" s="214"/>
      <c r="D163" s="30">
        <v>0.43097839478449829</v>
      </c>
      <c r="E163" s="24" t="s">
        <v>10</v>
      </c>
      <c r="F163" s="21" t="s">
        <v>10</v>
      </c>
      <c r="G163" s="27" t="s">
        <v>10</v>
      </c>
    </row>
    <row r="164" spans="1:7" ht="17.100000000000001" customHeight="1" x14ac:dyDescent="0.2">
      <c r="A164" s="24" t="s">
        <v>10</v>
      </c>
      <c r="B164" s="213" t="s">
        <v>149</v>
      </c>
      <c r="C164" s="214"/>
      <c r="D164" s="4" t="s">
        <v>136</v>
      </c>
      <c r="E164" s="24" t="s">
        <v>10</v>
      </c>
      <c r="F164" s="24" t="s">
        <v>10</v>
      </c>
      <c r="G164" s="24" t="s">
        <v>10</v>
      </c>
    </row>
  </sheetData>
  <mergeCells count="15">
    <mergeCell ref="B163:C163"/>
    <mergeCell ref="B164:C164"/>
    <mergeCell ref="B146:C146"/>
    <mergeCell ref="B147:C147"/>
    <mergeCell ref="B148:C148"/>
    <mergeCell ref="B157:C157"/>
    <mergeCell ref="B161:C161"/>
    <mergeCell ref="B162:C162"/>
    <mergeCell ref="B159:F159"/>
    <mergeCell ref="B145:C145"/>
    <mergeCell ref="B142:F142"/>
    <mergeCell ref="B143:F14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36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496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21500</v>
      </c>
      <c r="F7" s="8">
        <v>142.49125000000001</v>
      </c>
      <c r="G7" s="9">
        <v>7.7721210999999998E-2</v>
      </c>
      <c r="H7" s="167"/>
    </row>
    <row r="8" spans="1:8" x14ac:dyDescent="0.2">
      <c r="A8" s="5">
        <v>2</v>
      </c>
      <c r="B8" s="6" t="s">
        <v>51</v>
      </c>
      <c r="C8" s="6" t="s">
        <v>52</v>
      </c>
      <c r="D8" s="6" t="s">
        <v>23</v>
      </c>
      <c r="E8" s="7">
        <v>9322</v>
      </c>
      <c r="F8" s="8">
        <v>141.307537</v>
      </c>
      <c r="G8" s="9">
        <v>7.7075560000000001E-2</v>
      </c>
      <c r="H8" s="167"/>
    </row>
    <row r="9" spans="1:8" x14ac:dyDescent="0.2">
      <c r="A9" s="5">
        <v>3</v>
      </c>
      <c r="B9" s="6" t="s">
        <v>16</v>
      </c>
      <c r="C9" s="6" t="s">
        <v>17</v>
      </c>
      <c r="D9" s="6" t="s">
        <v>18</v>
      </c>
      <c r="E9" s="7">
        <v>6300</v>
      </c>
      <c r="F9" s="8">
        <v>136.09889999999999</v>
      </c>
      <c r="G9" s="9">
        <v>7.4234533000000005E-2</v>
      </c>
      <c r="H9" s="167"/>
    </row>
    <row r="10" spans="1:8" x14ac:dyDescent="0.2">
      <c r="A10" s="5">
        <v>4</v>
      </c>
      <c r="B10" s="6" t="s">
        <v>399</v>
      </c>
      <c r="C10" s="6" t="s">
        <v>400</v>
      </c>
      <c r="D10" s="6" t="s">
        <v>167</v>
      </c>
      <c r="E10" s="7">
        <v>8574</v>
      </c>
      <c r="F10" s="8">
        <v>119.500125</v>
      </c>
      <c r="G10" s="9">
        <v>6.5180805999999994E-2</v>
      </c>
      <c r="H10" s="167"/>
    </row>
    <row r="11" spans="1:8" ht="25.5" x14ac:dyDescent="0.2">
      <c r="A11" s="5">
        <v>5</v>
      </c>
      <c r="B11" s="6" t="s">
        <v>401</v>
      </c>
      <c r="C11" s="6" t="s">
        <v>402</v>
      </c>
      <c r="D11" s="6" t="s">
        <v>158</v>
      </c>
      <c r="E11" s="7">
        <v>3488</v>
      </c>
      <c r="F11" s="8">
        <v>89.043407999999999</v>
      </c>
      <c r="G11" s="9">
        <v>4.8568326000000002E-2</v>
      </c>
      <c r="H11" s="167"/>
    </row>
    <row r="12" spans="1:8" ht="25.5" x14ac:dyDescent="0.2">
      <c r="A12" s="5">
        <v>6</v>
      </c>
      <c r="B12" s="6" t="s">
        <v>327</v>
      </c>
      <c r="C12" s="6" t="s">
        <v>328</v>
      </c>
      <c r="D12" s="6" t="s">
        <v>78</v>
      </c>
      <c r="E12" s="7">
        <v>6587</v>
      </c>
      <c r="F12" s="8">
        <v>66.630798499999997</v>
      </c>
      <c r="G12" s="9">
        <v>3.6343469000000003E-2</v>
      </c>
      <c r="H12" s="167"/>
    </row>
    <row r="13" spans="1:8" x14ac:dyDescent="0.2">
      <c r="A13" s="5">
        <v>7</v>
      </c>
      <c r="B13" s="6" t="s">
        <v>403</v>
      </c>
      <c r="C13" s="6" t="s">
        <v>404</v>
      </c>
      <c r="D13" s="6" t="s">
        <v>23</v>
      </c>
      <c r="E13" s="7">
        <v>15211</v>
      </c>
      <c r="F13" s="8">
        <v>64.547878499999996</v>
      </c>
      <c r="G13" s="9">
        <v>3.5207349999999998E-2</v>
      </c>
      <c r="H13" s="167"/>
    </row>
    <row r="14" spans="1:8" x14ac:dyDescent="0.2">
      <c r="A14" s="5">
        <v>8</v>
      </c>
      <c r="B14" s="6" t="s">
        <v>370</v>
      </c>
      <c r="C14" s="6" t="s">
        <v>371</v>
      </c>
      <c r="D14" s="6" t="s">
        <v>23</v>
      </c>
      <c r="E14" s="7">
        <v>8341</v>
      </c>
      <c r="F14" s="8">
        <v>62.615887000000001</v>
      </c>
      <c r="G14" s="9">
        <v>3.4153554000000003E-2</v>
      </c>
      <c r="H14" s="167"/>
    </row>
    <row r="15" spans="1:8" ht="25.5" x14ac:dyDescent="0.2">
      <c r="A15" s="5">
        <v>9</v>
      </c>
      <c r="B15" s="6" t="s">
        <v>40</v>
      </c>
      <c r="C15" s="6" t="s">
        <v>41</v>
      </c>
      <c r="D15" s="6" t="s">
        <v>970</v>
      </c>
      <c r="E15" s="7">
        <v>887</v>
      </c>
      <c r="F15" s="8">
        <v>59.499960000000002</v>
      </c>
      <c r="G15" s="9">
        <v>3.2453984999999998E-2</v>
      </c>
      <c r="H15" s="167"/>
    </row>
    <row r="16" spans="1:8" x14ac:dyDescent="0.2">
      <c r="A16" s="5">
        <v>10</v>
      </c>
      <c r="B16" s="6" t="s">
        <v>13</v>
      </c>
      <c r="C16" s="6" t="s">
        <v>14</v>
      </c>
      <c r="D16" s="6" t="s">
        <v>15</v>
      </c>
      <c r="E16" s="7">
        <v>3850</v>
      </c>
      <c r="F16" s="8">
        <v>56.506450000000001</v>
      </c>
      <c r="G16" s="9">
        <v>3.0821188999999999E-2</v>
      </c>
      <c r="H16" s="167"/>
    </row>
    <row r="17" spans="1:8" x14ac:dyDescent="0.2">
      <c r="A17" s="5">
        <v>11</v>
      </c>
      <c r="B17" s="6" t="s">
        <v>151</v>
      </c>
      <c r="C17" s="6" t="s">
        <v>152</v>
      </c>
      <c r="D17" s="6" t="s">
        <v>153</v>
      </c>
      <c r="E17" s="7">
        <v>1505</v>
      </c>
      <c r="F17" s="8">
        <v>48.533239999999999</v>
      </c>
      <c r="G17" s="9">
        <v>2.6472236999999999E-2</v>
      </c>
      <c r="H17" s="167"/>
    </row>
    <row r="18" spans="1:8" x14ac:dyDescent="0.2">
      <c r="A18" s="5">
        <v>12</v>
      </c>
      <c r="B18" s="6" t="s">
        <v>355</v>
      </c>
      <c r="C18" s="6" t="s">
        <v>356</v>
      </c>
      <c r="D18" s="6" t="s">
        <v>357</v>
      </c>
      <c r="E18" s="7">
        <v>5600</v>
      </c>
      <c r="F18" s="8">
        <v>44.87</v>
      </c>
      <c r="G18" s="9">
        <v>2.4474139999999998E-2</v>
      </c>
      <c r="H18" s="167"/>
    </row>
    <row r="19" spans="1:8" ht="25.5" x14ac:dyDescent="0.2">
      <c r="A19" s="5">
        <v>13</v>
      </c>
      <c r="B19" s="6" t="s">
        <v>497</v>
      </c>
      <c r="C19" s="6" t="s">
        <v>498</v>
      </c>
      <c r="D19" s="6" t="s">
        <v>970</v>
      </c>
      <c r="E19" s="7">
        <v>3200</v>
      </c>
      <c r="F19" s="8">
        <v>40.167999999999999</v>
      </c>
      <c r="G19" s="9">
        <v>2.1909455000000001E-2</v>
      </c>
      <c r="H19" s="167"/>
    </row>
    <row r="20" spans="1:8" x14ac:dyDescent="0.2">
      <c r="A20" s="5">
        <v>14</v>
      </c>
      <c r="B20" s="6" t="s">
        <v>61</v>
      </c>
      <c r="C20" s="6" t="s">
        <v>62</v>
      </c>
      <c r="D20" s="6" t="s">
        <v>18</v>
      </c>
      <c r="E20" s="7">
        <v>8136</v>
      </c>
      <c r="F20" s="8">
        <v>38.401919999999997</v>
      </c>
      <c r="G20" s="9">
        <v>2.0946154000000002E-2</v>
      </c>
      <c r="H20" s="167"/>
    </row>
    <row r="21" spans="1:8" x14ac:dyDescent="0.2">
      <c r="A21" s="5">
        <v>15</v>
      </c>
      <c r="B21" s="6" t="s">
        <v>366</v>
      </c>
      <c r="C21" s="6" t="s">
        <v>367</v>
      </c>
      <c r="D21" s="6" t="s">
        <v>167</v>
      </c>
      <c r="E21" s="7">
        <v>3900</v>
      </c>
      <c r="F21" s="8">
        <v>36.8628</v>
      </c>
      <c r="G21" s="9">
        <v>2.0106648000000001E-2</v>
      </c>
      <c r="H21" s="167"/>
    </row>
    <row r="22" spans="1:8" x14ac:dyDescent="0.2">
      <c r="A22" s="5">
        <v>16</v>
      </c>
      <c r="B22" s="6" t="s">
        <v>24</v>
      </c>
      <c r="C22" s="6" t="s">
        <v>25</v>
      </c>
      <c r="D22" s="6" t="s">
        <v>26</v>
      </c>
      <c r="E22" s="7">
        <v>6757</v>
      </c>
      <c r="F22" s="8">
        <v>36.143192999999997</v>
      </c>
      <c r="G22" s="9">
        <v>1.9714142E-2</v>
      </c>
      <c r="H22" s="167"/>
    </row>
    <row r="23" spans="1:8" x14ac:dyDescent="0.2">
      <c r="A23" s="5">
        <v>17</v>
      </c>
      <c r="B23" s="6" t="s">
        <v>499</v>
      </c>
      <c r="C23" s="6" t="s">
        <v>500</v>
      </c>
      <c r="D23" s="6" t="s">
        <v>94</v>
      </c>
      <c r="E23" s="7">
        <v>11250</v>
      </c>
      <c r="F23" s="8">
        <v>35.859375</v>
      </c>
      <c r="G23" s="9">
        <v>1.9559335000000001E-2</v>
      </c>
      <c r="H23" s="167"/>
    </row>
    <row r="24" spans="1:8" x14ac:dyDescent="0.2">
      <c r="A24" s="5">
        <v>18</v>
      </c>
      <c r="B24" s="6" t="s">
        <v>405</v>
      </c>
      <c r="C24" s="6" t="s">
        <v>406</v>
      </c>
      <c r="D24" s="6" t="s">
        <v>969</v>
      </c>
      <c r="E24" s="7">
        <v>3435</v>
      </c>
      <c r="F24" s="8">
        <v>33.513577499999997</v>
      </c>
      <c r="G24" s="9">
        <v>1.827983E-2</v>
      </c>
      <c r="H24" s="167"/>
    </row>
    <row r="25" spans="1:8" x14ac:dyDescent="0.2">
      <c r="A25" s="5">
        <v>19</v>
      </c>
      <c r="B25" s="6" t="s">
        <v>218</v>
      </c>
      <c r="C25" s="6" t="s">
        <v>219</v>
      </c>
      <c r="D25" s="6" t="s">
        <v>973</v>
      </c>
      <c r="E25" s="7">
        <v>4850</v>
      </c>
      <c r="F25" s="8">
        <v>33.13035</v>
      </c>
      <c r="G25" s="9">
        <v>1.8070800000000001E-2</v>
      </c>
      <c r="H25" s="167"/>
    </row>
    <row r="26" spans="1:8" x14ac:dyDescent="0.2">
      <c r="A26" s="5">
        <v>20</v>
      </c>
      <c r="B26" s="6" t="s">
        <v>333</v>
      </c>
      <c r="C26" s="6" t="s">
        <v>334</v>
      </c>
      <c r="D26" s="6" t="s">
        <v>67</v>
      </c>
      <c r="E26" s="7">
        <v>4814</v>
      </c>
      <c r="F26" s="8">
        <v>32.922946000000003</v>
      </c>
      <c r="G26" s="9">
        <v>1.7957673E-2</v>
      </c>
      <c r="H26" s="167"/>
    </row>
    <row r="27" spans="1:8" x14ac:dyDescent="0.2">
      <c r="A27" s="5">
        <v>21</v>
      </c>
      <c r="B27" s="6" t="s">
        <v>501</v>
      </c>
      <c r="C27" s="6" t="s">
        <v>396</v>
      </c>
      <c r="D27" s="6" t="s">
        <v>284</v>
      </c>
      <c r="E27" s="7">
        <v>16430</v>
      </c>
      <c r="F27" s="8">
        <v>32.063144999999999</v>
      </c>
      <c r="G27" s="9">
        <v>1.7488698E-2</v>
      </c>
      <c r="H27" s="167"/>
    </row>
    <row r="28" spans="1:8" x14ac:dyDescent="0.2">
      <c r="A28" s="5">
        <v>22</v>
      </c>
      <c r="B28" s="6" t="s">
        <v>413</v>
      </c>
      <c r="C28" s="6" t="s">
        <v>414</v>
      </c>
      <c r="D28" s="6" t="s">
        <v>167</v>
      </c>
      <c r="E28" s="7">
        <v>969</v>
      </c>
      <c r="F28" s="8">
        <v>30.612163500000001</v>
      </c>
      <c r="G28" s="9">
        <v>1.6697266999999998E-2</v>
      </c>
      <c r="H28" s="167"/>
    </row>
    <row r="29" spans="1:8" x14ac:dyDescent="0.2">
      <c r="A29" s="5">
        <v>23</v>
      </c>
      <c r="B29" s="6" t="s">
        <v>86</v>
      </c>
      <c r="C29" s="6" t="s">
        <v>87</v>
      </c>
      <c r="D29" s="6" t="s">
        <v>29</v>
      </c>
      <c r="E29" s="7">
        <v>3874</v>
      </c>
      <c r="F29" s="8">
        <v>30.484506</v>
      </c>
      <c r="G29" s="9">
        <v>1.6627637000000001E-2</v>
      </c>
      <c r="H29" s="167"/>
    </row>
    <row r="30" spans="1:8" x14ac:dyDescent="0.2">
      <c r="A30" s="5">
        <v>24</v>
      </c>
      <c r="B30" s="6" t="s">
        <v>193</v>
      </c>
      <c r="C30" s="6" t="s">
        <v>194</v>
      </c>
      <c r="D30" s="6" t="s">
        <v>178</v>
      </c>
      <c r="E30" s="7">
        <v>16375</v>
      </c>
      <c r="F30" s="8">
        <v>29.933499999999999</v>
      </c>
      <c r="G30" s="9">
        <v>1.6327093000000001E-2</v>
      </c>
      <c r="H30" s="167"/>
    </row>
    <row r="31" spans="1:8" x14ac:dyDescent="0.2">
      <c r="A31" s="5">
        <v>25</v>
      </c>
      <c r="B31" s="6" t="s">
        <v>429</v>
      </c>
      <c r="C31" s="6" t="s">
        <v>430</v>
      </c>
      <c r="D31" s="6" t="s">
        <v>23</v>
      </c>
      <c r="E31" s="7">
        <v>1570</v>
      </c>
      <c r="F31" s="8">
        <v>28.380890000000001</v>
      </c>
      <c r="G31" s="9">
        <v>1.5480229E-2</v>
      </c>
      <c r="H31" s="167"/>
    </row>
    <row r="32" spans="1:8" ht="25.5" x14ac:dyDescent="0.2">
      <c r="A32" s="5">
        <v>26</v>
      </c>
      <c r="B32" s="6" t="s">
        <v>425</v>
      </c>
      <c r="C32" s="6" t="s">
        <v>426</v>
      </c>
      <c r="D32" s="6" t="s">
        <v>78</v>
      </c>
      <c r="E32" s="7">
        <v>12606</v>
      </c>
      <c r="F32" s="8">
        <v>27.304596</v>
      </c>
      <c r="G32" s="9">
        <v>1.4893169E-2</v>
      </c>
      <c r="H32" s="167"/>
    </row>
    <row r="33" spans="1:8" x14ac:dyDescent="0.2">
      <c r="A33" s="5">
        <v>27</v>
      </c>
      <c r="B33" s="6" t="s">
        <v>451</v>
      </c>
      <c r="C33" s="6" t="s">
        <v>452</v>
      </c>
      <c r="D33" s="6" t="s">
        <v>67</v>
      </c>
      <c r="E33" s="7">
        <v>5743</v>
      </c>
      <c r="F33" s="8">
        <v>27.287864500000001</v>
      </c>
      <c r="G33" s="9">
        <v>1.4884043E-2</v>
      </c>
      <c r="H33" s="167"/>
    </row>
    <row r="34" spans="1:8" x14ac:dyDescent="0.2">
      <c r="A34" s="5">
        <v>28</v>
      </c>
      <c r="B34" s="6" t="s">
        <v>444</v>
      </c>
      <c r="C34" s="6" t="s">
        <v>445</v>
      </c>
      <c r="D34" s="6" t="s">
        <v>192</v>
      </c>
      <c r="E34" s="7">
        <v>500</v>
      </c>
      <c r="F34" s="8">
        <v>26.545750000000002</v>
      </c>
      <c r="G34" s="9">
        <v>1.4479260000000001E-2</v>
      </c>
      <c r="H34" s="167"/>
    </row>
    <row r="35" spans="1:8" x14ac:dyDescent="0.2">
      <c r="A35" s="5">
        <v>29</v>
      </c>
      <c r="B35" s="6" t="s">
        <v>313</v>
      </c>
      <c r="C35" s="6" t="s">
        <v>314</v>
      </c>
      <c r="D35" s="6" t="s">
        <v>23</v>
      </c>
      <c r="E35" s="7">
        <v>28053</v>
      </c>
      <c r="F35" s="8">
        <v>24.476242500000001</v>
      </c>
      <c r="G35" s="9">
        <v>1.3350456E-2</v>
      </c>
      <c r="H35" s="167"/>
    </row>
    <row r="36" spans="1:8" x14ac:dyDescent="0.2">
      <c r="A36" s="5">
        <v>30</v>
      </c>
      <c r="B36" s="6" t="s">
        <v>345</v>
      </c>
      <c r="C36" s="6" t="s">
        <v>346</v>
      </c>
      <c r="D36" s="6" t="s">
        <v>57</v>
      </c>
      <c r="E36" s="7">
        <v>6000</v>
      </c>
      <c r="F36" s="8">
        <v>24.431999999999999</v>
      </c>
      <c r="G36" s="9">
        <v>1.3326324000000001E-2</v>
      </c>
      <c r="H36" s="167"/>
    </row>
    <row r="37" spans="1:8" x14ac:dyDescent="0.2">
      <c r="A37" s="5">
        <v>31</v>
      </c>
      <c r="B37" s="6" t="s">
        <v>502</v>
      </c>
      <c r="C37" s="6" t="s">
        <v>503</v>
      </c>
      <c r="D37" s="6" t="s">
        <v>75</v>
      </c>
      <c r="E37" s="7">
        <v>1421</v>
      </c>
      <c r="F37" s="8">
        <v>22.682712500000001</v>
      </c>
      <c r="G37" s="9">
        <v>1.2372183E-2</v>
      </c>
      <c r="H37" s="167"/>
    </row>
    <row r="38" spans="1:8" x14ac:dyDescent="0.2">
      <c r="A38" s="5">
        <v>32</v>
      </c>
      <c r="B38" s="6" t="s">
        <v>415</v>
      </c>
      <c r="C38" s="6" t="s">
        <v>416</v>
      </c>
      <c r="D38" s="6" t="s">
        <v>192</v>
      </c>
      <c r="E38" s="7">
        <v>3238</v>
      </c>
      <c r="F38" s="8">
        <v>21.639554</v>
      </c>
      <c r="G38" s="9">
        <v>1.1803197E-2</v>
      </c>
      <c r="H38" s="167"/>
    </row>
    <row r="39" spans="1:8" x14ac:dyDescent="0.2">
      <c r="A39" s="5">
        <v>33</v>
      </c>
      <c r="B39" s="6" t="s">
        <v>347</v>
      </c>
      <c r="C39" s="6" t="s">
        <v>348</v>
      </c>
      <c r="D39" s="6" t="s">
        <v>23</v>
      </c>
      <c r="E39" s="7">
        <v>25574</v>
      </c>
      <c r="F39" s="8">
        <v>20.638217999999998</v>
      </c>
      <c r="G39" s="9">
        <v>1.1257023E-2</v>
      </c>
      <c r="H39" s="167"/>
    </row>
    <row r="40" spans="1:8" x14ac:dyDescent="0.2">
      <c r="A40" s="5">
        <v>34</v>
      </c>
      <c r="B40" s="6" t="s">
        <v>440</v>
      </c>
      <c r="C40" s="6" t="s">
        <v>441</v>
      </c>
      <c r="D40" s="6" t="s">
        <v>192</v>
      </c>
      <c r="E40" s="7">
        <v>2158</v>
      </c>
      <c r="F40" s="8">
        <v>20.486972999999999</v>
      </c>
      <c r="G40" s="9">
        <v>1.1174527E-2</v>
      </c>
      <c r="H40" s="167"/>
    </row>
    <row r="41" spans="1:8" ht="25.5" x14ac:dyDescent="0.2">
      <c r="A41" s="5">
        <v>35</v>
      </c>
      <c r="B41" s="6" t="s">
        <v>419</v>
      </c>
      <c r="C41" s="6" t="s">
        <v>420</v>
      </c>
      <c r="D41" s="6" t="s">
        <v>78</v>
      </c>
      <c r="E41" s="7">
        <v>788</v>
      </c>
      <c r="F41" s="8">
        <v>18.439594</v>
      </c>
      <c r="G41" s="9">
        <v>1.0057794E-2</v>
      </c>
      <c r="H41" s="167"/>
    </row>
    <row r="42" spans="1:8" x14ac:dyDescent="0.2">
      <c r="A42" s="5">
        <v>36</v>
      </c>
      <c r="B42" s="6" t="s">
        <v>68</v>
      </c>
      <c r="C42" s="6" t="s">
        <v>69</v>
      </c>
      <c r="D42" s="6" t="s">
        <v>70</v>
      </c>
      <c r="E42" s="7">
        <v>10893</v>
      </c>
      <c r="F42" s="8">
        <v>17.423353500000001</v>
      </c>
      <c r="G42" s="9">
        <v>9.5034899999999999E-3</v>
      </c>
      <c r="H42" s="167"/>
    </row>
    <row r="43" spans="1:8" x14ac:dyDescent="0.2">
      <c r="A43" s="5">
        <v>37</v>
      </c>
      <c r="B43" s="6" t="s">
        <v>417</v>
      </c>
      <c r="C43" s="6" t="s">
        <v>418</v>
      </c>
      <c r="D43" s="6" t="s">
        <v>57</v>
      </c>
      <c r="E43" s="7">
        <v>1501</v>
      </c>
      <c r="F43" s="8">
        <v>16.896006499999999</v>
      </c>
      <c r="G43" s="9">
        <v>9.2158510000000006E-3</v>
      </c>
      <c r="H43" s="167"/>
    </row>
    <row r="44" spans="1:8" ht="25.5" x14ac:dyDescent="0.2">
      <c r="A44" s="5">
        <v>38</v>
      </c>
      <c r="B44" s="6" t="s">
        <v>376</v>
      </c>
      <c r="C44" s="6" t="s">
        <v>377</v>
      </c>
      <c r="D44" s="6" t="s">
        <v>78</v>
      </c>
      <c r="E44" s="7">
        <v>2500</v>
      </c>
      <c r="F44" s="8">
        <v>16.596250000000001</v>
      </c>
      <c r="G44" s="9">
        <v>9.0523500000000007E-3</v>
      </c>
      <c r="H44" s="167"/>
    </row>
    <row r="45" spans="1:8" ht="25.5" x14ac:dyDescent="0.2">
      <c r="A45" s="5">
        <v>39</v>
      </c>
      <c r="B45" s="6" t="s">
        <v>364</v>
      </c>
      <c r="C45" s="6" t="s">
        <v>365</v>
      </c>
      <c r="D45" s="6" t="s">
        <v>158</v>
      </c>
      <c r="E45" s="7">
        <v>9400</v>
      </c>
      <c r="F45" s="8">
        <v>15.321999999999999</v>
      </c>
      <c r="G45" s="9">
        <v>8.3573160000000001E-3</v>
      </c>
      <c r="H45" s="167"/>
    </row>
    <row r="46" spans="1:8" x14ac:dyDescent="0.2">
      <c r="A46" s="5">
        <v>40</v>
      </c>
      <c r="B46" s="6" t="s">
        <v>411</v>
      </c>
      <c r="C46" s="6" t="s">
        <v>412</v>
      </c>
      <c r="D46" s="6" t="s">
        <v>167</v>
      </c>
      <c r="E46" s="7">
        <v>2582</v>
      </c>
      <c r="F46" s="8">
        <v>13.918271000000001</v>
      </c>
      <c r="G46" s="9">
        <v>7.5916580000000003E-3</v>
      </c>
      <c r="H46" s="167"/>
    </row>
    <row r="47" spans="1:8" x14ac:dyDescent="0.2">
      <c r="A47" s="3" t="s">
        <v>10</v>
      </c>
      <c r="B47" s="3" t="s">
        <v>10</v>
      </c>
      <c r="C47" s="4" t="s">
        <v>104</v>
      </c>
      <c r="D47" s="3" t="s">
        <v>10</v>
      </c>
      <c r="E47" s="3" t="s">
        <v>10</v>
      </c>
      <c r="F47" s="10">
        <v>1784.2111855000001</v>
      </c>
      <c r="G47" s="11">
        <v>0.97318996199999996</v>
      </c>
      <c r="H47" s="167"/>
    </row>
    <row r="48" spans="1:8" x14ac:dyDescent="0.2">
      <c r="A48" s="3" t="s">
        <v>10</v>
      </c>
      <c r="B48" s="3" t="s">
        <v>10</v>
      </c>
      <c r="C48" s="12" t="s">
        <v>10</v>
      </c>
      <c r="D48" s="3" t="s">
        <v>10</v>
      </c>
      <c r="E48" s="3" t="s">
        <v>10</v>
      </c>
      <c r="F48" s="13" t="s">
        <v>10</v>
      </c>
      <c r="G48" s="13" t="s">
        <v>10</v>
      </c>
      <c r="H48" s="167"/>
    </row>
    <row r="49" spans="1:8" x14ac:dyDescent="0.2">
      <c r="A49" s="3" t="s">
        <v>10</v>
      </c>
      <c r="B49" s="3" t="s">
        <v>10</v>
      </c>
      <c r="C49" s="4" t="s">
        <v>105</v>
      </c>
      <c r="D49" s="3" t="s">
        <v>10</v>
      </c>
      <c r="E49" s="3" t="s">
        <v>10</v>
      </c>
      <c r="F49" s="3" t="s">
        <v>10</v>
      </c>
      <c r="G49" s="3" t="s">
        <v>10</v>
      </c>
      <c r="H49" s="167"/>
    </row>
    <row r="50" spans="1:8" x14ac:dyDescent="0.2">
      <c r="A50" s="3" t="s">
        <v>10</v>
      </c>
      <c r="B50" s="3" t="s">
        <v>10</v>
      </c>
      <c r="C50" s="4" t="s">
        <v>104</v>
      </c>
      <c r="D50" s="3" t="s">
        <v>10</v>
      </c>
      <c r="E50" s="3" t="s">
        <v>10</v>
      </c>
      <c r="F50" s="14">
        <v>0</v>
      </c>
      <c r="G50" s="15">
        <v>0</v>
      </c>
      <c r="H50" s="167"/>
    </row>
    <row r="51" spans="1:8" x14ac:dyDescent="0.2">
      <c r="A51" s="3" t="s">
        <v>10</v>
      </c>
      <c r="B51" s="3" t="s">
        <v>10</v>
      </c>
      <c r="C51" s="12" t="s">
        <v>10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106</v>
      </c>
      <c r="D52" s="3" t="s">
        <v>10</v>
      </c>
      <c r="E52" s="3" t="s">
        <v>10</v>
      </c>
      <c r="F52" s="3" t="s">
        <v>10</v>
      </c>
      <c r="G52" s="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104</v>
      </c>
      <c r="D53" s="3" t="s">
        <v>10</v>
      </c>
      <c r="E53" s="3" t="s">
        <v>10</v>
      </c>
      <c r="F53" s="14">
        <v>0</v>
      </c>
      <c r="G53" s="15">
        <v>0</v>
      </c>
      <c r="H53" s="167"/>
    </row>
    <row r="54" spans="1:8" x14ac:dyDescent="0.2">
      <c r="A54" s="3" t="s">
        <v>10</v>
      </c>
      <c r="B54" s="3" t="s">
        <v>10</v>
      </c>
      <c r="C54" s="12" t="s">
        <v>10</v>
      </c>
      <c r="D54" s="3" t="s">
        <v>10</v>
      </c>
      <c r="E54" s="3" t="s">
        <v>10</v>
      </c>
      <c r="F54" s="13" t="s">
        <v>10</v>
      </c>
      <c r="G54" s="1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110</v>
      </c>
      <c r="D55" s="3" t="s">
        <v>10</v>
      </c>
      <c r="E55" s="3" t="s">
        <v>10</v>
      </c>
      <c r="F55" s="3" t="s">
        <v>10</v>
      </c>
      <c r="G55" s="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4">
        <v>0</v>
      </c>
      <c r="G56" s="15">
        <v>0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111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104</v>
      </c>
      <c r="D59" s="3" t="s">
        <v>10</v>
      </c>
      <c r="E59" s="3" t="s">
        <v>10</v>
      </c>
      <c r="F59" s="14">
        <v>0</v>
      </c>
      <c r="G59" s="15">
        <v>0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112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104</v>
      </c>
      <c r="D62" s="3" t="s">
        <v>10</v>
      </c>
      <c r="E62" s="3" t="s">
        <v>10</v>
      </c>
      <c r="F62" s="14">
        <v>0</v>
      </c>
      <c r="G62" s="15">
        <v>0</v>
      </c>
      <c r="H62" s="167"/>
    </row>
    <row r="63" spans="1:8" x14ac:dyDescent="0.2">
      <c r="A63" s="3" t="s">
        <v>10</v>
      </c>
      <c r="B63" s="3" t="s">
        <v>10</v>
      </c>
      <c r="C63" s="12" t="s">
        <v>10</v>
      </c>
      <c r="D63" s="3" t="s">
        <v>10</v>
      </c>
      <c r="E63" s="3" t="s">
        <v>10</v>
      </c>
      <c r="F63" s="13" t="s">
        <v>10</v>
      </c>
      <c r="G63" s="1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113</v>
      </c>
      <c r="D64" s="3" t="s">
        <v>10</v>
      </c>
      <c r="E64" s="3" t="s">
        <v>10</v>
      </c>
      <c r="F64" s="10">
        <v>1784.2111855000001</v>
      </c>
      <c r="G64" s="11">
        <v>0.97318996199999996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114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ht="25.5" x14ac:dyDescent="0.2">
      <c r="A67" s="3" t="s">
        <v>10</v>
      </c>
      <c r="B67" s="3" t="s">
        <v>10</v>
      </c>
      <c r="C67" s="4" t="s">
        <v>12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104</v>
      </c>
      <c r="D68" s="3" t="s">
        <v>10</v>
      </c>
      <c r="E68" s="3" t="s">
        <v>10</v>
      </c>
      <c r="F68" s="14">
        <v>0</v>
      </c>
      <c r="G68" s="15">
        <v>0</v>
      </c>
      <c r="H68" s="167"/>
    </row>
    <row r="69" spans="1:8" x14ac:dyDescent="0.2">
      <c r="A69" s="3" t="s">
        <v>10</v>
      </c>
      <c r="B69" s="3" t="s">
        <v>10</v>
      </c>
      <c r="C69" s="12" t="s">
        <v>10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115</v>
      </c>
      <c r="D70" s="3" t="s">
        <v>10</v>
      </c>
      <c r="E70" s="3" t="s">
        <v>10</v>
      </c>
      <c r="F70" s="3" t="s">
        <v>10</v>
      </c>
      <c r="G70" s="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104</v>
      </c>
      <c r="D71" s="3" t="s">
        <v>10</v>
      </c>
      <c r="E71" s="3" t="s">
        <v>10</v>
      </c>
      <c r="F71" s="14">
        <v>0</v>
      </c>
      <c r="G71" s="15">
        <v>0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116</v>
      </c>
      <c r="D73" s="3" t="s">
        <v>10</v>
      </c>
      <c r="E73" s="3" t="s">
        <v>10</v>
      </c>
      <c r="F73" s="3" t="s">
        <v>10</v>
      </c>
      <c r="G73" s="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104</v>
      </c>
      <c r="D74" s="3" t="s">
        <v>10</v>
      </c>
      <c r="E74" s="3" t="s">
        <v>10</v>
      </c>
      <c r="F74" s="14">
        <v>0</v>
      </c>
      <c r="G74" s="15">
        <v>0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117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104</v>
      </c>
      <c r="D77" s="3" t="s">
        <v>10</v>
      </c>
      <c r="E77" s="3" t="s">
        <v>10</v>
      </c>
      <c r="F77" s="14">
        <v>0</v>
      </c>
      <c r="G77" s="15">
        <v>0</v>
      </c>
      <c r="H77" s="167"/>
    </row>
    <row r="78" spans="1:8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118</v>
      </c>
      <c r="D79" s="3" t="s">
        <v>10</v>
      </c>
      <c r="E79" s="3" t="s">
        <v>10</v>
      </c>
      <c r="F79" s="10">
        <v>0</v>
      </c>
      <c r="G79" s="11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119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120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121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122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4">
        <v>0</v>
      </c>
      <c r="G89" s="15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123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5">
        <v>1</v>
      </c>
      <c r="B92" s="6"/>
      <c r="C92" s="6" t="s">
        <v>124</v>
      </c>
      <c r="D92" s="6"/>
      <c r="E92" s="16" t="s">
        <v>10</v>
      </c>
      <c r="F92" s="8">
        <v>38.526487699999997</v>
      </c>
      <c r="G92" s="9">
        <v>2.1014099000000001E-2</v>
      </c>
      <c r="H92" s="108">
        <v>3.23</v>
      </c>
    </row>
    <row r="93" spans="1:8" x14ac:dyDescent="0.2">
      <c r="A93" s="5">
        <v>2</v>
      </c>
      <c r="B93" s="6"/>
      <c r="C93" s="6" t="s">
        <v>125</v>
      </c>
      <c r="D93" s="6"/>
      <c r="E93" s="16" t="s">
        <v>10</v>
      </c>
      <c r="F93" s="8">
        <v>10.8217356</v>
      </c>
      <c r="G93" s="9">
        <v>5.9026670000000003E-3</v>
      </c>
      <c r="H93" s="108">
        <v>3.35</v>
      </c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0">
        <v>49.348223300000001</v>
      </c>
      <c r="G94" s="11">
        <v>2.6916766000000002E-2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126</v>
      </c>
      <c r="D96" s="3" t="s">
        <v>10</v>
      </c>
      <c r="E96" s="3" t="s">
        <v>10</v>
      </c>
      <c r="F96" s="10">
        <v>49.348223300000001</v>
      </c>
      <c r="G96" s="11">
        <v>2.6916766000000002E-2</v>
      </c>
      <c r="H96" s="167"/>
    </row>
    <row r="97" spans="1:8" x14ac:dyDescent="0.2">
      <c r="A97" s="3" t="s">
        <v>10</v>
      </c>
      <c r="B97" s="3" t="s">
        <v>10</v>
      </c>
      <c r="C97" s="1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127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128</v>
      </c>
      <c r="D99" s="3" t="s">
        <v>10</v>
      </c>
      <c r="E99" s="3" t="s">
        <v>10</v>
      </c>
      <c r="F99" s="3" t="s">
        <v>10</v>
      </c>
      <c r="G99" s="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104</v>
      </c>
      <c r="D100" s="3" t="s">
        <v>10</v>
      </c>
      <c r="E100" s="3" t="s">
        <v>10</v>
      </c>
      <c r="F100" s="14">
        <v>0</v>
      </c>
      <c r="G100" s="15">
        <v>0</v>
      </c>
      <c r="H100" s="167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129</v>
      </c>
      <c r="D102" s="3" t="s">
        <v>10</v>
      </c>
      <c r="E102" s="3" t="s">
        <v>10</v>
      </c>
      <c r="F102" s="3" t="s">
        <v>10</v>
      </c>
      <c r="G102" s="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130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ht="25.5" x14ac:dyDescent="0.2">
      <c r="A107" s="3" t="s">
        <v>10</v>
      </c>
      <c r="B107" s="3" t="s">
        <v>10</v>
      </c>
      <c r="C107" s="4" t="s">
        <v>131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6" t="s">
        <v>10</v>
      </c>
      <c r="C110" s="6" t="s">
        <v>10</v>
      </c>
      <c r="D110" s="4" t="s">
        <v>10</v>
      </c>
      <c r="E110" s="3" t="s">
        <v>10</v>
      </c>
      <c r="F110" s="6" t="s">
        <v>10</v>
      </c>
      <c r="G110" s="16" t="s">
        <v>10</v>
      </c>
      <c r="H110" s="167"/>
    </row>
    <row r="111" spans="1:8" x14ac:dyDescent="0.2">
      <c r="A111" s="16" t="s">
        <v>10</v>
      </c>
      <c r="B111" s="6" t="s">
        <v>10</v>
      </c>
      <c r="C111" s="6" t="s">
        <v>132</v>
      </c>
      <c r="D111" s="6" t="s">
        <v>10</v>
      </c>
      <c r="E111" s="16" t="s">
        <v>10</v>
      </c>
      <c r="F111" s="8">
        <v>-0.19567491000000001</v>
      </c>
      <c r="G111" s="9">
        <v>-1.0673E-4</v>
      </c>
      <c r="H111" s="167"/>
    </row>
    <row r="112" spans="1:8" x14ac:dyDescent="0.2">
      <c r="A112" s="12" t="s">
        <v>10</v>
      </c>
      <c r="B112" s="12" t="s">
        <v>10</v>
      </c>
      <c r="C112" s="4" t="s">
        <v>133</v>
      </c>
      <c r="D112" s="17" t="s">
        <v>10</v>
      </c>
      <c r="E112" s="17" t="s">
        <v>10</v>
      </c>
      <c r="F112" s="10">
        <v>1833.36373389</v>
      </c>
      <c r="G112" s="11">
        <v>0.99999999799999995</v>
      </c>
      <c r="H112" s="167"/>
    </row>
    <row r="113" spans="1:7" ht="14.1" customHeight="1" x14ac:dyDescent="0.2">
      <c r="A113" s="18" t="s">
        <v>10</v>
      </c>
      <c r="B113" s="18" t="s">
        <v>10</v>
      </c>
      <c r="C113" s="18" t="s">
        <v>10</v>
      </c>
      <c r="D113" s="19" t="s">
        <v>10</v>
      </c>
      <c r="E113" s="19" t="s">
        <v>10</v>
      </c>
      <c r="F113" s="19" t="s">
        <v>10</v>
      </c>
      <c r="G113" s="19" t="s">
        <v>10</v>
      </c>
    </row>
    <row r="114" spans="1:7" ht="14.1" customHeight="1" x14ac:dyDescent="0.2">
      <c r="A114" s="20" t="s">
        <v>10</v>
      </c>
      <c r="B114" s="208" t="s">
        <v>10</v>
      </c>
      <c r="C114" s="208"/>
      <c r="D114" s="208"/>
      <c r="E114" s="208"/>
      <c r="F114" s="208"/>
      <c r="G114" s="22" t="s">
        <v>10</v>
      </c>
    </row>
    <row r="115" spans="1:7" ht="14.1" customHeight="1" x14ac:dyDescent="0.2">
      <c r="A115" s="20" t="s">
        <v>10</v>
      </c>
      <c r="B115" s="208" t="s">
        <v>10</v>
      </c>
      <c r="C115" s="208"/>
      <c r="D115" s="208"/>
      <c r="E115" s="208"/>
      <c r="F115" s="208"/>
      <c r="G115" s="22" t="s">
        <v>10</v>
      </c>
    </row>
    <row r="116" spans="1:7" ht="14.1" customHeight="1" x14ac:dyDescent="0.2">
      <c r="A116" s="20" t="s">
        <v>10</v>
      </c>
      <c r="B116" s="20" t="s">
        <v>10</v>
      </c>
      <c r="C116" s="20" t="s">
        <v>10</v>
      </c>
      <c r="D116" s="22" t="s">
        <v>10</v>
      </c>
      <c r="E116" s="22" t="s">
        <v>10</v>
      </c>
      <c r="F116" s="22" t="s">
        <v>10</v>
      </c>
      <c r="G116" s="22" t="s">
        <v>10</v>
      </c>
    </row>
    <row r="117" spans="1:7" ht="14.1" customHeight="1" x14ac:dyDescent="0.2">
      <c r="A117" s="20" t="s">
        <v>10</v>
      </c>
      <c r="B117" s="206" t="s">
        <v>134</v>
      </c>
      <c r="C117" s="207"/>
      <c r="D117" s="13" t="s">
        <v>10</v>
      </c>
      <c r="E117" s="23" t="s">
        <v>10</v>
      </c>
      <c r="F117" s="22" t="s">
        <v>10</v>
      </c>
      <c r="G117" s="22" t="s">
        <v>10</v>
      </c>
    </row>
    <row r="118" spans="1:7" ht="29.1" customHeight="1" x14ac:dyDescent="0.2">
      <c r="A118" s="20" t="s">
        <v>10</v>
      </c>
      <c r="B118" s="213" t="s">
        <v>135</v>
      </c>
      <c r="C118" s="214"/>
      <c r="D118" s="4" t="s">
        <v>136</v>
      </c>
      <c r="E118" s="23" t="s">
        <v>10</v>
      </c>
      <c r="F118" s="22" t="s">
        <v>10</v>
      </c>
      <c r="G118" s="22" t="s">
        <v>10</v>
      </c>
    </row>
    <row r="119" spans="1:7" ht="17.100000000000001" customHeight="1" x14ac:dyDescent="0.2">
      <c r="A119" s="20" t="s">
        <v>10</v>
      </c>
      <c r="B119" s="213" t="s">
        <v>137</v>
      </c>
      <c r="C119" s="214"/>
      <c r="D119" s="4" t="s">
        <v>136</v>
      </c>
      <c r="E119" s="23" t="s">
        <v>10</v>
      </c>
      <c r="F119" s="22" t="s">
        <v>10</v>
      </c>
      <c r="G119" s="22" t="s">
        <v>10</v>
      </c>
    </row>
    <row r="120" spans="1:7" ht="17.100000000000001" customHeight="1" x14ac:dyDescent="0.2">
      <c r="A120" s="20" t="s">
        <v>10</v>
      </c>
      <c r="B120" s="213" t="s">
        <v>138</v>
      </c>
      <c r="C120" s="214"/>
      <c r="D120" s="13" t="s">
        <v>10</v>
      </c>
      <c r="E120" s="23" t="s">
        <v>10</v>
      </c>
      <c r="F120" s="22" t="s">
        <v>10</v>
      </c>
      <c r="G120" s="22" t="s">
        <v>10</v>
      </c>
    </row>
    <row r="121" spans="1:7" s="20" customFormat="1" ht="17.100000000000001" customHeight="1" x14ac:dyDescent="0.2"/>
    <row r="122" spans="1:7" x14ac:dyDescent="0.2">
      <c r="A122" s="24" t="s">
        <v>10</v>
      </c>
      <c r="B122" s="140" t="s">
        <v>10</v>
      </c>
      <c r="C122" s="140" t="s">
        <v>139</v>
      </c>
      <c r="D122" s="140" t="s">
        <v>140</v>
      </c>
      <c r="E122" s="24" t="s">
        <v>10</v>
      </c>
      <c r="F122" s="24" t="s">
        <v>10</v>
      </c>
      <c r="G122" s="24" t="s">
        <v>10</v>
      </c>
    </row>
    <row r="123" spans="1:7" ht="18" customHeight="1" x14ac:dyDescent="0.2">
      <c r="A123" s="24" t="s">
        <v>10</v>
      </c>
      <c r="B123" s="25" t="s">
        <v>141</v>
      </c>
      <c r="C123" s="25" t="s">
        <v>142</v>
      </c>
      <c r="D123" s="25" t="s">
        <v>143</v>
      </c>
      <c r="E123" s="24" t="s">
        <v>10</v>
      </c>
      <c r="F123" s="24" t="s">
        <v>10</v>
      </c>
      <c r="G123" s="24" t="s">
        <v>10</v>
      </c>
    </row>
    <row r="124" spans="1:7" ht="17.100000000000001" customHeight="1" x14ac:dyDescent="0.2">
      <c r="A124" s="24" t="s">
        <v>10</v>
      </c>
      <c r="B124" s="6" t="s">
        <v>144</v>
      </c>
      <c r="C124" s="26">
        <v>17.929300000000001</v>
      </c>
      <c r="D124" s="26">
        <v>19.273700000000002</v>
      </c>
      <c r="E124" s="24" t="s">
        <v>10</v>
      </c>
      <c r="F124" s="21" t="s">
        <v>10</v>
      </c>
      <c r="G124" s="27" t="s">
        <v>10</v>
      </c>
    </row>
    <row r="125" spans="1:7" ht="17.100000000000001" customHeight="1" x14ac:dyDescent="0.2">
      <c r="A125" s="24" t="s">
        <v>10</v>
      </c>
      <c r="B125" s="6" t="s">
        <v>917</v>
      </c>
      <c r="C125" s="26">
        <v>16.537299999999998</v>
      </c>
      <c r="D125" s="26">
        <v>17.7773</v>
      </c>
      <c r="E125" s="24" t="s">
        <v>10</v>
      </c>
      <c r="F125" s="21" t="s">
        <v>10</v>
      </c>
      <c r="G125" s="27" t="s">
        <v>10</v>
      </c>
    </row>
    <row r="126" spans="1:7" ht="17.100000000000001" customHeight="1" x14ac:dyDescent="0.2">
      <c r="A126" s="24" t="s">
        <v>10</v>
      </c>
      <c r="B126" s="6" t="s">
        <v>145</v>
      </c>
      <c r="C126" s="26">
        <v>17.548999999999999</v>
      </c>
      <c r="D126" s="26">
        <v>18.868099999999998</v>
      </c>
      <c r="E126" s="24" t="s">
        <v>10</v>
      </c>
      <c r="F126" s="21" t="s">
        <v>10</v>
      </c>
      <c r="G126" s="27" t="s">
        <v>10</v>
      </c>
    </row>
    <row r="127" spans="1:7" ht="17.100000000000001" customHeight="1" x14ac:dyDescent="0.2">
      <c r="A127" s="24" t="s">
        <v>10</v>
      </c>
      <c r="B127" s="6" t="s">
        <v>918</v>
      </c>
      <c r="C127" s="26">
        <v>16.170400000000001</v>
      </c>
      <c r="D127" s="26">
        <v>17.3858</v>
      </c>
      <c r="E127" s="24" t="s">
        <v>10</v>
      </c>
      <c r="F127" s="21" t="s">
        <v>10</v>
      </c>
      <c r="G127" s="27" t="s">
        <v>10</v>
      </c>
    </row>
    <row r="128" spans="1:7" ht="14.1" customHeight="1" x14ac:dyDescent="0.2">
      <c r="A128" s="24" t="s">
        <v>10</v>
      </c>
      <c r="B128" s="24" t="s">
        <v>10</v>
      </c>
      <c r="C128" s="24" t="s">
        <v>10</v>
      </c>
      <c r="D128" s="24" t="s">
        <v>10</v>
      </c>
      <c r="E128" s="24" t="s">
        <v>10</v>
      </c>
      <c r="F128" s="24" t="s">
        <v>10</v>
      </c>
      <c r="G128" s="24" t="s">
        <v>10</v>
      </c>
    </row>
    <row r="129" spans="1:7" ht="17.100000000000001" customHeight="1" x14ac:dyDescent="0.2">
      <c r="A129" s="24" t="s">
        <v>10</v>
      </c>
      <c r="B129" s="213" t="s">
        <v>999</v>
      </c>
      <c r="C129" s="214"/>
      <c r="D129" s="4" t="s">
        <v>136</v>
      </c>
      <c r="E129" s="24" t="s">
        <v>10</v>
      </c>
      <c r="F129" s="24" t="s">
        <v>10</v>
      </c>
      <c r="G129" s="24" t="s">
        <v>10</v>
      </c>
    </row>
    <row r="130" spans="1:7" ht="18" customHeight="1" x14ac:dyDescent="0.2">
      <c r="A130" s="24" t="s">
        <v>10</v>
      </c>
      <c r="B130" s="28"/>
      <c r="C130" s="28"/>
      <c r="D130" s="29" t="s">
        <v>10</v>
      </c>
      <c r="E130" s="24" t="s">
        <v>10</v>
      </c>
      <c r="F130" s="24" t="s">
        <v>10</v>
      </c>
      <c r="G130" s="24" t="s">
        <v>10</v>
      </c>
    </row>
    <row r="131" spans="1:7" s="175" customFormat="1" x14ac:dyDescent="0.2">
      <c r="B131" s="221" t="s">
        <v>919</v>
      </c>
      <c r="C131" s="221"/>
      <c r="D131" s="221"/>
      <c r="E131" s="221"/>
      <c r="F131" s="221"/>
    </row>
    <row r="132" spans="1:7" ht="14.1" customHeight="1" x14ac:dyDescent="0.2">
      <c r="A132" s="24" t="s">
        <v>10</v>
      </c>
      <c r="B132" s="21" t="s">
        <v>10</v>
      </c>
      <c r="C132" s="21" t="s">
        <v>10</v>
      </c>
      <c r="D132" s="24" t="s">
        <v>10</v>
      </c>
      <c r="E132" s="24" t="s">
        <v>10</v>
      </c>
      <c r="F132" s="24" t="s">
        <v>10</v>
      </c>
      <c r="G132" s="24" t="s">
        <v>10</v>
      </c>
    </row>
    <row r="133" spans="1:7" ht="29.1" customHeight="1" x14ac:dyDescent="0.2">
      <c r="A133" s="24" t="s">
        <v>10</v>
      </c>
      <c r="B133" s="213" t="s">
        <v>146</v>
      </c>
      <c r="C133" s="214"/>
      <c r="D133" s="4" t="s">
        <v>136</v>
      </c>
      <c r="E133" s="24" t="s">
        <v>10</v>
      </c>
      <c r="F133" s="24" t="s">
        <v>10</v>
      </c>
      <c r="G133" s="24" t="s">
        <v>10</v>
      </c>
    </row>
    <row r="134" spans="1:7" ht="29.1" customHeight="1" x14ac:dyDescent="0.2">
      <c r="A134" s="24" t="s">
        <v>10</v>
      </c>
      <c r="B134" s="213" t="s">
        <v>147</v>
      </c>
      <c r="C134" s="214"/>
      <c r="D134" s="4" t="s">
        <v>136</v>
      </c>
      <c r="E134" s="24" t="s">
        <v>10</v>
      </c>
      <c r="F134" s="24" t="s">
        <v>10</v>
      </c>
      <c r="G134" s="24" t="s">
        <v>10</v>
      </c>
    </row>
    <row r="135" spans="1:7" ht="17.100000000000001" customHeight="1" x14ac:dyDescent="0.2">
      <c r="A135" s="24" t="s">
        <v>10</v>
      </c>
      <c r="B135" s="213" t="s">
        <v>148</v>
      </c>
      <c r="C135" s="214"/>
      <c r="D135" s="30">
        <v>0.32676198487517466</v>
      </c>
      <c r="E135" s="24" t="s">
        <v>10</v>
      </c>
      <c r="F135" s="21" t="s">
        <v>10</v>
      </c>
      <c r="G135" s="27" t="s">
        <v>10</v>
      </c>
    </row>
    <row r="136" spans="1:7" ht="17.100000000000001" customHeight="1" x14ac:dyDescent="0.2">
      <c r="A136" s="24" t="s">
        <v>10</v>
      </c>
      <c r="B136" s="213" t="s">
        <v>149</v>
      </c>
      <c r="C136" s="214"/>
      <c r="D136" s="4" t="s">
        <v>136</v>
      </c>
      <c r="E136" s="24" t="s">
        <v>10</v>
      </c>
      <c r="F136" s="24" t="s">
        <v>10</v>
      </c>
      <c r="G136" s="24" t="s">
        <v>10</v>
      </c>
    </row>
  </sheetData>
  <mergeCells count="15">
    <mergeCell ref="B135:C135"/>
    <mergeCell ref="B136:C136"/>
    <mergeCell ref="B118:C118"/>
    <mergeCell ref="B119:C119"/>
    <mergeCell ref="B120:C120"/>
    <mergeCell ref="B129:C129"/>
    <mergeCell ref="B133:C133"/>
    <mergeCell ref="B134:C134"/>
    <mergeCell ref="B131:F131"/>
    <mergeCell ref="B117:C117"/>
    <mergeCell ref="B114:F114"/>
    <mergeCell ref="B115:F11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33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504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15750</v>
      </c>
      <c r="F7" s="8">
        <v>104.38312500000001</v>
      </c>
      <c r="G7" s="9">
        <v>7.8523408000000003E-2</v>
      </c>
      <c r="H7" s="167"/>
    </row>
    <row r="8" spans="1:8" x14ac:dyDescent="0.2">
      <c r="A8" s="5">
        <v>2</v>
      </c>
      <c r="B8" s="6" t="s">
        <v>51</v>
      </c>
      <c r="C8" s="6" t="s">
        <v>52</v>
      </c>
      <c r="D8" s="6" t="s">
        <v>23</v>
      </c>
      <c r="E8" s="7">
        <v>6510</v>
      </c>
      <c r="F8" s="8">
        <v>98.681835000000007</v>
      </c>
      <c r="G8" s="9">
        <v>7.4234546999999998E-2</v>
      </c>
      <c r="H8" s="167"/>
    </row>
    <row r="9" spans="1:8" x14ac:dyDescent="0.2">
      <c r="A9" s="5">
        <v>3</v>
      </c>
      <c r="B9" s="6" t="s">
        <v>16</v>
      </c>
      <c r="C9" s="6" t="s">
        <v>17</v>
      </c>
      <c r="D9" s="6" t="s">
        <v>18</v>
      </c>
      <c r="E9" s="7">
        <v>4500</v>
      </c>
      <c r="F9" s="8">
        <v>97.213499999999996</v>
      </c>
      <c r="G9" s="9">
        <v>7.3129975E-2</v>
      </c>
      <c r="H9" s="167"/>
    </row>
    <row r="10" spans="1:8" x14ac:dyDescent="0.2">
      <c r="A10" s="5">
        <v>4</v>
      </c>
      <c r="B10" s="6" t="s">
        <v>399</v>
      </c>
      <c r="C10" s="6" t="s">
        <v>400</v>
      </c>
      <c r="D10" s="6" t="s">
        <v>167</v>
      </c>
      <c r="E10" s="7">
        <v>6220</v>
      </c>
      <c r="F10" s="8">
        <v>86.691249999999997</v>
      </c>
      <c r="G10" s="9">
        <v>6.5214491999999999E-2</v>
      </c>
      <c r="H10" s="167"/>
    </row>
    <row r="11" spans="1:8" ht="25.5" x14ac:dyDescent="0.2">
      <c r="A11" s="5">
        <v>5</v>
      </c>
      <c r="B11" s="6" t="s">
        <v>401</v>
      </c>
      <c r="C11" s="6" t="s">
        <v>402</v>
      </c>
      <c r="D11" s="6" t="s">
        <v>158</v>
      </c>
      <c r="E11" s="7">
        <v>2510</v>
      </c>
      <c r="F11" s="8">
        <v>64.076535000000007</v>
      </c>
      <c r="G11" s="9">
        <v>4.8202311999999997E-2</v>
      </c>
      <c r="H11" s="167"/>
    </row>
    <row r="12" spans="1:8" x14ac:dyDescent="0.2">
      <c r="A12" s="5">
        <v>6</v>
      </c>
      <c r="B12" s="6" t="s">
        <v>13</v>
      </c>
      <c r="C12" s="6" t="s">
        <v>14</v>
      </c>
      <c r="D12" s="6" t="s">
        <v>15</v>
      </c>
      <c r="E12" s="7">
        <v>3200</v>
      </c>
      <c r="F12" s="8">
        <v>46.9664</v>
      </c>
      <c r="G12" s="9">
        <v>3.5331016E-2</v>
      </c>
      <c r="H12" s="167"/>
    </row>
    <row r="13" spans="1:8" x14ac:dyDescent="0.2">
      <c r="A13" s="5">
        <v>7</v>
      </c>
      <c r="B13" s="6" t="s">
        <v>403</v>
      </c>
      <c r="C13" s="6" t="s">
        <v>404</v>
      </c>
      <c r="D13" s="6" t="s">
        <v>23</v>
      </c>
      <c r="E13" s="7">
        <v>11063</v>
      </c>
      <c r="F13" s="8">
        <v>46.945840500000003</v>
      </c>
      <c r="G13" s="9">
        <v>3.5315549000000002E-2</v>
      </c>
      <c r="H13" s="167"/>
    </row>
    <row r="14" spans="1:8" ht="25.5" x14ac:dyDescent="0.2">
      <c r="A14" s="5">
        <v>8</v>
      </c>
      <c r="B14" s="6" t="s">
        <v>327</v>
      </c>
      <c r="C14" s="6" t="s">
        <v>328</v>
      </c>
      <c r="D14" s="6" t="s">
        <v>78</v>
      </c>
      <c r="E14" s="7">
        <v>4300</v>
      </c>
      <c r="F14" s="8">
        <v>43.496650000000002</v>
      </c>
      <c r="G14" s="9">
        <v>3.2720856E-2</v>
      </c>
      <c r="H14" s="167"/>
    </row>
    <row r="15" spans="1:8" x14ac:dyDescent="0.2">
      <c r="A15" s="5">
        <v>9</v>
      </c>
      <c r="B15" s="6" t="s">
        <v>370</v>
      </c>
      <c r="C15" s="6" t="s">
        <v>371</v>
      </c>
      <c r="D15" s="6" t="s">
        <v>23</v>
      </c>
      <c r="E15" s="7">
        <v>5742</v>
      </c>
      <c r="F15" s="8">
        <v>43.105193999999997</v>
      </c>
      <c r="G15" s="9">
        <v>3.2426378999999998E-2</v>
      </c>
      <c r="H15" s="167"/>
    </row>
    <row r="16" spans="1:8" ht="25.5" x14ac:dyDescent="0.2">
      <c r="A16" s="5">
        <v>10</v>
      </c>
      <c r="B16" s="6" t="s">
        <v>40</v>
      </c>
      <c r="C16" s="6" t="s">
        <v>41</v>
      </c>
      <c r="D16" s="6" t="s">
        <v>970</v>
      </c>
      <c r="E16" s="7">
        <v>641</v>
      </c>
      <c r="F16" s="8">
        <v>42.998280000000001</v>
      </c>
      <c r="G16" s="9">
        <v>3.2345951999999997E-2</v>
      </c>
      <c r="H16" s="167"/>
    </row>
    <row r="17" spans="1:8" x14ac:dyDescent="0.2">
      <c r="A17" s="5">
        <v>11</v>
      </c>
      <c r="B17" s="6" t="s">
        <v>444</v>
      </c>
      <c r="C17" s="6" t="s">
        <v>445</v>
      </c>
      <c r="D17" s="6" t="s">
        <v>192</v>
      </c>
      <c r="E17" s="7">
        <v>696</v>
      </c>
      <c r="F17" s="8">
        <v>36.951684</v>
      </c>
      <c r="G17" s="9">
        <v>2.7797329999999999E-2</v>
      </c>
      <c r="H17" s="167"/>
    </row>
    <row r="18" spans="1:8" x14ac:dyDescent="0.2">
      <c r="A18" s="5">
        <v>12</v>
      </c>
      <c r="B18" s="6" t="s">
        <v>151</v>
      </c>
      <c r="C18" s="6" t="s">
        <v>152</v>
      </c>
      <c r="D18" s="6" t="s">
        <v>153</v>
      </c>
      <c r="E18" s="7">
        <v>1104</v>
      </c>
      <c r="F18" s="8">
        <v>35.601792000000003</v>
      </c>
      <c r="G18" s="9">
        <v>2.6781857999999999E-2</v>
      </c>
      <c r="H18" s="167"/>
    </row>
    <row r="19" spans="1:8" x14ac:dyDescent="0.2">
      <c r="A19" s="5">
        <v>13</v>
      </c>
      <c r="B19" s="6" t="s">
        <v>355</v>
      </c>
      <c r="C19" s="6" t="s">
        <v>356</v>
      </c>
      <c r="D19" s="6" t="s">
        <v>357</v>
      </c>
      <c r="E19" s="7">
        <v>4040</v>
      </c>
      <c r="F19" s="8">
        <v>32.3705</v>
      </c>
      <c r="G19" s="9">
        <v>2.4351082E-2</v>
      </c>
      <c r="H19" s="167"/>
    </row>
    <row r="20" spans="1:8" ht="25.5" x14ac:dyDescent="0.2">
      <c r="A20" s="5">
        <v>14</v>
      </c>
      <c r="B20" s="6" t="s">
        <v>497</v>
      </c>
      <c r="C20" s="6" t="s">
        <v>498</v>
      </c>
      <c r="D20" s="6" t="s">
        <v>970</v>
      </c>
      <c r="E20" s="7">
        <v>2456</v>
      </c>
      <c r="F20" s="8">
        <v>30.828939999999999</v>
      </c>
      <c r="G20" s="9">
        <v>2.3191425000000002E-2</v>
      </c>
      <c r="H20" s="167"/>
    </row>
    <row r="21" spans="1:8" x14ac:dyDescent="0.2">
      <c r="A21" s="5">
        <v>15</v>
      </c>
      <c r="B21" s="6" t="s">
        <v>61</v>
      </c>
      <c r="C21" s="6" t="s">
        <v>62</v>
      </c>
      <c r="D21" s="6" t="s">
        <v>18</v>
      </c>
      <c r="E21" s="7">
        <v>6145</v>
      </c>
      <c r="F21" s="8">
        <v>29.0044</v>
      </c>
      <c r="G21" s="9">
        <v>2.1818893999999998E-2</v>
      </c>
      <c r="H21" s="167"/>
    </row>
    <row r="22" spans="1:8" x14ac:dyDescent="0.2">
      <c r="A22" s="5">
        <v>16</v>
      </c>
      <c r="B22" s="6" t="s">
        <v>366</v>
      </c>
      <c r="C22" s="6" t="s">
        <v>367</v>
      </c>
      <c r="D22" s="6" t="s">
        <v>167</v>
      </c>
      <c r="E22" s="7">
        <v>2813</v>
      </c>
      <c r="F22" s="8">
        <v>26.588476</v>
      </c>
      <c r="G22" s="9">
        <v>2.0001486999999998E-2</v>
      </c>
      <c r="H22" s="167"/>
    </row>
    <row r="23" spans="1:8" x14ac:dyDescent="0.2">
      <c r="A23" s="5">
        <v>17</v>
      </c>
      <c r="B23" s="6" t="s">
        <v>24</v>
      </c>
      <c r="C23" s="6" t="s">
        <v>25</v>
      </c>
      <c r="D23" s="6" t="s">
        <v>26</v>
      </c>
      <c r="E23" s="7">
        <v>4918</v>
      </c>
      <c r="F23" s="8">
        <v>26.306381999999999</v>
      </c>
      <c r="G23" s="9">
        <v>1.9789279E-2</v>
      </c>
      <c r="H23" s="167"/>
    </row>
    <row r="24" spans="1:8" x14ac:dyDescent="0.2">
      <c r="A24" s="5">
        <v>18</v>
      </c>
      <c r="B24" s="6" t="s">
        <v>499</v>
      </c>
      <c r="C24" s="6" t="s">
        <v>500</v>
      </c>
      <c r="D24" s="6" t="s">
        <v>94</v>
      </c>
      <c r="E24" s="7">
        <v>8169</v>
      </c>
      <c r="F24" s="8">
        <v>26.038687500000002</v>
      </c>
      <c r="G24" s="9">
        <v>1.9587903E-2</v>
      </c>
      <c r="H24" s="167"/>
    </row>
    <row r="25" spans="1:8" x14ac:dyDescent="0.2">
      <c r="A25" s="5">
        <v>19</v>
      </c>
      <c r="B25" s="6" t="s">
        <v>218</v>
      </c>
      <c r="C25" s="6" t="s">
        <v>219</v>
      </c>
      <c r="D25" s="6" t="s">
        <v>973</v>
      </c>
      <c r="E25" s="7">
        <v>3606</v>
      </c>
      <c r="F25" s="8">
        <v>24.632586</v>
      </c>
      <c r="G25" s="9">
        <v>1.8530147E-2</v>
      </c>
      <c r="H25" s="167"/>
    </row>
    <row r="26" spans="1:8" x14ac:dyDescent="0.2">
      <c r="A26" s="5">
        <v>20</v>
      </c>
      <c r="B26" s="6" t="s">
        <v>333</v>
      </c>
      <c r="C26" s="6" t="s">
        <v>334</v>
      </c>
      <c r="D26" s="6" t="s">
        <v>67</v>
      </c>
      <c r="E26" s="7">
        <v>3496</v>
      </c>
      <c r="F26" s="8">
        <v>23.909144000000001</v>
      </c>
      <c r="G26" s="9">
        <v>1.7985929000000001E-2</v>
      </c>
      <c r="H26" s="167"/>
    </row>
    <row r="27" spans="1:8" x14ac:dyDescent="0.2">
      <c r="A27" s="5">
        <v>21</v>
      </c>
      <c r="B27" s="6" t="s">
        <v>429</v>
      </c>
      <c r="C27" s="6" t="s">
        <v>430</v>
      </c>
      <c r="D27" s="6" t="s">
        <v>23</v>
      </c>
      <c r="E27" s="7">
        <v>1305</v>
      </c>
      <c r="F27" s="8">
        <v>23.590485000000001</v>
      </c>
      <c r="G27" s="9">
        <v>1.7746214E-2</v>
      </c>
      <c r="H27" s="167"/>
    </row>
    <row r="28" spans="1:8" x14ac:dyDescent="0.2">
      <c r="A28" s="5">
        <v>22</v>
      </c>
      <c r="B28" s="6" t="s">
        <v>413</v>
      </c>
      <c r="C28" s="6" t="s">
        <v>414</v>
      </c>
      <c r="D28" s="6" t="s">
        <v>167</v>
      </c>
      <c r="E28" s="7">
        <v>729</v>
      </c>
      <c r="F28" s="8">
        <v>23.030203499999999</v>
      </c>
      <c r="G28" s="9">
        <v>1.7324736E-2</v>
      </c>
      <c r="H28" s="167"/>
    </row>
    <row r="29" spans="1:8" x14ac:dyDescent="0.2">
      <c r="A29" s="5">
        <v>23</v>
      </c>
      <c r="B29" s="6" t="s">
        <v>405</v>
      </c>
      <c r="C29" s="6" t="s">
        <v>406</v>
      </c>
      <c r="D29" s="6" t="s">
        <v>969</v>
      </c>
      <c r="E29" s="7">
        <v>2300</v>
      </c>
      <c r="F29" s="8">
        <v>22.43995</v>
      </c>
      <c r="G29" s="9">
        <v>1.6880711E-2</v>
      </c>
      <c r="H29" s="167"/>
    </row>
    <row r="30" spans="1:8" x14ac:dyDescent="0.2">
      <c r="A30" s="5">
        <v>24</v>
      </c>
      <c r="B30" s="6" t="s">
        <v>86</v>
      </c>
      <c r="C30" s="6" t="s">
        <v>87</v>
      </c>
      <c r="D30" s="6" t="s">
        <v>29</v>
      </c>
      <c r="E30" s="7">
        <v>2788</v>
      </c>
      <c r="F30" s="8">
        <v>21.938772</v>
      </c>
      <c r="G30" s="9">
        <v>1.6503693999999999E-2</v>
      </c>
      <c r="H30" s="167"/>
    </row>
    <row r="31" spans="1:8" ht="25.5" x14ac:dyDescent="0.2">
      <c r="A31" s="5">
        <v>25</v>
      </c>
      <c r="B31" s="6" t="s">
        <v>425</v>
      </c>
      <c r="C31" s="6" t="s">
        <v>426</v>
      </c>
      <c r="D31" s="6" t="s">
        <v>78</v>
      </c>
      <c r="E31" s="7">
        <v>9339</v>
      </c>
      <c r="F31" s="8">
        <v>20.228273999999999</v>
      </c>
      <c r="G31" s="9">
        <v>1.5216952000000001E-2</v>
      </c>
      <c r="H31" s="167"/>
    </row>
    <row r="32" spans="1:8" x14ac:dyDescent="0.2">
      <c r="A32" s="5">
        <v>26</v>
      </c>
      <c r="B32" s="6" t="s">
        <v>193</v>
      </c>
      <c r="C32" s="6" t="s">
        <v>194</v>
      </c>
      <c r="D32" s="6" t="s">
        <v>178</v>
      </c>
      <c r="E32" s="7">
        <v>11000</v>
      </c>
      <c r="F32" s="8">
        <v>20.108000000000001</v>
      </c>
      <c r="G32" s="9">
        <v>1.5126475E-2</v>
      </c>
      <c r="H32" s="167"/>
    </row>
    <row r="33" spans="1:8" x14ac:dyDescent="0.2">
      <c r="A33" s="5">
        <v>27</v>
      </c>
      <c r="B33" s="6" t="s">
        <v>451</v>
      </c>
      <c r="C33" s="6" t="s">
        <v>452</v>
      </c>
      <c r="D33" s="6" t="s">
        <v>67</v>
      </c>
      <c r="E33" s="7">
        <v>4188</v>
      </c>
      <c r="F33" s="8">
        <v>19.899281999999999</v>
      </c>
      <c r="G33" s="9">
        <v>1.4969464E-2</v>
      </c>
      <c r="H33" s="167"/>
    </row>
    <row r="34" spans="1:8" x14ac:dyDescent="0.2">
      <c r="A34" s="5">
        <v>28</v>
      </c>
      <c r="B34" s="6" t="s">
        <v>313</v>
      </c>
      <c r="C34" s="6" t="s">
        <v>314</v>
      </c>
      <c r="D34" s="6" t="s">
        <v>23</v>
      </c>
      <c r="E34" s="7">
        <v>22387</v>
      </c>
      <c r="F34" s="8">
        <v>19.532657499999999</v>
      </c>
      <c r="G34" s="9">
        <v>1.4693667000000001E-2</v>
      </c>
      <c r="H34" s="167"/>
    </row>
    <row r="35" spans="1:8" x14ac:dyDescent="0.2">
      <c r="A35" s="5">
        <v>29</v>
      </c>
      <c r="B35" s="6" t="s">
        <v>501</v>
      </c>
      <c r="C35" s="6" t="s">
        <v>396</v>
      </c>
      <c r="D35" s="6" t="s">
        <v>284</v>
      </c>
      <c r="E35" s="7">
        <v>10000</v>
      </c>
      <c r="F35" s="8">
        <v>19.515000000000001</v>
      </c>
      <c r="G35" s="9">
        <v>1.4680383999999999E-2</v>
      </c>
      <c r="H35" s="167"/>
    </row>
    <row r="36" spans="1:8" x14ac:dyDescent="0.2">
      <c r="A36" s="5">
        <v>30</v>
      </c>
      <c r="B36" s="6" t="s">
        <v>345</v>
      </c>
      <c r="C36" s="6" t="s">
        <v>346</v>
      </c>
      <c r="D36" s="6" t="s">
        <v>57</v>
      </c>
      <c r="E36" s="7">
        <v>4100</v>
      </c>
      <c r="F36" s="8">
        <v>16.6952</v>
      </c>
      <c r="G36" s="9">
        <v>1.2559157E-2</v>
      </c>
      <c r="H36" s="167"/>
    </row>
    <row r="37" spans="1:8" x14ac:dyDescent="0.2">
      <c r="A37" s="5">
        <v>31</v>
      </c>
      <c r="B37" s="6" t="s">
        <v>502</v>
      </c>
      <c r="C37" s="6" t="s">
        <v>503</v>
      </c>
      <c r="D37" s="6" t="s">
        <v>75</v>
      </c>
      <c r="E37" s="7">
        <v>1032</v>
      </c>
      <c r="F37" s="8">
        <v>16.473299999999998</v>
      </c>
      <c r="G37" s="9">
        <v>1.2392230000000001E-2</v>
      </c>
      <c r="H37" s="167"/>
    </row>
    <row r="38" spans="1:8" ht="25.5" x14ac:dyDescent="0.2">
      <c r="A38" s="5">
        <v>32</v>
      </c>
      <c r="B38" s="6" t="s">
        <v>376</v>
      </c>
      <c r="C38" s="6" t="s">
        <v>377</v>
      </c>
      <c r="D38" s="6" t="s">
        <v>78</v>
      </c>
      <c r="E38" s="7">
        <v>2443</v>
      </c>
      <c r="F38" s="8">
        <v>16.217855499999999</v>
      </c>
      <c r="G38" s="9">
        <v>1.2200068999999999E-2</v>
      </c>
      <c r="H38" s="167"/>
    </row>
    <row r="39" spans="1:8" x14ac:dyDescent="0.2">
      <c r="A39" s="5">
        <v>33</v>
      </c>
      <c r="B39" s="6" t="s">
        <v>347</v>
      </c>
      <c r="C39" s="6" t="s">
        <v>348</v>
      </c>
      <c r="D39" s="6" t="s">
        <v>23</v>
      </c>
      <c r="E39" s="7">
        <v>19598</v>
      </c>
      <c r="F39" s="8">
        <v>15.815586</v>
      </c>
      <c r="G39" s="9">
        <v>1.1897457E-2</v>
      </c>
      <c r="H39" s="167"/>
    </row>
    <row r="40" spans="1:8" x14ac:dyDescent="0.2">
      <c r="A40" s="5">
        <v>34</v>
      </c>
      <c r="B40" s="6" t="s">
        <v>440</v>
      </c>
      <c r="C40" s="6" t="s">
        <v>441</v>
      </c>
      <c r="D40" s="6" t="s">
        <v>192</v>
      </c>
      <c r="E40" s="7">
        <v>1593</v>
      </c>
      <c r="F40" s="8">
        <v>15.1231455</v>
      </c>
      <c r="G40" s="9">
        <v>1.1376560000000001E-2</v>
      </c>
      <c r="H40" s="167"/>
    </row>
    <row r="41" spans="1:8" ht="25.5" x14ac:dyDescent="0.2">
      <c r="A41" s="5">
        <v>35</v>
      </c>
      <c r="B41" s="6" t="s">
        <v>419</v>
      </c>
      <c r="C41" s="6" t="s">
        <v>420</v>
      </c>
      <c r="D41" s="6" t="s">
        <v>78</v>
      </c>
      <c r="E41" s="7">
        <v>556</v>
      </c>
      <c r="F41" s="8">
        <v>13.010678</v>
      </c>
      <c r="G41" s="9">
        <v>9.7874320000000004E-3</v>
      </c>
      <c r="H41" s="167"/>
    </row>
    <row r="42" spans="1:8" ht="25.5" x14ac:dyDescent="0.2">
      <c r="A42" s="5">
        <v>36</v>
      </c>
      <c r="B42" s="6" t="s">
        <v>364</v>
      </c>
      <c r="C42" s="6" t="s">
        <v>365</v>
      </c>
      <c r="D42" s="6" t="s">
        <v>158</v>
      </c>
      <c r="E42" s="7">
        <v>6500</v>
      </c>
      <c r="F42" s="8">
        <v>10.595000000000001</v>
      </c>
      <c r="G42" s="9">
        <v>7.9702109999999996E-3</v>
      </c>
      <c r="H42" s="167"/>
    </row>
    <row r="43" spans="1:8" x14ac:dyDescent="0.2">
      <c r="A43" s="5">
        <v>37</v>
      </c>
      <c r="B43" s="6" t="s">
        <v>411</v>
      </c>
      <c r="C43" s="6" t="s">
        <v>412</v>
      </c>
      <c r="D43" s="6" t="s">
        <v>167</v>
      </c>
      <c r="E43" s="7">
        <v>1875</v>
      </c>
      <c r="F43" s="8">
        <v>10.1071875</v>
      </c>
      <c r="G43" s="9">
        <v>7.603248E-3</v>
      </c>
      <c r="H43" s="167"/>
    </row>
    <row r="44" spans="1:8" x14ac:dyDescent="0.2">
      <c r="A44" s="3" t="s">
        <v>10</v>
      </c>
      <c r="B44" s="3" t="s">
        <v>10</v>
      </c>
      <c r="C44" s="4" t="s">
        <v>104</v>
      </c>
      <c r="D44" s="3" t="s">
        <v>10</v>
      </c>
      <c r="E44" s="3" t="s">
        <v>10</v>
      </c>
      <c r="F44" s="10">
        <v>1271.1117775</v>
      </c>
      <c r="G44" s="11">
        <v>0.956208481</v>
      </c>
      <c r="H44" s="167"/>
    </row>
    <row r="45" spans="1:8" x14ac:dyDescent="0.2">
      <c r="A45" s="3" t="s">
        <v>10</v>
      </c>
      <c r="B45" s="3" t="s">
        <v>10</v>
      </c>
      <c r="C45" s="12" t="s">
        <v>10</v>
      </c>
      <c r="D45" s="3" t="s">
        <v>10</v>
      </c>
      <c r="E45" s="3" t="s">
        <v>10</v>
      </c>
      <c r="F45" s="13" t="s">
        <v>10</v>
      </c>
      <c r="G45" s="13" t="s">
        <v>10</v>
      </c>
      <c r="H45" s="167"/>
    </row>
    <row r="46" spans="1:8" x14ac:dyDescent="0.2">
      <c r="A46" s="3" t="s">
        <v>10</v>
      </c>
      <c r="B46" s="3" t="s">
        <v>10</v>
      </c>
      <c r="C46" s="4" t="s">
        <v>105</v>
      </c>
      <c r="D46" s="3" t="s">
        <v>10</v>
      </c>
      <c r="E46" s="3" t="s">
        <v>10</v>
      </c>
      <c r="F46" s="3" t="s">
        <v>10</v>
      </c>
      <c r="G46" s="3" t="s">
        <v>10</v>
      </c>
      <c r="H46" s="167"/>
    </row>
    <row r="47" spans="1:8" x14ac:dyDescent="0.2">
      <c r="A47" s="3" t="s">
        <v>10</v>
      </c>
      <c r="B47" s="3" t="s">
        <v>10</v>
      </c>
      <c r="C47" s="4" t="s">
        <v>104</v>
      </c>
      <c r="D47" s="3" t="s">
        <v>10</v>
      </c>
      <c r="E47" s="3" t="s">
        <v>10</v>
      </c>
      <c r="F47" s="14">
        <v>0</v>
      </c>
      <c r="G47" s="15">
        <v>0</v>
      </c>
      <c r="H47" s="167"/>
    </row>
    <row r="48" spans="1:8" x14ac:dyDescent="0.2">
      <c r="A48" s="3" t="s">
        <v>10</v>
      </c>
      <c r="B48" s="3" t="s">
        <v>10</v>
      </c>
      <c r="C48" s="12" t="s">
        <v>10</v>
      </c>
      <c r="D48" s="3" t="s">
        <v>10</v>
      </c>
      <c r="E48" s="3" t="s">
        <v>10</v>
      </c>
      <c r="F48" s="13" t="s">
        <v>10</v>
      </c>
      <c r="G48" s="13" t="s">
        <v>10</v>
      </c>
      <c r="H48" s="167"/>
    </row>
    <row r="49" spans="1:8" x14ac:dyDescent="0.2">
      <c r="A49" s="3" t="s">
        <v>10</v>
      </c>
      <c r="B49" s="3" t="s">
        <v>10</v>
      </c>
      <c r="C49" s="4" t="s">
        <v>106</v>
      </c>
      <c r="D49" s="3" t="s">
        <v>10</v>
      </c>
      <c r="E49" s="3" t="s">
        <v>10</v>
      </c>
      <c r="F49" s="3" t="s">
        <v>10</v>
      </c>
      <c r="G49" s="3" t="s">
        <v>10</v>
      </c>
      <c r="H49" s="167"/>
    </row>
    <row r="50" spans="1:8" x14ac:dyDescent="0.2">
      <c r="A50" s="3" t="s">
        <v>10</v>
      </c>
      <c r="B50" s="3" t="s">
        <v>10</v>
      </c>
      <c r="C50" s="4" t="s">
        <v>104</v>
      </c>
      <c r="D50" s="3" t="s">
        <v>10</v>
      </c>
      <c r="E50" s="3" t="s">
        <v>10</v>
      </c>
      <c r="F50" s="14">
        <v>0</v>
      </c>
      <c r="G50" s="15">
        <v>0</v>
      </c>
      <c r="H50" s="167"/>
    </row>
    <row r="51" spans="1:8" x14ac:dyDescent="0.2">
      <c r="A51" s="3" t="s">
        <v>10</v>
      </c>
      <c r="B51" s="3" t="s">
        <v>10</v>
      </c>
      <c r="C51" s="12" t="s">
        <v>10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110</v>
      </c>
      <c r="D52" s="3" t="s">
        <v>10</v>
      </c>
      <c r="E52" s="3" t="s">
        <v>10</v>
      </c>
      <c r="F52" s="3" t="s">
        <v>10</v>
      </c>
      <c r="G52" s="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104</v>
      </c>
      <c r="D53" s="3" t="s">
        <v>10</v>
      </c>
      <c r="E53" s="3" t="s">
        <v>10</v>
      </c>
      <c r="F53" s="14">
        <v>0</v>
      </c>
      <c r="G53" s="15">
        <v>0</v>
      </c>
      <c r="H53" s="167"/>
    </row>
    <row r="54" spans="1:8" x14ac:dyDescent="0.2">
      <c r="A54" s="3" t="s">
        <v>10</v>
      </c>
      <c r="B54" s="3" t="s">
        <v>10</v>
      </c>
      <c r="C54" s="12" t="s">
        <v>10</v>
      </c>
      <c r="D54" s="3" t="s">
        <v>10</v>
      </c>
      <c r="E54" s="3" t="s">
        <v>10</v>
      </c>
      <c r="F54" s="13" t="s">
        <v>10</v>
      </c>
      <c r="G54" s="1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111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4">
        <v>0</v>
      </c>
      <c r="G56" s="15">
        <v>0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112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104</v>
      </c>
      <c r="D59" s="3" t="s">
        <v>10</v>
      </c>
      <c r="E59" s="3" t="s">
        <v>10</v>
      </c>
      <c r="F59" s="14">
        <v>0</v>
      </c>
      <c r="G59" s="15">
        <v>0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113</v>
      </c>
      <c r="D61" s="3" t="s">
        <v>10</v>
      </c>
      <c r="E61" s="3" t="s">
        <v>10</v>
      </c>
      <c r="F61" s="10">
        <v>1271.1117775</v>
      </c>
      <c r="G61" s="11">
        <v>0.956208481</v>
      </c>
      <c r="H61" s="167"/>
    </row>
    <row r="62" spans="1:8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114</v>
      </c>
      <c r="D63" s="3" t="s">
        <v>10</v>
      </c>
      <c r="E63" s="3" t="s">
        <v>10</v>
      </c>
      <c r="F63" s="13" t="s">
        <v>10</v>
      </c>
      <c r="G63" s="13" t="s">
        <v>10</v>
      </c>
      <c r="H63" s="167"/>
    </row>
    <row r="64" spans="1:8" ht="25.5" x14ac:dyDescent="0.2">
      <c r="A64" s="3" t="s">
        <v>10</v>
      </c>
      <c r="B64" s="3" t="s">
        <v>10</v>
      </c>
      <c r="C64" s="4" t="s">
        <v>12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104</v>
      </c>
      <c r="D65" s="3" t="s">
        <v>10</v>
      </c>
      <c r="E65" s="3" t="s">
        <v>10</v>
      </c>
      <c r="F65" s="14">
        <v>0</v>
      </c>
      <c r="G65" s="15">
        <v>0</v>
      </c>
      <c r="H65" s="167"/>
    </row>
    <row r="66" spans="1:8" x14ac:dyDescent="0.2">
      <c r="A66" s="3" t="s">
        <v>10</v>
      </c>
      <c r="B66" s="3" t="s">
        <v>10</v>
      </c>
      <c r="C66" s="12" t="s">
        <v>10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115</v>
      </c>
      <c r="D67" s="3" t="s">
        <v>10</v>
      </c>
      <c r="E67" s="3" t="s">
        <v>10</v>
      </c>
      <c r="F67" s="3" t="s">
        <v>10</v>
      </c>
      <c r="G67" s="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104</v>
      </c>
      <c r="D68" s="3" t="s">
        <v>10</v>
      </c>
      <c r="E68" s="3" t="s">
        <v>10</v>
      </c>
      <c r="F68" s="14">
        <v>0</v>
      </c>
      <c r="G68" s="15">
        <v>0</v>
      </c>
      <c r="H68" s="167"/>
    </row>
    <row r="69" spans="1:8" x14ac:dyDescent="0.2">
      <c r="A69" s="3" t="s">
        <v>10</v>
      </c>
      <c r="B69" s="3" t="s">
        <v>10</v>
      </c>
      <c r="C69" s="12" t="s">
        <v>10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116</v>
      </c>
      <c r="D70" s="3" t="s">
        <v>10</v>
      </c>
      <c r="E70" s="3" t="s">
        <v>10</v>
      </c>
      <c r="F70" s="3" t="s">
        <v>10</v>
      </c>
      <c r="G70" s="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104</v>
      </c>
      <c r="D71" s="3" t="s">
        <v>10</v>
      </c>
      <c r="E71" s="3" t="s">
        <v>10</v>
      </c>
      <c r="F71" s="14">
        <v>0</v>
      </c>
      <c r="G71" s="15">
        <v>0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117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104</v>
      </c>
      <c r="D74" s="3" t="s">
        <v>10</v>
      </c>
      <c r="E74" s="3" t="s">
        <v>10</v>
      </c>
      <c r="F74" s="14">
        <v>0</v>
      </c>
      <c r="G74" s="15">
        <v>0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118</v>
      </c>
      <c r="D76" s="3" t="s">
        <v>10</v>
      </c>
      <c r="E76" s="3" t="s">
        <v>10</v>
      </c>
      <c r="F76" s="10">
        <v>0</v>
      </c>
      <c r="G76" s="11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119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120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4">
        <v>0</v>
      </c>
      <c r="G80" s="15">
        <v>0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121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122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123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5">
        <v>1</v>
      </c>
      <c r="B89" s="6"/>
      <c r="C89" s="6" t="s">
        <v>124</v>
      </c>
      <c r="D89" s="6"/>
      <c r="E89" s="16" t="s">
        <v>10</v>
      </c>
      <c r="F89" s="8">
        <v>42.595227299999998</v>
      </c>
      <c r="G89" s="9">
        <v>3.2042750000000002E-2</v>
      </c>
      <c r="H89" s="108">
        <v>3.23</v>
      </c>
    </row>
    <row r="90" spans="1:8" x14ac:dyDescent="0.2">
      <c r="A90" s="5">
        <v>2</v>
      </c>
      <c r="B90" s="6"/>
      <c r="C90" s="6" t="s">
        <v>125</v>
      </c>
      <c r="D90" s="6"/>
      <c r="E90" s="16" t="s">
        <v>10</v>
      </c>
      <c r="F90" s="8">
        <v>11.9645724</v>
      </c>
      <c r="G90" s="9">
        <v>9.0004869999999997E-3</v>
      </c>
      <c r="H90" s="108">
        <v>3.35</v>
      </c>
    </row>
    <row r="91" spans="1:8" x14ac:dyDescent="0.2">
      <c r="A91" s="3" t="s">
        <v>10</v>
      </c>
      <c r="B91" s="3" t="s">
        <v>10</v>
      </c>
      <c r="C91" s="4" t="s">
        <v>104</v>
      </c>
      <c r="D91" s="3" t="s">
        <v>10</v>
      </c>
      <c r="E91" s="3" t="s">
        <v>10</v>
      </c>
      <c r="F91" s="10">
        <v>54.559799699999999</v>
      </c>
      <c r="G91" s="11">
        <v>4.1043237000000003E-2</v>
      </c>
      <c r="H91" s="167"/>
    </row>
    <row r="92" spans="1:8" x14ac:dyDescent="0.2">
      <c r="A92" s="3" t="s">
        <v>10</v>
      </c>
      <c r="B92" s="3" t="s">
        <v>10</v>
      </c>
      <c r="C92" s="12" t="s">
        <v>10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126</v>
      </c>
      <c r="D93" s="3" t="s">
        <v>10</v>
      </c>
      <c r="E93" s="3" t="s">
        <v>10</v>
      </c>
      <c r="F93" s="10">
        <v>54.559799699999999</v>
      </c>
      <c r="G93" s="11">
        <v>4.1043237000000003E-2</v>
      </c>
      <c r="H93" s="167"/>
    </row>
    <row r="94" spans="1:8" x14ac:dyDescent="0.2">
      <c r="A94" s="3" t="s">
        <v>10</v>
      </c>
      <c r="B94" s="3" t="s">
        <v>10</v>
      </c>
      <c r="C94" s="1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127</v>
      </c>
      <c r="D95" s="3" t="s">
        <v>10</v>
      </c>
      <c r="E95" s="3" t="s">
        <v>10</v>
      </c>
      <c r="F95" s="3" t="s">
        <v>10</v>
      </c>
      <c r="G95" s="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128</v>
      </c>
      <c r="D96" s="3" t="s">
        <v>10</v>
      </c>
      <c r="E96" s="3" t="s">
        <v>10</v>
      </c>
      <c r="F96" s="3" t="s">
        <v>10</v>
      </c>
      <c r="G96" s="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104</v>
      </c>
      <c r="D97" s="3" t="s">
        <v>10</v>
      </c>
      <c r="E97" s="3" t="s">
        <v>10</v>
      </c>
      <c r="F97" s="14">
        <v>0</v>
      </c>
      <c r="G97" s="15">
        <v>0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129</v>
      </c>
      <c r="D99" s="3" t="s">
        <v>10</v>
      </c>
      <c r="E99" s="3" t="s">
        <v>10</v>
      </c>
      <c r="F99" s="3" t="s">
        <v>10</v>
      </c>
      <c r="G99" s="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130</v>
      </c>
      <c r="D100" s="3" t="s">
        <v>10</v>
      </c>
      <c r="E100" s="3" t="s">
        <v>10</v>
      </c>
      <c r="F100" s="3" t="s">
        <v>10</v>
      </c>
      <c r="G100" s="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ht="25.5" x14ac:dyDescent="0.2">
      <c r="A104" s="3" t="s">
        <v>10</v>
      </c>
      <c r="B104" s="3" t="s">
        <v>10</v>
      </c>
      <c r="C104" s="4" t="s">
        <v>131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6" t="s">
        <v>10</v>
      </c>
      <c r="C107" s="6" t="s">
        <v>10</v>
      </c>
      <c r="D107" s="4" t="s">
        <v>10</v>
      </c>
      <c r="E107" s="3" t="s">
        <v>10</v>
      </c>
      <c r="F107" s="6" t="s">
        <v>10</v>
      </c>
      <c r="G107" s="16" t="s">
        <v>10</v>
      </c>
      <c r="H107" s="167"/>
    </row>
    <row r="108" spans="1:8" x14ac:dyDescent="0.2">
      <c r="A108" s="16" t="s">
        <v>10</v>
      </c>
      <c r="B108" s="6" t="s">
        <v>10</v>
      </c>
      <c r="C108" s="6" t="s">
        <v>132</v>
      </c>
      <c r="D108" s="6" t="s">
        <v>10</v>
      </c>
      <c r="E108" s="16" t="s">
        <v>10</v>
      </c>
      <c r="F108" s="8">
        <v>3.6533610099999998</v>
      </c>
      <c r="G108" s="9">
        <v>2.7482829999999998E-3</v>
      </c>
      <c r="H108" s="167"/>
    </row>
    <row r="109" spans="1:8" x14ac:dyDescent="0.2">
      <c r="A109" s="12" t="s">
        <v>10</v>
      </c>
      <c r="B109" s="12" t="s">
        <v>10</v>
      </c>
      <c r="C109" s="4" t="s">
        <v>133</v>
      </c>
      <c r="D109" s="17" t="s">
        <v>10</v>
      </c>
      <c r="E109" s="17" t="s">
        <v>10</v>
      </c>
      <c r="F109" s="10">
        <v>1329.32493821</v>
      </c>
      <c r="G109" s="11">
        <v>1.0000000010000001</v>
      </c>
      <c r="H109" s="167"/>
    </row>
    <row r="110" spans="1:8" ht="14.1" customHeight="1" x14ac:dyDescent="0.2">
      <c r="A110" s="18" t="s">
        <v>10</v>
      </c>
      <c r="B110" s="18" t="s">
        <v>10</v>
      </c>
      <c r="C110" s="18" t="s">
        <v>10</v>
      </c>
      <c r="D110" s="19" t="s">
        <v>10</v>
      </c>
      <c r="E110" s="19" t="s">
        <v>10</v>
      </c>
      <c r="F110" s="19" t="s">
        <v>10</v>
      </c>
      <c r="G110" s="19" t="s">
        <v>10</v>
      </c>
    </row>
    <row r="111" spans="1:8" ht="14.1" customHeight="1" x14ac:dyDescent="0.2">
      <c r="A111" s="20" t="s">
        <v>10</v>
      </c>
      <c r="B111" s="208" t="s">
        <v>10</v>
      </c>
      <c r="C111" s="208"/>
      <c r="D111" s="208"/>
      <c r="E111" s="208"/>
      <c r="F111" s="208"/>
      <c r="G111" s="22" t="s">
        <v>10</v>
      </c>
    </row>
    <row r="112" spans="1:8" ht="14.1" customHeight="1" x14ac:dyDescent="0.2">
      <c r="A112" s="20" t="s">
        <v>10</v>
      </c>
      <c r="B112" s="208" t="s">
        <v>10</v>
      </c>
      <c r="C112" s="208"/>
      <c r="D112" s="208"/>
      <c r="E112" s="208"/>
      <c r="F112" s="208"/>
      <c r="G112" s="22" t="s">
        <v>10</v>
      </c>
    </row>
    <row r="113" spans="1:7" ht="14.1" customHeight="1" x14ac:dyDescent="0.2">
      <c r="A113" s="20" t="s">
        <v>10</v>
      </c>
      <c r="B113" s="20" t="s">
        <v>10</v>
      </c>
      <c r="C113" s="20" t="s">
        <v>10</v>
      </c>
      <c r="D113" s="22" t="s">
        <v>10</v>
      </c>
      <c r="E113" s="22" t="s">
        <v>10</v>
      </c>
      <c r="F113" s="22" t="s">
        <v>10</v>
      </c>
      <c r="G113" s="22" t="s">
        <v>10</v>
      </c>
    </row>
    <row r="114" spans="1:7" ht="14.1" customHeight="1" x14ac:dyDescent="0.2">
      <c r="A114" s="20" t="s">
        <v>10</v>
      </c>
      <c r="B114" s="206" t="s">
        <v>134</v>
      </c>
      <c r="C114" s="207"/>
      <c r="D114" s="13" t="s">
        <v>10</v>
      </c>
      <c r="E114" s="23" t="s">
        <v>10</v>
      </c>
      <c r="F114" s="22" t="s">
        <v>10</v>
      </c>
      <c r="G114" s="22" t="s">
        <v>10</v>
      </c>
    </row>
    <row r="115" spans="1:7" ht="29.1" customHeight="1" x14ac:dyDescent="0.2">
      <c r="A115" s="20" t="s">
        <v>10</v>
      </c>
      <c r="B115" s="213" t="s">
        <v>135</v>
      </c>
      <c r="C115" s="214"/>
      <c r="D115" s="4" t="s">
        <v>136</v>
      </c>
      <c r="E115" s="23" t="s">
        <v>10</v>
      </c>
      <c r="F115" s="22" t="s">
        <v>10</v>
      </c>
      <c r="G115" s="22" t="s">
        <v>10</v>
      </c>
    </row>
    <row r="116" spans="1:7" ht="17.100000000000001" customHeight="1" x14ac:dyDescent="0.2">
      <c r="A116" s="20" t="s">
        <v>10</v>
      </c>
      <c r="B116" s="213" t="s">
        <v>137</v>
      </c>
      <c r="C116" s="214"/>
      <c r="D116" s="4" t="s">
        <v>136</v>
      </c>
      <c r="E116" s="23" t="s">
        <v>10</v>
      </c>
      <c r="F116" s="22" t="s">
        <v>10</v>
      </c>
      <c r="G116" s="22" t="s">
        <v>10</v>
      </c>
    </row>
    <row r="117" spans="1:7" ht="17.100000000000001" customHeight="1" x14ac:dyDescent="0.2">
      <c r="A117" s="20" t="s">
        <v>10</v>
      </c>
      <c r="B117" s="213" t="s">
        <v>138</v>
      </c>
      <c r="C117" s="214"/>
      <c r="D117" s="13" t="s">
        <v>10</v>
      </c>
      <c r="E117" s="23" t="s">
        <v>10</v>
      </c>
      <c r="F117" s="22" t="s">
        <v>10</v>
      </c>
      <c r="G117" s="22" t="s">
        <v>10</v>
      </c>
    </row>
    <row r="118" spans="1:7" s="20" customFormat="1" ht="17.100000000000001" customHeight="1" x14ac:dyDescent="0.2"/>
    <row r="119" spans="1:7" x14ac:dyDescent="0.2">
      <c r="A119" s="24" t="s">
        <v>10</v>
      </c>
      <c r="B119" s="140" t="s">
        <v>10</v>
      </c>
      <c r="C119" s="140" t="s">
        <v>139</v>
      </c>
      <c r="D119" s="140" t="s">
        <v>140</v>
      </c>
      <c r="E119" s="24" t="s">
        <v>10</v>
      </c>
      <c r="F119" s="24" t="s">
        <v>10</v>
      </c>
      <c r="G119" s="24" t="s">
        <v>10</v>
      </c>
    </row>
    <row r="120" spans="1:7" ht="18" customHeight="1" x14ac:dyDescent="0.2">
      <c r="A120" s="24" t="s">
        <v>10</v>
      </c>
      <c r="B120" s="25" t="s">
        <v>141</v>
      </c>
      <c r="C120" s="25" t="s">
        <v>142</v>
      </c>
      <c r="D120" s="25" t="s">
        <v>143</v>
      </c>
      <c r="E120" s="24" t="s">
        <v>10</v>
      </c>
      <c r="F120" s="24" t="s">
        <v>10</v>
      </c>
      <c r="G120" s="24" t="s">
        <v>10</v>
      </c>
    </row>
    <row r="121" spans="1:7" ht="17.100000000000001" customHeight="1" x14ac:dyDescent="0.2">
      <c r="A121" s="24" t="s">
        <v>10</v>
      </c>
      <c r="B121" s="6" t="s">
        <v>144</v>
      </c>
      <c r="C121" s="26">
        <v>19.568100000000001</v>
      </c>
      <c r="D121" s="26">
        <v>21.036899999999999</v>
      </c>
      <c r="E121" s="24" t="s">
        <v>10</v>
      </c>
      <c r="F121" s="21" t="s">
        <v>10</v>
      </c>
      <c r="G121" s="27" t="s">
        <v>10</v>
      </c>
    </row>
    <row r="122" spans="1:7" ht="17.100000000000001" customHeight="1" x14ac:dyDescent="0.2">
      <c r="A122" s="24" t="s">
        <v>10</v>
      </c>
      <c r="B122" s="6" t="s">
        <v>917</v>
      </c>
      <c r="C122" s="26">
        <v>18.142499999999998</v>
      </c>
      <c r="D122" s="26">
        <v>19.504200000000001</v>
      </c>
      <c r="E122" s="24" t="s">
        <v>10</v>
      </c>
      <c r="F122" s="21" t="s">
        <v>10</v>
      </c>
      <c r="G122" s="27" t="s">
        <v>10</v>
      </c>
    </row>
    <row r="123" spans="1:7" ht="17.100000000000001" customHeight="1" x14ac:dyDescent="0.2">
      <c r="A123" s="24" t="s">
        <v>10</v>
      </c>
      <c r="B123" s="6" t="s">
        <v>145</v>
      </c>
      <c r="C123" s="26">
        <v>19.145399999999999</v>
      </c>
      <c r="D123" s="26">
        <v>20.5794</v>
      </c>
      <c r="E123" s="24" t="s">
        <v>10</v>
      </c>
      <c r="F123" s="21" t="s">
        <v>10</v>
      </c>
      <c r="G123" s="27" t="s">
        <v>10</v>
      </c>
    </row>
    <row r="124" spans="1:7" ht="17.100000000000001" customHeight="1" x14ac:dyDescent="0.2">
      <c r="A124" s="24" t="s">
        <v>10</v>
      </c>
      <c r="B124" s="6" t="s">
        <v>918</v>
      </c>
      <c r="C124" s="26">
        <v>17.7409</v>
      </c>
      <c r="D124" s="26">
        <v>19.069700000000001</v>
      </c>
      <c r="E124" s="24" t="s">
        <v>10</v>
      </c>
      <c r="F124" s="21" t="s">
        <v>10</v>
      </c>
      <c r="G124" s="27" t="s">
        <v>10</v>
      </c>
    </row>
    <row r="125" spans="1:7" ht="14.1" customHeight="1" x14ac:dyDescent="0.2">
      <c r="A125" s="24" t="s">
        <v>10</v>
      </c>
      <c r="B125" s="24" t="s">
        <v>10</v>
      </c>
      <c r="C125" s="24" t="s">
        <v>10</v>
      </c>
      <c r="D125" s="24" t="s">
        <v>10</v>
      </c>
      <c r="E125" s="24" t="s">
        <v>10</v>
      </c>
      <c r="F125" s="24" t="s">
        <v>10</v>
      </c>
      <c r="G125" s="24" t="s">
        <v>10</v>
      </c>
    </row>
    <row r="126" spans="1:7" ht="17.100000000000001" customHeight="1" x14ac:dyDescent="0.2">
      <c r="A126" s="24" t="s">
        <v>10</v>
      </c>
      <c r="B126" s="213" t="s">
        <v>999</v>
      </c>
      <c r="C126" s="214"/>
      <c r="D126" s="4" t="s">
        <v>136</v>
      </c>
      <c r="E126" s="24" t="s">
        <v>10</v>
      </c>
      <c r="F126" s="24" t="s">
        <v>10</v>
      </c>
      <c r="G126" s="24" t="s">
        <v>10</v>
      </c>
    </row>
    <row r="127" spans="1:7" ht="18" customHeight="1" x14ac:dyDescent="0.2">
      <c r="A127" s="24" t="s">
        <v>10</v>
      </c>
      <c r="B127" s="28"/>
      <c r="C127" s="28"/>
      <c r="D127" s="29" t="s">
        <v>10</v>
      </c>
      <c r="E127" s="24" t="s">
        <v>10</v>
      </c>
      <c r="F127" s="24" t="s">
        <v>10</v>
      </c>
      <c r="G127" s="24" t="s">
        <v>10</v>
      </c>
    </row>
    <row r="128" spans="1:7" s="175" customFormat="1" x14ac:dyDescent="0.2">
      <c r="B128" s="221" t="s">
        <v>919</v>
      </c>
      <c r="C128" s="221"/>
      <c r="D128" s="221"/>
      <c r="E128" s="221"/>
      <c r="F128" s="221"/>
    </row>
    <row r="129" spans="1:7" ht="14.1" customHeight="1" x14ac:dyDescent="0.2">
      <c r="A129" s="24" t="s">
        <v>10</v>
      </c>
      <c r="B129" s="21" t="s">
        <v>10</v>
      </c>
      <c r="C129" s="21" t="s">
        <v>10</v>
      </c>
      <c r="D129" s="24" t="s">
        <v>10</v>
      </c>
      <c r="E129" s="24" t="s">
        <v>10</v>
      </c>
      <c r="F129" s="24" t="s">
        <v>10</v>
      </c>
      <c r="G129" s="24" t="s">
        <v>10</v>
      </c>
    </row>
    <row r="130" spans="1:7" ht="29.1" customHeight="1" x14ac:dyDescent="0.2">
      <c r="A130" s="24" t="s">
        <v>10</v>
      </c>
      <c r="B130" s="213" t="s">
        <v>146</v>
      </c>
      <c r="C130" s="214"/>
      <c r="D130" s="4" t="s">
        <v>136</v>
      </c>
      <c r="E130" s="24" t="s">
        <v>10</v>
      </c>
      <c r="F130" s="24" t="s">
        <v>10</v>
      </c>
      <c r="G130" s="24" t="s">
        <v>10</v>
      </c>
    </row>
    <row r="131" spans="1:7" ht="29.1" customHeight="1" x14ac:dyDescent="0.2">
      <c r="A131" s="24" t="s">
        <v>10</v>
      </c>
      <c r="B131" s="213" t="s">
        <v>147</v>
      </c>
      <c r="C131" s="214"/>
      <c r="D131" s="4" t="s">
        <v>136</v>
      </c>
      <c r="E131" s="24" t="s">
        <v>10</v>
      </c>
      <c r="F131" s="24" t="s">
        <v>10</v>
      </c>
      <c r="G131" s="24" t="s">
        <v>10</v>
      </c>
    </row>
    <row r="132" spans="1:7" ht="17.100000000000001" customHeight="1" x14ac:dyDescent="0.2">
      <c r="A132" s="24" t="s">
        <v>10</v>
      </c>
      <c r="B132" s="213" t="s">
        <v>148</v>
      </c>
      <c r="C132" s="214"/>
      <c r="D132" s="30">
        <v>0.29734533041024019</v>
      </c>
      <c r="E132" s="24" t="s">
        <v>10</v>
      </c>
      <c r="F132" s="21" t="s">
        <v>10</v>
      </c>
      <c r="G132" s="27" t="s">
        <v>10</v>
      </c>
    </row>
    <row r="133" spans="1:7" ht="17.100000000000001" customHeight="1" x14ac:dyDescent="0.2">
      <c r="A133" s="24" t="s">
        <v>10</v>
      </c>
      <c r="B133" s="213" t="s">
        <v>149</v>
      </c>
      <c r="C133" s="214"/>
      <c r="D133" s="4" t="s">
        <v>136</v>
      </c>
      <c r="E133" s="24" t="s">
        <v>10</v>
      </c>
      <c r="F133" s="24" t="s">
        <v>10</v>
      </c>
      <c r="G133" s="24" t="s">
        <v>10</v>
      </c>
    </row>
  </sheetData>
  <mergeCells count="15">
    <mergeCell ref="B132:C132"/>
    <mergeCell ref="B133:C133"/>
    <mergeCell ref="B115:C115"/>
    <mergeCell ref="B116:C116"/>
    <mergeCell ref="B117:C117"/>
    <mergeCell ref="B126:C126"/>
    <mergeCell ref="B130:C130"/>
    <mergeCell ref="B131:C131"/>
    <mergeCell ref="B128:F128"/>
    <mergeCell ref="B114:C114"/>
    <mergeCell ref="B111:F111"/>
    <mergeCell ref="B112:F11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60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505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24542</v>
      </c>
      <c r="F7" s="8">
        <v>299.47375499999998</v>
      </c>
      <c r="G7" s="9">
        <v>3.7927511999999997E-2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8451</v>
      </c>
      <c r="F8" s="8">
        <v>272.52784800000001</v>
      </c>
      <c r="G8" s="9">
        <v>3.4514888000000001E-2</v>
      </c>
      <c r="H8" s="167"/>
    </row>
    <row r="9" spans="1:8" x14ac:dyDescent="0.2">
      <c r="A9" s="5">
        <v>3</v>
      </c>
      <c r="B9" s="6" t="s">
        <v>467</v>
      </c>
      <c r="C9" s="6" t="s">
        <v>468</v>
      </c>
      <c r="D9" s="6" t="s">
        <v>192</v>
      </c>
      <c r="E9" s="7">
        <v>63111</v>
      </c>
      <c r="F9" s="8">
        <v>248.53111799999999</v>
      </c>
      <c r="G9" s="9">
        <v>3.147577E-2</v>
      </c>
      <c r="H9" s="167"/>
    </row>
    <row r="10" spans="1:8" x14ac:dyDescent="0.2">
      <c r="A10" s="5">
        <v>4</v>
      </c>
      <c r="B10" s="6" t="s">
        <v>165</v>
      </c>
      <c r="C10" s="6" t="s">
        <v>166</v>
      </c>
      <c r="D10" s="6" t="s">
        <v>167</v>
      </c>
      <c r="E10" s="7">
        <v>85992</v>
      </c>
      <c r="F10" s="8">
        <v>209.218536</v>
      </c>
      <c r="G10" s="9">
        <v>2.6496941E-2</v>
      </c>
      <c r="H10" s="167"/>
    </row>
    <row r="11" spans="1:8" ht="25.5" x14ac:dyDescent="0.2">
      <c r="A11" s="5">
        <v>5</v>
      </c>
      <c r="B11" s="6" t="s">
        <v>33</v>
      </c>
      <c r="C11" s="6" t="s">
        <v>34</v>
      </c>
      <c r="D11" s="6" t="s">
        <v>970</v>
      </c>
      <c r="E11" s="7">
        <v>6837</v>
      </c>
      <c r="F11" s="8">
        <v>194.81689650000001</v>
      </c>
      <c r="G11" s="9">
        <v>2.4673014E-2</v>
      </c>
      <c r="H11" s="167"/>
    </row>
    <row r="12" spans="1:8" ht="25.5" x14ac:dyDescent="0.2">
      <c r="A12" s="5">
        <v>6</v>
      </c>
      <c r="B12" s="6" t="s">
        <v>161</v>
      </c>
      <c r="C12" s="6" t="s">
        <v>162</v>
      </c>
      <c r="D12" s="6" t="s">
        <v>970</v>
      </c>
      <c r="E12" s="7">
        <v>106722</v>
      </c>
      <c r="F12" s="8">
        <v>194.500845</v>
      </c>
      <c r="G12" s="9">
        <v>2.4632986999999999E-2</v>
      </c>
      <c r="H12" s="167"/>
    </row>
    <row r="13" spans="1:8" x14ac:dyDescent="0.2">
      <c r="A13" s="5">
        <v>7</v>
      </c>
      <c r="B13" s="6" t="s">
        <v>168</v>
      </c>
      <c r="C13" s="6" t="s">
        <v>169</v>
      </c>
      <c r="D13" s="6" t="s">
        <v>75</v>
      </c>
      <c r="E13" s="7">
        <v>47942</v>
      </c>
      <c r="F13" s="8">
        <v>190.76121800000001</v>
      </c>
      <c r="G13" s="9">
        <v>2.4159374000000001E-2</v>
      </c>
      <c r="H13" s="167"/>
    </row>
    <row r="14" spans="1:8" x14ac:dyDescent="0.2">
      <c r="A14" s="5">
        <v>8</v>
      </c>
      <c r="B14" s="6" t="s">
        <v>174</v>
      </c>
      <c r="C14" s="6" t="s">
        <v>175</v>
      </c>
      <c r="D14" s="6" t="s">
        <v>50</v>
      </c>
      <c r="E14" s="7">
        <v>44883</v>
      </c>
      <c r="F14" s="8">
        <v>190.19171249999999</v>
      </c>
      <c r="G14" s="9">
        <v>2.4087246999999999E-2</v>
      </c>
      <c r="H14" s="167"/>
    </row>
    <row r="15" spans="1:8" ht="25.5" x14ac:dyDescent="0.2">
      <c r="A15" s="5">
        <v>9</v>
      </c>
      <c r="B15" s="6" t="s">
        <v>449</v>
      </c>
      <c r="C15" s="6" t="s">
        <v>450</v>
      </c>
      <c r="D15" s="6" t="s">
        <v>37</v>
      </c>
      <c r="E15" s="7">
        <v>15552</v>
      </c>
      <c r="F15" s="8">
        <v>188.48246399999999</v>
      </c>
      <c r="G15" s="9">
        <v>2.3870776E-2</v>
      </c>
      <c r="H15" s="167"/>
    </row>
    <row r="16" spans="1:8" x14ac:dyDescent="0.2">
      <c r="A16" s="5">
        <v>10</v>
      </c>
      <c r="B16" s="6" t="s">
        <v>159</v>
      </c>
      <c r="C16" s="6" t="s">
        <v>160</v>
      </c>
      <c r="D16" s="6" t="s">
        <v>29</v>
      </c>
      <c r="E16" s="7">
        <v>30438</v>
      </c>
      <c r="F16" s="8">
        <v>187.589394</v>
      </c>
      <c r="G16" s="9">
        <v>2.3757671000000001E-2</v>
      </c>
      <c r="H16" s="167"/>
    </row>
    <row r="17" spans="1:8" x14ac:dyDescent="0.2">
      <c r="A17" s="5">
        <v>11</v>
      </c>
      <c r="B17" s="6" t="s">
        <v>193</v>
      </c>
      <c r="C17" s="6" t="s">
        <v>194</v>
      </c>
      <c r="D17" s="6" t="s">
        <v>178</v>
      </c>
      <c r="E17" s="7">
        <v>102498</v>
      </c>
      <c r="F17" s="8">
        <v>187.366344</v>
      </c>
      <c r="G17" s="9">
        <v>2.3729422E-2</v>
      </c>
      <c r="H17" s="167"/>
    </row>
    <row r="18" spans="1:8" x14ac:dyDescent="0.2">
      <c r="A18" s="5">
        <v>12</v>
      </c>
      <c r="B18" s="6" t="s">
        <v>156</v>
      </c>
      <c r="C18" s="6" t="s">
        <v>157</v>
      </c>
      <c r="D18" s="6" t="s">
        <v>158</v>
      </c>
      <c r="E18" s="7">
        <v>202240</v>
      </c>
      <c r="F18" s="8">
        <v>185.95967999999999</v>
      </c>
      <c r="G18" s="9">
        <v>2.3551272000000002E-2</v>
      </c>
      <c r="H18" s="167"/>
    </row>
    <row r="19" spans="1:8" x14ac:dyDescent="0.2">
      <c r="A19" s="5">
        <v>13</v>
      </c>
      <c r="B19" s="6" t="s">
        <v>179</v>
      </c>
      <c r="C19" s="6" t="s">
        <v>180</v>
      </c>
      <c r="D19" s="6" t="s">
        <v>972</v>
      </c>
      <c r="E19" s="7">
        <v>23395</v>
      </c>
      <c r="F19" s="8">
        <v>177.12354500000001</v>
      </c>
      <c r="G19" s="9">
        <v>2.2432200999999999E-2</v>
      </c>
      <c r="H19" s="167"/>
    </row>
    <row r="20" spans="1:8" x14ac:dyDescent="0.2">
      <c r="A20" s="5">
        <v>14</v>
      </c>
      <c r="B20" s="6" t="s">
        <v>181</v>
      </c>
      <c r="C20" s="6" t="s">
        <v>182</v>
      </c>
      <c r="D20" s="6" t="s">
        <v>29</v>
      </c>
      <c r="E20" s="7">
        <v>36203</v>
      </c>
      <c r="F20" s="8">
        <v>172.941731</v>
      </c>
      <c r="G20" s="9">
        <v>2.1902586000000002E-2</v>
      </c>
      <c r="H20" s="167"/>
    </row>
    <row r="21" spans="1:8" x14ac:dyDescent="0.2">
      <c r="A21" s="5">
        <v>15</v>
      </c>
      <c r="B21" s="6" t="s">
        <v>190</v>
      </c>
      <c r="C21" s="6" t="s">
        <v>191</v>
      </c>
      <c r="D21" s="6" t="s">
        <v>192</v>
      </c>
      <c r="E21" s="7">
        <v>42854</v>
      </c>
      <c r="F21" s="8">
        <v>168.45907399999999</v>
      </c>
      <c r="G21" s="9">
        <v>2.1334869999999999E-2</v>
      </c>
      <c r="H21" s="167"/>
    </row>
    <row r="22" spans="1:8" x14ac:dyDescent="0.2">
      <c r="A22" s="5">
        <v>16</v>
      </c>
      <c r="B22" s="6" t="s">
        <v>224</v>
      </c>
      <c r="C22" s="6" t="s">
        <v>225</v>
      </c>
      <c r="D22" s="6" t="s">
        <v>185</v>
      </c>
      <c r="E22" s="7">
        <v>40048</v>
      </c>
      <c r="F22" s="8">
        <v>165.37821600000001</v>
      </c>
      <c r="G22" s="9">
        <v>2.0944688E-2</v>
      </c>
      <c r="H22" s="167"/>
    </row>
    <row r="23" spans="1:8" x14ac:dyDescent="0.2">
      <c r="A23" s="5">
        <v>17</v>
      </c>
      <c r="B23" s="6" t="s">
        <v>163</v>
      </c>
      <c r="C23" s="6" t="s">
        <v>164</v>
      </c>
      <c r="D23" s="6" t="s">
        <v>167</v>
      </c>
      <c r="E23" s="7">
        <v>17960</v>
      </c>
      <c r="F23" s="8">
        <v>155.81198000000001</v>
      </c>
      <c r="G23" s="9">
        <v>1.9733151000000001E-2</v>
      </c>
      <c r="H23" s="167"/>
    </row>
    <row r="24" spans="1:8" ht="25.5" x14ac:dyDescent="0.2">
      <c r="A24" s="5">
        <v>18</v>
      </c>
      <c r="B24" s="6" t="s">
        <v>63</v>
      </c>
      <c r="C24" s="6" t="s">
        <v>64</v>
      </c>
      <c r="D24" s="6" t="s">
        <v>37</v>
      </c>
      <c r="E24" s="7">
        <v>25581</v>
      </c>
      <c r="F24" s="8">
        <v>144.7500885</v>
      </c>
      <c r="G24" s="9">
        <v>1.8332193E-2</v>
      </c>
      <c r="H24" s="167"/>
    </row>
    <row r="25" spans="1:8" x14ac:dyDescent="0.2">
      <c r="A25" s="5">
        <v>19</v>
      </c>
      <c r="B25" s="6" t="s">
        <v>58</v>
      </c>
      <c r="C25" s="6" t="s">
        <v>59</v>
      </c>
      <c r="D25" s="6" t="s">
        <v>974</v>
      </c>
      <c r="E25" s="7">
        <v>112301</v>
      </c>
      <c r="F25" s="8">
        <v>144.531387</v>
      </c>
      <c r="G25" s="9">
        <v>1.8304495E-2</v>
      </c>
      <c r="H25" s="167"/>
    </row>
    <row r="26" spans="1:8" ht="25.5" x14ac:dyDescent="0.2">
      <c r="A26" s="5">
        <v>20</v>
      </c>
      <c r="B26" s="6" t="s">
        <v>172</v>
      </c>
      <c r="C26" s="6" t="s">
        <v>173</v>
      </c>
      <c r="D26" s="6" t="s">
        <v>970</v>
      </c>
      <c r="E26" s="7">
        <v>54769</v>
      </c>
      <c r="F26" s="8">
        <v>137.689266</v>
      </c>
      <c r="G26" s="9">
        <v>1.7437959999999999E-2</v>
      </c>
      <c r="H26" s="167"/>
    </row>
    <row r="27" spans="1:8" x14ac:dyDescent="0.2">
      <c r="A27" s="5">
        <v>21</v>
      </c>
      <c r="B27" s="6" t="s">
        <v>245</v>
      </c>
      <c r="C27" s="6" t="s">
        <v>246</v>
      </c>
      <c r="D27" s="6" t="s">
        <v>247</v>
      </c>
      <c r="E27" s="7">
        <v>83608</v>
      </c>
      <c r="F27" s="8">
        <v>137.11712</v>
      </c>
      <c r="G27" s="9">
        <v>1.7365499E-2</v>
      </c>
      <c r="H27" s="167"/>
    </row>
    <row r="28" spans="1:8" ht="25.5" x14ac:dyDescent="0.2">
      <c r="A28" s="5">
        <v>22</v>
      </c>
      <c r="B28" s="6" t="s">
        <v>228</v>
      </c>
      <c r="C28" s="6" t="s">
        <v>229</v>
      </c>
      <c r="D28" s="6" t="s">
        <v>78</v>
      </c>
      <c r="E28" s="7">
        <v>38459</v>
      </c>
      <c r="F28" s="8">
        <v>130.62599349999999</v>
      </c>
      <c r="G28" s="9">
        <v>1.6543415999999998E-2</v>
      </c>
      <c r="H28" s="167"/>
    </row>
    <row r="29" spans="1:8" x14ac:dyDescent="0.2">
      <c r="A29" s="5">
        <v>23</v>
      </c>
      <c r="B29" s="6" t="s">
        <v>214</v>
      </c>
      <c r="C29" s="6" t="s">
        <v>215</v>
      </c>
      <c r="D29" s="6" t="s">
        <v>976</v>
      </c>
      <c r="E29" s="7">
        <v>40784</v>
      </c>
      <c r="F29" s="8">
        <v>126.69549600000001</v>
      </c>
      <c r="G29" s="9">
        <v>1.6045630000000002E-2</v>
      </c>
      <c r="H29" s="167"/>
    </row>
    <row r="30" spans="1:8" x14ac:dyDescent="0.2">
      <c r="A30" s="5">
        <v>24</v>
      </c>
      <c r="B30" s="6" t="s">
        <v>198</v>
      </c>
      <c r="C30" s="6" t="s">
        <v>199</v>
      </c>
      <c r="D30" s="6" t="s">
        <v>167</v>
      </c>
      <c r="E30" s="7">
        <v>15206</v>
      </c>
      <c r="F30" s="8">
        <v>125.274631</v>
      </c>
      <c r="G30" s="9">
        <v>1.5865681E-2</v>
      </c>
      <c r="H30" s="167"/>
    </row>
    <row r="31" spans="1:8" x14ac:dyDescent="0.2">
      <c r="A31" s="5">
        <v>25</v>
      </c>
      <c r="B31" s="6" t="s">
        <v>176</v>
      </c>
      <c r="C31" s="6" t="s">
        <v>177</v>
      </c>
      <c r="D31" s="6" t="s">
        <v>178</v>
      </c>
      <c r="E31" s="7">
        <v>11531</v>
      </c>
      <c r="F31" s="8">
        <v>122.7071365</v>
      </c>
      <c r="G31" s="9">
        <v>1.5540515E-2</v>
      </c>
      <c r="H31" s="167"/>
    </row>
    <row r="32" spans="1:8" x14ac:dyDescent="0.2">
      <c r="A32" s="5">
        <v>26</v>
      </c>
      <c r="B32" s="6" t="s">
        <v>46</v>
      </c>
      <c r="C32" s="6" t="s">
        <v>47</v>
      </c>
      <c r="D32" s="6" t="s">
        <v>29</v>
      </c>
      <c r="E32" s="7">
        <v>12434</v>
      </c>
      <c r="F32" s="8">
        <v>121.436661</v>
      </c>
      <c r="G32" s="9">
        <v>1.5379613E-2</v>
      </c>
      <c r="H32" s="167"/>
    </row>
    <row r="33" spans="1:8" x14ac:dyDescent="0.2">
      <c r="A33" s="5">
        <v>27</v>
      </c>
      <c r="B33" s="6" t="s">
        <v>73</v>
      </c>
      <c r="C33" s="6" t="s">
        <v>74</v>
      </c>
      <c r="D33" s="6" t="s">
        <v>75</v>
      </c>
      <c r="E33" s="7">
        <v>4397</v>
      </c>
      <c r="F33" s="8">
        <v>119.9391675</v>
      </c>
      <c r="G33" s="9">
        <v>1.5189958999999999E-2</v>
      </c>
      <c r="H33" s="167"/>
    </row>
    <row r="34" spans="1:8" ht="25.5" x14ac:dyDescent="0.2">
      <c r="A34" s="5">
        <v>28</v>
      </c>
      <c r="B34" s="6" t="s">
        <v>204</v>
      </c>
      <c r="C34" s="6" t="s">
        <v>205</v>
      </c>
      <c r="D34" s="6" t="s">
        <v>37</v>
      </c>
      <c r="E34" s="7">
        <v>134113</v>
      </c>
      <c r="F34" s="8">
        <v>114.80072800000001</v>
      </c>
      <c r="G34" s="9">
        <v>1.4539191E-2</v>
      </c>
      <c r="H34" s="167"/>
    </row>
    <row r="35" spans="1:8" ht="25.5" x14ac:dyDescent="0.2">
      <c r="A35" s="5">
        <v>29</v>
      </c>
      <c r="B35" s="6" t="s">
        <v>200</v>
      </c>
      <c r="C35" s="6" t="s">
        <v>201</v>
      </c>
      <c r="D35" s="6" t="s">
        <v>75</v>
      </c>
      <c r="E35" s="7">
        <v>5046</v>
      </c>
      <c r="F35" s="8">
        <v>113.73684</v>
      </c>
      <c r="G35" s="9">
        <v>1.4404452E-2</v>
      </c>
      <c r="H35" s="167"/>
    </row>
    <row r="36" spans="1:8" x14ac:dyDescent="0.2">
      <c r="A36" s="5">
        <v>30</v>
      </c>
      <c r="B36" s="6" t="s">
        <v>461</v>
      </c>
      <c r="C36" s="6" t="s">
        <v>462</v>
      </c>
      <c r="D36" s="6" t="s">
        <v>972</v>
      </c>
      <c r="E36" s="7">
        <v>146896</v>
      </c>
      <c r="F36" s="8">
        <v>110.979928</v>
      </c>
      <c r="G36" s="9">
        <v>1.4055297E-2</v>
      </c>
      <c r="H36" s="167"/>
    </row>
    <row r="37" spans="1:8" x14ac:dyDescent="0.2">
      <c r="A37" s="5">
        <v>31</v>
      </c>
      <c r="B37" s="6" t="s">
        <v>202</v>
      </c>
      <c r="C37" s="6" t="s">
        <v>203</v>
      </c>
      <c r="D37" s="6" t="s">
        <v>57</v>
      </c>
      <c r="E37" s="7">
        <v>9828</v>
      </c>
      <c r="F37" s="8">
        <v>105.84756</v>
      </c>
      <c r="G37" s="9">
        <v>1.3405297E-2</v>
      </c>
      <c r="H37" s="167"/>
    </row>
    <row r="38" spans="1:8" x14ac:dyDescent="0.2">
      <c r="A38" s="5">
        <v>32</v>
      </c>
      <c r="B38" s="6" t="s">
        <v>30</v>
      </c>
      <c r="C38" s="6" t="s">
        <v>31</v>
      </c>
      <c r="D38" s="6" t="s">
        <v>32</v>
      </c>
      <c r="E38" s="7">
        <v>40332</v>
      </c>
      <c r="F38" s="8">
        <v>104.439714</v>
      </c>
      <c r="G38" s="9">
        <v>1.3226997000000001E-2</v>
      </c>
      <c r="H38" s="167"/>
    </row>
    <row r="39" spans="1:8" x14ac:dyDescent="0.2">
      <c r="A39" s="5">
        <v>33</v>
      </c>
      <c r="B39" s="6" t="s">
        <v>210</v>
      </c>
      <c r="C39" s="6" t="s">
        <v>211</v>
      </c>
      <c r="D39" s="6" t="s">
        <v>29</v>
      </c>
      <c r="E39" s="7">
        <v>7702</v>
      </c>
      <c r="F39" s="8">
        <v>103.74208900000001</v>
      </c>
      <c r="G39" s="9">
        <v>1.3138644999999999E-2</v>
      </c>
      <c r="H39" s="167"/>
    </row>
    <row r="40" spans="1:8" x14ac:dyDescent="0.2">
      <c r="A40" s="5">
        <v>34</v>
      </c>
      <c r="B40" s="6" t="s">
        <v>206</v>
      </c>
      <c r="C40" s="6" t="s">
        <v>207</v>
      </c>
      <c r="D40" s="6" t="s">
        <v>32</v>
      </c>
      <c r="E40" s="7">
        <v>108993</v>
      </c>
      <c r="F40" s="8">
        <v>102.45341999999999</v>
      </c>
      <c r="G40" s="9">
        <v>1.2975439E-2</v>
      </c>
      <c r="H40" s="167"/>
    </row>
    <row r="41" spans="1:8" x14ac:dyDescent="0.2">
      <c r="A41" s="5">
        <v>35</v>
      </c>
      <c r="B41" s="6" t="s">
        <v>212</v>
      </c>
      <c r="C41" s="6" t="s">
        <v>213</v>
      </c>
      <c r="D41" s="6" t="s">
        <v>158</v>
      </c>
      <c r="E41" s="7">
        <v>17935</v>
      </c>
      <c r="F41" s="8">
        <v>102.0232475</v>
      </c>
      <c r="G41" s="9">
        <v>1.2920958E-2</v>
      </c>
      <c r="H41" s="167"/>
    </row>
    <row r="42" spans="1:8" x14ac:dyDescent="0.2">
      <c r="A42" s="5">
        <v>36</v>
      </c>
      <c r="B42" s="6" t="s">
        <v>186</v>
      </c>
      <c r="C42" s="6" t="s">
        <v>187</v>
      </c>
      <c r="D42" s="6" t="s">
        <v>57</v>
      </c>
      <c r="E42" s="7">
        <v>42816</v>
      </c>
      <c r="F42" s="8">
        <v>101.987712</v>
      </c>
      <c r="G42" s="9">
        <v>1.2916458E-2</v>
      </c>
      <c r="H42" s="167"/>
    </row>
    <row r="43" spans="1:8" x14ac:dyDescent="0.2">
      <c r="A43" s="5">
        <v>37</v>
      </c>
      <c r="B43" s="6" t="s">
        <v>222</v>
      </c>
      <c r="C43" s="6" t="s">
        <v>223</v>
      </c>
      <c r="D43" s="6" t="s">
        <v>971</v>
      </c>
      <c r="E43" s="7">
        <v>30294</v>
      </c>
      <c r="F43" s="8">
        <v>99.364320000000006</v>
      </c>
      <c r="G43" s="9">
        <v>1.2584213E-2</v>
      </c>
      <c r="H43" s="167"/>
    </row>
    <row r="44" spans="1:8" x14ac:dyDescent="0.2">
      <c r="A44" s="5">
        <v>38</v>
      </c>
      <c r="B44" s="6" t="s">
        <v>286</v>
      </c>
      <c r="C44" s="6" t="s">
        <v>287</v>
      </c>
      <c r="D44" s="6" t="s">
        <v>29</v>
      </c>
      <c r="E44" s="7">
        <v>9255</v>
      </c>
      <c r="F44" s="8">
        <v>93.8966025</v>
      </c>
      <c r="G44" s="9">
        <v>1.1891742E-2</v>
      </c>
      <c r="H44" s="167"/>
    </row>
    <row r="45" spans="1:8" x14ac:dyDescent="0.2">
      <c r="A45" s="5">
        <v>39</v>
      </c>
      <c r="B45" s="6" t="s">
        <v>232</v>
      </c>
      <c r="C45" s="6" t="s">
        <v>233</v>
      </c>
      <c r="D45" s="6" t="s">
        <v>185</v>
      </c>
      <c r="E45" s="7">
        <v>25572</v>
      </c>
      <c r="F45" s="8">
        <v>91.905767999999995</v>
      </c>
      <c r="G45" s="9">
        <v>1.1639607999999999E-2</v>
      </c>
      <c r="H45" s="167"/>
    </row>
    <row r="46" spans="1:8" ht="25.5" x14ac:dyDescent="0.2">
      <c r="A46" s="5">
        <v>40</v>
      </c>
      <c r="B46" s="6" t="s">
        <v>256</v>
      </c>
      <c r="C46" s="6" t="s">
        <v>257</v>
      </c>
      <c r="D46" s="6" t="s">
        <v>975</v>
      </c>
      <c r="E46" s="7">
        <v>107569</v>
      </c>
      <c r="F46" s="8">
        <v>91.272296499999996</v>
      </c>
      <c r="G46" s="9">
        <v>1.1559381000000001E-2</v>
      </c>
      <c r="H46" s="167"/>
    </row>
    <row r="47" spans="1:8" x14ac:dyDescent="0.2">
      <c r="A47" s="5">
        <v>41</v>
      </c>
      <c r="B47" s="6" t="s">
        <v>208</v>
      </c>
      <c r="C47" s="6" t="s">
        <v>209</v>
      </c>
      <c r="D47" s="6" t="s">
        <v>971</v>
      </c>
      <c r="E47" s="7">
        <v>34839</v>
      </c>
      <c r="F47" s="8">
        <v>90.738175499999997</v>
      </c>
      <c r="G47" s="9">
        <v>1.1491736000000001E-2</v>
      </c>
      <c r="H47" s="167"/>
    </row>
    <row r="48" spans="1:8" x14ac:dyDescent="0.2">
      <c r="A48" s="5">
        <v>42</v>
      </c>
      <c r="B48" s="6" t="s">
        <v>264</v>
      </c>
      <c r="C48" s="6" t="s">
        <v>265</v>
      </c>
      <c r="D48" s="6" t="s">
        <v>971</v>
      </c>
      <c r="E48" s="7">
        <v>65797</v>
      </c>
      <c r="F48" s="8">
        <v>89.780006499999999</v>
      </c>
      <c r="G48" s="9">
        <v>1.1370386E-2</v>
      </c>
      <c r="H48" s="167"/>
    </row>
    <row r="49" spans="1:8" x14ac:dyDescent="0.2">
      <c r="A49" s="5">
        <v>43</v>
      </c>
      <c r="B49" s="6" t="s">
        <v>254</v>
      </c>
      <c r="C49" s="6" t="s">
        <v>255</v>
      </c>
      <c r="D49" s="6" t="s">
        <v>971</v>
      </c>
      <c r="E49" s="7">
        <v>18393</v>
      </c>
      <c r="F49" s="8">
        <v>88.672652999999997</v>
      </c>
      <c r="G49" s="9">
        <v>1.1230143E-2</v>
      </c>
      <c r="H49" s="167"/>
    </row>
    <row r="50" spans="1:8" x14ac:dyDescent="0.2">
      <c r="A50" s="5">
        <v>44</v>
      </c>
      <c r="B50" s="6" t="s">
        <v>258</v>
      </c>
      <c r="C50" s="6" t="s">
        <v>259</v>
      </c>
      <c r="D50" s="6" t="s">
        <v>23</v>
      </c>
      <c r="E50" s="7">
        <v>82133</v>
      </c>
      <c r="F50" s="8">
        <v>86.198583499999998</v>
      </c>
      <c r="G50" s="9">
        <v>1.0916809E-2</v>
      </c>
      <c r="H50" s="167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29</v>
      </c>
      <c r="E51" s="7">
        <v>73354</v>
      </c>
      <c r="F51" s="8">
        <v>85.604118</v>
      </c>
      <c r="G51" s="9">
        <v>1.0841521999999999E-2</v>
      </c>
      <c r="H51" s="167"/>
    </row>
    <row r="52" spans="1:8" x14ac:dyDescent="0.2">
      <c r="A52" s="5">
        <v>46</v>
      </c>
      <c r="B52" s="6" t="s">
        <v>53</v>
      </c>
      <c r="C52" s="6" t="s">
        <v>54</v>
      </c>
      <c r="D52" s="6" t="s">
        <v>32</v>
      </c>
      <c r="E52" s="7">
        <v>39491</v>
      </c>
      <c r="F52" s="8">
        <v>83.424737500000006</v>
      </c>
      <c r="G52" s="9">
        <v>1.0565509000000001E-2</v>
      </c>
      <c r="H52" s="167"/>
    </row>
    <row r="53" spans="1:8" x14ac:dyDescent="0.2">
      <c r="A53" s="5">
        <v>47</v>
      </c>
      <c r="B53" s="6" t="s">
        <v>252</v>
      </c>
      <c r="C53" s="6" t="s">
        <v>253</v>
      </c>
      <c r="D53" s="6" t="s">
        <v>158</v>
      </c>
      <c r="E53" s="7">
        <v>15163</v>
      </c>
      <c r="F53" s="8">
        <v>83.153891999999999</v>
      </c>
      <c r="G53" s="9">
        <v>1.0531207000000001E-2</v>
      </c>
      <c r="H53" s="167"/>
    </row>
    <row r="54" spans="1:8" x14ac:dyDescent="0.2">
      <c r="A54" s="5">
        <v>48</v>
      </c>
      <c r="B54" s="6" t="s">
        <v>262</v>
      </c>
      <c r="C54" s="6" t="s">
        <v>263</v>
      </c>
      <c r="D54" s="6" t="s">
        <v>185</v>
      </c>
      <c r="E54" s="7">
        <v>14616</v>
      </c>
      <c r="F54" s="8">
        <v>83.113883999999999</v>
      </c>
      <c r="G54" s="9">
        <v>1.0526140999999999E-2</v>
      </c>
      <c r="H54" s="167"/>
    </row>
    <row r="55" spans="1:8" x14ac:dyDescent="0.2">
      <c r="A55" s="5">
        <v>49</v>
      </c>
      <c r="B55" s="6" t="s">
        <v>238</v>
      </c>
      <c r="C55" s="6" t="s">
        <v>239</v>
      </c>
      <c r="D55" s="6" t="s">
        <v>240</v>
      </c>
      <c r="E55" s="7">
        <v>10077</v>
      </c>
      <c r="F55" s="8">
        <v>82.137626999999995</v>
      </c>
      <c r="G55" s="9">
        <v>1.04025E-2</v>
      </c>
      <c r="H55" s="167"/>
    </row>
    <row r="56" spans="1:8" ht="25.5" x14ac:dyDescent="0.2">
      <c r="A56" s="5">
        <v>50</v>
      </c>
      <c r="B56" s="6" t="s">
        <v>241</v>
      </c>
      <c r="C56" s="6" t="s">
        <v>242</v>
      </c>
      <c r="D56" s="6" t="s">
        <v>153</v>
      </c>
      <c r="E56" s="7">
        <v>21784</v>
      </c>
      <c r="F56" s="8">
        <v>81.875163999999998</v>
      </c>
      <c r="G56" s="9">
        <v>1.036926E-2</v>
      </c>
      <c r="H56" s="167"/>
    </row>
    <row r="57" spans="1:8" ht="25.5" x14ac:dyDescent="0.2">
      <c r="A57" s="5">
        <v>51</v>
      </c>
      <c r="B57" s="6" t="s">
        <v>243</v>
      </c>
      <c r="C57" s="6" t="s">
        <v>244</v>
      </c>
      <c r="D57" s="6" t="s">
        <v>78</v>
      </c>
      <c r="E57" s="7">
        <v>22731</v>
      </c>
      <c r="F57" s="8">
        <v>80.581395000000001</v>
      </c>
      <c r="G57" s="9">
        <v>1.0205407999999999E-2</v>
      </c>
      <c r="H57" s="167"/>
    </row>
    <row r="58" spans="1:8" x14ac:dyDescent="0.2">
      <c r="A58" s="5">
        <v>52</v>
      </c>
      <c r="B58" s="6" t="s">
        <v>260</v>
      </c>
      <c r="C58" s="6" t="s">
        <v>926</v>
      </c>
      <c r="D58" s="6" t="s">
        <v>261</v>
      </c>
      <c r="E58" s="7">
        <v>33525</v>
      </c>
      <c r="F58" s="8">
        <v>79.906837499999995</v>
      </c>
      <c r="G58" s="9">
        <v>1.0119977E-2</v>
      </c>
      <c r="H58" s="167"/>
    </row>
    <row r="59" spans="1:8" x14ac:dyDescent="0.2">
      <c r="A59" s="5">
        <v>53</v>
      </c>
      <c r="B59" s="6" t="s">
        <v>195</v>
      </c>
      <c r="C59" s="6" t="s">
        <v>196</v>
      </c>
      <c r="D59" s="6" t="s">
        <v>197</v>
      </c>
      <c r="E59" s="7">
        <v>10328</v>
      </c>
      <c r="F59" s="8">
        <v>78.022875999999997</v>
      </c>
      <c r="G59" s="9">
        <v>9.8813789999999992E-3</v>
      </c>
      <c r="H59" s="167"/>
    </row>
    <row r="60" spans="1:8" x14ac:dyDescent="0.2">
      <c r="A60" s="5">
        <v>54</v>
      </c>
      <c r="B60" s="6" t="s">
        <v>95</v>
      </c>
      <c r="C60" s="6" t="s">
        <v>96</v>
      </c>
      <c r="D60" s="6" t="s">
        <v>75</v>
      </c>
      <c r="E60" s="7">
        <v>29687</v>
      </c>
      <c r="F60" s="8">
        <v>76.013563500000004</v>
      </c>
      <c r="G60" s="9">
        <v>9.6269049999999998E-3</v>
      </c>
      <c r="H60" s="167"/>
    </row>
    <row r="61" spans="1:8" x14ac:dyDescent="0.2">
      <c r="A61" s="5">
        <v>55</v>
      </c>
      <c r="B61" s="6" t="s">
        <v>266</v>
      </c>
      <c r="C61" s="6" t="s">
        <v>267</v>
      </c>
      <c r="D61" s="6" t="s">
        <v>75</v>
      </c>
      <c r="E61" s="7">
        <v>38073</v>
      </c>
      <c r="F61" s="8">
        <v>74.604043500000003</v>
      </c>
      <c r="G61" s="9">
        <v>9.4483929999999994E-3</v>
      </c>
      <c r="H61" s="167"/>
    </row>
    <row r="62" spans="1:8" x14ac:dyDescent="0.2">
      <c r="A62" s="5">
        <v>56</v>
      </c>
      <c r="B62" s="6" t="s">
        <v>230</v>
      </c>
      <c r="C62" s="6" t="s">
        <v>231</v>
      </c>
      <c r="D62" s="6" t="s">
        <v>75</v>
      </c>
      <c r="E62" s="7">
        <v>9272</v>
      </c>
      <c r="F62" s="8">
        <v>55.965792</v>
      </c>
      <c r="G62" s="9">
        <v>7.0879109999999997E-3</v>
      </c>
      <c r="H62" s="167"/>
    </row>
    <row r="63" spans="1:8" x14ac:dyDescent="0.2">
      <c r="A63" s="5">
        <v>57</v>
      </c>
      <c r="B63" s="6" t="s">
        <v>274</v>
      </c>
      <c r="C63" s="6" t="s">
        <v>275</v>
      </c>
      <c r="D63" s="6" t="s">
        <v>153</v>
      </c>
      <c r="E63" s="7">
        <v>3563</v>
      </c>
      <c r="F63" s="8">
        <v>54.654638499999997</v>
      </c>
      <c r="G63" s="9">
        <v>6.921857E-3</v>
      </c>
      <c r="H63" s="167"/>
    </row>
    <row r="64" spans="1:8" x14ac:dyDescent="0.2">
      <c r="A64" s="5">
        <v>58</v>
      </c>
      <c r="B64" s="6" t="s">
        <v>220</v>
      </c>
      <c r="C64" s="6" t="s">
        <v>221</v>
      </c>
      <c r="D64" s="6" t="s">
        <v>158</v>
      </c>
      <c r="E64" s="7">
        <v>94633</v>
      </c>
      <c r="F64" s="8">
        <v>53.893493499999998</v>
      </c>
      <c r="G64" s="9">
        <v>6.8254600000000002E-3</v>
      </c>
      <c r="H64" s="167"/>
    </row>
    <row r="65" spans="1:8" x14ac:dyDescent="0.2">
      <c r="A65" s="5">
        <v>59</v>
      </c>
      <c r="B65" s="6" t="s">
        <v>280</v>
      </c>
      <c r="C65" s="6" t="s">
        <v>281</v>
      </c>
      <c r="D65" s="6" t="s">
        <v>971</v>
      </c>
      <c r="E65" s="7">
        <v>109649</v>
      </c>
      <c r="F65" s="8">
        <v>45.833281999999997</v>
      </c>
      <c r="G65" s="9">
        <v>5.8046570000000004E-3</v>
      </c>
      <c r="H65" s="167"/>
    </row>
    <row r="66" spans="1:8" x14ac:dyDescent="0.2">
      <c r="A66" s="5">
        <v>60</v>
      </c>
      <c r="B66" s="6" t="s">
        <v>282</v>
      </c>
      <c r="C66" s="6" t="s">
        <v>283</v>
      </c>
      <c r="D66" s="6" t="s">
        <v>284</v>
      </c>
      <c r="E66" s="7">
        <v>31256</v>
      </c>
      <c r="F66" s="8">
        <v>45.321199999999997</v>
      </c>
      <c r="G66" s="9">
        <v>5.7398029999999999E-3</v>
      </c>
      <c r="H66" s="167"/>
    </row>
    <row r="67" spans="1:8" x14ac:dyDescent="0.2">
      <c r="A67" s="5">
        <v>61</v>
      </c>
      <c r="B67" s="6" t="s">
        <v>276</v>
      </c>
      <c r="C67" s="6" t="s">
        <v>277</v>
      </c>
      <c r="D67" s="6" t="s">
        <v>167</v>
      </c>
      <c r="E67" s="7">
        <v>7394</v>
      </c>
      <c r="F67" s="8">
        <v>40.988638999999999</v>
      </c>
      <c r="G67" s="9">
        <v>5.1910960000000001E-3</v>
      </c>
      <c r="H67" s="167"/>
    </row>
    <row r="68" spans="1:8" x14ac:dyDescent="0.2">
      <c r="A68" s="5">
        <v>62</v>
      </c>
      <c r="B68" s="6" t="s">
        <v>236</v>
      </c>
      <c r="C68" s="6" t="s">
        <v>237</v>
      </c>
      <c r="D68" s="6" t="s">
        <v>974</v>
      </c>
      <c r="E68" s="7">
        <v>3788</v>
      </c>
      <c r="F68" s="8">
        <v>37.326951999999999</v>
      </c>
      <c r="G68" s="9">
        <v>4.7273539999999996E-3</v>
      </c>
      <c r="H68" s="167"/>
    </row>
    <row r="69" spans="1:8" x14ac:dyDescent="0.2">
      <c r="A69" s="5">
        <v>63</v>
      </c>
      <c r="B69" s="6" t="s">
        <v>268</v>
      </c>
      <c r="C69" s="6" t="s">
        <v>269</v>
      </c>
      <c r="D69" s="6" t="s">
        <v>50</v>
      </c>
      <c r="E69" s="7">
        <v>40010</v>
      </c>
      <c r="F69" s="8">
        <v>35.388845000000003</v>
      </c>
      <c r="G69" s="9">
        <v>4.4818979999999998E-3</v>
      </c>
      <c r="H69" s="167"/>
    </row>
    <row r="70" spans="1:8" x14ac:dyDescent="0.2">
      <c r="A70" s="5">
        <v>64</v>
      </c>
      <c r="B70" s="6" t="s">
        <v>270</v>
      </c>
      <c r="C70" s="6" t="s">
        <v>271</v>
      </c>
      <c r="D70" s="6" t="s">
        <v>75</v>
      </c>
      <c r="E70" s="7">
        <v>20113</v>
      </c>
      <c r="F70" s="8">
        <v>31.798653000000002</v>
      </c>
      <c r="G70" s="9">
        <v>4.0272099999999998E-3</v>
      </c>
      <c r="H70" s="167"/>
    </row>
    <row r="71" spans="1:8" x14ac:dyDescent="0.2">
      <c r="A71" s="3" t="s">
        <v>10</v>
      </c>
      <c r="B71" s="3" t="s">
        <v>10</v>
      </c>
      <c r="C71" s="4" t="s">
        <v>104</v>
      </c>
      <c r="D71" s="3" t="s">
        <v>10</v>
      </c>
      <c r="E71" s="3" t="s">
        <v>10</v>
      </c>
      <c r="F71" s="10">
        <v>7681.3505809999997</v>
      </c>
      <c r="G71" s="11">
        <v>0.97282153000000005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105</v>
      </c>
      <c r="D73" s="3" t="s">
        <v>10</v>
      </c>
      <c r="E73" s="3" t="s">
        <v>10</v>
      </c>
      <c r="F73" s="3" t="s">
        <v>10</v>
      </c>
      <c r="G73" s="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104</v>
      </c>
      <c r="D74" s="3" t="s">
        <v>10</v>
      </c>
      <c r="E74" s="3" t="s">
        <v>10</v>
      </c>
      <c r="F74" s="14">
        <v>0</v>
      </c>
      <c r="G74" s="15">
        <v>0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106</v>
      </c>
      <c r="D76" s="3" t="s">
        <v>10</v>
      </c>
      <c r="E76" s="3" t="s">
        <v>10</v>
      </c>
      <c r="F76" s="3" t="s">
        <v>10</v>
      </c>
      <c r="G76" s="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104</v>
      </c>
      <c r="D77" s="3" t="s">
        <v>10</v>
      </c>
      <c r="E77" s="3" t="s">
        <v>10</v>
      </c>
      <c r="F77" s="14">
        <v>0</v>
      </c>
      <c r="G77" s="15">
        <v>0</v>
      </c>
      <c r="H77" s="167"/>
    </row>
    <row r="78" spans="1:8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110</v>
      </c>
      <c r="D79" s="3" t="s">
        <v>10</v>
      </c>
      <c r="E79" s="3" t="s">
        <v>10</v>
      </c>
      <c r="F79" s="3" t="s">
        <v>10</v>
      </c>
      <c r="G79" s="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4">
        <v>0</v>
      </c>
      <c r="G80" s="15">
        <v>0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111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112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113</v>
      </c>
      <c r="D88" s="3" t="s">
        <v>10</v>
      </c>
      <c r="E88" s="3" t="s">
        <v>10</v>
      </c>
      <c r="F88" s="10">
        <v>7681.3505809999997</v>
      </c>
      <c r="G88" s="11">
        <v>0.97282153000000005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114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ht="25.5" x14ac:dyDescent="0.2">
      <c r="A91" s="3" t="s">
        <v>10</v>
      </c>
      <c r="B91" s="3" t="s">
        <v>10</v>
      </c>
      <c r="C91" s="4" t="s">
        <v>12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4">
        <v>0</v>
      </c>
      <c r="G92" s="15">
        <v>0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115</v>
      </c>
      <c r="D94" s="3" t="s">
        <v>10</v>
      </c>
      <c r="E94" s="3" t="s">
        <v>10</v>
      </c>
      <c r="F94" s="3" t="s">
        <v>10</v>
      </c>
      <c r="G94" s="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4">
        <v>0</v>
      </c>
      <c r="G95" s="15">
        <v>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116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117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118</v>
      </c>
      <c r="D103" s="3" t="s">
        <v>10</v>
      </c>
      <c r="E103" s="3" t="s">
        <v>10</v>
      </c>
      <c r="F103" s="10">
        <v>0</v>
      </c>
      <c r="G103" s="11">
        <v>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119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121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122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104</v>
      </c>
      <c r="D113" s="3" t="s">
        <v>10</v>
      </c>
      <c r="E113" s="3" t="s">
        <v>10</v>
      </c>
      <c r="F113" s="14">
        <v>0</v>
      </c>
      <c r="G113" s="15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123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5">
        <v>1</v>
      </c>
      <c r="B116" s="6"/>
      <c r="C116" s="6" t="s">
        <v>124</v>
      </c>
      <c r="D116" s="6"/>
      <c r="E116" s="16" t="s">
        <v>10</v>
      </c>
      <c r="F116" s="8">
        <v>132.18929180000001</v>
      </c>
      <c r="G116" s="9">
        <v>1.6741402999999998E-2</v>
      </c>
      <c r="H116" s="108">
        <v>3.23</v>
      </c>
    </row>
    <row r="117" spans="1:8" x14ac:dyDescent="0.2">
      <c r="A117" s="5">
        <v>2</v>
      </c>
      <c r="B117" s="6"/>
      <c r="C117" s="6" t="s">
        <v>125</v>
      </c>
      <c r="D117" s="6"/>
      <c r="E117" s="16" t="s">
        <v>10</v>
      </c>
      <c r="F117" s="8">
        <v>37.130603999999998</v>
      </c>
      <c r="G117" s="9">
        <v>4.702487E-3</v>
      </c>
      <c r="H117" s="108">
        <v>3.35</v>
      </c>
    </row>
    <row r="118" spans="1:8" x14ac:dyDescent="0.2">
      <c r="A118" s="3" t="s">
        <v>10</v>
      </c>
      <c r="B118" s="3" t="s">
        <v>10</v>
      </c>
      <c r="C118" s="4" t="s">
        <v>104</v>
      </c>
      <c r="D118" s="3" t="s">
        <v>10</v>
      </c>
      <c r="E118" s="3" t="s">
        <v>10</v>
      </c>
      <c r="F118" s="10">
        <v>169.31989580000001</v>
      </c>
      <c r="G118" s="11">
        <v>2.144389E-2</v>
      </c>
      <c r="H118" s="167"/>
    </row>
    <row r="119" spans="1:8" x14ac:dyDescent="0.2">
      <c r="A119" s="3" t="s">
        <v>10</v>
      </c>
      <c r="B119" s="3" t="s">
        <v>10</v>
      </c>
      <c r="C119" s="12" t="s">
        <v>10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126</v>
      </c>
      <c r="D120" s="3" t="s">
        <v>10</v>
      </c>
      <c r="E120" s="3" t="s">
        <v>10</v>
      </c>
      <c r="F120" s="10">
        <v>169.31989580000001</v>
      </c>
      <c r="G120" s="11">
        <v>2.144389E-2</v>
      </c>
      <c r="H120" s="167"/>
    </row>
    <row r="121" spans="1:8" x14ac:dyDescent="0.2">
      <c r="A121" s="3" t="s">
        <v>10</v>
      </c>
      <c r="B121" s="3" t="s">
        <v>10</v>
      </c>
      <c r="C121" s="13" t="s">
        <v>10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127</v>
      </c>
      <c r="D122" s="3" t="s">
        <v>10</v>
      </c>
      <c r="E122" s="3" t="s">
        <v>10</v>
      </c>
      <c r="F122" s="3" t="s">
        <v>10</v>
      </c>
      <c r="G122" s="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128</v>
      </c>
      <c r="D123" s="3" t="s">
        <v>10</v>
      </c>
      <c r="E123" s="3" t="s">
        <v>10</v>
      </c>
      <c r="F123" s="3" t="s">
        <v>10</v>
      </c>
      <c r="G123" s="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104</v>
      </c>
      <c r="D124" s="3" t="s">
        <v>10</v>
      </c>
      <c r="E124" s="3" t="s">
        <v>10</v>
      </c>
      <c r="F124" s="14">
        <v>0</v>
      </c>
      <c r="G124" s="15">
        <v>0</v>
      </c>
      <c r="H124" s="167"/>
    </row>
    <row r="125" spans="1:8" x14ac:dyDescent="0.2">
      <c r="A125" s="3" t="s">
        <v>10</v>
      </c>
      <c r="B125" s="3" t="s">
        <v>10</v>
      </c>
      <c r="C125" s="12" t="s">
        <v>10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129</v>
      </c>
      <c r="D126" s="3" t="s">
        <v>10</v>
      </c>
      <c r="E126" s="3" t="s">
        <v>10</v>
      </c>
      <c r="F126" s="3" t="s">
        <v>10</v>
      </c>
      <c r="G126" s="3" t="s">
        <v>10</v>
      </c>
      <c r="H126" s="167"/>
    </row>
    <row r="127" spans="1:8" x14ac:dyDescent="0.2">
      <c r="A127" s="3" t="s">
        <v>10</v>
      </c>
      <c r="B127" s="3" t="s">
        <v>10</v>
      </c>
      <c r="C127" s="4" t="s">
        <v>130</v>
      </c>
      <c r="D127" s="3" t="s">
        <v>10</v>
      </c>
      <c r="E127" s="3" t="s">
        <v>10</v>
      </c>
      <c r="F127" s="3" t="s">
        <v>10</v>
      </c>
      <c r="G127" s="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4">
        <v>0</v>
      </c>
      <c r="G128" s="15">
        <v>0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12" t="s">
        <v>10</v>
      </c>
      <c r="D130" s="3" t="s">
        <v>10</v>
      </c>
      <c r="E130" s="3" t="s">
        <v>10</v>
      </c>
      <c r="F130" s="13" t="s">
        <v>10</v>
      </c>
      <c r="G130" s="13" t="s">
        <v>10</v>
      </c>
      <c r="H130" s="167"/>
    </row>
    <row r="131" spans="1:8" ht="25.5" x14ac:dyDescent="0.2">
      <c r="A131" s="3" t="s">
        <v>10</v>
      </c>
      <c r="B131" s="3" t="s">
        <v>10</v>
      </c>
      <c r="C131" s="4" t="s">
        <v>131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104</v>
      </c>
      <c r="D132" s="3" t="s">
        <v>10</v>
      </c>
      <c r="E132" s="3" t="s">
        <v>10</v>
      </c>
      <c r="F132" s="14">
        <v>0</v>
      </c>
      <c r="G132" s="15">
        <v>0</v>
      </c>
      <c r="H132" s="167"/>
    </row>
    <row r="133" spans="1:8" x14ac:dyDescent="0.2">
      <c r="A133" s="3" t="s">
        <v>10</v>
      </c>
      <c r="B133" s="3" t="s">
        <v>10</v>
      </c>
      <c r="C133" s="12" t="s">
        <v>10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7"/>
    </row>
    <row r="134" spans="1:8" x14ac:dyDescent="0.2">
      <c r="A134" s="3" t="s">
        <v>10</v>
      </c>
      <c r="B134" s="6" t="s">
        <v>10</v>
      </c>
      <c r="C134" s="6" t="s">
        <v>10</v>
      </c>
      <c r="D134" s="4" t="s">
        <v>10</v>
      </c>
      <c r="E134" s="3" t="s">
        <v>10</v>
      </c>
      <c r="F134" s="6" t="s">
        <v>10</v>
      </c>
      <c r="G134" s="16" t="s">
        <v>10</v>
      </c>
      <c r="H134" s="167"/>
    </row>
    <row r="135" spans="1:8" x14ac:dyDescent="0.2">
      <c r="A135" s="16" t="s">
        <v>10</v>
      </c>
      <c r="B135" s="6" t="s">
        <v>10</v>
      </c>
      <c r="C135" s="6" t="s">
        <v>132</v>
      </c>
      <c r="D135" s="6" t="s">
        <v>10</v>
      </c>
      <c r="E135" s="16" t="s">
        <v>10</v>
      </c>
      <c r="F135" s="8">
        <v>45.279970390000003</v>
      </c>
      <c r="G135" s="9">
        <v>5.7345809999999999E-3</v>
      </c>
      <c r="H135" s="167"/>
    </row>
    <row r="136" spans="1:8" x14ac:dyDescent="0.2">
      <c r="A136" s="12" t="s">
        <v>10</v>
      </c>
      <c r="B136" s="12" t="s">
        <v>10</v>
      </c>
      <c r="C136" s="4" t="s">
        <v>133</v>
      </c>
      <c r="D136" s="17" t="s">
        <v>10</v>
      </c>
      <c r="E136" s="17" t="s">
        <v>10</v>
      </c>
      <c r="F136" s="10">
        <v>7895.95044719</v>
      </c>
      <c r="G136" s="11">
        <v>1.0000000010000001</v>
      </c>
      <c r="H136" s="167"/>
    </row>
    <row r="137" spans="1:8" ht="14.1" customHeight="1" x14ac:dyDescent="0.2">
      <c r="A137" s="18" t="s">
        <v>10</v>
      </c>
      <c r="B137" s="18" t="s">
        <v>10</v>
      </c>
      <c r="C137" s="18" t="s">
        <v>10</v>
      </c>
      <c r="D137" s="19" t="s">
        <v>10</v>
      </c>
      <c r="E137" s="19" t="s">
        <v>10</v>
      </c>
      <c r="F137" s="19" t="s">
        <v>10</v>
      </c>
      <c r="G137" s="19" t="s">
        <v>10</v>
      </c>
    </row>
    <row r="138" spans="1:8" ht="14.1" customHeight="1" x14ac:dyDescent="0.2">
      <c r="A138" s="20" t="s">
        <v>10</v>
      </c>
      <c r="B138" s="208" t="s">
        <v>10</v>
      </c>
      <c r="C138" s="208"/>
      <c r="D138" s="208"/>
      <c r="E138" s="208"/>
      <c r="F138" s="208"/>
      <c r="G138" s="22" t="s">
        <v>10</v>
      </c>
    </row>
    <row r="139" spans="1:8" ht="14.1" customHeight="1" x14ac:dyDescent="0.2">
      <c r="A139" s="20" t="s">
        <v>10</v>
      </c>
      <c r="B139" s="208" t="s">
        <v>10</v>
      </c>
      <c r="C139" s="208"/>
      <c r="D139" s="208"/>
      <c r="E139" s="208"/>
      <c r="F139" s="208"/>
      <c r="G139" s="22" t="s">
        <v>10</v>
      </c>
    </row>
    <row r="140" spans="1:8" ht="14.1" customHeight="1" x14ac:dyDescent="0.2">
      <c r="A140" s="20" t="s">
        <v>10</v>
      </c>
      <c r="B140" s="20" t="s">
        <v>10</v>
      </c>
      <c r="C140" s="20" t="s">
        <v>10</v>
      </c>
      <c r="D140" s="22" t="s">
        <v>10</v>
      </c>
      <c r="E140" s="22" t="s">
        <v>10</v>
      </c>
      <c r="F140" s="22" t="s">
        <v>10</v>
      </c>
      <c r="G140" s="22" t="s">
        <v>10</v>
      </c>
    </row>
    <row r="141" spans="1:8" ht="14.1" customHeight="1" x14ac:dyDescent="0.2">
      <c r="A141" s="20" t="s">
        <v>10</v>
      </c>
      <c r="B141" s="206" t="s">
        <v>134</v>
      </c>
      <c r="C141" s="207"/>
      <c r="D141" s="13" t="s">
        <v>10</v>
      </c>
      <c r="E141" s="23" t="s">
        <v>10</v>
      </c>
      <c r="F141" s="22" t="s">
        <v>10</v>
      </c>
      <c r="G141" s="22" t="s">
        <v>10</v>
      </c>
    </row>
    <row r="142" spans="1:8" ht="29.1" customHeight="1" x14ac:dyDescent="0.2">
      <c r="A142" s="20" t="s">
        <v>10</v>
      </c>
      <c r="B142" s="213" t="s">
        <v>135</v>
      </c>
      <c r="C142" s="214"/>
      <c r="D142" s="4" t="s">
        <v>136</v>
      </c>
      <c r="E142" s="23" t="s">
        <v>10</v>
      </c>
      <c r="F142" s="22" t="s">
        <v>10</v>
      </c>
      <c r="G142" s="22" t="s">
        <v>10</v>
      </c>
    </row>
    <row r="143" spans="1:8" ht="17.100000000000001" customHeight="1" x14ac:dyDescent="0.2">
      <c r="A143" s="20" t="s">
        <v>10</v>
      </c>
      <c r="B143" s="213" t="s">
        <v>137</v>
      </c>
      <c r="C143" s="214"/>
      <c r="D143" s="4" t="s">
        <v>136</v>
      </c>
      <c r="E143" s="23" t="s">
        <v>10</v>
      </c>
      <c r="F143" s="22" t="s">
        <v>10</v>
      </c>
      <c r="G143" s="22" t="s">
        <v>10</v>
      </c>
    </row>
    <row r="144" spans="1:8" ht="17.100000000000001" customHeight="1" x14ac:dyDescent="0.2">
      <c r="A144" s="20" t="s">
        <v>10</v>
      </c>
      <c r="B144" s="213" t="s">
        <v>138</v>
      </c>
      <c r="C144" s="214"/>
      <c r="D144" s="13" t="s">
        <v>10</v>
      </c>
      <c r="E144" s="23" t="s">
        <v>10</v>
      </c>
      <c r="F144" s="22" t="s">
        <v>10</v>
      </c>
      <c r="G144" s="22" t="s">
        <v>10</v>
      </c>
    </row>
    <row r="145" spans="1:7" s="20" customFormat="1" ht="17.100000000000001" customHeight="1" x14ac:dyDescent="0.2"/>
    <row r="146" spans="1:7" x14ac:dyDescent="0.2">
      <c r="A146" s="24" t="s">
        <v>10</v>
      </c>
      <c r="B146" s="140" t="s">
        <v>10</v>
      </c>
      <c r="C146" s="140" t="s">
        <v>139</v>
      </c>
      <c r="D146" s="140" t="s">
        <v>140</v>
      </c>
      <c r="E146" s="24" t="s">
        <v>10</v>
      </c>
      <c r="F146" s="24" t="s">
        <v>10</v>
      </c>
      <c r="G146" s="24" t="s">
        <v>10</v>
      </c>
    </row>
    <row r="147" spans="1:7" ht="18" customHeight="1" x14ac:dyDescent="0.2">
      <c r="A147" s="24" t="s">
        <v>10</v>
      </c>
      <c r="B147" s="25" t="s">
        <v>141</v>
      </c>
      <c r="C147" s="25" t="s">
        <v>142</v>
      </c>
      <c r="D147" s="25" t="s">
        <v>143</v>
      </c>
      <c r="E147" s="24" t="s">
        <v>10</v>
      </c>
      <c r="F147" s="24" t="s">
        <v>10</v>
      </c>
      <c r="G147" s="24" t="s">
        <v>10</v>
      </c>
    </row>
    <row r="148" spans="1:7" ht="17.100000000000001" customHeight="1" x14ac:dyDescent="0.2">
      <c r="A148" s="24" t="s">
        <v>10</v>
      </c>
      <c r="B148" s="6" t="s">
        <v>144</v>
      </c>
      <c r="C148" s="26">
        <v>12.922000000000001</v>
      </c>
      <c r="D148" s="26">
        <v>14.524800000000001</v>
      </c>
      <c r="E148" s="24" t="s">
        <v>10</v>
      </c>
      <c r="F148" s="21" t="s">
        <v>10</v>
      </c>
      <c r="G148" s="27" t="s">
        <v>10</v>
      </c>
    </row>
    <row r="149" spans="1:7" ht="17.100000000000001" customHeight="1" x14ac:dyDescent="0.2">
      <c r="A149" s="24" t="s">
        <v>10</v>
      </c>
      <c r="B149" s="6" t="s">
        <v>917</v>
      </c>
      <c r="C149" s="26">
        <v>11.902100000000001</v>
      </c>
      <c r="D149" s="26">
        <v>13.378399999999999</v>
      </c>
      <c r="E149" s="24" t="s">
        <v>10</v>
      </c>
      <c r="F149" s="21" t="s">
        <v>10</v>
      </c>
      <c r="G149" s="27" t="s">
        <v>10</v>
      </c>
    </row>
    <row r="150" spans="1:7" ht="17.100000000000001" customHeight="1" x14ac:dyDescent="0.2">
      <c r="A150" s="24" t="s">
        <v>10</v>
      </c>
      <c r="B150" s="6" t="s">
        <v>145</v>
      </c>
      <c r="C150" s="26">
        <v>12.641400000000001</v>
      </c>
      <c r="D150" s="26">
        <v>14.2075</v>
      </c>
      <c r="E150" s="24" t="s">
        <v>10</v>
      </c>
      <c r="F150" s="21" t="s">
        <v>10</v>
      </c>
      <c r="G150" s="27" t="s">
        <v>10</v>
      </c>
    </row>
    <row r="151" spans="1:7" ht="17.100000000000001" customHeight="1" x14ac:dyDescent="0.2">
      <c r="A151" s="24" t="s">
        <v>10</v>
      </c>
      <c r="B151" s="6" t="s">
        <v>918</v>
      </c>
      <c r="C151" s="26">
        <v>11.6327</v>
      </c>
      <c r="D151" s="26">
        <v>13.0739</v>
      </c>
      <c r="E151" s="24" t="s">
        <v>10</v>
      </c>
      <c r="F151" s="21" t="s">
        <v>10</v>
      </c>
      <c r="G151" s="27" t="s">
        <v>10</v>
      </c>
    </row>
    <row r="152" spans="1:7" ht="14.1" customHeight="1" x14ac:dyDescent="0.2">
      <c r="A152" s="24" t="s">
        <v>10</v>
      </c>
      <c r="B152" s="24" t="s">
        <v>10</v>
      </c>
      <c r="C152" s="24" t="s">
        <v>10</v>
      </c>
      <c r="D152" s="24" t="s">
        <v>10</v>
      </c>
      <c r="E152" s="24" t="s">
        <v>10</v>
      </c>
      <c r="F152" s="24" t="s">
        <v>10</v>
      </c>
      <c r="G152" s="24" t="s">
        <v>10</v>
      </c>
    </row>
    <row r="153" spans="1:7" ht="17.100000000000001" customHeight="1" x14ac:dyDescent="0.2">
      <c r="A153" s="24" t="s">
        <v>10</v>
      </c>
      <c r="B153" s="213" t="s">
        <v>999</v>
      </c>
      <c r="C153" s="214"/>
      <c r="D153" s="4" t="s">
        <v>136</v>
      </c>
      <c r="E153" s="24" t="s">
        <v>10</v>
      </c>
      <c r="F153" s="24" t="s">
        <v>10</v>
      </c>
      <c r="G153" s="24" t="s">
        <v>10</v>
      </c>
    </row>
    <row r="154" spans="1:7" ht="18" customHeight="1" x14ac:dyDescent="0.2">
      <c r="A154" s="24" t="s">
        <v>10</v>
      </c>
      <c r="B154" s="28"/>
      <c r="C154" s="28"/>
      <c r="D154" s="29" t="s">
        <v>10</v>
      </c>
      <c r="E154" s="24" t="s">
        <v>10</v>
      </c>
      <c r="F154" s="24" t="s">
        <v>10</v>
      </c>
      <c r="G154" s="24" t="s">
        <v>10</v>
      </c>
    </row>
    <row r="155" spans="1:7" s="175" customFormat="1" x14ac:dyDescent="0.2">
      <c r="B155" s="221" t="s">
        <v>919</v>
      </c>
      <c r="C155" s="221"/>
      <c r="D155" s="221"/>
      <c r="E155" s="221"/>
      <c r="F155" s="221"/>
    </row>
    <row r="156" spans="1:7" ht="14.1" customHeight="1" x14ac:dyDescent="0.2">
      <c r="A156" s="24" t="s">
        <v>10</v>
      </c>
      <c r="B156" s="21" t="s">
        <v>10</v>
      </c>
      <c r="C156" s="21" t="s">
        <v>10</v>
      </c>
      <c r="D156" s="24" t="s">
        <v>10</v>
      </c>
      <c r="E156" s="24" t="s">
        <v>10</v>
      </c>
      <c r="F156" s="24" t="s">
        <v>10</v>
      </c>
      <c r="G156" s="24" t="s">
        <v>10</v>
      </c>
    </row>
    <row r="157" spans="1:7" ht="29.1" customHeight="1" x14ac:dyDescent="0.2">
      <c r="A157" s="24" t="s">
        <v>10</v>
      </c>
      <c r="B157" s="213" t="s">
        <v>146</v>
      </c>
      <c r="C157" s="214"/>
      <c r="D157" s="4" t="s">
        <v>136</v>
      </c>
      <c r="E157" s="24" t="s">
        <v>10</v>
      </c>
      <c r="F157" s="24" t="s">
        <v>10</v>
      </c>
      <c r="G157" s="24" t="s">
        <v>10</v>
      </c>
    </row>
    <row r="158" spans="1:7" ht="29.1" customHeight="1" x14ac:dyDescent="0.2">
      <c r="A158" s="24" t="s">
        <v>10</v>
      </c>
      <c r="B158" s="213" t="s">
        <v>147</v>
      </c>
      <c r="C158" s="214"/>
      <c r="D158" s="4" t="s">
        <v>136</v>
      </c>
      <c r="E158" s="24" t="s">
        <v>10</v>
      </c>
      <c r="F158" s="24" t="s">
        <v>10</v>
      </c>
      <c r="G158" s="24" t="s">
        <v>10</v>
      </c>
    </row>
    <row r="159" spans="1:7" ht="17.100000000000001" customHeight="1" x14ac:dyDescent="0.2">
      <c r="A159" s="24" t="s">
        <v>10</v>
      </c>
      <c r="B159" s="213" t="s">
        <v>148</v>
      </c>
      <c r="C159" s="214"/>
      <c r="D159" s="30">
        <v>0.38663652483453259</v>
      </c>
      <c r="E159" s="24" t="s">
        <v>10</v>
      </c>
      <c r="F159" s="21" t="s">
        <v>10</v>
      </c>
      <c r="G159" s="27" t="s">
        <v>10</v>
      </c>
    </row>
    <row r="160" spans="1:7" ht="17.100000000000001" customHeight="1" x14ac:dyDescent="0.2">
      <c r="A160" s="24" t="s">
        <v>10</v>
      </c>
      <c r="B160" s="213" t="s">
        <v>149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</sheetData>
  <mergeCells count="15">
    <mergeCell ref="B159:C159"/>
    <mergeCell ref="B160:C160"/>
    <mergeCell ref="B142:C142"/>
    <mergeCell ref="B143:C143"/>
    <mergeCell ref="B144:C144"/>
    <mergeCell ref="B153:C153"/>
    <mergeCell ref="B157:C157"/>
    <mergeCell ref="B158:C158"/>
    <mergeCell ref="B155:F155"/>
    <mergeCell ref="B141:C141"/>
    <mergeCell ref="B138:F138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58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506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11998</v>
      </c>
      <c r="F7" s="8">
        <v>146.40559500000001</v>
      </c>
      <c r="G7" s="9">
        <v>3.7471681999999999E-2</v>
      </c>
      <c r="H7" s="167"/>
    </row>
    <row r="8" spans="1:8" ht="25.5" x14ac:dyDescent="0.2">
      <c r="A8" s="5">
        <v>2</v>
      </c>
      <c r="B8" s="6" t="s">
        <v>161</v>
      </c>
      <c r="C8" s="6" t="s">
        <v>162</v>
      </c>
      <c r="D8" s="6" t="s">
        <v>970</v>
      </c>
      <c r="E8" s="7">
        <v>74344</v>
      </c>
      <c r="F8" s="8">
        <v>135.49194</v>
      </c>
      <c r="G8" s="9">
        <v>3.4678393000000002E-2</v>
      </c>
      <c r="H8" s="167"/>
    </row>
    <row r="9" spans="1:8" x14ac:dyDescent="0.2">
      <c r="A9" s="5">
        <v>3</v>
      </c>
      <c r="B9" s="6" t="s">
        <v>151</v>
      </c>
      <c r="C9" s="6" t="s">
        <v>152</v>
      </c>
      <c r="D9" s="6" t="s">
        <v>153</v>
      </c>
      <c r="E9" s="7">
        <v>4128</v>
      </c>
      <c r="F9" s="8">
        <v>133.119744</v>
      </c>
      <c r="G9" s="9">
        <v>3.4071243000000001E-2</v>
      </c>
      <c r="H9" s="167"/>
    </row>
    <row r="10" spans="1:8" x14ac:dyDescent="0.2">
      <c r="A10" s="5">
        <v>4</v>
      </c>
      <c r="B10" s="6" t="s">
        <v>163</v>
      </c>
      <c r="C10" s="6" t="s">
        <v>164</v>
      </c>
      <c r="D10" s="6" t="s">
        <v>167</v>
      </c>
      <c r="E10" s="7">
        <v>12636</v>
      </c>
      <c r="F10" s="8">
        <v>109.62361799999999</v>
      </c>
      <c r="G10" s="9">
        <v>2.8057543000000001E-2</v>
      </c>
      <c r="H10" s="167"/>
    </row>
    <row r="11" spans="1:8" x14ac:dyDescent="0.2">
      <c r="A11" s="5">
        <v>5</v>
      </c>
      <c r="B11" s="6" t="s">
        <v>467</v>
      </c>
      <c r="C11" s="6" t="s">
        <v>468</v>
      </c>
      <c r="D11" s="6" t="s">
        <v>192</v>
      </c>
      <c r="E11" s="7">
        <v>27663</v>
      </c>
      <c r="F11" s="8">
        <v>108.936894</v>
      </c>
      <c r="G11" s="9">
        <v>2.7881779999999998E-2</v>
      </c>
      <c r="H11" s="167"/>
    </row>
    <row r="12" spans="1:8" x14ac:dyDescent="0.2">
      <c r="A12" s="5">
        <v>6</v>
      </c>
      <c r="B12" s="6" t="s">
        <v>159</v>
      </c>
      <c r="C12" s="6" t="s">
        <v>160</v>
      </c>
      <c r="D12" s="6" t="s">
        <v>29</v>
      </c>
      <c r="E12" s="7">
        <v>16510</v>
      </c>
      <c r="F12" s="8">
        <v>101.75113</v>
      </c>
      <c r="G12" s="9">
        <v>2.6042625E-2</v>
      </c>
      <c r="H12" s="167"/>
    </row>
    <row r="13" spans="1:8" ht="25.5" x14ac:dyDescent="0.2">
      <c r="A13" s="5">
        <v>7</v>
      </c>
      <c r="B13" s="6" t="s">
        <v>33</v>
      </c>
      <c r="C13" s="6" t="s">
        <v>34</v>
      </c>
      <c r="D13" s="6" t="s">
        <v>970</v>
      </c>
      <c r="E13" s="7">
        <v>3446</v>
      </c>
      <c r="F13" s="8">
        <v>98.192047000000002</v>
      </c>
      <c r="G13" s="9">
        <v>2.5131697000000001E-2</v>
      </c>
      <c r="H13" s="167"/>
    </row>
    <row r="14" spans="1:8" x14ac:dyDescent="0.2">
      <c r="A14" s="5">
        <v>8</v>
      </c>
      <c r="B14" s="6" t="s">
        <v>168</v>
      </c>
      <c r="C14" s="6" t="s">
        <v>169</v>
      </c>
      <c r="D14" s="6" t="s">
        <v>75</v>
      </c>
      <c r="E14" s="7">
        <v>24349</v>
      </c>
      <c r="F14" s="8">
        <v>96.884670999999997</v>
      </c>
      <c r="G14" s="9">
        <v>2.4797082000000002E-2</v>
      </c>
      <c r="H14" s="167"/>
    </row>
    <row r="15" spans="1:8" x14ac:dyDescent="0.2">
      <c r="A15" s="5">
        <v>9</v>
      </c>
      <c r="B15" s="6" t="s">
        <v>165</v>
      </c>
      <c r="C15" s="6" t="s">
        <v>166</v>
      </c>
      <c r="D15" s="6" t="s">
        <v>167</v>
      </c>
      <c r="E15" s="7">
        <v>39323</v>
      </c>
      <c r="F15" s="8">
        <v>95.672859000000003</v>
      </c>
      <c r="G15" s="9">
        <v>2.4486925999999999E-2</v>
      </c>
      <c r="H15" s="167"/>
    </row>
    <row r="16" spans="1:8" ht="25.5" x14ac:dyDescent="0.2">
      <c r="A16" s="5">
        <v>10</v>
      </c>
      <c r="B16" s="6" t="s">
        <v>449</v>
      </c>
      <c r="C16" s="6" t="s">
        <v>450</v>
      </c>
      <c r="D16" s="6" t="s">
        <v>37</v>
      </c>
      <c r="E16" s="7">
        <v>7864</v>
      </c>
      <c r="F16" s="8">
        <v>95.307748000000004</v>
      </c>
      <c r="G16" s="9">
        <v>2.4393477E-2</v>
      </c>
      <c r="H16" s="167"/>
    </row>
    <row r="17" spans="1:8" x14ac:dyDescent="0.2">
      <c r="A17" s="5">
        <v>11</v>
      </c>
      <c r="B17" s="6" t="s">
        <v>156</v>
      </c>
      <c r="C17" s="6" t="s">
        <v>157</v>
      </c>
      <c r="D17" s="6" t="s">
        <v>158</v>
      </c>
      <c r="E17" s="7">
        <v>98908</v>
      </c>
      <c r="F17" s="8">
        <v>90.945905999999994</v>
      </c>
      <c r="G17" s="9">
        <v>2.3277089000000001E-2</v>
      </c>
      <c r="H17" s="167"/>
    </row>
    <row r="18" spans="1:8" x14ac:dyDescent="0.2">
      <c r="A18" s="5">
        <v>12</v>
      </c>
      <c r="B18" s="6" t="s">
        <v>190</v>
      </c>
      <c r="C18" s="6" t="s">
        <v>191</v>
      </c>
      <c r="D18" s="6" t="s">
        <v>192</v>
      </c>
      <c r="E18" s="7">
        <v>21423</v>
      </c>
      <c r="F18" s="8">
        <v>84.213813000000002</v>
      </c>
      <c r="G18" s="9">
        <v>2.1554047999999999E-2</v>
      </c>
      <c r="H18" s="167"/>
    </row>
    <row r="19" spans="1:8" x14ac:dyDescent="0.2">
      <c r="A19" s="5">
        <v>13</v>
      </c>
      <c r="B19" s="6" t="s">
        <v>179</v>
      </c>
      <c r="C19" s="6" t="s">
        <v>180</v>
      </c>
      <c r="D19" s="6" t="s">
        <v>972</v>
      </c>
      <c r="E19" s="7">
        <v>11047</v>
      </c>
      <c r="F19" s="8">
        <v>83.636837</v>
      </c>
      <c r="G19" s="9">
        <v>2.1406373999999999E-2</v>
      </c>
      <c r="H19" s="167"/>
    </row>
    <row r="20" spans="1:8" x14ac:dyDescent="0.2">
      <c r="A20" s="5">
        <v>14</v>
      </c>
      <c r="B20" s="6" t="s">
        <v>181</v>
      </c>
      <c r="C20" s="6" t="s">
        <v>182</v>
      </c>
      <c r="D20" s="6" t="s">
        <v>29</v>
      </c>
      <c r="E20" s="7">
        <v>17288</v>
      </c>
      <c r="F20" s="8">
        <v>82.584776000000005</v>
      </c>
      <c r="G20" s="9">
        <v>2.1137105E-2</v>
      </c>
      <c r="H20" s="167"/>
    </row>
    <row r="21" spans="1:8" x14ac:dyDescent="0.2">
      <c r="A21" s="5">
        <v>15</v>
      </c>
      <c r="B21" s="6" t="s">
        <v>193</v>
      </c>
      <c r="C21" s="6" t="s">
        <v>194</v>
      </c>
      <c r="D21" s="6" t="s">
        <v>178</v>
      </c>
      <c r="E21" s="7">
        <v>42955</v>
      </c>
      <c r="F21" s="8">
        <v>78.521739999999994</v>
      </c>
      <c r="G21" s="9">
        <v>2.0097193999999999E-2</v>
      </c>
      <c r="H21" s="167"/>
    </row>
    <row r="22" spans="1:8" x14ac:dyDescent="0.2">
      <c r="A22" s="5">
        <v>16</v>
      </c>
      <c r="B22" s="6" t="s">
        <v>174</v>
      </c>
      <c r="C22" s="6" t="s">
        <v>175</v>
      </c>
      <c r="D22" s="6" t="s">
        <v>50</v>
      </c>
      <c r="E22" s="7">
        <v>18293</v>
      </c>
      <c r="F22" s="8">
        <v>77.5165875</v>
      </c>
      <c r="G22" s="9">
        <v>1.9839931000000002E-2</v>
      </c>
      <c r="H22" s="167"/>
    </row>
    <row r="23" spans="1:8" ht="25.5" x14ac:dyDescent="0.2">
      <c r="A23" s="5">
        <v>17</v>
      </c>
      <c r="B23" s="6" t="s">
        <v>172</v>
      </c>
      <c r="C23" s="6" t="s">
        <v>173</v>
      </c>
      <c r="D23" s="6" t="s">
        <v>970</v>
      </c>
      <c r="E23" s="7">
        <v>29729</v>
      </c>
      <c r="F23" s="8">
        <v>74.738705999999993</v>
      </c>
      <c r="G23" s="9">
        <v>1.9128948E-2</v>
      </c>
      <c r="H23" s="167"/>
    </row>
    <row r="24" spans="1:8" x14ac:dyDescent="0.2">
      <c r="A24" s="5">
        <v>18</v>
      </c>
      <c r="B24" s="6" t="s">
        <v>224</v>
      </c>
      <c r="C24" s="6" t="s">
        <v>225</v>
      </c>
      <c r="D24" s="6" t="s">
        <v>185</v>
      </c>
      <c r="E24" s="7">
        <v>17373</v>
      </c>
      <c r="F24" s="8">
        <v>71.741803500000003</v>
      </c>
      <c r="G24" s="9">
        <v>1.8361908E-2</v>
      </c>
      <c r="H24" s="167"/>
    </row>
    <row r="25" spans="1:8" ht="25.5" x14ac:dyDescent="0.2">
      <c r="A25" s="5">
        <v>19</v>
      </c>
      <c r="B25" s="6" t="s">
        <v>63</v>
      </c>
      <c r="C25" s="6" t="s">
        <v>64</v>
      </c>
      <c r="D25" s="6" t="s">
        <v>37</v>
      </c>
      <c r="E25" s="7">
        <v>12508</v>
      </c>
      <c r="F25" s="8">
        <v>70.776517999999996</v>
      </c>
      <c r="G25" s="9">
        <v>1.8114847999999999E-2</v>
      </c>
      <c r="H25" s="167"/>
    </row>
    <row r="26" spans="1:8" x14ac:dyDescent="0.2">
      <c r="A26" s="5">
        <v>20</v>
      </c>
      <c r="B26" s="6" t="s">
        <v>245</v>
      </c>
      <c r="C26" s="6" t="s">
        <v>246</v>
      </c>
      <c r="D26" s="6" t="s">
        <v>247</v>
      </c>
      <c r="E26" s="7">
        <v>40589</v>
      </c>
      <c r="F26" s="8">
        <v>66.565960000000004</v>
      </c>
      <c r="G26" s="9">
        <v>1.7037179999999999E-2</v>
      </c>
      <c r="H26" s="167"/>
    </row>
    <row r="27" spans="1:8" ht="25.5" x14ac:dyDescent="0.2">
      <c r="A27" s="5">
        <v>21</v>
      </c>
      <c r="B27" s="6" t="s">
        <v>228</v>
      </c>
      <c r="C27" s="6" t="s">
        <v>229</v>
      </c>
      <c r="D27" s="6" t="s">
        <v>78</v>
      </c>
      <c r="E27" s="7">
        <v>19076</v>
      </c>
      <c r="F27" s="8">
        <v>64.791634000000002</v>
      </c>
      <c r="G27" s="9">
        <v>1.6583051000000001E-2</v>
      </c>
      <c r="H27" s="167"/>
    </row>
    <row r="28" spans="1:8" x14ac:dyDescent="0.2">
      <c r="A28" s="5">
        <v>22</v>
      </c>
      <c r="B28" s="6" t="s">
        <v>198</v>
      </c>
      <c r="C28" s="6" t="s">
        <v>199</v>
      </c>
      <c r="D28" s="6" t="s">
        <v>167</v>
      </c>
      <c r="E28" s="7">
        <v>7691</v>
      </c>
      <c r="F28" s="8">
        <v>63.362303500000003</v>
      </c>
      <c r="G28" s="9">
        <v>1.6217222E-2</v>
      </c>
      <c r="H28" s="167"/>
    </row>
    <row r="29" spans="1:8" x14ac:dyDescent="0.2">
      <c r="A29" s="5">
        <v>23</v>
      </c>
      <c r="B29" s="6" t="s">
        <v>46</v>
      </c>
      <c r="C29" s="6" t="s">
        <v>47</v>
      </c>
      <c r="D29" s="6" t="s">
        <v>29</v>
      </c>
      <c r="E29" s="7">
        <v>6141</v>
      </c>
      <c r="F29" s="8">
        <v>59.976076499999998</v>
      </c>
      <c r="G29" s="9">
        <v>1.5350536999999999E-2</v>
      </c>
      <c r="H29" s="167"/>
    </row>
    <row r="30" spans="1:8" x14ac:dyDescent="0.2">
      <c r="A30" s="5">
        <v>24</v>
      </c>
      <c r="B30" s="6" t="s">
        <v>176</v>
      </c>
      <c r="C30" s="6" t="s">
        <v>177</v>
      </c>
      <c r="D30" s="6" t="s">
        <v>178</v>
      </c>
      <c r="E30" s="7">
        <v>5530</v>
      </c>
      <c r="F30" s="8">
        <v>58.847495000000002</v>
      </c>
      <c r="G30" s="9">
        <v>1.5061682999999999E-2</v>
      </c>
      <c r="H30" s="167"/>
    </row>
    <row r="31" spans="1:8" x14ac:dyDescent="0.2">
      <c r="A31" s="5">
        <v>25</v>
      </c>
      <c r="B31" s="6" t="s">
        <v>73</v>
      </c>
      <c r="C31" s="6" t="s">
        <v>74</v>
      </c>
      <c r="D31" s="6" t="s">
        <v>75</v>
      </c>
      <c r="E31" s="7">
        <v>2133</v>
      </c>
      <c r="F31" s="8">
        <v>58.182907499999999</v>
      </c>
      <c r="G31" s="9">
        <v>1.4891585000000001E-2</v>
      </c>
      <c r="H31" s="167"/>
    </row>
    <row r="32" spans="1:8" x14ac:dyDescent="0.2">
      <c r="A32" s="5">
        <v>26</v>
      </c>
      <c r="B32" s="6" t="s">
        <v>58</v>
      </c>
      <c r="C32" s="6" t="s">
        <v>59</v>
      </c>
      <c r="D32" s="6" t="s">
        <v>974</v>
      </c>
      <c r="E32" s="7">
        <v>44851</v>
      </c>
      <c r="F32" s="8">
        <v>57.723236999999997</v>
      </c>
      <c r="G32" s="9">
        <v>1.4773935E-2</v>
      </c>
      <c r="H32" s="167"/>
    </row>
    <row r="33" spans="1:8" ht="25.5" x14ac:dyDescent="0.2">
      <c r="A33" s="5">
        <v>27</v>
      </c>
      <c r="B33" s="6" t="s">
        <v>204</v>
      </c>
      <c r="C33" s="6" t="s">
        <v>205</v>
      </c>
      <c r="D33" s="6" t="s">
        <v>37</v>
      </c>
      <c r="E33" s="7">
        <v>67085</v>
      </c>
      <c r="F33" s="8">
        <v>57.424759999999999</v>
      </c>
      <c r="G33" s="9">
        <v>1.4697541999999999E-2</v>
      </c>
      <c r="H33" s="167"/>
    </row>
    <row r="34" spans="1:8" x14ac:dyDescent="0.2">
      <c r="A34" s="5">
        <v>28</v>
      </c>
      <c r="B34" s="6" t="s">
        <v>214</v>
      </c>
      <c r="C34" s="6" t="s">
        <v>215</v>
      </c>
      <c r="D34" s="6" t="s">
        <v>976</v>
      </c>
      <c r="E34" s="7">
        <v>18095</v>
      </c>
      <c r="F34" s="8">
        <v>56.212117499999998</v>
      </c>
      <c r="G34" s="9">
        <v>1.4387173E-2</v>
      </c>
      <c r="H34" s="167"/>
    </row>
    <row r="35" spans="1:8" x14ac:dyDescent="0.2">
      <c r="A35" s="5">
        <v>29</v>
      </c>
      <c r="B35" s="6" t="s">
        <v>461</v>
      </c>
      <c r="C35" s="6" t="s">
        <v>462</v>
      </c>
      <c r="D35" s="6" t="s">
        <v>972</v>
      </c>
      <c r="E35" s="7">
        <v>73686</v>
      </c>
      <c r="F35" s="8">
        <v>55.669772999999999</v>
      </c>
      <c r="G35" s="9">
        <v>1.4248363E-2</v>
      </c>
      <c r="H35" s="167"/>
    </row>
    <row r="36" spans="1:8" x14ac:dyDescent="0.2">
      <c r="A36" s="5">
        <v>30</v>
      </c>
      <c r="B36" s="6" t="s">
        <v>230</v>
      </c>
      <c r="C36" s="6" t="s">
        <v>231</v>
      </c>
      <c r="D36" s="6" t="s">
        <v>75</v>
      </c>
      <c r="E36" s="7">
        <v>8930</v>
      </c>
      <c r="F36" s="8">
        <v>53.901479999999999</v>
      </c>
      <c r="G36" s="9">
        <v>1.3795778E-2</v>
      </c>
      <c r="H36" s="167"/>
    </row>
    <row r="37" spans="1:8" x14ac:dyDescent="0.2">
      <c r="A37" s="5">
        <v>31</v>
      </c>
      <c r="B37" s="6" t="s">
        <v>202</v>
      </c>
      <c r="C37" s="6" t="s">
        <v>203</v>
      </c>
      <c r="D37" s="6" t="s">
        <v>57</v>
      </c>
      <c r="E37" s="7">
        <v>4937</v>
      </c>
      <c r="F37" s="8">
        <v>53.171489999999999</v>
      </c>
      <c r="G37" s="9">
        <v>1.3608940999999999E-2</v>
      </c>
      <c r="H37" s="167"/>
    </row>
    <row r="38" spans="1:8" x14ac:dyDescent="0.2">
      <c r="A38" s="5">
        <v>32</v>
      </c>
      <c r="B38" s="6" t="s">
        <v>206</v>
      </c>
      <c r="C38" s="6" t="s">
        <v>207</v>
      </c>
      <c r="D38" s="6" t="s">
        <v>32</v>
      </c>
      <c r="E38" s="7">
        <v>55673</v>
      </c>
      <c r="F38" s="8">
        <v>52.332619999999999</v>
      </c>
      <c r="G38" s="9">
        <v>1.3394237E-2</v>
      </c>
      <c r="H38" s="167"/>
    </row>
    <row r="39" spans="1:8" x14ac:dyDescent="0.2">
      <c r="A39" s="5">
        <v>33</v>
      </c>
      <c r="B39" s="6" t="s">
        <v>30</v>
      </c>
      <c r="C39" s="6" t="s">
        <v>31</v>
      </c>
      <c r="D39" s="6" t="s">
        <v>32</v>
      </c>
      <c r="E39" s="7">
        <v>19628</v>
      </c>
      <c r="F39" s="8">
        <v>50.826706000000001</v>
      </c>
      <c r="G39" s="9">
        <v>1.3008807000000001E-2</v>
      </c>
      <c r="H39" s="167"/>
    </row>
    <row r="40" spans="1:8" x14ac:dyDescent="0.2">
      <c r="A40" s="5">
        <v>34</v>
      </c>
      <c r="B40" s="6" t="s">
        <v>210</v>
      </c>
      <c r="C40" s="6" t="s">
        <v>211</v>
      </c>
      <c r="D40" s="6" t="s">
        <v>29</v>
      </c>
      <c r="E40" s="7">
        <v>3769</v>
      </c>
      <c r="F40" s="8">
        <v>50.766545499999999</v>
      </c>
      <c r="G40" s="9">
        <v>1.2993408999999999E-2</v>
      </c>
      <c r="H40" s="167"/>
    </row>
    <row r="41" spans="1:8" x14ac:dyDescent="0.2">
      <c r="A41" s="5">
        <v>35</v>
      </c>
      <c r="B41" s="6" t="s">
        <v>212</v>
      </c>
      <c r="C41" s="6" t="s">
        <v>213</v>
      </c>
      <c r="D41" s="6" t="s">
        <v>158</v>
      </c>
      <c r="E41" s="7">
        <v>8874</v>
      </c>
      <c r="F41" s="8">
        <v>50.479748999999998</v>
      </c>
      <c r="G41" s="9">
        <v>1.2920005E-2</v>
      </c>
      <c r="H41" s="167"/>
    </row>
    <row r="42" spans="1:8" ht="25.5" x14ac:dyDescent="0.2">
      <c r="A42" s="5">
        <v>36</v>
      </c>
      <c r="B42" s="6" t="s">
        <v>200</v>
      </c>
      <c r="C42" s="6" t="s">
        <v>201</v>
      </c>
      <c r="D42" s="6" t="s">
        <v>75</v>
      </c>
      <c r="E42" s="7">
        <v>2210</v>
      </c>
      <c r="F42" s="8">
        <v>49.813400000000001</v>
      </c>
      <c r="G42" s="9">
        <v>1.2749457E-2</v>
      </c>
      <c r="H42" s="167"/>
    </row>
    <row r="43" spans="1:8" x14ac:dyDescent="0.2">
      <c r="A43" s="5">
        <v>37</v>
      </c>
      <c r="B43" s="6" t="s">
        <v>222</v>
      </c>
      <c r="C43" s="6" t="s">
        <v>223</v>
      </c>
      <c r="D43" s="6" t="s">
        <v>971</v>
      </c>
      <c r="E43" s="7">
        <v>14732</v>
      </c>
      <c r="F43" s="8">
        <v>48.320959999999999</v>
      </c>
      <c r="G43" s="9">
        <v>1.2367476000000001E-2</v>
      </c>
      <c r="H43" s="167"/>
    </row>
    <row r="44" spans="1:8" x14ac:dyDescent="0.2">
      <c r="A44" s="5">
        <v>38</v>
      </c>
      <c r="B44" s="6" t="s">
        <v>264</v>
      </c>
      <c r="C44" s="6" t="s">
        <v>265</v>
      </c>
      <c r="D44" s="6" t="s">
        <v>971</v>
      </c>
      <c r="E44" s="7">
        <v>33289</v>
      </c>
      <c r="F44" s="8">
        <v>45.4228405</v>
      </c>
      <c r="G44" s="9">
        <v>1.1625718E-2</v>
      </c>
      <c r="H44" s="167"/>
    </row>
    <row r="45" spans="1:8" x14ac:dyDescent="0.2">
      <c r="A45" s="5">
        <v>39</v>
      </c>
      <c r="B45" s="6" t="s">
        <v>186</v>
      </c>
      <c r="C45" s="6" t="s">
        <v>187</v>
      </c>
      <c r="D45" s="6" t="s">
        <v>57</v>
      </c>
      <c r="E45" s="7">
        <v>19005</v>
      </c>
      <c r="F45" s="8">
        <v>45.269910000000003</v>
      </c>
      <c r="G45" s="9">
        <v>1.1586577000000001E-2</v>
      </c>
      <c r="H45" s="167"/>
    </row>
    <row r="46" spans="1:8" x14ac:dyDescent="0.2">
      <c r="A46" s="5">
        <v>40</v>
      </c>
      <c r="B46" s="6" t="s">
        <v>254</v>
      </c>
      <c r="C46" s="6" t="s">
        <v>255</v>
      </c>
      <c r="D46" s="6" t="s">
        <v>971</v>
      </c>
      <c r="E46" s="7">
        <v>9270</v>
      </c>
      <c r="F46" s="8">
        <v>44.690669999999997</v>
      </c>
      <c r="G46" s="9">
        <v>1.1438323E-2</v>
      </c>
      <c r="H46" s="167"/>
    </row>
    <row r="47" spans="1:8" x14ac:dyDescent="0.2">
      <c r="A47" s="5">
        <v>41</v>
      </c>
      <c r="B47" s="6" t="s">
        <v>208</v>
      </c>
      <c r="C47" s="6" t="s">
        <v>209</v>
      </c>
      <c r="D47" s="6" t="s">
        <v>971</v>
      </c>
      <c r="E47" s="7">
        <v>17063</v>
      </c>
      <c r="F47" s="8">
        <v>44.440583500000002</v>
      </c>
      <c r="G47" s="9">
        <v>1.1374314999999999E-2</v>
      </c>
      <c r="H47" s="167"/>
    </row>
    <row r="48" spans="1:8" x14ac:dyDescent="0.2">
      <c r="A48" s="5">
        <v>42</v>
      </c>
      <c r="B48" s="6" t="s">
        <v>258</v>
      </c>
      <c r="C48" s="6" t="s">
        <v>259</v>
      </c>
      <c r="D48" s="6" t="s">
        <v>23</v>
      </c>
      <c r="E48" s="7">
        <v>41278</v>
      </c>
      <c r="F48" s="8">
        <v>43.321261</v>
      </c>
      <c r="G48" s="9">
        <v>1.1087830999999999E-2</v>
      </c>
      <c r="H48" s="167"/>
    </row>
    <row r="49" spans="1:8" x14ac:dyDescent="0.2">
      <c r="A49" s="5">
        <v>43</v>
      </c>
      <c r="B49" s="6" t="s">
        <v>234</v>
      </c>
      <c r="C49" s="6" t="s">
        <v>235</v>
      </c>
      <c r="D49" s="6" t="s">
        <v>29</v>
      </c>
      <c r="E49" s="7">
        <v>35829</v>
      </c>
      <c r="F49" s="8">
        <v>41.812443000000002</v>
      </c>
      <c r="G49" s="9">
        <v>1.0701657999999999E-2</v>
      </c>
      <c r="H49" s="167"/>
    </row>
    <row r="50" spans="1:8" x14ac:dyDescent="0.2">
      <c r="A50" s="5">
        <v>44</v>
      </c>
      <c r="B50" s="6" t="s">
        <v>252</v>
      </c>
      <c r="C50" s="6" t="s">
        <v>253</v>
      </c>
      <c r="D50" s="6" t="s">
        <v>158</v>
      </c>
      <c r="E50" s="7">
        <v>7612</v>
      </c>
      <c r="F50" s="8">
        <v>41.744208</v>
      </c>
      <c r="G50" s="9">
        <v>1.0684193E-2</v>
      </c>
      <c r="H50" s="167"/>
    </row>
    <row r="51" spans="1:8" x14ac:dyDescent="0.2">
      <c r="A51" s="5">
        <v>45</v>
      </c>
      <c r="B51" s="6" t="s">
        <v>260</v>
      </c>
      <c r="C51" s="6" t="s">
        <v>926</v>
      </c>
      <c r="D51" s="6" t="s">
        <v>261</v>
      </c>
      <c r="E51" s="7">
        <v>17355</v>
      </c>
      <c r="F51" s="8">
        <v>41.3656425</v>
      </c>
      <c r="G51" s="9">
        <v>1.0587302E-2</v>
      </c>
      <c r="H51" s="167"/>
    </row>
    <row r="52" spans="1:8" x14ac:dyDescent="0.2">
      <c r="A52" s="5">
        <v>46</v>
      </c>
      <c r="B52" s="6" t="s">
        <v>262</v>
      </c>
      <c r="C52" s="6" t="s">
        <v>263</v>
      </c>
      <c r="D52" s="6" t="s">
        <v>185</v>
      </c>
      <c r="E52" s="7">
        <v>7210</v>
      </c>
      <c r="F52" s="8">
        <v>40.999665</v>
      </c>
      <c r="G52" s="9">
        <v>1.0493631999999999E-2</v>
      </c>
      <c r="H52" s="167"/>
    </row>
    <row r="53" spans="1:8" x14ac:dyDescent="0.2">
      <c r="A53" s="5">
        <v>47</v>
      </c>
      <c r="B53" s="6" t="s">
        <v>238</v>
      </c>
      <c r="C53" s="6" t="s">
        <v>239</v>
      </c>
      <c r="D53" s="6" t="s">
        <v>240</v>
      </c>
      <c r="E53" s="7">
        <v>4967</v>
      </c>
      <c r="F53" s="8">
        <v>40.486016999999997</v>
      </c>
      <c r="G53" s="9">
        <v>1.0362166000000001E-2</v>
      </c>
      <c r="H53" s="167"/>
    </row>
    <row r="54" spans="1:8" ht="25.5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10734</v>
      </c>
      <c r="F54" s="8">
        <v>40.343738999999999</v>
      </c>
      <c r="G54" s="9">
        <v>1.0325750999999999E-2</v>
      </c>
      <c r="H54" s="167"/>
    </row>
    <row r="55" spans="1:8" ht="25.5" x14ac:dyDescent="0.2">
      <c r="A55" s="5">
        <v>49</v>
      </c>
      <c r="B55" s="6" t="s">
        <v>256</v>
      </c>
      <c r="C55" s="6" t="s">
        <v>257</v>
      </c>
      <c r="D55" s="6" t="s">
        <v>975</v>
      </c>
      <c r="E55" s="7">
        <v>47409</v>
      </c>
      <c r="F55" s="8">
        <v>40.226536500000002</v>
      </c>
      <c r="G55" s="9">
        <v>1.0295754000000001E-2</v>
      </c>
      <c r="H55" s="167"/>
    </row>
    <row r="56" spans="1:8" ht="25.5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11256</v>
      </c>
      <c r="F56" s="8">
        <v>39.902520000000003</v>
      </c>
      <c r="G56" s="9">
        <v>1.0212824000000001E-2</v>
      </c>
      <c r="H56" s="167"/>
    </row>
    <row r="57" spans="1:8" x14ac:dyDescent="0.2">
      <c r="A57" s="5">
        <v>51</v>
      </c>
      <c r="B57" s="6" t="s">
        <v>286</v>
      </c>
      <c r="C57" s="6" t="s">
        <v>287</v>
      </c>
      <c r="D57" s="6" t="s">
        <v>29</v>
      </c>
      <c r="E57" s="7">
        <v>3789</v>
      </c>
      <c r="F57" s="8">
        <v>38.4412995</v>
      </c>
      <c r="G57" s="9">
        <v>9.838833E-3</v>
      </c>
      <c r="H57" s="167"/>
    </row>
    <row r="58" spans="1:8" x14ac:dyDescent="0.2">
      <c r="A58" s="5">
        <v>52</v>
      </c>
      <c r="B58" s="6" t="s">
        <v>195</v>
      </c>
      <c r="C58" s="6" t="s">
        <v>196</v>
      </c>
      <c r="D58" s="6" t="s">
        <v>197</v>
      </c>
      <c r="E58" s="7">
        <v>5085</v>
      </c>
      <c r="F58" s="8">
        <v>38.414632500000003</v>
      </c>
      <c r="G58" s="9">
        <v>9.8320070000000002E-3</v>
      </c>
      <c r="H58" s="167"/>
    </row>
    <row r="59" spans="1:8" x14ac:dyDescent="0.2">
      <c r="A59" s="5">
        <v>53</v>
      </c>
      <c r="B59" s="6" t="s">
        <v>95</v>
      </c>
      <c r="C59" s="6" t="s">
        <v>96</v>
      </c>
      <c r="D59" s="6" t="s">
        <v>75</v>
      </c>
      <c r="E59" s="7">
        <v>14720</v>
      </c>
      <c r="F59" s="8">
        <v>37.690559999999998</v>
      </c>
      <c r="G59" s="9">
        <v>9.6466850000000003E-3</v>
      </c>
      <c r="H59" s="167"/>
    </row>
    <row r="60" spans="1:8" x14ac:dyDescent="0.2">
      <c r="A60" s="5">
        <v>54</v>
      </c>
      <c r="B60" s="6" t="s">
        <v>266</v>
      </c>
      <c r="C60" s="6" t="s">
        <v>267</v>
      </c>
      <c r="D60" s="6" t="s">
        <v>75</v>
      </c>
      <c r="E60" s="7">
        <v>19014</v>
      </c>
      <c r="F60" s="8">
        <v>37.257933000000001</v>
      </c>
      <c r="G60" s="9">
        <v>9.5359569999999994E-3</v>
      </c>
      <c r="H60" s="167"/>
    </row>
    <row r="61" spans="1:8" x14ac:dyDescent="0.2">
      <c r="A61" s="5">
        <v>55</v>
      </c>
      <c r="B61" s="6" t="s">
        <v>53</v>
      </c>
      <c r="C61" s="6" t="s">
        <v>54</v>
      </c>
      <c r="D61" s="6" t="s">
        <v>32</v>
      </c>
      <c r="E61" s="7">
        <v>17008</v>
      </c>
      <c r="F61" s="8">
        <v>35.929400000000001</v>
      </c>
      <c r="G61" s="9">
        <v>9.1959260000000001E-3</v>
      </c>
      <c r="H61" s="167"/>
    </row>
    <row r="62" spans="1:8" x14ac:dyDescent="0.2">
      <c r="A62" s="5">
        <v>56</v>
      </c>
      <c r="B62" s="6" t="s">
        <v>236</v>
      </c>
      <c r="C62" s="6" t="s">
        <v>237</v>
      </c>
      <c r="D62" s="6" t="s">
        <v>974</v>
      </c>
      <c r="E62" s="7">
        <v>3550</v>
      </c>
      <c r="F62" s="8">
        <v>34.981699999999996</v>
      </c>
      <c r="G62" s="9">
        <v>8.9533679999999997E-3</v>
      </c>
      <c r="H62" s="167"/>
    </row>
    <row r="63" spans="1:8" x14ac:dyDescent="0.2">
      <c r="A63" s="5">
        <v>57</v>
      </c>
      <c r="B63" s="6" t="s">
        <v>232</v>
      </c>
      <c r="C63" s="6" t="s">
        <v>233</v>
      </c>
      <c r="D63" s="6" t="s">
        <v>185</v>
      </c>
      <c r="E63" s="7">
        <v>9613</v>
      </c>
      <c r="F63" s="8">
        <v>34.549121999999997</v>
      </c>
      <c r="G63" s="9">
        <v>8.8426519999999995E-3</v>
      </c>
      <c r="H63" s="167"/>
    </row>
    <row r="64" spans="1:8" x14ac:dyDescent="0.2">
      <c r="A64" s="5">
        <v>58</v>
      </c>
      <c r="B64" s="6" t="s">
        <v>274</v>
      </c>
      <c r="C64" s="6" t="s">
        <v>275</v>
      </c>
      <c r="D64" s="6" t="s">
        <v>153</v>
      </c>
      <c r="E64" s="7">
        <v>1858</v>
      </c>
      <c r="F64" s="8">
        <v>28.500791</v>
      </c>
      <c r="G64" s="9">
        <v>7.2946160000000003E-3</v>
      </c>
      <c r="H64" s="167"/>
    </row>
    <row r="65" spans="1:8" x14ac:dyDescent="0.2">
      <c r="A65" s="5">
        <v>59</v>
      </c>
      <c r="B65" s="6" t="s">
        <v>220</v>
      </c>
      <c r="C65" s="6" t="s">
        <v>221</v>
      </c>
      <c r="D65" s="6" t="s">
        <v>158</v>
      </c>
      <c r="E65" s="7">
        <v>47615</v>
      </c>
      <c r="F65" s="8">
        <v>27.116742500000001</v>
      </c>
      <c r="G65" s="9">
        <v>6.9403759999999998E-3</v>
      </c>
      <c r="H65" s="167"/>
    </row>
    <row r="66" spans="1:8" x14ac:dyDescent="0.2">
      <c r="A66" s="5">
        <v>60</v>
      </c>
      <c r="B66" s="6" t="s">
        <v>282</v>
      </c>
      <c r="C66" s="6" t="s">
        <v>283</v>
      </c>
      <c r="D66" s="6" t="s">
        <v>284</v>
      </c>
      <c r="E66" s="7">
        <v>14179</v>
      </c>
      <c r="F66" s="8">
        <v>20.559550000000002</v>
      </c>
      <c r="G66" s="9">
        <v>5.2620999999999996E-3</v>
      </c>
      <c r="H66" s="167"/>
    </row>
    <row r="67" spans="1:8" x14ac:dyDescent="0.2">
      <c r="A67" s="5">
        <v>61</v>
      </c>
      <c r="B67" s="6" t="s">
        <v>276</v>
      </c>
      <c r="C67" s="6" t="s">
        <v>277</v>
      </c>
      <c r="D67" s="6" t="s">
        <v>167</v>
      </c>
      <c r="E67" s="7">
        <v>3644</v>
      </c>
      <c r="F67" s="8">
        <v>20.200513999999998</v>
      </c>
      <c r="G67" s="9">
        <v>5.1702069999999996E-3</v>
      </c>
      <c r="H67" s="167"/>
    </row>
    <row r="68" spans="1:8" x14ac:dyDescent="0.2">
      <c r="A68" s="5">
        <v>62</v>
      </c>
      <c r="B68" s="6" t="s">
        <v>280</v>
      </c>
      <c r="C68" s="6" t="s">
        <v>281</v>
      </c>
      <c r="D68" s="6" t="s">
        <v>971</v>
      </c>
      <c r="E68" s="7">
        <v>47104</v>
      </c>
      <c r="F68" s="8">
        <v>19.689471999999999</v>
      </c>
      <c r="G68" s="9">
        <v>5.0394089999999999E-3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0">
        <v>3767.7899000000002</v>
      </c>
      <c r="G69" s="11">
        <v>0.96434445400000002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105</v>
      </c>
      <c r="D71" s="3" t="s">
        <v>10</v>
      </c>
      <c r="E71" s="3" t="s">
        <v>10</v>
      </c>
      <c r="F71" s="3" t="s">
        <v>10</v>
      </c>
      <c r="G71" s="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106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110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111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112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113</v>
      </c>
      <c r="D86" s="3" t="s">
        <v>10</v>
      </c>
      <c r="E86" s="3" t="s">
        <v>10</v>
      </c>
      <c r="F86" s="10">
        <v>3767.7899000000002</v>
      </c>
      <c r="G86" s="11">
        <v>0.96434445400000002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114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ht="25.5" x14ac:dyDescent="0.2">
      <c r="A89" s="3" t="s">
        <v>10</v>
      </c>
      <c r="B89" s="3" t="s">
        <v>10</v>
      </c>
      <c r="C89" s="4" t="s">
        <v>12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115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116</v>
      </c>
      <c r="D95" s="3" t="s">
        <v>10</v>
      </c>
      <c r="E95" s="3" t="s">
        <v>10</v>
      </c>
      <c r="F95" s="3" t="s">
        <v>10</v>
      </c>
      <c r="G95" s="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117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118</v>
      </c>
      <c r="D101" s="3" t="s">
        <v>10</v>
      </c>
      <c r="E101" s="3" t="s">
        <v>10</v>
      </c>
      <c r="F101" s="10">
        <v>0</v>
      </c>
      <c r="G101" s="11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119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120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121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122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123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5">
        <v>1</v>
      </c>
      <c r="B114" s="6"/>
      <c r="C114" s="6" t="s">
        <v>124</v>
      </c>
      <c r="D114" s="6"/>
      <c r="E114" s="16" t="s">
        <v>10</v>
      </c>
      <c r="F114" s="8">
        <v>109.78307650000001</v>
      </c>
      <c r="G114" s="9">
        <v>2.8098356000000001E-2</v>
      </c>
      <c r="H114" s="108">
        <v>3.23</v>
      </c>
    </row>
    <row r="115" spans="1:8" x14ac:dyDescent="0.2">
      <c r="A115" s="5">
        <v>2</v>
      </c>
      <c r="B115" s="6"/>
      <c r="C115" s="6" t="s">
        <v>125</v>
      </c>
      <c r="D115" s="6"/>
      <c r="E115" s="16" t="s">
        <v>10</v>
      </c>
      <c r="F115" s="8">
        <v>30.836993499999998</v>
      </c>
      <c r="G115" s="9">
        <v>7.8925539999999995E-3</v>
      </c>
      <c r="H115" s="108">
        <v>3.35</v>
      </c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0">
        <v>140.62007</v>
      </c>
      <c r="G116" s="11">
        <v>3.5990910000000001E-2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126</v>
      </c>
      <c r="D118" s="3" t="s">
        <v>10</v>
      </c>
      <c r="E118" s="3" t="s">
        <v>10</v>
      </c>
      <c r="F118" s="10">
        <v>140.62007</v>
      </c>
      <c r="G118" s="11">
        <v>3.5990910000000001E-2</v>
      </c>
      <c r="H118" s="167"/>
    </row>
    <row r="119" spans="1:8" x14ac:dyDescent="0.2">
      <c r="A119" s="3" t="s">
        <v>10</v>
      </c>
      <c r="B119" s="3" t="s">
        <v>10</v>
      </c>
      <c r="C119" s="13" t="s">
        <v>10</v>
      </c>
      <c r="D119" s="3" t="s">
        <v>10</v>
      </c>
      <c r="E119" s="3" t="s">
        <v>10</v>
      </c>
      <c r="F119" s="3" t="s">
        <v>10</v>
      </c>
      <c r="G119" s="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127</v>
      </c>
      <c r="D120" s="3" t="s">
        <v>10</v>
      </c>
      <c r="E120" s="3" t="s">
        <v>10</v>
      </c>
      <c r="F120" s="3" t="s">
        <v>10</v>
      </c>
      <c r="G120" s="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128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129</v>
      </c>
      <c r="D124" s="3" t="s">
        <v>10</v>
      </c>
      <c r="E124" s="3" t="s">
        <v>10</v>
      </c>
      <c r="F124" s="3" t="s">
        <v>10</v>
      </c>
      <c r="G124" s="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130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4">
        <v>0</v>
      </c>
      <c r="G126" s="15">
        <v>0</v>
      </c>
      <c r="H126" s="167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3" t="s">
        <v>10</v>
      </c>
      <c r="B128" s="3" t="s">
        <v>10</v>
      </c>
      <c r="C128" s="12" t="s">
        <v>10</v>
      </c>
      <c r="D128" s="3" t="s">
        <v>10</v>
      </c>
      <c r="E128" s="3" t="s">
        <v>10</v>
      </c>
      <c r="F128" s="13" t="s">
        <v>10</v>
      </c>
      <c r="G128" s="13" t="s">
        <v>10</v>
      </c>
      <c r="H128" s="167"/>
    </row>
    <row r="129" spans="1:8" ht="25.5" x14ac:dyDescent="0.2">
      <c r="A129" s="3" t="s">
        <v>10</v>
      </c>
      <c r="B129" s="3" t="s">
        <v>10</v>
      </c>
      <c r="C129" s="4" t="s">
        <v>131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6" t="s">
        <v>10</v>
      </c>
      <c r="C132" s="6" t="s">
        <v>10</v>
      </c>
      <c r="D132" s="4" t="s">
        <v>10</v>
      </c>
      <c r="E132" s="3" t="s">
        <v>10</v>
      </c>
      <c r="F132" s="6" t="s">
        <v>10</v>
      </c>
      <c r="G132" s="16" t="s">
        <v>10</v>
      </c>
      <c r="H132" s="167"/>
    </row>
    <row r="133" spans="1:8" x14ac:dyDescent="0.2">
      <c r="A133" s="16" t="s">
        <v>10</v>
      </c>
      <c r="B133" s="6" t="s">
        <v>10</v>
      </c>
      <c r="C133" s="6" t="s">
        <v>132</v>
      </c>
      <c r="D133" s="6" t="s">
        <v>10</v>
      </c>
      <c r="E133" s="16" t="s">
        <v>10</v>
      </c>
      <c r="F133" s="8">
        <v>-1.31028491</v>
      </c>
      <c r="G133" s="9">
        <v>-3.3535999999999999E-4</v>
      </c>
      <c r="H133" s="167"/>
    </row>
    <row r="134" spans="1:8" x14ac:dyDescent="0.2">
      <c r="A134" s="12" t="s">
        <v>10</v>
      </c>
      <c r="B134" s="12" t="s">
        <v>10</v>
      </c>
      <c r="C134" s="4" t="s">
        <v>133</v>
      </c>
      <c r="D134" s="17" t="s">
        <v>10</v>
      </c>
      <c r="E134" s="17" t="s">
        <v>10</v>
      </c>
      <c r="F134" s="10">
        <v>3907.0996850900001</v>
      </c>
      <c r="G134" s="11">
        <v>1.0000000040000001</v>
      </c>
      <c r="H134" s="167"/>
    </row>
    <row r="135" spans="1:8" ht="14.1" customHeight="1" x14ac:dyDescent="0.2">
      <c r="A135" s="18" t="s">
        <v>10</v>
      </c>
      <c r="B135" s="18" t="s">
        <v>10</v>
      </c>
      <c r="C135" s="18" t="s">
        <v>10</v>
      </c>
      <c r="D135" s="19" t="s">
        <v>10</v>
      </c>
      <c r="E135" s="19" t="s">
        <v>10</v>
      </c>
      <c r="F135" s="19" t="s">
        <v>10</v>
      </c>
      <c r="G135" s="19" t="s">
        <v>10</v>
      </c>
    </row>
    <row r="136" spans="1:8" ht="14.1" customHeight="1" x14ac:dyDescent="0.2">
      <c r="A136" s="20" t="s">
        <v>10</v>
      </c>
      <c r="B136" s="208" t="s">
        <v>10</v>
      </c>
      <c r="C136" s="208"/>
      <c r="D136" s="208"/>
      <c r="E136" s="208"/>
      <c r="F136" s="208"/>
      <c r="G136" s="22" t="s">
        <v>10</v>
      </c>
    </row>
    <row r="137" spans="1:8" ht="14.1" customHeight="1" x14ac:dyDescent="0.2">
      <c r="A137" s="20" t="s">
        <v>10</v>
      </c>
      <c r="B137" s="208" t="s">
        <v>10</v>
      </c>
      <c r="C137" s="208"/>
      <c r="D137" s="208"/>
      <c r="E137" s="208"/>
      <c r="F137" s="208"/>
      <c r="G137" s="22" t="s">
        <v>10</v>
      </c>
    </row>
    <row r="138" spans="1:8" ht="14.1" customHeight="1" x14ac:dyDescent="0.2">
      <c r="A138" s="20" t="s">
        <v>10</v>
      </c>
      <c r="B138" s="20" t="s">
        <v>10</v>
      </c>
      <c r="C138" s="20" t="s">
        <v>10</v>
      </c>
      <c r="D138" s="22" t="s">
        <v>10</v>
      </c>
      <c r="E138" s="22" t="s">
        <v>10</v>
      </c>
      <c r="F138" s="22" t="s">
        <v>10</v>
      </c>
      <c r="G138" s="22" t="s">
        <v>10</v>
      </c>
    </row>
    <row r="139" spans="1:8" ht="14.1" customHeight="1" x14ac:dyDescent="0.2">
      <c r="A139" s="20" t="s">
        <v>10</v>
      </c>
      <c r="B139" s="206" t="s">
        <v>134</v>
      </c>
      <c r="C139" s="207"/>
      <c r="D139" s="13" t="s">
        <v>10</v>
      </c>
      <c r="E139" s="23" t="s">
        <v>10</v>
      </c>
      <c r="F139" s="22" t="s">
        <v>10</v>
      </c>
      <c r="G139" s="22" t="s">
        <v>10</v>
      </c>
    </row>
    <row r="140" spans="1:8" ht="29.1" customHeight="1" x14ac:dyDescent="0.2">
      <c r="A140" s="20" t="s">
        <v>10</v>
      </c>
      <c r="B140" s="213" t="s">
        <v>135</v>
      </c>
      <c r="C140" s="214"/>
      <c r="D140" s="4" t="s">
        <v>136</v>
      </c>
      <c r="E140" s="23" t="s">
        <v>10</v>
      </c>
      <c r="F140" s="22" t="s">
        <v>10</v>
      </c>
      <c r="G140" s="22" t="s">
        <v>10</v>
      </c>
    </row>
    <row r="141" spans="1:8" ht="17.100000000000001" customHeight="1" x14ac:dyDescent="0.2">
      <c r="A141" s="20" t="s">
        <v>10</v>
      </c>
      <c r="B141" s="213" t="s">
        <v>137</v>
      </c>
      <c r="C141" s="214"/>
      <c r="D141" s="4" t="s">
        <v>136</v>
      </c>
      <c r="E141" s="23" t="s">
        <v>10</v>
      </c>
      <c r="F141" s="22" t="s">
        <v>10</v>
      </c>
      <c r="G141" s="22" t="s">
        <v>10</v>
      </c>
    </row>
    <row r="142" spans="1:8" ht="17.100000000000001" customHeight="1" x14ac:dyDescent="0.2">
      <c r="A142" s="20" t="s">
        <v>10</v>
      </c>
      <c r="B142" s="213" t="s">
        <v>138</v>
      </c>
      <c r="C142" s="214"/>
      <c r="D142" s="13" t="s">
        <v>10</v>
      </c>
      <c r="E142" s="23" t="s">
        <v>10</v>
      </c>
      <c r="F142" s="22" t="s">
        <v>10</v>
      </c>
      <c r="G142" s="22" t="s">
        <v>10</v>
      </c>
    </row>
    <row r="143" spans="1:8" ht="17.100000000000001" customHeight="1" x14ac:dyDescent="0.2">
      <c r="A143" s="20"/>
      <c r="B143" s="31"/>
      <c r="C143" s="32"/>
      <c r="D143" s="13"/>
      <c r="E143" s="22"/>
      <c r="F143" s="22"/>
      <c r="G143" s="22"/>
    </row>
    <row r="144" spans="1:8" s="20" customFormat="1" ht="17.100000000000001" customHeight="1" x14ac:dyDescent="0.2"/>
    <row r="145" spans="1:7" x14ac:dyDescent="0.2">
      <c r="A145" s="24" t="s">
        <v>10</v>
      </c>
      <c r="B145" s="140" t="s">
        <v>10</v>
      </c>
      <c r="C145" s="140" t="s">
        <v>139</v>
      </c>
      <c r="D145" s="140" t="s">
        <v>140</v>
      </c>
      <c r="E145" s="24" t="s">
        <v>10</v>
      </c>
      <c r="F145" s="24" t="s">
        <v>10</v>
      </c>
      <c r="G145" s="24" t="s">
        <v>10</v>
      </c>
    </row>
    <row r="146" spans="1:7" ht="17.100000000000001" customHeight="1" x14ac:dyDescent="0.2">
      <c r="A146" s="24" t="s">
        <v>10</v>
      </c>
      <c r="B146" s="6" t="s">
        <v>144</v>
      </c>
      <c r="C146" s="26">
        <v>11.1035</v>
      </c>
      <c r="D146" s="26">
        <v>12.466900000000001</v>
      </c>
      <c r="E146" s="24" t="s">
        <v>10</v>
      </c>
      <c r="F146" s="21" t="s">
        <v>10</v>
      </c>
      <c r="G146" s="27" t="s">
        <v>10</v>
      </c>
    </row>
    <row r="147" spans="1:7" ht="17.100000000000001" customHeight="1" x14ac:dyDescent="0.2">
      <c r="A147" s="24" t="s">
        <v>10</v>
      </c>
      <c r="B147" s="6" t="s">
        <v>917</v>
      </c>
      <c r="C147" s="26">
        <v>11.1035</v>
      </c>
      <c r="D147" s="26">
        <v>12.466900000000001</v>
      </c>
      <c r="E147" s="24" t="s">
        <v>10</v>
      </c>
      <c r="F147" s="21" t="s">
        <v>10</v>
      </c>
      <c r="G147" s="27" t="s">
        <v>10</v>
      </c>
    </row>
    <row r="148" spans="1:7" ht="17.100000000000001" customHeight="1" x14ac:dyDescent="0.2">
      <c r="A148" s="24" t="s">
        <v>10</v>
      </c>
      <c r="B148" s="6" t="s">
        <v>145</v>
      </c>
      <c r="C148" s="26">
        <v>10.9099</v>
      </c>
      <c r="D148" s="26">
        <v>12.247999999999999</v>
      </c>
      <c r="E148" s="24" t="s">
        <v>10</v>
      </c>
      <c r="F148" s="21" t="s">
        <v>10</v>
      </c>
      <c r="G148" s="27" t="s">
        <v>10</v>
      </c>
    </row>
    <row r="149" spans="1:7" ht="17.100000000000001" customHeight="1" x14ac:dyDescent="0.2">
      <c r="A149" s="24" t="s">
        <v>10</v>
      </c>
      <c r="B149" s="6" t="s">
        <v>918</v>
      </c>
      <c r="C149" s="26">
        <v>10.909800000000001</v>
      </c>
      <c r="D149" s="26">
        <v>12.2478</v>
      </c>
      <c r="E149" s="24" t="s">
        <v>10</v>
      </c>
      <c r="F149" s="21" t="s">
        <v>10</v>
      </c>
      <c r="G149" s="27" t="s">
        <v>10</v>
      </c>
    </row>
    <row r="150" spans="1:7" ht="14.1" customHeight="1" x14ac:dyDescent="0.2">
      <c r="A150" s="24" t="s">
        <v>10</v>
      </c>
      <c r="B150" s="24" t="s">
        <v>10</v>
      </c>
      <c r="C150" s="24" t="s">
        <v>10</v>
      </c>
      <c r="D150" s="24" t="s">
        <v>10</v>
      </c>
      <c r="E150" s="24" t="s">
        <v>10</v>
      </c>
      <c r="F150" s="24" t="s">
        <v>10</v>
      </c>
      <c r="G150" s="24" t="s">
        <v>10</v>
      </c>
    </row>
    <row r="151" spans="1:7" ht="17.100000000000001" customHeight="1" x14ac:dyDescent="0.2">
      <c r="A151" s="24" t="s">
        <v>10</v>
      </c>
      <c r="B151" s="213" t="s">
        <v>999</v>
      </c>
      <c r="C151" s="214"/>
      <c r="D151" s="4" t="s">
        <v>136</v>
      </c>
      <c r="E151" s="24" t="s">
        <v>10</v>
      </c>
      <c r="F151" s="24" t="s">
        <v>10</v>
      </c>
      <c r="G151" s="24" t="s">
        <v>10</v>
      </c>
    </row>
    <row r="152" spans="1:7" ht="18" customHeight="1" x14ac:dyDescent="0.2">
      <c r="A152" s="24" t="s">
        <v>10</v>
      </c>
      <c r="B152" s="28"/>
      <c r="C152" s="28"/>
      <c r="D152" s="29" t="s">
        <v>10</v>
      </c>
      <c r="E152" s="24" t="s">
        <v>10</v>
      </c>
      <c r="F152" s="24" t="s">
        <v>10</v>
      </c>
      <c r="G152" s="24" t="s">
        <v>10</v>
      </c>
    </row>
    <row r="153" spans="1:7" s="175" customFormat="1" x14ac:dyDescent="0.2">
      <c r="B153" s="221" t="s">
        <v>919</v>
      </c>
      <c r="C153" s="221"/>
      <c r="D153" s="221"/>
      <c r="E153" s="221"/>
      <c r="F153" s="221"/>
    </row>
    <row r="154" spans="1:7" ht="14.1" customHeight="1" x14ac:dyDescent="0.2">
      <c r="A154" s="24" t="s">
        <v>10</v>
      </c>
      <c r="B154" s="21" t="s">
        <v>10</v>
      </c>
      <c r="C154" s="21" t="s">
        <v>10</v>
      </c>
      <c r="D154" s="24" t="s">
        <v>10</v>
      </c>
      <c r="E154" s="24" t="s">
        <v>10</v>
      </c>
      <c r="F154" s="24" t="s">
        <v>10</v>
      </c>
      <c r="G154" s="24" t="s">
        <v>10</v>
      </c>
    </row>
    <row r="155" spans="1:7" ht="29.1" customHeight="1" x14ac:dyDescent="0.2">
      <c r="A155" s="24" t="s">
        <v>10</v>
      </c>
      <c r="B155" s="213" t="s">
        <v>146</v>
      </c>
      <c r="C155" s="214"/>
      <c r="D155" s="4" t="s">
        <v>136</v>
      </c>
      <c r="E155" s="24" t="s">
        <v>10</v>
      </c>
      <c r="F155" s="24" t="s">
        <v>10</v>
      </c>
      <c r="G155" s="24" t="s">
        <v>10</v>
      </c>
    </row>
    <row r="156" spans="1:7" ht="29.1" customHeight="1" x14ac:dyDescent="0.2">
      <c r="A156" s="24" t="s">
        <v>10</v>
      </c>
      <c r="B156" s="213" t="s">
        <v>147</v>
      </c>
      <c r="C156" s="214"/>
      <c r="D156" s="4" t="s">
        <v>136</v>
      </c>
      <c r="E156" s="24" t="s">
        <v>10</v>
      </c>
      <c r="F156" s="24" t="s">
        <v>10</v>
      </c>
      <c r="G156" s="24" t="s">
        <v>10</v>
      </c>
    </row>
    <row r="157" spans="1:7" ht="17.100000000000001" customHeight="1" x14ac:dyDescent="0.2">
      <c r="A157" s="24" t="s">
        <v>10</v>
      </c>
      <c r="B157" s="213" t="s">
        <v>148</v>
      </c>
      <c r="C157" s="214"/>
      <c r="D157" s="30">
        <v>0.36409381712106076</v>
      </c>
      <c r="E157" s="24" t="s">
        <v>10</v>
      </c>
      <c r="F157" s="21" t="s">
        <v>10</v>
      </c>
      <c r="G157" s="27" t="s">
        <v>10</v>
      </c>
    </row>
    <row r="158" spans="1:7" ht="17.100000000000001" customHeight="1" x14ac:dyDescent="0.2">
      <c r="A158" s="24" t="s">
        <v>10</v>
      </c>
      <c r="B158" s="213" t="s">
        <v>149</v>
      </c>
      <c r="C158" s="214"/>
      <c r="D158" s="4" t="s">
        <v>136</v>
      </c>
      <c r="E158" s="24" t="s">
        <v>10</v>
      </c>
      <c r="F158" s="24" t="s">
        <v>10</v>
      </c>
      <c r="G158" s="24" t="s">
        <v>10</v>
      </c>
    </row>
  </sheetData>
  <mergeCells count="15">
    <mergeCell ref="B157:C157"/>
    <mergeCell ref="B158:C158"/>
    <mergeCell ref="B140:C140"/>
    <mergeCell ref="B141:C141"/>
    <mergeCell ref="B142:C142"/>
    <mergeCell ref="B151:C151"/>
    <mergeCell ref="B155:C155"/>
    <mergeCell ref="B156:C156"/>
    <mergeCell ref="B153:F153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162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507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27</v>
      </c>
      <c r="C7" s="6" t="s">
        <v>28</v>
      </c>
      <c r="D7" s="6" t="s">
        <v>29</v>
      </c>
      <c r="E7" s="7">
        <v>12678</v>
      </c>
      <c r="F7" s="8">
        <v>154.703295</v>
      </c>
      <c r="G7" s="9">
        <v>3.7618775E-2</v>
      </c>
      <c r="H7" s="167"/>
    </row>
    <row r="8" spans="1:8" x14ac:dyDescent="0.2">
      <c r="A8" s="5">
        <v>2</v>
      </c>
      <c r="B8" s="6" t="s">
        <v>151</v>
      </c>
      <c r="C8" s="6" t="s">
        <v>152</v>
      </c>
      <c r="D8" s="6" t="s">
        <v>153</v>
      </c>
      <c r="E8" s="7">
        <v>4352</v>
      </c>
      <c r="F8" s="8">
        <v>140.34329600000001</v>
      </c>
      <c r="G8" s="9">
        <v>3.4126893999999998E-2</v>
      </c>
      <c r="H8" s="167"/>
    </row>
    <row r="9" spans="1:8" x14ac:dyDescent="0.2">
      <c r="A9" s="5">
        <v>3</v>
      </c>
      <c r="B9" s="6" t="s">
        <v>159</v>
      </c>
      <c r="C9" s="6" t="s">
        <v>160</v>
      </c>
      <c r="D9" s="6" t="s">
        <v>29</v>
      </c>
      <c r="E9" s="7">
        <v>18746</v>
      </c>
      <c r="F9" s="8">
        <v>115.531598</v>
      </c>
      <c r="G9" s="9">
        <v>2.8093501E-2</v>
      </c>
      <c r="H9" s="167"/>
    </row>
    <row r="10" spans="1:8" x14ac:dyDescent="0.2">
      <c r="A10" s="5">
        <v>4</v>
      </c>
      <c r="B10" s="6" t="s">
        <v>467</v>
      </c>
      <c r="C10" s="6" t="s">
        <v>468</v>
      </c>
      <c r="D10" s="6" t="s">
        <v>192</v>
      </c>
      <c r="E10" s="7">
        <v>28032</v>
      </c>
      <c r="F10" s="8">
        <v>110.390016</v>
      </c>
      <c r="G10" s="9">
        <v>2.6843236999999999E-2</v>
      </c>
      <c r="H10" s="167"/>
    </row>
    <row r="11" spans="1:8" ht="25.5" x14ac:dyDescent="0.2">
      <c r="A11" s="5">
        <v>5</v>
      </c>
      <c r="B11" s="6" t="s">
        <v>33</v>
      </c>
      <c r="C11" s="6" t="s">
        <v>34</v>
      </c>
      <c r="D11" s="6" t="s">
        <v>970</v>
      </c>
      <c r="E11" s="7">
        <v>3517</v>
      </c>
      <c r="F11" s="8">
        <v>100.21515650000001</v>
      </c>
      <c r="G11" s="9">
        <v>2.4369043999999999E-2</v>
      </c>
      <c r="H11" s="167"/>
    </row>
    <row r="12" spans="1:8" x14ac:dyDescent="0.2">
      <c r="A12" s="5">
        <v>6</v>
      </c>
      <c r="B12" s="6" t="s">
        <v>165</v>
      </c>
      <c r="C12" s="6" t="s">
        <v>166</v>
      </c>
      <c r="D12" s="6" t="s">
        <v>167</v>
      </c>
      <c r="E12" s="7">
        <v>40920</v>
      </c>
      <c r="F12" s="8">
        <v>99.558359999999993</v>
      </c>
      <c r="G12" s="9">
        <v>2.4209333E-2</v>
      </c>
      <c r="H12" s="167"/>
    </row>
    <row r="13" spans="1:8" x14ac:dyDescent="0.2">
      <c r="A13" s="5">
        <v>7</v>
      </c>
      <c r="B13" s="6" t="s">
        <v>168</v>
      </c>
      <c r="C13" s="6" t="s">
        <v>169</v>
      </c>
      <c r="D13" s="6" t="s">
        <v>75</v>
      </c>
      <c r="E13" s="7">
        <v>24926</v>
      </c>
      <c r="F13" s="8">
        <v>99.180554000000001</v>
      </c>
      <c r="G13" s="9">
        <v>2.4117462999999999E-2</v>
      </c>
      <c r="H13" s="167"/>
    </row>
    <row r="14" spans="1:8" x14ac:dyDescent="0.2">
      <c r="A14" s="5">
        <v>8</v>
      </c>
      <c r="B14" s="6" t="s">
        <v>156</v>
      </c>
      <c r="C14" s="6" t="s">
        <v>157</v>
      </c>
      <c r="D14" s="6" t="s">
        <v>158</v>
      </c>
      <c r="E14" s="7">
        <v>104474</v>
      </c>
      <c r="F14" s="8">
        <v>96.063843000000006</v>
      </c>
      <c r="G14" s="9">
        <v>2.3359581000000001E-2</v>
      </c>
      <c r="H14" s="167"/>
    </row>
    <row r="15" spans="1:8" ht="25.5" x14ac:dyDescent="0.2">
      <c r="A15" s="5">
        <v>9</v>
      </c>
      <c r="B15" s="6" t="s">
        <v>449</v>
      </c>
      <c r="C15" s="6" t="s">
        <v>450</v>
      </c>
      <c r="D15" s="6" t="s">
        <v>37</v>
      </c>
      <c r="E15" s="7">
        <v>7547</v>
      </c>
      <c r="F15" s="8">
        <v>91.465866500000004</v>
      </c>
      <c r="G15" s="9">
        <v>2.2241502999999999E-2</v>
      </c>
      <c r="H15" s="167"/>
    </row>
    <row r="16" spans="1:8" x14ac:dyDescent="0.2">
      <c r="A16" s="5">
        <v>10</v>
      </c>
      <c r="B16" s="6" t="s">
        <v>179</v>
      </c>
      <c r="C16" s="6" t="s">
        <v>180</v>
      </c>
      <c r="D16" s="6" t="s">
        <v>972</v>
      </c>
      <c r="E16" s="7">
        <v>11979</v>
      </c>
      <c r="F16" s="8">
        <v>90.693009000000004</v>
      </c>
      <c r="G16" s="9">
        <v>2.2053570000000002E-2</v>
      </c>
      <c r="H16" s="167"/>
    </row>
    <row r="17" spans="1:8" x14ac:dyDescent="0.2">
      <c r="A17" s="5">
        <v>11</v>
      </c>
      <c r="B17" s="6" t="s">
        <v>188</v>
      </c>
      <c r="C17" s="6" t="s">
        <v>189</v>
      </c>
      <c r="D17" s="6" t="s">
        <v>167</v>
      </c>
      <c r="E17" s="7">
        <v>3491</v>
      </c>
      <c r="F17" s="8">
        <v>88.774384499999996</v>
      </c>
      <c r="G17" s="9">
        <v>2.1587023E-2</v>
      </c>
      <c r="H17" s="167"/>
    </row>
    <row r="18" spans="1:8" x14ac:dyDescent="0.2">
      <c r="A18" s="5">
        <v>12</v>
      </c>
      <c r="B18" s="6" t="s">
        <v>186</v>
      </c>
      <c r="C18" s="6" t="s">
        <v>187</v>
      </c>
      <c r="D18" s="6" t="s">
        <v>57</v>
      </c>
      <c r="E18" s="7">
        <v>37174</v>
      </c>
      <c r="F18" s="8">
        <v>88.548468</v>
      </c>
      <c r="G18" s="9">
        <v>2.1532088000000001E-2</v>
      </c>
      <c r="H18" s="167"/>
    </row>
    <row r="19" spans="1:8" x14ac:dyDescent="0.2">
      <c r="A19" s="5">
        <v>13</v>
      </c>
      <c r="B19" s="6" t="s">
        <v>190</v>
      </c>
      <c r="C19" s="6" t="s">
        <v>191</v>
      </c>
      <c r="D19" s="6" t="s">
        <v>192</v>
      </c>
      <c r="E19" s="7">
        <v>21294</v>
      </c>
      <c r="F19" s="8">
        <v>83.706714000000005</v>
      </c>
      <c r="G19" s="9">
        <v>2.0354732E-2</v>
      </c>
      <c r="H19" s="167"/>
    </row>
    <row r="20" spans="1:8" x14ac:dyDescent="0.2">
      <c r="A20" s="5">
        <v>14</v>
      </c>
      <c r="B20" s="6" t="s">
        <v>181</v>
      </c>
      <c r="C20" s="6" t="s">
        <v>182</v>
      </c>
      <c r="D20" s="6" t="s">
        <v>29</v>
      </c>
      <c r="E20" s="7">
        <v>17000</v>
      </c>
      <c r="F20" s="8">
        <v>81.209000000000003</v>
      </c>
      <c r="G20" s="9">
        <v>1.9747369000000001E-2</v>
      </c>
      <c r="H20" s="167"/>
    </row>
    <row r="21" spans="1:8" x14ac:dyDescent="0.2">
      <c r="A21" s="5">
        <v>15</v>
      </c>
      <c r="B21" s="6" t="s">
        <v>163</v>
      </c>
      <c r="C21" s="6" t="s">
        <v>164</v>
      </c>
      <c r="D21" s="6" t="s">
        <v>167</v>
      </c>
      <c r="E21" s="7">
        <v>9336</v>
      </c>
      <c r="F21" s="8">
        <v>80.994467999999998</v>
      </c>
      <c r="G21" s="9">
        <v>1.9695201999999998E-2</v>
      </c>
      <c r="H21" s="167"/>
    </row>
    <row r="22" spans="1:8" x14ac:dyDescent="0.2">
      <c r="A22" s="5">
        <v>16</v>
      </c>
      <c r="B22" s="6" t="s">
        <v>174</v>
      </c>
      <c r="C22" s="6" t="s">
        <v>175</v>
      </c>
      <c r="D22" s="6" t="s">
        <v>50</v>
      </c>
      <c r="E22" s="7">
        <v>19016</v>
      </c>
      <c r="F22" s="8">
        <v>80.580299999999994</v>
      </c>
      <c r="G22" s="9">
        <v>1.9594489999999999E-2</v>
      </c>
      <c r="H22" s="167"/>
    </row>
    <row r="23" spans="1:8" x14ac:dyDescent="0.2">
      <c r="A23" s="5">
        <v>17</v>
      </c>
      <c r="B23" s="6" t="s">
        <v>193</v>
      </c>
      <c r="C23" s="6" t="s">
        <v>194</v>
      </c>
      <c r="D23" s="6" t="s">
        <v>178</v>
      </c>
      <c r="E23" s="7">
        <v>41205</v>
      </c>
      <c r="F23" s="8">
        <v>75.322739999999996</v>
      </c>
      <c r="G23" s="9">
        <v>1.8316024E-2</v>
      </c>
      <c r="H23" s="167"/>
    </row>
    <row r="24" spans="1:8" ht="25.5" x14ac:dyDescent="0.2">
      <c r="A24" s="5">
        <v>18</v>
      </c>
      <c r="B24" s="6" t="s">
        <v>63</v>
      </c>
      <c r="C24" s="6" t="s">
        <v>64</v>
      </c>
      <c r="D24" s="6" t="s">
        <v>37</v>
      </c>
      <c r="E24" s="7">
        <v>12991</v>
      </c>
      <c r="F24" s="8">
        <v>73.509573500000002</v>
      </c>
      <c r="G24" s="9">
        <v>1.7875121000000001E-2</v>
      </c>
      <c r="H24" s="167"/>
    </row>
    <row r="25" spans="1:8" x14ac:dyDescent="0.2">
      <c r="A25" s="5">
        <v>19</v>
      </c>
      <c r="B25" s="6" t="s">
        <v>224</v>
      </c>
      <c r="C25" s="6" t="s">
        <v>225</v>
      </c>
      <c r="D25" s="6" t="s">
        <v>185</v>
      </c>
      <c r="E25" s="7">
        <v>17798</v>
      </c>
      <c r="F25" s="8">
        <v>73.496841000000003</v>
      </c>
      <c r="G25" s="9">
        <v>1.7872025E-2</v>
      </c>
      <c r="H25" s="167"/>
    </row>
    <row r="26" spans="1:8" ht="25.5" x14ac:dyDescent="0.2">
      <c r="A26" s="5">
        <v>20</v>
      </c>
      <c r="B26" s="6" t="s">
        <v>172</v>
      </c>
      <c r="C26" s="6" t="s">
        <v>173</v>
      </c>
      <c r="D26" s="6" t="s">
        <v>970</v>
      </c>
      <c r="E26" s="7">
        <v>27933</v>
      </c>
      <c r="F26" s="8">
        <v>70.223562000000001</v>
      </c>
      <c r="G26" s="9">
        <v>1.7076071000000002E-2</v>
      </c>
      <c r="H26" s="167"/>
    </row>
    <row r="27" spans="1:8" ht="25.5" x14ac:dyDescent="0.2">
      <c r="A27" s="5">
        <v>21</v>
      </c>
      <c r="B27" s="6" t="s">
        <v>161</v>
      </c>
      <c r="C27" s="6" t="s">
        <v>162</v>
      </c>
      <c r="D27" s="6" t="s">
        <v>970</v>
      </c>
      <c r="E27" s="7">
        <v>37472</v>
      </c>
      <c r="F27" s="8">
        <v>68.292720000000003</v>
      </c>
      <c r="G27" s="9">
        <v>1.6606553E-2</v>
      </c>
      <c r="H27" s="167"/>
    </row>
    <row r="28" spans="1:8" x14ac:dyDescent="0.2">
      <c r="A28" s="5">
        <v>22</v>
      </c>
      <c r="B28" s="6" t="s">
        <v>216</v>
      </c>
      <c r="C28" s="6" t="s">
        <v>217</v>
      </c>
      <c r="D28" s="6" t="s">
        <v>192</v>
      </c>
      <c r="E28" s="7">
        <v>12636</v>
      </c>
      <c r="F28" s="8">
        <v>66.181049999999999</v>
      </c>
      <c r="G28" s="9">
        <v>1.6093064000000001E-2</v>
      </c>
      <c r="H28" s="167"/>
    </row>
    <row r="29" spans="1:8" x14ac:dyDescent="0.2">
      <c r="A29" s="5">
        <v>23</v>
      </c>
      <c r="B29" s="6" t="s">
        <v>198</v>
      </c>
      <c r="C29" s="6" t="s">
        <v>199</v>
      </c>
      <c r="D29" s="6" t="s">
        <v>167</v>
      </c>
      <c r="E29" s="7">
        <v>7863</v>
      </c>
      <c r="F29" s="8">
        <v>64.779325499999999</v>
      </c>
      <c r="G29" s="9">
        <v>1.5752210999999999E-2</v>
      </c>
      <c r="H29" s="167"/>
    </row>
    <row r="30" spans="1:8" ht="25.5" x14ac:dyDescent="0.2">
      <c r="A30" s="5">
        <v>24</v>
      </c>
      <c r="B30" s="6" t="s">
        <v>228</v>
      </c>
      <c r="C30" s="6" t="s">
        <v>229</v>
      </c>
      <c r="D30" s="6" t="s">
        <v>78</v>
      </c>
      <c r="E30" s="7">
        <v>18738</v>
      </c>
      <c r="F30" s="8">
        <v>63.643616999999999</v>
      </c>
      <c r="G30" s="9">
        <v>1.5476043E-2</v>
      </c>
      <c r="H30" s="167"/>
    </row>
    <row r="31" spans="1:8" x14ac:dyDescent="0.2">
      <c r="A31" s="5">
        <v>25</v>
      </c>
      <c r="B31" s="6" t="s">
        <v>46</v>
      </c>
      <c r="C31" s="6" t="s">
        <v>47</v>
      </c>
      <c r="D31" s="6" t="s">
        <v>29</v>
      </c>
      <c r="E31" s="7">
        <v>6458</v>
      </c>
      <c r="F31" s="8">
        <v>63.072057000000001</v>
      </c>
      <c r="G31" s="9">
        <v>1.5337059E-2</v>
      </c>
      <c r="H31" s="167"/>
    </row>
    <row r="32" spans="1:8" x14ac:dyDescent="0.2">
      <c r="A32" s="5">
        <v>26</v>
      </c>
      <c r="B32" s="6" t="s">
        <v>220</v>
      </c>
      <c r="C32" s="6" t="s">
        <v>221</v>
      </c>
      <c r="D32" s="6" t="s">
        <v>158</v>
      </c>
      <c r="E32" s="7">
        <v>108845</v>
      </c>
      <c r="F32" s="8">
        <v>61.987227500000003</v>
      </c>
      <c r="G32" s="9">
        <v>1.5073263999999999E-2</v>
      </c>
      <c r="H32" s="167"/>
    </row>
    <row r="33" spans="1:8" x14ac:dyDescent="0.2">
      <c r="A33" s="5">
        <v>27</v>
      </c>
      <c r="B33" s="6" t="s">
        <v>73</v>
      </c>
      <c r="C33" s="6" t="s">
        <v>74</v>
      </c>
      <c r="D33" s="6" t="s">
        <v>75</v>
      </c>
      <c r="E33" s="7">
        <v>2243</v>
      </c>
      <c r="F33" s="8">
        <v>61.183432500000002</v>
      </c>
      <c r="G33" s="9">
        <v>1.4877807E-2</v>
      </c>
      <c r="H33" s="167"/>
    </row>
    <row r="34" spans="1:8" x14ac:dyDescent="0.2">
      <c r="A34" s="5">
        <v>28</v>
      </c>
      <c r="B34" s="6" t="s">
        <v>58</v>
      </c>
      <c r="C34" s="6" t="s">
        <v>59</v>
      </c>
      <c r="D34" s="6" t="s">
        <v>974</v>
      </c>
      <c r="E34" s="7">
        <v>46873</v>
      </c>
      <c r="F34" s="8">
        <v>60.325550999999997</v>
      </c>
      <c r="G34" s="9">
        <v>1.4669198E-2</v>
      </c>
      <c r="H34" s="167"/>
    </row>
    <row r="35" spans="1:8" x14ac:dyDescent="0.2">
      <c r="A35" s="5">
        <v>29</v>
      </c>
      <c r="B35" s="6" t="s">
        <v>176</v>
      </c>
      <c r="C35" s="6" t="s">
        <v>177</v>
      </c>
      <c r="D35" s="6" t="s">
        <v>178</v>
      </c>
      <c r="E35" s="7">
        <v>5592</v>
      </c>
      <c r="F35" s="8">
        <v>59.507268000000003</v>
      </c>
      <c r="G35" s="9">
        <v>1.4470218999999999E-2</v>
      </c>
      <c r="H35" s="167"/>
    </row>
    <row r="36" spans="1:8" ht="25.5" x14ac:dyDescent="0.2">
      <c r="A36" s="5">
        <v>30</v>
      </c>
      <c r="B36" s="6" t="s">
        <v>204</v>
      </c>
      <c r="C36" s="6" t="s">
        <v>205</v>
      </c>
      <c r="D36" s="6" t="s">
        <v>37</v>
      </c>
      <c r="E36" s="7">
        <v>68857</v>
      </c>
      <c r="F36" s="8">
        <v>58.941592</v>
      </c>
      <c r="G36" s="9">
        <v>1.4332665E-2</v>
      </c>
      <c r="H36" s="167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976</v>
      </c>
      <c r="E37" s="7">
        <v>18561</v>
      </c>
      <c r="F37" s="8">
        <v>57.659746499999997</v>
      </c>
      <c r="G37" s="9">
        <v>1.4020962E-2</v>
      </c>
      <c r="H37" s="167"/>
    </row>
    <row r="38" spans="1:8" x14ac:dyDescent="0.2">
      <c r="A38" s="5">
        <v>32</v>
      </c>
      <c r="B38" s="6" t="s">
        <v>230</v>
      </c>
      <c r="C38" s="6" t="s">
        <v>231</v>
      </c>
      <c r="D38" s="6" t="s">
        <v>75</v>
      </c>
      <c r="E38" s="7">
        <v>9500</v>
      </c>
      <c r="F38" s="8">
        <v>57.341999999999999</v>
      </c>
      <c r="G38" s="9">
        <v>1.3943697E-2</v>
      </c>
      <c r="H38" s="167"/>
    </row>
    <row r="39" spans="1:8" x14ac:dyDescent="0.2">
      <c r="A39" s="5">
        <v>33</v>
      </c>
      <c r="B39" s="6" t="s">
        <v>461</v>
      </c>
      <c r="C39" s="6" t="s">
        <v>462</v>
      </c>
      <c r="D39" s="6" t="s">
        <v>972</v>
      </c>
      <c r="E39" s="7">
        <v>74070</v>
      </c>
      <c r="F39" s="8">
        <v>55.959885</v>
      </c>
      <c r="G39" s="9">
        <v>1.3607611E-2</v>
      </c>
      <c r="H39" s="167"/>
    </row>
    <row r="40" spans="1:8" x14ac:dyDescent="0.2">
      <c r="A40" s="5">
        <v>34</v>
      </c>
      <c r="B40" s="6" t="s">
        <v>202</v>
      </c>
      <c r="C40" s="6" t="s">
        <v>203</v>
      </c>
      <c r="D40" s="6" t="s">
        <v>57</v>
      </c>
      <c r="E40" s="7">
        <v>5046</v>
      </c>
      <c r="F40" s="8">
        <v>54.345419999999997</v>
      </c>
      <c r="G40" s="9">
        <v>1.3215026E-2</v>
      </c>
      <c r="H40" s="167"/>
    </row>
    <row r="41" spans="1:8" x14ac:dyDescent="0.2">
      <c r="A41" s="5">
        <v>35</v>
      </c>
      <c r="B41" s="6" t="s">
        <v>212</v>
      </c>
      <c r="C41" s="6" t="s">
        <v>213</v>
      </c>
      <c r="D41" s="6" t="s">
        <v>158</v>
      </c>
      <c r="E41" s="7">
        <v>9342</v>
      </c>
      <c r="F41" s="8">
        <v>53.141967000000001</v>
      </c>
      <c r="G41" s="9">
        <v>1.2922385999999999E-2</v>
      </c>
      <c r="H41" s="167"/>
    </row>
    <row r="42" spans="1:8" x14ac:dyDescent="0.2">
      <c r="A42" s="5">
        <v>36</v>
      </c>
      <c r="B42" s="6" t="s">
        <v>30</v>
      </c>
      <c r="C42" s="6" t="s">
        <v>31</v>
      </c>
      <c r="D42" s="6" t="s">
        <v>32</v>
      </c>
      <c r="E42" s="7">
        <v>20448</v>
      </c>
      <c r="F42" s="8">
        <v>52.950096000000002</v>
      </c>
      <c r="G42" s="9">
        <v>1.2875729000000001E-2</v>
      </c>
      <c r="H42" s="167"/>
    </row>
    <row r="43" spans="1:8" x14ac:dyDescent="0.2">
      <c r="A43" s="5">
        <v>37</v>
      </c>
      <c r="B43" s="6" t="s">
        <v>245</v>
      </c>
      <c r="C43" s="6" t="s">
        <v>246</v>
      </c>
      <c r="D43" s="6" t="s">
        <v>247</v>
      </c>
      <c r="E43" s="7">
        <v>32045</v>
      </c>
      <c r="F43" s="8">
        <v>52.553800000000003</v>
      </c>
      <c r="G43" s="9">
        <v>1.2779363E-2</v>
      </c>
      <c r="H43" s="167"/>
    </row>
    <row r="44" spans="1:8" x14ac:dyDescent="0.2">
      <c r="A44" s="5">
        <v>38</v>
      </c>
      <c r="B44" s="6" t="s">
        <v>254</v>
      </c>
      <c r="C44" s="6" t="s">
        <v>255</v>
      </c>
      <c r="D44" s="6" t="s">
        <v>971</v>
      </c>
      <c r="E44" s="7">
        <v>10737</v>
      </c>
      <c r="F44" s="8">
        <v>51.763077000000003</v>
      </c>
      <c r="G44" s="9">
        <v>1.2587085E-2</v>
      </c>
      <c r="H44" s="167"/>
    </row>
    <row r="45" spans="1:8" ht="25.5" x14ac:dyDescent="0.2">
      <c r="A45" s="5">
        <v>39</v>
      </c>
      <c r="B45" s="6" t="s">
        <v>200</v>
      </c>
      <c r="C45" s="6" t="s">
        <v>201</v>
      </c>
      <c r="D45" s="6" t="s">
        <v>75</v>
      </c>
      <c r="E45" s="7">
        <v>2262</v>
      </c>
      <c r="F45" s="8">
        <v>50.985480000000003</v>
      </c>
      <c r="G45" s="9">
        <v>1.2397999E-2</v>
      </c>
      <c r="H45" s="167"/>
    </row>
    <row r="46" spans="1:8" x14ac:dyDescent="0.2">
      <c r="A46" s="5">
        <v>40</v>
      </c>
      <c r="B46" s="6" t="s">
        <v>222</v>
      </c>
      <c r="C46" s="6" t="s">
        <v>223</v>
      </c>
      <c r="D46" s="6" t="s">
        <v>971</v>
      </c>
      <c r="E46" s="7">
        <v>15503</v>
      </c>
      <c r="F46" s="8">
        <v>50.84984</v>
      </c>
      <c r="G46" s="9">
        <v>1.2365016E-2</v>
      </c>
      <c r="H46" s="167"/>
    </row>
    <row r="47" spans="1:8" x14ac:dyDescent="0.2">
      <c r="A47" s="5">
        <v>41</v>
      </c>
      <c r="B47" s="6" t="s">
        <v>206</v>
      </c>
      <c r="C47" s="6" t="s">
        <v>207</v>
      </c>
      <c r="D47" s="6" t="s">
        <v>32</v>
      </c>
      <c r="E47" s="7">
        <v>54093</v>
      </c>
      <c r="F47" s="8">
        <v>50.84742</v>
      </c>
      <c r="G47" s="9">
        <v>1.2364427000000001E-2</v>
      </c>
      <c r="H47" s="167"/>
    </row>
    <row r="48" spans="1:8" x14ac:dyDescent="0.2">
      <c r="A48" s="5">
        <v>42</v>
      </c>
      <c r="B48" s="6" t="s">
        <v>218</v>
      </c>
      <c r="C48" s="6" t="s">
        <v>219</v>
      </c>
      <c r="D48" s="6" t="s">
        <v>973</v>
      </c>
      <c r="E48" s="7">
        <v>7162</v>
      </c>
      <c r="F48" s="8">
        <v>48.923622000000002</v>
      </c>
      <c r="G48" s="9">
        <v>1.1896623E-2</v>
      </c>
      <c r="H48" s="167"/>
    </row>
    <row r="49" spans="1:8" x14ac:dyDescent="0.2">
      <c r="A49" s="5">
        <v>43</v>
      </c>
      <c r="B49" s="6" t="s">
        <v>208</v>
      </c>
      <c r="C49" s="6" t="s">
        <v>209</v>
      </c>
      <c r="D49" s="6" t="s">
        <v>971</v>
      </c>
      <c r="E49" s="7">
        <v>17797</v>
      </c>
      <c r="F49" s="8">
        <v>46.352286499999998</v>
      </c>
      <c r="G49" s="9">
        <v>1.1271358E-2</v>
      </c>
      <c r="H49" s="167"/>
    </row>
    <row r="50" spans="1:8" x14ac:dyDescent="0.2">
      <c r="A50" s="5">
        <v>44</v>
      </c>
      <c r="B50" s="6" t="s">
        <v>264</v>
      </c>
      <c r="C50" s="6" t="s">
        <v>265</v>
      </c>
      <c r="D50" s="6" t="s">
        <v>971</v>
      </c>
      <c r="E50" s="7">
        <v>33431</v>
      </c>
      <c r="F50" s="8">
        <v>45.6165995</v>
      </c>
      <c r="G50" s="9">
        <v>1.1092463E-2</v>
      </c>
      <c r="H50" s="167"/>
    </row>
    <row r="51" spans="1:8" x14ac:dyDescent="0.2">
      <c r="A51" s="5">
        <v>45</v>
      </c>
      <c r="B51" s="6" t="s">
        <v>234</v>
      </c>
      <c r="C51" s="6" t="s">
        <v>235</v>
      </c>
      <c r="D51" s="6" t="s">
        <v>29</v>
      </c>
      <c r="E51" s="7">
        <v>37719</v>
      </c>
      <c r="F51" s="8">
        <v>44.018073000000001</v>
      </c>
      <c r="G51" s="9">
        <v>1.0703753999999999E-2</v>
      </c>
      <c r="H51" s="167"/>
    </row>
    <row r="52" spans="1:8" x14ac:dyDescent="0.2">
      <c r="A52" s="5">
        <v>46</v>
      </c>
      <c r="B52" s="6" t="s">
        <v>258</v>
      </c>
      <c r="C52" s="6" t="s">
        <v>259</v>
      </c>
      <c r="D52" s="6" t="s">
        <v>23</v>
      </c>
      <c r="E52" s="7">
        <v>41531</v>
      </c>
      <c r="F52" s="8">
        <v>43.5867845</v>
      </c>
      <c r="G52" s="9">
        <v>1.0598879E-2</v>
      </c>
      <c r="H52" s="167"/>
    </row>
    <row r="53" spans="1:8" x14ac:dyDescent="0.2">
      <c r="A53" s="5">
        <v>47</v>
      </c>
      <c r="B53" s="6" t="s">
        <v>252</v>
      </c>
      <c r="C53" s="6" t="s">
        <v>253</v>
      </c>
      <c r="D53" s="6" t="s">
        <v>158</v>
      </c>
      <c r="E53" s="7">
        <v>7828</v>
      </c>
      <c r="F53" s="8">
        <v>42.928752000000003</v>
      </c>
      <c r="G53" s="9">
        <v>1.0438866999999999E-2</v>
      </c>
      <c r="H53" s="167"/>
    </row>
    <row r="54" spans="1:8" ht="25.5" x14ac:dyDescent="0.2">
      <c r="A54" s="5">
        <v>48</v>
      </c>
      <c r="B54" s="6" t="s">
        <v>241</v>
      </c>
      <c r="C54" s="6" t="s">
        <v>242</v>
      </c>
      <c r="D54" s="6" t="s">
        <v>153</v>
      </c>
      <c r="E54" s="7">
        <v>11348</v>
      </c>
      <c r="F54" s="8">
        <v>42.651457999999998</v>
      </c>
      <c r="G54" s="9">
        <v>1.0371438E-2</v>
      </c>
      <c r="H54" s="167"/>
    </row>
    <row r="55" spans="1:8" x14ac:dyDescent="0.2">
      <c r="A55" s="5">
        <v>49</v>
      </c>
      <c r="B55" s="6" t="s">
        <v>238</v>
      </c>
      <c r="C55" s="6" t="s">
        <v>239</v>
      </c>
      <c r="D55" s="6" t="s">
        <v>240</v>
      </c>
      <c r="E55" s="7">
        <v>5220</v>
      </c>
      <c r="F55" s="8">
        <v>42.548220000000001</v>
      </c>
      <c r="G55" s="9">
        <v>1.0346334E-2</v>
      </c>
      <c r="H55" s="167"/>
    </row>
    <row r="56" spans="1:8" ht="25.5" x14ac:dyDescent="0.2">
      <c r="A56" s="5">
        <v>50</v>
      </c>
      <c r="B56" s="6" t="s">
        <v>243</v>
      </c>
      <c r="C56" s="6" t="s">
        <v>244</v>
      </c>
      <c r="D56" s="6" t="s">
        <v>78</v>
      </c>
      <c r="E56" s="7">
        <v>11863</v>
      </c>
      <c r="F56" s="8">
        <v>42.054335000000002</v>
      </c>
      <c r="G56" s="9">
        <v>1.0226236999999999E-2</v>
      </c>
      <c r="H56" s="167"/>
    </row>
    <row r="57" spans="1:8" x14ac:dyDescent="0.2">
      <c r="A57" s="5">
        <v>51</v>
      </c>
      <c r="B57" s="6" t="s">
        <v>260</v>
      </c>
      <c r="C57" s="6" t="s">
        <v>926</v>
      </c>
      <c r="D57" s="6" t="s">
        <v>261</v>
      </c>
      <c r="E57" s="7">
        <v>17156</v>
      </c>
      <c r="F57" s="8">
        <v>40.891325999999999</v>
      </c>
      <c r="G57" s="9">
        <v>9.9434310000000008E-3</v>
      </c>
      <c r="H57" s="167"/>
    </row>
    <row r="58" spans="1:8" x14ac:dyDescent="0.2">
      <c r="A58" s="5">
        <v>52</v>
      </c>
      <c r="B58" s="6" t="s">
        <v>262</v>
      </c>
      <c r="C58" s="6" t="s">
        <v>263</v>
      </c>
      <c r="D58" s="6" t="s">
        <v>185</v>
      </c>
      <c r="E58" s="7">
        <v>7135</v>
      </c>
      <c r="F58" s="8">
        <v>40.5731775</v>
      </c>
      <c r="G58" s="9">
        <v>9.8660680000000004E-3</v>
      </c>
      <c r="H58" s="167"/>
    </row>
    <row r="59" spans="1:8" x14ac:dyDescent="0.2">
      <c r="A59" s="5">
        <v>53</v>
      </c>
      <c r="B59" s="6" t="s">
        <v>195</v>
      </c>
      <c r="C59" s="6" t="s">
        <v>196</v>
      </c>
      <c r="D59" s="6" t="s">
        <v>197</v>
      </c>
      <c r="E59" s="7">
        <v>5370</v>
      </c>
      <c r="F59" s="8">
        <v>40.567664999999998</v>
      </c>
      <c r="G59" s="9">
        <v>9.8647279999999997E-3</v>
      </c>
      <c r="H59" s="167"/>
    </row>
    <row r="60" spans="1:8" x14ac:dyDescent="0.2">
      <c r="A60" s="5">
        <v>54</v>
      </c>
      <c r="B60" s="6" t="s">
        <v>95</v>
      </c>
      <c r="C60" s="6" t="s">
        <v>96</v>
      </c>
      <c r="D60" s="6" t="s">
        <v>75</v>
      </c>
      <c r="E60" s="7">
        <v>15472</v>
      </c>
      <c r="F60" s="8">
        <v>39.616056</v>
      </c>
      <c r="G60" s="9">
        <v>9.6333270000000006E-3</v>
      </c>
      <c r="H60" s="167"/>
    </row>
    <row r="61" spans="1:8" x14ac:dyDescent="0.2">
      <c r="A61" s="5">
        <v>55</v>
      </c>
      <c r="B61" s="6" t="s">
        <v>286</v>
      </c>
      <c r="C61" s="6" t="s">
        <v>287</v>
      </c>
      <c r="D61" s="6" t="s">
        <v>29</v>
      </c>
      <c r="E61" s="7">
        <v>3843</v>
      </c>
      <c r="F61" s="8">
        <v>38.9891565</v>
      </c>
      <c r="G61" s="9">
        <v>9.4808859999999991E-3</v>
      </c>
      <c r="H61" s="167"/>
    </row>
    <row r="62" spans="1:8" x14ac:dyDescent="0.2">
      <c r="A62" s="5">
        <v>56</v>
      </c>
      <c r="B62" s="6" t="s">
        <v>266</v>
      </c>
      <c r="C62" s="6" t="s">
        <v>267</v>
      </c>
      <c r="D62" s="6" t="s">
        <v>75</v>
      </c>
      <c r="E62" s="7">
        <v>18897</v>
      </c>
      <c r="F62" s="8">
        <v>37.028671500000002</v>
      </c>
      <c r="G62" s="9">
        <v>9.0041600000000006E-3</v>
      </c>
      <c r="H62" s="167"/>
    </row>
    <row r="63" spans="1:8" x14ac:dyDescent="0.2">
      <c r="A63" s="5">
        <v>57</v>
      </c>
      <c r="B63" s="6" t="s">
        <v>232</v>
      </c>
      <c r="C63" s="6" t="s">
        <v>233</v>
      </c>
      <c r="D63" s="6" t="s">
        <v>185</v>
      </c>
      <c r="E63" s="7">
        <v>10008</v>
      </c>
      <c r="F63" s="8">
        <v>35.968752000000002</v>
      </c>
      <c r="G63" s="9">
        <v>8.7464229999999997E-3</v>
      </c>
      <c r="H63" s="167"/>
    </row>
    <row r="64" spans="1:8" x14ac:dyDescent="0.2">
      <c r="A64" s="5">
        <v>58</v>
      </c>
      <c r="B64" s="6" t="s">
        <v>53</v>
      </c>
      <c r="C64" s="6" t="s">
        <v>54</v>
      </c>
      <c r="D64" s="6" t="s">
        <v>32</v>
      </c>
      <c r="E64" s="7">
        <v>15361</v>
      </c>
      <c r="F64" s="8">
        <v>32.450112500000003</v>
      </c>
      <c r="G64" s="9">
        <v>7.8908050000000007E-3</v>
      </c>
      <c r="H64" s="167"/>
    </row>
    <row r="65" spans="1:8" x14ac:dyDescent="0.2">
      <c r="A65" s="5">
        <v>59</v>
      </c>
      <c r="B65" s="6" t="s">
        <v>274</v>
      </c>
      <c r="C65" s="6" t="s">
        <v>275</v>
      </c>
      <c r="D65" s="6" t="s">
        <v>153</v>
      </c>
      <c r="E65" s="7">
        <v>1926</v>
      </c>
      <c r="F65" s="8">
        <v>29.543876999999998</v>
      </c>
      <c r="G65" s="9">
        <v>7.1841029999999998E-3</v>
      </c>
      <c r="H65" s="167"/>
    </row>
    <row r="66" spans="1:8" x14ac:dyDescent="0.2">
      <c r="A66" s="5">
        <v>60</v>
      </c>
      <c r="B66" s="6" t="s">
        <v>248</v>
      </c>
      <c r="C66" s="6" t="s">
        <v>249</v>
      </c>
      <c r="D66" s="6" t="s">
        <v>192</v>
      </c>
      <c r="E66" s="7">
        <v>1976</v>
      </c>
      <c r="F66" s="8">
        <v>28.667808000000001</v>
      </c>
      <c r="G66" s="9">
        <v>6.971072E-3</v>
      </c>
      <c r="H66" s="167"/>
    </row>
    <row r="67" spans="1:8" x14ac:dyDescent="0.2">
      <c r="A67" s="5">
        <v>61</v>
      </c>
      <c r="B67" s="6" t="s">
        <v>278</v>
      </c>
      <c r="C67" s="6" t="s">
        <v>279</v>
      </c>
      <c r="D67" s="6" t="s">
        <v>192</v>
      </c>
      <c r="E67" s="7">
        <v>2500</v>
      </c>
      <c r="F67" s="8">
        <v>23.7775</v>
      </c>
      <c r="G67" s="9">
        <v>5.781909E-3</v>
      </c>
      <c r="H67" s="167"/>
    </row>
    <row r="68" spans="1:8" x14ac:dyDescent="0.2">
      <c r="A68" s="5">
        <v>62</v>
      </c>
      <c r="B68" s="6" t="s">
        <v>276</v>
      </c>
      <c r="C68" s="6" t="s">
        <v>277</v>
      </c>
      <c r="D68" s="6" t="s">
        <v>167</v>
      </c>
      <c r="E68" s="7">
        <v>3830</v>
      </c>
      <c r="F68" s="8">
        <v>21.231604999999998</v>
      </c>
      <c r="G68" s="9">
        <v>5.1628309999999997E-3</v>
      </c>
      <c r="H68" s="167"/>
    </row>
    <row r="69" spans="1:8" x14ac:dyDescent="0.2">
      <c r="A69" s="5">
        <v>63</v>
      </c>
      <c r="B69" s="6" t="s">
        <v>282</v>
      </c>
      <c r="C69" s="6" t="s">
        <v>283</v>
      </c>
      <c r="D69" s="6" t="s">
        <v>284</v>
      </c>
      <c r="E69" s="7">
        <v>13492</v>
      </c>
      <c r="F69" s="8">
        <v>19.563400000000001</v>
      </c>
      <c r="G69" s="9">
        <v>4.7571779999999999E-3</v>
      </c>
      <c r="H69" s="167"/>
    </row>
    <row r="70" spans="1:8" x14ac:dyDescent="0.2">
      <c r="A70" s="5">
        <v>64</v>
      </c>
      <c r="B70" s="6" t="s">
        <v>280</v>
      </c>
      <c r="C70" s="6" t="s">
        <v>281</v>
      </c>
      <c r="D70" s="6" t="s">
        <v>971</v>
      </c>
      <c r="E70" s="7">
        <v>46441</v>
      </c>
      <c r="F70" s="8">
        <v>19.412337999999998</v>
      </c>
      <c r="G70" s="9">
        <v>4.7204450000000002E-3</v>
      </c>
      <c r="H70" s="167"/>
    </row>
    <row r="71" spans="1:8" x14ac:dyDescent="0.2">
      <c r="A71" s="5">
        <v>65</v>
      </c>
      <c r="B71" s="6" t="s">
        <v>236</v>
      </c>
      <c r="C71" s="6" t="s">
        <v>237</v>
      </c>
      <c r="D71" s="6" t="s">
        <v>974</v>
      </c>
      <c r="E71" s="7">
        <v>1939</v>
      </c>
      <c r="F71" s="8">
        <v>19.106905999999999</v>
      </c>
      <c r="G71" s="9">
        <v>4.6461740000000003E-3</v>
      </c>
      <c r="H71" s="167"/>
    </row>
    <row r="72" spans="1:8" x14ac:dyDescent="0.2">
      <c r="A72" s="5">
        <v>66</v>
      </c>
      <c r="B72" s="6" t="s">
        <v>270</v>
      </c>
      <c r="C72" s="6" t="s">
        <v>271</v>
      </c>
      <c r="D72" s="6" t="s">
        <v>75</v>
      </c>
      <c r="E72" s="7">
        <v>11000</v>
      </c>
      <c r="F72" s="8">
        <v>17.390999999999998</v>
      </c>
      <c r="G72" s="9">
        <v>4.2289220000000004E-3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0">
        <v>3994.2830985000001</v>
      </c>
      <c r="G73" s="11">
        <v>0.97127884499999995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105</v>
      </c>
      <c r="D75" s="3" t="s">
        <v>10</v>
      </c>
      <c r="E75" s="3" t="s">
        <v>10</v>
      </c>
      <c r="F75" s="3" t="s">
        <v>10</v>
      </c>
      <c r="G75" s="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106</v>
      </c>
      <c r="D78" s="3" t="s">
        <v>10</v>
      </c>
      <c r="E78" s="3" t="s">
        <v>10</v>
      </c>
      <c r="F78" s="3" t="s">
        <v>10</v>
      </c>
      <c r="G78" s="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110</v>
      </c>
      <c r="D81" s="3" t="s">
        <v>10</v>
      </c>
      <c r="E81" s="3" t="s">
        <v>10</v>
      </c>
      <c r="F81" s="3" t="s">
        <v>10</v>
      </c>
      <c r="G81" s="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4">
        <v>0</v>
      </c>
      <c r="G82" s="15">
        <v>0</v>
      </c>
      <c r="H82" s="167"/>
    </row>
    <row r="83" spans="1:8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111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4">
        <v>0</v>
      </c>
      <c r="G85" s="15">
        <v>0</v>
      </c>
      <c r="H85" s="167"/>
    </row>
    <row r="86" spans="1:8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112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104</v>
      </c>
      <c r="D88" s="3" t="s">
        <v>10</v>
      </c>
      <c r="E88" s="3" t="s">
        <v>10</v>
      </c>
      <c r="F88" s="14">
        <v>0</v>
      </c>
      <c r="G88" s="15">
        <v>0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113</v>
      </c>
      <c r="D90" s="3" t="s">
        <v>10</v>
      </c>
      <c r="E90" s="3" t="s">
        <v>10</v>
      </c>
      <c r="F90" s="10">
        <v>3994.2830985000001</v>
      </c>
      <c r="G90" s="11">
        <v>0.97127884499999995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114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ht="25.5" x14ac:dyDescent="0.2">
      <c r="A93" s="3" t="s">
        <v>10</v>
      </c>
      <c r="B93" s="3" t="s">
        <v>10</v>
      </c>
      <c r="C93" s="4" t="s">
        <v>12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115</v>
      </c>
      <c r="D96" s="3" t="s">
        <v>10</v>
      </c>
      <c r="E96" s="3" t="s">
        <v>10</v>
      </c>
      <c r="F96" s="3" t="s">
        <v>10</v>
      </c>
      <c r="G96" s="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104</v>
      </c>
      <c r="D97" s="3" t="s">
        <v>10</v>
      </c>
      <c r="E97" s="3" t="s">
        <v>10</v>
      </c>
      <c r="F97" s="14">
        <v>0</v>
      </c>
      <c r="G97" s="15">
        <v>0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116</v>
      </c>
      <c r="D99" s="3" t="s">
        <v>10</v>
      </c>
      <c r="E99" s="3" t="s">
        <v>10</v>
      </c>
      <c r="F99" s="3" t="s">
        <v>10</v>
      </c>
      <c r="G99" s="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104</v>
      </c>
      <c r="D100" s="3" t="s">
        <v>10</v>
      </c>
      <c r="E100" s="3" t="s">
        <v>10</v>
      </c>
      <c r="F100" s="14">
        <v>0</v>
      </c>
      <c r="G100" s="15">
        <v>0</v>
      </c>
      <c r="H100" s="167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117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104</v>
      </c>
      <c r="D103" s="3" t="s">
        <v>10</v>
      </c>
      <c r="E103" s="3" t="s">
        <v>10</v>
      </c>
      <c r="F103" s="14">
        <v>0</v>
      </c>
      <c r="G103" s="15">
        <v>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118</v>
      </c>
      <c r="D105" s="3" t="s">
        <v>10</v>
      </c>
      <c r="E105" s="3" t="s">
        <v>10</v>
      </c>
      <c r="F105" s="10">
        <v>0</v>
      </c>
      <c r="G105" s="11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119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120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104</v>
      </c>
      <c r="D109" s="3" t="s">
        <v>10</v>
      </c>
      <c r="E109" s="3" t="s">
        <v>10</v>
      </c>
      <c r="F109" s="14">
        <v>0</v>
      </c>
      <c r="G109" s="15">
        <v>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121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4">
        <v>0</v>
      </c>
      <c r="G112" s="15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122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104</v>
      </c>
      <c r="D115" s="3" t="s">
        <v>10</v>
      </c>
      <c r="E115" s="3" t="s">
        <v>10</v>
      </c>
      <c r="F115" s="14">
        <v>0</v>
      </c>
      <c r="G115" s="15">
        <v>0</v>
      </c>
      <c r="H115" s="167"/>
    </row>
    <row r="116" spans="1:8" x14ac:dyDescent="0.2">
      <c r="A116" s="3" t="s">
        <v>10</v>
      </c>
      <c r="B116" s="3" t="s">
        <v>10</v>
      </c>
      <c r="C116" s="12" t="s">
        <v>10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123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5">
        <v>1</v>
      </c>
      <c r="B118" s="6"/>
      <c r="C118" s="6" t="s">
        <v>124</v>
      </c>
      <c r="D118" s="6"/>
      <c r="E118" s="16" t="s">
        <v>10</v>
      </c>
      <c r="F118" s="8">
        <v>75.048652899999993</v>
      </c>
      <c r="G118" s="9">
        <v>1.8249375000000002E-2</v>
      </c>
      <c r="H118" s="108">
        <v>3.23</v>
      </c>
    </row>
    <row r="119" spans="1:8" x14ac:dyDescent="0.2">
      <c r="A119" s="5">
        <v>2</v>
      </c>
      <c r="B119" s="6"/>
      <c r="C119" s="6" t="s">
        <v>125</v>
      </c>
      <c r="D119" s="6"/>
      <c r="E119" s="16" t="s">
        <v>10</v>
      </c>
      <c r="F119" s="8">
        <v>21.080422200000001</v>
      </c>
      <c r="G119" s="9">
        <v>5.1260680000000001E-3</v>
      </c>
      <c r="H119" s="108">
        <v>3.35</v>
      </c>
    </row>
    <row r="120" spans="1:8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0">
        <v>96.129075099999994</v>
      </c>
      <c r="G120" s="11">
        <v>2.3375442999999999E-2</v>
      </c>
      <c r="H120" s="167"/>
    </row>
    <row r="121" spans="1:8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126</v>
      </c>
      <c r="D122" s="3" t="s">
        <v>10</v>
      </c>
      <c r="E122" s="3" t="s">
        <v>10</v>
      </c>
      <c r="F122" s="10">
        <v>96.129075099999994</v>
      </c>
      <c r="G122" s="11">
        <v>2.3375442999999999E-2</v>
      </c>
      <c r="H122" s="167"/>
    </row>
    <row r="123" spans="1:8" x14ac:dyDescent="0.2">
      <c r="A123" s="3" t="s">
        <v>10</v>
      </c>
      <c r="B123" s="3" t="s">
        <v>10</v>
      </c>
      <c r="C123" s="13" t="s">
        <v>10</v>
      </c>
      <c r="D123" s="3" t="s">
        <v>10</v>
      </c>
      <c r="E123" s="3" t="s">
        <v>10</v>
      </c>
      <c r="F123" s="3" t="s">
        <v>10</v>
      </c>
      <c r="G123" s="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127</v>
      </c>
      <c r="D124" s="3" t="s">
        <v>10</v>
      </c>
      <c r="E124" s="3" t="s">
        <v>10</v>
      </c>
      <c r="F124" s="3" t="s">
        <v>10</v>
      </c>
      <c r="G124" s="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128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4">
        <v>0</v>
      </c>
      <c r="G126" s="15">
        <v>0</v>
      </c>
      <c r="H126" s="167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129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130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3" t="s">
        <v>10</v>
      </c>
      <c r="C132" s="12" t="s">
        <v>10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ht="25.5" x14ac:dyDescent="0.2">
      <c r="A133" s="3" t="s">
        <v>10</v>
      </c>
      <c r="B133" s="3" t="s">
        <v>10</v>
      </c>
      <c r="C133" s="4" t="s">
        <v>131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6" t="s">
        <v>10</v>
      </c>
      <c r="C136" s="6" t="s">
        <v>10</v>
      </c>
      <c r="D136" s="4" t="s">
        <v>10</v>
      </c>
      <c r="E136" s="3" t="s">
        <v>10</v>
      </c>
      <c r="F136" s="6" t="s">
        <v>10</v>
      </c>
      <c r="G136" s="16" t="s">
        <v>10</v>
      </c>
      <c r="H136" s="167"/>
    </row>
    <row r="137" spans="1:8" x14ac:dyDescent="0.2">
      <c r="A137" s="16" t="s">
        <v>10</v>
      </c>
      <c r="B137" s="6" t="s">
        <v>10</v>
      </c>
      <c r="C137" s="6" t="s">
        <v>132</v>
      </c>
      <c r="D137" s="6" t="s">
        <v>10</v>
      </c>
      <c r="E137" s="16" t="s">
        <v>10</v>
      </c>
      <c r="F137" s="8">
        <v>21.983674929999999</v>
      </c>
      <c r="G137" s="9">
        <v>5.34571E-3</v>
      </c>
      <c r="H137" s="167"/>
    </row>
    <row r="138" spans="1:8" x14ac:dyDescent="0.2">
      <c r="A138" s="12" t="s">
        <v>10</v>
      </c>
      <c r="B138" s="12" t="s">
        <v>10</v>
      </c>
      <c r="C138" s="4" t="s">
        <v>133</v>
      </c>
      <c r="D138" s="17" t="s">
        <v>10</v>
      </c>
      <c r="E138" s="17" t="s">
        <v>10</v>
      </c>
      <c r="F138" s="10">
        <v>4112.39584853</v>
      </c>
      <c r="G138" s="11">
        <v>0.99999999799999995</v>
      </c>
      <c r="H138" s="167"/>
    </row>
    <row r="139" spans="1:8" ht="14.1" customHeight="1" x14ac:dyDescent="0.2">
      <c r="A139" s="18" t="s">
        <v>10</v>
      </c>
      <c r="B139" s="18" t="s">
        <v>10</v>
      </c>
      <c r="C139" s="18" t="s">
        <v>10</v>
      </c>
      <c r="D139" s="19" t="s">
        <v>10</v>
      </c>
      <c r="E139" s="19" t="s">
        <v>10</v>
      </c>
      <c r="F139" s="19" t="s">
        <v>10</v>
      </c>
      <c r="G139" s="19" t="s">
        <v>10</v>
      </c>
    </row>
    <row r="140" spans="1:8" ht="14.1" customHeight="1" x14ac:dyDescent="0.2">
      <c r="A140" s="20" t="s">
        <v>10</v>
      </c>
      <c r="B140" s="208" t="s">
        <v>10</v>
      </c>
      <c r="C140" s="208"/>
      <c r="D140" s="208"/>
      <c r="E140" s="208"/>
      <c r="F140" s="208"/>
      <c r="G140" s="22" t="s">
        <v>10</v>
      </c>
    </row>
    <row r="141" spans="1:8" ht="14.1" customHeight="1" x14ac:dyDescent="0.2">
      <c r="A141" s="20" t="s">
        <v>10</v>
      </c>
      <c r="B141" s="208" t="s">
        <v>10</v>
      </c>
      <c r="C141" s="208"/>
      <c r="D141" s="208"/>
      <c r="E141" s="208"/>
      <c r="F141" s="208"/>
      <c r="G141" s="22" t="s">
        <v>10</v>
      </c>
    </row>
    <row r="142" spans="1:8" ht="14.1" customHeight="1" x14ac:dyDescent="0.2">
      <c r="A142" s="20" t="s">
        <v>10</v>
      </c>
      <c r="B142" s="20" t="s">
        <v>10</v>
      </c>
      <c r="C142" s="20" t="s">
        <v>10</v>
      </c>
      <c r="D142" s="22" t="s">
        <v>10</v>
      </c>
      <c r="E142" s="22" t="s">
        <v>10</v>
      </c>
      <c r="F142" s="22" t="s">
        <v>10</v>
      </c>
      <c r="G142" s="22" t="s">
        <v>10</v>
      </c>
    </row>
    <row r="143" spans="1:8" ht="14.1" customHeight="1" x14ac:dyDescent="0.2">
      <c r="A143" s="20" t="s">
        <v>10</v>
      </c>
      <c r="B143" s="206" t="s">
        <v>134</v>
      </c>
      <c r="C143" s="207"/>
      <c r="D143" s="13" t="s">
        <v>10</v>
      </c>
      <c r="E143" s="23" t="s">
        <v>10</v>
      </c>
      <c r="F143" s="22" t="s">
        <v>10</v>
      </c>
      <c r="G143" s="22" t="s">
        <v>10</v>
      </c>
    </row>
    <row r="144" spans="1:8" ht="29.1" customHeight="1" x14ac:dyDescent="0.2">
      <c r="A144" s="20" t="s">
        <v>10</v>
      </c>
      <c r="B144" s="213" t="s">
        <v>135</v>
      </c>
      <c r="C144" s="214"/>
      <c r="D144" s="4" t="s">
        <v>136</v>
      </c>
      <c r="E144" s="23" t="s">
        <v>10</v>
      </c>
      <c r="F144" s="22" t="s">
        <v>10</v>
      </c>
      <c r="G144" s="22" t="s">
        <v>10</v>
      </c>
    </row>
    <row r="145" spans="1:7" ht="17.100000000000001" customHeight="1" x14ac:dyDescent="0.2">
      <c r="A145" s="20" t="s">
        <v>10</v>
      </c>
      <c r="B145" s="213" t="s">
        <v>137</v>
      </c>
      <c r="C145" s="214"/>
      <c r="D145" s="4" t="s">
        <v>136</v>
      </c>
      <c r="E145" s="23" t="s">
        <v>10</v>
      </c>
      <c r="F145" s="22" t="s">
        <v>10</v>
      </c>
      <c r="G145" s="22" t="s">
        <v>10</v>
      </c>
    </row>
    <row r="146" spans="1:7" ht="17.100000000000001" customHeight="1" x14ac:dyDescent="0.2">
      <c r="A146" s="20" t="s">
        <v>10</v>
      </c>
      <c r="B146" s="213" t="s">
        <v>138</v>
      </c>
      <c r="C146" s="214"/>
      <c r="D146" s="13" t="s">
        <v>10</v>
      </c>
      <c r="E146" s="23" t="s">
        <v>10</v>
      </c>
      <c r="F146" s="22" t="s">
        <v>10</v>
      </c>
      <c r="G146" s="22" t="s">
        <v>10</v>
      </c>
    </row>
    <row r="147" spans="1:7" s="20" customFormat="1" ht="17.100000000000001" customHeight="1" x14ac:dyDescent="0.2"/>
    <row r="148" spans="1:7" x14ac:dyDescent="0.2">
      <c r="A148" s="24" t="s">
        <v>10</v>
      </c>
      <c r="B148" s="140" t="s">
        <v>10</v>
      </c>
      <c r="C148" s="140" t="s">
        <v>139</v>
      </c>
      <c r="D148" s="140" t="s">
        <v>140</v>
      </c>
      <c r="E148" s="24" t="s">
        <v>10</v>
      </c>
      <c r="F148" s="24" t="s">
        <v>10</v>
      </c>
      <c r="G148" s="24" t="s">
        <v>10</v>
      </c>
    </row>
    <row r="149" spans="1:7" ht="18" customHeight="1" x14ac:dyDescent="0.2">
      <c r="A149" s="24" t="s">
        <v>10</v>
      </c>
      <c r="B149" s="25" t="s">
        <v>141</v>
      </c>
      <c r="C149" s="25" t="s">
        <v>142</v>
      </c>
      <c r="D149" s="25" t="s">
        <v>143</v>
      </c>
      <c r="E149" s="24" t="s">
        <v>10</v>
      </c>
      <c r="F149" s="24" t="s">
        <v>10</v>
      </c>
      <c r="G149" s="24" t="s">
        <v>10</v>
      </c>
    </row>
    <row r="150" spans="1:7" ht="17.100000000000001" customHeight="1" x14ac:dyDescent="0.2">
      <c r="A150" s="24" t="s">
        <v>10</v>
      </c>
      <c r="B150" s="6" t="s">
        <v>144</v>
      </c>
      <c r="C150" s="26">
        <v>11.0002</v>
      </c>
      <c r="D150" s="26">
        <v>12.4328</v>
      </c>
      <c r="E150" s="24" t="s">
        <v>10</v>
      </c>
      <c r="F150" s="21" t="s">
        <v>10</v>
      </c>
      <c r="G150" s="27" t="s">
        <v>10</v>
      </c>
    </row>
    <row r="151" spans="1:7" ht="17.100000000000001" customHeight="1" x14ac:dyDescent="0.2">
      <c r="A151" s="24" t="s">
        <v>10</v>
      </c>
      <c r="B151" s="6" t="s">
        <v>917</v>
      </c>
      <c r="C151" s="26">
        <v>11.0002</v>
      </c>
      <c r="D151" s="26">
        <v>12.4328</v>
      </c>
      <c r="E151" s="24" t="s">
        <v>10</v>
      </c>
      <c r="F151" s="21" t="s">
        <v>10</v>
      </c>
      <c r="G151" s="27" t="s">
        <v>10</v>
      </c>
    </row>
    <row r="152" spans="1:7" ht="17.100000000000001" customHeight="1" x14ac:dyDescent="0.2">
      <c r="A152" s="24" t="s">
        <v>10</v>
      </c>
      <c r="B152" s="6" t="s">
        <v>145</v>
      </c>
      <c r="C152" s="26">
        <v>10.794499999999999</v>
      </c>
      <c r="D152" s="26">
        <v>12.198399999999999</v>
      </c>
      <c r="E152" s="24" t="s">
        <v>10</v>
      </c>
      <c r="F152" s="21" t="s">
        <v>10</v>
      </c>
      <c r="G152" s="27" t="s">
        <v>10</v>
      </c>
    </row>
    <row r="153" spans="1:7" ht="17.100000000000001" customHeight="1" x14ac:dyDescent="0.2">
      <c r="A153" s="24" t="s">
        <v>10</v>
      </c>
      <c r="B153" s="6" t="s">
        <v>918</v>
      </c>
      <c r="C153" s="26">
        <v>10.794600000000001</v>
      </c>
      <c r="D153" s="26">
        <v>12.198499999999999</v>
      </c>
      <c r="E153" s="24" t="s">
        <v>10</v>
      </c>
      <c r="F153" s="21" t="s">
        <v>10</v>
      </c>
      <c r="G153" s="27" t="s">
        <v>10</v>
      </c>
    </row>
    <row r="154" spans="1:7" ht="14.1" customHeight="1" x14ac:dyDescent="0.2">
      <c r="A154" s="24" t="s">
        <v>10</v>
      </c>
      <c r="B154" s="24" t="s">
        <v>10</v>
      </c>
      <c r="C154" s="24" t="s">
        <v>10</v>
      </c>
      <c r="D154" s="24" t="s">
        <v>10</v>
      </c>
      <c r="E154" s="24" t="s">
        <v>10</v>
      </c>
      <c r="F154" s="24" t="s">
        <v>10</v>
      </c>
      <c r="G154" s="24" t="s">
        <v>10</v>
      </c>
    </row>
    <row r="155" spans="1:7" ht="17.100000000000001" customHeight="1" x14ac:dyDescent="0.2">
      <c r="A155" s="24" t="s">
        <v>10</v>
      </c>
      <c r="B155" s="213" t="s">
        <v>999</v>
      </c>
      <c r="C155" s="214"/>
      <c r="D155" s="4" t="s">
        <v>136</v>
      </c>
      <c r="E155" s="24" t="s">
        <v>10</v>
      </c>
      <c r="F155" s="24" t="s">
        <v>10</v>
      </c>
      <c r="G155" s="24" t="s">
        <v>10</v>
      </c>
    </row>
    <row r="156" spans="1:7" ht="18" customHeight="1" x14ac:dyDescent="0.2">
      <c r="A156" s="24" t="s">
        <v>10</v>
      </c>
      <c r="B156" s="28"/>
      <c r="C156" s="28"/>
      <c r="D156" s="29" t="s">
        <v>10</v>
      </c>
      <c r="E156" s="24" t="s">
        <v>10</v>
      </c>
      <c r="F156" s="24" t="s">
        <v>10</v>
      </c>
      <c r="G156" s="24" t="s">
        <v>10</v>
      </c>
    </row>
    <row r="157" spans="1:7" s="175" customFormat="1" x14ac:dyDescent="0.2">
      <c r="B157" s="221" t="s">
        <v>919</v>
      </c>
      <c r="C157" s="221"/>
      <c r="D157" s="221"/>
      <c r="E157" s="221"/>
      <c r="F157" s="221"/>
    </row>
    <row r="158" spans="1:7" ht="14.1" customHeight="1" x14ac:dyDescent="0.2">
      <c r="A158" s="24" t="s">
        <v>10</v>
      </c>
      <c r="B158" s="21" t="s">
        <v>10</v>
      </c>
      <c r="C158" s="21" t="s">
        <v>10</v>
      </c>
      <c r="D158" s="24" t="s">
        <v>10</v>
      </c>
      <c r="E158" s="24" t="s">
        <v>10</v>
      </c>
      <c r="F158" s="24" t="s">
        <v>10</v>
      </c>
      <c r="G158" s="24" t="s">
        <v>10</v>
      </c>
    </row>
    <row r="159" spans="1:7" ht="29.1" customHeight="1" x14ac:dyDescent="0.2">
      <c r="A159" s="24" t="s">
        <v>10</v>
      </c>
      <c r="B159" s="213" t="s">
        <v>146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7" ht="29.1" customHeight="1" x14ac:dyDescent="0.2">
      <c r="A160" s="24" t="s">
        <v>10</v>
      </c>
      <c r="B160" s="213" t="s">
        <v>147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  <row r="161" spans="1:7" ht="17.100000000000001" customHeight="1" x14ac:dyDescent="0.2">
      <c r="A161" s="24" t="s">
        <v>10</v>
      </c>
      <c r="B161" s="213" t="s">
        <v>148</v>
      </c>
      <c r="C161" s="214"/>
      <c r="D161" s="30">
        <v>0.41452212273608235</v>
      </c>
      <c r="E161" s="24" t="s">
        <v>10</v>
      </c>
      <c r="F161" s="21" t="s">
        <v>10</v>
      </c>
      <c r="G161" s="27" t="s">
        <v>10</v>
      </c>
    </row>
    <row r="162" spans="1:7" ht="17.100000000000001" customHeight="1" x14ac:dyDescent="0.2">
      <c r="A162" s="24" t="s">
        <v>10</v>
      </c>
      <c r="B162" s="213" t="s">
        <v>149</v>
      </c>
      <c r="C162" s="214"/>
      <c r="D162" s="4" t="s">
        <v>136</v>
      </c>
      <c r="E162" s="24" t="s">
        <v>10</v>
      </c>
      <c r="F162" s="24" t="s">
        <v>10</v>
      </c>
      <c r="G162" s="24" t="s">
        <v>10</v>
      </c>
    </row>
  </sheetData>
  <mergeCells count="15">
    <mergeCell ref="B161:C161"/>
    <mergeCell ref="B162:C162"/>
    <mergeCell ref="B144:C144"/>
    <mergeCell ref="B145:C145"/>
    <mergeCell ref="B146:C146"/>
    <mergeCell ref="B155:C155"/>
    <mergeCell ref="B159:C159"/>
    <mergeCell ref="B160:C160"/>
    <mergeCell ref="B157:F157"/>
    <mergeCell ref="B143:C143"/>
    <mergeCell ref="B140:F140"/>
    <mergeCell ref="B141:F14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63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508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151</v>
      </c>
      <c r="C7" s="6" t="s">
        <v>152</v>
      </c>
      <c r="D7" s="6" t="s">
        <v>153</v>
      </c>
      <c r="E7" s="7">
        <v>4537</v>
      </c>
      <c r="F7" s="8">
        <v>146.30917600000001</v>
      </c>
      <c r="G7" s="9">
        <v>3.5159182999999997E-2</v>
      </c>
      <c r="H7" s="167"/>
    </row>
    <row r="8" spans="1:8" x14ac:dyDescent="0.2">
      <c r="A8" s="5">
        <v>2</v>
      </c>
      <c r="B8" s="6" t="s">
        <v>467</v>
      </c>
      <c r="C8" s="6" t="s">
        <v>468</v>
      </c>
      <c r="D8" s="6" t="s">
        <v>192</v>
      </c>
      <c r="E8" s="7">
        <v>36209</v>
      </c>
      <c r="F8" s="8">
        <v>142.59104199999999</v>
      </c>
      <c r="G8" s="9">
        <v>3.4265688000000002E-2</v>
      </c>
      <c r="H8" s="167"/>
    </row>
    <row r="9" spans="1:8" x14ac:dyDescent="0.2">
      <c r="A9" s="5">
        <v>3</v>
      </c>
      <c r="B9" s="6" t="s">
        <v>159</v>
      </c>
      <c r="C9" s="6" t="s">
        <v>160</v>
      </c>
      <c r="D9" s="6" t="s">
        <v>29</v>
      </c>
      <c r="E9" s="7">
        <v>18956</v>
      </c>
      <c r="F9" s="8">
        <v>116.825828</v>
      </c>
      <c r="G9" s="9">
        <v>2.8074115E-2</v>
      </c>
      <c r="H9" s="167"/>
    </row>
    <row r="10" spans="1:8" x14ac:dyDescent="0.2">
      <c r="A10" s="5">
        <v>4</v>
      </c>
      <c r="B10" s="6" t="s">
        <v>165</v>
      </c>
      <c r="C10" s="6" t="s">
        <v>166</v>
      </c>
      <c r="D10" s="6" t="s">
        <v>167</v>
      </c>
      <c r="E10" s="7">
        <v>46523</v>
      </c>
      <c r="F10" s="8">
        <v>113.190459</v>
      </c>
      <c r="G10" s="9">
        <v>2.7200509000000001E-2</v>
      </c>
      <c r="H10" s="167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113171</v>
      </c>
      <c r="F11" s="8">
        <v>104.0607345</v>
      </c>
      <c r="G11" s="9">
        <v>2.5006568E-2</v>
      </c>
      <c r="H11" s="167"/>
    </row>
    <row r="12" spans="1:8" ht="25.5" x14ac:dyDescent="0.2">
      <c r="A12" s="5">
        <v>6</v>
      </c>
      <c r="B12" s="6" t="s">
        <v>33</v>
      </c>
      <c r="C12" s="6" t="s">
        <v>34</v>
      </c>
      <c r="D12" s="6" t="s">
        <v>970</v>
      </c>
      <c r="E12" s="7">
        <v>3553</v>
      </c>
      <c r="F12" s="8">
        <v>101.2409585</v>
      </c>
      <c r="G12" s="9">
        <v>2.4328954999999999E-2</v>
      </c>
      <c r="H12" s="167"/>
    </row>
    <row r="13" spans="1:8" x14ac:dyDescent="0.2">
      <c r="A13" s="5">
        <v>7</v>
      </c>
      <c r="B13" s="6" t="s">
        <v>168</v>
      </c>
      <c r="C13" s="6" t="s">
        <v>169</v>
      </c>
      <c r="D13" s="6" t="s">
        <v>75</v>
      </c>
      <c r="E13" s="7">
        <v>25103</v>
      </c>
      <c r="F13" s="8">
        <v>99.884837000000005</v>
      </c>
      <c r="G13" s="9">
        <v>2.4003068999999998E-2</v>
      </c>
      <c r="H13" s="167"/>
    </row>
    <row r="14" spans="1:8" x14ac:dyDescent="0.2">
      <c r="A14" s="5">
        <v>8</v>
      </c>
      <c r="B14" s="6" t="s">
        <v>179</v>
      </c>
      <c r="C14" s="6" t="s">
        <v>180</v>
      </c>
      <c r="D14" s="6" t="s">
        <v>972</v>
      </c>
      <c r="E14" s="7">
        <v>11809</v>
      </c>
      <c r="F14" s="8">
        <v>89.405939000000004</v>
      </c>
      <c r="G14" s="9">
        <v>2.1484911999999998E-2</v>
      </c>
      <c r="H14" s="167"/>
    </row>
    <row r="15" spans="1:8" x14ac:dyDescent="0.2">
      <c r="A15" s="5">
        <v>9</v>
      </c>
      <c r="B15" s="6" t="s">
        <v>188</v>
      </c>
      <c r="C15" s="6" t="s">
        <v>189</v>
      </c>
      <c r="D15" s="6" t="s">
        <v>167</v>
      </c>
      <c r="E15" s="7">
        <v>3515</v>
      </c>
      <c r="F15" s="8">
        <v>89.3846925</v>
      </c>
      <c r="G15" s="9">
        <v>2.1479806000000001E-2</v>
      </c>
      <c r="H15" s="167"/>
    </row>
    <row r="16" spans="1:8" ht="25.5" x14ac:dyDescent="0.2">
      <c r="A16" s="5">
        <v>10</v>
      </c>
      <c r="B16" s="6" t="s">
        <v>449</v>
      </c>
      <c r="C16" s="6" t="s">
        <v>450</v>
      </c>
      <c r="D16" s="6" t="s">
        <v>37</v>
      </c>
      <c r="E16" s="7">
        <v>7360</v>
      </c>
      <c r="F16" s="8">
        <v>89.199520000000007</v>
      </c>
      <c r="G16" s="9">
        <v>2.1435308E-2</v>
      </c>
      <c r="H16" s="167"/>
    </row>
    <row r="17" spans="1:8" ht="25.5" x14ac:dyDescent="0.2">
      <c r="A17" s="5">
        <v>11</v>
      </c>
      <c r="B17" s="6" t="s">
        <v>63</v>
      </c>
      <c r="C17" s="6" t="s">
        <v>64</v>
      </c>
      <c r="D17" s="6" t="s">
        <v>37</v>
      </c>
      <c r="E17" s="7">
        <v>15169</v>
      </c>
      <c r="F17" s="8">
        <v>85.833786500000002</v>
      </c>
      <c r="G17" s="9">
        <v>2.0626497000000001E-2</v>
      </c>
      <c r="H17" s="167"/>
    </row>
    <row r="18" spans="1:8" x14ac:dyDescent="0.2">
      <c r="A18" s="5">
        <v>12</v>
      </c>
      <c r="B18" s="6" t="s">
        <v>190</v>
      </c>
      <c r="C18" s="6" t="s">
        <v>191</v>
      </c>
      <c r="D18" s="6" t="s">
        <v>192</v>
      </c>
      <c r="E18" s="7">
        <v>21332</v>
      </c>
      <c r="F18" s="8">
        <v>83.856092000000004</v>
      </c>
      <c r="G18" s="9">
        <v>2.0151242E-2</v>
      </c>
      <c r="H18" s="167"/>
    </row>
    <row r="19" spans="1:8" x14ac:dyDescent="0.2">
      <c r="A19" s="5">
        <v>13</v>
      </c>
      <c r="B19" s="6" t="s">
        <v>174</v>
      </c>
      <c r="C19" s="6" t="s">
        <v>175</v>
      </c>
      <c r="D19" s="6" t="s">
        <v>50</v>
      </c>
      <c r="E19" s="7">
        <v>19575</v>
      </c>
      <c r="F19" s="8">
        <v>82.949062499999997</v>
      </c>
      <c r="G19" s="9">
        <v>1.9933276999999999E-2</v>
      </c>
      <c r="H19" s="167"/>
    </row>
    <row r="20" spans="1:8" x14ac:dyDescent="0.2">
      <c r="A20" s="5">
        <v>14</v>
      </c>
      <c r="B20" s="6" t="s">
        <v>163</v>
      </c>
      <c r="C20" s="6" t="s">
        <v>164</v>
      </c>
      <c r="D20" s="6" t="s">
        <v>167</v>
      </c>
      <c r="E20" s="7">
        <v>9461</v>
      </c>
      <c r="F20" s="8">
        <v>82.078905500000005</v>
      </c>
      <c r="G20" s="9">
        <v>1.9724170999999999E-2</v>
      </c>
      <c r="H20" s="167"/>
    </row>
    <row r="21" spans="1:8" x14ac:dyDescent="0.2">
      <c r="A21" s="5">
        <v>15</v>
      </c>
      <c r="B21" s="6" t="s">
        <v>186</v>
      </c>
      <c r="C21" s="6" t="s">
        <v>187</v>
      </c>
      <c r="D21" s="6" t="s">
        <v>57</v>
      </c>
      <c r="E21" s="7">
        <v>34408</v>
      </c>
      <c r="F21" s="8">
        <v>81.959856000000002</v>
      </c>
      <c r="G21" s="9">
        <v>1.9695562999999999E-2</v>
      </c>
      <c r="H21" s="167"/>
    </row>
    <row r="22" spans="1:8" x14ac:dyDescent="0.2">
      <c r="A22" s="5">
        <v>16</v>
      </c>
      <c r="B22" s="6" t="s">
        <v>181</v>
      </c>
      <c r="C22" s="6" t="s">
        <v>182</v>
      </c>
      <c r="D22" s="6" t="s">
        <v>29</v>
      </c>
      <c r="E22" s="7">
        <v>17081</v>
      </c>
      <c r="F22" s="8">
        <v>81.595937000000006</v>
      </c>
      <c r="G22" s="9">
        <v>1.9608110000000002E-2</v>
      </c>
      <c r="H22" s="167"/>
    </row>
    <row r="23" spans="1:8" x14ac:dyDescent="0.2">
      <c r="A23" s="5">
        <v>17</v>
      </c>
      <c r="B23" s="6" t="s">
        <v>290</v>
      </c>
      <c r="C23" s="6" t="s">
        <v>291</v>
      </c>
      <c r="D23" s="6" t="s">
        <v>29</v>
      </c>
      <c r="E23" s="7">
        <v>16694</v>
      </c>
      <c r="F23" s="8">
        <v>79.939218999999994</v>
      </c>
      <c r="G23" s="9">
        <v>1.9209989E-2</v>
      </c>
      <c r="H23" s="167"/>
    </row>
    <row r="24" spans="1:8" x14ac:dyDescent="0.2">
      <c r="A24" s="5">
        <v>18</v>
      </c>
      <c r="B24" s="6" t="s">
        <v>193</v>
      </c>
      <c r="C24" s="6" t="s">
        <v>194</v>
      </c>
      <c r="D24" s="6" t="s">
        <v>178</v>
      </c>
      <c r="E24" s="7">
        <v>41749</v>
      </c>
      <c r="F24" s="8">
        <v>76.317171999999999</v>
      </c>
      <c r="G24" s="9">
        <v>1.8339583999999999E-2</v>
      </c>
      <c r="H24" s="167"/>
    </row>
    <row r="25" spans="1:8" x14ac:dyDescent="0.2">
      <c r="A25" s="5">
        <v>19</v>
      </c>
      <c r="B25" s="6" t="s">
        <v>224</v>
      </c>
      <c r="C25" s="6" t="s">
        <v>225</v>
      </c>
      <c r="D25" s="6" t="s">
        <v>185</v>
      </c>
      <c r="E25" s="7">
        <v>17672</v>
      </c>
      <c r="F25" s="8">
        <v>72.976523999999998</v>
      </c>
      <c r="G25" s="9">
        <v>1.7536801000000001E-2</v>
      </c>
      <c r="H25" s="167"/>
    </row>
    <row r="26" spans="1:8" ht="25.5" x14ac:dyDescent="0.2">
      <c r="A26" s="5">
        <v>20</v>
      </c>
      <c r="B26" s="6" t="s">
        <v>172</v>
      </c>
      <c r="C26" s="6" t="s">
        <v>173</v>
      </c>
      <c r="D26" s="6" t="s">
        <v>970</v>
      </c>
      <c r="E26" s="7">
        <v>28858</v>
      </c>
      <c r="F26" s="8">
        <v>72.549012000000005</v>
      </c>
      <c r="G26" s="9">
        <v>1.7434067000000001E-2</v>
      </c>
      <c r="H26" s="167"/>
    </row>
    <row r="27" spans="1:8" x14ac:dyDescent="0.2">
      <c r="A27" s="5">
        <v>21</v>
      </c>
      <c r="B27" s="6" t="s">
        <v>73</v>
      </c>
      <c r="C27" s="6" t="s">
        <v>74</v>
      </c>
      <c r="D27" s="6" t="s">
        <v>75</v>
      </c>
      <c r="E27" s="7">
        <v>2581</v>
      </c>
      <c r="F27" s="8">
        <v>70.4032275</v>
      </c>
      <c r="G27" s="9">
        <v>1.6918419000000001E-2</v>
      </c>
      <c r="H27" s="167"/>
    </row>
    <row r="28" spans="1:8" x14ac:dyDescent="0.2">
      <c r="A28" s="5">
        <v>22</v>
      </c>
      <c r="B28" s="6" t="s">
        <v>216</v>
      </c>
      <c r="C28" s="6" t="s">
        <v>217</v>
      </c>
      <c r="D28" s="6" t="s">
        <v>192</v>
      </c>
      <c r="E28" s="7">
        <v>12554</v>
      </c>
      <c r="F28" s="8">
        <v>65.751575000000003</v>
      </c>
      <c r="G28" s="9">
        <v>1.5800591999999999E-2</v>
      </c>
      <c r="H28" s="167"/>
    </row>
    <row r="29" spans="1:8" x14ac:dyDescent="0.2">
      <c r="A29" s="5">
        <v>23</v>
      </c>
      <c r="B29" s="6" t="s">
        <v>198</v>
      </c>
      <c r="C29" s="6" t="s">
        <v>199</v>
      </c>
      <c r="D29" s="6" t="s">
        <v>167</v>
      </c>
      <c r="E29" s="7">
        <v>7920</v>
      </c>
      <c r="F29" s="8">
        <v>65.248919999999998</v>
      </c>
      <c r="G29" s="9">
        <v>1.5679801E-2</v>
      </c>
      <c r="H29" s="167"/>
    </row>
    <row r="30" spans="1:8" x14ac:dyDescent="0.2">
      <c r="A30" s="5">
        <v>24</v>
      </c>
      <c r="B30" s="6" t="s">
        <v>46</v>
      </c>
      <c r="C30" s="6" t="s">
        <v>47</v>
      </c>
      <c r="D30" s="6" t="s">
        <v>29</v>
      </c>
      <c r="E30" s="7">
        <v>6666</v>
      </c>
      <c r="F30" s="8">
        <v>65.103488999999996</v>
      </c>
      <c r="G30" s="9">
        <v>1.5644853E-2</v>
      </c>
      <c r="H30" s="167"/>
    </row>
    <row r="31" spans="1:8" x14ac:dyDescent="0.2">
      <c r="A31" s="5">
        <v>25</v>
      </c>
      <c r="B31" s="6" t="s">
        <v>214</v>
      </c>
      <c r="C31" s="6" t="s">
        <v>215</v>
      </c>
      <c r="D31" s="6" t="s">
        <v>976</v>
      </c>
      <c r="E31" s="7">
        <v>20902</v>
      </c>
      <c r="F31" s="8">
        <v>64.932062999999999</v>
      </c>
      <c r="G31" s="9">
        <v>1.5603657999999999E-2</v>
      </c>
      <c r="H31" s="167"/>
    </row>
    <row r="32" spans="1:8" ht="25.5" x14ac:dyDescent="0.2">
      <c r="A32" s="5">
        <v>26</v>
      </c>
      <c r="B32" s="6" t="s">
        <v>228</v>
      </c>
      <c r="C32" s="6" t="s">
        <v>229</v>
      </c>
      <c r="D32" s="6" t="s">
        <v>78</v>
      </c>
      <c r="E32" s="7">
        <v>18670</v>
      </c>
      <c r="F32" s="8">
        <v>63.412655000000001</v>
      </c>
      <c r="G32" s="9">
        <v>1.5238533E-2</v>
      </c>
      <c r="H32" s="167"/>
    </row>
    <row r="33" spans="1:8" x14ac:dyDescent="0.2">
      <c r="A33" s="5">
        <v>27</v>
      </c>
      <c r="B33" s="6" t="s">
        <v>58</v>
      </c>
      <c r="C33" s="6" t="s">
        <v>59</v>
      </c>
      <c r="D33" s="6" t="s">
        <v>974</v>
      </c>
      <c r="E33" s="7">
        <v>48585</v>
      </c>
      <c r="F33" s="8">
        <v>62.528894999999999</v>
      </c>
      <c r="G33" s="9">
        <v>1.5026158E-2</v>
      </c>
      <c r="H33" s="167"/>
    </row>
    <row r="34" spans="1:8" x14ac:dyDescent="0.2">
      <c r="A34" s="5">
        <v>28</v>
      </c>
      <c r="B34" s="6" t="s">
        <v>220</v>
      </c>
      <c r="C34" s="6" t="s">
        <v>221</v>
      </c>
      <c r="D34" s="6" t="s">
        <v>158</v>
      </c>
      <c r="E34" s="7">
        <v>108798</v>
      </c>
      <c r="F34" s="8">
        <v>61.960461000000002</v>
      </c>
      <c r="G34" s="9">
        <v>1.488956E-2</v>
      </c>
      <c r="H34" s="167"/>
    </row>
    <row r="35" spans="1:8" x14ac:dyDescent="0.2">
      <c r="A35" s="5">
        <v>29</v>
      </c>
      <c r="B35" s="6" t="s">
        <v>176</v>
      </c>
      <c r="C35" s="6" t="s">
        <v>177</v>
      </c>
      <c r="D35" s="6" t="s">
        <v>178</v>
      </c>
      <c r="E35" s="7">
        <v>5623</v>
      </c>
      <c r="F35" s="8">
        <v>59.837154499999997</v>
      </c>
      <c r="G35" s="9">
        <v>1.4379312999999999E-2</v>
      </c>
      <c r="H35" s="167"/>
    </row>
    <row r="36" spans="1:8" ht="25.5" x14ac:dyDescent="0.2">
      <c r="A36" s="5">
        <v>30</v>
      </c>
      <c r="B36" s="6" t="s">
        <v>204</v>
      </c>
      <c r="C36" s="6" t="s">
        <v>205</v>
      </c>
      <c r="D36" s="6" t="s">
        <v>37</v>
      </c>
      <c r="E36" s="7">
        <v>69803</v>
      </c>
      <c r="F36" s="8">
        <v>59.751367999999999</v>
      </c>
      <c r="G36" s="9">
        <v>1.4358698E-2</v>
      </c>
      <c r="H36" s="167"/>
    </row>
    <row r="37" spans="1:8" x14ac:dyDescent="0.2">
      <c r="A37" s="5">
        <v>31</v>
      </c>
      <c r="B37" s="6" t="s">
        <v>210</v>
      </c>
      <c r="C37" s="6" t="s">
        <v>211</v>
      </c>
      <c r="D37" s="6" t="s">
        <v>29</v>
      </c>
      <c r="E37" s="7">
        <v>4150</v>
      </c>
      <c r="F37" s="8">
        <v>55.898425000000003</v>
      </c>
      <c r="G37" s="9">
        <v>1.3432807E-2</v>
      </c>
      <c r="H37" s="167"/>
    </row>
    <row r="38" spans="1:8" x14ac:dyDescent="0.2">
      <c r="A38" s="5">
        <v>32</v>
      </c>
      <c r="B38" s="6" t="s">
        <v>202</v>
      </c>
      <c r="C38" s="6" t="s">
        <v>203</v>
      </c>
      <c r="D38" s="6" t="s">
        <v>57</v>
      </c>
      <c r="E38" s="7">
        <v>5160</v>
      </c>
      <c r="F38" s="8">
        <v>55.5732</v>
      </c>
      <c r="G38" s="9">
        <v>1.3354652999999999E-2</v>
      </c>
      <c r="H38" s="167"/>
    </row>
    <row r="39" spans="1:8" x14ac:dyDescent="0.2">
      <c r="A39" s="5">
        <v>33</v>
      </c>
      <c r="B39" s="6" t="s">
        <v>30</v>
      </c>
      <c r="C39" s="6" t="s">
        <v>31</v>
      </c>
      <c r="D39" s="6" t="s">
        <v>32</v>
      </c>
      <c r="E39" s="7">
        <v>21150</v>
      </c>
      <c r="F39" s="8">
        <v>54.767924999999998</v>
      </c>
      <c r="G39" s="9">
        <v>1.316114E-2</v>
      </c>
      <c r="H39" s="167"/>
    </row>
    <row r="40" spans="1:8" x14ac:dyDescent="0.2">
      <c r="A40" s="5">
        <v>34</v>
      </c>
      <c r="B40" s="6" t="s">
        <v>212</v>
      </c>
      <c r="C40" s="6" t="s">
        <v>213</v>
      </c>
      <c r="D40" s="6" t="s">
        <v>158</v>
      </c>
      <c r="E40" s="7">
        <v>9505</v>
      </c>
      <c r="F40" s="8">
        <v>54.0691925</v>
      </c>
      <c r="G40" s="9">
        <v>1.2993229E-2</v>
      </c>
      <c r="H40" s="167"/>
    </row>
    <row r="41" spans="1:8" x14ac:dyDescent="0.2">
      <c r="A41" s="5">
        <v>35</v>
      </c>
      <c r="B41" s="6" t="s">
        <v>230</v>
      </c>
      <c r="C41" s="6" t="s">
        <v>231</v>
      </c>
      <c r="D41" s="6" t="s">
        <v>75</v>
      </c>
      <c r="E41" s="7">
        <v>8892</v>
      </c>
      <c r="F41" s="8">
        <v>53.672111999999998</v>
      </c>
      <c r="G41" s="9">
        <v>1.2897808E-2</v>
      </c>
      <c r="H41" s="167"/>
    </row>
    <row r="42" spans="1:8" x14ac:dyDescent="0.2">
      <c r="A42" s="5">
        <v>36</v>
      </c>
      <c r="B42" s="6" t="s">
        <v>245</v>
      </c>
      <c r="C42" s="6" t="s">
        <v>246</v>
      </c>
      <c r="D42" s="6" t="s">
        <v>247</v>
      </c>
      <c r="E42" s="7">
        <v>32633</v>
      </c>
      <c r="F42" s="8">
        <v>53.518120000000003</v>
      </c>
      <c r="G42" s="9">
        <v>1.2860801999999999E-2</v>
      </c>
      <c r="H42" s="167"/>
    </row>
    <row r="43" spans="1:8" x14ac:dyDescent="0.2">
      <c r="A43" s="5">
        <v>37</v>
      </c>
      <c r="B43" s="6" t="s">
        <v>222</v>
      </c>
      <c r="C43" s="6" t="s">
        <v>223</v>
      </c>
      <c r="D43" s="6" t="s">
        <v>971</v>
      </c>
      <c r="E43" s="7">
        <v>16042</v>
      </c>
      <c r="F43" s="8">
        <v>52.617759999999997</v>
      </c>
      <c r="G43" s="9">
        <v>1.2644439E-2</v>
      </c>
      <c r="H43" s="167"/>
    </row>
    <row r="44" spans="1:8" ht="25.5" x14ac:dyDescent="0.2">
      <c r="A44" s="5">
        <v>38</v>
      </c>
      <c r="B44" s="6" t="s">
        <v>200</v>
      </c>
      <c r="C44" s="6" t="s">
        <v>201</v>
      </c>
      <c r="D44" s="6" t="s">
        <v>75</v>
      </c>
      <c r="E44" s="7">
        <v>2285</v>
      </c>
      <c r="F44" s="8">
        <v>51.503900000000002</v>
      </c>
      <c r="G44" s="9">
        <v>1.237677E-2</v>
      </c>
      <c r="H44" s="167"/>
    </row>
    <row r="45" spans="1:8" x14ac:dyDescent="0.2">
      <c r="A45" s="5">
        <v>39</v>
      </c>
      <c r="B45" s="6" t="s">
        <v>226</v>
      </c>
      <c r="C45" s="6" t="s">
        <v>227</v>
      </c>
      <c r="D45" s="6" t="s">
        <v>32</v>
      </c>
      <c r="E45" s="7">
        <v>6312</v>
      </c>
      <c r="F45" s="8">
        <v>49.940544000000003</v>
      </c>
      <c r="G45" s="9">
        <v>1.2001084E-2</v>
      </c>
      <c r="H45" s="167"/>
    </row>
    <row r="46" spans="1:8" x14ac:dyDescent="0.2">
      <c r="A46" s="5">
        <v>40</v>
      </c>
      <c r="B46" s="6" t="s">
        <v>254</v>
      </c>
      <c r="C46" s="6" t="s">
        <v>255</v>
      </c>
      <c r="D46" s="6" t="s">
        <v>971</v>
      </c>
      <c r="E46" s="7">
        <v>10181</v>
      </c>
      <c r="F46" s="8">
        <v>49.082600999999997</v>
      </c>
      <c r="G46" s="9">
        <v>1.1794914E-2</v>
      </c>
      <c r="H46" s="167"/>
    </row>
    <row r="47" spans="1:8" x14ac:dyDescent="0.2">
      <c r="A47" s="5">
        <v>41</v>
      </c>
      <c r="B47" s="6" t="s">
        <v>232</v>
      </c>
      <c r="C47" s="6" t="s">
        <v>233</v>
      </c>
      <c r="D47" s="6" t="s">
        <v>185</v>
      </c>
      <c r="E47" s="7">
        <v>13354</v>
      </c>
      <c r="F47" s="8">
        <v>47.994275999999999</v>
      </c>
      <c r="G47" s="9">
        <v>1.1533381000000001E-2</v>
      </c>
      <c r="H47" s="167"/>
    </row>
    <row r="48" spans="1:8" x14ac:dyDescent="0.2">
      <c r="A48" s="5">
        <v>42</v>
      </c>
      <c r="B48" s="6" t="s">
        <v>218</v>
      </c>
      <c r="C48" s="6" t="s">
        <v>219</v>
      </c>
      <c r="D48" s="6" t="s">
        <v>973</v>
      </c>
      <c r="E48" s="7">
        <v>7019</v>
      </c>
      <c r="F48" s="8">
        <v>47.946789000000003</v>
      </c>
      <c r="G48" s="9">
        <v>1.1521969999999999E-2</v>
      </c>
      <c r="H48" s="167"/>
    </row>
    <row r="49" spans="1:8" x14ac:dyDescent="0.2">
      <c r="A49" s="5">
        <v>43</v>
      </c>
      <c r="B49" s="6" t="s">
        <v>206</v>
      </c>
      <c r="C49" s="6" t="s">
        <v>207</v>
      </c>
      <c r="D49" s="6" t="s">
        <v>32</v>
      </c>
      <c r="E49" s="7">
        <v>50979</v>
      </c>
      <c r="F49" s="8">
        <v>47.920259999999999</v>
      </c>
      <c r="G49" s="9">
        <v>1.1515595E-2</v>
      </c>
      <c r="H49" s="167"/>
    </row>
    <row r="50" spans="1:8" x14ac:dyDescent="0.2">
      <c r="A50" s="5">
        <v>44</v>
      </c>
      <c r="B50" s="6" t="s">
        <v>208</v>
      </c>
      <c r="C50" s="6" t="s">
        <v>209</v>
      </c>
      <c r="D50" s="6" t="s">
        <v>971</v>
      </c>
      <c r="E50" s="7">
        <v>18180</v>
      </c>
      <c r="F50" s="8">
        <v>47.349809999999998</v>
      </c>
      <c r="G50" s="9">
        <v>1.1378510999999999E-2</v>
      </c>
      <c r="H50" s="167"/>
    </row>
    <row r="51" spans="1:8" x14ac:dyDescent="0.2">
      <c r="A51" s="5">
        <v>45</v>
      </c>
      <c r="B51" s="6" t="s">
        <v>461</v>
      </c>
      <c r="C51" s="6" t="s">
        <v>462</v>
      </c>
      <c r="D51" s="6" t="s">
        <v>972</v>
      </c>
      <c r="E51" s="7">
        <v>62102</v>
      </c>
      <c r="F51" s="8">
        <v>46.918061000000002</v>
      </c>
      <c r="G51" s="9">
        <v>1.1274759000000001E-2</v>
      </c>
      <c r="H51" s="167"/>
    </row>
    <row r="52" spans="1:8" x14ac:dyDescent="0.2">
      <c r="A52" s="5">
        <v>46</v>
      </c>
      <c r="B52" s="6" t="s">
        <v>234</v>
      </c>
      <c r="C52" s="6" t="s">
        <v>235</v>
      </c>
      <c r="D52" s="6" t="s">
        <v>29</v>
      </c>
      <c r="E52" s="7">
        <v>39144</v>
      </c>
      <c r="F52" s="8">
        <v>45.681047999999997</v>
      </c>
      <c r="G52" s="9">
        <v>1.0977496E-2</v>
      </c>
      <c r="H52" s="167"/>
    </row>
    <row r="53" spans="1:8" x14ac:dyDescent="0.2">
      <c r="A53" s="5">
        <v>47</v>
      </c>
      <c r="B53" s="6" t="s">
        <v>258</v>
      </c>
      <c r="C53" s="6" t="s">
        <v>259</v>
      </c>
      <c r="D53" s="6" t="s">
        <v>23</v>
      </c>
      <c r="E53" s="7">
        <v>42227</v>
      </c>
      <c r="F53" s="8">
        <v>44.3172365</v>
      </c>
      <c r="G53" s="9">
        <v>1.0649761000000001E-2</v>
      </c>
      <c r="H53" s="167"/>
    </row>
    <row r="54" spans="1:8" x14ac:dyDescent="0.2">
      <c r="A54" s="5">
        <v>48</v>
      </c>
      <c r="B54" s="6" t="s">
        <v>238</v>
      </c>
      <c r="C54" s="6" t="s">
        <v>239</v>
      </c>
      <c r="D54" s="6" t="s">
        <v>240</v>
      </c>
      <c r="E54" s="7">
        <v>5411</v>
      </c>
      <c r="F54" s="8">
        <v>44.105060999999999</v>
      </c>
      <c r="G54" s="9">
        <v>1.0598774E-2</v>
      </c>
      <c r="H54" s="167"/>
    </row>
    <row r="55" spans="1:8" ht="25.5" x14ac:dyDescent="0.2">
      <c r="A55" s="5">
        <v>49</v>
      </c>
      <c r="B55" s="6" t="s">
        <v>241</v>
      </c>
      <c r="C55" s="6" t="s">
        <v>242</v>
      </c>
      <c r="D55" s="6" t="s">
        <v>153</v>
      </c>
      <c r="E55" s="7">
        <v>11717</v>
      </c>
      <c r="F55" s="8">
        <v>44.038344500000001</v>
      </c>
      <c r="G55" s="9">
        <v>1.0582741999999999E-2</v>
      </c>
      <c r="H55" s="167"/>
    </row>
    <row r="56" spans="1:8" x14ac:dyDescent="0.2">
      <c r="A56" s="5">
        <v>50</v>
      </c>
      <c r="B56" s="6" t="s">
        <v>286</v>
      </c>
      <c r="C56" s="6" t="s">
        <v>287</v>
      </c>
      <c r="D56" s="6" t="s">
        <v>29</v>
      </c>
      <c r="E56" s="7">
        <v>4326</v>
      </c>
      <c r="F56" s="8">
        <v>43.889432999999997</v>
      </c>
      <c r="G56" s="9">
        <v>1.0546956999999999E-2</v>
      </c>
      <c r="H56" s="167"/>
    </row>
    <row r="57" spans="1:8" x14ac:dyDescent="0.2">
      <c r="A57" s="5">
        <v>51</v>
      </c>
      <c r="B57" s="6" t="s">
        <v>264</v>
      </c>
      <c r="C57" s="6" t="s">
        <v>265</v>
      </c>
      <c r="D57" s="6" t="s">
        <v>971</v>
      </c>
      <c r="E57" s="7">
        <v>32152</v>
      </c>
      <c r="F57" s="8">
        <v>43.871403999999998</v>
      </c>
      <c r="G57" s="9">
        <v>1.0542625E-2</v>
      </c>
      <c r="H57" s="167"/>
    </row>
    <row r="58" spans="1:8" x14ac:dyDescent="0.2">
      <c r="A58" s="5">
        <v>52</v>
      </c>
      <c r="B58" s="6" t="s">
        <v>252</v>
      </c>
      <c r="C58" s="6" t="s">
        <v>253</v>
      </c>
      <c r="D58" s="6" t="s">
        <v>158</v>
      </c>
      <c r="E58" s="7">
        <v>7907</v>
      </c>
      <c r="F58" s="8">
        <v>43.361987999999997</v>
      </c>
      <c r="G58" s="9">
        <v>1.0420208E-2</v>
      </c>
      <c r="H58" s="167"/>
    </row>
    <row r="59" spans="1:8" ht="25.5" x14ac:dyDescent="0.2">
      <c r="A59" s="5">
        <v>53</v>
      </c>
      <c r="B59" s="6" t="s">
        <v>243</v>
      </c>
      <c r="C59" s="6" t="s">
        <v>244</v>
      </c>
      <c r="D59" s="6" t="s">
        <v>78</v>
      </c>
      <c r="E59" s="7">
        <v>12063</v>
      </c>
      <c r="F59" s="8">
        <v>42.763334999999998</v>
      </c>
      <c r="G59" s="9">
        <v>1.0276347E-2</v>
      </c>
      <c r="H59" s="167"/>
    </row>
    <row r="60" spans="1:8" x14ac:dyDescent="0.2">
      <c r="A60" s="5">
        <v>54</v>
      </c>
      <c r="B60" s="6" t="s">
        <v>268</v>
      </c>
      <c r="C60" s="6" t="s">
        <v>269</v>
      </c>
      <c r="D60" s="6" t="s">
        <v>50</v>
      </c>
      <c r="E60" s="7">
        <v>48028</v>
      </c>
      <c r="F60" s="8">
        <v>42.480766000000003</v>
      </c>
      <c r="G60" s="9">
        <v>1.0208444000000001E-2</v>
      </c>
      <c r="H60" s="167"/>
    </row>
    <row r="61" spans="1:8" x14ac:dyDescent="0.2">
      <c r="A61" s="5">
        <v>55</v>
      </c>
      <c r="B61" s="6" t="s">
        <v>95</v>
      </c>
      <c r="C61" s="6" t="s">
        <v>96</v>
      </c>
      <c r="D61" s="6" t="s">
        <v>75</v>
      </c>
      <c r="E61" s="7">
        <v>15890</v>
      </c>
      <c r="F61" s="8">
        <v>40.686345000000003</v>
      </c>
      <c r="G61" s="9">
        <v>9.7772310000000008E-3</v>
      </c>
      <c r="H61" s="167"/>
    </row>
    <row r="62" spans="1:8" x14ac:dyDescent="0.2">
      <c r="A62" s="5">
        <v>56</v>
      </c>
      <c r="B62" s="6" t="s">
        <v>262</v>
      </c>
      <c r="C62" s="6" t="s">
        <v>263</v>
      </c>
      <c r="D62" s="6" t="s">
        <v>185</v>
      </c>
      <c r="E62" s="7">
        <v>7112</v>
      </c>
      <c r="F62" s="8">
        <v>40.442388000000001</v>
      </c>
      <c r="G62" s="9">
        <v>9.7186070000000006E-3</v>
      </c>
      <c r="H62" s="167"/>
    </row>
    <row r="63" spans="1:8" x14ac:dyDescent="0.2">
      <c r="A63" s="5">
        <v>57</v>
      </c>
      <c r="B63" s="6" t="s">
        <v>260</v>
      </c>
      <c r="C63" s="6" t="s">
        <v>926</v>
      </c>
      <c r="D63" s="6" t="s">
        <v>261</v>
      </c>
      <c r="E63" s="7">
        <v>16931</v>
      </c>
      <c r="F63" s="8">
        <v>40.355038499999999</v>
      </c>
      <c r="G63" s="9">
        <v>9.6976159999999992E-3</v>
      </c>
      <c r="H63" s="167"/>
    </row>
    <row r="64" spans="1:8" x14ac:dyDescent="0.2">
      <c r="A64" s="5">
        <v>58</v>
      </c>
      <c r="B64" s="6" t="s">
        <v>266</v>
      </c>
      <c r="C64" s="6" t="s">
        <v>267</v>
      </c>
      <c r="D64" s="6" t="s">
        <v>75</v>
      </c>
      <c r="E64" s="7">
        <v>18903</v>
      </c>
      <c r="F64" s="8">
        <v>37.040428499999997</v>
      </c>
      <c r="G64" s="9">
        <v>8.9010900000000004E-3</v>
      </c>
      <c r="H64" s="167"/>
    </row>
    <row r="65" spans="1:8" x14ac:dyDescent="0.2">
      <c r="A65" s="5">
        <v>59</v>
      </c>
      <c r="B65" s="6" t="s">
        <v>53</v>
      </c>
      <c r="C65" s="6" t="s">
        <v>54</v>
      </c>
      <c r="D65" s="6" t="s">
        <v>32</v>
      </c>
      <c r="E65" s="7">
        <v>15702</v>
      </c>
      <c r="F65" s="8">
        <v>33.170475000000003</v>
      </c>
      <c r="G65" s="9">
        <v>7.9711120000000007E-3</v>
      </c>
      <c r="H65" s="167"/>
    </row>
    <row r="66" spans="1:8" x14ac:dyDescent="0.2">
      <c r="A66" s="5">
        <v>60</v>
      </c>
      <c r="B66" s="6" t="s">
        <v>274</v>
      </c>
      <c r="C66" s="6" t="s">
        <v>275</v>
      </c>
      <c r="D66" s="6" t="s">
        <v>153</v>
      </c>
      <c r="E66" s="7">
        <v>1792</v>
      </c>
      <c r="F66" s="8">
        <v>27.488384</v>
      </c>
      <c r="G66" s="9">
        <v>6.6056630000000003E-3</v>
      </c>
      <c r="H66" s="167"/>
    </row>
    <row r="67" spans="1:8" x14ac:dyDescent="0.2">
      <c r="A67" s="5">
        <v>61</v>
      </c>
      <c r="B67" s="6" t="s">
        <v>248</v>
      </c>
      <c r="C67" s="6" t="s">
        <v>249</v>
      </c>
      <c r="D67" s="6" t="s">
        <v>192</v>
      </c>
      <c r="E67" s="7">
        <v>1825</v>
      </c>
      <c r="F67" s="8">
        <v>26.4771</v>
      </c>
      <c r="G67" s="9">
        <v>6.3626439999999998E-3</v>
      </c>
      <c r="H67" s="167"/>
    </row>
    <row r="68" spans="1:8" x14ac:dyDescent="0.2">
      <c r="A68" s="5">
        <v>62</v>
      </c>
      <c r="B68" s="6" t="s">
        <v>270</v>
      </c>
      <c r="C68" s="6" t="s">
        <v>271</v>
      </c>
      <c r="D68" s="6" t="s">
        <v>75</v>
      </c>
      <c r="E68" s="7">
        <v>16672</v>
      </c>
      <c r="F68" s="8">
        <v>26.358432000000001</v>
      </c>
      <c r="G68" s="9">
        <v>6.3341270000000002E-3</v>
      </c>
      <c r="H68" s="167"/>
    </row>
    <row r="69" spans="1:8" x14ac:dyDescent="0.2">
      <c r="A69" s="5">
        <v>63</v>
      </c>
      <c r="B69" s="6" t="s">
        <v>272</v>
      </c>
      <c r="C69" s="6" t="s">
        <v>273</v>
      </c>
      <c r="D69" s="6" t="s">
        <v>972</v>
      </c>
      <c r="E69" s="7">
        <v>1636</v>
      </c>
      <c r="F69" s="8">
        <v>25.341640000000002</v>
      </c>
      <c r="G69" s="9">
        <v>6.0897850000000003E-3</v>
      </c>
      <c r="H69" s="167"/>
    </row>
    <row r="70" spans="1:8" x14ac:dyDescent="0.2">
      <c r="A70" s="5">
        <v>64</v>
      </c>
      <c r="B70" s="6" t="s">
        <v>276</v>
      </c>
      <c r="C70" s="6" t="s">
        <v>277</v>
      </c>
      <c r="D70" s="6" t="s">
        <v>167</v>
      </c>
      <c r="E70" s="7">
        <v>3970</v>
      </c>
      <c r="F70" s="8">
        <v>22.007694999999998</v>
      </c>
      <c r="G70" s="9">
        <v>5.2886130000000002E-3</v>
      </c>
      <c r="H70" s="167"/>
    </row>
    <row r="71" spans="1:8" x14ac:dyDescent="0.2">
      <c r="A71" s="5">
        <v>65</v>
      </c>
      <c r="B71" s="6" t="s">
        <v>280</v>
      </c>
      <c r="C71" s="6" t="s">
        <v>281</v>
      </c>
      <c r="D71" s="6" t="s">
        <v>971</v>
      </c>
      <c r="E71" s="7">
        <v>46501</v>
      </c>
      <c r="F71" s="8">
        <v>19.437418000000001</v>
      </c>
      <c r="G71" s="9">
        <v>4.6709560000000004E-3</v>
      </c>
      <c r="H71" s="167"/>
    </row>
    <row r="72" spans="1:8" x14ac:dyDescent="0.2">
      <c r="A72" s="5">
        <v>66</v>
      </c>
      <c r="B72" s="6" t="s">
        <v>282</v>
      </c>
      <c r="C72" s="6" t="s">
        <v>283</v>
      </c>
      <c r="D72" s="6" t="s">
        <v>284</v>
      </c>
      <c r="E72" s="7">
        <v>13161</v>
      </c>
      <c r="F72" s="8">
        <v>19.083449999999999</v>
      </c>
      <c r="G72" s="9">
        <v>4.5858950000000004E-3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0">
        <v>4052.2489464999999</v>
      </c>
      <c r="G73" s="11">
        <v>0.973785554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105</v>
      </c>
      <c r="D75" s="3" t="s">
        <v>10</v>
      </c>
      <c r="E75" s="3" t="s">
        <v>10</v>
      </c>
      <c r="F75" s="3" t="s">
        <v>10</v>
      </c>
      <c r="G75" s="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106</v>
      </c>
      <c r="D78" s="3" t="s">
        <v>10</v>
      </c>
      <c r="E78" s="3" t="s">
        <v>10</v>
      </c>
      <c r="F78" s="3" t="s">
        <v>10</v>
      </c>
      <c r="G78" s="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110</v>
      </c>
      <c r="D81" s="3" t="s">
        <v>10</v>
      </c>
      <c r="E81" s="3" t="s">
        <v>10</v>
      </c>
      <c r="F81" s="3" t="s">
        <v>10</v>
      </c>
      <c r="G81" s="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4">
        <v>0</v>
      </c>
      <c r="G82" s="15">
        <v>0</v>
      </c>
      <c r="H82" s="167"/>
    </row>
    <row r="83" spans="1:8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111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4">
        <v>0</v>
      </c>
      <c r="G85" s="15">
        <v>0</v>
      </c>
      <c r="H85" s="167"/>
    </row>
    <row r="86" spans="1:8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112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104</v>
      </c>
      <c r="D88" s="3" t="s">
        <v>10</v>
      </c>
      <c r="E88" s="3" t="s">
        <v>10</v>
      </c>
      <c r="F88" s="14">
        <v>0</v>
      </c>
      <c r="G88" s="15">
        <v>0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113</v>
      </c>
      <c r="D90" s="3" t="s">
        <v>10</v>
      </c>
      <c r="E90" s="3" t="s">
        <v>10</v>
      </c>
      <c r="F90" s="10">
        <v>4052.2489464999999</v>
      </c>
      <c r="G90" s="11">
        <v>0.973785554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114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ht="25.5" x14ac:dyDescent="0.2">
      <c r="A93" s="3" t="s">
        <v>10</v>
      </c>
      <c r="B93" s="3" t="s">
        <v>10</v>
      </c>
      <c r="C93" s="4" t="s">
        <v>12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115</v>
      </c>
      <c r="D96" s="3" t="s">
        <v>10</v>
      </c>
      <c r="E96" s="3" t="s">
        <v>10</v>
      </c>
      <c r="F96" s="3" t="s">
        <v>10</v>
      </c>
      <c r="G96" s="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104</v>
      </c>
      <c r="D97" s="3" t="s">
        <v>10</v>
      </c>
      <c r="E97" s="3" t="s">
        <v>10</v>
      </c>
      <c r="F97" s="14">
        <v>0</v>
      </c>
      <c r="G97" s="15">
        <v>0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116</v>
      </c>
      <c r="D99" s="3" t="s">
        <v>10</v>
      </c>
      <c r="E99" s="3" t="s">
        <v>10</v>
      </c>
      <c r="F99" s="3" t="s">
        <v>10</v>
      </c>
      <c r="G99" s="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104</v>
      </c>
      <c r="D100" s="3" t="s">
        <v>10</v>
      </c>
      <c r="E100" s="3" t="s">
        <v>10</v>
      </c>
      <c r="F100" s="14">
        <v>0</v>
      </c>
      <c r="G100" s="15">
        <v>0</v>
      </c>
      <c r="H100" s="167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117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104</v>
      </c>
      <c r="D103" s="3" t="s">
        <v>10</v>
      </c>
      <c r="E103" s="3" t="s">
        <v>10</v>
      </c>
      <c r="F103" s="14">
        <v>0</v>
      </c>
      <c r="G103" s="15">
        <v>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118</v>
      </c>
      <c r="D105" s="3" t="s">
        <v>10</v>
      </c>
      <c r="E105" s="3" t="s">
        <v>10</v>
      </c>
      <c r="F105" s="10">
        <v>0</v>
      </c>
      <c r="G105" s="11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119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120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104</v>
      </c>
      <c r="D109" s="3" t="s">
        <v>10</v>
      </c>
      <c r="E109" s="3" t="s">
        <v>10</v>
      </c>
      <c r="F109" s="14">
        <v>0</v>
      </c>
      <c r="G109" s="15">
        <v>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121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4">
        <v>0</v>
      </c>
      <c r="G112" s="15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122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104</v>
      </c>
      <c r="D115" s="3" t="s">
        <v>10</v>
      </c>
      <c r="E115" s="3" t="s">
        <v>10</v>
      </c>
      <c r="F115" s="14">
        <v>0</v>
      </c>
      <c r="G115" s="15">
        <v>0</v>
      </c>
      <c r="H115" s="167"/>
    </row>
    <row r="116" spans="1:8" x14ac:dyDescent="0.2">
      <c r="A116" s="3" t="s">
        <v>10</v>
      </c>
      <c r="B116" s="3" t="s">
        <v>10</v>
      </c>
      <c r="C116" s="12" t="s">
        <v>10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123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5">
        <v>1</v>
      </c>
      <c r="B118" s="6"/>
      <c r="C118" s="6" t="s">
        <v>124</v>
      </c>
      <c r="D118" s="6"/>
      <c r="E118" s="16" t="s">
        <v>10</v>
      </c>
      <c r="F118" s="8">
        <v>56.127228700000003</v>
      </c>
      <c r="G118" s="9">
        <v>1.348779E-2</v>
      </c>
      <c r="H118" s="108">
        <v>3.23</v>
      </c>
    </row>
    <row r="119" spans="1:8" x14ac:dyDescent="0.2">
      <c r="A119" s="5">
        <v>2</v>
      </c>
      <c r="B119" s="6"/>
      <c r="C119" s="6" t="s">
        <v>125</v>
      </c>
      <c r="D119" s="6"/>
      <c r="E119" s="16" t="s">
        <v>10</v>
      </c>
      <c r="F119" s="8">
        <v>15.765529000000001</v>
      </c>
      <c r="G119" s="9">
        <v>3.7885739999999998E-3</v>
      </c>
      <c r="H119" s="108">
        <v>3.35</v>
      </c>
    </row>
    <row r="120" spans="1:8" x14ac:dyDescent="0.2">
      <c r="A120" s="3" t="s">
        <v>10</v>
      </c>
      <c r="B120" s="3" t="s">
        <v>10</v>
      </c>
      <c r="C120" s="4" t="s">
        <v>104</v>
      </c>
      <c r="D120" s="3" t="s">
        <v>10</v>
      </c>
      <c r="E120" s="3" t="s">
        <v>10</v>
      </c>
      <c r="F120" s="10">
        <v>71.892757700000004</v>
      </c>
      <c r="G120" s="11">
        <v>1.7276363999999999E-2</v>
      </c>
      <c r="H120" s="167"/>
    </row>
    <row r="121" spans="1:8" x14ac:dyDescent="0.2">
      <c r="A121" s="3" t="s">
        <v>10</v>
      </c>
      <c r="B121" s="3" t="s">
        <v>10</v>
      </c>
      <c r="C121" s="12" t="s">
        <v>10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126</v>
      </c>
      <c r="D122" s="3" t="s">
        <v>10</v>
      </c>
      <c r="E122" s="3" t="s">
        <v>10</v>
      </c>
      <c r="F122" s="10">
        <v>71.892757700000004</v>
      </c>
      <c r="G122" s="11">
        <v>1.7276363999999999E-2</v>
      </c>
      <c r="H122" s="167"/>
    </row>
    <row r="123" spans="1:8" x14ac:dyDescent="0.2">
      <c r="A123" s="3" t="s">
        <v>10</v>
      </c>
      <c r="B123" s="3" t="s">
        <v>10</v>
      </c>
      <c r="C123" s="13" t="s">
        <v>10</v>
      </c>
      <c r="D123" s="3" t="s">
        <v>10</v>
      </c>
      <c r="E123" s="3" t="s">
        <v>10</v>
      </c>
      <c r="F123" s="3" t="s">
        <v>10</v>
      </c>
      <c r="G123" s="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127</v>
      </c>
      <c r="D124" s="3" t="s">
        <v>10</v>
      </c>
      <c r="E124" s="3" t="s">
        <v>10</v>
      </c>
      <c r="F124" s="3" t="s">
        <v>10</v>
      </c>
      <c r="G124" s="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128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4">
        <v>0</v>
      </c>
      <c r="G126" s="15">
        <v>0</v>
      </c>
      <c r="H126" s="167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129</v>
      </c>
      <c r="D128" s="3" t="s">
        <v>10</v>
      </c>
      <c r="E128" s="3" t="s">
        <v>10</v>
      </c>
      <c r="F128" s="3" t="s">
        <v>10</v>
      </c>
      <c r="G128" s="3" t="s">
        <v>10</v>
      </c>
      <c r="H128" s="167"/>
    </row>
    <row r="129" spans="1:8" x14ac:dyDescent="0.2">
      <c r="A129" s="3" t="s">
        <v>10</v>
      </c>
      <c r="B129" s="3" t="s">
        <v>10</v>
      </c>
      <c r="C129" s="4" t="s">
        <v>130</v>
      </c>
      <c r="D129" s="3" t="s">
        <v>10</v>
      </c>
      <c r="E129" s="3" t="s">
        <v>10</v>
      </c>
      <c r="F129" s="3" t="s">
        <v>10</v>
      </c>
      <c r="G129" s="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3" t="s">
        <v>10</v>
      </c>
      <c r="C132" s="12" t="s">
        <v>10</v>
      </c>
      <c r="D132" s="3" t="s">
        <v>10</v>
      </c>
      <c r="E132" s="3" t="s">
        <v>10</v>
      </c>
      <c r="F132" s="13" t="s">
        <v>10</v>
      </c>
      <c r="G132" s="13" t="s">
        <v>10</v>
      </c>
      <c r="H132" s="167"/>
    </row>
    <row r="133" spans="1:8" ht="25.5" x14ac:dyDescent="0.2">
      <c r="A133" s="3" t="s">
        <v>10</v>
      </c>
      <c r="B133" s="3" t="s">
        <v>10</v>
      </c>
      <c r="C133" s="4" t="s">
        <v>131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104</v>
      </c>
      <c r="D134" s="3" t="s">
        <v>10</v>
      </c>
      <c r="E134" s="3" t="s">
        <v>10</v>
      </c>
      <c r="F134" s="14">
        <v>0</v>
      </c>
      <c r="G134" s="15">
        <v>0</v>
      </c>
      <c r="H134" s="167"/>
    </row>
    <row r="135" spans="1:8" x14ac:dyDescent="0.2">
      <c r="A135" s="3" t="s">
        <v>10</v>
      </c>
      <c r="B135" s="3" t="s">
        <v>10</v>
      </c>
      <c r="C135" s="12" t="s">
        <v>10</v>
      </c>
      <c r="D135" s="3" t="s">
        <v>10</v>
      </c>
      <c r="E135" s="3" t="s">
        <v>10</v>
      </c>
      <c r="F135" s="13" t="s">
        <v>10</v>
      </c>
      <c r="G135" s="13" t="s">
        <v>10</v>
      </c>
      <c r="H135" s="167"/>
    </row>
    <row r="136" spans="1:8" x14ac:dyDescent="0.2">
      <c r="A136" s="3" t="s">
        <v>10</v>
      </c>
      <c r="B136" s="6" t="s">
        <v>10</v>
      </c>
      <c r="C136" s="6" t="s">
        <v>10</v>
      </c>
      <c r="D136" s="4" t="s">
        <v>10</v>
      </c>
      <c r="E136" s="3" t="s">
        <v>10</v>
      </c>
      <c r="F136" s="6" t="s">
        <v>10</v>
      </c>
      <c r="G136" s="16" t="s">
        <v>10</v>
      </c>
      <c r="H136" s="167"/>
    </row>
    <row r="137" spans="1:8" x14ac:dyDescent="0.2">
      <c r="A137" s="16" t="s">
        <v>10</v>
      </c>
      <c r="B137" s="6" t="s">
        <v>10</v>
      </c>
      <c r="C137" s="6" t="s">
        <v>132</v>
      </c>
      <c r="D137" s="6" t="s">
        <v>10</v>
      </c>
      <c r="E137" s="16" t="s">
        <v>10</v>
      </c>
      <c r="F137" s="8">
        <v>37.194362900000002</v>
      </c>
      <c r="G137" s="9">
        <v>8.938082E-3</v>
      </c>
      <c r="H137" s="167"/>
    </row>
    <row r="138" spans="1:8" x14ac:dyDescent="0.2">
      <c r="A138" s="12" t="s">
        <v>10</v>
      </c>
      <c r="B138" s="12" t="s">
        <v>10</v>
      </c>
      <c r="C138" s="4" t="s">
        <v>133</v>
      </c>
      <c r="D138" s="17" t="s">
        <v>10</v>
      </c>
      <c r="E138" s="17" t="s">
        <v>10</v>
      </c>
      <c r="F138" s="10">
        <v>4161.3360671</v>
      </c>
      <c r="G138" s="11">
        <v>1</v>
      </c>
      <c r="H138" s="167"/>
    </row>
    <row r="139" spans="1:8" ht="14.1" customHeight="1" x14ac:dyDescent="0.2">
      <c r="A139" s="18" t="s">
        <v>10</v>
      </c>
      <c r="B139" s="18" t="s">
        <v>10</v>
      </c>
      <c r="C139" s="18" t="s">
        <v>10</v>
      </c>
      <c r="D139" s="19" t="s">
        <v>10</v>
      </c>
      <c r="E139" s="19" t="s">
        <v>10</v>
      </c>
      <c r="F139" s="19" t="s">
        <v>10</v>
      </c>
      <c r="G139" s="19" t="s">
        <v>10</v>
      </c>
    </row>
    <row r="140" spans="1:8" ht="14.1" customHeight="1" x14ac:dyDescent="0.2">
      <c r="A140" s="20" t="s">
        <v>10</v>
      </c>
      <c r="B140" s="208" t="s">
        <v>10</v>
      </c>
      <c r="C140" s="208"/>
      <c r="D140" s="208"/>
      <c r="E140" s="208"/>
      <c r="F140" s="208"/>
      <c r="G140" s="22" t="s">
        <v>10</v>
      </c>
    </row>
    <row r="141" spans="1:8" ht="14.1" customHeight="1" x14ac:dyDescent="0.2">
      <c r="A141" s="20" t="s">
        <v>10</v>
      </c>
      <c r="B141" s="208" t="s">
        <v>10</v>
      </c>
      <c r="C141" s="208"/>
      <c r="D141" s="208"/>
      <c r="E141" s="208"/>
      <c r="F141" s="208"/>
      <c r="G141" s="22" t="s">
        <v>10</v>
      </c>
    </row>
    <row r="142" spans="1:8" ht="14.1" customHeight="1" x14ac:dyDescent="0.2">
      <c r="A142" s="20" t="s">
        <v>10</v>
      </c>
      <c r="B142" s="20" t="s">
        <v>10</v>
      </c>
      <c r="C142" s="20" t="s">
        <v>10</v>
      </c>
      <c r="D142" s="22" t="s">
        <v>10</v>
      </c>
      <c r="E142" s="22" t="s">
        <v>10</v>
      </c>
      <c r="F142" s="22" t="s">
        <v>10</v>
      </c>
      <c r="G142" s="22" t="s">
        <v>10</v>
      </c>
    </row>
    <row r="143" spans="1:8" ht="14.1" customHeight="1" x14ac:dyDescent="0.2">
      <c r="A143" s="20" t="s">
        <v>10</v>
      </c>
      <c r="B143" s="206" t="s">
        <v>134</v>
      </c>
      <c r="C143" s="207"/>
      <c r="D143" s="13" t="s">
        <v>10</v>
      </c>
      <c r="E143" s="23" t="s">
        <v>10</v>
      </c>
      <c r="F143" s="22" t="s">
        <v>10</v>
      </c>
      <c r="G143" s="22" t="s">
        <v>10</v>
      </c>
    </row>
    <row r="144" spans="1:8" ht="29.1" customHeight="1" x14ac:dyDescent="0.2">
      <c r="A144" s="20" t="s">
        <v>10</v>
      </c>
      <c r="B144" s="213" t="s">
        <v>135</v>
      </c>
      <c r="C144" s="214"/>
      <c r="D144" s="4" t="s">
        <v>136</v>
      </c>
      <c r="E144" s="23" t="s">
        <v>10</v>
      </c>
      <c r="F144" s="22" t="s">
        <v>10</v>
      </c>
      <c r="G144" s="22" t="s">
        <v>10</v>
      </c>
    </row>
    <row r="145" spans="1:7" ht="17.100000000000001" customHeight="1" x14ac:dyDescent="0.2">
      <c r="A145" s="20" t="s">
        <v>10</v>
      </c>
      <c r="B145" s="213" t="s">
        <v>137</v>
      </c>
      <c r="C145" s="214"/>
      <c r="D145" s="4" t="s">
        <v>136</v>
      </c>
      <c r="E145" s="23" t="s">
        <v>10</v>
      </c>
      <c r="F145" s="22" t="s">
        <v>10</v>
      </c>
      <c r="G145" s="22" t="s">
        <v>10</v>
      </c>
    </row>
    <row r="146" spans="1:7" ht="17.100000000000001" customHeight="1" x14ac:dyDescent="0.2">
      <c r="A146" s="20" t="s">
        <v>10</v>
      </c>
      <c r="B146" s="213" t="s">
        <v>138</v>
      </c>
      <c r="C146" s="214"/>
      <c r="D146" s="13" t="s">
        <v>10</v>
      </c>
      <c r="E146" s="23" t="s">
        <v>10</v>
      </c>
      <c r="F146" s="22" t="s">
        <v>10</v>
      </c>
      <c r="G146" s="22" t="s">
        <v>10</v>
      </c>
    </row>
    <row r="147" spans="1:7" s="20" customFormat="1" ht="17.100000000000001" customHeight="1" x14ac:dyDescent="0.2"/>
    <row r="148" spans="1:7" x14ac:dyDescent="0.2">
      <c r="A148" s="24" t="s">
        <v>10</v>
      </c>
      <c r="B148" s="140" t="s">
        <v>10</v>
      </c>
      <c r="C148" s="140" t="s">
        <v>139</v>
      </c>
      <c r="D148" s="140" t="s">
        <v>140</v>
      </c>
      <c r="E148" s="24" t="s">
        <v>10</v>
      </c>
      <c r="F148" s="24" t="s">
        <v>10</v>
      </c>
      <c r="G148" s="24" t="s">
        <v>10</v>
      </c>
    </row>
    <row r="149" spans="1:7" ht="24" customHeight="1" x14ac:dyDescent="0.2">
      <c r="A149" s="24" t="s">
        <v>10</v>
      </c>
      <c r="B149" s="25" t="s">
        <v>10</v>
      </c>
      <c r="C149" s="25" t="s">
        <v>139</v>
      </c>
      <c r="D149" s="25" t="s">
        <v>140</v>
      </c>
      <c r="E149" s="24" t="s">
        <v>10</v>
      </c>
      <c r="F149" s="24" t="s">
        <v>10</v>
      </c>
      <c r="G149" s="24" t="s">
        <v>10</v>
      </c>
    </row>
    <row r="150" spans="1:7" ht="18" customHeight="1" x14ac:dyDescent="0.2">
      <c r="A150" s="24" t="s">
        <v>10</v>
      </c>
      <c r="B150" s="25" t="s">
        <v>141</v>
      </c>
      <c r="C150" s="25" t="s">
        <v>142</v>
      </c>
      <c r="D150" s="25" t="s">
        <v>143</v>
      </c>
      <c r="E150" s="24" t="s">
        <v>10</v>
      </c>
      <c r="F150" s="24" t="s">
        <v>10</v>
      </c>
      <c r="G150" s="24" t="s">
        <v>10</v>
      </c>
    </row>
    <row r="151" spans="1:7" ht="17.100000000000001" customHeight="1" x14ac:dyDescent="0.2">
      <c r="A151" s="24" t="s">
        <v>10</v>
      </c>
      <c r="B151" s="6" t="s">
        <v>144</v>
      </c>
      <c r="C151" s="26">
        <v>10.3445</v>
      </c>
      <c r="D151" s="26">
        <v>11.618</v>
      </c>
      <c r="E151" s="24" t="s">
        <v>10</v>
      </c>
      <c r="F151" s="21" t="s">
        <v>10</v>
      </c>
      <c r="G151" s="27" t="s">
        <v>10</v>
      </c>
    </row>
    <row r="152" spans="1:7" ht="17.100000000000001" customHeight="1" x14ac:dyDescent="0.2">
      <c r="A152" s="24" t="s">
        <v>10</v>
      </c>
      <c r="B152" s="6" t="s">
        <v>917</v>
      </c>
      <c r="C152" s="26">
        <v>10.3445</v>
      </c>
      <c r="D152" s="26">
        <v>11.618</v>
      </c>
      <c r="E152" s="24" t="s">
        <v>10</v>
      </c>
      <c r="F152" s="21" t="s">
        <v>10</v>
      </c>
      <c r="G152" s="27" t="s">
        <v>10</v>
      </c>
    </row>
    <row r="153" spans="1:7" ht="17.100000000000001" customHeight="1" x14ac:dyDescent="0.2">
      <c r="A153" s="24" t="s">
        <v>10</v>
      </c>
      <c r="B153" s="6" t="s">
        <v>145</v>
      </c>
      <c r="C153" s="26">
        <v>9.9657999999999998</v>
      </c>
      <c r="D153" s="26">
        <v>11.191000000000001</v>
      </c>
      <c r="E153" s="24" t="s">
        <v>10</v>
      </c>
      <c r="F153" s="21" t="s">
        <v>10</v>
      </c>
      <c r="G153" s="27" t="s">
        <v>10</v>
      </c>
    </row>
    <row r="154" spans="1:7" ht="17.100000000000001" customHeight="1" x14ac:dyDescent="0.2">
      <c r="A154" s="24" t="s">
        <v>10</v>
      </c>
      <c r="B154" s="6" t="s">
        <v>918</v>
      </c>
      <c r="C154" s="26">
        <v>9.9657999999999998</v>
      </c>
      <c r="D154" s="26">
        <v>11.191000000000001</v>
      </c>
      <c r="E154" s="24" t="s">
        <v>10</v>
      </c>
      <c r="F154" s="21" t="s">
        <v>10</v>
      </c>
      <c r="G154" s="27" t="s">
        <v>10</v>
      </c>
    </row>
    <row r="155" spans="1:7" ht="14.1" customHeight="1" x14ac:dyDescent="0.2">
      <c r="A155" s="24" t="s">
        <v>10</v>
      </c>
      <c r="B155" s="24" t="s">
        <v>10</v>
      </c>
      <c r="C155" s="24" t="s">
        <v>10</v>
      </c>
      <c r="D155" s="24" t="s">
        <v>10</v>
      </c>
      <c r="E155" s="24" t="s">
        <v>10</v>
      </c>
      <c r="F155" s="24" t="s">
        <v>10</v>
      </c>
      <c r="G155" s="24" t="s">
        <v>10</v>
      </c>
    </row>
    <row r="156" spans="1:7" ht="17.100000000000001" customHeight="1" x14ac:dyDescent="0.2">
      <c r="A156" s="24" t="s">
        <v>10</v>
      </c>
      <c r="B156" s="213" t="s">
        <v>999</v>
      </c>
      <c r="C156" s="214"/>
      <c r="D156" s="4" t="s">
        <v>136</v>
      </c>
      <c r="E156" s="24" t="s">
        <v>10</v>
      </c>
      <c r="F156" s="24" t="s">
        <v>10</v>
      </c>
      <c r="G156" s="24" t="s">
        <v>10</v>
      </c>
    </row>
    <row r="157" spans="1:7" ht="18" customHeight="1" x14ac:dyDescent="0.2">
      <c r="A157" s="24" t="s">
        <v>10</v>
      </c>
      <c r="B157" s="28"/>
      <c r="C157" s="28"/>
      <c r="D157" s="29" t="s">
        <v>10</v>
      </c>
      <c r="E157" s="24" t="s">
        <v>10</v>
      </c>
      <c r="F157" s="24" t="s">
        <v>10</v>
      </c>
      <c r="G157" s="24" t="s">
        <v>10</v>
      </c>
    </row>
    <row r="158" spans="1:7" s="175" customFormat="1" x14ac:dyDescent="0.2">
      <c r="B158" s="221" t="s">
        <v>919</v>
      </c>
      <c r="C158" s="221"/>
      <c r="D158" s="221"/>
      <c r="E158" s="221"/>
      <c r="F158" s="221"/>
    </row>
    <row r="159" spans="1:7" ht="14.1" customHeight="1" x14ac:dyDescent="0.2">
      <c r="A159" s="24" t="s">
        <v>10</v>
      </c>
      <c r="B159" s="21" t="s">
        <v>10</v>
      </c>
      <c r="C159" s="21" t="s">
        <v>10</v>
      </c>
      <c r="D159" s="24" t="s">
        <v>10</v>
      </c>
      <c r="E159" s="24" t="s">
        <v>10</v>
      </c>
      <c r="F159" s="24" t="s">
        <v>10</v>
      </c>
      <c r="G159" s="24" t="s">
        <v>10</v>
      </c>
    </row>
    <row r="160" spans="1:7" ht="29.1" customHeight="1" x14ac:dyDescent="0.2">
      <c r="A160" s="24" t="s">
        <v>10</v>
      </c>
      <c r="B160" s="213" t="s">
        <v>146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  <row r="161" spans="1:7" ht="29.1" customHeight="1" x14ac:dyDescent="0.2">
      <c r="A161" s="24" t="s">
        <v>10</v>
      </c>
      <c r="B161" s="213" t="s">
        <v>147</v>
      </c>
      <c r="C161" s="214"/>
      <c r="D161" s="4" t="s">
        <v>136</v>
      </c>
      <c r="E161" s="24" t="s">
        <v>10</v>
      </c>
      <c r="F161" s="24" t="s">
        <v>10</v>
      </c>
      <c r="G161" s="24" t="s">
        <v>10</v>
      </c>
    </row>
    <row r="162" spans="1:7" ht="17.100000000000001" customHeight="1" x14ac:dyDescent="0.2">
      <c r="A162" s="24" t="s">
        <v>10</v>
      </c>
      <c r="B162" s="213" t="s">
        <v>148</v>
      </c>
      <c r="C162" s="214"/>
      <c r="D162" s="30">
        <v>0.44339054017730956</v>
      </c>
      <c r="E162" s="24" t="s">
        <v>10</v>
      </c>
      <c r="F162" s="21" t="s">
        <v>10</v>
      </c>
      <c r="G162" s="27" t="s">
        <v>10</v>
      </c>
    </row>
    <row r="163" spans="1:7" ht="17.100000000000001" customHeight="1" x14ac:dyDescent="0.2">
      <c r="A163" s="24" t="s">
        <v>10</v>
      </c>
      <c r="B163" s="213" t="s">
        <v>149</v>
      </c>
      <c r="C163" s="214"/>
      <c r="D163" s="4" t="s">
        <v>136</v>
      </c>
      <c r="E163" s="24" t="s">
        <v>10</v>
      </c>
      <c r="F163" s="24" t="s">
        <v>10</v>
      </c>
      <c r="G163" s="24" t="s">
        <v>10</v>
      </c>
    </row>
  </sheetData>
  <mergeCells count="15">
    <mergeCell ref="B162:C162"/>
    <mergeCell ref="B163:C163"/>
    <mergeCell ref="B144:C144"/>
    <mergeCell ref="B145:C145"/>
    <mergeCell ref="B146:C146"/>
    <mergeCell ref="B156:C156"/>
    <mergeCell ref="B160:C160"/>
    <mergeCell ref="B161:C161"/>
    <mergeCell ref="B158:F158"/>
    <mergeCell ref="B143:C143"/>
    <mergeCell ref="B140:F140"/>
    <mergeCell ref="B141:F14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26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509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295</v>
      </c>
      <c r="C7" s="6" t="s">
        <v>296</v>
      </c>
      <c r="D7" s="6" t="s">
        <v>969</v>
      </c>
      <c r="E7" s="7">
        <v>29500</v>
      </c>
      <c r="F7" s="8">
        <v>275.2645</v>
      </c>
      <c r="G7" s="9">
        <v>2.4368306999999999E-2</v>
      </c>
      <c r="H7" s="167"/>
    </row>
    <row r="8" spans="1:8" x14ac:dyDescent="0.2">
      <c r="A8" s="5">
        <v>2</v>
      </c>
      <c r="B8" s="6" t="s">
        <v>301</v>
      </c>
      <c r="C8" s="6" t="s">
        <v>302</v>
      </c>
      <c r="D8" s="6" t="s">
        <v>178</v>
      </c>
      <c r="E8" s="7">
        <v>8331</v>
      </c>
      <c r="F8" s="8">
        <v>263.9885625</v>
      </c>
      <c r="G8" s="9">
        <v>2.3370083E-2</v>
      </c>
      <c r="H8" s="167"/>
    </row>
    <row r="9" spans="1:8" x14ac:dyDescent="0.2">
      <c r="A9" s="5">
        <v>3</v>
      </c>
      <c r="B9" s="6" t="s">
        <v>309</v>
      </c>
      <c r="C9" s="6" t="s">
        <v>310</v>
      </c>
      <c r="D9" s="6" t="s">
        <v>971</v>
      </c>
      <c r="E9" s="7">
        <v>8168</v>
      </c>
      <c r="F9" s="8">
        <v>254.122816</v>
      </c>
      <c r="G9" s="9">
        <v>2.2496698999999998E-2</v>
      </c>
      <c r="H9" s="167"/>
    </row>
    <row r="10" spans="1:8" ht="25.5" x14ac:dyDescent="0.2">
      <c r="A10" s="5">
        <v>4</v>
      </c>
      <c r="B10" s="6" t="s">
        <v>19</v>
      </c>
      <c r="C10" s="6" t="s">
        <v>20</v>
      </c>
      <c r="D10" s="6" t="s">
        <v>970</v>
      </c>
      <c r="E10" s="7">
        <v>25630</v>
      </c>
      <c r="F10" s="8">
        <v>247.64987500000001</v>
      </c>
      <c r="G10" s="9">
        <v>2.1923669999999999E-2</v>
      </c>
      <c r="H10" s="167"/>
    </row>
    <row r="11" spans="1:8" ht="25.5" x14ac:dyDescent="0.2">
      <c r="A11" s="5">
        <v>5</v>
      </c>
      <c r="B11" s="6" t="s">
        <v>331</v>
      </c>
      <c r="C11" s="6" t="s">
        <v>332</v>
      </c>
      <c r="D11" s="6" t="s">
        <v>75</v>
      </c>
      <c r="E11" s="7">
        <v>55801</v>
      </c>
      <c r="F11" s="8">
        <v>222.22748250000001</v>
      </c>
      <c r="G11" s="9">
        <v>1.9673105E-2</v>
      </c>
      <c r="H11" s="167"/>
    </row>
    <row r="12" spans="1:8" ht="25.5" x14ac:dyDescent="0.2">
      <c r="A12" s="5">
        <v>6</v>
      </c>
      <c r="B12" s="6" t="s">
        <v>376</v>
      </c>
      <c r="C12" s="6" t="s">
        <v>377</v>
      </c>
      <c r="D12" s="6" t="s">
        <v>78</v>
      </c>
      <c r="E12" s="7">
        <v>30301</v>
      </c>
      <c r="F12" s="8">
        <v>201.1531885</v>
      </c>
      <c r="G12" s="9">
        <v>1.7807463999999999E-2</v>
      </c>
      <c r="H12" s="167"/>
    </row>
    <row r="13" spans="1:8" x14ac:dyDescent="0.2">
      <c r="A13" s="5">
        <v>7</v>
      </c>
      <c r="B13" s="6" t="s">
        <v>299</v>
      </c>
      <c r="C13" s="6" t="s">
        <v>300</v>
      </c>
      <c r="D13" s="6" t="s">
        <v>167</v>
      </c>
      <c r="E13" s="7">
        <v>8382</v>
      </c>
      <c r="F13" s="8">
        <v>200.69441699999999</v>
      </c>
      <c r="G13" s="9">
        <v>1.7766850000000001E-2</v>
      </c>
      <c r="H13" s="167"/>
    </row>
    <row r="14" spans="1:8" ht="25.5" x14ac:dyDescent="0.2">
      <c r="A14" s="5">
        <v>8</v>
      </c>
      <c r="B14" s="6" t="s">
        <v>297</v>
      </c>
      <c r="C14" s="6" t="s">
        <v>298</v>
      </c>
      <c r="D14" s="6" t="s">
        <v>158</v>
      </c>
      <c r="E14" s="7">
        <v>36149</v>
      </c>
      <c r="F14" s="8">
        <v>198.56645700000001</v>
      </c>
      <c r="G14" s="9">
        <v>1.7578468E-2</v>
      </c>
      <c r="H14" s="167"/>
    </row>
    <row r="15" spans="1:8" x14ac:dyDescent="0.2">
      <c r="A15" s="5">
        <v>9</v>
      </c>
      <c r="B15" s="6" t="s">
        <v>335</v>
      </c>
      <c r="C15" s="6" t="s">
        <v>336</v>
      </c>
      <c r="D15" s="6" t="s">
        <v>284</v>
      </c>
      <c r="E15" s="7">
        <v>20949</v>
      </c>
      <c r="F15" s="8">
        <v>178.4121585</v>
      </c>
      <c r="G15" s="9">
        <v>1.5794270999999999E-2</v>
      </c>
      <c r="H15" s="167"/>
    </row>
    <row r="16" spans="1:8" x14ac:dyDescent="0.2">
      <c r="A16" s="5">
        <v>10</v>
      </c>
      <c r="B16" s="6" t="s">
        <v>360</v>
      </c>
      <c r="C16" s="6" t="s">
        <v>361</v>
      </c>
      <c r="D16" s="6" t="s">
        <v>29</v>
      </c>
      <c r="E16" s="7">
        <v>25398</v>
      </c>
      <c r="F16" s="8">
        <v>172.16034300000001</v>
      </c>
      <c r="G16" s="9">
        <v>1.5240818E-2</v>
      </c>
      <c r="H16" s="167"/>
    </row>
    <row r="17" spans="1:8" x14ac:dyDescent="0.2">
      <c r="A17" s="5">
        <v>11</v>
      </c>
      <c r="B17" s="6" t="s">
        <v>349</v>
      </c>
      <c r="C17" s="6" t="s">
        <v>350</v>
      </c>
      <c r="D17" s="6" t="s">
        <v>972</v>
      </c>
      <c r="E17" s="7">
        <v>28414</v>
      </c>
      <c r="F17" s="8">
        <v>170.89600300000001</v>
      </c>
      <c r="G17" s="9">
        <v>1.5128889E-2</v>
      </c>
      <c r="H17" s="167"/>
    </row>
    <row r="18" spans="1:8" x14ac:dyDescent="0.2">
      <c r="A18" s="5">
        <v>12</v>
      </c>
      <c r="B18" s="6" t="s">
        <v>388</v>
      </c>
      <c r="C18" s="6" t="s">
        <v>389</v>
      </c>
      <c r="D18" s="6" t="s">
        <v>969</v>
      </c>
      <c r="E18" s="7">
        <v>1406</v>
      </c>
      <c r="F18" s="8">
        <v>165.996578</v>
      </c>
      <c r="G18" s="9">
        <v>1.4695158999999999E-2</v>
      </c>
      <c r="H18" s="167"/>
    </row>
    <row r="19" spans="1:8" x14ac:dyDescent="0.2">
      <c r="A19" s="5">
        <v>13</v>
      </c>
      <c r="B19" s="6" t="s">
        <v>329</v>
      </c>
      <c r="C19" s="6" t="s">
        <v>330</v>
      </c>
      <c r="D19" s="6" t="s">
        <v>158</v>
      </c>
      <c r="E19" s="7">
        <v>35389</v>
      </c>
      <c r="F19" s="8">
        <v>165.00121250000001</v>
      </c>
      <c r="G19" s="9">
        <v>1.4607042000000001E-2</v>
      </c>
      <c r="H19" s="167"/>
    </row>
    <row r="20" spans="1:8" x14ac:dyDescent="0.2">
      <c r="A20" s="5">
        <v>14</v>
      </c>
      <c r="B20" s="6" t="s">
        <v>92</v>
      </c>
      <c r="C20" s="6" t="s">
        <v>93</v>
      </c>
      <c r="D20" s="6" t="s">
        <v>94</v>
      </c>
      <c r="E20" s="7">
        <v>124226</v>
      </c>
      <c r="F20" s="8">
        <v>153.35699700000001</v>
      </c>
      <c r="G20" s="9">
        <v>1.3576216E-2</v>
      </c>
      <c r="H20" s="167"/>
    </row>
    <row r="21" spans="1:8" x14ac:dyDescent="0.2">
      <c r="A21" s="5">
        <v>15</v>
      </c>
      <c r="B21" s="6" t="s">
        <v>325</v>
      </c>
      <c r="C21" s="6" t="s">
        <v>326</v>
      </c>
      <c r="D21" s="6" t="s">
        <v>70</v>
      </c>
      <c r="E21" s="7">
        <v>28448</v>
      </c>
      <c r="F21" s="8">
        <v>150.447248</v>
      </c>
      <c r="G21" s="9">
        <v>1.3318625000000001E-2</v>
      </c>
      <c r="H21" s="167"/>
    </row>
    <row r="22" spans="1:8" ht="25.5" x14ac:dyDescent="0.2">
      <c r="A22" s="5">
        <v>16</v>
      </c>
      <c r="B22" s="6" t="s">
        <v>510</v>
      </c>
      <c r="C22" s="6" t="s">
        <v>511</v>
      </c>
      <c r="D22" s="6" t="s">
        <v>37</v>
      </c>
      <c r="E22" s="7">
        <v>6874</v>
      </c>
      <c r="F22" s="8">
        <v>143.412262</v>
      </c>
      <c r="G22" s="9">
        <v>1.269584E-2</v>
      </c>
      <c r="H22" s="167"/>
    </row>
    <row r="23" spans="1:8" x14ac:dyDescent="0.2">
      <c r="A23" s="5">
        <v>17</v>
      </c>
      <c r="B23" s="6" t="s">
        <v>512</v>
      </c>
      <c r="C23" s="6" t="s">
        <v>513</v>
      </c>
      <c r="D23" s="6" t="s">
        <v>167</v>
      </c>
      <c r="E23" s="7">
        <v>3627</v>
      </c>
      <c r="F23" s="8">
        <v>142.990848</v>
      </c>
      <c r="G23" s="9">
        <v>1.2658533E-2</v>
      </c>
      <c r="H23" s="167"/>
    </row>
    <row r="24" spans="1:8" x14ac:dyDescent="0.2">
      <c r="A24" s="5">
        <v>18</v>
      </c>
      <c r="B24" s="6" t="s">
        <v>313</v>
      </c>
      <c r="C24" s="6" t="s">
        <v>314</v>
      </c>
      <c r="D24" s="6" t="s">
        <v>23</v>
      </c>
      <c r="E24" s="7">
        <v>156088</v>
      </c>
      <c r="F24" s="8">
        <v>136.18678</v>
      </c>
      <c r="G24" s="9">
        <v>1.205619E-2</v>
      </c>
      <c r="H24" s="167"/>
    </row>
    <row r="25" spans="1:8" x14ac:dyDescent="0.2">
      <c r="A25" s="5">
        <v>19</v>
      </c>
      <c r="B25" s="6" t="s">
        <v>337</v>
      </c>
      <c r="C25" s="6" t="s">
        <v>338</v>
      </c>
      <c r="D25" s="6" t="s">
        <v>23</v>
      </c>
      <c r="E25" s="7">
        <v>73938</v>
      </c>
      <c r="F25" s="8">
        <v>127.432143</v>
      </c>
      <c r="G25" s="9">
        <v>1.128117E-2</v>
      </c>
      <c r="H25" s="167"/>
    </row>
    <row r="26" spans="1:8" x14ac:dyDescent="0.2">
      <c r="A26" s="5">
        <v>20</v>
      </c>
      <c r="B26" s="6" t="s">
        <v>347</v>
      </c>
      <c r="C26" s="6" t="s">
        <v>348</v>
      </c>
      <c r="D26" s="6" t="s">
        <v>23</v>
      </c>
      <c r="E26" s="7">
        <v>149040</v>
      </c>
      <c r="F26" s="8">
        <v>120.27528</v>
      </c>
      <c r="G26" s="9">
        <v>1.0647594999999999E-2</v>
      </c>
      <c r="H26" s="167"/>
    </row>
    <row r="27" spans="1:8" x14ac:dyDescent="0.2">
      <c r="A27" s="5">
        <v>21</v>
      </c>
      <c r="B27" s="6" t="s">
        <v>386</v>
      </c>
      <c r="C27" s="6" t="s">
        <v>387</v>
      </c>
      <c r="D27" s="6" t="s">
        <v>167</v>
      </c>
      <c r="E27" s="7">
        <v>5777</v>
      </c>
      <c r="F27" s="8">
        <v>112.32509949999999</v>
      </c>
      <c r="G27" s="9">
        <v>9.9437899999999992E-3</v>
      </c>
      <c r="H27" s="167"/>
    </row>
    <row r="28" spans="1:8" x14ac:dyDescent="0.2">
      <c r="A28" s="5">
        <v>22</v>
      </c>
      <c r="B28" s="6" t="s">
        <v>317</v>
      </c>
      <c r="C28" s="6" t="s">
        <v>318</v>
      </c>
      <c r="D28" s="6" t="s">
        <v>240</v>
      </c>
      <c r="E28" s="7">
        <v>4034</v>
      </c>
      <c r="F28" s="8">
        <v>105.487083</v>
      </c>
      <c r="G28" s="9">
        <v>9.3384420000000006E-3</v>
      </c>
      <c r="H28" s="167"/>
    </row>
    <row r="29" spans="1:8" x14ac:dyDescent="0.2">
      <c r="A29" s="5">
        <v>23</v>
      </c>
      <c r="B29" s="6" t="s">
        <v>514</v>
      </c>
      <c r="C29" s="6" t="s">
        <v>515</v>
      </c>
      <c r="D29" s="6" t="s">
        <v>158</v>
      </c>
      <c r="E29" s="7">
        <v>104810</v>
      </c>
      <c r="F29" s="8">
        <v>98.206969999999998</v>
      </c>
      <c r="G29" s="9">
        <v>8.6939559999999992E-3</v>
      </c>
      <c r="H29" s="167"/>
    </row>
    <row r="30" spans="1:8" ht="25.5" x14ac:dyDescent="0.2">
      <c r="A30" s="5">
        <v>24</v>
      </c>
      <c r="B30" s="6" t="s">
        <v>423</v>
      </c>
      <c r="C30" s="6" t="s">
        <v>424</v>
      </c>
      <c r="D30" s="6" t="s">
        <v>969</v>
      </c>
      <c r="E30" s="7">
        <v>5984</v>
      </c>
      <c r="F30" s="8">
        <v>88.078496000000001</v>
      </c>
      <c r="G30" s="9">
        <v>7.7973139999999996E-3</v>
      </c>
      <c r="H30" s="167"/>
    </row>
    <row r="31" spans="1:8" x14ac:dyDescent="0.2">
      <c r="A31" s="5">
        <v>25</v>
      </c>
      <c r="B31" s="6" t="s">
        <v>86</v>
      </c>
      <c r="C31" s="6" t="s">
        <v>87</v>
      </c>
      <c r="D31" s="6" t="s">
        <v>29</v>
      </c>
      <c r="E31" s="7">
        <v>11025</v>
      </c>
      <c r="F31" s="8">
        <v>86.755724999999998</v>
      </c>
      <c r="G31" s="9">
        <v>7.680213E-3</v>
      </c>
      <c r="H31" s="167"/>
    </row>
    <row r="32" spans="1:8" x14ac:dyDescent="0.2">
      <c r="A32" s="5">
        <v>26</v>
      </c>
      <c r="B32" s="6" t="s">
        <v>13</v>
      </c>
      <c r="C32" s="6" t="s">
        <v>14</v>
      </c>
      <c r="D32" s="6" t="s">
        <v>15</v>
      </c>
      <c r="E32" s="7">
        <v>5025</v>
      </c>
      <c r="F32" s="8">
        <v>73.751925</v>
      </c>
      <c r="G32" s="9">
        <v>6.5290280000000001E-3</v>
      </c>
      <c r="H32" s="167"/>
    </row>
    <row r="33" spans="1:8" x14ac:dyDescent="0.2">
      <c r="A33" s="5">
        <v>27</v>
      </c>
      <c r="B33" s="6" t="s">
        <v>319</v>
      </c>
      <c r="C33" s="6" t="s">
        <v>320</v>
      </c>
      <c r="D33" s="6" t="s">
        <v>192</v>
      </c>
      <c r="E33" s="7">
        <v>3423</v>
      </c>
      <c r="F33" s="8">
        <v>70.876638</v>
      </c>
      <c r="G33" s="9">
        <v>6.2744869999999996E-3</v>
      </c>
      <c r="H33" s="167"/>
    </row>
    <row r="34" spans="1:8" x14ac:dyDescent="0.2">
      <c r="A34" s="5">
        <v>28</v>
      </c>
      <c r="B34" s="6" t="s">
        <v>516</v>
      </c>
      <c r="C34" s="6" t="s">
        <v>517</v>
      </c>
      <c r="D34" s="6" t="s">
        <v>185</v>
      </c>
      <c r="E34" s="7">
        <v>3169</v>
      </c>
      <c r="F34" s="8">
        <v>69.746521000000001</v>
      </c>
      <c r="G34" s="9">
        <v>6.1744419999999996E-3</v>
      </c>
      <c r="H34" s="167"/>
    </row>
    <row r="35" spans="1:8" x14ac:dyDescent="0.2">
      <c r="A35" s="5">
        <v>29</v>
      </c>
      <c r="B35" s="6" t="s">
        <v>351</v>
      </c>
      <c r="C35" s="6" t="s">
        <v>352</v>
      </c>
      <c r="D35" s="6" t="s">
        <v>974</v>
      </c>
      <c r="E35" s="7">
        <v>47580</v>
      </c>
      <c r="F35" s="8">
        <v>69.181319999999999</v>
      </c>
      <c r="G35" s="9">
        <v>6.1244059999999998E-3</v>
      </c>
      <c r="H35" s="167"/>
    </row>
    <row r="36" spans="1:8" x14ac:dyDescent="0.2">
      <c r="A36" s="5">
        <v>30</v>
      </c>
      <c r="B36" s="6" t="s">
        <v>378</v>
      </c>
      <c r="C36" s="6" t="s">
        <v>379</v>
      </c>
      <c r="D36" s="6" t="s">
        <v>185</v>
      </c>
      <c r="E36" s="7">
        <v>8424</v>
      </c>
      <c r="F36" s="8">
        <v>62.426051999999999</v>
      </c>
      <c r="G36" s="9">
        <v>5.5263830000000002E-3</v>
      </c>
      <c r="H36" s="167"/>
    </row>
    <row r="37" spans="1:8" x14ac:dyDescent="0.2">
      <c r="A37" s="3" t="s">
        <v>10</v>
      </c>
      <c r="B37" s="3" t="s">
        <v>10</v>
      </c>
      <c r="C37" s="4" t="s">
        <v>104</v>
      </c>
      <c r="D37" s="3" t="s">
        <v>10</v>
      </c>
      <c r="E37" s="3" t="s">
        <v>10</v>
      </c>
      <c r="F37" s="10">
        <v>4527.0709809999998</v>
      </c>
      <c r="G37" s="11">
        <v>0.40076745499999999</v>
      </c>
      <c r="H37" s="167"/>
    </row>
    <row r="38" spans="1:8" x14ac:dyDescent="0.2">
      <c r="A38" s="3" t="s">
        <v>10</v>
      </c>
      <c r="B38" s="3" t="s">
        <v>10</v>
      </c>
      <c r="C38" s="12" t="s">
        <v>10</v>
      </c>
      <c r="D38" s="3" t="s">
        <v>10</v>
      </c>
      <c r="E38" s="3" t="s">
        <v>10</v>
      </c>
      <c r="F38" s="13" t="s">
        <v>10</v>
      </c>
      <c r="G38" s="13" t="s">
        <v>10</v>
      </c>
      <c r="H38" s="167"/>
    </row>
    <row r="39" spans="1:8" x14ac:dyDescent="0.2">
      <c r="A39" s="3" t="s">
        <v>10</v>
      </c>
      <c r="B39" s="3" t="s">
        <v>10</v>
      </c>
      <c r="C39" s="4" t="s">
        <v>105</v>
      </c>
      <c r="D39" s="3" t="s">
        <v>10</v>
      </c>
      <c r="E39" s="3" t="s">
        <v>10</v>
      </c>
      <c r="F39" s="3" t="s">
        <v>10</v>
      </c>
      <c r="G39" s="3" t="s">
        <v>10</v>
      </c>
      <c r="H39" s="167"/>
    </row>
    <row r="40" spans="1:8" x14ac:dyDescent="0.2">
      <c r="A40" s="3" t="s">
        <v>10</v>
      </c>
      <c r="B40" s="3" t="s">
        <v>10</v>
      </c>
      <c r="C40" s="4" t="s">
        <v>104</v>
      </c>
      <c r="D40" s="3" t="s">
        <v>10</v>
      </c>
      <c r="E40" s="3" t="s">
        <v>10</v>
      </c>
      <c r="F40" s="14">
        <v>0</v>
      </c>
      <c r="G40" s="15">
        <v>0</v>
      </c>
      <c r="H40" s="167"/>
    </row>
    <row r="41" spans="1:8" x14ac:dyDescent="0.2">
      <c r="A41" s="3" t="s">
        <v>10</v>
      </c>
      <c r="B41" s="3" t="s">
        <v>10</v>
      </c>
      <c r="C41" s="12" t="s">
        <v>10</v>
      </c>
      <c r="D41" s="3" t="s">
        <v>10</v>
      </c>
      <c r="E41" s="3" t="s">
        <v>10</v>
      </c>
      <c r="F41" s="13" t="s">
        <v>10</v>
      </c>
      <c r="G41" s="13" t="s">
        <v>10</v>
      </c>
      <c r="H41" s="167"/>
    </row>
    <row r="42" spans="1:8" x14ac:dyDescent="0.2">
      <c r="A42" s="3" t="s">
        <v>10</v>
      </c>
      <c r="B42" s="3" t="s">
        <v>10</v>
      </c>
      <c r="C42" s="4" t="s">
        <v>106</v>
      </c>
      <c r="D42" s="3" t="s">
        <v>10</v>
      </c>
      <c r="E42" s="3" t="s">
        <v>10</v>
      </c>
      <c r="F42" s="3" t="s">
        <v>10</v>
      </c>
      <c r="G42" s="3" t="s">
        <v>10</v>
      </c>
      <c r="H42" s="167"/>
    </row>
    <row r="43" spans="1:8" x14ac:dyDescent="0.2">
      <c r="A43" s="3" t="s">
        <v>10</v>
      </c>
      <c r="B43" s="3" t="s">
        <v>10</v>
      </c>
      <c r="C43" s="4" t="s">
        <v>104</v>
      </c>
      <c r="D43" s="3" t="s">
        <v>10</v>
      </c>
      <c r="E43" s="3" t="s">
        <v>10</v>
      </c>
      <c r="F43" s="14">
        <v>0</v>
      </c>
      <c r="G43" s="15">
        <v>0</v>
      </c>
      <c r="H43" s="167"/>
    </row>
    <row r="44" spans="1:8" x14ac:dyDescent="0.2">
      <c r="A44" s="3" t="s">
        <v>10</v>
      </c>
      <c r="B44" s="3" t="s">
        <v>10</v>
      </c>
      <c r="C44" s="12" t="s">
        <v>10</v>
      </c>
      <c r="D44" s="3" t="s">
        <v>10</v>
      </c>
      <c r="E44" s="3" t="s">
        <v>10</v>
      </c>
      <c r="F44" s="13" t="s">
        <v>10</v>
      </c>
      <c r="G44" s="13" t="s">
        <v>10</v>
      </c>
      <c r="H44" s="167"/>
    </row>
    <row r="45" spans="1:8" x14ac:dyDescent="0.2">
      <c r="A45" s="3" t="s">
        <v>10</v>
      </c>
      <c r="B45" s="3" t="s">
        <v>10</v>
      </c>
      <c r="C45" s="4" t="s">
        <v>110</v>
      </c>
      <c r="D45" s="3" t="s">
        <v>10</v>
      </c>
      <c r="E45" s="3" t="s">
        <v>10</v>
      </c>
      <c r="F45" s="3" t="s">
        <v>10</v>
      </c>
      <c r="G45" s="3" t="s">
        <v>10</v>
      </c>
      <c r="H45" s="167"/>
    </row>
    <row r="46" spans="1:8" x14ac:dyDescent="0.2">
      <c r="A46" s="3" t="s">
        <v>10</v>
      </c>
      <c r="B46" s="3" t="s">
        <v>10</v>
      </c>
      <c r="C46" s="4" t="s">
        <v>104</v>
      </c>
      <c r="D46" s="3" t="s">
        <v>10</v>
      </c>
      <c r="E46" s="3" t="s">
        <v>10</v>
      </c>
      <c r="F46" s="14">
        <v>0</v>
      </c>
      <c r="G46" s="15">
        <v>0</v>
      </c>
      <c r="H46" s="167"/>
    </row>
    <row r="47" spans="1:8" x14ac:dyDescent="0.2">
      <c r="A47" s="3" t="s">
        <v>10</v>
      </c>
      <c r="B47" s="3" t="s">
        <v>10</v>
      </c>
      <c r="C47" s="12" t="s">
        <v>10</v>
      </c>
      <c r="D47" s="3" t="s">
        <v>10</v>
      </c>
      <c r="E47" s="3" t="s">
        <v>10</v>
      </c>
      <c r="F47" s="13" t="s">
        <v>10</v>
      </c>
      <c r="G47" s="13" t="s">
        <v>10</v>
      </c>
      <c r="H47" s="167"/>
    </row>
    <row r="48" spans="1:8" x14ac:dyDescent="0.2">
      <c r="A48" s="3" t="s">
        <v>10</v>
      </c>
      <c r="B48" s="3" t="s">
        <v>10</v>
      </c>
      <c r="C48" s="4" t="s">
        <v>111</v>
      </c>
      <c r="D48" s="3" t="s">
        <v>10</v>
      </c>
      <c r="E48" s="3" t="s">
        <v>10</v>
      </c>
      <c r="F48" s="13" t="s">
        <v>10</v>
      </c>
      <c r="G48" s="13" t="s">
        <v>10</v>
      </c>
      <c r="H48" s="167"/>
    </row>
    <row r="49" spans="1:8" x14ac:dyDescent="0.2">
      <c r="A49" s="3" t="s">
        <v>10</v>
      </c>
      <c r="B49" s="3" t="s">
        <v>10</v>
      </c>
      <c r="C49" s="4" t="s">
        <v>104</v>
      </c>
      <c r="D49" s="3" t="s">
        <v>10</v>
      </c>
      <c r="E49" s="3" t="s">
        <v>10</v>
      </c>
      <c r="F49" s="14">
        <v>0</v>
      </c>
      <c r="G49" s="15">
        <v>0</v>
      </c>
      <c r="H49" s="167"/>
    </row>
    <row r="50" spans="1:8" x14ac:dyDescent="0.2">
      <c r="A50" s="3" t="s">
        <v>10</v>
      </c>
      <c r="B50" s="3" t="s">
        <v>10</v>
      </c>
      <c r="C50" s="12" t="s">
        <v>10</v>
      </c>
      <c r="D50" s="3" t="s">
        <v>10</v>
      </c>
      <c r="E50" s="3" t="s">
        <v>10</v>
      </c>
      <c r="F50" s="13" t="s">
        <v>10</v>
      </c>
      <c r="G50" s="13" t="s">
        <v>10</v>
      </c>
      <c r="H50" s="167"/>
    </row>
    <row r="51" spans="1:8" x14ac:dyDescent="0.2">
      <c r="A51" s="3" t="s">
        <v>10</v>
      </c>
      <c r="B51" s="3" t="s">
        <v>10</v>
      </c>
      <c r="C51" s="4" t="s">
        <v>112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104</v>
      </c>
      <c r="D52" s="3" t="s">
        <v>10</v>
      </c>
      <c r="E52" s="3" t="s">
        <v>10</v>
      </c>
      <c r="F52" s="14">
        <v>0</v>
      </c>
      <c r="G52" s="15">
        <v>0</v>
      </c>
      <c r="H52" s="167"/>
    </row>
    <row r="53" spans="1:8" x14ac:dyDescent="0.2">
      <c r="A53" s="3" t="s">
        <v>10</v>
      </c>
      <c r="B53" s="3" t="s">
        <v>10</v>
      </c>
      <c r="C53" s="12" t="s">
        <v>10</v>
      </c>
      <c r="D53" s="3" t="s">
        <v>10</v>
      </c>
      <c r="E53" s="3" t="s">
        <v>10</v>
      </c>
      <c r="F53" s="13" t="s">
        <v>10</v>
      </c>
      <c r="G53" s="13" t="s">
        <v>10</v>
      </c>
      <c r="H53" s="167"/>
    </row>
    <row r="54" spans="1:8" x14ac:dyDescent="0.2">
      <c r="A54" s="3" t="s">
        <v>10</v>
      </c>
      <c r="B54" s="3" t="s">
        <v>10</v>
      </c>
      <c r="C54" s="4" t="s">
        <v>113</v>
      </c>
      <c r="D54" s="3" t="s">
        <v>10</v>
      </c>
      <c r="E54" s="3" t="s">
        <v>10</v>
      </c>
      <c r="F54" s="10">
        <v>4527.0709809999998</v>
      </c>
      <c r="G54" s="11">
        <v>0.40076745499999999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114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ht="25.5" x14ac:dyDescent="0.2">
      <c r="A57" s="3" t="s">
        <v>10</v>
      </c>
      <c r="B57" s="3" t="s">
        <v>10</v>
      </c>
      <c r="C57" s="4" t="s">
        <v>12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104</v>
      </c>
      <c r="D58" s="3" t="s">
        <v>10</v>
      </c>
      <c r="E58" s="3" t="s">
        <v>10</v>
      </c>
      <c r="F58" s="14">
        <v>0</v>
      </c>
      <c r="G58" s="15">
        <v>0</v>
      </c>
      <c r="H58" s="167"/>
    </row>
    <row r="59" spans="1:8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115</v>
      </c>
      <c r="D60" s="3" t="s">
        <v>10</v>
      </c>
      <c r="E60" s="3" t="s">
        <v>10</v>
      </c>
      <c r="F60" s="3" t="s">
        <v>10</v>
      </c>
      <c r="G60" s="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104</v>
      </c>
      <c r="D61" s="3" t="s">
        <v>10</v>
      </c>
      <c r="E61" s="3" t="s">
        <v>10</v>
      </c>
      <c r="F61" s="14">
        <v>0</v>
      </c>
      <c r="G61" s="15">
        <v>0</v>
      </c>
      <c r="H61" s="167"/>
    </row>
    <row r="62" spans="1:8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116</v>
      </c>
      <c r="D63" s="3" t="s">
        <v>10</v>
      </c>
      <c r="E63" s="3" t="s">
        <v>10</v>
      </c>
      <c r="F63" s="3" t="s">
        <v>10</v>
      </c>
      <c r="G63" s="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104</v>
      </c>
      <c r="D64" s="3" t="s">
        <v>10</v>
      </c>
      <c r="E64" s="3" t="s">
        <v>10</v>
      </c>
      <c r="F64" s="14">
        <v>0</v>
      </c>
      <c r="G64" s="15">
        <v>0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117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104</v>
      </c>
      <c r="D67" s="3" t="s">
        <v>10</v>
      </c>
      <c r="E67" s="3" t="s">
        <v>10</v>
      </c>
      <c r="F67" s="14">
        <v>0</v>
      </c>
      <c r="G67" s="15">
        <v>0</v>
      </c>
      <c r="H67" s="167"/>
    </row>
    <row r="68" spans="1:8" x14ac:dyDescent="0.2">
      <c r="A68" s="3" t="s">
        <v>10</v>
      </c>
      <c r="B68" s="3" t="s">
        <v>10</v>
      </c>
      <c r="C68" s="12" t="s">
        <v>10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118</v>
      </c>
      <c r="D69" s="3" t="s">
        <v>10</v>
      </c>
      <c r="E69" s="3" t="s">
        <v>10</v>
      </c>
      <c r="F69" s="10">
        <v>0</v>
      </c>
      <c r="G69" s="11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119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120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4">
        <v>0</v>
      </c>
      <c r="G73" s="15">
        <v>0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121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122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123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5">
        <v>1</v>
      </c>
      <c r="B82" s="6"/>
      <c r="C82" s="6" t="s">
        <v>124</v>
      </c>
      <c r="D82" s="6"/>
      <c r="E82" s="16" t="s">
        <v>10</v>
      </c>
      <c r="F82" s="8">
        <v>4463.8979271999997</v>
      </c>
      <c r="G82" s="9">
        <v>0.395174943</v>
      </c>
      <c r="H82" s="108">
        <v>3.23</v>
      </c>
    </row>
    <row r="83" spans="1:8" x14ac:dyDescent="0.2">
      <c r="A83" s="5">
        <v>2</v>
      </c>
      <c r="B83" s="6"/>
      <c r="C83" s="6" t="s">
        <v>125</v>
      </c>
      <c r="D83" s="6"/>
      <c r="E83" s="16" t="s">
        <v>10</v>
      </c>
      <c r="F83" s="8">
        <v>1253.8637248</v>
      </c>
      <c r="G83" s="9">
        <v>0.11100064</v>
      </c>
      <c r="H83" s="108">
        <v>3.35</v>
      </c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0">
        <v>5717.7616520000001</v>
      </c>
      <c r="G84" s="11">
        <v>0.50617558299999998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126</v>
      </c>
      <c r="D86" s="3" t="s">
        <v>10</v>
      </c>
      <c r="E86" s="3" t="s">
        <v>10</v>
      </c>
      <c r="F86" s="10">
        <v>5717.7616520000001</v>
      </c>
      <c r="G86" s="11">
        <v>0.50617558299999998</v>
      </c>
      <c r="H86" s="167"/>
    </row>
    <row r="87" spans="1:8" x14ac:dyDescent="0.2">
      <c r="A87" s="3" t="s">
        <v>10</v>
      </c>
      <c r="B87" s="3" t="s">
        <v>10</v>
      </c>
      <c r="C87" s="1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127</v>
      </c>
      <c r="D88" s="3" t="s">
        <v>10</v>
      </c>
      <c r="E88" s="3" t="s">
        <v>10</v>
      </c>
      <c r="F88" s="3" t="s">
        <v>10</v>
      </c>
      <c r="G88" s="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128</v>
      </c>
      <c r="D89" s="3" t="s">
        <v>10</v>
      </c>
      <c r="E89" s="3" t="s">
        <v>10</v>
      </c>
      <c r="F89" s="3" t="s">
        <v>10</v>
      </c>
      <c r="G89" s="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129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130</v>
      </c>
      <c r="D93" s="3" t="s">
        <v>10</v>
      </c>
      <c r="E93" s="3" t="s">
        <v>10</v>
      </c>
      <c r="F93" s="3" t="s">
        <v>10</v>
      </c>
      <c r="G93" s="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ht="25.5" x14ac:dyDescent="0.2">
      <c r="A97" s="3" t="s">
        <v>10</v>
      </c>
      <c r="B97" s="3" t="s">
        <v>10</v>
      </c>
      <c r="C97" s="4" t="s">
        <v>131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6" t="s">
        <v>10</v>
      </c>
      <c r="C100" s="6" t="s">
        <v>10</v>
      </c>
      <c r="D100" s="4" t="s">
        <v>10</v>
      </c>
      <c r="E100" s="3" t="s">
        <v>10</v>
      </c>
      <c r="F100" s="6" t="s">
        <v>10</v>
      </c>
      <c r="G100" s="16" t="s">
        <v>10</v>
      </c>
      <c r="H100" s="167"/>
    </row>
    <row r="101" spans="1:8" x14ac:dyDescent="0.2">
      <c r="A101" s="16" t="s">
        <v>10</v>
      </c>
      <c r="B101" s="6" t="s">
        <v>10</v>
      </c>
      <c r="C101" s="6" t="s">
        <v>132</v>
      </c>
      <c r="D101" s="6" t="s">
        <v>10</v>
      </c>
      <c r="E101" s="16" t="s">
        <v>10</v>
      </c>
      <c r="F101" s="8">
        <v>1051.1718516200001</v>
      </c>
      <c r="G101" s="9">
        <v>9.3056960999999994E-2</v>
      </c>
      <c r="H101" s="167"/>
    </row>
    <row r="102" spans="1:8" x14ac:dyDescent="0.2">
      <c r="A102" s="12" t="s">
        <v>10</v>
      </c>
      <c r="B102" s="12" t="s">
        <v>10</v>
      </c>
      <c r="C102" s="4" t="s">
        <v>133</v>
      </c>
      <c r="D102" s="17" t="s">
        <v>10</v>
      </c>
      <c r="E102" s="17" t="s">
        <v>10</v>
      </c>
      <c r="F102" s="10">
        <v>11296.00448462</v>
      </c>
      <c r="G102" s="11">
        <v>0.99999999900000003</v>
      </c>
      <c r="H102" s="167"/>
    </row>
    <row r="103" spans="1:8" ht="14.1" customHeight="1" x14ac:dyDescent="0.2">
      <c r="A103" s="18" t="s">
        <v>10</v>
      </c>
      <c r="B103" s="18" t="s">
        <v>10</v>
      </c>
      <c r="C103" s="18" t="s">
        <v>10</v>
      </c>
      <c r="D103" s="19" t="s">
        <v>10</v>
      </c>
      <c r="E103" s="19" t="s">
        <v>10</v>
      </c>
      <c r="F103" s="19" t="s">
        <v>10</v>
      </c>
      <c r="G103" s="19" t="s">
        <v>10</v>
      </c>
    </row>
    <row r="104" spans="1:8" ht="14.1" customHeight="1" x14ac:dyDescent="0.2">
      <c r="A104" s="20" t="s">
        <v>10</v>
      </c>
      <c r="B104" s="208" t="s">
        <v>10</v>
      </c>
      <c r="C104" s="208"/>
      <c r="D104" s="208"/>
      <c r="E104" s="208"/>
      <c r="F104" s="208"/>
      <c r="G104" s="22" t="s">
        <v>10</v>
      </c>
    </row>
    <row r="105" spans="1:8" ht="14.1" customHeight="1" x14ac:dyDescent="0.2">
      <c r="A105" s="20" t="s">
        <v>10</v>
      </c>
      <c r="B105" s="208" t="s">
        <v>10</v>
      </c>
      <c r="C105" s="208"/>
      <c r="D105" s="208"/>
      <c r="E105" s="208"/>
      <c r="F105" s="208"/>
      <c r="G105" s="22" t="s">
        <v>10</v>
      </c>
    </row>
    <row r="106" spans="1:8" ht="14.1" customHeight="1" x14ac:dyDescent="0.2">
      <c r="A106" s="20" t="s">
        <v>10</v>
      </c>
      <c r="B106" s="20" t="s">
        <v>10</v>
      </c>
      <c r="C106" s="20" t="s">
        <v>10</v>
      </c>
      <c r="D106" s="22" t="s">
        <v>10</v>
      </c>
      <c r="E106" s="22" t="s">
        <v>10</v>
      </c>
      <c r="F106" s="22" t="s">
        <v>10</v>
      </c>
      <c r="G106" s="22" t="s">
        <v>10</v>
      </c>
    </row>
    <row r="107" spans="1:8" ht="14.1" customHeight="1" x14ac:dyDescent="0.2">
      <c r="A107" s="20" t="s">
        <v>10</v>
      </c>
      <c r="B107" s="206" t="s">
        <v>134</v>
      </c>
      <c r="C107" s="207"/>
      <c r="D107" s="13" t="s">
        <v>10</v>
      </c>
      <c r="E107" s="23" t="s">
        <v>10</v>
      </c>
      <c r="F107" s="22" t="s">
        <v>10</v>
      </c>
      <c r="G107" s="22" t="s">
        <v>10</v>
      </c>
    </row>
    <row r="108" spans="1:8" ht="29.1" customHeight="1" x14ac:dyDescent="0.2">
      <c r="A108" s="20" t="s">
        <v>10</v>
      </c>
      <c r="B108" s="213" t="s">
        <v>135</v>
      </c>
      <c r="C108" s="214"/>
      <c r="D108" s="4" t="s">
        <v>136</v>
      </c>
      <c r="E108" s="23" t="s">
        <v>10</v>
      </c>
      <c r="F108" s="22" t="s">
        <v>10</v>
      </c>
      <c r="G108" s="22" t="s">
        <v>10</v>
      </c>
    </row>
    <row r="109" spans="1:8" ht="17.100000000000001" customHeight="1" x14ac:dyDescent="0.2">
      <c r="A109" s="20" t="s">
        <v>10</v>
      </c>
      <c r="B109" s="213" t="s">
        <v>137</v>
      </c>
      <c r="C109" s="214"/>
      <c r="D109" s="4" t="s">
        <v>136</v>
      </c>
      <c r="E109" s="23" t="s">
        <v>10</v>
      </c>
      <c r="F109" s="22" t="s">
        <v>10</v>
      </c>
      <c r="G109" s="22" t="s">
        <v>10</v>
      </c>
    </row>
    <row r="110" spans="1:8" ht="17.100000000000001" customHeight="1" x14ac:dyDescent="0.2">
      <c r="A110" s="20" t="s">
        <v>10</v>
      </c>
      <c r="B110" s="213" t="s">
        <v>138</v>
      </c>
      <c r="C110" s="214"/>
      <c r="D110" s="13" t="s">
        <v>10</v>
      </c>
      <c r="E110" s="23" t="s">
        <v>10</v>
      </c>
      <c r="F110" s="22" t="s">
        <v>10</v>
      </c>
      <c r="G110" s="22" t="s">
        <v>10</v>
      </c>
    </row>
    <row r="111" spans="1:8" s="20" customFormat="1" ht="17.100000000000001" customHeight="1" x14ac:dyDescent="0.2"/>
    <row r="112" spans="1:8" x14ac:dyDescent="0.2">
      <c r="A112" s="24" t="s">
        <v>10</v>
      </c>
      <c r="B112" s="140" t="s">
        <v>10</v>
      </c>
      <c r="C112" s="140" t="s">
        <v>139</v>
      </c>
      <c r="D112" s="140" t="s">
        <v>140</v>
      </c>
      <c r="E112" s="24" t="s">
        <v>10</v>
      </c>
      <c r="F112" s="24" t="s">
        <v>10</v>
      </c>
      <c r="G112" s="24" t="s">
        <v>10</v>
      </c>
    </row>
    <row r="113" spans="1:7" ht="18" customHeight="1" x14ac:dyDescent="0.2">
      <c r="A113" s="24" t="s">
        <v>10</v>
      </c>
      <c r="B113" s="25" t="s">
        <v>141</v>
      </c>
      <c r="C113" s="25" t="s">
        <v>142</v>
      </c>
      <c r="D113" s="25" t="s">
        <v>143</v>
      </c>
      <c r="E113" s="24" t="s">
        <v>10</v>
      </c>
      <c r="F113" s="24" t="s">
        <v>10</v>
      </c>
      <c r="G113" s="24" t="s">
        <v>10</v>
      </c>
    </row>
    <row r="114" spans="1:7" ht="17.100000000000001" customHeight="1" x14ac:dyDescent="0.2">
      <c r="A114" s="24" t="s">
        <v>10</v>
      </c>
      <c r="B114" s="6" t="s">
        <v>144</v>
      </c>
      <c r="C114" s="26">
        <v>13.5382</v>
      </c>
      <c r="D114" s="26">
        <v>13.9481</v>
      </c>
      <c r="E114" s="24" t="s">
        <v>10</v>
      </c>
      <c r="F114" s="21" t="s">
        <v>10</v>
      </c>
      <c r="G114" s="27" t="s">
        <v>10</v>
      </c>
    </row>
    <row r="115" spans="1:7" ht="17.100000000000001" customHeight="1" x14ac:dyDescent="0.2">
      <c r="A115" s="24" t="s">
        <v>10</v>
      </c>
      <c r="B115" s="6" t="s">
        <v>917</v>
      </c>
      <c r="C115" s="26">
        <v>13.5382</v>
      </c>
      <c r="D115" s="26">
        <v>13.9481</v>
      </c>
      <c r="E115" s="24" t="s">
        <v>10</v>
      </c>
      <c r="F115" s="21" t="s">
        <v>10</v>
      </c>
      <c r="G115" s="27" t="s">
        <v>10</v>
      </c>
    </row>
    <row r="116" spans="1:7" ht="17.100000000000001" customHeight="1" x14ac:dyDescent="0.2">
      <c r="A116" s="24" t="s">
        <v>10</v>
      </c>
      <c r="B116" s="6" t="s">
        <v>145</v>
      </c>
      <c r="C116" s="26">
        <v>13.0992</v>
      </c>
      <c r="D116" s="26">
        <v>13.486800000000001</v>
      </c>
      <c r="E116" s="24" t="s">
        <v>10</v>
      </c>
      <c r="F116" s="21" t="s">
        <v>10</v>
      </c>
      <c r="G116" s="27" t="s">
        <v>10</v>
      </c>
    </row>
    <row r="117" spans="1:7" ht="17.100000000000001" customHeight="1" x14ac:dyDescent="0.2">
      <c r="A117" s="24" t="s">
        <v>10</v>
      </c>
      <c r="B117" s="6" t="s">
        <v>918</v>
      </c>
      <c r="C117" s="26">
        <v>13.0992</v>
      </c>
      <c r="D117" s="26">
        <v>13.4869</v>
      </c>
      <c r="E117" s="24" t="s">
        <v>10</v>
      </c>
      <c r="F117" s="21" t="s">
        <v>10</v>
      </c>
      <c r="G117" s="27" t="s">
        <v>10</v>
      </c>
    </row>
    <row r="118" spans="1:7" ht="14.1" customHeight="1" x14ac:dyDescent="0.2">
      <c r="A118" s="24" t="s">
        <v>10</v>
      </c>
      <c r="B118" s="24" t="s">
        <v>10</v>
      </c>
      <c r="C118" s="24" t="s">
        <v>10</v>
      </c>
      <c r="D118" s="24" t="s">
        <v>10</v>
      </c>
      <c r="E118" s="24" t="s">
        <v>10</v>
      </c>
      <c r="F118" s="24" t="s">
        <v>10</v>
      </c>
      <c r="G118" s="24" t="s">
        <v>10</v>
      </c>
    </row>
    <row r="119" spans="1:7" ht="17.100000000000001" customHeight="1" x14ac:dyDescent="0.2">
      <c r="A119" s="24" t="s">
        <v>10</v>
      </c>
      <c r="B119" s="213" t="s">
        <v>999</v>
      </c>
      <c r="C119" s="214"/>
      <c r="D119" s="4" t="s">
        <v>136</v>
      </c>
      <c r="E119" s="24" t="s">
        <v>10</v>
      </c>
      <c r="F119" s="24" t="s">
        <v>10</v>
      </c>
      <c r="G119" s="24" t="s">
        <v>10</v>
      </c>
    </row>
    <row r="120" spans="1:7" ht="18" customHeight="1" x14ac:dyDescent="0.2">
      <c r="A120" s="24" t="s">
        <v>10</v>
      </c>
      <c r="B120" s="28"/>
      <c r="C120" s="28"/>
      <c r="D120" s="29" t="s">
        <v>10</v>
      </c>
      <c r="E120" s="24" t="s">
        <v>10</v>
      </c>
      <c r="F120" s="24" t="s">
        <v>10</v>
      </c>
      <c r="G120" s="24" t="s">
        <v>10</v>
      </c>
    </row>
    <row r="121" spans="1:7" s="175" customFormat="1" x14ac:dyDescent="0.2">
      <c r="B121" s="221" t="s">
        <v>919</v>
      </c>
      <c r="C121" s="221"/>
      <c r="D121" s="221"/>
      <c r="E121" s="221"/>
      <c r="F121" s="221"/>
    </row>
    <row r="122" spans="1:7" ht="14.1" customHeight="1" x14ac:dyDescent="0.2">
      <c r="A122" s="24" t="s">
        <v>10</v>
      </c>
      <c r="B122" s="21" t="s">
        <v>10</v>
      </c>
      <c r="C122" s="21" t="s">
        <v>10</v>
      </c>
      <c r="D122" s="24" t="s">
        <v>10</v>
      </c>
      <c r="E122" s="24" t="s">
        <v>10</v>
      </c>
      <c r="F122" s="24" t="s">
        <v>10</v>
      </c>
      <c r="G122" s="24" t="s">
        <v>10</v>
      </c>
    </row>
    <row r="123" spans="1:7" ht="29.1" customHeight="1" x14ac:dyDescent="0.2">
      <c r="A123" s="24" t="s">
        <v>10</v>
      </c>
      <c r="B123" s="213" t="s">
        <v>146</v>
      </c>
      <c r="C123" s="214"/>
      <c r="D123" s="4" t="s">
        <v>136</v>
      </c>
      <c r="E123" s="24" t="s">
        <v>10</v>
      </c>
      <c r="F123" s="24" t="s">
        <v>10</v>
      </c>
      <c r="G123" s="24" t="s">
        <v>10</v>
      </c>
    </row>
    <row r="124" spans="1:7" ht="29.1" customHeight="1" x14ac:dyDescent="0.2">
      <c r="A124" s="24" t="s">
        <v>10</v>
      </c>
      <c r="B124" s="213" t="s">
        <v>147</v>
      </c>
      <c r="C124" s="214"/>
      <c r="D124" s="4" t="s">
        <v>136</v>
      </c>
      <c r="E124" s="24" t="s">
        <v>10</v>
      </c>
      <c r="F124" s="24" t="s">
        <v>10</v>
      </c>
      <c r="G124" s="24" t="s">
        <v>10</v>
      </c>
    </row>
    <row r="125" spans="1:7" ht="17.100000000000001" customHeight="1" x14ac:dyDescent="0.2">
      <c r="A125" s="24" t="s">
        <v>10</v>
      </c>
      <c r="B125" s="213" t="s">
        <v>148</v>
      </c>
      <c r="C125" s="214"/>
      <c r="D125" s="30">
        <v>0.27428857407126739</v>
      </c>
      <c r="E125" s="24" t="s">
        <v>10</v>
      </c>
      <c r="F125" s="21" t="s">
        <v>10</v>
      </c>
      <c r="G125" s="27" t="s">
        <v>10</v>
      </c>
    </row>
    <row r="126" spans="1:7" ht="17.100000000000001" customHeight="1" x14ac:dyDescent="0.2">
      <c r="A126" s="24" t="s">
        <v>10</v>
      </c>
      <c r="B126" s="213" t="s">
        <v>149</v>
      </c>
      <c r="C126" s="214"/>
      <c r="D126" s="4" t="s">
        <v>136</v>
      </c>
      <c r="E126" s="24" t="s">
        <v>10</v>
      </c>
      <c r="F126" s="24" t="s">
        <v>10</v>
      </c>
      <c r="G126" s="24" t="s">
        <v>10</v>
      </c>
    </row>
  </sheetData>
  <mergeCells count="15">
    <mergeCell ref="B125:C125"/>
    <mergeCell ref="B126:C126"/>
    <mergeCell ref="B108:C108"/>
    <mergeCell ref="B109:C109"/>
    <mergeCell ref="B110:C110"/>
    <mergeCell ref="B119:C119"/>
    <mergeCell ref="B123:C123"/>
    <mergeCell ref="B124:C124"/>
    <mergeCell ref="B121:F121"/>
    <mergeCell ref="B107:C107"/>
    <mergeCell ref="B104:F104"/>
    <mergeCell ref="B105:F10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37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518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295</v>
      </c>
      <c r="C7" s="6" t="s">
        <v>296</v>
      </c>
      <c r="D7" s="6" t="s">
        <v>969</v>
      </c>
      <c r="E7" s="7">
        <v>20342</v>
      </c>
      <c r="F7" s="8">
        <v>189.81120200000001</v>
      </c>
      <c r="G7" s="9">
        <v>3.7487365000000002E-2</v>
      </c>
      <c r="H7" s="167"/>
    </row>
    <row r="8" spans="1:8" x14ac:dyDescent="0.2">
      <c r="A8" s="5">
        <v>2</v>
      </c>
      <c r="B8" s="6" t="s">
        <v>301</v>
      </c>
      <c r="C8" s="6" t="s">
        <v>302</v>
      </c>
      <c r="D8" s="6" t="s">
        <v>178</v>
      </c>
      <c r="E8" s="7">
        <v>5976</v>
      </c>
      <c r="F8" s="8">
        <v>189.36449999999999</v>
      </c>
      <c r="G8" s="9">
        <v>3.7399142000000003E-2</v>
      </c>
      <c r="H8" s="167"/>
    </row>
    <row r="9" spans="1:8" x14ac:dyDescent="0.2">
      <c r="A9" s="5">
        <v>3</v>
      </c>
      <c r="B9" s="6" t="s">
        <v>309</v>
      </c>
      <c r="C9" s="6" t="s">
        <v>310</v>
      </c>
      <c r="D9" s="6" t="s">
        <v>971</v>
      </c>
      <c r="E9" s="7">
        <v>5892</v>
      </c>
      <c r="F9" s="8">
        <v>183.311904</v>
      </c>
      <c r="G9" s="9">
        <v>3.6203765999999998E-2</v>
      </c>
      <c r="H9" s="167"/>
    </row>
    <row r="10" spans="1:8" ht="25.5" x14ac:dyDescent="0.2">
      <c r="A10" s="5">
        <v>4</v>
      </c>
      <c r="B10" s="6" t="s">
        <v>19</v>
      </c>
      <c r="C10" s="6" t="s">
        <v>20</v>
      </c>
      <c r="D10" s="6" t="s">
        <v>970</v>
      </c>
      <c r="E10" s="7">
        <v>18355</v>
      </c>
      <c r="F10" s="8">
        <v>177.3551875</v>
      </c>
      <c r="G10" s="9">
        <v>3.5027324999999998E-2</v>
      </c>
      <c r="H10" s="167"/>
    </row>
    <row r="11" spans="1:8" ht="25.5" x14ac:dyDescent="0.2">
      <c r="A11" s="5">
        <v>5</v>
      </c>
      <c r="B11" s="6" t="s">
        <v>331</v>
      </c>
      <c r="C11" s="6" t="s">
        <v>332</v>
      </c>
      <c r="D11" s="6" t="s">
        <v>75</v>
      </c>
      <c r="E11" s="7">
        <v>40249</v>
      </c>
      <c r="F11" s="8">
        <v>160.29164249999999</v>
      </c>
      <c r="G11" s="9">
        <v>3.1657306000000003E-2</v>
      </c>
      <c r="H11" s="167"/>
    </row>
    <row r="12" spans="1:8" x14ac:dyDescent="0.2">
      <c r="A12" s="5">
        <v>6</v>
      </c>
      <c r="B12" s="6" t="s">
        <v>299</v>
      </c>
      <c r="C12" s="6" t="s">
        <v>300</v>
      </c>
      <c r="D12" s="6" t="s">
        <v>167</v>
      </c>
      <c r="E12" s="7">
        <v>6010</v>
      </c>
      <c r="F12" s="8">
        <v>143.90043499999999</v>
      </c>
      <c r="G12" s="9">
        <v>2.8420073000000001E-2</v>
      </c>
      <c r="H12" s="167"/>
    </row>
    <row r="13" spans="1:8" ht="25.5" x14ac:dyDescent="0.2">
      <c r="A13" s="5">
        <v>7</v>
      </c>
      <c r="B13" s="6" t="s">
        <v>376</v>
      </c>
      <c r="C13" s="6" t="s">
        <v>377</v>
      </c>
      <c r="D13" s="6" t="s">
        <v>78</v>
      </c>
      <c r="E13" s="7">
        <v>21676</v>
      </c>
      <c r="F13" s="8">
        <v>143.89612600000001</v>
      </c>
      <c r="G13" s="9">
        <v>2.8419222000000001E-2</v>
      </c>
      <c r="H13" s="167"/>
    </row>
    <row r="14" spans="1:8" ht="25.5" x14ac:dyDescent="0.2">
      <c r="A14" s="5">
        <v>8</v>
      </c>
      <c r="B14" s="6" t="s">
        <v>297</v>
      </c>
      <c r="C14" s="6" t="s">
        <v>298</v>
      </c>
      <c r="D14" s="6" t="s">
        <v>158</v>
      </c>
      <c r="E14" s="7">
        <v>25748</v>
      </c>
      <c r="F14" s="8">
        <v>141.433764</v>
      </c>
      <c r="G14" s="9">
        <v>2.7932909999999998E-2</v>
      </c>
      <c r="H14" s="167"/>
    </row>
    <row r="15" spans="1:8" x14ac:dyDescent="0.2">
      <c r="A15" s="5">
        <v>9</v>
      </c>
      <c r="B15" s="6" t="s">
        <v>335</v>
      </c>
      <c r="C15" s="6" t="s">
        <v>336</v>
      </c>
      <c r="D15" s="6" t="s">
        <v>284</v>
      </c>
      <c r="E15" s="7">
        <v>14946</v>
      </c>
      <c r="F15" s="8">
        <v>127.287609</v>
      </c>
      <c r="G15" s="9">
        <v>2.5139069999999999E-2</v>
      </c>
      <c r="H15" s="167"/>
    </row>
    <row r="16" spans="1:8" x14ac:dyDescent="0.2">
      <c r="A16" s="5">
        <v>10</v>
      </c>
      <c r="B16" s="6" t="s">
        <v>349</v>
      </c>
      <c r="C16" s="6" t="s">
        <v>350</v>
      </c>
      <c r="D16" s="6" t="s">
        <v>972</v>
      </c>
      <c r="E16" s="7">
        <v>20406</v>
      </c>
      <c r="F16" s="8">
        <v>122.731887</v>
      </c>
      <c r="G16" s="9">
        <v>2.4239323E-2</v>
      </c>
      <c r="H16" s="167"/>
    </row>
    <row r="17" spans="1:8" x14ac:dyDescent="0.2">
      <c r="A17" s="5">
        <v>11</v>
      </c>
      <c r="B17" s="6" t="s">
        <v>388</v>
      </c>
      <c r="C17" s="6" t="s">
        <v>389</v>
      </c>
      <c r="D17" s="6" t="s">
        <v>969</v>
      </c>
      <c r="E17" s="7">
        <v>1012</v>
      </c>
      <c r="F17" s="8">
        <v>119.47975599999999</v>
      </c>
      <c r="G17" s="9">
        <v>2.3597033E-2</v>
      </c>
      <c r="H17" s="167"/>
    </row>
    <row r="18" spans="1:8" x14ac:dyDescent="0.2">
      <c r="A18" s="5">
        <v>12</v>
      </c>
      <c r="B18" s="6" t="s">
        <v>329</v>
      </c>
      <c r="C18" s="6" t="s">
        <v>330</v>
      </c>
      <c r="D18" s="6" t="s">
        <v>158</v>
      </c>
      <c r="E18" s="7">
        <v>25377</v>
      </c>
      <c r="F18" s="8">
        <v>118.3202625</v>
      </c>
      <c r="G18" s="9">
        <v>2.3368034999999999E-2</v>
      </c>
      <c r="H18" s="167"/>
    </row>
    <row r="19" spans="1:8" x14ac:dyDescent="0.2">
      <c r="A19" s="5">
        <v>13</v>
      </c>
      <c r="B19" s="6" t="s">
        <v>362</v>
      </c>
      <c r="C19" s="6" t="s">
        <v>363</v>
      </c>
      <c r="D19" s="6" t="s">
        <v>75</v>
      </c>
      <c r="E19" s="7">
        <v>5264</v>
      </c>
      <c r="F19" s="8">
        <v>113.82873600000001</v>
      </c>
      <c r="G19" s="9">
        <v>2.2480967000000001E-2</v>
      </c>
      <c r="H19" s="167"/>
    </row>
    <row r="20" spans="1:8" ht="25.5" x14ac:dyDescent="0.2">
      <c r="A20" s="5">
        <v>14</v>
      </c>
      <c r="B20" s="6" t="s">
        <v>327</v>
      </c>
      <c r="C20" s="6" t="s">
        <v>328</v>
      </c>
      <c r="D20" s="6" t="s">
        <v>78</v>
      </c>
      <c r="E20" s="7">
        <v>10977</v>
      </c>
      <c r="F20" s="8">
        <v>111.03784349999999</v>
      </c>
      <c r="G20" s="9">
        <v>2.1929771000000001E-2</v>
      </c>
      <c r="H20" s="167"/>
    </row>
    <row r="21" spans="1:8" x14ac:dyDescent="0.2">
      <c r="A21" s="5">
        <v>15</v>
      </c>
      <c r="B21" s="6" t="s">
        <v>313</v>
      </c>
      <c r="C21" s="6" t="s">
        <v>314</v>
      </c>
      <c r="D21" s="6" t="s">
        <v>23</v>
      </c>
      <c r="E21" s="7">
        <v>127221</v>
      </c>
      <c r="F21" s="8">
        <v>111.0003225</v>
      </c>
      <c r="G21" s="9">
        <v>2.1922361000000001E-2</v>
      </c>
      <c r="H21" s="167"/>
    </row>
    <row r="22" spans="1:8" x14ac:dyDescent="0.2">
      <c r="A22" s="5">
        <v>16</v>
      </c>
      <c r="B22" s="6" t="s">
        <v>92</v>
      </c>
      <c r="C22" s="6" t="s">
        <v>93</v>
      </c>
      <c r="D22" s="6" t="s">
        <v>94</v>
      </c>
      <c r="E22" s="7">
        <v>88560</v>
      </c>
      <c r="F22" s="8">
        <v>109.32732</v>
      </c>
      <c r="G22" s="9">
        <v>2.1591946000000001E-2</v>
      </c>
      <c r="H22" s="167"/>
    </row>
    <row r="23" spans="1:8" x14ac:dyDescent="0.2">
      <c r="A23" s="5">
        <v>17</v>
      </c>
      <c r="B23" s="6" t="s">
        <v>325</v>
      </c>
      <c r="C23" s="6" t="s">
        <v>326</v>
      </c>
      <c r="D23" s="6" t="s">
        <v>70</v>
      </c>
      <c r="E23" s="7">
        <v>20353</v>
      </c>
      <c r="F23" s="8">
        <v>107.63684050000001</v>
      </c>
      <c r="G23" s="9">
        <v>2.1258078999999999E-2</v>
      </c>
      <c r="H23" s="167"/>
    </row>
    <row r="24" spans="1:8" x14ac:dyDescent="0.2">
      <c r="A24" s="5">
        <v>18</v>
      </c>
      <c r="B24" s="6" t="s">
        <v>360</v>
      </c>
      <c r="C24" s="6" t="s">
        <v>361</v>
      </c>
      <c r="D24" s="6" t="s">
        <v>29</v>
      </c>
      <c r="E24" s="7">
        <v>15867</v>
      </c>
      <c r="F24" s="8">
        <v>107.55445949999999</v>
      </c>
      <c r="G24" s="9">
        <v>2.1241809E-2</v>
      </c>
      <c r="H24" s="167"/>
    </row>
    <row r="25" spans="1:8" ht="25.5" x14ac:dyDescent="0.2">
      <c r="A25" s="5">
        <v>19</v>
      </c>
      <c r="B25" s="6" t="s">
        <v>510</v>
      </c>
      <c r="C25" s="6" t="s">
        <v>511</v>
      </c>
      <c r="D25" s="6" t="s">
        <v>37</v>
      </c>
      <c r="E25" s="7">
        <v>4917</v>
      </c>
      <c r="F25" s="8">
        <v>102.583371</v>
      </c>
      <c r="G25" s="9">
        <v>2.0260027999999999E-2</v>
      </c>
      <c r="H25" s="167"/>
    </row>
    <row r="26" spans="1:8" x14ac:dyDescent="0.2">
      <c r="A26" s="5">
        <v>20</v>
      </c>
      <c r="B26" s="6" t="s">
        <v>355</v>
      </c>
      <c r="C26" s="6" t="s">
        <v>356</v>
      </c>
      <c r="D26" s="6" t="s">
        <v>357</v>
      </c>
      <c r="E26" s="7">
        <v>12358</v>
      </c>
      <c r="F26" s="8">
        <v>99.018474999999995</v>
      </c>
      <c r="G26" s="9">
        <v>1.9555968E-2</v>
      </c>
      <c r="H26" s="167"/>
    </row>
    <row r="27" spans="1:8" ht="25.5" x14ac:dyDescent="0.2">
      <c r="A27" s="5">
        <v>21</v>
      </c>
      <c r="B27" s="6" t="s">
        <v>321</v>
      </c>
      <c r="C27" s="6" t="s">
        <v>322</v>
      </c>
      <c r="D27" s="6" t="s">
        <v>78</v>
      </c>
      <c r="E27" s="7">
        <v>19000</v>
      </c>
      <c r="F27" s="8">
        <v>95.209000000000003</v>
      </c>
      <c r="G27" s="9">
        <v>1.8803602999999999E-2</v>
      </c>
      <c r="H27" s="167"/>
    </row>
    <row r="28" spans="1:8" x14ac:dyDescent="0.2">
      <c r="A28" s="5">
        <v>22</v>
      </c>
      <c r="B28" s="6" t="s">
        <v>337</v>
      </c>
      <c r="C28" s="6" t="s">
        <v>338</v>
      </c>
      <c r="D28" s="6" t="s">
        <v>23</v>
      </c>
      <c r="E28" s="7">
        <v>52762</v>
      </c>
      <c r="F28" s="8">
        <v>90.935306999999995</v>
      </c>
      <c r="G28" s="9">
        <v>1.7959557000000001E-2</v>
      </c>
      <c r="H28" s="167"/>
    </row>
    <row r="29" spans="1:8" x14ac:dyDescent="0.2">
      <c r="A29" s="5">
        <v>23</v>
      </c>
      <c r="B29" s="6" t="s">
        <v>519</v>
      </c>
      <c r="C29" s="6" t="s">
        <v>520</v>
      </c>
      <c r="D29" s="6" t="s">
        <v>75</v>
      </c>
      <c r="E29" s="7">
        <v>32121</v>
      </c>
      <c r="F29" s="8">
        <v>89.601529499999998</v>
      </c>
      <c r="G29" s="9">
        <v>1.7696138E-2</v>
      </c>
      <c r="H29" s="167"/>
    </row>
    <row r="30" spans="1:8" x14ac:dyDescent="0.2">
      <c r="A30" s="5">
        <v>24</v>
      </c>
      <c r="B30" s="6" t="s">
        <v>218</v>
      </c>
      <c r="C30" s="6" t="s">
        <v>219</v>
      </c>
      <c r="D30" s="6" t="s">
        <v>973</v>
      </c>
      <c r="E30" s="7">
        <v>13058</v>
      </c>
      <c r="F30" s="8">
        <v>89.199197999999996</v>
      </c>
      <c r="G30" s="9">
        <v>1.7616678E-2</v>
      </c>
      <c r="H30" s="167"/>
    </row>
    <row r="31" spans="1:8" x14ac:dyDescent="0.2">
      <c r="A31" s="5">
        <v>25</v>
      </c>
      <c r="B31" s="6" t="s">
        <v>512</v>
      </c>
      <c r="C31" s="6" t="s">
        <v>513</v>
      </c>
      <c r="D31" s="6" t="s">
        <v>167</v>
      </c>
      <c r="E31" s="7">
        <v>2202</v>
      </c>
      <c r="F31" s="8">
        <v>86.811648000000005</v>
      </c>
      <c r="G31" s="9">
        <v>1.7145141999999999E-2</v>
      </c>
      <c r="H31" s="167"/>
    </row>
    <row r="32" spans="1:8" x14ac:dyDescent="0.2">
      <c r="A32" s="5">
        <v>26</v>
      </c>
      <c r="B32" s="6" t="s">
        <v>347</v>
      </c>
      <c r="C32" s="6" t="s">
        <v>348</v>
      </c>
      <c r="D32" s="6" t="s">
        <v>23</v>
      </c>
      <c r="E32" s="7">
        <v>107323</v>
      </c>
      <c r="F32" s="8">
        <v>86.609661000000003</v>
      </c>
      <c r="G32" s="9">
        <v>1.7105249999999999E-2</v>
      </c>
      <c r="H32" s="167"/>
    </row>
    <row r="33" spans="1:8" ht="25.5" x14ac:dyDescent="0.2">
      <c r="A33" s="5">
        <v>27</v>
      </c>
      <c r="B33" s="6" t="s">
        <v>521</v>
      </c>
      <c r="C33" s="6" t="s">
        <v>522</v>
      </c>
      <c r="D33" s="6" t="s">
        <v>78</v>
      </c>
      <c r="E33" s="7">
        <v>323</v>
      </c>
      <c r="F33" s="8">
        <v>82.481764499999997</v>
      </c>
      <c r="G33" s="9">
        <v>1.6289998E-2</v>
      </c>
      <c r="H33" s="167"/>
    </row>
    <row r="34" spans="1:8" x14ac:dyDescent="0.2">
      <c r="A34" s="5">
        <v>28</v>
      </c>
      <c r="B34" s="6" t="s">
        <v>386</v>
      </c>
      <c r="C34" s="6" t="s">
        <v>387</v>
      </c>
      <c r="D34" s="6" t="s">
        <v>167</v>
      </c>
      <c r="E34" s="7">
        <v>4132</v>
      </c>
      <c r="F34" s="8">
        <v>80.340541999999999</v>
      </c>
      <c r="G34" s="9">
        <v>1.586711E-2</v>
      </c>
      <c r="H34" s="167"/>
    </row>
    <row r="35" spans="1:8" x14ac:dyDescent="0.2">
      <c r="A35" s="5">
        <v>29</v>
      </c>
      <c r="B35" s="6" t="s">
        <v>514</v>
      </c>
      <c r="C35" s="6" t="s">
        <v>515</v>
      </c>
      <c r="D35" s="6" t="s">
        <v>158</v>
      </c>
      <c r="E35" s="7">
        <v>74663</v>
      </c>
      <c r="F35" s="8">
        <v>69.959231000000003</v>
      </c>
      <c r="G35" s="9">
        <v>1.381682E-2</v>
      </c>
      <c r="H35" s="167"/>
    </row>
    <row r="36" spans="1:8" x14ac:dyDescent="0.2">
      <c r="A36" s="5">
        <v>30</v>
      </c>
      <c r="B36" s="6" t="s">
        <v>501</v>
      </c>
      <c r="C36" s="6" t="s">
        <v>396</v>
      </c>
      <c r="D36" s="6" t="s">
        <v>284</v>
      </c>
      <c r="E36" s="7">
        <v>35123</v>
      </c>
      <c r="F36" s="8">
        <v>68.542534500000002</v>
      </c>
      <c r="G36" s="9">
        <v>1.3537024999999999E-2</v>
      </c>
      <c r="H36" s="167"/>
    </row>
    <row r="37" spans="1:8" x14ac:dyDescent="0.2">
      <c r="A37" s="5">
        <v>31</v>
      </c>
      <c r="B37" s="6" t="s">
        <v>317</v>
      </c>
      <c r="C37" s="6" t="s">
        <v>318</v>
      </c>
      <c r="D37" s="6" t="s">
        <v>240</v>
      </c>
      <c r="E37" s="7">
        <v>2462</v>
      </c>
      <c r="F37" s="8">
        <v>64.380069000000006</v>
      </c>
      <c r="G37" s="9">
        <v>1.2714946E-2</v>
      </c>
      <c r="H37" s="167"/>
    </row>
    <row r="38" spans="1:8" ht="25.5" x14ac:dyDescent="0.2">
      <c r="A38" s="5">
        <v>32</v>
      </c>
      <c r="B38" s="6" t="s">
        <v>423</v>
      </c>
      <c r="C38" s="6" t="s">
        <v>424</v>
      </c>
      <c r="D38" s="6" t="s">
        <v>969</v>
      </c>
      <c r="E38" s="7">
        <v>4227</v>
      </c>
      <c r="F38" s="8">
        <v>62.217213000000001</v>
      </c>
      <c r="G38" s="9">
        <v>1.2287786E-2</v>
      </c>
      <c r="H38" s="167"/>
    </row>
    <row r="39" spans="1:8" x14ac:dyDescent="0.2">
      <c r="A39" s="5">
        <v>33</v>
      </c>
      <c r="B39" s="6" t="s">
        <v>86</v>
      </c>
      <c r="C39" s="6" t="s">
        <v>87</v>
      </c>
      <c r="D39" s="6" t="s">
        <v>29</v>
      </c>
      <c r="E39" s="7">
        <v>7865</v>
      </c>
      <c r="F39" s="8">
        <v>61.889685</v>
      </c>
      <c r="G39" s="9">
        <v>1.2223100000000001E-2</v>
      </c>
      <c r="H39" s="167"/>
    </row>
    <row r="40" spans="1:8" x14ac:dyDescent="0.2">
      <c r="A40" s="5">
        <v>34</v>
      </c>
      <c r="B40" s="6" t="s">
        <v>248</v>
      </c>
      <c r="C40" s="6" t="s">
        <v>249</v>
      </c>
      <c r="D40" s="6" t="s">
        <v>192</v>
      </c>
      <c r="E40" s="7">
        <v>4009</v>
      </c>
      <c r="F40" s="8">
        <v>58.162571999999997</v>
      </c>
      <c r="G40" s="9">
        <v>1.1487002E-2</v>
      </c>
      <c r="H40" s="167"/>
    </row>
    <row r="41" spans="1:8" x14ac:dyDescent="0.2">
      <c r="A41" s="5">
        <v>35</v>
      </c>
      <c r="B41" s="6" t="s">
        <v>523</v>
      </c>
      <c r="C41" s="6" t="s">
        <v>524</v>
      </c>
      <c r="D41" s="6" t="s">
        <v>158</v>
      </c>
      <c r="E41" s="7">
        <v>60500</v>
      </c>
      <c r="F41" s="8">
        <v>53.270249999999997</v>
      </c>
      <c r="G41" s="9">
        <v>1.0520777E-2</v>
      </c>
      <c r="H41" s="167"/>
    </row>
    <row r="42" spans="1:8" x14ac:dyDescent="0.2">
      <c r="A42" s="5">
        <v>36</v>
      </c>
      <c r="B42" s="6" t="s">
        <v>481</v>
      </c>
      <c r="C42" s="6" t="s">
        <v>482</v>
      </c>
      <c r="D42" s="6" t="s">
        <v>18</v>
      </c>
      <c r="E42" s="7">
        <v>39424</v>
      </c>
      <c r="F42" s="8">
        <v>52.946432000000001</v>
      </c>
      <c r="G42" s="9">
        <v>1.0456823000000001E-2</v>
      </c>
      <c r="H42" s="167"/>
    </row>
    <row r="43" spans="1:8" x14ac:dyDescent="0.2">
      <c r="A43" s="5">
        <v>37</v>
      </c>
      <c r="B43" s="6" t="s">
        <v>13</v>
      </c>
      <c r="C43" s="6" t="s">
        <v>14</v>
      </c>
      <c r="D43" s="6" t="s">
        <v>15</v>
      </c>
      <c r="E43" s="7">
        <v>3595</v>
      </c>
      <c r="F43" s="8">
        <v>52.763815000000001</v>
      </c>
      <c r="G43" s="9">
        <v>1.0420756999999999E-2</v>
      </c>
      <c r="H43" s="167"/>
    </row>
    <row r="44" spans="1:8" x14ac:dyDescent="0.2">
      <c r="A44" s="5">
        <v>38</v>
      </c>
      <c r="B44" s="6" t="s">
        <v>319</v>
      </c>
      <c r="C44" s="6" t="s">
        <v>320</v>
      </c>
      <c r="D44" s="6" t="s">
        <v>192</v>
      </c>
      <c r="E44" s="7">
        <v>2447</v>
      </c>
      <c r="F44" s="8">
        <v>50.667582000000003</v>
      </c>
      <c r="G44" s="9">
        <v>1.0006755000000001E-2</v>
      </c>
      <c r="H44" s="167"/>
    </row>
    <row r="45" spans="1:8" x14ac:dyDescent="0.2">
      <c r="A45" s="5">
        <v>39</v>
      </c>
      <c r="B45" s="6" t="s">
        <v>516</v>
      </c>
      <c r="C45" s="6" t="s">
        <v>517</v>
      </c>
      <c r="D45" s="6" t="s">
        <v>185</v>
      </c>
      <c r="E45" s="7">
        <v>2274</v>
      </c>
      <c r="F45" s="8">
        <v>50.048465999999998</v>
      </c>
      <c r="G45" s="9">
        <v>9.8844799999999993E-3</v>
      </c>
      <c r="H45" s="167"/>
    </row>
    <row r="46" spans="1:8" x14ac:dyDescent="0.2">
      <c r="A46" s="5">
        <v>40</v>
      </c>
      <c r="B46" s="6" t="s">
        <v>351</v>
      </c>
      <c r="C46" s="6" t="s">
        <v>352</v>
      </c>
      <c r="D46" s="6" t="s">
        <v>974</v>
      </c>
      <c r="E46" s="7">
        <v>34044</v>
      </c>
      <c r="F46" s="8">
        <v>49.499975999999997</v>
      </c>
      <c r="G46" s="9">
        <v>9.7761549999999999E-3</v>
      </c>
      <c r="H46" s="167"/>
    </row>
    <row r="47" spans="1:8" x14ac:dyDescent="0.2">
      <c r="A47" s="5">
        <v>41</v>
      </c>
      <c r="B47" s="6" t="s">
        <v>378</v>
      </c>
      <c r="C47" s="6" t="s">
        <v>379</v>
      </c>
      <c r="D47" s="6" t="s">
        <v>185</v>
      </c>
      <c r="E47" s="7">
        <v>6003</v>
      </c>
      <c r="F47" s="8">
        <v>44.485231499999998</v>
      </c>
      <c r="G47" s="9">
        <v>8.7857520000000008E-3</v>
      </c>
      <c r="H47" s="167"/>
    </row>
    <row r="48" spans="1:8" x14ac:dyDescent="0.2">
      <c r="A48" s="3" t="s">
        <v>10</v>
      </c>
      <c r="B48" s="3" t="s">
        <v>10</v>
      </c>
      <c r="C48" s="4" t="s">
        <v>104</v>
      </c>
      <c r="D48" s="3" t="s">
        <v>10</v>
      </c>
      <c r="E48" s="3" t="s">
        <v>10</v>
      </c>
      <c r="F48" s="10">
        <v>4119.1933504999997</v>
      </c>
      <c r="G48" s="11">
        <v>0.81353315299999995</v>
      </c>
      <c r="H48" s="167"/>
    </row>
    <row r="49" spans="1:8" x14ac:dyDescent="0.2">
      <c r="A49" s="3" t="s">
        <v>10</v>
      </c>
      <c r="B49" s="3" t="s">
        <v>10</v>
      </c>
      <c r="C49" s="12" t="s">
        <v>10</v>
      </c>
      <c r="D49" s="3" t="s">
        <v>10</v>
      </c>
      <c r="E49" s="3" t="s">
        <v>10</v>
      </c>
      <c r="F49" s="13" t="s">
        <v>10</v>
      </c>
      <c r="G49" s="13" t="s">
        <v>10</v>
      </c>
      <c r="H49" s="167"/>
    </row>
    <row r="50" spans="1:8" x14ac:dyDescent="0.2">
      <c r="A50" s="3" t="s">
        <v>10</v>
      </c>
      <c r="B50" s="3" t="s">
        <v>10</v>
      </c>
      <c r="C50" s="4" t="s">
        <v>105</v>
      </c>
      <c r="D50" s="3" t="s">
        <v>10</v>
      </c>
      <c r="E50" s="3" t="s">
        <v>10</v>
      </c>
      <c r="F50" s="3" t="s">
        <v>10</v>
      </c>
      <c r="G50" s="3" t="s">
        <v>10</v>
      </c>
      <c r="H50" s="167"/>
    </row>
    <row r="51" spans="1:8" x14ac:dyDescent="0.2">
      <c r="A51" s="3" t="s">
        <v>10</v>
      </c>
      <c r="B51" s="3" t="s">
        <v>10</v>
      </c>
      <c r="C51" s="4" t="s">
        <v>104</v>
      </c>
      <c r="D51" s="3" t="s">
        <v>10</v>
      </c>
      <c r="E51" s="3" t="s">
        <v>10</v>
      </c>
      <c r="F51" s="14">
        <v>0</v>
      </c>
      <c r="G51" s="15">
        <v>0</v>
      </c>
      <c r="H51" s="167"/>
    </row>
    <row r="52" spans="1:8" x14ac:dyDescent="0.2">
      <c r="A52" s="3" t="s">
        <v>10</v>
      </c>
      <c r="B52" s="3" t="s">
        <v>10</v>
      </c>
      <c r="C52" s="12" t="s">
        <v>10</v>
      </c>
      <c r="D52" s="3" t="s">
        <v>10</v>
      </c>
      <c r="E52" s="3" t="s">
        <v>10</v>
      </c>
      <c r="F52" s="13" t="s">
        <v>10</v>
      </c>
      <c r="G52" s="1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106</v>
      </c>
      <c r="D53" s="3" t="s">
        <v>10</v>
      </c>
      <c r="E53" s="3" t="s">
        <v>10</v>
      </c>
      <c r="F53" s="3" t="s">
        <v>10</v>
      </c>
      <c r="G53" s="3" t="s">
        <v>10</v>
      </c>
      <c r="H53" s="167"/>
    </row>
    <row r="54" spans="1:8" x14ac:dyDescent="0.2">
      <c r="A54" s="3" t="s">
        <v>10</v>
      </c>
      <c r="B54" s="3" t="s">
        <v>10</v>
      </c>
      <c r="C54" s="4" t="s">
        <v>104</v>
      </c>
      <c r="D54" s="3" t="s">
        <v>10</v>
      </c>
      <c r="E54" s="3" t="s">
        <v>10</v>
      </c>
      <c r="F54" s="14">
        <v>0</v>
      </c>
      <c r="G54" s="15">
        <v>0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110</v>
      </c>
      <c r="D56" s="3" t="s">
        <v>10</v>
      </c>
      <c r="E56" s="3" t="s">
        <v>10</v>
      </c>
      <c r="F56" s="3" t="s">
        <v>10</v>
      </c>
      <c r="G56" s="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4">
        <v>0</v>
      </c>
      <c r="G57" s="15">
        <v>0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111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104</v>
      </c>
      <c r="D60" s="3" t="s">
        <v>10</v>
      </c>
      <c r="E60" s="3" t="s">
        <v>10</v>
      </c>
      <c r="F60" s="14">
        <v>0</v>
      </c>
      <c r="G60" s="15">
        <v>0</v>
      </c>
      <c r="H60" s="167"/>
    </row>
    <row r="61" spans="1:8" x14ac:dyDescent="0.2">
      <c r="A61" s="3" t="s">
        <v>10</v>
      </c>
      <c r="B61" s="3" t="s">
        <v>10</v>
      </c>
      <c r="C61" s="12" t="s">
        <v>10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112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0</v>
      </c>
      <c r="G63" s="15">
        <v>0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113</v>
      </c>
      <c r="D65" s="3" t="s">
        <v>10</v>
      </c>
      <c r="E65" s="3" t="s">
        <v>10</v>
      </c>
      <c r="F65" s="10">
        <v>4119.1933504999997</v>
      </c>
      <c r="G65" s="11">
        <v>0.81353315299999995</v>
      </c>
      <c r="H65" s="167"/>
    </row>
    <row r="66" spans="1:8" x14ac:dyDescent="0.2">
      <c r="A66" s="3" t="s">
        <v>10</v>
      </c>
      <c r="B66" s="3" t="s">
        <v>10</v>
      </c>
      <c r="C66" s="12" t="s">
        <v>10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114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ht="25.5" x14ac:dyDescent="0.2">
      <c r="A68" s="3" t="s">
        <v>10</v>
      </c>
      <c r="B68" s="3" t="s">
        <v>10</v>
      </c>
      <c r="C68" s="4" t="s">
        <v>12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115</v>
      </c>
      <c r="D71" s="3" t="s">
        <v>10</v>
      </c>
      <c r="E71" s="3" t="s">
        <v>10</v>
      </c>
      <c r="F71" s="3" t="s">
        <v>10</v>
      </c>
      <c r="G71" s="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116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117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118</v>
      </c>
      <c r="D80" s="3" t="s">
        <v>10</v>
      </c>
      <c r="E80" s="3" t="s">
        <v>10</v>
      </c>
      <c r="F80" s="10">
        <v>0</v>
      </c>
      <c r="G80" s="11">
        <v>0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119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120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121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122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123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5">
        <v>1</v>
      </c>
      <c r="B93" s="6"/>
      <c r="C93" s="6" t="s">
        <v>124</v>
      </c>
      <c r="D93" s="6"/>
      <c r="E93" s="16" t="s">
        <v>10</v>
      </c>
      <c r="F93" s="8">
        <v>726.92721519999998</v>
      </c>
      <c r="G93" s="9">
        <v>0.143566795</v>
      </c>
      <c r="H93" s="108">
        <v>3.23</v>
      </c>
    </row>
    <row r="94" spans="1:8" x14ac:dyDescent="0.2">
      <c r="A94" s="5">
        <v>2</v>
      </c>
      <c r="B94" s="6"/>
      <c r="C94" s="6" t="s">
        <v>125</v>
      </c>
      <c r="D94" s="6"/>
      <c r="E94" s="16" t="s">
        <v>10</v>
      </c>
      <c r="F94" s="8">
        <v>204.18648630000001</v>
      </c>
      <c r="G94" s="9">
        <v>4.0326457000000003E-2</v>
      </c>
      <c r="H94" s="108">
        <v>3.35</v>
      </c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0">
        <v>931.11370150000005</v>
      </c>
      <c r="G95" s="11">
        <v>0.18389325200000001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126</v>
      </c>
      <c r="D97" s="3" t="s">
        <v>10</v>
      </c>
      <c r="E97" s="3" t="s">
        <v>10</v>
      </c>
      <c r="F97" s="10">
        <v>931.11370150000005</v>
      </c>
      <c r="G97" s="11">
        <v>0.18389325200000001</v>
      </c>
      <c r="H97" s="167"/>
    </row>
    <row r="98" spans="1:8" x14ac:dyDescent="0.2">
      <c r="A98" s="3" t="s">
        <v>10</v>
      </c>
      <c r="B98" s="3" t="s">
        <v>10</v>
      </c>
      <c r="C98" s="13" t="s">
        <v>10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127</v>
      </c>
      <c r="D99" s="3" t="s">
        <v>10</v>
      </c>
      <c r="E99" s="3" t="s">
        <v>10</v>
      </c>
      <c r="F99" s="3" t="s">
        <v>10</v>
      </c>
      <c r="G99" s="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128</v>
      </c>
      <c r="D100" s="3" t="s">
        <v>10</v>
      </c>
      <c r="E100" s="3" t="s">
        <v>10</v>
      </c>
      <c r="F100" s="3" t="s">
        <v>10</v>
      </c>
      <c r="G100" s="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129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130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12" t="s">
        <v>10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ht="25.5" x14ac:dyDescent="0.2">
      <c r="A108" s="3" t="s">
        <v>10</v>
      </c>
      <c r="B108" s="3" t="s">
        <v>10</v>
      </c>
      <c r="C108" s="4" t="s">
        <v>131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104</v>
      </c>
      <c r="D109" s="3" t="s">
        <v>10</v>
      </c>
      <c r="E109" s="3" t="s">
        <v>10</v>
      </c>
      <c r="F109" s="14">
        <v>0</v>
      </c>
      <c r="G109" s="15">
        <v>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6" t="s">
        <v>10</v>
      </c>
      <c r="C111" s="6" t="s">
        <v>10</v>
      </c>
      <c r="D111" s="4" t="s">
        <v>10</v>
      </c>
      <c r="E111" s="3" t="s">
        <v>10</v>
      </c>
      <c r="F111" s="6" t="s">
        <v>10</v>
      </c>
      <c r="G111" s="16" t="s">
        <v>10</v>
      </c>
      <c r="H111" s="167"/>
    </row>
    <row r="112" spans="1:8" x14ac:dyDescent="0.2">
      <c r="A112" s="16" t="s">
        <v>10</v>
      </c>
      <c r="B112" s="6" t="s">
        <v>10</v>
      </c>
      <c r="C112" s="6" t="s">
        <v>132</v>
      </c>
      <c r="D112" s="6" t="s">
        <v>10</v>
      </c>
      <c r="E112" s="16" t="s">
        <v>10</v>
      </c>
      <c r="F112" s="8">
        <v>13.03099769</v>
      </c>
      <c r="G112" s="9">
        <v>2.5735979999999999E-3</v>
      </c>
      <c r="H112" s="167"/>
    </row>
    <row r="113" spans="1:8" x14ac:dyDescent="0.2">
      <c r="A113" s="12" t="s">
        <v>10</v>
      </c>
      <c r="B113" s="12" t="s">
        <v>10</v>
      </c>
      <c r="C113" s="4" t="s">
        <v>133</v>
      </c>
      <c r="D113" s="17" t="s">
        <v>10</v>
      </c>
      <c r="E113" s="17" t="s">
        <v>10</v>
      </c>
      <c r="F113" s="10">
        <v>5063.3380496899999</v>
      </c>
      <c r="G113" s="11">
        <v>1.000000003</v>
      </c>
      <c r="H113" s="167"/>
    </row>
    <row r="114" spans="1:8" ht="14.1" customHeight="1" x14ac:dyDescent="0.2">
      <c r="A114" s="18" t="s">
        <v>10</v>
      </c>
      <c r="B114" s="18" t="s">
        <v>10</v>
      </c>
      <c r="C114" s="18" t="s">
        <v>10</v>
      </c>
      <c r="D114" s="19" t="s">
        <v>10</v>
      </c>
      <c r="E114" s="19" t="s">
        <v>10</v>
      </c>
      <c r="F114" s="19" t="s">
        <v>10</v>
      </c>
      <c r="G114" s="19" t="s">
        <v>10</v>
      </c>
    </row>
    <row r="115" spans="1:8" ht="14.1" customHeight="1" x14ac:dyDescent="0.2">
      <c r="A115" s="20" t="s">
        <v>10</v>
      </c>
      <c r="B115" s="208" t="s">
        <v>10</v>
      </c>
      <c r="C115" s="208"/>
      <c r="D115" s="208"/>
      <c r="E115" s="208"/>
      <c r="F115" s="208"/>
      <c r="G115" s="22" t="s">
        <v>10</v>
      </c>
    </row>
    <row r="116" spans="1:8" ht="14.1" customHeight="1" x14ac:dyDescent="0.2">
      <c r="A116" s="20" t="s">
        <v>10</v>
      </c>
      <c r="B116" s="208" t="s">
        <v>10</v>
      </c>
      <c r="C116" s="208"/>
      <c r="D116" s="208"/>
      <c r="E116" s="208"/>
      <c r="F116" s="208"/>
      <c r="G116" s="22" t="s">
        <v>10</v>
      </c>
    </row>
    <row r="117" spans="1:8" ht="14.1" customHeight="1" x14ac:dyDescent="0.2">
      <c r="A117" s="20" t="s">
        <v>10</v>
      </c>
      <c r="B117" s="20" t="s">
        <v>10</v>
      </c>
      <c r="C117" s="20" t="s">
        <v>10</v>
      </c>
      <c r="D117" s="22" t="s">
        <v>10</v>
      </c>
      <c r="E117" s="22" t="s">
        <v>10</v>
      </c>
      <c r="F117" s="22" t="s">
        <v>10</v>
      </c>
      <c r="G117" s="22" t="s">
        <v>10</v>
      </c>
    </row>
    <row r="118" spans="1:8" ht="14.1" customHeight="1" x14ac:dyDescent="0.2">
      <c r="A118" s="20" t="s">
        <v>10</v>
      </c>
      <c r="B118" s="206" t="s">
        <v>134</v>
      </c>
      <c r="C118" s="207"/>
      <c r="D118" s="13" t="s">
        <v>10</v>
      </c>
      <c r="E118" s="23" t="s">
        <v>10</v>
      </c>
      <c r="F118" s="22" t="s">
        <v>10</v>
      </c>
      <c r="G118" s="22" t="s">
        <v>10</v>
      </c>
    </row>
    <row r="119" spans="1:8" ht="29.1" customHeight="1" x14ac:dyDescent="0.2">
      <c r="A119" s="20" t="s">
        <v>10</v>
      </c>
      <c r="B119" s="213" t="s">
        <v>135</v>
      </c>
      <c r="C119" s="214"/>
      <c r="D119" s="4" t="s">
        <v>136</v>
      </c>
      <c r="E119" s="23" t="s">
        <v>10</v>
      </c>
      <c r="F119" s="22" t="s">
        <v>10</v>
      </c>
      <c r="G119" s="22" t="s">
        <v>10</v>
      </c>
    </row>
    <row r="120" spans="1:8" ht="17.100000000000001" customHeight="1" x14ac:dyDescent="0.2">
      <c r="A120" s="20" t="s">
        <v>10</v>
      </c>
      <c r="B120" s="213" t="s">
        <v>137</v>
      </c>
      <c r="C120" s="214"/>
      <c r="D120" s="4" t="s">
        <v>136</v>
      </c>
      <c r="E120" s="23" t="s">
        <v>10</v>
      </c>
      <c r="F120" s="22" t="s">
        <v>10</v>
      </c>
      <c r="G120" s="22" t="s">
        <v>10</v>
      </c>
    </row>
    <row r="121" spans="1:8" ht="17.100000000000001" customHeight="1" x14ac:dyDescent="0.2">
      <c r="A121" s="20" t="s">
        <v>10</v>
      </c>
      <c r="B121" s="213" t="s">
        <v>138</v>
      </c>
      <c r="C121" s="214"/>
      <c r="D121" s="13" t="s">
        <v>10</v>
      </c>
      <c r="E121" s="23" t="s">
        <v>10</v>
      </c>
      <c r="F121" s="22" t="s">
        <v>10</v>
      </c>
      <c r="G121" s="22" t="s">
        <v>10</v>
      </c>
    </row>
    <row r="122" spans="1:8" s="20" customFormat="1" ht="17.100000000000001" customHeight="1" x14ac:dyDescent="0.2"/>
    <row r="123" spans="1:8" x14ac:dyDescent="0.2">
      <c r="A123" s="24" t="s">
        <v>10</v>
      </c>
      <c r="B123" s="140" t="s">
        <v>10</v>
      </c>
      <c r="C123" s="140" t="s">
        <v>139</v>
      </c>
      <c r="D123" s="140" t="s">
        <v>140</v>
      </c>
      <c r="E123" s="24" t="s">
        <v>10</v>
      </c>
      <c r="F123" s="24" t="s">
        <v>10</v>
      </c>
      <c r="G123" s="24" t="s">
        <v>10</v>
      </c>
    </row>
    <row r="124" spans="1:8" ht="18" customHeight="1" x14ac:dyDescent="0.2">
      <c r="A124" s="24" t="s">
        <v>10</v>
      </c>
      <c r="B124" s="25" t="s">
        <v>141</v>
      </c>
      <c r="C124" s="25" t="s">
        <v>142</v>
      </c>
      <c r="D124" s="25" t="s">
        <v>143</v>
      </c>
      <c r="E124" s="24" t="s">
        <v>10</v>
      </c>
      <c r="F124" s="24" t="s">
        <v>10</v>
      </c>
      <c r="G124" s="24" t="s">
        <v>10</v>
      </c>
    </row>
    <row r="125" spans="1:8" ht="17.100000000000001" customHeight="1" x14ac:dyDescent="0.2">
      <c r="A125" s="24" t="s">
        <v>10</v>
      </c>
      <c r="B125" s="6" t="s">
        <v>144</v>
      </c>
      <c r="C125" s="26">
        <v>13.1624</v>
      </c>
      <c r="D125" s="26">
        <v>13.8452</v>
      </c>
      <c r="E125" s="24" t="s">
        <v>10</v>
      </c>
      <c r="F125" s="21" t="s">
        <v>10</v>
      </c>
      <c r="G125" s="27" t="s">
        <v>10</v>
      </c>
    </row>
    <row r="126" spans="1:8" ht="17.100000000000001" customHeight="1" x14ac:dyDescent="0.2">
      <c r="A126" s="24" t="s">
        <v>10</v>
      </c>
      <c r="B126" s="6" t="s">
        <v>917</v>
      </c>
      <c r="C126" s="26">
        <v>13.1624</v>
      </c>
      <c r="D126" s="26">
        <v>13.8452</v>
      </c>
      <c r="E126" s="24" t="s">
        <v>10</v>
      </c>
      <c r="F126" s="21" t="s">
        <v>10</v>
      </c>
      <c r="G126" s="27" t="s">
        <v>10</v>
      </c>
    </row>
    <row r="127" spans="1:8" ht="17.100000000000001" customHeight="1" x14ac:dyDescent="0.2">
      <c r="A127" s="24" t="s">
        <v>10</v>
      </c>
      <c r="B127" s="6" t="s">
        <v>145</v>
      </c>
      <c r="C127" s="26">
        <v>12.8085</v>
      </c>
      <c r="D127" s="26">
        <v>13.466900000000001</v>
      </c>
      <c r="E127" s="24" t="s">
        <v>10</v>
      </c>
      <c r="F127" s="21" t="s">
        <v>10</v>
      </c>
      <c r="G127" s="27" t="s">
        <v>10</v>
      </c>
    </row>
    <row r="128" spans="1:8" ht="17.100000000000001" customHeight="1" x14ac:dyDescent="0.2">
      <c r="A128" s="24" t="s">
        <v>10</v>
      </c>
      <c r="B128" s="6" t="s">
        <v>918</v>
      </c>
      <c r="C128" s="26">
        <v>12.8085</v>
      </c>
      <c r="D128" s="26">
        <v>13.466900000000001</v>
      </c>
      <c r="E128" s="24" t="s">
        <v>10</v>
      </c>
      <c r="F128" s="21" t="s">
        <v>10</v>
      </c>
      <c r="G128" s="27" t="s">
        <v>10</v>
      </c>
    </row>
    <row r="129" spans="1:7" ht="14.1" customHeight="1" x14ac:dyDescent="0.2">
      <c r="A129" s="24" t="s">
        <v>10</v>
      </c>
      <c r="B129" s="24" t="s">
        <v>10</v>
      </c>
      <c r="C129" s="24" t="s">
        <v>10</v>
      </c>
      <c r="D129" s="24" t="s">
        <v>10</v>
      </c>
      <c r="E129" s="24" t="s">
        <v>10</v>
      </c>
      <c r="F129" s="24" t="s">
        <v>10</v>
      </c>
      <c r="G129" s="24" t="s">
        <v>10</v>
      </c>
    </row>
    <row r="130" spans="1:7" ht="17.100000000000001" customHeight="1" x14ac:dyDescent="0.2">
      <c r="A130" s="24" t="s">
        <v>10</v>
      </c>
      <c r="B130" s="213" t="s">
        <v>999</v>
      </c>
      <c r="C130" s="214"/>
      <c r="D130" s="4" t="s">
        <v>136</v>
      </c>
      <c r="E130" s="24" t="s">
        <v>10</v>
      </c>
      <c r="F130" s="24" t="s">
        <v>10</v>
      </c>
      <c r="G130" s="24" t="s">
        <v>10</v>
      </c>
    </row>
    <row r="131" spans="1:7" ht="18" customHeight="1" x14ac:dyDescent="0.2">
      <c r="A131" s="24" t="s">
        <v>10</v>
      </c>
      <c r="B131" s="28"/>
      <c r="C131" s="28"/>
      <c r="D131" s="29" t="s">
        <v>10</v>
      </c>
      <c r="E131" s="24" t="s">
        <v>10</v>
      </c>
      <c r="F131" s="24" t="s">
        <v>10</v>
      </c>
      <c r="G131" s="24" t="s">
        <v>10</v>
      </c>
    </row>
    <row r="132" spans="1:7" s="175" customFormat="1" x14ac:dyDescent="0.2">
      <c r="B132" s="221" t="s">
        <v>919</v>
      </c>
      <c r="C132" s="221"/>
      <c r="D132" s="221"/>
      <c r="E132" s="221"/>
      <c r="F132" s="221"/>
    </row>
    <row r="133" spans="1:7" ht="14.1" customHeight="1" x14ac:dyDescent="0.2">
      <c r="A133" s="24" t="s">
        <v>10</v>
      </c>
      <c r="B133" s="21" t="s">
        <v>10</v>
      </c>
      <c r="C133" s="21" t="s">
        <v>10</v>
      </c>
      <c r="D133" s="24" t="s">
        <v>10</v>
      </c>
      <c r="E133" s="24" t="s">
        <v>10</v>
      </c>
      <c r="F133" s="24" t="s">
        <v>10</v>
      </c>
      <c r="G133" s="24" t="s">
        <v>10</v>
      </c>
    </row>
    <row r="134" spans="1:7" ht="29.1" customHeight="1" x14ac:dyDescent="0.2">
      <c r="A134" s="24" t="s">
        <v>10</v>
      </c>
      <c r="B134" s="213" t="s">
        <v>146</v>
      </c>
      <c r="C134" s="214"/>
      <c r="D134" s="4" t="s">
        <v>136</v>
      </c>
      <c r="E134" s="24" t="s">
        <v>10</v>
      </c>
      <c r="F134" s="24" t="s">
        <v>10</v>
      </c>
      <c r="G134" s="24" t="s">
        <v>10</v>
      </c>
    </row>
    <row r="135" spans="1:7" ht="29.1" customHeight="1" x14ac:dyDescent="0.2">
      <c r="A135" s="24" t="s">
        <v>10</v>
      </c>
      <c r="B135" s="213" t="s">
        <v>147</v>
      </c>
      <c r="C135" s="214"/>
      <c r="D135" s="4" t="s">
        <v>136</v>
      </c>
      <c r="E135" s="24" t="s">
        <v>10</v>
      </c>
      <c r="F135" s="24" t="s">
        <v>10</v>
      </c>
      <c r="G135" s="24" t="s">
        <v>10</v>
      </c>
    </row>
    <row r="136" spans="1:7" ht="17.100000000000001" customHeight="1" x14ac:dyDescent="0.2">
      <c r="A136" s="24" t="s">
        <v>10</v>
      </c>
      <c r="B136" s="213" t="s">
        <v>148</v>
      </c>
      <c r="C136" s="214"/>
      <c r="D136" s="30">
        <v>0.26829461827420403</v>
      </c>
      <c r="E136" s="24" t="s">
        <v>10</v>
      </c>
      <c r="F136" s="21" t="s">
        <v>10</v>
      </c>
      <c r="G136" s="27" t="s">
        <v>10</v>
      </c>
    </row>
    <row r="137" spans="1:7" ht="17.100000000000001" customHeight="1" x14ac:dyDescent="0.2">
      <c r="A137" s="24" t="s">
        <v>10</v>
      </c>
      <c r="B137" s="213" t="s">
        <v>149</v>
      </c>
      <c r="C137" s="214"/>
      <c r="D137" s="4" t="s">
        <v>136</v>
      </c>
      <c r="E137" s="24" t="s">
        <v>10</v>
      </c>
      <c r="F137" s="24" t="s">
        <v>10</v>
      </c>
      <c r="G137" s="24" t="s">
        <v>10</v>
      </c>
    </row>
  </sheetData>
  <mergeCells count="15">
    <mergeCell ref="B136:C136"/>
    <mergeCell ref="B137:C137"/>
    <mergeCell ref="B119:C119"/>
    <mergeCell ref="B120:C120"/>
    <mergeCell ref="B121:C121"/>
    <mergeCell ref="B130:C130"/>
    <mergeCell ref="B134:C134"/>
    <mergeCell ref="B135:C135"/>
    <mergeCell ref="B132:F132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62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0" max="11" width="9.57031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525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216</v>
      </c>
      <c r="C7" s="6" t="s">
        <v>217</v>
      </c>
      <c r="D7" s="6" t="s">
        <v>192</v>
      </c>
      <c r="E7" s="7">
        <v>931915</v>
      </c>
      <c r="F7" s="8">
        <v>4880.9048124999999</v>
      </c>
      <c r="G7" s="9">
        <v>3.4790595000000001E-2</v>
      </c>
      <c r="H7" s="167"/>
    </row>
    <row r="8" spans="1:8" x14ac:dyDescent="0.2">
      <c r="A8" s="5">
        <v>2</v>
      </c>
      <c r="B8" s="6" t="s">
        <v>188</v>
      </c>
      <c r="C8" s="6" t="s">
        <v>189</v>
      </c>
      <c r="D8" s="6" t="s">
        <v>167</v>
      </c>
      <c r="E8" s="7">
        <v>180759</v>
      </c>
      <c r="F8" s="8">
        <v>4596.6109905000003</v>
      </c>
      <c r="G8" s="9">
        <v>3.2764176999999998E-2</v>
      </c>
      <c r="H8" s="167"/>
    </row>
    <row r="9" spans="1:8" x14ac:dyDescent="0.2">
      <c r="A9" s="5">
        <v>3</v>
      </c>
      <c r="B9" s="6" t="s">
        <v>46</v>
      </c>
      <c r="C9" s="6" t="s">
        <v>47</v>
      </c>
      <c r="D9" s="6" t="s">
        <v>29</v>
      </c>
      <c r="E9" s="7">
        <v>455714</v>
      </c>
      <c r="F9" s="8">
        <v>4450.7307810000002</v>
      </c>
      <c r="G9" s="9">
        <v>3.1724358000000001E-2</v>
      </c>
      <c r="H9" s="167"/>
    </row>
    <row r="10" spans="1:8" x14ac:dyDescent="0.2">
      <c r="A10" s="5">
        <v>4</v>
      </c>
      <c r="B10" s="6" t="s">
        <v>272</v>
      </c>
      <c r="C10" s="6" t="s">
        <v>273</v>
      </c>
      <c r="D10" s="6" t="s">
        <v>972</v>
      </c>
      <c r="E10" s="7">
        <v>266253</v>
      </c>
      <c r="F10" s="8">
        <v>4124.2589699999999</v>
      </c>
      <c r="G10" s="9">
        <v>2.9397300000000001E-2</v>
      </c>
      <c r="H10" s="167"/>
    </row>
    <row r="11" spans="1:8" x14ac:dyDescent="0.2">
      <c r="A11" s="5">
        <v>5</v>
      </c>
      <c r="B11" s="6" t="s">
        <v>151</v>
      </c>
      <c r="C11" s="6" t="s">
        <v>152</v>
      </c>
      <c r="D11" s="6" t="s">
        <v>153</v>
      </c>
      <c r="E11" s="7">
        <v>127331</v>
      </c>
      <c r="F11" s="8">
        <v>4106.1700879999999</v>
      </c>
      <c r="G11" s="9">
        <v>2.9268364000000002E-2</v>
      </c>
      <c r="H11" s="167"/>
    </row>
    <row r="12" spans="1:8" x14ac:dyDescent="0.2">
      <c r="A12" s="5">
        <v>6</v>
      </c>
      <c r="B12" s="6" t="s">
        <v>526</v>
      </c>
      <c r="C12" s="6" t="s">
        <v>527</v>
      </c>
      <c r="D12" s="6" t="s">
        <v>192</v>
      </c>
      <c r="E12" s="7">
        <v>567747</v>
      </c>
      <c r="F12" s="8">
        <v>4024.7584830000001</v>
      </c>
      <c r="G12" s="9">
        <v>2.8688070999999999E-2</v>
      </c>
      <c r="H12" s="167"/>
    </row>
    <row r="13" spans="1:8" x14ac:dyDescent="0.2">
      <c r="A13" s="5">
        <v>7</v>
      </c>
      <c r="B13" s="6" t="s">
        <v>198</v>
      </c>
      <c r="C13" s="6" t="s">
        <v>199</v>
      </c>
      <c r="D13" s="6" t="s">
        <v>167</v>
      </c>
      <c r="E13" s="7">
        <v>470440</v>
      </c>
      <c r="F13" s="8">
        <v>3875.71994</v>
      </c>
      <c r="G13" s="9">
        <v>2.7625739E-2</v>
      </c>
      <c r="H13" s="167"/>
    </row>
    <row r="14" spans="1:8" x14ac:dyDescent="0.2">
      <c r="A14" s="5">
        <v>8</v>
      </c>
      <c r="B14" s="6" t="s">
        <v>165</v>
      </c>
      <c r="C14" s="6" t="s">
        <v>166</v>
      </c>
      <c r="D14" s="6" t="s">
        <v>167</v>
      </c>
      <c r="E14" s="7">
        <v>1541001</v>
      </c>
      <c r="F14" s="8">
        <v>3749.2554329999998</v>
      </c>
      <c r="G14" s="9">
        <v>2.6724313E-2</v>
      </c>
      <c r="H14" s="167"/>
    </row>
    <row r="15" spans="1:8" x14ac:dyDescent="0.2">
      <c r="A15" s="5">
        <v>9</v>
      </c>
      <c r="B15" s="6" t="s">
        <v>168</v>
      </c>
      <c r="C15" s="6" t="s">
        <v>169</v>
      </c>
      <c r="D15" s="6" t="s">
        <v>75</v>
      </c>
      <c r="E15" s="7">
        <v>836461</v>
      </c>
      <c r="F15" s="8">
        <v>3328.278319</v>
      </c>
      <c r="G15" s="9">
        <v>2.3723630999999998E-2</v>
      </c>
      <c r="H15" s="167"/>
    </row>
    <row r="16" spans="1:8" x14ac:dyDescent="0.2">
      <c r="A16" s="5">
        <v>10</v>
      </c>
      <c r="B16" s="6" t="s">
        <v>337</v>
      </c>
      <c r="C16" s="6" t="s">
        <v>338</v>
      </c>
      <c r="D16" s="6" t="s">
        <v>23</v>
      </c>
      <c r="E16" s="7">
        <v>1901138</v>
      </c>
      <c r="F16" s="8">
        <v>3276.611343</v>
      </c>
      <c r="G16" s="9">
        <v>2.3355353999999998E-2</v>
      </c>
      <c r="H16" s="167"/>
    </row>
    <row r="17" spans="1:8" x14ac:dyDescent="0.2">
      <c r="A17" s="5">
        <v>11</v>
      </c>
      <c r="B17" s="6" t="s">
        <v>254</v>
      </c>
      <c r="C17" s="6" t="s">
        <v>255</v>
      </c>
      <c r="D17" s="6" t="s">
        <v>971</v>
      </c>
      <c r="E17" s="7">
        <v>668744</v>
      </c>
      <c r="F17" s="8">
        <v>3224.0148239999999</v>
      </c>
      <c r="G17" s="9">
        <v>2.2980450999999999E-2</v>
      </c>
      <c r="H17" s="167"/>
    </row>
    <row r="18" spans="1:8" x14ac:dyDescent="0.2">
      <c r="A18" s="5">
        <v>12</v>
      </c>
      <c r="B18" s="6" t="s">
        <v>252</v>
      </c>
      <c r="C18" s="6" t="s">
        <v>253</v>
      </c>
      <c r="D18" s="6" t="s">
        <v>158</v>
      </c>
      <c r="E18" s="7">
        <v>587677</v>
      </c>
      <c r="F18" s="8">
        <v>3222.8206679999998</v>
      </c>
      <c r="G18" s="9">
        <v>2.2971939E-2</v>
      </c>
      <c r="H18" s="167"/>
    </row>
    <row r="19" spans="1:8" x14ac:dyDescent="0.2">
      <c r="A19" s="5">
        <v>13</v>
      </c>
      <c r="B19" s="6" t="s">
        <v>358</v>
      </c>
      <c r="C19" s="6" t="s">
        <v>359</v>
      </c>
      <c r="D19" s="6" t="s">
        <v>75</v>
      </c>
      <c r="E19" s="7">
        <v>78556</v>
      </c>
      <c r="F19" s="8">
        <v>3164.8641280000002</v>
      </c>
      <c r="G19" s="9">
        <v>2.2558831000000001E-2</v>
      </c>
      <c r="H19" s="167"/>
    </row>
    <row r="20" spans="1:8" ht="25.5" x14ac:dyDescent="0.2">
      <c r="A20" s="5">
        <v>14</v>
      </c>
      <c r="B20" s="6" t="s">
        <v>161</v>
      </c>
      <c r="C20" s="6" t="s">
        <v>162</v>
      </c>
      <c r="D20" s="6" t="s">
        <v>970</v>
      </c>
      <c r="E20" s="7">
        <v>1709532</v>
      </c>
      <c r="F20" s="8">
        <v>3115.6220699999999</v>
      </c>
      <c r="G20" s="9">
        <v>2.2207838000000001E-2</v>
      </c>
      <c r="H20" s="167"/>
    </row>
    <row r="21" spans="1:8" x14ac:dyDescent="0.2">
      <c r="A21" s="5">
        <v>15</v>
      </c>
      <c r="B21" s="6" t="s">
        <v>183</v>
      </c>
      <c r="C21" s="6" t="s">
        <v>184</v>
      </c>
      <c r="D21" s="6" t="s">
        <v>185</v>
      </c>
      <c r="E21" s="7">
        <v>261830</v>
      </c>
      <c r="F21" s="8">
        <v>3106.0892899999999</v>
      </c>
      <c r="G21" s="9">
        <v>2.2139889999999999E-2</v>
      </c>
      <c r="H21" s="167"/>
    </row>
    <row r="22" spans="1:8" x14ac:dyDescent="0.2">
      <c r="A22" s="5">
        <v>16</v>
      </c>
      <c r="B22" s="6" t="s">
        <v>528</v>
      </c>
      <c r="C22" s="6" t="s">
        <v>529</v>
      </c>
      <c r="D22" s="6" t="s">
        <v>23</v>
      </c>
      <c r="E22" s="7">
        <v>975142</v>
      </c>
      <c r="F22" s="8">
        <v>3021.4774870000001</v>
      </c>
      <c r="G22" s="9">
        <v>2.1536784999999999E-2</v>
      </c>
      <c r="H22" s="167"/>
    </row>
    <row r="23" spans="1:8" x14ac:dyDescent="0.2">
      <c r="A23" s="5">
        <v>17</v>
      </c>
      <c r="B23" s="6" t="s">
        <v>530</v>
      </c>
      <c r="C23" s="6" t="s">
        <v>531</v>
      </c>
      <c r="D23" s="6" t="s">
        <v>75</v>
      </c>
      <c r="E23" s="7">
        <v>377591</v>
      </c>
      <c r="F23" s="8">
        <v>2959.558258</v>
      </c>
      <c r="G23" s="9">
        <v>2.1095431000000001E-2</v>
      </c>
      <c r="H23" s="167"/>
    </row>
    <row r="24" spans="1:8" x14ac:dyDescent="0.2">
      <c r="A24" s="5">
        <v>18</v>
      </c>
      <c r="B24" s="6" t="s">
        <v>248</v>
      </c>
      <c r="C24" s="6" t="s">
        <v>249</v>
      </c>
      <c r="D24" s="6" t="s">
        <v>192</v>
      </c>
      <c r="E24" s="7">
        <v>200691</v>
      </c>
      <c r="F24" s="8">
        <v>2911.6250279999999</v>
      </c>
      <c r="G24" s="9">
        <v>2.0753767999999999E-2</v>
      </c>
      <c r="H24" s="167"/>
    </row>
    <row r="25" spans="1:8" x14ac:dyDescent="0.2">
      <c r="A25" s="5">
        <v>19</v>
      </c>
      <c r="B25" s="6" t="s">
        <v>459</v>
      </c>
      <c r="C25" s="6" t="s">
        <v>460</v>
      </c>
      <c r="D25" s="6" t="s">
        <v>29</v>
      </c>
      <c r="E25" s="7">
        <v>482234</v>
      </c>
      <c r="F25" s="8">
        <v>2886.411607</v>
      </c>
      <c r="G25" s="9">
        <v>2.0574049000000001E-2</v>
      </c>
      <c r="H25" s="167"/>
    </row>
    <row r="26" spans="1:8" x14ac:dyDescent="0.2">
      <c r="A26" s="5">
        <v>20</v>
      </c>
      <c r="B26" s="6" t="s">
        <v>442</v>
      </c>
      <c r="C26" s="6" t="s">
        <v>443</v>
      </c>
      <c r="D26" s="6" t="s">
        <v>158</v>
      </c>
      <c r="E26" s="7">
        <v>435061</v>
      </c>
      <c r="F26" s="8">
        <v>2788.9585404999998</v>
      </c>
      <c r="G26" s="9">
        <v>1.9879414000000002E-2</v>
      </c>
      <c r="H26" s="167"/>
    </row>
    <row r="27" spans="1:8" x14ac:dyDescent="0.2">
      <c r="A27" s="5">
        <v>21</v>
      </c>
      <c r="B27" s="6" t="s">
        <v>245</v>
      </c>
      <c r="C27" s="6" t="s">
        <v>246</v>
      </c>
      <c r="D27" s="6" t="s">
        <v>247</v>
      </c>
      <c r="E27" s="7">
        <v>1520427</v>
      </c>
      <c r="F27" s="8">
        <v>2493.5002800000002</v>
      </c>
      <c r="G27" s="9">
        <v>1.7773417E-2</v>
      </c>
      <c r="H27" s="167"/>
    </row>
    <row r="28" spans="1:8" ht="25.5" x14ac:dyDescent="0.2">
      <c r="A28" s="5">
        <v>22</v>
      </c>
      <c r="B28" s="6" t="s">
        <v>228</v>
      </c>
      <c r="C28" s="6" t="s">
        <v>229</v>
      </c>
      <c r="D28" s="6" t="s">
        <v>78</v>
      </c>
      <c r="E28" s="7">
        <v>701154</v>
      </c>
      <c r="F28" s="8">
        <v>2381.4695609999999</v>
      </c>
      <c r="G28" s="9">
        <v>1.6974874000000001E-2</v>
      </c>
      <c r="H28" s="167"/>
    </row>
    <row r="29" spans="1:8" x14ac:dyDescent="0.2">
      <c r="A29" s="5">
        <v>23</v>
      </c>
      <c r="B29" s="6" t="s">
        <v>181</v>
      </c>
      <c r="C29" s="6" t="s">
        <v>182</v>
      </c>
      <c r="D29" s="6" t="s">
        <v>29</v>
      </c>
      <c r="E29" s="7">
        <v>475879</v>
      </c>
      <c r="F29" s="8">
        <v>2273.273983</v>
      </c>
      <c r="G29" s="9">
        <v>1.6203667000000001E-2</v>
      </c>
      <c r="H29" s="167"/>
    </row>
    <row r="30" spans="1:8" x14ac:dyDescent="0.2">
      <c r="A30" s="5">
        <v>24</v>
      </c>
      <c r="B30" s="6" t="s">
        <v>53</v>
      </c>
      <c r="C30" s="6" t="s">
        <v>54</v>
      </c>
      <c r="D30" s="6" t="s">
        <v>32</v>
      </c>
      <c r="E30" s="7">
        <v>1049304</v>
      </c>
      <c r="F30" s="8">
        <v>2216.6547</v>
      </c>
      <c r="G30" s="9">
        <v>1.5800089999999999E-2</v>
      </c>
      <c r="H30" s="167"/>
    </row>
    <row r="31" spans="1:8" ht="25.5" x14ac:dyDescent="0.2">
      <c r="A31" s="5">
        <v>25</v>
      </c>
      <c r="B31" s="6" t="s">
        <v>200</v>
      </c>
      <c r="C31" s="6" t="s">
        <v>201</v>
      </c>
      <c r="D31" s="6" t="s">
        <v>75</v>
      </c>
      <c r="E31" s="7">
        <v>93402</v>
      </c>
      <c r="F31" s="8">
        <v>2105.2810800000002</v>
      </c>
      <c r="G31" s="9">
        <v>1.5006230000000001E-2</v>
      </c>
      <c r="H31" s="167"/>
    </row>
    <row r="32" spans="1:8" ht="25.5" x14ac:dyDescent="0.2">
      <c r="A32" s="5">
        <v>26</v>
      </c>
      <c r="B32" s="6" t="s">
        <v>33</v>
      </c>
      <c r="C32" s="6" t="s">
        <v>34</v>
      </c>
      <c r="D32" s="6" t="s">
        <v>970</v>
      </c>
      <c r="E32" s="7">
        <v>72630</v>
      </c>
      <c r="F32" s="8">
        <v>2069.555535</v>
      </c>
      <c r="G32" s="9">
        <v>1.4751581999999999E-2</v>
      </c>
      <c r="H32" s="167"/>
    </row>
    <row r="33" spans="1:8" x14ac:dyDescent="0.2">
      <c r="A33" s="5">
        <v>27</v>
      </c>
      <c r="B33" s="6" t="s">
        <v>532</v>
      </c>
      <c r="C33" s="6" t="s">
        <v>533</v>
      </c>
      <c r="D33" s="6" t="s">
        <v>357</v>
      </c>
      <c r="E33" s="7">
        <v>704216</v>
      </c>
      <c r="F33" s="8">
        <v>2025.325216</v>
      </c>
      <c r="G33" s="9">
        <v>1.4436312999999999E-2</v>
      </c>
      <c r="H33" s="167"/>
    </row>
    <row r="34" spans="1:8" x14ac:dyDescent="0.2">
      <c r="A34" s="5">
        <v>28</v>
      </c>
      <c r="B34" s="6" t="s">
        <v>30</v>
      </c>
      <c r="C34" s="6" t="s">
        <v>31</v>
      </c>
      <c r="D34" s="6" t="s">
        <v>32</v>
      </c>
      <c r="E34" s="7">
        <v>765372</v>
      </c>
      <c r="F34" s="8">
        <v>1981.9307940000001</v>
      </c>
      <c r="G34" s="9">
        <v>1.4127002E-2</v>
      </c>
      <c r="H34" s="167"/>
    </row>
    <row r="35" spans="1:8" x14ac:dyDescent="0.2">
      <c r="A35" s="5">
        <v>29</v>
      </c>
      <c r="B35" s="6" t="s">
        <v>190</v>
      </c>
      <c r="C35" s="6" t="s">
        <v>191</v>
      </c>
      <c r="D35" s="6" t="s">
        <v>192</v>
      </c>
      <c r="E35" s="7">
        <v>496257</v>
      </c>
      <c r="F35" s="8">
        <v>1950.786267</v>
      </c>
      <c r="G35" s="9">
        <v>1.3905007E-2</v>
      </c>
      <c r="H35" s="167"/>
    </row>
    <row r="36" spans="1:8" x14ac:dyDescent="0.2">
      <c r="A36" s="5">
        <v>30</v>
      </c>
      <c r="B36" s="6" t="s">
        <v>262</v>
      </c>
      <c r="C36" s="6" t="s">
        <v>263</v>
      </c>
      <c r="D36" s="6" t="s">
        <v>185</v>
      </c>
      <c r="E36" s="7">
        <v>335576</v>
      </c>
      <c r="F36" s="8">
        <v>1908.2529239999999</v>
      </c>
      <c r="G36" s="9">
        <v>1.3601833000000001E-2</v>
      </c>
      <c r="H36" s="167"/>
    </row>
    <row r="37" spans="1:8" x14ac:dyDescent="0.2">
      <c r="A37" s="5">
        <v>31</v>
      </c>
      <c r="B37" s="6" t="s">
        <v>534</v>
      </c>
      <c r="C37" s="6" t="s">
        <v>535</v>
      </c>
      <c r="D37" s="6" t="s">
        <v>192</v>
      </c>
      <c r="E37" s="7">
        <v>32132</v>
      </c>
      <c r="F37" s="8">
        <v>1902.1983339999999</v>
      </c>
      <c r="G37" s="9">
        <v>1.3558677E-2</v>
      </c>
      <c r="H37" s="167"/>
    </row>
    <row r="38" spans="1:8" x14ac:dyDescent="0.2">
      <c r="A38" s="5">
        <v>32</v>
      </c>
      <c r="B38" s="6" t="s">
        <v>218</v>
      </c>
      <c r="C38" s="6" t="s">
        <v>219</v>
      </c>
      <c r="D38" s="6" t="s">
        <v>973</v>
      </c>
      <c r="E38" s="7">
        <v>275421</v>
      </c>
      <c r="F38" s="8">
        <v>1881.4008510000001</v>
      </c>
      <c r="G38" s="9">
        <v>1.3410435E-2</v>
      </c>
      <c r="H38" s="167"/>
    </row>
    <row r="39" spans="1:8" x14ac:dyDescent="0.2">
      <c r="A39" s="5">
        <v>33</v>
      </c>
      <c r="B39" s="6" t="s">
        <v>163</v>
      </c>
      <c r="C39" s="6" t="s">
        <v>164</v>
      </c>
      <c r="D39" s="6" t="s">
        <v>167</v>
      </c>
      <c r="E39" s="7">
        <v>215778</v>
      </c>
      <c r="F39" s="8">
        <v>1871.982039</v>
      </c>
      <c r="G39" s="9">
        <v>1.3343298E-2</v>
      </c>
      <c r="H39" s="167"/>
    </row>
    <row r="40" spans="1:8" x14ac:dyDescent="0.2">
      <c r="A40" s="5">
        <v>34</v>
      </c>
      <c r="B40" s="6" t="s">
        <v>73</v>
      </c>
      <c r="C40" s="6" t="s">
        <v>74</v>
      </c>
      <c r="D40" s="6" t="s">
        <v>75</v>
      </c>
      <c r="E40" s="7">
        <v>68384</v>
      </c>
      <c r="F40" s="8">
        <v>1865.34456</v>
      </c>
      <c r="G40" s="9">
        <v>1.3295987E-2</v>
      </c>
      <c r="H40" s="167"/>
    </row>
    <row r="41" spans="1:8" x14ac:dyDescent="0.2">
      <c r="A41" s="5">
        <v>35</v>
      </c>
      <c r="B41" s="6" t="s">
        <v>536</v>
      </c>
      <c r="C41" s="6" t="s">
        <v>537</v>
      </c>
      <c r="D41" s="6" t="s">
        <v>284</v>
      </c>
      <c r="E41" s="7">
        <v>188191</v>
      </c>
      <c r="F41" s="8">
        <v>1777.2758040000001</v>
      </c>
      <c r="G41" s="9">
        <v>1.2668242E-2</v>
      </c>
      <c r="H41" s="167"/>
    </row>
    <row r="42" spans="1:8" ht="25.5" x14ac:dyDescent="0.2">
      <c r="A42" s="5">
        <v>36</v>
      </c>
      <c r="B42" s="6" t="s">
        <v>538</v>
      </c>
      <c r="C42" s="6" t="s">
        <v>539</v>
      </c>
      <c r="D42" s="6" t="s">
        <v>78</v>
      </c>
      <c r="E42" s="7">
        <v>581987</v>
      </c>
      <c r="F42" s="8">
        <v>1770.1134605</v>
      </c>
      <c r="G42" s="9">
        <v>1.2617188999999999E-2</v>
      </c>
      <c r="H42" s="167"/>
    </row>
    <row r="43" spans="1:8" x14ac:dyDescent="0.2">
      <c r="A43" s="5">
        <v>37</v>
      </c>
      <c r="B43" s="6" t="s">
        <v>540</v>
      </c>
      <c r="C43" s="6" t="s">
        <v>541</v>
      </c>
      <c r="D43" s="6" t="s">
        <v>50</v>
      </c>
      <c r="E43" s="7">
        <v>429000</v>
      </c>
      <c r="F43" s="8">
        <v>1762.761</v>
      </c>
      <c r="G43" s="9">
        <v>1.2564782E-2</v>
      </c>
      <c r="H43" s="167"/>
    </row>
    <row r="44" spans="1:8" ht="25.5" x14ac:dyDescent="0.2">
      <c r="A44" s="5">
        <v>38</v>
      </c>
      <c r="B44" s="6" t="s">
        <v>542</v>
      </c>
      <c r="C44" s="6" t="s">
        <v>543</v>
      </c>
      <c r="D44" s="6" t="s">
        <v>78</v>
      </c>
      <c r="E44" s="7">
        <v>403703</v>
      </c>
      <c r="F44" s="8">
        <v>1687.6803915</v>
      </c>
      <c r="G44" s="9">
        <v>1.2029615E-2</v>
      </c>
      <c r="H44" s="167"/>
    </row>
    <row r="45" spans="1:8" x14ac:dyDescent="0.2">
      <c r="A45" s="5">
        <v>39</v>
      </c>
      <c r="B45" s="6" t="s">
        <v>210</v>
      </c>
      <c r="C45" s="6" t="s">
        <v>211</v>
      </c>
      <c r="D45" s="6" t="s">
        <v>29</v>
      </c>
      <c r="E45" s="7">
        <v>123319</v>
      </c>
      <c r="F45" s="8">
        <v>1661.0452705</v>
      </c>
      <c r="G45" s="9">
        <v>1.1839762E-2</v>
      </c>
      <c r="H45" s="167"/>
    </row>
    <row r="46" spans="1:8" x14ac:dyDescent="0.2">
      <c r="A46" s="5">
        <v>40</v>
      </c>
      <c r="B46" s="6" t="s">
        <v>544</v>
      </c>
      <c r="C46" s="6" t="s">
        <v>545</v>
      </c>
      <c r="D46" s="6" t="s">
        <v>153</v>
      </c>
      <c r="E46" s="7">
        <v>178984</v>
      </c>
      <c r="F46" s="8">
        <v>1660.0766000000001</v>
      </c>
      <c r="G46" s="9">
        <v>1.1832858E-2</v>
      </c>
      <c r="H46" s="167"/>
    </row>
    <row r="47" spans="1:8" x14ac:dyDescent="0.2">
      <c r="A47" s="5">
        <v>41</v>
      </c>
      <c r="B47" s="6" t="s">
        <v>546</v>
      </c>
      <c r="C47" s="6" t="s">
        <v>547</v>
      </c>
      <c r="D47" s="6" t="s">
        <v>75</v>
      </c>
      <c r="E47" s="7">
        <v>167736</v>
      </c>
      <c r="F47" s="8">
        <v>1619.9104199999999</v>
      </c>
      <c r="G47" s="9">
        <v>1.1546557000000001E-2</v>
      </c>
      <c r="H47" s="167"/>
    </row>
    <row r="48" spans="1:8" x14ac:dyDescent="0.2">
      <c r="A48" s="5">
        <v>42</v>
      </c>
      <c r="B48" s="6" t="s">
        <v>170</v>
      </c>
      <c r="C48" s="6" t="s">
        <v>171</v>
      </c>
      <c r="D48" s="6" t="s">
        <v>167</v>
      </c>
      <c r="E48" s="7">
        <v>26349</v>
      </c>
      <c r="F48" s="8">
        <v>1399.7906250000001</v>
      </c>
      <c r="G48" s="9">
        <v>9.9775660000000002E-3</v>
      </c>
      <c r="H48" s="167"/>
    </row>
    <row r="49" spans="1:8" x14ac:dyDescent="0.2">
      <c r="A49" s="5">
        <v>43</v>
      </c>
      <c r="B49" s="6" t="s">
        <v>453</v>
      </c>
      <c r="C49" s="6" t="s">
        <v>454</v>
      </c>
      <c r="D49" s="6" t="s">
        <v>158</v>
      </c>
      <c r="E49" s="7">
        <v>436804</v>
      </c>
      <c r="F49" s="8">
        <v>1392.0943480000001</v>
      </c>
      <c r="G49" s="9">
        <v>9.9227069999999994E-3</v>
      </c>
      <c r="H49" s="167"/>
    </row>
    <row r="50" spans="1:8" x14ac:dyDescent="0.2">
      <c r="A50" s="5">
        <v>44</v>
      </c>
      <c r="B50" s="6" t="s">
        <v>548</v>
      </c>
      <c r="C50" s="6" t="s">
        <v>549</v>
      </c>
      <c r="D50" s="6" t="s">
        <v>153</v>
      </c>
      <c r="E50" s="7">
        <v>180198</v>
      </c>
      <c r="F50" s="8">
        <v>1359.143415</v>
      </c>
      <c r="G50" s="9">
        <v>9.687836E-3</v>
      </c>
      <c r="H50" s="167"/>
    </row>
    <row r="51" spans="1:8" x14ac:dyDescent="0.2">
      <c r="A51" s="5">
        <v>45</v>
      </c>
      <c r="B51" s="6" t="s">
        <v>280</v>
      </c>
      <c r="C51" s="6" t="s">
        <v>281</v>
      </c>
      <c r="D51" s="6" t="s">
        <v>971</v>
      </c>
      <c r="E51" s="7">
        <v>3249123</v>
      </c>
      <c r="F51" s="8">
        <v>1358.1334139999999</v>
      </c>
      <c r="G51" s="9">
        <v>9.6806370000000006E-3</v>
      </c>
      <c r="H51" s="167"/>
    </row>
    <row r="52" spans="1:8" x14ac:dyDescent="0.2">
      <c r="A52" s="5">
        <v>46</v>
      </c>
      <c r="B52" s="6" t="s">
        <v>276</v>
      </c>
      <c r="C52" s="6" t="s">
        <v>277</v>
      </c>
      <c r="D52" s="6" t="s">
        <v>167</v>
      </c>
      <c r="E52" s="7">
        <v>226199</v>
      </c>
      <c r="F52" s="8">
        <v>1253.9341565</v>
      </c>
      <c r="G52" s="9">
        <v>8.9379160000000006E-3</v>
      </c>
      <c r="H52" s="167"/>
    </row>
    <row r="53" spans="1:8" x14ac:dyDescent="0.2">
      <c r="A53" s="5">
        <v>47</v>
      </c>
      <c r="B53" s="6" t="s">
        <v>260</v>
      </c>
      <c r="C53" s="6" t="s">
        <v>926</v>
      </c>
      <c r="D53" s="6" t="s">
        <v>261</v>
      </c>
      <c r="E53" s="7">
        <v>520000</v>
      </c>
      <c r="F53" s="8">
        <v>1239.42</v>
      </c>
      <c r="G53" s="9">
        <v>8.8344600000000006E-3</v>
      </c>
      <c r="H53" s="167"/>
    </row>
    <row r="54" spans="1:8" x14ac:dyDescent="0.2">
      <c r="A54" s="5">
        <v>48</v>
      </c>
      <c r="B54" s="6" t="s">
        <v>550</v>
      </c>
      <c r="C54" s="6" t="s">
        <v>551</v>
      </c>
      <c r="D54" s="6" t="s">
        <v>192</v>
      </c>
      <c r="E54" s="7">
        <v>235227</v>
      </c>
      <c r="F54" s="8">
        <v>1209.4196205000001</v>
      </c>
      <c r="G54" s="9">
        <v>8.6206200000000007E-3</v>
      </c>
      <c r="H54" s="167"/>
    </row>
    <row r="55" spans="1:8" ht="25.5" x14ac:dyDescent="0.2">
      <c r="A55" s="5">
        <v>49</v>
      </c>
      <c r="B55" s="6" t="s">
        <v>552</v>
      </c>
      <c r="C55" s="6" t="s">
        <v>553</v>
      </c>
      <c r="D55" s="6" t="s">
        <v>977</v>
      </c>
      <c r="E55" s="7">
        <v>86501</v>
      </c>
      <c r="F55" s="8">
        <v>1142.505208</v>
      </c>
      <c r="G55" s="9">
        <v>8.143661E-3</v>
      </c>
      <c r="H55" s="167"/>
    </row>
    <row r="56" spans="1:8" x14ac:dyDescent="0.2">
      <c r="A56" s="5">
        <v>50</v>
      </c>
      <c r="B56" s="6" t="s">
        <v>554</v>
      </c>
      <c r="C56" s="6" t="s">
        <v>555</v>
      </c>
      <c r="D56" s="6" t="s">
        <v>167</v>
      </c>
      <c r="E56" s="7">
        <v>336054</v>
      </c>
      <c r="F56" s="8">
        <v>1063.6109100000001</v>
      </c>
      <c r="G56" s="9">
        <v>7.5813110000000003E-3</v>
      </c>
      <c r="H56" s="167"/>
    </row>
    <row r="57" spans="1:8" ht="25.5" x14ac:dyDescent="0.2">
      <c r="A57" s="5">
        <v>51</v>
      </c>
      <c r="B57" s="6" t="s">
        <v>331</v>
      </c>
      <c r="C57" s="6" t="s">
        <v>332</v>
      </c>
      <c r="D57" s="6" t="s">
        <v>75</v>
      </c>
      <c r="E57" s="7">
        <v>263199</v>
      </c>
      <c r="F57" s="8">
        <v>1048.1900175000001</v>
      </c>
      <c r="G57" s="9">
        <v>7.4713920000000003E-3</v>
      </c>
      <c r="H57" s="167"/>
    </row>
    <row r="58" spans="1:8" ht="25.5" x14ac:dyDescent="0.2">
      <c r="A58" s="5">
        <v>52</v>
      </c>
      <c r="B58" s="6" t="s">
        <v>42</v>
      </c>
      <c r="C58" s="6" t="s">
        <v>43</v>
      </c>
      <c r="D58" s="6" t="s">
        <v>37</v>
      </c>
      <c r="E58" s="7">
        <v>308251</v>
      </c>
      <c r="F58" s="8">
        <v>1041.4260035</v>
      </c>
      <c r="G58" s="9">
        <v>7.4231790000000002E-3</v>
      </c>
      <c r="H58" s="167"/>
    </row>
    <row r="59" spans="1:8" x14ac:dyDescent="0.2">
      <c r="A59" s="5">
        <v>53</v>
      </c>
      <c r="B59" s="6" t="s">
        <v>250</v>
      </c>
      <c r="C59" s="6" t="s">
        <v>251</v>
      </c>
      <c r="D59" s="6" t="s">
        <v>75</v>
      </c>
      <c r="E59" s="7">
        <v>169950</v>
      </c>
      <c r="F59" s="8">
        <v>1040.348925</v>
      </c>
      <c r="G59" s="9">
        <v>7.415502E-3</v>
      </c>
      <c r="H59" s="167"/>
    </row>
    <row r="60" spans="1:8" x14ac:dyDescent="0.2">
      <c r="A60" s="5">
        <v>54</v>
      </c>
      <c r="B60" s="6" t="s">
        <v>58</v>
      </c>
      <c r="C60" s="6" t="s">
        <v>59</v>
      </c>
      <c r="D60" s="6" t="s">
        <v>974</v>
      </c>
      <c r="E60" s="7">
        <v>698621</v>
      </c>
      <c r="F60" s="8">
        <v>899.125227</v>
      </c>
      <c r="G60" s="9">
        <v>6.4088729999999998E-3</v>
      </c>
      <c r="H60" s="167"/>
    </row>
    <row r="61" spans="1:8" x14ac:dyDescent="0.2">
      <c r="A61" s="5">
        <v>55</v>
      </c>
      <c r="B61" s="6" t="s">
        <v>556</v>
      </c>
      <c r="C61" s="6" t="s">
        <v>557</v>
      </c>
      <c r="D61" s="6" t="s">
        <v>57</v>
      </c>
      <c r="E61" s="7">
        <v>61099</v>
      </c>
      <c r="F61" s="8">
        <v>794.98963849999996</v>
      </c>
      <c r="G61" s="9">
        <v>5.6666060000000002E-3</v>
      </c>
      <c r="H61" s="167"/>
    </row>
    <row r="62" spans="1:8" ht="25.5" x14ac:dyDescent="0.2">
      <c r="A62" s="5">
        <v>56</v>
      </c>
      <c r="B62" s="6" t="s">
        <v>558</v>
      </c>
      <c r="C62" s="6" t="s">
        <v>559</v>
      </c>
      <c r="D62" s="6" t="s">
        <v>970</v>
      </c>
      <c r="E62" s="7">
        <v>284044</v>
      </c>
      <c r="F62" s="8">
        <v>766.77677800000004</v>
      </c>
      <c r="G62" s="9">
        <v>5.4655069999999997E-3</v>
      </c>
      <c r="H62" s="167"/>
    </row>
    <row r="63" spans="1:8" x14ac:dyDescent="0.2">
      <c r="A63" s="5">
        <v>57</v>
      </c>
      <c r="B63" s="6" t="s">
        <v>560</v>
      </c>
      <c r="C63" s="6" t="s">
        <v>561</v>
      </c>
      <c r="D63" s="6" t="s">
        <v>23</v>
      </c>
      <c r="E63" s="7">
        <v>533649</v>
      </c>
      <c r="F63" s="8">
        <v>746.84177550000004</v>
      </c>
      <c r="G63" s="9">
        <v>5.3234119999999996E-3</v>
      </c>
      <c r="H63" s="167"/>
    </row>
    <row r="64" spans="1:8" x14ac:dyDescent="0.2">
      <c r="A64" s="5">
        <v>58</v>
      </c>
      <c r="B64" s="6" t="s">
        <v>266</v>
      </c>
      <c r="C64" s="6" t="s">
        <v>267</v>
      </c>
      <c r="D64" s="6" t="s">
        <v>75</v>
      </c>
      <c r="E64" s="7">
        <v>367557</v>
      </c>
      <c r="F64" s="8">
        <v>720.22794150000004</v>
      </c>
      <c r="G64" s="9">
        <v>5.1337120000000003E-3</v>
      </c>
      <c r="H64" s="167"/>
    </row>
    <row r="65" spans="1:8" x14ac:dyDescent="0.2">
      <c r="A65" s="5">
        <v>59</v>
      </c>
      <c r="B65" s="6" t="s">
        <v>562</v>
      </c>
      <c r="C65" s="6" t="s">
        <v>563</v>
      </c>
      <c r="D65" s="6" t="s">
        <v>29</v>
      </c>
      <c r="E65" s="7">
        <v>225000</v>
      </c>
      <c r="F65" s="8">
        <v>705.6</v>
      </c>
      <c r="G65" s="9">
        <v>5.0294449999999996E-3</v>
      </c>
      <c r="H65" s="167"/>
    </row>
    <row r="66" spans="1:8" x14ac:dyDescent="0.2">
      <c r="A66" s="5">
        <v>60</v>
      </c>
      <c r="B66" s="6" t="s">
        <v>564</v>
      </c>
      <c r="C66" s="6" t="s">
        <v>565</v>
      </c>
      <c r="D66" s="6" t="s">
        <v>972</v>
      </c>
      <c r="E66" s="7">
        <v>28000</v>
      </c>
      <c r="F66" s="8">
        <v>700.53200000000004</v>
      </c>
      <c r="G66" s="9">
        <v>4.9933210000000002E-3</v>
      </c>
      <c r="H66" s="167"/>
    </row>
    <row r="67" spans="1:8" x14ac:dyDescent="0.2">
      <c r="A67" s="5">
        <v>61</v>
      </c>
      <c r="B67" s="6" t="s">
        <v>566</v>
      </c>
      <c r="C67" s="6" t="s">
        <v>567</v>
      </c>
      <c r="D67" s="6" t="s">
        <v>976</v>
      </c>
      <c r="E67" s="7">
        <v>27261</v>
      </c>
      <c r="F67" s="8">
        <v>464.90909399999998</v>
      </c>
      <c r="G67" s="9">
        <v>3.3138249999999998E-3</v>
      </c>
      <c r="H67" s="167"/>
    </row>
    <row r="68" spans="1:8" x14ac:dyDescent="0.2">
      <c r="A68" s="5">
        <v>62</v>
      </c>
      <c r="B68" s="6" t="s">
        <v>179</v>
      </c>
      <c r="C68" s="6" t="s">
        <v>180</v>
      </c>
      <c r="D68" s="6" t="s">
        <v>972</v>
      </c>
      <c r="E68" s="7">
        <v>61000</v>
      </c>
      <c r="F68" s="8">
        <v>461.83100000000002</v>
      </c>
      <c r="G68" s="9">
        <v>3.291885E-3</v>
      </c>
      <c r="H68" s="167"/>
    </row>
    <row r="69" spans="1:8" x14ac:dyDescent="0.2">
      <c r="A69" s="5">
        <v>63</v>
      </c>
      <c r="B69" s="6" t="s">
        <v>274</v>
      </c>
      <c r="C69" s="6" t="s">
        <v>275</v>
      </c>
      <c r="D69" s="6" t="s">
        <v>153</v>
      </c>
      <c r="E69" s="7">
        <v>8583</v>
      </c>
      <c r="F69" s="8">
        <v>131.6589285</v>
      </c>
      <c r="G69" s="9">
        <v>9.3845099999999998E-4</v>
      </c>
      <c r="H69" s="167"/>
    </row>
    <row r="70" spans="1:8" x14ac:dyDescent="0.2">
      <c r="A70" s="3" t="s">
        <v>10</v>
      </c>
      <c r="B70" s="3" t="s">
        <v>10</v>
      </c>
      <c r="C70" s="4" t="s">
        <v>104</v>
      </c>
      <c r="D70" s="3" t="s">
        <v>10</v>
      </c>
      <c r="E70" s="3" t="s">
        <v>10</v>
      </c>
      <c r="F70" s="10">
        <v>132621.06916451899</v>
      </c>
      <c r="G70" s="11">
        <v>0.94530953900000003</v>
      </c>
      <c r="H70" s="167"/>
    </row>
    <row r="71" spans="1:8" x14ac:dyDescent="0.2">
      <c r="A71" s="3" t="s">
        <v>10</v>
      </c>
      <c r="B71" s="3" t="s">
        <v>10</v>
      </c>
      <c r="C71" s="12" t="s">
        <v>10</v>
      </c>
      <c r="D71" s="3" t="s">
        <v>10</v>
      </c>
      <c r="E71" s="3" t="s">
        <v>10</v>
      </c>
      <c r="F71" s="13"/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105</v>
      </c>
      <c r="D72" s="3" t="s">
        <v>10</v>
      </c>
      <c r="E72" s="3" t="s">
        <v>10</v>
      </c>
      <c r="F72" s="3" t="s">
        <v>10</v>
      </c>
      <c r="G72" s="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4">
        <v>0</v>
      </c>
      <c r="G73" s="15">
        <v>0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106</v>
      </c>
      <c r="D75" s="3" t="s">
        <v>10</v>
      </c>
      <c r="E75" s="3" t="s">
        <v>10</v>
      </c>
      <c r="F75" s="3" t="s">
        <v>10</v>
      </c>
      <c r="G75" s="3" t="s">
        <v>10</v>
      </c>
      <c r="H75" s="167"/>
    </row>
    <row r="76" spans="1:8" x14ac:dyDescent="0.2">
      <c r="A76" s="5">
        <v>1</v>
      </c>
      <c r="B76" s="6" t="s">
        <v>107</v>
      </c>
      <c r="C76" s="139" t="s">
        <v>986</v>
      </c>
      <c r="D76" s="6" t="s">
        <v>108</v>
      </c>
      <c r="E76" s="7">
        <v>375961</v>
      </c>
      <c r="F76" s="8">
        <v>7.5190000000000003E-6</v>
      </c>
      <c r="G76" s="16" t="s">
        <v>109</v>
      </c>
      <c r="H76" s="167"/>
    </row>
    <row r="77" spans="1:8" x14ac:dyDescent="0.2">
      <c r="A77" s="3" t="s">
        <v>10</v>
      </c>
      <c r="B77" s="3" t="s">
        <v>10</v>
      </c>
      <c r="C77" s="4" t="s">
        <v>104</v>
      </c>
      <c r="D77" s="3" t="s">
        <v>10</v>
      </c>
      <c r="E77" s="3" t="s">
        <v>10</v>
      </c>
      <c r="F77" s="10">
        <v>7.5190000000000003E-6</v>
      </c>
      <c r="G77" s="11">
        <v>0</v>
      </c>
      <c r="H77" s="167"/>
    </row>
    <row r="78" spans="1:8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110</v>
      </c>
      <c r="D79" s="3" t="s">
        <v>10</v>
      </c>
      <c r="E79" s="3" t="s">
        <v>10</v>
      </c>
      <c r="F79" s="3" t="s">
        <v>10</v>
      </c>
      <c r="G79" s="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4">
        <v>0</v>
      </c>
      <c r="G80" s="15">
        <v>0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111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112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0</v>
      </c>
      <c r="G86" s="15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113</v>
      </c>
      <c r="D88" s="3" t="s">
        <v>10</v>
      </c>
      <c r="E88" s="3" t="s">
        <v>10</v>
      </c>
      <c r="F88" s="10">
        <v>132621.06916451899</v>
      </c>
      <c r="G88" s="11">
        <v>0.94530953900000003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114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ht="25.5" x14ac:dyDescent="0.2">
      <c r="A91" s="3" t="s">
        <v>10</v>
      </c>
      <c r="B91" s="3" t="s">
        <v>10</v>
      </c>
      <c r="C91" s="4" t="s">
        <v>12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4">
        <v>0</v>
      </c>
      <c r="G92" s="15">
        <v>0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115</v>
      </c>
      <c r="D94" s="3" t="s">
        <v>10</v>
      </c>
      <c r="E94" s="3" t="s">
        <v>10</v>
      </c>
      <c r="F94" s="3" t="s">
        <v>10</v>
      </c>
      <c r="G94" s="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4">
        <v>0</v>
      </c>
      <c r="G95" s="15">
        <v>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116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117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118</v>
      </c>
      <c r="D103" s="3" t="s">
        <v>10</v>
      </c>
      <c r="E103" s="3" t="s">
        <v>10</v>
      </c>
      <c r="F103" s="10">
        <v>0</v>
      </c>
      <c r="G103" s="11">
        <v>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119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121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122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104</v>
      </c>
      <c r="D113" s="3" t="s">
        <v>10</v>
      </c>
      <c r="E113" s="3" t="s">
        <v>10</v>
      </c>
      <c r="F113" s="14">
        <v>0</v>
      </c>
      <c r="G113" s="15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123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5">
        <v>1</v>
      </c>
      <c r="B116" s="6"/>
      <c r="C116" s="6" t="s">
        <v>124</v>
      </c>
      <c r="D116" s="6"/>
      <c r="E116" s="16" t="s">
        <v>10</v>
      </c>
      <c r="F116" s="8">
        <v>5841.4119191</v>
      </c>
      <c r="G116" s="9">
        <v>4.1636991999999998E-2</v>
      </c>
      <c r="H116" s="108">
        <v>3.23</v>
      </c>
    </row>
    <row r="117" spans="1:8" x14ac:dyDescent="0.2">
      <c r="A117" s="5">
        <v>2</v>
      </c>
      <c r="B117" s="6"/>
      <c r="C117" s="6" t="s">
        <v>125</v>
      </c>
      <c r="D117" s="6"/>
      <c r="E117" s="16" t="s">
        <v>10</v>
      </c>
      <c r="F117" s="8">
        <v>1640.7934577999999</v>
      </c>
      <c r="G117" s="9">
        <v>1.1695409E-2</v>
      </c>
      <c r="H117" s="108">
        <v>3.35</v>
      </c>
    </row>
    <row r="118" spans="1:8" x14ac:dyDescent="0.2">
      <c r="A118" s="3" t="s">
        <v>10</v>
      </c>
      <c r="B118" s="3" t="s">
        <v>10</v>
      </c>
      <c r="C118" s="4" t="s">
        <v>104</v>
      </c>
      <c r="D118" s="3" t="s">
        <v>10</v>
      </c>
      <c r="E118" s="3" t="s">
        <v>10</v>
      </c>
      <c r="F118" s="10">
        <v>7482.2053769000004</v>
      </c>
      <c r="G118" s="11">
        <v>5.3332401000000002E-2</v>
      </c>
      <c r="H118" s="167"/>
    </row>
    <row r="119" spans="1:8" x14ac:dyDescent="0.2">
      <c r="A119" s="3" t="s">
        <v>10</v>
      </c>
      <c r="B119" s="3" t="s">
        <v>10</v>
      </c>
      <c r="C119" s="12" t="s">
        <v>10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126</v>
      </c>
      <c r="D120" s="3" t="s">
        <v>10</v>
      </c>
      <c r="E120" s="3" t="s">
        <v>10</v>
      </c>
      <c r="F120" s="10">
        <v>7482.2053769000004</v>
      </c>
      <c r="G120" s="11">
        <v>5.3332401000000002E-2</v>
      </c>
      <c r="H120" s="167"/>
    </row>
    <row r="121" spans="1:8" x14ac:dyDescent="0.2">
      <c r="A121" s="3" t="s">
        <v>10</v>
      </c>
      <c r="B121" s="3" t="s">
        <v>10</v>
      </c>
      <c r="C121" s="13" t="s">
        <v>10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127</v>
      </c>
      <c r="D122" s="3" t="s">
        <v>10</v>
      </c>
      <c r="E122" s="3" t="s">
        <v>10</v>
      </c>
      <c r="F122" s="3" t="s">
        <v>10</v>
      </c>
      <c r="G122" s="3" t="s">
        <v>10</v>
      </c>
      <c r="H122" s="167"/>
    </row>
    <row r="123" spans="1:8" x14ac:dyDescent="0.2">
      <c r="A123" s="3" t="s">
        <v>10</v>
      </c>
      <c r="B123" s="3" t="s">
        <v>10</v>
      </c>
      <c r="C123" s="4" t="s">
        <v>128</v>
      </c>
      <c r="D123" s="3" t="s">
        <v>10</v>
      </c>
      <c r="E123" s="3" t="s">
        <v>10</v>
      </c>
      <c r="F123" s="3" t="s">
        <v>10</v>
      </c>
      <c r="G123" s="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104</v>
      </c>
      <c r="D124" s="3" t="s">
        <v>10</v>
      </c>
      <c r="E124" s="3" t="s">
        <v>10</v>
      </c>
      <c r="F124" s="14">
        <v>0</v>
      </c>
      <c r="G124" s="15">
        <v>0</v>
      </c>
      <c r="H124" s="167"/>
    </row>
    <row r="125" spans="1:8" x14ac:dyDescent="0.2">
      <c r="A125" s="3" t="s">
        <v>10</v>
      </c>
      <c r="B125" s="3" t="s">
        <v>10</v>
      </c>
      <c r="C125" s="12" t="s">
        <v>10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129</v>
      </c>
      <c r="D126" s="3" t="s">
        <v>10</v>
      </c>
      <c r="E126" s="3" t="s">
        <v>10</v>
      </c>
      <c r="F126" s="3" t="s">
        <v>10</v>
      </c>
      <c r="G126" s="3" t="s">
        <v>10</v>
      </c>
      <c r="H126" s="167"/>
    </row>
    <row r="127" spans="1:8" x14ac:dyDescent="0.2">
      <c r="A127" s="3" t="s">
        <v>10</v>
      </c>
      <c r="B127" s="3" t="s">
        <v>10</v>
      </c>
      <c r="C127" s="4" t="s">
        <v>130</v>
      </c>
      <c r="D127" s="3" t="s">
        <v>10</v>
      </c>
      <c r="E127" s="3" t="s">
        <v>10</v>
      </c>
      <c r="F127" s="3" t="s">
        <v>10</v>
      </c>
      <c r="G127" s="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4">
        <v>0</v>
      </c>
      <c r="G128" s="15">
        <v>0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12" t="s">
        <v>10</v>
      </c>
      <c r="D130" s="3" t="s">
        <v>10</v>
      </c>
      <c r="E130" s="3" t="s">
        <v>10</v>
      </c>
      <c r="F130" s="13" t="s">
        <v>10</v>
      </c>
      <c r="G130" s="13" t="s">
        <v>10</v>
      </c>
      <c r="H130" s="167"/>
    </row>
    <row r="131" spans="1:8" ht="25.5" x14ac:dyDescent="0.2">
      <c r="A131" s="3" t="s">
        <v>10</v>
      </c>
      <c r="B131" s="3" t="s">
        <v>10</v>
      </c>
      <c r="C131" s="4" t="s">
        <v>131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3" t="s">
        <v>10</v>
      </c>
      <c r="C132" s="4" t="s">
        <v>104</v>
      </c>
      <c r="D132" s="3" t="s">
        <v>10</v>
      </c>
      <c r="E132" s="3" t="s">
        <v>10</v>
      </c>
      <c r="F132" s="14">
        <v>0</v>
      </c>
      <c r="G132" s="15">
        <v>0</v>
      </c>
      <c r="H132" s="167"/>
    </row>
    <row r="133" spans="1:8" x14ac:dyDescent="0.2">
      <c r="A133" s="3" t="s">
        <v>10</v>
      </c>
      <c r="B133" s="3" t="s">
        <v>10</v>
      </c>
      <c r="C133" s="12" t="s">
        <v>10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7"/>
    </row>
    <row r="134" spans="1:8" x14ac:dyDescent="0.2">
      <c r="A134" s="3" t="s">
        <v>10</v>
      </c>
      <c r="B134" s="6" t="s">
        <v>10</v>
      </c>
      <c r="C134" s="6" t="s">
        <v>10</v>
      </c>
      <c r="D134" s="4" t="s">
        <v>10</v>
      </c>
      <c r="E134" s="3" t="s">
        <v>10</v>
      </c>
      <c r="F134" s="6" t="s">
        <v>10</v>
      </c>
      <c r="G134" s="16" t="s">
        <v>10</v>
      </c>
      <c r="H134" s="167"/>
    </row>
    <row r="135" spans="1:8" x14ac:dyDescent="0.2">
      <c r="A135" s="16" t="s">
        <v>10</v>
      </c>
      <c r="B135" s="6" t="s">
        <v>10</v>
      </c>
      <c r="C135" s="6" t="s">
        <v>132</v>
      </c>
      <c r="D135" s="6" t="s">
        <v>10</v>
      </c>
      <c r="E135" s="16" t="s">
        <v>10</v>
      </c>
      <c r="F135" s="8">
        <v>190.52740845</v>
      </c>
      <c r="G135" s="9">
        <v>1.3580599999999999E-3</v>
      </c>
      <c r="H135" s="167"/>
    </row>
    <row r="136" spans="1:8" x14ac:dyDescent="0.2">
      <c r="A136" s="12" t="s">
        <v>10</v>
      </c>
      <c r="B136" s="12" t="s">
        <v>10</v>
      </c>
      <c r="C136" s="4" t="s">
        <v>133</v>
      </c>
      <c r="D136" s="17" t="s">
        <v>10</v>
      </c>
      <c r="E136" s="17" t="s">
        <v>10</v>
      </c>
      <c r="F136" s="10">
        <v>140293.801949869</v>
      </c>
      <c r="G136" s="11">
        <v>1</v>
      </c>
      <c r="H136" s="167"/>
    </row>
    <row r="137" spans="1:8" ht="14.1" customHeight="1" x14ac:dyDescent="0.2">
      <c r="A137" s="18" t="s">
        <v>10</v>
      </c>
      <c r="B137" s="18" t="s">
        <v>10</v>
      </c>
      <c r="C137" s="18" t="s">
        <v>10</v>
      </c>
      <c r="D137" s="19" t="s">
        <v>10</v>
      </c>
      <c r="E137" s="19" t="s">
        <v>10</v>
      </c>
      <c r="F137" s="19" t="s">
        <v>10</v>
      </c>
      <c r="G137" s="19" t="s">
        <v>10</v>
      </c>
    </row>
    <row r="138" spans="1:8" ht="14.1" customHeight="1" x14ac:dyDescent="0.2">
      <c r="A138" s="20" t="s">
        <v>10</v>
      </c>
      <c r="B138" s="208" t="s">
        <v>10</v>
      </c>
      <c r="C138" s="208"/>
      <c r="D138" s="208"/>
      <c r="E138" s="208"/>
      <c r="F138" s="208"/>
      <c r="G138" s="22" t="s">
        <v>10</v>
      </c>
    </row>
    <row r="139" spans="1:8" ht="17.100000000000001" customHeight="1" x14ac:dyDescent="0.2">
      <c r="A139" s="20" t="s">
        <v>10</v>
      </c>
      <c r="B139" s="208" t="s">
        <v>980</v>
      </c>
      <c r="C139" s="208"/>
      <c r="D139" s="208"/>
      <c r="E139" s="208"/>
      <c r="F139" s="208"/>
      <c r="G139" s="22" t="s">
        <v>10</v>
      </c>
    </row>
    <row r="140" spans="1:8" ht="14.1" customHeight="1" x14ac:dyDescent="0.2">
      <c r="A140" s="20" t="s">
        <v>10</v>
      </c>
      <c r="B140" s="20" t="s">
        <v>10</v>
      </c>
      <c r="C140" s="20" t="s">
        <v>10</v>
      </c>
      <c r="D140" s="22" t="s">
        <v>10</v>
      </c>
      <c r="E140" s="22" t="s">
        <v>10</v>
      </c>
      <c r="F140" s="22" t="s">
        <v>10</v>
      </c>
      <c r="G140" s="22" t="s">
        <v>10</v>
      </c>
    </row>
    <row r="141" spans="1:8" ht="14.1" customHeight="1" x14ac:dyDescent="0.2">
      <c r="A141" s="20" t="s">
        <v>10</v>
      </c>
      <c r="B141" s="206" t="s">
        <v>134</v>
      </c>
      <c r="C141" s="207"/>
      <c r="D141" s="13" t="s">
        <v>10</v>
      </c>
      <c r="E141" s="23" t="s">
        <v>10</v>
      </c>
      <c r="F141" s="22" t="s">
        <v>10</v>
      </c>
      <c r="G141" s="22" t="s">
        <v>10</v>
      </c>
    </row>
    <row r="142" spans="1:8" ht="29.1" customHeight="1" x14ac:dyDescent="0.2">
      <c r="A142" s="20" t="s">
        <v>10</v>
      </c>
      <c r="B142" s="213" t="s">
        <v>135</v>
      </c>
      <c r="C142" s="214"/>
      <c r="D142" s="4" t="s">
        <v>136</v>
      </c>
      <c r="E142" s="23" t="s">
        <v>10</v>
      </c>
      <c r="F142" s="22" t="s">
        <v>10</v>
      </c>
      <c r="G142" s="22" t="s">
        <v>10</v>
      </c>
    </row>
    <row r="143" spans="1:8" s="155" customFormat="1" ht="15" x14ac:dyDescent="0.2">
      <c r="A143" s="156" t="s">
        <v>10</v>
      </c>
      <c r="B143" s="215" t="s">
        <v>987</v>
      </c>
      <c r="C143" s="216"/>
      <c r="D143" s="157" t="s">
        <v>988</v>
      </c>
      <c r="E143" s="162" t="s">
        <v>10</v>
      </c>
      <c r="F143" s="160" t="s">
        <v>10</v>
      </c>
      <c r="G143" s="160" t="s">
        <v>10</v>
      </c>
      <c r="H143" s="161"/>
    </row>
    <row r="144" spans="1:8" ht="17.100000000000001" customHeight="1" x14ac:dyDescent="0.2">
      <c r="A144" s="20" t="s">
        <v>10</v>
      </c>
      <c r="B144" s="213" t="s">
        <v>138</v>
      </c>
      <c r="C144" s="214"/>
      <c r="D144" s="13" t="s">
        <v>10</v>
      </c>
      <c r="E144" s="23" t="s">
        <v>10</v>
      </c>
      <c r="F144" s="22" t="s">
        <v>10</v>
      </c>
      <c r="G144" s="22" t="s">
        <v>10</v>
      </c>
    </row>
    <row r="145" spans="1:7" s="20" customFormat="1" ht="17.100000000000001" customHeight="1" x14ac:dyDescent="0.2"/>
    <row r="146" spans="1:7" x14ac:dyDescent="0.2">
      <c r="A146" s="24" t="s">
        <v>10</v>
      </c>
      <c r="B146" s="140" t="s">
        <v>10</v>
      </c>
      <c r="C146" s="140" t="s">
        <v>139</v>
      </c>
      <c r="D146" s="140" t="s">
        <v>140</v>
      </c>
      <c r="E146" s="24" t="s">
        <v>10</v>
      </c>
      <c r="F146" s="24" t="s">
        <v>10</v>
      </c>
      <c r="G146" s="24" t="s">
        <v>10</v>
      </c>
    </row>
    <row r="147" spans="1:7" ht="18" customHeight="1" x14ac:dyDescent="0.2">
      <c r="A147" s="24" t="s">
        <v>10</v>
      </c>
      <c r="B147" s="25" t="s">
        <v>141</v>
      </c>
      <c r="C147" s="25" t="s">
        <v>142</v>
      </c>
      <c r="D147" s="25" t="s">
        <v>143</v>
      </c>
      <c r="E147" s="24" t="s">
        <v>10</v>
      </c>
      <c r="F147" s="24" t="s">
        <v>10</v>
      </c>
      <c r="G147" s="24" t="s">
        <v>10</v>
      </c>
    </row>
    <row r="148" spans="1:7" ht="17.100000000000001" customHeight="1" x14ac:dyDescent="0.2">
      <c r="A148" s="24" t="s">
        <v>10</v>
      </c>
      <c r="B148" s="6" t="s">
        <v>144</v>
      </c>
      <c r="C148" s="26">
        <v>118.68559999999999</v>
      </c>
      <c r="D148" s="26">
        <v>128.1011</v>
      </c>
      <c r="E148" s="24" t="s">
        <v>10</v>
      </c>
      <c r="F148" s="21" t="s">
        <v>10</v>
      </c>
      <c r="G148" s="27" t="s">
        <v>10</v>
      </c>
    </row>
    <row r="149" spans="1:7" ht="17.100000000000001" customHeight="1" x14ac:dyDescent="0.2">
      <c r="A149" s="24" t="s">
        <v>10</v>
      </c>
      <c r="B149" s="6" t="s">
        <v>917</v>
      </c>
      <c r="C149" s="26">
        <v>23.951799999999999</v>
      </c>
      <c r="D149" s="26">
        <v>25.851900000000001</v>
      </c>
      <c r="E149" s="24" t="s">
        <v>10</v>
      </c>
      <c r="F149" s="21" t="s">
        <v>10</v>
      </c>
      <c r="G149" s="27" t="s">
        <v>10</v>
      </c>
    </row>
    <row r="150" spans="1:7" ht="29.1" customHeight="1" x14ac:dyDescent="0.2">
      <c r="A150" s="24" t="s">
        <v>10</v>
      </c>
      <c r="B150" s="6" t="s">
        <v>397</v>
      </c>
      <c r="C150" s="26">
        <v>121.1476</v>
      </c>
      <c r="D150" s="26">
        <v>130.7595</v>
      </c>
      <c r="E150" s="24" t="s">
        <v>10</v>
      </c>
      <c r="F150" s="21" t="s">
        <v>10</v>
      </c>
      <c r="G150" s="27" t="s">
        <v>10</v>
      </c>
    </row>
    <row r="151" spans="1:7" ht="29.1" customHeight="1" x14ac:dyDescent="0.2">
      <c r="A151" s="24" t="s">
        <v>10</v>
      </c>
      <c r="B151" s="6" t="s">
        <v>998</v>
      </c>
      <c r="C151" s="26">
        <v>24.771100000000001</v>
      </c>
      <c r="D151" s="26">
        <v>26.7363</v>
      </c>
      <c r="E151" s="24" t="s">
        <v>10</v>
      </c>
      <c r="F151" s="21" t="s">
        <v>10</v>
      </c>
      <c r="G151" s="27" t="s">
        <v>10</v>
      </c>
    </row>
    <row r="152" spans="1:7" ht="17.100000000000001" customHeight="1" x14ac:dyDescent="0.2">
      <c r="A152" s="24" t="s">
        <v>10</v>
      </c>
      <c r="B152" s="6" t="s">
        <v>145</v>
      </c>
      <c r="C152" s="26">
        <v>112.3663</v>
      </c>
      <c r="D152" s="26">
        <v>121.1751</v>
      </c>
      <c r="E152" s="24" t="s">
        <v>10</v>
      </c>
      <c r="F152" s="21" t="s">
        <v>10</v>
      </c>
      <c r="G152" s="27" t="s">
        <v>10</v>
      </c>
    </row>
    <row r="153" spans="1:7" ht="17.100000000000001" customHeight="1" x14ac:dyDescent="0.2">
      <c r="A153" s="24" t="s">
        <v>10</v>
      </c>
      <c r="B153" s="6" t="s">
        <v>918</v>
      </c>
      <c r="C153" s="26">
        <v>22.322199999999999</v>
      </c>
      <c r="D153" s="26">
        <v>24.072099999999999</v>
      </c>
      <c r="E153" s="24" t="s">
        <v>10</v>
      </c>
      <c r="F153" s="21" t="s">
        <v>10</v>
      </c>
      <c r="G153" s="27" t="s">
        <v>10</v>
      </c>
    </row>
    <row r="154" spans="1:7" ht="14.1" customHeight="1" x14ac:dyDescent="0.2">
      <c r="A154" s="24" t="s">
        <v>10</v>
      </c>
      <c r="B154" s="24" t="s">
        <v>10</v>
      </c>
      <c r="C154" s="24" t="s">
        <v>10</v>
      </c>
      <c r="D154" s="24" t="s">
        <v>10</v>
      </c>
      <c r="E154" s="24" t="s">
        <v>10</v>
      </c>
      <c r="F154" s="24" t="s">
        <v>10</v>
      </c>
      <c r="G154" s="24" t="s">
        <v>10</v>
      </c>
    </row>
    <row r="155" spans="1:7" ht="17.100000000000001" customHeight="1" x14ac:dyDescent="0.2">
      <c r="A155" s="24" t="s">
        <v>10</v>
      </c>
      <c r="B155" s="213" t="s">
        <v>999</v>
      </c>
      <c r="C155" s="214"/>
      <c r="D155" s="4" t="s">
        <v>136</v>
      </c>
      <c r="E155" s="24" t="s">
        <v>10</v>
      </c>
      <c r="F155" s="24" t="s">
        <v>10</v>
      </c>
      <c r="G155" s="24" t="s">
        <v>10</v>
      </c>
    </row>
    <row r="156" spans="1:7" ht="18" customHeight="1" x14ac:dyDescent="0.2">
      <c r="A156" s="24" t="s">
        <v>10</v>
      </c>
      <c r="B156" s="28"/>
      <c r="C156" s="28"/>
      <c r="D156" s="29" t="s">
        <v>10</v>
      </c>
      <c r="E156" s="24" t="s">
        <v>10</v>
      </c>
      <c r="F156" s="24" t="s">
        <v>10</v>
      </c>
      <c r="G156" s="24" t="s">
        <v>10</v>
      </c>
    </row>
    <row r="157" spans="1:7" s="175" customFormat="1" x14ac:dyDescent="0.2">
      <c r="B157" s="221" t="s">
        <v>919</v>
      </c>
      <c r="C157" s="221"/>
      <c r="D157" s="221"/>
      <c r="E157" s="221"/>
      <c r="F157" s="221"/>
    </row>
    <row r="158" spans="1:7" ht="14.1" customHeight="1" x14ac:dyDescent="0.2">
      <c r="A158" s="24" t="s">
        <v>10</v>
      </c>
      <c r="B158" s="21" t="s">
        <v>10</v>
      </c>
      <c r="C158" s="21" t="s">
        <v>10</v>
      </c>
      <c r="D158" s="24" t="s">
        <v>10</v>
      </c>
      <c r="E158" s="24" t="s">
        <v>10</v>
      </c>
      <c r="F158" s="24" t="s">
        <v>10</v>
      </c>
      <c r="G158" s="24" t="s">
        <v>10</v>
      </c>
    </row>
    <row r="159" spans="1:7" ht="29.1" customHeight="1" x14ac:dyDescent="0.2">
      <c r="A159" s="24" t="s">
        <v>10</v>
      </c>
      <c r="B159" s="213" t="s">
        <v>146</v>
      </c>
      <c r="C159" s="214"/>
      <c r="D159" s="4" t="s">
        <v>136</v>
      </c>
      <c r="E159" s="24" t="s">
        <v>10</v>
      </c>
      <c r="F159" s="24" t="s">
        <v>10</v>
      </c>
      <c r="G159" s="24" t="s">
        <v>10</v>
      </c>
    </row>
    <row r="160" spans="1:7" ht="29.1" customHeight="1" x14ac:dyDescent="0.2">
      <c r="A160" s="24" t="s">
        <v>10</v>
      </c>
      <c r="B160" s="213" t="s">
        <v>147</v>
      </c>
      <c r="C160" s="214"/>
      <c r="D160" s="4" t="s">
        <v>136</v>
      </c>
      <c r="E160" s="24" t="s">
        <v>10</v>
      </c>
      <c r="F160" s="24" t="s">
        <v>10</v>
      </c>
      <c r="G160" s="24" t="s">
        <v>10</v>
      </c>
    </row>
    <row r="161" spans="1:7" ht="17.100000000000001" customHeight="1" x14ac:dyDescent="0.2">
      <c r="A161" s="24" t="s">
        <v>10</v>
      </c>
      <c r="B161" s="213" t="s">
        <v>148</v>
      </c>
      <c r="C161" s="214"/>
      <c r="D161" s="30">
        <v>0.68487379721479658</v>
      </c>
      <c r="E161" s="24" t="s">
        <v>10</v>
      </c>
      <c r="F161" s="21" t="s">
        <v>10</v>
      </c>
      <c r="G161" s="27" t="s">
        <v>10</v>
      </c>
    </row>
    <row r="162" spans="1:7" ht="17.100000000000001" customHeight="1" x14ac:dyDescent="0.2">
      <c r="A162" s="24" t="s">
        <v>10</v>
      </c>
      <c r="B162" s="213" t="s">
        <v>149</v>
      </c>
      <c r="C162" s="214"/>
      <c r="D162" s="4" t="s">
        <v>136</v>
      </c>
      <c r="E162" s="24" t="s">
        <v>10</v>
      </c>
      <c r="F162" s="24" t="s">
        <v>10</v>
      </c>
      <c r="G162" s="24" t="s">
        <v>10</v>
      </c>
    </row>
  </sheetData>
  <mergeCells count="15">
    <mergeCell ref="B161:C161"/>
    <mergeCell ref="B162:C162"/>
    <mergeCell ref="B142:C142"/>
    <mergeCell ref="B143:C143"/>
    <mergeCell ref="B144:C144"/>
    <mergeCell ref="B155:C155"/>
    <mergeCell ref="B159:C159"/>
    <mergeCell ref="B160:C160"/>
    <mergeCell ref="B157:F157"/>
    <mergeCell ref="B141:C141"/>
    <mergeCell ref="B138:F138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135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0" max="10" width="9.57031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568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25.5" x14ac:dyDescent="0.2">
      <c r="A7" s="5">
        <v>1</v>
      </c>
      <c r="B7" s="6" t="s">
        <v>419</v>
      </c>
      <c r="C7" s="6" t="s">
        <v>420</v>
      </c>
      <c r="D7" s="6" t="s">
        <v>78</v>
      </c>
      <c r="E7" s="7">
        <v>340000</v>
      </c>
      <c r="F7" s="8">
        <v>7956.17</v>
      </c>
      <c r="G7" s="9">
        <v>6.0866798E-2</v>
      </c>
      <c r="H7" s="167"/>
    </row>
    <row r="8" spans="1:8" ht="25.5" x14ac:dyDescent="0.2">
      <c r="A8" s="5">
        <v>2</v>
      </c>
      <c r="B8" s="6" t="s">
        <v>569</v>
      </c>
      <c r="C8" s="6" t="s">
        <v>570</v>
      </c>
      <c r="D8" s="6" t="s">
        <v>78</v>
      </c>
      <c r="E8" s="7">
        <v>260000</v>
      </c>
      <c r="F8" s="8">
        <v>7741.5</v>
      </c>
      <c r="G8" s="9">
        <v>5.9224515999999998E-2</v>
      </c>
      <c r="H8" s="167"/>
    </row>
    <row r="9" spans="1:8" x14ac:dyDescent="0.2">
      <c r="A9" s="5">
        <v>3</v>
      </c>
      <c r="B9" s="6" t="s">
        <v>51</v>
      </c>
      <c r="C9" s="6" t="s">
        <v>52</v>
      </c>
      <c r="D9" s="6" t="s">
        <v>23</v>
      </c>
      <c r="E9" s="7">
        <v>470000</v>
      </c>
      <c r="F9" s="8">
        <v>7124.4949999999999</v>
      </c>
      <c r="G9" s="9">
        <v>5.4504265000000003E-2</v>
      </c>
      <c r="H9" s="167"/>
    </row>
    <row r="10" spans="1:8" ht="25.5" x14ac:dyDescent="0.2">
      <c r="A10" s="5">
        <v>4</v>
      </c>
      <c r="B10" s="6" t="s">
        <v>327</v>
      </c>
      <c r="C10" s="6" t="s">
        <v>328</v>
      </c>
      <c r="D10" s="6" t="s">
        <v>78</v>
      </c>
      <c r="E10" s="7">
        <v>700000</v>
      </c>
      <c r="F10" s="8">
        <v>7080.85</v>
      </c>
      <c r="G10" s="9">
        <v>5.4170369000000003E-2</v>
      </c>
      <c r="H10" s="167"/>
    </row>
    <row r="11" spans="1:8" x14ac:dyDescent="0.2">
      <c r="A11" s="5">
        <v>5</v>
      </c>
      <c r="B11" s="6" t="s">
        <v>21</v>
      </c>
      <c r="C11" s="6" t="s">
        <v>22</v>
      </c>
      <c r="D11" s="6" t="s">
        <v>23</v>
      </c>
      <c r="E11" s="7">
        <v>1050000</v>
      </c>
      <c r="F11" s="8">
        <v>6958.875</v>
      </c>
      <c r="G11" s="9">
        <v>5.3237227999999998E-2</v>
      </c>
      <c r="H11" s="167"/>
    </row>
    <row r="12" spans="1:8" ht="25.5" x14ac:dyDescent="0.2">
      <c r="A12" s="5">
        <v>6</v>
      </c>
      <c r="B12" s="6" t="s">
        <v>19</v>
      </c>
      <c r="C12" s="6" t="s">
        <v>20</v>
      </c>
      <c r="D12" s="6" t="s">
        <v>970</v>
      </c>
      <c r="E12" s="7">
        <v>620000</v>
      </c>
      <c r="F12" s="8">
        <v>5990.75</v>
      </c>
      <c r="G12" s="9">
        <v>4.5830817000000003E-2</v>
      </c>
      <c r="H12" s="167"/>
    </row>
    <row r="13" spans="1:8" ht="25.5" x14ac:dyDescent="0.2">
      <c r="A13" s="5">
        <v>7</v>
      </c>
      <c r="B13" s="6" t="s">
        <v>376</v>
      </c>
      <c r="C13" s="6" t="s">
        <v>377</v>
      </c>
      <c r="D13" s="6" t="s">
        <v>78</v>
      </c>
      <c r="E13" s="7">
        <v>900000</v>
      </c>
      <c r="F13" s="8">
        <v>5974.65</v>
      </c>
      <c r="G13" s="9">
        <v>4.5707647999999997E-2</v>
      </c>
      <c r="H13" s="167"/>
    </row>
    <row r="14" spans="1:8" ht="25.5" x14ac:dyDescent="0.2">
      <c r="A14" s="5">
        <v>8</v>
      </c>
      <c r="B14" s="6" t="s">
        <v>331</v>
      </c>
      <c r="C14" s="6" t="s">
        <v>332</v>
      </c>
      <c r="D14" s="6" t="s">
        <v>75</v>
      </c>
      <c r="E14" s="7">
        <v>1500000</v>
      </c>
      <c r="F14" s="8">
        <v>5973.75</v>
      </c>
      <c r="G14" s="9">
        <v>4.5700761999999999E-2</v>
      </c>
      <c r="H14" s="167"/>
    </row>
    <row r="15" spans="1:8" x14ac:dyDescent="0.2">
      <c r="A15" s="5">
        <v>9</v>
      </c>
      <c r="B15" s="6" t="s">
        <v>407</v>
      </c>
      <c r="C15" s="6" t="s">
        <v>408</v>
      </c>
      <c r="D15" s="6" t="s">
        <v>94</v>
      </c>
      <c r="E15" s="7">
        <v>734000</v>
      </c>
      <c r="F15" s="8">
        <v>5930.3530000000001</v>
      </c>
      <c r="G15" s="9">
        <v>4.5368763999999999E-2</v>
      </c>
      <c r="H15" s="167"/>
    </row>
    <row r="16" spans="1:8" x14ac:dyDescent="0.2">
      <c r="A16" s="5">
        <v>10</v>
      </c>
      <c r="B16" s="6" t="s">
        <v>305</v>
      </c>
      <c r="C16" s="6" t="s">
        <v>306</v>
      </c>
      <c r="D16" s="6" t="s">
        <v>75</v>
      </c>
      <c r="E16" s="7">
        <v>520000</v>
      </c>
      <c r="F16" s="8">
        <v>5237.96</v>
      </c>
      <c r="G16" s="9">
        <v>4.0071774999999997E-2</v>
      </c>
      <c r="H16" s="167"/>
    </row>
    <row r="17" spans="1:8" x14ac:dyDescent="0.2">
      <c r="A17" s="5">
        <v>11</v>
      </c>
      <c r="B17" s="6" t="s">
        <v>405</v>
      </c>
      <c r="C17" s="6" t="s">
        <v>406</v>
      </c>
      <c r="D17" s="6" t="s">
        <v>969</v>
      </c>
      <c r="E17" s="7">
        <v>437000</v>
      </c>
      <c r="F17" s="8">
        <v>4263.5905000000002</v>
      </c>
      <c r="G17" s="9">
        <v>3.2617591000000001E-2</v>
      </c>
      <c r="H17" s="167"/>
    </row>
    <row r="18" spans="1:8" x14ac:dyDescent="0.2">
      <c r="A18" s="5">
        <v>12</v>
      </c>
      <c r="B18" s="6" t="s">
        <v>355</v>
      </c>
      <c r="C18" s="6" t="s">
        <v>356</v>
      </c>
      <c r="D18" s="6" t="s">
        <v>357</v>
      </c>
      <c r="E18" s="7">
        <v>480000</v>
      </c>
      <c r="F18" s="8">
        <v>3846</v>
      </c>
      <c r="G18" s="9">
        <v>2.9422914000000001E-2</v>
      </c>
      <c r="H18" s="167"/>
    </row>
    <row r="19" spans="1:8" ht="25.5" x14ac:dyDescent="0.2">
      <c r="A19" s="5">
        <v>13</v>
      </c>
      <c r="B19" s="6" t="s">
        <v>425</v>
      </c>
      <c r="C19" s="6" t="s">
        <v>426</v>
      </c>
      <c r="D19" s="6" t="s">
        <v>78</v>
      </c>
      <c r="E19" s="7">
        <v>1700000</v>
      </c>
      <c r="F19" s="8">
        <v>3682.2</v>
      </c>
      <c r="G19" s="9">
        <v>2.8169801000000001E-2</v>
      </c>
      <c r="H19" s="167"/>
    </row>
    <row r="20" spans="1:8" x14ac:dyDescent="0.2">
      <c r="A20" s="5">
        <v>14</v>
      </c>
      <c r="B20" s="6" t="s">
        <v>571</v>
      </c>
      <c r="C20" s="6" t="s">
        <v>572</v>
      </c>
      <c r="D20" s="6" t="s">
        <v>75</v>
      </c>
      <c r="E20" s="7">
        <v>41500</v>
      </c>
      <c r="F20" s="8">
        <v>3597.4067500000001</v>
      </c>
      <c r="G20" s="9">
        <v>2.7521110000000001E-2</v>
      </c>
      <c r="H20" s="167"/>
    </row>
    <row r="21" spans="1:8" x14ac:dyDescent="0.2">
      <c r="A21" s="5">
        <v>15</v>
      </c>
      <c r="B21" s="6" t="s">
        <v>315</v>
      </c>
      <c r="C21" s="6" t="s">
        <v>316</v>
      </c>
      <c r="D21" s="6" t="s">
        <v>247</v>
      </c>
      <c r="E21" s="7">
        <v>10500</v>
      </c>
      <c r="F21" s="8">
        <v>3219.8775000000001</v>
      </c>
      <c r="G21" s="9">
        <v>2.4632912E-2</v>
      </c>
      <c r="H21" s="167"/>
    </row>
    <row r="22" spans="1:8" ht="25.5" x14ac:dyDescent="0.2">
      <c r="A22" s="5">
        <v>16</v>
      </c>
      <c r="B22" s="6" t="s">
        <v>487</v>
      </c>
      <c r="C22" s="6" t="s">
        <v>488</v>
      </c>
      <c r="D22" s="6" t="s">
        <v>78</v>
      </c>
      <c r="E22" s="7">
        <v>24000</v>
      </c>
      <c r="F22" s="8">
        <v>3150.5880000000002</v>
      </c>
      <c r="G22" s="9">
        <v>2.4102828999999999E-2</v>
      </c>
      <c r="H22" s="167"/>
    </row>
    <row r="23" spans="1:8" x14ac:dyDescent="0.2">
      <c r="A23" s="5">
        <v>17</v>
      </c>
      <c r="B23" s="6" t="s">
        <v>492</v>
      </c>
      <c r="C23" s="6" t="s">
        <v>493</v>
      </c>
      <c r="D23" s="6" t="s">
        <v>94</v>
      </c>
      <c r="E23" s="7">
        <v>40000</v>
      </c>
      <c r="F23" s="8">
        <v>2834.52</v>
      </c>
      <c r="G23" s="9">
        <v>2.1684825000000001E-2</v>
      </c>
      <c r="H23" s="167"/>
    </row>
    <row r="24" spans="1:8" x14ac:dyDescent="0.2">
      <c r="A24" s="5">
        <v>18</v>
      </c>
      <c r="B24" s="6" t="s">
        <v>501</v>
      </c>
      <c r="C24" s="6" t="s">
        <v>396</v>
      </c>
      <c r="D24" s="6" t="s">
        <v>284</v>
      </c>
      <c r="E24" s="7">
        <v>1400000</v>
      </c>
      <c r="F24" s="8">
        <v>2732.1</v>
      </c>
      <c r="G24" s="9">
        <v>2.0901284999999999E-2</v>
      </c>
      <c r="H24" s="167"/>
    </row>
    <row r="25" spans="1:8" ht="25.5" x14ac:dyDescent="0.2">
      <c r="A25" s="5">
        <v>19</v>
      </c>
      <c r="B25" s="6" t="s">
        <v>161</v>
      </c>
      <c r="C25" s="6" t="s">
        <v>162</v>
      </c>
      <c r="D25" s="6" t="s">
        <v>970</v>
      </c>
      <c r="E25" s="7">
        <v>1425000</v>
      </c>
      <c r="F25" s="8">
        <v>2597.0625</v>
      </c>
      <c r="G25" s="9">
        <v>1.9868212999999999E-2</v>
      </c>
      <c r="H25" s="167"/>
    </row>
    <row r="26" spans="1:8" x14ac:dyDescent="0.2">
      <c r="A26" s="5">
        <v>20</v>
      </c>
      <c r="B26" s="6" t="s">
        <v>573</v>
      </c>
      <c r="C26" s="6" t="s">
        <v>574</v>
      </c>
      <c r="D26" s="6" t="s">
        <v>158</v>
      </c>
      <c r="E26" s="7">
        <v>45000</v>
      </c>
      <c r="F26" s="8">
        <v>2532.5774999999999</v>
      </c>
      <c r="G26" s="9">
        <v>1.9374886000000001E-2</v>
      </c>
      <c r="H26" s="167"/>
    </row>
    <row r="27" spans="1:8" x14ac:dyDescent="0.2">
      <c r="A27" s="5">
        <v>21</v>
      </c>
      <c r="B27" s="6" t="s">
        <v>362</v>
      </c>
      <c r="C27" s="6" t="s">
        <v>363</v>
      </c>
      <c r="D27" s="6" t="s">
        <v>75</v>
      </c>
      <c r="E27" s="7">
        <v>115000</v>
      </c>
      <c r="F27" s="8">
        <v>2486.7600000000002</v>
      </c>
      <c r="G27" s="9">
        <v>1.9024369999999999E-2</v>
      </c>
      <c r="H27" s="167"/>
    </row>
    <row r="28" spans="1:8" x14ac:dyDescent="0.2">
      <c r="A28" s="5">
        <v>22</v>
      </c>
      <c r="B28" s="6" t="s">
        <v>575</v>
      </c>
      <c r="C28" s="6" t="s">
        <v>576</v>
      </c>
      <c r="D28" s="6" t="s">
        <v>75</v>
      </c>
      <c r="E28" s="7">
        <v>200000</v>
      </c>
      <c r="F28" s="8">
        <v>2470</v>
      </c>
      <c r="G28" s="9">
        <v>1.8896151E-2</v>
      </c>
      <c r="H28" s="167"/>
    </row>
    <row r="29" spans="1:8" ht="25.5" x14ac:dyDescent="0.2">
      <c r="A29" s="5">
        <v>23</v>
      </c>
      <c r="B29" s="6" t="s">
        <v>228</v>
      </c>
      <c r="C29" s="6" t="s">
        <v>229</v>
      </c>
      <c r="D29" s="6" t="s">
        <v>78</v>
      </c>
      <c r="E29" s="7">
        <v>670000</v>
      </c>
      <c r="F29" s="8">
        <v>2275.6550000000002</v>
      </c>
      <c r="G29" s="9">
        <v>1.7409361000000002E-2</v>
      </c>
      <c r="H29" s="167"/>
    </row>
    <row r="30" spans="1:8" ht="25.5" x14ac:dyDescent="0.2">
      <c r="A30" s="5">
        <v>24</v>
      </c>
      <c r="B30" s="6" t="s">
        <v>577</v>
      </c>
      <c r="C30" s="6" t="s">
        <v>578</v>
      </c>
      <c r="D30" s="6" t="s">
        <v>78</v>
      </c>
      <c r="E30" s="7">
        <v>12500</v>
      </c>
      <c r="F30" s="8">
        <v>2211.9437499999999</v>
      </c>
      <c r="G30" s="9">
        <v>1.6921953E-2</v>
      </c>
      <c r="H30" s="167"/>
    </row>
    <row r="31" spans="1:8" ht="25.5" x14ac:dyDescent="0.2">
      <c r="A31" s="5">
        <v>25</v>
      </c>
      <c r="B31" s="6" t="s">
        <v>483</v>
      </c>
      <c r="C31" s="6" t="s">
        <v>484</v>
      </c>
      <c r="D31" s="6" t="s">
        <v>78</v>
      </c>
      <c r="E31" s="7">
        <v>350000</v>
      </c>
      <c r="F31" s="8">
        <v>2143.5749999999998</v>
      </c>
      <c r="G31" s="9">
        <v>1.6398914000000001E-2</v>
      </c>
      <c r="H31" s="167"/>
    </row>
    <row r="32" spans="1:8" x14ac:dyDescent="0.2">
      <c r="A32" s="5">
        <v>26</v>
      </c>
      <c r="B32" s="6" t="s">
        <v>254</v>
      </c>
      <c r="C32" s="6" t="s">
        <v>255</v>
      </c>
      <c r="D32" s="6" t="s">
        <v>971</v>
      </c>
      <c r="E32" s="7">
        <v>415000</v>
      </c>
      <c r="F32" s="8">
        <v>2000.7149999999999</v>
      </c>
      <c r="G32" s="9">
        <v>1.5305997E-2</v>
      </c>
      <c r="H32" s="167"/>
    </row>
    <row r="33" spans="1:8" x14ac:dyDescent="0.2">
      <c r="A33" s="5">
        <v>27</v>
      </c>
      <c r="B33" s="6" t="s">
        <v>519</v>
      </c>
      <c r="C33" s="6" t="s">
        <v>520</v>
      </c>
      <c r="D33" s="6" t="s">
        <v>75</v>
      </c>
      <c r="E33" s="7">
        <v>700000</v>
      </c>
      <c r="F33" s="8">
        <v>1952.65</v>
      </c>
      <c r="G33" s="9">
        <v>1.4938287E-2</v>
      </c>
      <c r="H33" s="167"/>
    </row>
    <row r="34" spans="1:8" x14ac:dyDescent="0.2">
      <c r="A34" s="5">
        <v>28</v>
      </c>
      <c r="B34" s="6" t="s">
        <v>226</v>
      </c>
      <c r="C34" s="6" t="s">
        <v>227</v>
      </c>
      <c r="D34" s="6" t="s">
        <v>32</v>
      </c>
      <c r="E34" s="7">
        <v>230000</v>
      </c>
      <c r="F34" s="8">
        <v>1819.76</v>
      </c>
      <c r="G34" s="9">
        <v>1.3921644E-2</v>
      </c>
      <c r="H34" s="167"/>
    </row>
    <row r="35" spans="1:8" x14ac:dyDescent="0.2">
      <c r="A35" s="5">
        <v>29</v>
      </c>
      <c r="B35" s="6" t="s">
        <v>502</v>
      </c>
      <c r="C35" s="6" t="s">
        <v>503</v>
      </c>
      <c r="D35" s="6" t="s">
        <v>75</v>
      </c>
      <c r="E35" s="7">
        <v>112000</v>
      </c>
      <c r="F35" s="8">
        <v>1787.8</v>
      </c>
      <c r="G35" s="9">
        <v>1.3677141E-2</v>
      </c>
      <c r="H35" s="167"/>
    </row>
    <row r="36" spans="1:8" ht="25.5" x14ac:dyDescent="0.2">
      <c r="A36" s="5">
        <v>30</v>
      </c>
      <c r="B36" s="6" t="s">
        <v>364</v>
      </c>
      <c r="C36" s="6" t="s">
        <v>365</v>
      </c>
      <c r="D36" s="6" t="s">
        <v>158</v>
      </c>
      <c r="E36" s="7">
        <v>1000000</v>
      </c>
      <c r="F36" s="8">
        <v>1630</v>
      </c>
      <c r="G36" s="9">
        <v>1.2469930000000001E-2</v>
      </c>
      <c r="H36" s="167"/>
    </row>
    <row r="37" spans="1:8" x14ac:dyDescent="0.2">
      <c r="A37" s="5">
        <v>31</v>
      </c>
      <c r="B37" s="6" t="s">
        <v>280</v>
      </c>
      <c r="C37" s="6" t="s">
        <v>281</v>
      </c>
      <c r="D37" s="6" t="s">
        <v>971</v>
      </c>
      <c r="E37" s="7">
        <v>3700000</v>
      </c>
      <c r="F37" s="8">
        <v>1546.6</v>
      </c>
      <c r="G37" s="9">
        <v>1.1831898E-2</v>
      </c>
      <c r="H37" s="167"/>
    </row>
    <row r="38" spans="1:8" ht="25.5" x14ac:dyDescent="0.2">
      <c r="A38" s="5">
        <v>32</v>
      </c>
      <c r="B38" s="6" t="s">
        <v>423</v>
      </c>
      <c r="C38" s="6" t="s">
        <v>424</v>
      </c>
      <c r="D38" s="6" t="s">
        <v>969</v>
      </c>
      <c r="E38" s="7">
        <v>100000</v>
      </c>
      <c r="F38" s="8">
        <v>1471.9</v>
      </c>
      <c r="G38" s="9">
        <v>1.1260423E-2</v>
      </c>
      <c r="H38" s="167"/>
    </row>
    <row r="39" spans="1:8" x14ac:dyDescent="0.2">
      <c r="A39" s="5">
        <v>33</v>
      </c>
      <c r="B39" s="6" t="s">
        <v>380</v>
      </c>
      <c r="C39" s="6" t="s">
        <v>381</v>
      </c>
      <c r="D39" s="6" t="s">
        <v>75</v>
      </c>
      <c r="E39" s="7">
        <v>2150000</v>
      </c>
      <c r="F39" s="8">
        <v>1436.2</v>
      </c>
      <c r="G39" s="9">
        <v>1.0987309000000001E-2</v>
      </c>
      <c r="H39" s="167"/>
    </row>
    <row r="40" spans="1:8" x14ac:dyDescent="0.2">
      <c r="A40" s="5">
        <v>34</v>
      </c>
      <c r="B40" s="6" t="s">
        <v>238</v>
      </c>
      <c r="C40" s="6" t="s">
        <v>239</v>
      </c>
      <c r="D40" s="6" t="s">
        <v>240</v>
      </c>
      <c r="E40" s="7">
        <v>174246</v>
      </c>
      <c r="F40" s="8">
        <v>1420.2791460000001</v>
      </c>
      <c r="G40" s="9">
        <v>1.086551E-2</v>
      </c>
      <c r="H40" s="167"/>
    </row>
    <row r="41" spans="1:8" x14ac:dyDescent="0.2">
      <c r="A41" s="5">
        <v>35</v>
      </c>
      <c r="B41" s="6" t="s">
        <v>463</v>
      </c>
      <c r="C41" s="6" t="s">
        <v>464</v>
      </c>
      <c r="D41" s="6" t="s">
        <v>158</v>
      </c>
      <c r="E41" s="7">
        <v>225000</v>
      </c>
      <c r="F41" s="8">
        <v>1409.175</v>
      </c>
      <c r="G41" s="9">
        <v>1.078056E-2</v>
      </c>
      <c r="H41" s="167"/>
    </row>
    <row r="42" spans="1:8" x14ac:dyDescent="0.2">
      <c r="A42" s="5">
        <v>36</v>
      </c>
      <c r="B42" s="6" t="s">
        <v>579</v>
      </c>
      <c r="C42" s="6" t="s">
        <v>580</v>
      </c>
      <c r="D42" s="6" t="s">
        <v>75</v>
      </c>
      <c r="E42" s="7">
        <v>90000</v>
      </c>
      <c r="F42" s="8">
        <v>1392.7049999999999</v>
      </c>
      <c r="G42" s="9">
        <v>1.065456E-2</v>
      </c>
      <c r="H42" s="167"/>
    </row>
    <row r="43" spans="1:8" x14ac:dyDescent="0.2">
      <c r="A43" s="5">
        <v>37</v>
      </c>
      <c r="B43" s="6" t="s">
        <v>245</v>
      </c>
      <c r="C43" s="6" t="s">
        <v>246</v>
      </c>
      <c r="D43" s="6" t="s">
        <v>247</v>
      </c>
      <c r="E43" s="7">
        <v>700000</v>
      </c>
      <c r="F43" s="8">
        <v>1148</v>
      </c>
      <c r="G43" s="9">
        <v>8.7825030000000005E-3</v>
      </c>
      <c r="H43" s="167"/>
    </row>
    <row r="44" spans="1:8" x14ac:dyDescent="0.2">
      <c r="A44" s="5">
        <v>38</v>
      </c>
      <c r="B44" s="6" t="s">
        <v>581</v>
      </c>
      <c r="C44" s="6" t="s">
        <v>582</v>
      </c>
      <c r="D44" s="6" t="s">
        <v>94</v>
      </c>
      <c r="E44" s="7">
        <v>12500</v>
      </c>
      <c r="F44" s="8">
        <v>524.1</v>
      </c>
      <c r="G44" s="9">
        <v>4.0095030000000002E-3</v>
      </c>
      <c r="H44" s="167"/>
    </row>
    <row r="45" spans="1:8" x14ac:dyDescent="0.2">
      <c r="A45" s="3" t="s">
        <v>10</v>
      </c>
      <c r="B45" s="3" t="s">
        <v>10</v>
      </c>
      <c r="C45" s="4" t="s">
        <v>104</v>
      </c>
      <c r="D45" s="3" t="s">
        <v>10</v>
      </c>
      <c r="E45" s="3" t="s">
        <v>10</v>
      </c>
      <c r="F45" s="10">
        <v>129553.09364600001</v>
      </c>
      <c r="G45" s="11">
        <v>0.99111532199999997</v>
      </c>
      <c r="H45" s="167"/>
    </row>
    <row r="46" spans="1:8" x14ac:dyDescent="0.2">
      <c r="A46" s="3" t="s">
        <v>10</v>
      </c>
      <c r="B46" s="3" t="s">
        <v>10</v>
      </c>
      <c r="C46" s="12" t="s">
        <v>10</v>
      </c>
      <c r="D46" s="3" t="s">
        <v>10</v>
      </c>
      <c r="E46" s="3" t="s">
        <v>10</v>
      </c>
      <c r="F46" s="10"/>
      <c r="G46" s="13" t="s">
        <v>10</v>
      </c>
      <c r="H46" s="167"/>
    </row>
    <row r="47" spans="1:8" x14ac:dyDescent="0.2">
      <c r="A47" s="3" t="s">
        <v>10</v>
      </c>
      <c r="B47" s="3" t="s">
        <v>10</v>
      </c>
      <c r="C47" s="4" t="s">
        <v>105</v>
      </c>
      <c r="D47" s="3" t="s">
        <v>10</v>
      </c>
      <c r="E47" s="3" t="s">
        <v>10</v>
      </c>
      <c r="F47" s="3" t="s">
        <v>10</v>
      </c>
      <c r="G47" s="3" t="s">
        <v>10</v>
      </c>
      <c r="H47" s="167"/>
    </row>
    <row r="48" spans="1:8" x14ac:dyDescent="0.2">
      <c r="A48" s="3" t="s">
        <v>10</v>
      </c>
      <c r="B48" s="3" t="s">
        <v>10</v>
      </c>
      <c r="C48" s="4" t="s">
        <v>104</v>
      </c>
      <c r="D48" s="3" t="s">
        <v>10</v>
      </c>
      <c r="E48" s="3" t="s">
        <v>10</v>
      </c>
      <c r="F48" s="14">
        <v>0</v>
      </c>
      <c r="G48" s="15">
        <v>0</v>
      </c>
      <c r="H48" s="167"/>
    </row>
    <row r="49" spans="1:8" x14ac:dyDescent="0.2">
      <c r="A49" s="3" t="s">
        <v>10</v>
      </c>
      <c r="B49" s="3" t="s">
        <v>10</v>
      </c>
      <c r="C49" s="12" t="s">
        <v>10</v>
      </c>
      <c r="D49" s="3" t="s">
        <v>10</v>
      </c>
      <c r="E49" s="3" t="s">
        <v>10</v>
      </c>
      <c r="F49" s="13" t="s">
        <v>10</v>
      </c>
      <c r="G49" s="13" t="s">
        <v>10</v>
      </c>
      <c r="H49" s="167"/>
    </row>
    <row r="50" spans="1:8" x14ac:dyDescent="0.2">
      <c r="A50" s="3" t="s">
        <v>10</v>
      </c>
      <c r="B50" s="3" t="s">
        <v>10</v>
      </c>
      <c r="C50" s="4" t="s">
        <v>106</v>
      </c>
      <c r="D50" s="3" t="s">
        <v>10</v>
      </c>
      <c r="E50" s="3" t="s">
        <v>10</v>
      </c>
      <c r="F50" s="3" t="s">
        <v>10</v>
      </c>
      <c r="G50" s="3" t="s">
        <v>10</v>
      </c>
      <c r="H50" s="167"/>
    </row>
    <row r="51" spans="1:8" x14ac:dyDescent="0.2">
      <c r="A51" s="3" t="s">
        <v>10</v>
      </c>
      <c r="B51" s="3" t="s">
        <v>10</v>
      </c>
      <c r="C51" s="4" t="s">
        <v>104</v>
      </c>
      <c r="D51" s="3" t="s">
        <v>10</v>
      </c>
      <c r="E51" s="3" t="s">
        <v>10</v>
      </c>
      <c r="F51" s="14">
        <v>0</v>
      </c>
      <c r="G51" s="15">
        <v>0</v>
      </c>
      <c r="H51" s="167"/>
    </row>
    <row r="52" spans="1:8" x14ac:dyDescent="0.2">
      <c r="A52" s="3" t="s">
        <v>10</v>
      </c>
      <c r="B52" s="3" t="s">
        <v>10</v>
      </c>
      <c r="C52" s="12" t="s">
        <v>10</v>
      </c>
      <c r="D52" s="3" t="s">
        <v>10</v>
      </c>
      <c r="E52" s="3" t="s">
        <v>10</v>
      </c>
      <c r="F52" s="13" t="s">
        <v>10</v>
      </c>
      <c r="G52" s="1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110</v>
      </c>
      <c r="D53" s="3" t="s">
        <v>10</v>
      </c>
      <c r="E53" s="3" t="s">
        <v>10</v>
      </c>
      <c r="F53" s="3" t="s">
        <v>10</v>
      </c>
      <c r="G53" s="3" t="s">
        <v>10</v>
      </c>
      <c r="H53" s="167"/>
    </row>
    <row r="54" spans="1:8" x14ac:dyDescent="0.2">
      <c r="A54" s="3" t="s">
        <v>10</v>
      </c>
      <c r="B54" s="3" t="s">
        <v>10</v>
      </c>
      <c r="C54" s="4" t="s">
        <v>104</v>
      </c>
      <c r="D54" s="3" t="s">
        <v>10</v>
      </c>
      <c r="E54" s="3" t="s">
        <v>10</v>
      </c>
      <c r="F54" s="14">
        <v>0</v>
      </c>
      <c r="G54" s="15">
        <v>0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111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4">
        <v>0</v>
      </c>
      <c r="G57" s="15">
        <v>0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112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104</v>
      </c>
      <c r="D60" s="3" t="s">
        <v>10</v>
      </c>
      <c r="E60" s="3" t="s">
        <v>10</v>
      </c>
      <c r="F60" s="14">
        <v>0</v>
      </c>
      <c r="G60" s="15">
        <v>0</v>
      </c>
      <c r="H60" s="167"/>
    </row>
    <row r="61" spans="1:8" x14ac:dyDescent="0.2">
      <c r="A61" s="3" t="s">
        <v>10</v>
      </c>
      <c r="B61" s="3" t="s">
        <v>10</v>
      </c>
      <c r="C61" s="12" t="s">
        <v>10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113</v>
      </c>
      <c r="D62" s="3" t="s">
        <v>10</v>
      </c>
      <c r="E62" s="3" t="s">
        <v>10</v>
      </c>
      <c r="F62" s="10">
        <v>129553.09364599999</v>
      </c>
      <c r="G62" s="11">
        <v>0.99111532199999997</v>
      </c>
      <c r="H62" s="167"/>
    </row>
    <row r="63" spans="1:8" x14ac:dyDescent="0.2">
      <c r="A63" s="3" t="s">
        <v>10</v>
      </c>
      <c r="B63" s="3" t="s">
        <v>10</v>
      </c>
      <c r="C63" s="12" t="s">
        <v>10</v>
      </c>
      <c r="D63" s="3" t="s">
        <v>10</v>
      </c>
      <c r="E63" s="3" t="s">
        <v>10</v>
      </c>
      <c r="F63" s="13" t="s">
        <v>10</v>
      </c>
      <c r="G63" s="1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114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ht="25.5" x14ac:dyDescent="0.2">
      <c r="A65" s="3" t="s">
        <v>10</v>
      </c>
      <c r="B65" s="3" t="s">
        <v>10</v>
      </c>
      <c r="C65" s="4" t="s">
        <v>12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115</v>
      </c>
      <c r="D68" s="3" t="s">
        <v>10</v>
      </c>
      <c r="E68" s="3" t="s">
        <v>10</v>
      </c>
      <c r="F68" s="3" t="s">
        <v>10</v>
      </c>
      <c r="G68" s="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116</v>
      </c>
      <c r="D71" s="3" t="s">
        <v>10</v>
      </c>
      <c r="E71" s="3" t="s">
        <v>10</v>
      </c>
      <c r="F71" s="3" t="s">
        <v>10</v>
      </c>
      <c r="G71" s="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117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118</v>
      </c>
      <c r="D77" s="3" t="s">
        <v>10</v>
      </c>
      <c r="E77" s="3" t="s">
        <v>10</v>
      </c>
      <c r="F77" s="10">
        <v>0</v>
      </c>
      <c r="G77" s="11">
        <v>0</v>
      </c>
      <c r="H77" s="167"/>
    </row>
    <row r="78" spans="1:8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119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120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121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122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123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5">
        <v>1</v>
      </c>
      <c r="B90" s="6"/>
      <c r="C90" s="6" t="s">
        <v>124</v>
      </c>
      <c r="D90" s="6"/>
      <c r="E90" s="16" t="s">
        <v>10</v>
      </c>
      <c r="F90" s="8">
        <v>488.43063919999997</v>
      </c>
      <c r="G90" s="9">
        <v>3.7366230000000001E-3</v>
      </c>
      <c r="H90" s="108">
        <v>3.23</v>
      </c>
    </row>
    <row r="91" spans="1:8" x14ac:dyDescent="0.2">
      <c r="A91" s="5">
        <v>2</v>
      </c>
      <c r="B91" s="6"/>
      <c r="C91" s="6" t="s">
        <v>125</v>
      </c>
      <c r="D91" s="6"/>
      <c r="E91" s="16" t="s">
        <v>10</v>
      </c>
      <c r="F91" s="8">
        <v>137.19525089999999</v>
      </c>
      <c r="G91" s="9">
        <v>1.04958E-3</v>
      </c>
      <c r="H91" s="108">
        <v>3.35</v>
      </c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0">
        <v>625.62589009999999</v>
      </c>
      <c r="G92" s="11">
        <v>4.7862030000000002E-3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126</v>
      </c>
      <c r="D94" s="3" t="s">
        <v>10</v>
      </c>
      <c r="E94" s="3" t="s">
        <v>10</v>
      </c>
      <c r="F94" s="10">
        <v>625.62589009999999</v>
      </c>
      <c r="G94" s="11">
        <v>4.7862030000000002E-3</v>
      </c>
      <c r="H94" s="167"/>
    </row>
    <row r="95" spans="1:8" x14ac:dyDescent="0.2">
      <c r="A95" s="3" t="s">
        <v>10</v>
      </c>
      <c r="B95" s="3" t="s">
        <v>10</v>
      </c>
      <c r="C95" s="1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127</v>
      </c>
      <c r="D96" s="3" t="s">
        <v>10</v>
      </c>
      <c r="E96" s="3" t="s">
        <v>10</v>
      </c>
      <c r="F96" s="3" t="s">
        <v>10</v>
      </c>
      <c r="G96" s="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128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4">
        <v>0</v>
      </c>
      <c r="G98" s="15">
        <v>0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129</v>
      </c>
      <c r="D100" s="3" t="s">
        <v>10</v>
      </c>
      <c r="E100" s="3" t="s">
        <v>10</v>
      </c>
      <c r="F100" s="3" t="s">
        <v>10</v>
      </c>
      <c r="G100" s="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130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4">
        <v>0</v>
      </c>
      <c r="G102" s="15">
        <v>0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ht="25.5" x14ac:dyDescent="0.2">
      <c r="A105" s="3" t="s">
        <v>10</v>
      </c>
      <c r="B105" s="3" t="s">
        <v>10</v>
      </c>
      <c r="C105" s="4" t="s">
        <v>131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104</v>
      </c>
      <c r="D106" s="3" t="s">
        <v>10</v>
      </c>
      <c r="E106" s="3" t="s">
        <v>10</v>
      </c>
      <c r="F106" s="14">
        <v>0</v>
      </c>
      <c r="G106" s="15">
        <v>0</v>
      </c>
      <c r="H106" s="167"/>
    </row>
    <row r="107" spans="1:8" x14ac:dyDescent="0.2">
      <c r="A107" s="3" t="s">
        <v>10</v>
      </c>
      <c r="B107" s="3" t="s">
        <v>10</v>
      </c>
      <c r="C107" s="12" t="s">
        <v>10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6" t="s">
        <v>10</v>
      </c>
      <c r="C108" s="6" t="s">
        <v>10</v>
      </c>
      <c r="D108" s="4" t="s">
        <v>10</v>
      </c>
      <c r="E108" s="3" t="s">
        <v>10</v>
      </c>
      <c r="F108" s="6" t="s">
        <v>10</v>
      </c>
      <c r="G108" s="16" t="s">
        <v>10</v>
      </c>
      <c r="H108" s="167"/>
    </row>
    <row r="109" spans="1:8" x14ac:dyDescent="0.2">
      <c r="A109" s="16" t="s">
        <v>10</v>
      </c>
      <c r="B109" s="6" t="s">
        <v>10</v>
      </c>
      <c r="C109" s="6" t="s">
        <v>132</v>
      </c>
      <c r="D109" s="6" t="s">
        <v>10</v>
      </c>
      <c r="E109" s="16" t="s">
        <v>10</v>
      </c>
      <c r="F109" s="8">
        <v>535.73026948999996</v>
      </c>
      <c r="G109" s="9">
        <v>4.098478E-3</v>
      </c>
      <c r="H109" s="167"/>
    </row>
    <row r="110" spans="1:8" x14ac:dyDescent="0.2">
      <c r="A110" s="12" t="s">
        <v>10</v>
      </c>
      <c r="B110" s="12" t="s">
        <v>10</v>
      </c>
      <c r="C110" s="4" t="s">
        <v>133</v>
      </c>
      <c r="D110" s="17" t="s">
        <v>10</v>
      </c>
      <c r="E110" s="17" t="s">
        <v>10</v>
      </c>
      <c r="F110" s="10">
        <v>130714.44980558999</v>
      </c>
      <c r="G110" s="11">
        <v>1</v>
      </c>
      <c r="H110" s="167"/>
    </row>
    <row r="111" spans="1:8" ht="14.1" customHeight="1" x14ac:dyDescent="0.2">
      <c r="A111" s="18" t="s">
        <v>10</v>
      </c>
      <c r="B111" s="18" t="s">
        <v>10</v>
      </c>
      <c r="C111" s="18" t="s">
        <v>10</v>
      </c>
      <c r="D111" s="19" t="s">
        <v>10</v>
      </c>
      <c r="E111" s="19" t="s">
        <v>10</v>
      </c>
      <c r="F111" s="19" t="s">
        <v>10</v>
      </c>
      <c r="G111" s="19" t="s">
        <v>10</v>
      </c>
    </row>
    <row r="112" spans="1:8" ht="14.1" customHeight="1" x14ac:dyDescent="0.2">
      <c r="A112" s="20" t="s">
        <v>10</v>
      </c>
      <c r="B112" s="208" t="s">
        <v>10</v>
      </c>
      <c r="C112" s="208"/>
      <c r="D112" s="208"/>
      <c r="E112" s="208"/>
      <c r="F112" s="208"/>
      <c r="G112" s="22" t="s">
        <v>10</v>
      </c>
    </row>
    <row r="113" spans="1:7" ht="14.1" customHeight="1" x14ac:dyDescent="0.2">
      <c r="A113" s="20" t="s">
        <v>10</v>
      </c>
      <c r="B113" s="208" t="s">
        <v>10</v>
      </c>
      <c r="C113" s="208"/>
      <c r="D113" s="208"/>
      <c r="E113" s="208"/>
      <c r="F113" s="208"/>
      <c r="G113" s="22" t="s">
        <v>10</v>
      </c>
    </row>
    <row r="114" spans="1:7" ht="14.1" customHeight="1" x14ac:dyDescent="0.2">
      <c r="A114" s="20" t="s">
        <v>10</v>
      </c>
      <c r="B114" s="20" t="s">
        <v>10</v>
      </c>
      <c r="C114" s="20" t="s">
        <v>10</v>
      </c>
      <c r="D114" s="22" t="s">
        <v>10</v>
      </c>
      <c r="E114" s="22" t="s">
        <v>10</v>
      </c>
      <c r="F114" s="22" t="s">
        <v>10</v>
      </c>
      <c r="G114" s="22" t="s">
        <v>10</v>
      </c>
    </row>
    <row r="115" spans="1:7" ht="14.1" customHeight="1" x14ac:dyDescent="0.2">
      <c r="A115" s="20" t="s">
        <v>10</v>
      </c>
      <c r="B115" s="206" t="s">
        <v>134</v>
      </c>
      <c r="C115" s="207"/>
      <c r="D115" s="13" t="s">
        <v>10</v>
      </c>
      <c r="E115" s="23" t="s">
        <v>10</v>
      </c>
      <c r="F115" s="22" t="s">
        <v>10</v>
      </c>
      <c r="G115" s="22" t="s">
        <v>10</v>
      </c>
    </row>
    <row r="116" spans="1:7" ht="29.1" customHeight="1" x14ac:dyDescent="0.2">
      <c r="A116" s="20" t="s">
        <v>10</v>
      </c>
      <c r="B116" s="213" t="s">
        <v>135</v>
      </c>
      <c r="C116" s="214"/>
      <c r="D116" s="4" t="s">
        <v>136</v>
      </c>
      <c r="E116" s="23" t="s">
        <v>10</v>
      </c>
      <c r="F116" s="22" t="s">
        <v>10</v>
      </c>
      <c r="G116" s="22" t="s">
        <v>10</v>
      </c>
    </row>
    <row r="117" spans="1:7" ht="17.100000000000001" customHeight="1" x14ac:dyDescent="0.2">
      <c r="A117" s="20" t="s">
        <v>10</v>
      </c>
      <c r="B117" s="213" t="s">
        <v>137</v>
      </c>
      <c r="C117" s="214"/>
      <c r="D117" s="4" t="s">
        <v>136</v>
      </c>
      <c r="E117" s="23" t="s">
        <v>10</v>
      </c>
      <c r="F117" s="22" t="s">
        <v>10</v>
      </c>
      <c r="G117" s="22" t="s">
        <v>10</v>
      </c>
    </row>
    <row r="118" spans="1:7" ht="17.100000000000001" customHeight="1" x14ac:dyDescent="0.2">
      <c r="A118" s="20" t="s">
        <v>10</v>
      </c>
      <c r="B118" s="213" t="s">
        <v>138</v>
      </c>
      <c r="C118" s="214"/>
      <c r="D118" s="13" t="s">
        <v>10</v>
      </c>
      <c r="E118" s="23" t="s">
        <v>10</v>
      </c>
      <c r="F118" s="22" t="s">
        <v>10</v>
      </c>
      <c r="G118" s="22" t="s">
        <v>10</v>
      </c>
    </row>
    <row r="119" spans="1:7" s="20" customFormat="1" ht="17.100000000000001" customHeight="1" x14ac:dyDescent="0.2"/>
    <row r="120" spans="1:7" x14ac:dyDescent="0.2">
      <c r="A120" s="24" t="s">
        <v>10</v>
      </c>
      <c r="B120" s="140" t="s">
        <v>10</v>
      </c>
      <c r="C120" s="140" t="s">
        <v>139</v>
      </c>
      <c r="D120" s="140" t="s">
        <v>140</v>
      </c>
      <c r="E120" s="24" t="s">
        <v>10</v>
      </c>
      <c r="F120" s="24" t="s">
        <v>10</v>
      </c>
      <c r="G120" s="24" t="s">
        <v>10</v>
      </c>
    </row>
    <row r="121" spans="1:7" ht="24" customHeight="1" x14ac:dyDescent="0.2">
      <c r="A121" s="24" t="s">
        <v>10</v>
      </c>
      <c r="B121" s="25" t="s">
        <v>10</v>
      </c>
      <c r="C121" s="25" t="s">
        <v>139</v>
      </c>
      <c r="D121" s="25" t="s">
        <v>140</v>
      </c>
      <c r="E121" s="24" t="s">
        <v>10</v>
      </c>
      <c r="F121" s="24" t="s">
        <v>10</v>
      </c>
      <c r="G121" s="24" t="s">
        <v>10</v>
      </c>
    </row>
    <row r="122" spans="1:7" ht="18" customHeight="1" x14ac:dyDescent="0.2">
      <c r="A122" s="24" t="s">
        <v>10</v>
      </c>
      <c r="B122" s="25" t="s">
        <v>141</v>
      </c>
      <c r="C122" s="25" t="s">
        <v>142</v>
      </c>
      <c r="D122" s="25" t="s">
        <v>143</v>
      </c>
      <c r="E122" s="24" t="s">
        <v>10</v>
      </c>
      <c r="F122" s="24" t="s">
        <v>10</v>
      </c>
      <c r="G122" s="24" t="s">
        <v>10</v>
      </c>
    </row>
    <row r="123" spans="1:7" ht="17.100000000000001" customHeight="1" x14ac:dyDescent="0.2">
      <c r="A123" s="24" t="s">
        <v>10</v>
      </c>
      <c r="B123" s="6" t="s">
        <v>144</v>
      </c>
      <c r="C123" s="26">
        <v>51.172499999999999</v>
      </c>
      <c r="D123" s="26">
        <v>54.343400000000003</v>
      </c>
      <c r="E123" s="24" t="s">
        <v>10</v>
      </c>
      <c r="F123" s="21" t="s">
        <v>10</v>
      </c>
      <c r="G123" s="27" t="s">
        <v>10</v>
      </c>
    </row>
    <row r="124" spans="1:7" ht="17.100000000000001" customHeight="1" x14ac:dyDescent="0.2">
      <c r="A124" s="24" t="s">
        <v>10</v>
      </c>
      <c r="B124" s="6" t="s">
        <v>917</v>
      </c>
      <c r="C124" s="26">
        <v>19.709599999999998</v>
      </c>
      <c r="D124" s="26">
        <v>20.930900000000001</v>
      </c>
      <c r="E124" s="24" t="s">
        <v>10</v>
      </c>
      <c r="F124" s="21" t="s">
        <v>10</v>
      </c>
      <c r="G124" s="27" t="s">
        <v>10</v>
      </c>
    </row>
    <row r="125" spans="1:7" ht="17.100000000000001" customHeight="1" x14ac:dyDescent="0.2">
      <c r="A125" s="24" t="s">
        <v>10</v>
      </c>
      <c r="B125" s="6" t="s">
        <v>145</v>
      </c>
      <c r="C125" s="26">
        <v>48.460799999999999</v>
      </c>
      <c r="D125" s="26">
        <v>51.428600000000003</v>
      </c>
      <c r="E125" s="24" t="s">
        <v>10</v>
      </c>
      <c r="F125" s="21" t="s">
        <v>10</v>
      </c>
      <c r="G125" s="27" t="s">
        <v>10</v>
      </c>
    </row>
    <row r="126" spans="1:7" ht="17.100000000000001" customHeight="1" x14ac:dyDescent="0.2">
      <c r="A126" s="24" t="s">
        <v>10</v>
      </c>
      <c r="B126" s="6" t="s">
        <v>918</v>
      </c>
      <c r="C126" s="26">
        <v>18.357500000000002</v>
      </c>
      <c r="D126" s="26">
        <v>19.4819</v>
      </c>
      <c r="E126" s="24" t="s">
        <v>10</v>
      </c>
      <c r="F126" s="21" t="s">
        <v>10</v>
      </c>
      <c r="G126" s="27" t="s">
        <v>10</v>
      </c>
    </row>
    <row r="127" spans="1:7" ht="14.1" customHeight="1" x14ac:dyDescent="0.2">
      <c r="A127" s="24" t="s">
        <v>10</v>
      </c>
      <c r="B127" s="24" t="s">
        <v>10</v>
      </c>
      <c r="C127" s="24" t="s">
        <v>10</v>
      </c>
      <c r="D127" s="24" t="s">
        <v>10</v>
      </c>
      <c r="E127" s="24" t="s">
        <v>10</v>
      </c>
      <c r="F127" s="24" t="s">
        <v>10</v>
      </c>
      <c r="G127" s="24" t="s">
        <v>10</v>
      </c>
    </row>
    <row r="128" spans="1:7" ht="17.100000000000001" customHeight="1" x14ac:dyDescent="0.2">
      <c r="A128" s="24" t="s">
        <v>10</v>
      </c>
      <c r="B128" s="213" t="s">
        <v>999</v>
      </c>
      <c r="C128" s="214"/>
      <c r="D128" s="4" t="s">
        <v>136</v>
      </c>
      <c r="E128" s="24" t="s">
        <v>10</v>
      </c>
      <c r="F128" s="24" t="s">
        <v>10</v>
      </c>
      <c r="G128" s="24" t="s">
        <v>10</v>
      </c>
    </row>
    <row r="129" spans="1:7" ht="18" customHeight="1" x14ac:dyDescent="0.2">
      <c r="A129" s="24" t="s">
        <v>10</v>
      </c>
      <c r="B129" s="28"/>
      <c r="C129" s="28"/>
      <c r="D129" s="29" t="s">
        <v>10</v>
      </c>
      <c r="E129" s="24" t="s">
        <v>10</v>
      </c>
      <c r="F129" s="24" t="s">
        <v>10</v>
      </c>
      <c r="G129" s="24" t="s">
        <v>10</v>
      </c>
    </row>
    <row r="130" spans="1:7" s="175" customFormat="1" x14ac:dyDescent="0.2">
      <c r="B130" s="221" t="s">
        <v>919</v>
      </c>
      <c r="C130" s="221"/>
      <c r="D130" s="221"/>
      <c r="E130" s="221"/>
      <c r="F130" s="221"/>
    </row>
    <row r="131" spans="1:7" ht="14.1" customHeight="1" x14ac:dyDescent="0.2">
      <c r="A131" s="24" t="s">
        <v>10</v>
      </c>
      <c r="B131" s="21" t="s">
        <v>10</v>
      </c>
      <c r="C131" s="21" t="s">
        <v>10</v>
      </c>
      <c r="D131" s="24" t="s">
        <v>10</v>
      </c>
      <c r="E131" s="24" t="s">
        <v>10</v>
      </c>
      <c r="F131" s="24" t="s">
        <v>10</v>
      </c>
      <c r="G131" s="24" t="s">
        <v>10</v>
      </c>
    </row>
    <row r="132" spans="1:7" ht="29.1" customHeight="1" x14ac:dyDescent="0.2">
      <c r="A132" s="24" t="s">
        <v>10</v>
      </c>
      <c r="B132" s="213" t="s">
        <v>146</v>
      </c>
      <c r="C132" s="214"/>
      <c r="D132" s="4" t="s">
        <v>136</v>
      </c>
      <c r="E132" s="24" t="s">
        <v>10</v>
      </c>
      <c r="F132" s="24" t="s">
        <v>10</v>
      </c>
      <c r="G132" s="24" t="s">
        <v>10</v>
      </c>
    </row>
    <row r="133" spans="1:7" ht="29.1" customHeight="1" x14ac:dyDescent="0.2">
      <c r="A133" s="24" t="s">
        <v>10</v>
      </c>
      <c r="B133" s="213" t="s">
        <v>147</v>
      </c>
      <c r="C133" s="214"/>
      <c r="D133" s="4" t="s">
        <v>136</v>
      </c>
      <c r="E133" s="24" t="s">
        <v>10</v>
      </c>
      <c r="F133" s="24" t="s">
        <v>10</v>
      </c>
      <c r="G133" s="24" t="s">
        <v>10</v>
      </c>
    </row>
    <row r="134" spans="1:7" ht="17.100000000000001" customHeight="1" x14ac:dyDescent="0.2">
      <c r="A134" s="24" t="s">
        <v>10</v>
      </c>
      <c r="B134" s="213" t="s">
        <v>148</v>
      </c>
      <c r="C134" s="214"/>
      <c r="D134" s="30">
        <v>0.16279412258916937</v>
      </c>
      <c r="E134" s="24" t="s">
        <v>10</v>
      </c>
      <c r="F134" s="21" t="s">
        <v>10</v>
      </c>
      <c r="G134" s="27" t="s">
        <v>10</v>
      </c>
    </row>
    <row r="135" spans="1:7" ht="17.100000000000001" customHeight="1" x14ac:dyDescent="0.2">
      <c r="A135" s="24" t="s">
        <v>10</v>
      </c>
      <c r="B135" s="213" t="s">
        <v>149</v>
      </c>
      <c r="C135" s="214"/>
      <c r="D135" s="4" t="s">
        <v>136</v>
      </c>
      <c r="E135" s="24" t="s">
        <v>10</v>
      </c>
      <c r="F135" s="24" t="s">
        <v>10</v>
      </c>
      <c r="G135" s="24" t="s">
        <v>10</v>
      </c>
    </row>
  </sheetData>
  <mergeCells count="15">
    <mergeCell ref="B134:C134"/>
    <mergeCell ref="B135:C135"/>
    <mergeCell ref="B116:C116"/>
    <mergeCell ref="B117:C117"/>
    <mergeCell ref="B118:C118"/>
    <mergeCell ref="B128:C128"/>
    <mergeCell ref="B132:C132"/>
    <mergeCell ref="B133:C133"/>
    <mergeCell ref="B130:F130"/>
    <mergeCell ref="B115:C115"/>
    <mergeCell ref="B112:F112"/>
    <mergeCell ref="B113:F11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143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1" max="11" width="9.57031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583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2018224</v>
      </c>
      <c r="F7" s="8">
        <v>13375.779560000001</v>
      </c>
      <c r="G7" s="9">
        <v>9.0245241000000004E-2</v>
      </c>
      <c r="H7" s="167"/>
    </row>
    <row r="8" spans="1:8" x14ac:dyDescent="0.2">
      <c r="A8" s="5">
        <v>2</v>
      </c>
      <c r="B8" s="6" t="s">
        <v>51</v>
      </c>
      <c r="C8" s="6" t="s">
        <v>52</v>
      </c>
      <c r="D8" s="6" t="s">
        <v>23</v>
      </c>
      <c r="E8" s="7">
        <v>810399</v>
      </c>
      <c r="F8" s="8">
        <v>12284.433241500001</v>
      </c>
      <c r="G8" s="9">
        <v>8.2882021E-2</v>
      </c>
      <c r="H8" s="167"/>
    </row>
    <row r="9" spans="1:8" x14ac:dyDescent="0.2">
      <c r="A9" s="5">
        <v>3</v>
      </c>
      <c r="B9" s="6" t="s">
        <v>16</v>
      </c>
      <c r="C9" s="6" t="s">
        <v>17</v>
      </c>
      <c r="D9" s="6" t="s">
        <v>18</v>
      </c>
      <c r="E9" s="7">
        <v>334474</v>
      </c>
      <c r="F9" s="8">
        <v>7225.6418219999996</v>
      </c>
      <c r="G9" s="9">
        <v>4.8750788000000003E-2</v>
      </c>
      <c r="H9" s="167"/>
    </row>
    <row r="10" spans="1:8" x14ac:dyDescent="0.2">
      <c r="A10" s="5">
        <v>4</v>
      </c>
      <c r="B10" s="6" t="s">
        <v>299</v>
      </c>
      <c r="C10" s="6" t="s">
        <v>300</v>
      </c>
      <c r="D10" s="6" t="s">
        <v>167</v>
      </c>
      <c r="E10" s="7">
        <v>291050</v>
      </c>
      <c r="F10" s="8">
        <v>6968.7556750000003</v>
      </c>
      <c r="G10" s="9">
        <v>4.7017599E-2</v>
      </c>
      <c r="H10" s="167"/>
    </row>
    <row r="11" spans="1:8" ht="25.5" x14ac:dyDescent="0.2">
      <c r="A11" s="5">
        <v>5</v>
      </c>
      <c r="B11" s="6" t="s">
        <v>401</v>
      </c>
      <c r="C11" s="6" t="s">
        <v>402</v>
      </c>
      <c r="D11" s="6" t="s">
        <v>158</v>
      </c>
      <c r="E11" s="7">
        <v>238846</v>
      </c>
      <c r="F11" s="8">
        <v>6097.3801110000004</v>
      </c>
      <c r="G11" s="9">
        <v>4.1138502E-2</v>
      </c>
      <c r="H11" s="167"/>
    </row>
    <row r="12" spans="1:8" x14ac:dyDescent="0.2">
      <c r="A12" s="5">
        <v>6</v>
      </c>
      <c r="B12" s="6" t="s">
        <v>163</v>
      </c>
      <c r="C12" s="6" t="s">
        <v>164</v>
      </c>
      <c r="D12" s="6" t="s">
        <v>167</v>
      </c>
      <c r="E12" s="7">
        <v>652657</v>
      </c>
      <c r="F12" s="8">
        <v>5662.1258035000001</v>
      </c>
      <c r="G12" s="9">
        <v>3.8201879000000001E-2</v>
      </c>
      <c r="H12" s="167"/>
    </row>
    <row r="13" spans="1:8" x14ac:dyDescent="0.2">
      <c r="A13" s="5">
        <v>7</v>
      </c>
      <c r="B13" s="6" t="s">
        <v>170</v>
      </c>
      <c r="C13" s="6" t="s">
        <v>171</v>
      </c>
      <c r="D13" s="6" t="s">
        <v>167</v>
      </c>
      <c r="E13" s="7">
        <v>97080</v>
      </c>
      <c r="F13" s="8">
        <v>5157.375</v>
      </c>
      <c r="G13" s="9">
        <v>3.4796368000000001E-2</v>
      </c>
      <c r="H13" s="167"/>
    </row>
    <row r="14" spans="1:8" x14ac:dyDescent="0.2">
      <c r="A14" s="5">
        <v>8</v>
      </c>
      <c r="B14" s="6" t="s">
        <v>388</v>
      </c>
      <c r="C14" s="6" t="s">
        <v>389</v>
      </c>
      <c r="D14" s="6" t="s">
        <v>969</v>
      </c>
      <c r="E14" s="7">
        <v>39513</v>
      </c>
      <c r="F14" s="8">
        <v>4665.0233189999999</v>
      </c>
      <c r="G14" s="9">
        <v>3.1474514000000002E-2</v>
      </c>
      <c r="H14" s="167"/>
    </row>
    <row r="15" spans="1:8" x14ac:dyDescent="0.2">
      <c r="A15" s="5">
        <v>9</v>
      </c>
      <c r="B15" s="6" t="s">
        <v>370</v>
      </c>
      <c r="C15" s="6" t="s">
        <v>371</v>
      </c>
      <c r="D15" s="6" t="s">
        <v>23</v>
      </c>
      <c r="E15" s="7">
        <v>592508</v>
      </c>
      <c r="F15" s="8">
        <v>4447.9575560000003</v>
      </c>
      <c r="G15" s="9">
        <v>3.0009989000000001E-2</v>
      </c>
      <c r="H15" s="167"/>
    </row>
    <row r="16" spans="1:8" x14ac:dyDescent="0.2">
      <c r="A16" s="5">
        <v>10</v>
      </c>
      <c r="B16" s="6" t="s">
        <v>24</v>
      </c>
      <c r="C16" s="6" t="s">
        <v>25</v>
      </c>
      <c r="D16" s="6" t="s">
        <v>26</v>
      </c>
      <c r="E16" s="7">
        <v>768798</v>
      </c>
      <c r="F16" s="8">
        <v>4112.3005020000001</v>
      </c>
      <c r="G16" s="9">
        <v>2.774534E-2</v>
      </c>
      <c r="H16" s="167"/>
    </row>
    <row r="17" spans="1:8" x14ac:dyDescent="0.2">
      <c r="A17" s="5">
        <v>11</v>
      </c>
      <c r="B17" s="6" t="s">
        <v>333</v>
      </c>
      <c r="C17" s="6" t="s">
        <v>334</v>
      </c>
      <c r="D17" s="6" t="s">
        <v>67</v>
      </c>
      <c r="E17" s="7">
        <v>595291</v>
      </c>
      <c r="F17" s="8">
        <v>4071.1951490000001</v>
      </c>
      <c r="G17" s="9">
        <v>2.7468006E-2</v>
      </c>
      <c r="H17" s="167"/>
    </row>
    <row r="18" spans="1:8" x14ac:dyDescent="0.2">
      <c r="A18" s="5">
        <v>12</v>
      </c>
      <c r="B18" s="6" t="s">
        <v>254</v>
      </c>
      <c r="C18" s="6" t="s">
        <v>255</v>
      </c>
      <c r="D18" s="6" t="s">
        <v>971</v>
      </c>
      <c r="E18" s="7">
        <v>813298</v>
      </c>
      <c r="F18" s="8">
        <v>3920.909658</v>
      </c>
      <c r="G18" s="9">
        <v>2.6454042000000001E-2</v>
      </c>
      <c r="H18" s="167"/>
    </row>
    <row r="19" spans="1:8" x14ac:dyDescent="0.2">
      <c r="A19" s="5">
        <v>13</v>
      </c>
      <c r="B19" s="6" t="s">
        <v>325</v>
      </c>
      <c r="C19" s="6" t="s">
        <v>326</v>
      </c>
      <c r="D19" s="6" t="s">
        <v>70</v>
      </c>
      <c r="E19" s="7">
        <v>702905</v>
      </c>
      <c r="F19" s="8">
        <v>3717.3130925</v>
      </c>
      <c r="G19" s="9">
        <v>2.5080393999999999E-2</v>
      </c>
      <c r="H19" s="167"/>
    </row>
    <row r="20" spans="1:8" x14ac:dyDescent="0.2">
      <c r="A20" s="5">
        <v>14</v>
      </c>
      <c r="B20" s="6" t="s">
        <v>218</v>
      </c>
      <c r="C20" s="6" t="s">
        <v>219</v>
      </c>
      <c r="D20" s="6" t="s">
        <v>973</v>
      </c>
      <c r="E20" s="7">
        <v>536245</v>
      </c>
      <c r="F20" s="8">
        <v>3663.0895949999999</v>
      </c>
      <c r="G20" s="9">
        <v>2.4714552000000001E-2</v>
      </c>
      <c r="H20" s="167"/>
    </row>
    <row r="21" spans="1:8" x14ac:dyDescent="0.2">
      <c r="A21" s="5">
        <v>15</v>
      </c>
      <c r="B21" s="6" t="s">
        <v>212</v>
      </c>
      <c r="C21" s="6" t="s">
        <v>213</v>
      </c>
      <c r="D21" s="6" t="s">
        <v>158</v>
      </c>
      <c r="E21" s="7">
        <v>551331</v>
      </c>
      <c r="F21" s="8">
        <v>3136.2463935000001</v>
      </c>
      <c r="G21" s="9">
        <v>2.1159985999999999E-2</v>
      </c>
      <c r="H21" s="167"/>
    </row>
    <row r="22" spans="1:8" x14ac:dyDescent="0.2">
      <c r="A22" s="5">
        <v>16</v>
      </c>
      <c r="B22" s="6" t="s">
        <v>179</v>
      </c>
      <c r="C22" s="6" t="s">
        <v>180</v>
      </c>
      <c r="D22" s="6" t="s">
        <v>972</v>
      </c>
      <c r="E22" s="7">
        <v>387493</v>
      </c>
      <c r="F22" s="8">
        <v>2933.709503</v>
      </c>
      <c r="G22" s="9">
        <v>1.9793486999999998E-2</v>
      </c>
      <c r="H22" s="167"/>
    </row>
    <row r="23" spans="1:8" x14ac:dyDescent="0.2">
      <c r="A23" s="5">
        <v>17</v>
      </c>
      <c r="B23" s="6" t="s">
        <v>165</v>
      </c>
      <c r="C23" s="6" t="s">
        <v>166</v>
      </c>
      <c r="D23" s="6" t="s">
        <v>167</v>
      </c>
      <c r="E23" s="7">
        <v>1161536</v>
      </c>
      <c r="F23" s="8">
        <v>2826.0170880000001</v>
      </c>
      <c r="G23" s="9">
        <v>1.9066896E-2</v>
      </c>
      <c r="H23" s="167"/>
    </row>
    <row r="24" spans="1:8" x14ac:dyDescent="0.2">
      <c r="A24" s="5">
        <v>18</v>
      </c>
      <c r="B24" s="6" t="s">
        <v>226</v>
      </c>
      <c r="C24" s="6" t="s">
        <v>227</v>
      </c>
      <c r="D24" s="6" t="s">
        <v>32</v>
      </c>
      <c r="E24" s="7">
        <v>341244</v>
      </c>
      <c r="F24" s="8">
        <v>2699.9225280000001</v>
      </c>
      <c r="G24" s="9">
        <v>1.8216146999999999E-2</v>
      </c>
      <c r="H24" s="167"/>
    </row>
    <row r="25" spans="1:8" x14ac:dyDescent="0.2">
      <c r="A25" s="5">
        <v>19</v>
      </c>
      <c r="B25" s="6" t="s">
        <v>584</v>
      </c>
      <c r="C25" s="6" t="s">
        <v>585</v>
      </c>
      <c r="D25" s="6" t="s">
        <v>971</v>
      </c>
      <c r="E25" s="7">
        <v>1833250</v>
      </c>
      <c r="F25" s="8">
        <v>2670.1286249999998</v>
      </c>
      <c r="G25" s="9">
        <v>1.8015130000000001E-2</v>
      </c>
      <c r="H25" s="167"/>
    </row>
    <row r="26" spans="1:8" ht="25.5" x14ac:dyDescent="0.2">
      <c r="A26" s="5">
        <v>20</v>
      </c>
      <c r="B26" s="6" t="s">
        <v>374</v>
      </c>
      <c r="C26" s="6" t="s">
        <v>375</v>
      </c>
      <c r="D26" s="6" t="s">
        <v>67</v>
      </c>
      <c r="E26" s="7">
        <v>135000</v>
      </c>
      <c r="F26" s="8">
        <v>2569.3200000000002</v>
      </c>
      <c r="G26" s="9">
        <v>1.7334981999999999E-2</v>
      </c>
      <c r="H26" s="167"/>
    </row>
    <row r="27" spans="1:8" x14ac:dyDescent="0.2">
      <c r="A27" s="5">
        <v>21</v>
      </c>
      <c r="B27" s="6" t="s">
        <v>586</v>
      </c>
      <c r="C27" s="6" t="s">
        <v>587</v>
      </c>
      <c r="D27" s="6" t="s">
        <v>284</v>
      </c>
      <c r="E27" s="7">
        <v>29389</v>
      </c>
      <c r="F27" s="8">
        <v>2165.8664385000002</v>
      </c>
      <c r="G27" s="9">
        <v>1.4612916E-2</v>
      </c>
      <c r="H27" s="167"/>
    </row>
    <row r="28" spans="1:8" x14ac:dyDescent="0.2">
      <c r="A28" s="5">
        <v>22</v>
      </c>
      <c r="B28" s="6" t="s">
        <v>451</v>
      </c>
      <c r="C28" s="6" t="s">
        <v>452</v>
      </c>
      <c r="D28" s="6" t="s">
        <v>67</v>
      </c>
      <c r="E28" s="7">
        <v>450000</v>
      </c>
      <c r="F28" s="8">
        <v>2138.1750000000002</v>
      </c>
      <c r="G28" s="9">
        <v>1.4426084E-2</v>
      </c>
      <c r="H28" s="167"/>
    </row>
    <row r="29" spans="1:8" x14ac:dyDescent="0.2">
      <c r="A29" s="5">
        <v>23</v>
      </c>
      <c r="B29" s="6" t="s">
        <v>588</v>
      </c>
      <c r="C29" s="6" t="s">
        <v>589</v>
      </c>
      <c r="D29" s="6" t="s">
        <v>178</v>
      </c>
      <c r="E29" s="7">
        <v>79522</v>
      </c>
      <c r="F29" s="8">
        <v>2054.8882410000001</v>
      </c>
      <c r="G29" s="9">
        <v>1.3864155E-2</v>
      </c>
      <c r="H29" s="167"/>
    </row>
    <row r="30" spans="1:8" x14ac:dyDescent="0.2">
      <c r="A30" s="5">
        <v>24</v>
      </c>
      <c r="B30" s="6" t="s">
        <v>590</v>
      </c>
      <c r="C30" s="6" t="s">
        <v>591</v>
      </c>
      <c r="D30" s="6" t="s">
        <v>969</v>
      </c>
      <c r="E30" s="7">
        <v>287576</v>
      </c>
      <c r="F30" s="8">
        <v>1914.968584</v>
      </c>
      <c r="G30" s="9">
        <v>1.2920129000000001E-2</v>
      </c>
      <c r="H30" s="167"/>
    </row>
    <row r="31" spans="1:8" x14ac:dyDescent="0.2">
      <c r="A31" s="5">
        <v>25</v>
      </c>
      <c r="B31" s="6" t="s">
        <v>335</v>
      </c>
      <c r="C31" s="6" t="s">
        <v>336</v>
      </c>
      <c r="D31" s="6" t="s">
        <v>284</v>
      </c>
      <c r="E31" s="7">
        <v>222388</v>
      </c>
      <c r="F31" s="8">
        <v>1893.967402</v>
      </c>
      <c r="G31" s="9">
        <v>1.2778436000000001E-2</v>
      </c>
      <c r="H31" s="167"/>
    </row>
    <row r="32" spans="1:8" x14ac:dyDescent="0.2">
      <c r="A32" s="5">
        <v>26</v>
      </c>
      <c r="B32" s="6" t="s">
        <v>222</v>
      </c>
      <c r="C32" s="6" t="s">
        <v>223</v>
      </c>
      <c r="D32" s="6" t="s">
        <v>971</v>
      </c>
      <c r="E32" s="7">
        <v>552714</v>
      </c>
      <c r="F32" s="8">
        <v>1812.90192</v>
      </c>
      <c r="G32" s="9">
        <v>1.2231494000000001E-2</v>
      </c>
      <c r="H32" s="167"/>
    </row>
    <row r="33" spans="1:8" x14ac:dyDescent="0.2">
      <c r="A33" s="5">
        <v>27</v>
      </c>
      <c r="B33" s="6" t="s">
        <v>390</v>
      </c>
      <c r="C33" s="6" t="s">
        <v>391</v>
      </c>
      <c r="D33" s="6" t="s">
        <v>392</v>
      </c>
      <c r="E33" s="7">
        <v>387226</v>
      </c>
      <c r="F33" s="8">
        <v>1739.031966</v>
      </c>
      <c r="G33" s="9">
        <v>1.17331E-2</v>
      </c>
      <c r="H33" s="167"/>
    </row>
    <row r="34" spans="1:8" x14ac:dyDescent="0.2">
      <c r="A34" s="5">
        <v>28</v>
      </c>
      <c r="B34" s="6" t="s">
        <v>315</v>
      </c>
      <c r="C34" s="6" t="s">
        <v>316</v>
      </c>
      <c r="D34" s="6" t="s">
        <v>247</v>
      </c>
      <c r="E34" s="7">
        <v>5592</v>
      </c>
      <c r="F34" s="8">
        <v>1714.81476</v>
      </c>
      <c r="G34" s="9">
        <v>1.1569708999999999E-2</v>
      </c>
      <c r="H34" s="167"/>
    </row>
    <row r="35" spans="1:8" x14ac:dyDescent="0.2">
      <c r="A35" s="5">
        <v>29</v>
      </c>
      <c r="B35" s="6" t="s">
        <v>176</v>
      </c>
      <c r="C35" s="6" t="s">
        <v>177</v>
      </c>
      <c r="D35" s="6" t="s">
        <v>178</v>
      </c>
      <c r="E35" s="7">
        <v>157594</v>
      </c>
      <c r="F35" s="8">
        <v>1677.0365509999999</v>
      </c>
      <c r="G35" s="9">
        <v>1.1314822E-2</v>
      </c>
      <c r="H35" s="167"/>
    </row>
    <row r="36" spans="1:8" x14ac:dyDescent="0.2">
      <c r="A36" s="5">
        <v>30</v>
      </c>
      <c r="B36" s="6" t="s">
        <v>301</v>
      </c>
      <c r="C36" s="6" t="s">
        <v>302</v>
      </c>
      <c r="D36" s="6" t="s">
        <v>178</v>
      </c>
      <c r="E36" s="7">
        <v>51981</v>
      </c>
      <c r="F36" s="8">
        <v>1647.1479374999999</v>
      </c>
      <c r="G36" s="9">
        <v>1.1113166000000001E-2</v>
      </c>
      <c r="H36" s="167"/>
    </row>
    <row r="37" spans="1:8" x14ac:dyDescent="0.2">
      <c r="A37" s="5">
        <v>31</v>
      </c>
      <c r="B37" s="6" t="s">
        <v>65</v>
      </c>
      <c r="C37" s="6" t="s">
        <v>66</v>
      </c>
      <c r="D37" s="6" t="s">
        <v>67</v>
      </c>
      <c r="E37" s="7">
        <v>298141</v>
      </c>
      <c r="F37" s="8">
        <v>1635.0052439999999</v>
      </c>
      <c r="G37" s="9">
        <v>1.1031241000000001E-2</v>
      </c>
      <c r="H37" s="167"/>
    </row>
    <row r="38" spans="1:8" ht="25.5" x14ac:dyDescent="0.2">
      <c r="A38" s="5">
        <v>32</v>
      </c>
      <c r="B38" s="6" t="s">
        <v>423</v>
      </c>
      <c r="C38" s="6" t="s">
        <v>424</v>
      </c>
      <c r="D38" s="6" t="s">
        <v>969</v>
      </c>
      <c r="E38" s="7">
        <v>106121</v>
      </c>
      <c r="F38" s="8">
        <v>1561.994999</v>
      </c>
      <c r="G38" s="9">
        <v>1.0538647E-2</v>
      </c>
      <c r="H38" s="167"/>
    </row>
    <row r="39" spans="1:8" x14ac:dyDescent="0.2">
      <c r="A39" s="5">
        <v>33</v>
      </c>
      <c r="B39" s="6" t="s">
        <v>573</v>
      </c>
      <c r="C39" s="6" t="s">
        <v>574</v>
      </c>
      <c r="D39" s="6" t="s">
        <v>158</v>
      </c>
      <c r="E39" s="7">
        <v>26663</v>
      </c>
      <c r="F39" s="8">
        <v>1500.5803085</v>
      </c>
      <c r="G39" s="9">
        <v>1.0124286999999999E-2</v>
      </c>
      <c r="H39" s="167"/>
    </row>
    <row r="40" spans="1:8" x14ac:dyDescent="0.2">
      <c r="A40" s="5">
        <v>34</v>
      </c>
      <c r="B40" s="6" t="s">
        <v>280</v>
      </c>
      <c r="C40" s="6" t="s">
        <v>281</v>
      </c>
      <c r="D40" s="6" t="s">
        <v>971</v>
      </c>
      <c r="E40" s="7">
        <v>3500000</v>
      </c>
      <c r="F40" s="8">
        <v>1463</v>
      </c>
      <c r="G40" s="9">
        <v>9.8707359999999997E-3</v>
      </c>
      <c r="H40" s="167"/>
    </row>
    <row r="41" spans="1:8" x14ac:dyDescent="0.2">
      <c r="A41" s="5">
        <v>35</v>
      </c>
      <c r="B41" s="6" t="s">
        <v>502</v>
      </c>
      <c r="C41" s="6" t="s">
        <v>503</v>
      </c>
      <c r="D41" s="6" t="s">
        <v>75</v>
      </c>
      <c r="E41" s="7">
        <v>84225</v>
      </c>
      <c r="F41" s="8">
        <v>1344.4415624999999</v>
      </c>
      <c r="G41" s="9">
        <v>9.0708319999999992E-3</v>
      </c>
      <c r="H41" s="167"/>
    </row>
    <row r="42" spans="1:8" x14ac:dyDescent="0.2">
      <c r="A42" s="5">
        <v>36</v>
      </c>
      <c r="B42" s="6" t="s">
        <v>208</v>
      </c>
      <c r="C42" s="6" t="s">
        <v>209</v>
      </c>
      <c r="D42" s="6" t="s">
        <v>971</v>
      </c>
      <c r="E42" s="7">
        <v>500000</v>
      </c>
      <c r="F42" s="8">
        <v>1302.25</v>
      </c>
      <c r="G42" s="9">
        <v>8.7861689999999999E-3</v>
      </c>
      <c r="H42" s="167"/>
    </row>
    <row r="43" spans="1:8" x14ac:dyDescent="0.2">
      <c r="A43" s="5">
        <v>37</v>
      </c>
      <c r="B43" s="6" t="s">
        <v>592</v>
      </c>
      <c r="C43" s="6" t="s">
        <v>593</v>
      </c>
      <c r="D43" s="6" t="s">
        <v>972</v>
      </c>
      <c r="E43" s="7">
        <v>168338</v>
      </c>
      <c r="F43" s="8">
        <v>1281.7255319999999</v>
      </c>
      <c r="G43" s="9">
        <v>8.6476929999999997E-3</v>
      </c>
      <c r="H43" s="167"/>
    </row>
    <row r="44" spans="1:8" x14ac:dyDescent="0.2">
      <c r="A44" s="5">
        <v>38</v>
      </c>
      <c r="B44" s="6" t="s">
        <v>429</v>
      </c>
      <c r="C44" s="6" t="s">
        <v>430</v>
      </c>
      <c r="D44" s="6" t="s">
        <v>23</v>
      </c>
      <c r="E44" s="7">
        <v>70315</v>
      </c>
      <c r="F44" s="8">
        <v>1271.084255</v>
      </c>
      <c r="G44" s="9">
        <v>8.5758970000000007E-3</v>
      </c>
      <c r="H44" s="167"/>
    </row>
    <row r="45" spans="1:8" x14ac:dyDescent="0.2">
      <c r="A45" s="5">
        <v>39</v>
      </c>
      <c r="B45" s="6" t="s">
        <v>214</v>
      </c>
      <c r="C45" s="6" t="s">
        <v>215</v>
      </c>
      <c r="D45" s="6" t="s">
        <v>976</v>
      </c>
      <c r="E45" s="7">
        <v>404089</v>
      </c>
      <c r="F45" s="8">
        <v>1255.3024785</v>
      </c>
      <c r="G45" s="9">
        <v>8.4694190000000006E-3</v>
      </c>
      <c r="H45" s="167"/>
    </row>
    <row r="46" spans="1:8" x14ac:dyDescent="0.2">
      <c r="A46" s="5">
        <v>40</v>
      </c>
      <c r="B46" s="6" t="s">
        <v>272</v>
      </c>
      <c r="C46" s="6" t="s">
        <v>273</v>
      </c>
      <c r="D46" s="6" t="s">
        <v>972</v>
      </c>
      <c r="E46" s="7">
        <v>78310</v>
      </c>
      <c r="F46" s="8">
        <v>1213.0219</v>
      </c>
      <c r="G46" s="9">
        <v>8.1841550000000002E-3</v>
      </c>
      <c r="H46" s="167"/>
    </row>
    <row r="47" spans="1:8" x14ac:dyDescent="0.2">
      <c r="A47" s="5">
        <v>41</v>
      </c>
      <c r="B47" s="6" t="s">
        <v>193</v>
      </c>
      <c r="C47" s="6" t="s">
        <v>194</v>
      </c>
      <c r="D47" s="6" t="s">
        <v>178</v>
      </c>
      <c r="E47" s="7">
        <v>652856</v>
      </c>
      <c r="F47" s="8">
        <v>1193.420768</v>
      </c>
      <c r="G47" s="9">
        <v>8.051908E-3</v>
      </c>
      <c r="H47" s="167"/>
    </row>
    <row r="48" spans="1:8" x14ac:dyDescent="0.2">
      <c r="A48" s="5">
        <v>42</v>
      </c>
      <c r="B48" s="6" t="s">
        <v>405</v>
      </c>
      <c r="C48" s="6" t="s">
        <v>406</v>
      </c>
      <c r="D48" s="6" t="s">
        <v>969</v>
      </c>
      <c r="E48" s="7">
        <v>113046</v>
      </c>
      <c r="F48" s="8">
        <v>1102.933299</v>
      </c>
      <c r="G48" s="9">
        <v>7.4413969999999998E-3</v>
      </c>
      <c r="H48" s="167"/>
    </row>
    <row r="49" spans="1:8" x14ac:dyDescent="0.2">
      <c r="A49" s="5">
        <v>43</v>
      </c>
      <c r="B49" s="6" t="s">
        <v>564</v>
      </c>
      <c r="C49" s="6" t="s">
        <v>565</v>
      </c>
      <c r="D49" s="6" t="s">
        <v>972</v>
      </c>
      <c r="E49" s="7">
        <v>40656</v>
      </c>
      <c r="F49" s="8">
        <v>1017.172464</v>
      </c>
      <c r="G49" s="9">
        <v>6.8627760000000001E-3</v>
      </c>
      <c r="H49" s="167"/>
    </row>
    <row r="50" spans="1:8" x14ac:dyDescent="0.2">
      <c r="A50" s="5">
        <v>44</v>
      </c>
      <c r="B50" s="6" t="s">
        <v>594</v>
      </c>
      <c r="C50" s="6" t="s">
        <v>595</v>
      </c>
      <c r="D50" s="6" t="s">
        <v>284</v>
      </c>
      <c r="E50" s="7">
        <v>22186</v>
      </c>
      <c r="F50" s="8">
        <v>964.08153700000003</v>
      </c>
      <c r="G50" s="9">
        <v>6.5045759999999998E-3</v>
      </c>
      <c r="H50" s="167"/>
    </row>
    <row r="51" spans="1:8" x14ac:dyDescent="0.2">
      <c r="A51" s="5">
        <v>45</v>
      </c>
      <c r="B51" s="6" t="s">
        <v>292</v>
      </c>
      <c r="C51" s="6" t="s">
        <v>293</v>
      </c>
      <c r="D51" s="6" t="s">
        <v>971</v>
      </c>
      <c r="E51" s="7">
        <v>2402077</v>
      </c>
      <c r="F51" s="8">
        <v>946.41833799999995</v>
      </c>
      <c r="G51" s="9">
        <v>6.3854039999999999E-3</v>
      </c>
      <c r="H51" s="167"/>
    </row>
    <row r="52" spans="1:8" x14ac:dyDescent="0.2">
      <c r="A52" s="5">
        <v>46</v>
      </c>
      <c r="B52" s="6" t="s">
        <v>596</v>
      </c>
      <c r="C52" s="6" t="s">
        <v>597</v>
      </c>
      <c r="D52" s="6" t="s">
        <v>167</v>
      </c>
      <c r="E52" s="7">
        <v>25000</v>
      </c>
      <c r="F52" s="8">
        <v>910.88750000000005</v>
      </c>
      <c r="G52" s="9">
        <v>6.1456799999999997E-3</v>
      </c>
      <c r="H52" s="167"/>
    </row>
    <row r="53" spans="1:8" x14ac:dyDescent="0.2">
      <c r="A53" s="5">
        <v>47</v>
      </c>
      <c r="B53" s="6" t="s">
        <v>598</v>
      </c>
      <c r="C53" s="6" t="s">
        <v>599</v>
      </c>
      <c r="D53" s="6" t="s">
        <v>284</v>
      </c>
      <c r="E53" s="7">
        <v>22461</v>
      </c>
      <c r="F53" s="8">
        <v>689.41793399999995</v>
      </c>
      <c r="G53" s="9">
        <v>4.6514440000000002E-3</v>
      </c>
      <c r="H53" s="167"/>
    </row>
    <row r="54" spans="1:8" x14ac:dyDescent="0.2">
      <c r="A54" s="3" t="s">
        <v>10</v>
      </c>
      <c r="B54" s="3" t="s">
        <v>10</v>
      </c>
      <c r="C54" s="4" t="s">
        <v>104</v>
      </c>
      <c r="D54" s="3" t="s">
        <v>10</v>
      </c>
      <c r="E54" s="3" t="s">
        <v>10</v>
      </c>
      <c r="F54" s="10">
        <v>141616.16114149999</v>
      </c>
      <c r="G54" s="11">
        <v>0.95547213499999994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105</v>
      </c>
      <c r="D56" s="3" t="s">
        <v>10</v>
      </c>
      <c r="E56" s="3" t="s">
        <v>10</v>
      </c>
      <c r="F56" s="3" t="s">
        <v>10</v>
      </c>
      <c r="G56" s="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4">
        <v>0</v>
      </c>
      <c r="G57" s="15">
        <v>0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106</v>
      </c>
      <c r="D59" s="3" t="s">
        <v>10</v>
      </c>
      <c r="E59" s="3" t="s">
        <v>10</v>
      </c>
      <c r="F59" s="3" t="s">
        <v>10</v>
      </c>
      <c r="G59" s="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104</v>
      </c>
      <c r="D60" s="3" t="s">
        <v>10</v>
      </c>
      <c r="E60" s="3" t="s">
        <v>10</v>
      </c>
      <c r="F60" s="14">
        <v>0</v>
      </c>
      <c r="G60" s="15">
        <v>0</v>
      </c>
      <c r="H60" s="167"/>
    </row>
    <row r="61" spans="1:8" x14ac:dyDescent="0.2">
      <c r="A61" s="3" t="s">
        <v>10</v>
      </c>
      <c r="B61" s="3" t="s">
        <v>10</v>
      </c>
      <c r="C61" s="12" t="s">
        <v>10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110</v>
      </c>
      <c r="D62" s="3" t="s">
        <v>10</v>
      </c>
      <c r="E62" s="3" t="s">
        <v>10</v>
      </c>
      <c r="F62" s="3" t="s">
        <v>10</v>
      </c>
      <c r="G62" s="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0</v>
      </c>
      <c r="G63" s="15">
        <v>0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111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112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113</v>
      </c>
      <c r="D71" s="3" t="s">
        <v>10</v>
      </c>
      <c r="E71" s="3" t="s">
        <v>10</v>
      </c>
      <c r="F71" s="10">
        <v>141616.16114149999</v>
      </c>
      <c r="G71" s="11">
        <v>0.95547213499999994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114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ht="25.5" x14ac:dyDescent="0.2">
      <c r="A74" s="3" t="s">
        <v>10</v>
      </c>
      <c r="B74" s="3" t="s">
        <v>10</v>
      </c>
      <c r="C74" s="4" t="s">
        <v>12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115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116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117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118</v>
      </c>
      <c r="D86" s="3" t="s">
        <v>10</v>
      </c>
      <c r="E86" s="3" t="s">
        <v>10</v>
      </c>
      <c r="F86" s="10">
        <v>0</v>
      </c>
      <c r="G86" s="11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119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121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122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123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5">
        <v>1</v>
      </c>
      <c r="B99" s="6"/>
      <c r="C99" s="6" t="s">
        <v>124</v>
      </c>
      <c r="D99" s="6"/>
      <c r="E99" s="16" t="s">
        <v>10</v>
      </c>
      <c r="F99" s="8">
        <v>6541.7744872000003</v>
      </c>
      <c r="G99" s="9">
        <v>4.4136793000000001E-2</v>
      </c>
      <c r="H99" s="108">
        <v>3.23</v>
      </c>
    </row>
    <row r="100" spans="1:8" x14ac:dyDescent="0.2">
      <c r="A100" s="5">
        <v>2</v>
      </c>
      <c r="B100" s="6"/>
      <c r="C100" s="6" t="s">
        <v>125</v>
      </c>
      <c r="D100" s="6"/>
      <c r="E100" s="16" t="s">
        <v>10</v>
      </c>
      <c r="F100" s="8">
        <v>1837.5182408999999</v>
      </c>
      <c r="G100" s="9">
        <v>1.2397577999999999E-2</v>
      </c>
      <c r="H100" s="108">
        <v>3.35</v>
      </c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0">
        <v>8379.2927280999993</v>
      </c>
      <c r="G101" s="11">
        <v>5.6534371E-2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126</v>
      </c>
      <c r="D103" s="3" t="s">
        <v>10</v>
      </c>
      <c r="E103" s="3" t="s">
        <v>10</v>
      </c>
      <c r="F103" s="10">
        <v>8379.2927280999993</v>
      </c>
      <c r="G103" s="11">
        <v>5.6534371E-2</v>
      </c>
      <c r="H103" s="167"/>
    </row>
    <row r="104" spans="1:8" x14ac:dyDescent="0.2">
      <c r="A104" s="3" t="s">
        <v>10</v>
      </c>
      <c r="B104" s="3" t="s">
        <v>10</v>
      </c>
      <c r="C104" s="1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127</v>
      </c>
      <c r="D105" s="3" t="s">
        <v>10</v>
      </c>
      <c r="E105" s="3" t="s">
        <v>10</v>
      </c>
      <c r="F105" s="3" t="s">
        <v>10</v>
      </c>
      <c r="G105" s="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128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129</v>
      </c>
      <c r="D109" s="3" t="s">
        <v>10</v>
      </c>
      <c r="E109" s="3" t="s">
        <v>10</v>
      </c>
      <c r="F109" s="3" t="s">
        <v>10</v>
      </c>
      <c r="G109" s="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130</v>
      </c>
      <c r="D110" s="3" t="s">
        <v>10</v>
      </c>
      <c r="E110" s="3" t="s">
        <v>10</v>
      </c>
      <c r="F110" s="3" t="s">
        <v>10</v>
      </c>
      <c r="G110" s="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ht="25.5" x14ac:dyDescent="0.2">
      <c r="A114" s="3" t="s">
        <v>10</v>
      </c>
      <c r="B114" s="3" t="s">
        <v>10</v>
      </c>
      <c r="C114" s="4" t="s">
        <v>131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104</v>
      </c>
      <c r="D115" s="3" t="s">
        <v>10</v>
      </c>
      <c r="E115" s="3" t="s">
        <v>10</v>
      </c>
      <c r="F115" s="14">
        <v>0</v>
      </c>
      <c r="G115" s="15">
        <v>0</v>
      </c>
      <c r="H115" s="167"/>
    </row>
    <row r="116" spans="1:8" x14ac:dyDescent="0.2">
      <c r="A116" s="3" t="s">
        <v>10</v>
      </c>
      <c r="B116" s="3" t="s">
        <v>10</v>
      </c>
      <c r="C116" s="12" t="s">
        <v>10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6" t="s">
        <v>10</v>
      </c>
      <c r="C117" s="6" t="s">
        <v>10</v>
      </c>
      <c r="D117" s="4" t="s">
        <v>10</v>
      </c>
      <c r="E117" s="3" t="s">
        <v>10</v>
      </c>
      <c r="F117" s="6" t="s">
        <v>10</v>
      </c>
      <c r="G117" s="16" t="s">
        <v>10</v>
      </c>
      <c r="H117" s="167"/>
    </row>
    <row r="118" spans="1:8" x14ac:dyDescent="0.2">
      <c r="A118" s="16" t="s">
        <v>10</v>
      </c>
      <c r="B118" s="6" t="s">
        <v>10</v>
      </c>
      <c r="C118" s="6" t="s">
        <v>132</v>
      </c>
      <c r="D118" s="6" t="s">
        <v>10</v>
      </c>
      <c r="E118" s="16" t="s">
        <v>10</v>
      </c>
      <c r="F118" s="8">
        <v>-1779.5550088</v>
      </c>
      <c r="G118" s="9">
        <v>-1.2006506E-2</v>
      </c>
      <c r="H118" s="167"/>
    </row>
    <row r="119" spans="1:8" x14ac:dyDescent="0.2">
      <c r="A119" s="12" t="s">
        <v>10</v>
      </c>
      <c r="B119" s="12" t="s">
        <v>10</v>
      </c>
      <c r="C119" s="4" t="s">
        <v>133</v>
      </c>
      <c r="D119" s="17" t="s">
        <v>10</v>
      </c>
      <c r="E119" s="17" t="s">
        <v>10</v>
      </c>
      <c r="F119" s="10">
        <v>148215.89886079999</v>
      </c>
      <c r="G119" s="11">
        <v>1</v>
      </c>
      <c r="H119" s="167"/>
    </row>
    <row r="120" spans="1:8" ht="14.1" customHeight="1" x14ac:dyDescent="0.2">
      <c r="A120" s="18" t="s">
        <v>10</v>
      </c>
      <c r="B120" s="18" t="s">
        <v>10</v>
      </c>
      <c r="C120" s="18" t="s">
        <v>10</v>
      </c>
      <c r="D120" s="19" t="s">
        <v>10</v>
      </c>
      <c r="E120" s="19" t="s">
        <v>10</v>
      </c>
      <c r="F120" s="19" t="s">
        <v>10</v>
      </c>
      <c r="G120" s="19" t="s">
        <v>10</v>
      </c>
    </row>
    <row r="121" spans="1:8" ht="14.1" customHeight="1" x14ac:dyDescent="0.2">
      <c r="A121" s="20" t="s">
        <v>10</v>
      </c>
      <c r="B121" s="208" t="s">
        <v>10</v>
      </c>
      <c r="C121" s="208"/>
      <c r="D121" s="208"/>
      <c r="E121" s="208"/>
      <c r="F121" s="208"/>
      <c r="G121" s="22" t="s">
        <v>10</v>
      </c>
    </row>
    <row r="122" spans="1:8" ht="14.1" customHeight="1" x14ac:dyDescent="0.2">
      <c r="A122" s="20" t="s">
        <v>10</v>
      </c>
      <c r="B122" s="208" t="s">
        <v>10</v>
      </c>
      <c r="C122" s="208"/>
      <c r="D122" s="208"/>
      <c r="E122" s="208"/>
      <c r="F122" s="208"/>
      <c r="G122" s="22" t="s">
        <v>10</v>
      </c>
    </row>
    <row r="123" spans="1:8" ht="14.1" customHeight="1" x14ac:dyDescent="0.2">
      <c r="A123" s="20" t="s">
        <v>10</v>
      </c>
      <c r="B123" s="20" t="s">
        <v>10</v>
      </c>
      <c r="C123" s="20" t="s">
        <v>10</v>
      </c>
      <c r="D123" s="22" t="s">
        <v>10</v>
      </c>
      <c r="E123" s="22" t="s">
        <v>10</v>
      </c>
      <c r="F123" s="22" t="s">
        <v>10</v>
      </c>
      <c r="G123" s="22" t="s">
        <v>10</v>
      </c>
    </row>
    <row r="124" spans="1:8" ht="14.1" customHeight="1" x14ac:dyDescent="0.2">
      <c r="A124" s="20" t="s">
        <v>10</v>
      </c>
      <c r="B124" s="206" t="s">
        <v>134</v>
      </c>
      <c r="C124" s="207"/>
      <c r="D124" s="13" t="s">
        <v>10</v>
      </c>
      <c r="E124" s="23" t="s">
        <v>10</v>
      </c>
      <c r="F124" s="22" t="s">
        <v>10</v>
      </c>
      <c r="G124" s="22" t="s">
        <v>10</v>
      </c>
    </row>
    <row r="125" spans="1:8" ht="29.1" customHeight="1" x14ac:dyDescent="0.2">
      <c r="A125" s="20" t="s">
        <v>10</v>
      </c>
      <c r="B125" s="213" t="s">
        <v>135</v>
      </c>
      <c r="C125" s="214"/>
      <c r="D125" s="4" t="s">
        <v>136</v>
      </c>
      <c r="E125" s="23" t="s">
        <v>10</v>
      </c>
      <c r="F125" s="22" t="s">
        <v>10</v>
      </c>
      <c r="G125" s="22" t="s">
        <v>10</v>
      </c>
    </row>
    <row r="126" spans="1:8" ht="17.100000000000001" customHeight="1" x14ac:dyDescent="0.2">
      <c r="A126" s="20" t="s">
        <v>10</v>
      </c>
      <c r="B126" s="213" t="s">
        <v>137</v>
      </c>
      <c r="C126" s="214"/>
      <c r="D126" s="4" t="s">
        <v>136</v>
      </c>
      <c r="E126" s="23" t="s">
        <v>10</v>
      </c>
      <c r="F126" s="22" t="s">
        <v>10</v>
      </c>
      <c r="G126" s="22" t="s">
        <v>10</v>
      </c>
    </row>
    <row r="127" spans="1:8" ht="17.100000000000001" customHeight="1" x14ac:dyDescent="0.2">
      <c r="A127" s="20" t="s">
        <v>10</v>
      </c>
      <c r="B127" s="213" t="s">
        <v>138</v>
      </c>
      <c r="C127" s="214"/>
      <c r="D127" s="13" t="s">
        <v>10</v>
      </c>
      <c r="E127" s="23" t="s">
        <v>10</v>
      </c>
      <c r="F127" s="22" t="s">
        <v>10</v>
      </c>
      <c r="G127" s="22" t="s">
        <v>10</v>
      </c>
    </row>
    <row r="128" spans="1:8" s="20" customFormat="1" ht="17.100000000000001" customHeight="1" x14ac:dyDescent="0.2"/>
    <row r="129" spans="1:7" x14ac:dyDescent="0.2">
      <c r="A129" s="24" t="s">
        <v>10</v>
      </c>
      <c r="B129" s="140" t="s">
        <v>10</v>
      </c>
      <c r="C129" s="140" t="s">
        <v>139</v>
      </c>
      <c r="D129" s="140" t="s">
        <v>140</v>
      </c>
      <c r="E129" s="24" t="s">
        <v>10</v>
      </c>
      <c r="F129" s="24" t="s">
        <v>10</v>
      </c>
      <c r="G129" s="24" t="s">
        <v>10</v>
      </c>
    </row>
    <row r="130" spans="1:7" ht="18" customHeight="1" x14ac:dyDescent="0.2">
      <c r="A130" s="24" t="s">
        <v>10</v>
      </c>
      <c r="B130" s="25" t="s">
        <v>141</v>
      </c>
      <c r="C130" s="25" t="s">
        <v>142</v>
      </c>
      <c r="D130" s="25" t="s">
        <v>143</v>
      </c>
      <c r="E130" s="24" t="s">
        <v>10</v>
      </c>
      <c r="F130" s="24" t="s">
        <v>10</v>
      </c>
      <c r="G130" s="24" t="s">
        <v>10</v>
      </c>
    </row>
    <row r="131" spans="1:7" ht="17.100000000000001" customHeight="1" x14ac:dyDescent="0.2">
      <c r="A131" s="24" t="s">
        <v>10</v>
      </c>
      <c r="B131" s="6" t="s">
        <v>144</v>
      </c>
      <c r="C131" s="26">
        <v>16.128299999999999</v>
      </c>
      <c r="D131" s="26">
        <v>17.765999999999998</v>
      </c>
      <c r="E131" s="24" t="s">
        <v>10</v>
      </c>
      <c r="F131" s="21" t="s">
        <v>10</v>
      </c>
      <c r="G131" s="27" t="s">
        <v>10</v>
      </c>
    </row>
    <row r="132" spans="1:7" ht="17.100000000000001" customHeight="1" x14ac:dyDescent="0.2">
      <c r="A132" s="24" t="s">
        <v>10</v>
      </c>
      <c r="B132" s="6" t="s">
        <v>917</v>
      </c>
      <c r="C132" s="26">
        <v>14.7643</v>
      </c>
      <c r="D132" s="26">
        <v>16.263500000000001</v>
      </c>
      <c r="E132" s="24" t="s">
        <v>10</v>
      </c>
      <c r="F132" s="21" t="s">
        <v>10</v>
      </c>
      <c r="G132" s="27" t="s">
        <v>10</v>
      </c>
    </row>
    <row r="133" spans="1:7" ht="17.100000000000001" customHeight="1" x14ac:dyDescent="0.2">
      <c r="A133" s="24" t="s">
        <v>10</v>
      </c>
      <c r="B133" s="6" t="s">
        <v>145</v>
      </c>
      <c r="C133" s="26">
        <v>15.713800000000001</v>
      </c>
      <c r="D133" s="26">
        <v>17.290400000000002</v>
      </c>
      <c r="E133" s="24" t="s">
        <v>10</v>
      </c>
      <c r="F133" s="21" t="s">
        <v>10</v>
      </c>
      <c r="G133" s="27" t="s">
        <v>10</v>
      </c>
    </row>
    <row r="134" spans="1:7" ht="17.100000000000001" customHeight="1" x14ac:dyDescent="0.2">
      <c r="A134" s="24" t="s">
        <v>10</v>
      </c>
      <c r="B134" s="6" t="s">
        <v>918</v>
      </c>
      <c r="C134" s="26">
        <v>14.3725</v>
      </c>
      <c r="D134" s="26">
        <v>15.814399999999999</v>
      </c>
      <c r="E134" s="24" t="s">
        <v>10</v>
      </c>
      <c r="F134" s="21" t="s">
        <v>10</v>
      </c>
      <c r="G134" s="27" t="s">
        <v>10</v>
      </c>
    </row>
    <row r="135" spans="1:7" ht="14.1" customHeight="1" x14ac:dyDescent="0.2">
      <c r="A135" s="24" t="s">
        <v>10</v>
      </c>
      <c r="B135" s="24" t="s">
        <v>10</v>
      </c>
      <c r="C135" s="24" t="s">
        <v>10</v>
      </c>
      <c r="D135" s="24" t="s">
        <v>10</v>
      </c>
      <c r="E135" s="24" t="s">
        <v>10</v>
      </c>
      <c r="F135" s="24" t="s">
        <v>10</v>
      </c>
      <c r="G135" s="24" t="s">
        <v>10</v>
      </c>
    </row>
    <row r="136" spans="1:7" ht="17.100000000000001" customHeight="1" x14ac:dyDescent="0.2">
      <c r="A136" s="24" t="s">
        <v>10</v>
      </c>
      <c r="B136" s="213" t="s">
        <v>999</v>
      </c>
      <c r="C136" s="214"/>
      <c r="D136" s="4" t="s">
        <v>136</v>
      </c>
      <c r="E136" s="24" t="s">
        <v>10</v>
      </c>
      <c r="F136" s="24" t="s">
        <v>10</v>
      </c>
      <c r="G136" s="24" t="s">
        <v>10</v>
      </c>
    </row>
    <row r="137" spans="1:7" ht="18" customHeight="1" x14ac:dyDescent="0.2">
      <c r="A137" s="24" t="s">
        <v>10</v>
      </c>
      <c r="B137" s="28"/>
      <c r="C137" s="28"/>
      <c r="D137" s="29" t="s">
        <v>10</v>
      </c>
      <c r="E137" s="24" t="s">
        <v>10</v>
      </c>
      <c r="F137" s="24" t="s">
        <v>10</v>
      </c>
      <c r="G137" s="24" t="s">
        <v>10</v>
      </c>
    </row>
    <row r="138" spans="1:7" s="175" customFormat="1" x14ac:dyDescent="0.2">
      <c r="B138" s="221" t="s">
        <v>919</v>
      </c>
      <c r="C138" s="221"/>
      <c r="D138" s="221"/>
      <c r="E138" s="221"/>
      <c r="F138" s="221"/>
    </row>
    <row r="139" spans="1:7" ht="14.1" customHeight="1" x14ac:dyDescent="0.2">
      <c r="A139" s="24" t="s">
        <v>10</v>
      </c>
      <c r="B139" s="21" t="s">
        <v>10</v>
      </c>
      <c r="C139" s="21" t="s">
        <v>10</v>
      </c>
      <c r="D139" s="24" t="s">
        <v>10</v>
      </c>
      <c r="E139" s="24" t="s">
        <v>10</v>
      </c>
      <c r="F139" s="24" t="s">
        <v>10</v>
      </c>
      <c r="G139" s="24" t="s">
        <v>10</v>
      </c>
    </row>
    <row r="140" spans="1:7" ht="29.1" customHeight="1" x14ac:dyDescent="0.2">
      <c r="A140" s="24" t="s">
        <v>10</v>
      </c>
      <c r="B140" s="213" t="s">
        <v>146</v>
      </c>
      <c r="C140" s="214"/>
      <c r="D140" s="4" t="s">
        <v>136</v>
      </c>
      <c r="E140" s="24" t="s">
        <v>10</v>
      </c>
      <c r="F140" s="24" t="s">
        <v>10</v>
      </c>
      <c r="G140" s="24" t="s">
        <v>10</v>
      </c>
    </row>
    <row r="141" spans="1:7" ht="29.1" customHeight="1" x14ac:dyDescent="0.2">
      <c r="A141" s="24" t="s">
        <v>10</v>
      </c>
      <c r="B141" s="213" t="s">
        <v>147</v>
      </c>
      <c r="C141" s="214"/>
      <c r="D141" s="4" t="s">
        <v>136</v>
      </c>
      <c r="E141" s="24" t="s">
        <v>10</v>
      </c>
      <c r="F141" s="24" t="s">
        <v>10</v>
      </c>
      <c r="G141" s="24" t="s">
        <v>10</v>
      </c>
    </row>
    <row r="142" spans="1:7" ht="17.100000000000001" customHeight="1" x14ac:dyDescent="0.2">
      <c r="A142" s="24" t="s">
        <v>10</v>
      </c>
      <c r="B142" s="213" t="s">
        <v>148</v>
      </c>
      <c r="C142" s="214"/>
      <c r="D142" s="30">
        <v>0.26535549814726689</v>
      </c>
      <c r="E142" s="24" t="s">
        <v>10</v>
      </c>
      <c r="F142" s="21" t="s">
        <v>10</v>
      </c>
      <c r="G142" s="27" t="s">
        <v>10</v>
      </c>
    </row>
    <row r="143" spans="1:7" ht="17.100000000000001" customHeight="1" x14ac:dyDescent="0.2">
      <c r="A143" s="24" t="s">
        <v>10</v>
      </c>
      <c r="B143" s="213" t="s">
        <v>149</v>
      </c>
      <c r="C143" s="214"/>
      <c r="D143" s="4" t="s">
        <v>136</v>
      </c>
      <c r="E143" s="24" t="s">
        <v>10</v>
      </c>
      <c r="F143" s="24" t="s">
        <v>10</v>
      </c>
      <c r="G143" s="24" t="s">
        <v>10</v>
      </c>
    </row>
  </sheetData>
  <mergeCells count="15">
    <mergeCell ref="B142:C142"/>
    <mergeCell ref="B143:C143"/>
    <mergeCell ref="B125:C125"/>
    <mergeCell ref="B126:C126"/>
    <mergeCell ref="B127:C127"/>
    <mergeCell ref="B136:C136"/>
    <mergeCell ref="B140:C140"/>
    <mergeCell ref="B141:C141"/>
    <mergeCell ref="B138:F138"/>
    <mergeCell ref="B124:C124"/>
    <mergeCell ref="B121:F121"/>
    <mergeCell ref="B122:F12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99"/>
  <sheetViews>
    <sheetView showGridLines="0" zoomScaleNormal="10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600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601</v>
      </c>
      <c r="C7" s="6" t="s">
        <v>602</v>
      </c>
      <c r="D7" s="6" t="s">
        <v>50</v>
      </c>
      <c r="E7" s="7">
        <v>3209</v>
      </c>
      <c r="F7" s="8">
        <v>47.287824000000001</v>
      </c>
      <c r="G7" s="9">
        <v>1.5379524E-2</v>
      </c>
      <c r="H7" s="167"/>
    </row>
    <row r="8" spans="1:8" x14ac:dyDescent="0.2">
      <c r="A8" s="5">
        <v>2</v>
      </c>
      <c r="B8" s="6" t="s">
        <v>603</v>
      </c>
      <c r="C8" s="6" t="s">
        <v>604</v>
      </c>
      <c r="D8" s="6" t="s">
        <v>57</v>
      </c>
      <c r="E8" s="7">
        <v>6142</v>
      </c>
      <c r="F8" s="8">
        <v>43.663477999999998</v>
      </c>
      <c r="G8" s="9">
        <v>1.420077E-2</v>
      </c>
      <c r="H8" s="167"/>
    </row>
    <row r="9" spans="1:8" x14ac:dyDescent="0.2">
      <c r="A9" s="5">
        <v>3</v>
      </c>
      <c r="B9" s="6" t="s">
        <v>417</v>
      </c>
      <c r="C9" s="6" t="s">
        <v>418</v>
      </c>
      <c r="D9" s="6" t="s">
        <v>57</v>
      </c>
      <c r="E9" s="7">
        <v>3715</v>
      </c>
      <c r="F9" s="8">
        <v>41.817897500000001</v>
      </c>
      <c r="G9" s="9">
        <v>1.3600526999999999E-2</v>
      </c>
      <c r="H9" s="167"/>
    </row>
    <row r="10" spans="1:8" x14ac:dyDescent="0.2">
      <c r="A10" s="5">
        <v>4</v>
      </c>
      <c r="B10" s="6" t="s">
        <v>605</v>
      </c>
      <c r="C10" s="6" t="s">
        <v>606</v>
      </c>
      <c r="D10" s="6" t="s">
        <v>192</v>
      </c>
      <c r="E10" s="7">
        <v>6426</v>
      </c>
      <c r="F10" s="8">
        <v>39.731957999999999</v>
      </c>
      <c r="G10" s="9">
        <v>1.2922113000000001E-2</v>
      </c>
      <c r="H10" s="167"/>
    </row>
    <row r="11" spans="1:8" x14ac:dyDescent="0.2">
      <c r="A11" s="5">
        <v>5</v>
      </c>
      <c r="B11" s="6" t="s">
        <v>607</v>
      </c>
      <c r="C11" s="6" t="s">
        <v>608</v>
      </c>
      <c r="D11" s="6" t="s">
        <v>609</v>
      </c>
      <c r="E11" s="7">
        <v>21749</v>
      </c>
      <c r="F11" s="8">
        <v>39.615803499999998</v>
      </c>
      <c r="G11" s="9">
        <v>1.2884335E-2</v>
      </c>
      <c r="H11" s="167"/>
    </row>
    <row r="12" spans="1:8" x14ac:dyDescent="0.2">
      <c r="A12" s="5">
        <v>6</v>
      </c>
      <c r="B12" s="6" t="s">
        <v>238</v>
      </c>
      <c r="C12" s="6" t="s">
        <v>239</v>
      </c>
      <c r="D12" s="6" t="s">
        <v>240</v>
      </c>
      <c r="E12" s="7">
        <v>4524</v>
      </c>
      <c r="F12" s="8">
        <v>36.875124</v>
      </c>
      <c r="G12" s="9">
        <v>1.1992978E-2</v>
      </c>
      <c r="H12" s="167"/>
    </row>
    <row r="13" spans="1:8" x14ac:dyDescent="0.2">
      <c r="A13" s="5">
        <v>7</v>
      </c>
      <c r="B13" s="6" t="s">
        <v>411</v>
      </c>
      <c r="C13" s="6" t="s">
        <v>412</v>
      </c>
      <c r="D13" s="6" t="s">
        <v>167</v>
      </c>
      <c r="E13" s="7">
        <v>6749</v>
      </c>
      <c r="F13" s="8">
        <v>36.380484500000001</v>
      </c>
      <c r="G13" s="9">
        <v>1.1832105000000001E-2</v>
      </c>
      <c r="H13" s="167"/>
    </row>
    <row r="14" spans="1:8" x14ac:dyDescent="0.2">
      <c r="A14" s="5">
        <v>8</v>
      </c>
      <c r="B14" s="6" t="s">
        <v>610</v>
      </c>
      <c r="C14" s="6" t="s">
        <v>611</v>
      </c>
      <c r="D14" s="6" t="s">
        <v>609</v>
      </c>
      <c r="E14" s="7">
        <v>2751</v>
      </c>
      <c r="F14" s="8">
        <v>36.211413</v>
      </c>
      <c r="G14" s="9">
        <v>1.1777118E-2</v>
      </c>
      <c r="H14" s="167"/>
    </row>
    <row r="15" spans="1:8" x14ac:dyDescent="0.2">
      <c r="A15" s="5">
        <v>9</v>
      </c>
      <c r="B15" s="6" t="s">
        <v>388</v>
      </c>
      <c r="C15" s="6" t="s">
        <v>389</v>
      </c>
      <c r="D15" s="6" t="s">
        <v>969</v>
      </c>
      <c r="E15" s="7">
        <v>297</v>
      </c>
      <c r="F15" s="8">
        <v>35.064711000000003</v>
      </c>
      <c r="G15" s="9">
        <v>1.1404174E-2</v>
      </c>
      <c r="H15" s="167"/>
    </row>
    <row r="16" spans="1:8" ht="25.5" x14ac:dyDescent="0.2">
      <c r="A16" s="5">
        <v>10</v>
      </c>
      <c r="B16" s="6" t="s">
        <v>612</v>
      </c>
      <c r="C16" s="6" t="s">
        <v>613</v>
      </c>
      <c r="D16" s="6" t="s">
        <v>969</v>
      </c>
      <c r="E16" s="7">
        <v>6262</v>
      </c>
      <c r="F16" s="8">
        <v>34.707135000000001</v>
      </c>
      <c r="G16" s="9">
        <v>1.1287877999999999E-2</v>
      </c>
      <c r="H16" s="167"/>
    </row>
    <row r="17" spans="1:8" ht="25.5" x14ac:dyDescent="0.2">
      <c r="A17" s="5">
        <v>11</v>
      </c>
      <c r="B17" s="6" t="s">
        <v>614</v>
      </c>
      <c r="C17" s="6" t="s">
        <v>615</v>
      </c>
      <c r="D17" s="6" t="s">
        <v>78</v>
      </c>
      <c r="E17" s="7">
        <v>3961</v>
      </c>
      <c r="F17" s="8">
        <v>33.9279455</v>
      </c>
      <c r="G17" s="9">
        <v>1.1034461000000001E-2</v>
      </c>
      <c r="H17" s="167"/>
    </row>
    <row r="18" spans="1:8" x14ac:dyDescent="0.2">
      <c r="A18" s="5">
        <v>12</v>
      </c>
      <c r="B18" s="6" t="s">
        <v>431</v>
      </c>
      <c r="C18" s="6" t="s">
        <v>432</v>
      </c>
      <c r="D18" s="6" t="s">
        <v>433</v>
      </c>
      <c r="E18" s="7">
        <v>8584</v>
      </c>
      <c r="F18" s="8">
        <v>33.842419999999997</v>
      </c>
      <c r="G18" s="9">
        <v>1.1006645000000001E-2</v>
      </c>
      <c r="H18" s="167"/>
    </row>
    <row r="19" spans="1:8" x14ac:dyDescent="0.2">
      <c r="A19" s="5">
        <v>13</v>
      </c>
      <c r="B19" s="6" t="s">
        <v>68</v>
      </c>
      <c r="C19" s="6" t="s">
        <v>69</v>
      </c>
      <c r="D19" s="6" t="s">
        <v>70</v>
      </c>
      <c r="E19" s="7">
        <v>21139</v>
      </c>
      <c r="F19" s="8">
        <v>33.811830499999999</v>
      </c>
      <c r="G19" s="9">
        <v>1.0996696E-2</v>
      </c>
      <c r="H19" s="167"/>
    </row>
    <row r="20" spans="1:8" ht="25.5" x14ac:dyDescent="0.2">
      <c r="A20" s="5">
        <v>14</v>
      </c>
      <c r="B20" s="6" t="s">
        <v>569</v>
      </c>
      <c r="C20" s="6" t="s">
        <v>570</v>
      </c>
      <c r="D20" s="6" t="s">
        <v>78</v>
      </c>
      <c r="E20" s="7">
        <v>1123</v>
      </c>
      <c r="F20" s="8">
        <v>33.437325000000001</v>
      </c>
      <c r="G20" s="9">
        <v>1.0874895000000001E-2</v>
      </c>
      <c r="H20" s="167"/>
    </row>
    <row r="21" spans="1:8" x14ac:dyDescent="0.2">
      <c r="A21" s="5">
        <v>15</v>
      </c>
      <c r="B21" s="6" t="s">
        <v>616</v>
      </c>
      <c r="C21" s="6" t="s">
        <v>617</v>
      </c>
      <c r="D21" s="6" t="s">
        <v>433</v>
      </c>
      <c r="E21" s="7">
        <v>12134</v>
      </c>
      <c r="F21" s="8">
        <v>33.271428</v>
      </c>
      <c r="G21" s="9">
        <v>1.0820939999999999E-2</v>
      </c>
      <c r="H21" s="167"/>
    </row>
    <row r="22" spans="1:8" x14ac:dyDescent="0.2">
      <c r="A22" s="5">
        <v>16</v>
      </c>
      <c r="B22" s="6" t="s">
        <v>618</v>
      </c>
      <c r="C22" s="6" t="s">
        <v>619</v>
      </c>
      <c r="D22" s="6" t="s">
        <v>18</v>
      </c>
      <c r="E22" s="7">
        <v>11862</v>
      </c>
      <c r="F22" s="8">
        <v>33.178013999999997</v>
      </c>
      <c r="G22" s="9">
        <v>1.0790559E-2</v>
      </c>
      <c r="H22" s="167"/>
    </row>
    <row r="23" spans="1:8" x14ac:dyDescent="0.2">
      <c r="A23" s="5">
        <v>17</v>
      </c>
      <c r="B23" s="6" t="s">
        <v>620</v>
      </c>
      <c r="C23" s="6" t="s">
        <v>621</v>
      </c>
      <c r="D23" s="6" t="s">
        <v>192</v>
      </c>
      <c r="E23" s="7">
        <v>2719</v>
      </c>
      <c r="F23" s="8">
        <v>33.158205000000002</v>
      </c>
      <c r="G23" s="9">
        <v>1.0784116E-2</v>
      </c>
      <c r="H23" s="167"/>
    </row>
    <row r="24" spans="1:8" x14ac:dyDescent="0.2">
      <c r="A24" s="5">
        <v>18</v>
      </c>
      <c r="B24" s="6" t="s">
        <v>490</v>
      </c>
      <c r="C24" s="6" t="s">
        <v>491</v>
      </c>
      <c r="D24" s="6" t="s">
        <v>185</v>
      </c>
      <c r="E24" s="7">
        <v>13785</v>
      </c>
      <c r="F24" s="8">
        <v>33.11157</v>
      </c>
      <c r="G24" s="9">
        <v>1.0768949E-2</v>
      </c>
      <c r="H24" s="167"/>
    </row>
    <row r="25" spans="1:8" x14ac:dyDescent="0.2">
      <c r="A25" s="5">
        <v>19</v>
      </c>
      <c r="B25" s="6" t="s">
        <v>421</v>
      </c>
      <c r="C25" s="6" t="s">
        <v>422</v>
      </c>
      <c r="D25" s="6" t="s">
        <v>192</v>
      </c>
      <c r="E25" s="7">
        <v>784</v>
      </c>
      <c r="F25" s="8">
        <v>32.880960000000002</v>
      </c>
      <c r="G25" s="9">
        <v>1.0693947000000001E-2</v>
      </c>
      <c r="H25" s="167"/>
    </row>
    <row r="26" spans="1:8" x14ac:dyDescent="0.2">
      <c r="A26" s="5">
        <v>20</v>
      </c>
      <c r="B26" s="6" t="s">
        <v>444</v>
      </c>
      <c r="C26" s="6" t="s">
        <v>445</v>
      </c>
      <c r="D26" s="6" t="s">
        <v>192</v>
      </c>
      <c r="E26" s="7">
        <v>616</v>
      </c>
      <c r="F26" s="8">
        <v>32.704363999999998</v>
      </c>
      <c r="G26" s="9">
        <v>1.0636513E-2</v>
      </c>
      <c r="H26" s="167"/>
    </row>
    <row r="27" spans="1:8" ht="25.5" x14ac:dyDescent="0.2">
      <c r="A27" s="5">
        <v>21</v>
      </c>
      <c r="B27" s="6" t="s">
        <v>622</v>
      </c>
      <c r="C27" s="6" t="s">
        <v>623</v>
      </c>
      <c r="D27" s="6" t="s">
        <v>78</v>
      </c>
      <c r="E27" s="7">
        <v>6840</v>
      </c>
      <c r="F27" s="8">
        <v>32.503680000000003</v>
      </c>
      <c r="G27" s="9">
        <v>1.0571244E-2</v>
      </c>
      <c r="H27" s="167"/>
    </row>
    <row r="28" spans="1:8" x14ac:dyDescent="0.2">
      <c r="A28" s="5">
        <v>22</v>
      </c>
      <c r="B28" s="6" t="s">
        <v>624</v>
      </c>
      <c r="C28" s="6" t="s">
        <v>625</v>
      </c>
      <c r="D28" s="6" t="s">
        <v>18</v>
      </c>
      <c r="E28" s="7">
        <v>29750</v>
      </c>
      <c r="F28" s="8">
        <v>32.501874999999998</v>
      </c>
      <c r="G28" s="9">
        <v>1.0570657000000001E-2</v>
      </c>
      <c r="H28" s="167"/>
    </row>
    <row r="29" spans="1:8" x14ac:dyDescent="0.2">
      <c r="A29" s="5">
        <v>23</v>
      </c>
      <c r="B29" s="6" t="s">
        <v>440</v>
      </c>
      <c r="C29" s="6" t="s">
        <v>441</v>
      </c>
      <c r="D29" s="6" t="s">
        <v>192</v>
      </c>
      <c r="E29" s="7">
        <v>3421</v>
      </c>
      <c r="F29" s="8">
        <v>32.477263499999999</v>
      </c>
      <c r="G29" s="9">
        <v>1.0562652E-2</v>
      </c>
      <c r="H29" s="167"/>
    </row>
    <row r="30" spans="1:8" x14ac:dyDescent="0.2">
      <c r="A30" s="5">
        <v>24</v>
      </c>
      <c r="B30" s="6" t="s">
        <v>581</v>
      </c>
      <c r="C30" s="6" t="s">
        <v>582</v>
      </c>
      <c r="D30" s="6" t="s">
        <v>94</v>
      </c>
      <c r="E30" s="7">
        <v>772</v>
      </c>
      <c r="F30" s="8">
        <v>32.368416000000003</v>
      </c>
      <c r="G30" s="9">
        <v>1.0527252000000001E-2</v>
      </c>
      <c r="H30" s="167"/>
    </row>
    <row r="31" spans="1:8" x14ac:dyDescent="0.2">
      <c r="A31" s="5">
        <v>25</v>
      </c>
      <c r="B31" s="6" t="s">
        <v>403</v>
      </c>
      <c r="C31" s="6" t="s">
        <v>404</v>
      </c>
      <c r="D31" s="6" t="s">
        <v>23</v>
      </c>
      <c r="E31" s="7">
        <v>7607</v>
      </c>
      <c r="F31" s="8">
        <v>32.2803045</v>
      </c>
      <c r="G31" s="9">
        <v>1.0498594999999999E-2</v>
      </c>
      <c r="H31" s="167"/>
    </row>
    <row r="32" spans="1:8" x14ac:dyDescent="0.2">
      <c r="A32" s="5">
        <v>26</v>
      </c>
      <c r="B32" s="6" t="s">
        <v>626</v>
      </c>
      <c r="C32" s="6" t="s">
        <v>627</v>
      </c>
      <c r="D32" s="6" t="s">
        <v>23</v>
      </c>
      <c r="E32" s="7">
        <v>76053</v>
      </c>
      <c r="F32" s="8">
        <v>32.246471999999997</v>
      </c>
      <c r="G32" s="9">
        <v>1.0487590999999999E-2</v>
      </c>
      <c r="H32" s="167"/>
    </row>
    <row r="33" spans="1:8" x14ac:dyDescent="0.2">
      <c r="A33" s="5">
        <v>27</v>
      </c>
      <c r="B33" s="6" t="s">
        <v>409</v>
      </c>
      <c r="C33" s="6" t="s">
        <v>410</v>
      </c>
      <c r="D33" s="6" t="s">
        <v>192</v>
      </c>
      <c r="E33" s="7">
        <v>3216</v>
      </c>
      <c r="F33" s="8">
        <v>32.094071999999997</v>
      </c>
      <c r="G33" s="9">
        <v>1.0438026E-2</v>
      </c>
      <c r="H33" s="167"/>
    </row>
    <row r="34" spans="1:8" x14ac:dyDescent="0.2">
      <c r="A34" s="5">
        <v>28</v>
      </c>
      <c r="B34" s="6" t="s">
        <v>628</v>
      </c>
      <c r="C34" s="6" t="s">
        <v>629</v>
      </c>
      <c r="D34" s="6" t="s">
        <v>153</v>
      </c>
      <c r="E34" s="7">
        <v>1532</v>
      </c>
      <c r="F34" s="8">
        <v>32.027225999999999</v>
      </c>
      <c r="G34" s="9">
        <v>1.0416286E-2</v>
      </c>
      <c r="H34" s="167"/>
    </row>
    <row r="35" spans="1:8" x14ac:dyDescent="0.2">
      <c r="A35" s="5">
        <v>29</v>
      </c>
      <c r="B35" s="6" t="s">
        <v>415</v>
      </c>
      <c r="C35" s="6" t="s">
        <v>416</v>
      </c>
      <c r="D35" s="6" t="s">
        <v>192</v>
      </c>
      <c r="E35" s="7">
        <v>4693</v>
      </c>
      <c r="F35" s="8">
        <v>31.363319000000001</v>
      </c>
      <c r="G35" s="9">
        <v>1.0200361999999999E-2</v>
      </c>
      <c r="H35" s="167"/>
    </row>
    <row r="36" spans="1:8" x14ac:dyDescent="0.2">
      <c r="A36" s="5">
        <v>30</v>
      </c>
      <c r="B36" s="6" t="s">
        <v>21</v>
      </c>
      <c r="C36" s="6" t="s">
        <v>22</v>
      </c>
      <c r="D36" s="6" t="s">
        <v>23</v>
      </c>
      <c r="E36" s="7">
        <v>4726</v>
      </c>
      <c r="F36" s="8">
        <v>31.321565</v>
      </c>
      <c r="G36" s="9">
        <v>1.0186782E-2</v>
      </c>
      <c r="H36" s="167"/>
    </row>
    <row r="37" spans="1:8" ht="25.5" x14ac:dyDescent="0.2">
      <c r="A37" s="5">
        <v>31</v>
      </c>
      <c r="B37" s="6" t="s">
        <v>510</v>
      </c>
      <c r="C37" s="6" t="s">
        <v>511</v>
      </c>
      <c r="D37" s="6" t="s">
        <v>37</v>
      </c>
      <c r="E37" s="7">
        <v>1499</v>
      </c>
      <c r="F37" s="8">
        <v>31.273637000000001</v>
      </c>
      <c r="G37" s="9">
        <v>1.0171194E-2</v>
      </c>
      <c r="H37" s="167"/>
    </row>
    <row r="38" spans="1:8" x14ac:dyDescent="0.2">
      <c r="A38" s="5">
        <v>32</v>
      </c>
      <c r="B38" s="6" t="s">
        <v>630</v>
      </c>
      <c r="C38" s="6" t="s">
        <v>631</v>
      </c>
      <c r="D38" s="6" t="s">
        <v>609</v>
      </c>
      <c r="E38" s="7">
        <v>21059</v>
      </c>
      <c r="F38" s="8">
        <v>31.104143000000001</v>
      </c>
      <c r="G38" s="9">
        <v>1.0116069E-2</v>
      </c>
      <c r="H38" s="167"/>
    </row>
    <row r="39" spans="1:8" x14ac:dyDescent="0.2">
      <c r="A39" s="5">
        <v>33</v>
      </c>
      <c r="B39" s="6" t="s">
        <v>632</v>
      </c>
      <c r="C39" s="6" t="s">
        <v>633</v>
      </c>
      <c r="D39" s="6" t="s">
        <v>158</v>
      </c>
      <c r="E39" s="7">
        <v>2944</v>
      </c>
      <c r="F39" s="8">
        <v>30.764800000000001</v>
      </c>
      <c r="G39" s="9">
        <v>1.0005704000000001E-2</v>
      </c>
      <c r="H39" s="167"/>
    </row>
    <row r="40" spans="1:8" x14ac:dyDescent="0.2">
      <c r="A40" s="5">
        <v>34</v>
      </c>
      <c r="B40" s="6" t="s">
        <v>405</v>
      </c>
      <c r="C40" s="6" t="s">
        <v>406</v>
      </c>
      <c r="D40" s="6" t="s">
        <v>969</v>
      </c>
      <c r="E40" s="7">
        <v>3126</v>
      </c>
      <c r="F40" s="8">
        <v>30.498819000000001</v>
      </c>
      <c r="G40" s="9">
        <v>9.9191980000000006E-3</v>
      </c>
      <c r="H40" s="167"/>
    </row>
    <row r="41" spans="1:8" x14ac:dyDescent="0.2">
      <c r="A41" s="5">
        <v>35</v>
      </c>
      <c r="B41" s="6" t="s">
        <v>301</v>
      </c>
      <c r="C41" s="6" t="s">
        <v>302</v>
      </c>
      <c r="D41" s="6" t="s">
        <v>178</v>
      </c>
      <c r="E41" s="7">
        <v>961</v>
      </c>
      <c r="F41" s="8">
        <v>30.451687499999998</v>
      </c>
      <c r="G41" s="9">
        <v>9.9038700000000004E-3</v>
      </c>
      <c r="H41" s="167"/>
    </row>
    <row r="42" spans="1:8" x14ac:dyDescent="0.2">
      <c r="A42" s="5">
        <v>36</v>
      </c>
      <c r="B42" s="6" t="s">
        <v>61</v>
      </c>
      <c r="C42" s="6" t="s">
        <v>62</v>
      </c>
      <c r="D42" s="6" t="s">
        <v>18</v>
      </c>
      <c r="E42" s="7">
        <v>6450</v>
      </c>
      <c r="F42" s="8">
        <v>30.443999999999999</v>
      </c>
      <c r="G42" s="9">
        <v>9.9013699999999996E-3</v>
      </c>
      <c r="H42" s="167"/>
    </row>
    <row r="43" spans="1:8" x14ac:dyDescent="0.2">
      <c r="A43" s="5">
        <v>37</v>
      </c>
      <c r="B43" s="6" t="s">
        <v>634</v>
      </c>
      <c r="C43" s="6" t="s">
        <v>635</v>
      </c>
      <c r="D43" s="6" t="s">
        <v>192</v>
      </c>
      <c r="E43" s="7">
        <v>1018</v>
      </c>
      <c r="F43" s="8">
        <v>30.430056</v>
      </c>
      <c r="G43" s="9">
        <v>9.8968340000000002E-3</v>
      </c>
      <c r="H43" s="167"/>
    </row>
    <row r="44" spans="1:8" ht="25.5" x14ac:dyDescent="0.2">
      <c r="A44" s="5">
        <v>38</v>
      </c>
      <c r="B44" s="6" t="s">
        <v>636</v>
      </c>
      <c r="C44" s="6" t="s">
        <v>637</v>
      </c>
      <c r="D44" s="6" t="s">
        <v>78</v>
      </c>
      <c r="E44" s="7">
        <v>1765</v>
      </c>
      <c r="F44" s="8">
        <v>30.365942499999999</v>
      </c>
      <c r="G44" s="9">
        <v>9.8759829999999996E-3</v>
      </c>
      <c r="H44" s="167"/>
    </row>
    <row r="45" spans="1:8" ht="25.5" x14ac:dyDescent="0.2">
      <c r="A45" s="5">
        <v>39</v>
      </c>
      <c r="B45" s="6" t="s">
        <v>90</v>
      </c>
      <c r="C45" s="6" t="s">
        <v>91</v>
      </c>
      <c r="D45" s="6" t="s">
        <v>67</v>
      </c>
      <c r="E45" s="7">
        <v>3934</v>
      </c>
      <c r="F45" s="8">
        <v>30.274097000000001</v>
      </c>
      <c r="G45" s="9">
        <v>9.8461120000000006E-3</v>
      </c>
      <c r="H45" s="167"/>
    </row>
    <row r="46" spans="1:8" ht="25.5" x14ac:dyDescent="0.2">
      <c r="A46" s="5">
        <v>40</v>
      </c>
      <c r="B46" s="6" t="s">
        <v>483</v>
      </c>
      <c r="C46" s="6" t="s">
        <v>484</v>
      </c>
      <c r="D46" s="6" t="s">
        <v>78</v>
      </c>
      <c r="E46" s="7">
        <v>4943</v>
      </c>
      <c r="F46" s="8">
        <v>30.273403500000001</v>
      </c>
      <c r="G46" s="9">
        <v>9.8458859999999999E-3</v>
      </c>
      <c r="H46" s="167"/>
    </row>
    <row r="47" spans="1:8" x14ac:dyDescent="0.2">
      <c r="A47" s="5">
        <v>41</v>
      </c>
      <c r="B47" s="6" t="s">
        <v>638</v>
      </c>
      <c r="C47" s="6" t="s">
        <v>639</v>
      </c>
      <c r="D47" s="6" t="s">
        <v>192</v>
      </c>
      <c r="E47" s="7">
        <v>1102</v>
      </c>
      <c r="F47" s="8">
        <v>30.209676999999999</v>
      </c>
      <c r="G47" s="9">
        <v>9.8251599999999994E-3</v>
      </c>
      <c r="H47" s="167"/>
    </row>
    <row r="48" spans="1:8" x14ac:dyDescent="0.2">
      <c r="A48" s="5">
        <v>42</v>
      </c>
      <c r="B48" s="6" t="s">
        <v>81</v>
      </c>
      <c r="C48" s="6" t="s">
        <v>82</v>
      </c>
      <c r="D48" s="6" t="s">
        <v>83</v>
      </c>
      <c r="E48" s="7">
        <v>26482</v>
      </c>
      <c r="F48" s="8">
        <v>30.096793000000002</v>
      </c>
      <c r="G48" s="9">
        <v>9.7884470000000005E-3</v>
      </c>
      <c r="H48" s="167"/>
    </row>
    <row r="49" spans="1:8" ht="25.5" x14ac:dyDescent="0.2">
      <c r="A49" s="5">
        <v>43</v>
      </c>
      <c r="B49" s="6" t="s">
        <v>640</v>
      </c>
      <c r="C49" s="6" t="s">
        <v>641</v>
      </c>
      <c r="D49" s="6" t="s">
        <v>970</v>
      </c>
      <c r="E49" s="7">
        <v>9183</v>
      </c>
      <c r="F49" s="8">
        <v>30.010044000000001</v>
      </c>
      <c r="G49" s="9">
        <v>9.7602330000000001E-3</v>
      </c>
      <c r="H49" s="167"/>
    </row>
    <row r="50" spans="1:8" x14ac:dyDescent="0.2">
      <c r="A50" s="5">
        <v>44</v>
      </c>
      <c r="B50" s="6" t="s">
        <v>499</v>
      </c>
      <c r="C50" s="6" t="s">
        <v>500</v>
      </c>
      <c r="D50" s="6" t="s">
        <v>94</v>
      </c>
      <c r="E50" s="7">
        <v>9399</v>
      </c>
      <c r="F50" s="8">
        <v>29.959312499999999</v>
      </c>
      <c r="G50" s="9">
        <v>9.7437340000000004E-3</v>
      </c>
      <c r="H50" s="167"/>
    </row>
    <row r="51" spans="1:8" x14ac:dyDescent="0.2">
      <c r="A51" s="5">
        <v>45</v>
      </c>
      <c r="B51" s="6" t="s">
        <v>642</v>
      </c>
      <c r="C51" s="6" t="s">
        <v>643</v>
      </c>
      <c r="D51" s="6" t="s">
        <v>185</v>
      </c>
      <c r="E51" s="7">
        <v>196</v>
      </c>
      <c r="F51" s="8">
        <v>29.902740000000001</v>
      </c>
      <c r="G51" s="9">
        <v>9.7253340000000004E-3</v>
      </c>
      <c r="H51" s="167"/>
    </row>
    <row r="52" spans="1:8" x14ac:dyDescent="0.2">
      <c r="A52" s="5">
        <v>46</v>
      </c>
      <c r="B52" s="6" t="s">
        <v>644</v>
      </c>
      <c r="C52" s="6" t="s">
        <v>645</v>
      </c>
      <c r="D52" s="6" t="s">
        <v>158</v>
      </c>
      <c r="E52" s="7">
        <v>2276</v>
      </c>
      <c r="F52" s="8">
        <v>29.852015999999999</v>
      </c>
      <c r="G52" s="9">
        <v>9.7088369999999997E-3</v>
      </c>
      <c r="H52" s="167"/>
    </row>
    <row r="53" spans="1:8" x14ac:dyDescent="0.2">
      <c r="A53" s="5">
        <v>47</v>
      </c>
      <c r="B53" s="6" t="s">
        <v>309</v>
      </c>
      <c r="C53" s="6" t="s">
        <v>310</v>
      </c>
      <c r="D53" s="6" t="s">
        <v>971</v>
      </c>
      <c r="E53" s="7">
        <v>956</v>
      </c>
      <c r="F53" s="8">
        <v>29.743072000000002</v>
      </c>
      <c r="G53" s="9">
        <v>9.6734049999999995E-3</v>
      </c>
      <c r="H53" s="167"/>
    </row>
    <row r="54" spans="1:8" x14ac:dyDescent="0.2">
      <c r="A54" s="5">
        <v>48</v>
      </c>
      <c r="B54" s="6" t="s">
        <v>573</v>
      </c>
      <c r="C54" s="6" t="s">
        <v>574</v>
      </c>
      <c r="D54" s="6" t="s">
        <v>158</v>
      </c>
      <c r="E54" s="7">
        <v>528</v>
      </c>
      <c r="F54" s="8">
        <v>29.715575999999999</v>
      </c>
      <c r="G54" s="9">
        <v>9.6644629999999999E-3</v>
      </c>
      <c r="H54" s="167"/>
    </row>
    <row r="55" spans="1:8" x14ac:dyDescent="0.2">
      <c r="A55" s="5">
        <v>49</v>
      </c>
      <c r="B55" s="6" t="s">
        <v>502</v>
      </c>
      <c r="C55" s="6" t="s">
        <v>503</v>
      </c>
      <c r="D55" s="6" t="s">
        <v>75</v>
      </c>
      <c r="E55" s="7">
        <v>1858</v>
      </c>
      <c r="F55" s="8">
        <v>29.658325000000001</v>
      </c>
      <c r="G55" s="9">
        <v>9.6458429999999994E-3</v>
      </c>
      <c r="H55" s="167"/>
    </row>
    <row r="56" spans="1:8" x14ac:dyDescent="0.2">
      <c r="A56" s="5">
        <v>50</v>
      </c>
      <c r="B56" s="6" t="s">
        <v>598</v>
      </c>
      <c r="C56" s="6" t="s">
        <v>599</v>
      </c>
      <c r="D56" s="6" t="s">
        <v>284</v>
      </c>
      <c r="E56" s="7">
        <v>965</v>
      </c>
      <c r="F56" s="8">
        <v>29.619710000000001</v>
      </c>
      <c r="G56" s="9">
        <v>9.6332840000000006E-3</v>
      </c>
      <c r="H56" s="167"/>
    </row>
    <row r="57" spans="1:8" ht="25.5" x14ac:dyDescent="0.2">
      <c r="A57" s="5">
        <v>51</v>
      </c>
      <c r="B57" s="6" t="s">
        <v>646</v>
      </c>
      <c r="C57" s="6" t="s">
        <v>647</v>
      </c>
      <c r="D57" s="6" t="s">
        <v>78</v>
      </c>
      <c r="E57" s="7">
        <v>3671</v>
      </c>
      <c r="F57" s="8">
        <v>29.571740500000001</v>
      </c>
      <c r="G57" s="9">
        <v>9.6176830000000001E-3</v>
      </c>
      <c r="H57" s="167"/>
    </row>
    <row r="58" spans="1:8" ht="25.5" x14ac:dyDescent="0.2">
      <c r="A58" s="5">
        <v>52</v>
      </c>
      <c r="B58" s="6" t="s">
        <v>577</v>
      </c>
      <c r="C58" s="6" t="s">
        <v>578</v>
      </c>
      <c r="D58" s="6" t="s">
        <v>78</v>
      </c>
      <c r="E58" s="7">
        <v>167</v>
      </c>
      <c r="F58" s="8">
        <v>29.551568499999998</v>
      </c>
      <c r="G58" s="9">
        <v>9.6111219999999997E-3</v>
      </c>
      <c r="H58" s="167"/>
    </row>
    <row r="59" spans="1:8" x14ac:dyDescent="0.2">
      <c r="A59" s="5">
        <v>53</v>
      </c>
      <c r="B59" s="6" t="s">
        <v>88</v>
      </c>
      <c r="C59" s="6" t="s">
        <v>89</v>
      </c>
      <c r="D59" s="6" t="s">
        <v>70</v>
      </c>
      <c r="E59" s="7">
        <v>12211</v>
      </c>
      <c r="F59" s="8">
        <v>29.483459499999999</v>
      </c>
      <c r="G59" s="9">
        <v>9.588971E-3</v>
      </c>
      <c r="H59" s="167"/>
    </row>
    <row r="60" spans="1:8" x14ac:dyDescent="0.2">
      <c r="A60" s="5">
        <v>54</v>
      </c>
      <c r="B60" s="6" t="s">
        <v>648</v>
      </c>
      <c r="C60" s="6" t="s">
        <v>649</v>
      </c>
      <c r="D60" s="6" t="s">
        <v>158</v>
      </c>
      <c r="E60" s="7">
        <v>828</v>
      </c>
      <c r="F60" s="8">
        <v>29.397725999999999</v>
      </c>
      <c r="G60" s="9">
        <v>9.5610869999999994E-3</v>
      </c>
      <c r="H60" s="167"/>
    </row>
    <row r="61" spans="1:8" x14ac:dyDescent="0.2">
      <c r="A61" s="5">
        <v>55</v>
      </c>
      <c r="B61" s="6" t="s">
        <v>16</v>
      </c>
      <c r="C61" s="6" t="s">
        <v>17</v>
      </c>
      <c r="D61" s="6" t="s">
        <v>18</v>
      </c>
      <c r="E61" s="7">
        <v>1355</v>
      </c>
      <c r="F61" s="8">
        <v>29.272065000000001</v>
      </c>
      <c r="G61" s="9">
        <v>9.5202180000000004E-3</v>
      </c>
      <c r="H61" s="167"/>
    </row>
    <row r="62" spans="1:8" x14ac:dyDescent="0.2">
      <c r="A62" s="5">
        <v>56</v>
      </c>
      <c r="B62" s="6" t="s">
        <v>370</v>
      </c>
      <c r="C62" s="6" t="s">
        <v>371</v>
      </c>
      <c r="D62" s="6" t="s">
        <v>23</v>
      </c>
      <c r="E62" s="7">
        <v>3882</v>
      </c>
      <c r="F62" s="8">
        <v>29.142174000000001</v>
      </c>
      <c r="G62" s="9">
        <v>9.4779740000000001E-3</v>
      </c>
      <c r="H62" s="167"/>
    </row>
    <row r="63" spans="1:8" ht="25.5" x14ac:dyDescent="0.2">
      <c r="A63" s="5">
        <v>57</v>
      </c>
      <c r="B63" s="6" t="s">
        <v>376</v>
      </c>
      <c r="C63" s="6" t="s">
        <v>377</v>
      </c>
      <c r="D63" s="6" t="s">
        <v>78</v>
      </c>
      <c r="E63" s="7">
        <v>4385</v>
      </c>
      <c r="F63" s="8">
        <v>29.1098225</v>
      </c>
      <c r="G63" s="9">
        <v>9.4674519999999995E-3</v>
      </c>
      <c r="H63" s="167"/>
    </row>
    <row r="64" spans="1:8" ht="25.5" x14ac:dyDescent="0.2">
      <c r="A64" s="5">
        <v>58</v>
      </c>
      <c r="B64" s="6" t="s">
        <v>650</v>
      </c>
      <c r="C64" s="6" t="s">
        <v>651</v>
      </c>
      <c r="D64" s="6" t="s">
        <v>970</v>
      </c>
      <c r="E64" s="7">
        <v>1970</v>
      </c>
      <c r="F64" s="8">
        <v>28.98264</v>
      </c>
      <c r="G64" s="9">
        <v>9.4260879999999991E-3</v>
      </c>
      <c r="H64" s="167"/>
    </row>
    <row r="65" spans="1:8" ht="25.5" x14ac:dyDescent="0.2">
      <c r="A65" s="5">
        <v>59</v>
      </c>
      <c r="B65" s="6" t="s">
        <v>652</v>
      </c>
      <c r="C65" s="6" t="s">
        <v>653</v>
      </c>
      <c r="D65" s="6" t="s">
        <v>970</v>
      </c>
      <c r="E65" s="7">
        <v>1455</v>
      </c>
      <c r="F65" s="8">
        <v>28.8970275</v>
      </c>
      <c r="G65" s="9">
        <v>9.398244E-3</v>
      </c>
      <c r="H65" s="167"/>
    </row>
    <row r="66" spans="1:8" x14ac:dyDescent="0.2">
      <c r="A66" s="5">
        <v>60</v>
      </c>
      <c r="B66" s="6" t="s">
        <v>13</v>
      </c>
      <c r="C66" s="6" t="s">
        <v>14</v>
      </c>
      <c r="D66" s="6" t="s">
        <v>15</v>
      </c>
      <c r="E66" s="7">
        <v>1968</v>
      </c>
      <c r="F66" s="8">
        <v>28.884336000000001</v>
      </c>
      <c r="G66" s="9">
        <v>9.3941170000000004E-3</v>
      </c>
      <c r="H66" s="167"/>
    </row>
    <row r="67" spans="1:8" x14ac:dyDescent="0.2">
      <c r="A67" s="5">
        <v>61</v>
      </c>
      <c r="B67" s="6" t="s">
        <v>654</v>
      </c>
      <c r="C67" s="6" t="s">
        <v>655</v>
      </c>
      <c r="D67" s="6" t="s">
        <v>50</v>
      </c>
      <c r="E67" s="7">
        <v>26137</v>
      </c>
      <c r="F67" s="8">
        <v>28.881385000000002</v>
      </c>
      <c r="G67" s="9">
        <v>9.3931569999999992E-3</v>
      </c>
      <c r="H67" s="167"/>
    </row>
    <row r="68" spans="1:8" x14ac:dyDescent="0.2">
      <c r="A68" s="5">
        <v>62</v>
      </c>
      <c r="B68" s="6" t="s">
        <v>656</v>
      </c>
      <c r="C68" s="6" t="s">
        <v>657</v>
      </c>
      <c r="D68" s="6" t="s">
        <v>192</v>
      </c>
      <c r="E68" s="7">
        <v>180</v>
      </c>
      <c r="F68" s="8">
        <v>28.85229</v>
      </c>
      <c r="G68" s="9">
        <v>9.3836939999999997E-3</v>
      </c>
      <c r="H68" s="167"/>
    </row>
    <row r="69" spans="1:8" x14ac:dyDescent="0.2">
      <c r="A69" s="5">
        <v>63</v>
      </c>
      <c r="B69" s="6" t="s">
        <v>658</v>
      </c>
      <c r="C69" s="6" t="s">
        <v>659</v>
      </c>
      <c r="D69" s="6" t="s">
        <v>67</v>
      </c>
      <c r="E69" s="7">
        <v>1630</v>
      </c>
      <c r="F69" s="8">
        <v>28.670069999999999</v>
      </c>
      <c r="G69" s="9">
        <v>9.3244299999999999E-3</v>
      </c>
      <c r="H69" s="167"/>
    </row>
    <row r="70" spans="1:8" x14ac:dyDescent="0.2">
      <c r="A70" s="5">
        <v>64</v>
      </c>
      <c r="B70" s="6" t="s">
        <v>660</v>
      </c>
      <c r="C70" s="6" t="s">
        <v>661</v>
      </c>
      <c r="D70" s="6" t="s">
        <v>972</v>
      </c>
      <c r="E70" s="7">
        <v>960</v>
      </c>
      <c r="F70" s="8">
        <v>28.628640000000001</v>
      </c>
      <c r="G70" s="9">
        <v>9.3109560000000004E-3</v>
      </c>
      <c r="H70" s="167"/>
    </row>
    <row r="71" spans="1:8" x14ac:dyDescent="0.2">
      <c r="A71" s="5">
        <v>65</v>
      </c>
      <c r="B71" s="6" t="s">
        <v>662</v>
      </c>
      <c r="C71" s="6" t="s">
        <v>663</v>
      </c>
      <c r="D71" s="6" t="s">
        <v>23</v>
      </c>
      <c r="E71" s="7">
        <v>2825</v>
      </c>
      <c r="F71" s="8">
        <v>28.617249999999999</v>
      </c>
      <c r="G71" s="9">
        <v>9.3072520000000002E-3</v>
      </c>
      <c r="H71" s="167"/>
    </row>
    <row r="72" spans="1:8" ht="25.5" x14ac:dyDescent="0.2">
      <c r="A72" s="5">
        <v>66</v>
      </c>
      <c r="B72" s="6" t="s">
        <v>423</v>
      </c>
      <c r="C72" s="6" t="s">
        <v>424</v>
      </c>
      <c r="D72" s="6" t="s">
        <v>969</v>
      </c>
      <c r="E72" s="7">
        <v>1940</v>
      </c>
      <c r="F72" s="8">
        <v>28.554860000000001</v>
      </c>
      <c r="G72" s="9">
        <v>9.2869600000000004E-3</v>
      </c>
      <c r="H72" s="167"/>
    </row>
    <row r="73" spans="1:8" x14ac:dyDescent="0.2">
      <c r="A73" s="5">
        <v>67</v>
      </c>
      <c r="B73" s="6" t="s">
        <v>664</v>
      </c>
      <c r="C73" s="6" t="s">
        <v>665</v>
      </c>
      <c r="D73" s="6" t="s">
        <v>167</v>
      </c>
      <c r="E73" s="7">
        <v>2791</v>
      </c>
      <c r="F73" s="8">
        <v>28.5142515</v>
      </c>
      <c r="G73" s="9">
        <v>9.2737529999999992E-3</v>
      </c>
      <c r="H73" s="167"/>
    </row>
    <row r="74" spans="1:8" x14ac:dyDescent="0.2">
      <c r="A74" s="5">
        <v>68</v>
      </c>
      <c r="B74" s="6" t="s">
        <v>24</v>
      </c>
      <c r="C74" s="6" t="s">
        <v>25</v>
      </c>
      <c r="D74" s="6" t="s">
        <v>26</v>
      </c>
      <c r="E74" s="7">
        <v>5320</v>
      </c>
      <c r="F74" s="8">
        <v>28.456679999999999</v>
      </c>
      <c r="G74" s="9">
        <v>9.2550289999999997E-3</v>
      </c>
      <c r="H74" s="167"/>
    </row>
    <row r="75" spans="1:8" x14ac:dyDescent="0.2">
      <c r="A75" s="5">
        <v>69</v>
      </c>
      <c r="B75" s="6" t="s">
        <v>325</v>
      </c>
      <c r="C75" s="6" t="s">
        <v>326</v>
      </c>
      <c r="D75" s="6" t="s">
        <v>70</v>
      </c>
      <c r="E75" s="7">
        <v>5375</v>
      </c>
      <c r="F75" s="8">
        <v>28.425687499999999</v>
      </c>
      <c r="G75" s="9">
        <v>9.2449490000000006E-3</v>
      </c>
      <c r="H75" s="167"/>
    </row>
    <row r="76" spans="1:8" ht="25.5" x14ac:dyDescent="0.2">
      <c r="A76" s="5">
        <v>70</v>
      </c>
      <c r="B76" s="6" t="s">
        <v>419</v>
      </c>
      <c r="C76" s="6" t="s">
        <v>420</v>
      </c>
      <c r="D76" s="6" t="s">
        <v>78</v>
      </c>
      <c r="E76" s="7">
        <v>1208</v>
      </c>
      <c r="F76" s="8">
        <v>28.267804000000002</v>
      </c>
      <c r="G76" s="9">
        <v>9.1935999999999997E-3</v>
      </c>
      <c r="H76" s="167"/>
    </row>
    <row r="77" spans="1:8" x14ac:dyDescent="0.2">
      <c r="A77" s="5">
        <v>71</v>
      </c>
      <c r="B77" s="6" t="s">
        <v>666</v>
      </c>
      <c r="C77" s="6" t="s">
        <v>667</v>
      </c>
      <c r="D77" s="6" t="s">
        <v>50</v>
      </c>
      <c r="E77" s="7">
        <v>2228</v>
      </c>
      <c r="F77" s="8">
        <v>28.255496000000001</v>
      </c>
      <c r="G77" s="9">
        <v>9.1895980000000002E-3</v>
      </c>
      <c r="H77" s="167"/>
    </row>
    <row r="78" spans="1:8" ht="25.5" x14ac:dyDescent="0.2">
      <c r="A78" s="5">
        <v>72</v>
      </c>
      <c r="B78" s="6" t="s">
        <v>668</v>
      </c>
      <c r="C78" s="6" t="s">
        <v>669</v>
      </c>
      <c r="D78" s="6" t="s">
        <v>78</v>
      </c>
      <c r="E78" s="7">
        <v>5220</v>
      </c>
      <c r="F78" s="8">
        <v>28.211490000000001</v>
      </c>
      <c r="G78" s="9">
        <v>9.175285E-3</v>
      </c>
      <c r="H78" s="167"/>
    </row>
    <row r="79" spans="1:8" x14ac:dyDescent="0.2">
      <c r="A79" s="5">
        <v>73</v>
      </c>
      <c r="B79" s="6" t="s">
        <v>670</v>
      </c>
      <c r="C79" s="6" t="s">
        <v>671</v>
      </c>
      <c r="D79" s="6" t="s">
        <v>50</v>
      </c>
      <c r="E79" s="7">
        <v>12486</v>
      </c>
      <c r="F79" s="8">
        <v>28.174658999999998</v>
      </c>
      <c r="G79" s="9">
        <v>9.1633070000000007E-3</v>
      </c>
      <c r="H79" s="167"/>
    </row>
    <row r="80" spans="1:8" x14ac:dyDescent="0.2">
      <c r="A80" s="5">
        <v>74</v>
      </c>
      <c r="B80" s="6" t="s">
        <v>672</v>
      </c>
      <c r="C80" s="6" t="s">
        <v>673</v>
      </c>
      <c r="D80" s="6" t="s">
        <v>32</v>
      </c>
      <c r="E80" s="7">
        <v>9756</v>
      </c>
      <c r="F80" s="8">
        <v>28.141182000000001</v>
      </c>
      <c r="G80" s="9">
        <v>9.1524190000000002E-3</v>
      </c>
      <c r="H80" s="167"/>
    </row>
    <row r="81" spans="1:8" x14ac:dyDescent="0.2">
      <c r="A81" s="5">
        <v>75</v>
      </c>
      <c r="B81" s="6" t="s">
        <v>492</v>
      </c>
      <c r="C81" s="6" t="s">
        <v>493</v>
      </c>
      <c r="D81" s="6" t="s">
        <v>94</v>
      </c>
      <c r="E81" s="7">
        <v>397</v>
      </c>
      <c r="F81" s="8">
        <v>28.132611000000001</v>
      </c>
      <c r="G81" s="9">
        <v>9.1496310000000001E-3</v>
      </c>
      <c r="H81" s="167"/>
    </row>
    <row r="82" spans="1:8" x14ac:dyDescent="0.2">
      <c r="A82" s="5">
        <v>76</v>
      </c>
      <c r="B82" s="6" t="s">
        <v>399</v>
      </c>
      <c r="C82" s="6" t="s">
        <v>400</v>
      </c>
      <c r="D82" s="6" t="s">
        <v>167</v>
      </c>
      <c r="E82" s="7">
        <v>2018</v>
      </c>
      <c r="F82" s="8">
        <v>28.125875000000001</v>
      </c>
      <c r="G82" s="9">
        <v>9.1474409999999992E-3</v>
      </c>
      <c r="H82" s="167"/>
    </row>
    <row r="83" spans="1:8" x14ac:dyDescent="0.2">
      <c r="A83" s="5">
        <v>77</v>
      </c>
      <c r="B83" s="6" t="s">
        <v>674</v>
      </c>
      <c r="C83" s="6" t="s">
        <v>675</v>
      </c>
      <c r="D83" s="6"/>
      <c r="E83" s="7">
        <v>1048</v>
      </c>
      <c r="F83" s="8">
        <v>28.046052</v>
      </c>
      <c r="G83" s="9">
        <v>9.1214799999999995E-3</v>
      </c>
      <c r="H83" s="167"/>
    </row>
    <row r="84" spans="1:8" x14ac:dyDescent="0.2">
      <c r="A84" s="5">
        <v>78</v>
      </c>
      <c r="B84" s="6" t="s">
        <v>51</v>
      </c>
      <c r="C84" s="6" t="s">
        <v>52</v>
      </c>
      <c r="D84" s="6" t="s">
        <v>23</v>
      </c>
      <c r="E84" s="7">
        <v>1847</v>
      </c>
      <c r="F84" s="8">
        <v>27.997749500000001</v>
      </c>
      <c r="G84" s="9">
        <v>9.1057699999999991E-3</v>
      </c>
      <c r="H84" s="167"/>
    </row>
    <row r="85" spans="1:8" ht="25.5" x14ac:dyDescent="0.2">
      <c r="A85" s="5">
        <v>79</v>
      </c>
      <c r="B85" s="6" t="s">
        <v>487</v>
      </c>
      <c r="C85" s="6" t="s">
        <v>488</v>
      </c>
      <c r="D85" s="6" t="s">
        <v>78</v>
      </c>
      <c r="E85" s="7">
        <v>213</v>
      </c>
      <c r="F85" s="8">
        <v>27.961468499999999</v>
      </c>
      <c r="G85" s="9">
        <v>9.0939699999999998E-3</v>
      </c>
      <c r="H85" s="167"/>
    </row>
    <row r="86" spans="1:8" ht="25.5" x14ac:dyDescent="0.2">
      <c r="A86" s="5">
        <v>80</v>
      </c>
      <c r="B86" s="6" t="s">
        <v>401</v>
      </c>
      <c r="C86" s="6" t="s">
        <v>402</v>
      </c>
      <c r="D86" s="6" t="s">
        <v>158</v>
      </c>
      <c r="E86" s="7">
        <v>1094</v>
      </c>
      <c r="F86" s="8">
        <v>27.928179</v>
      </c>
      <c r="G86" s="9">
        <v>9.0831430000000001E-3</v>
      </c>
      <c r="H86" s="167"/>
    </row>
    <row r="87" spans="1:8" ht="25.5" x14ac:dyDescent="0.2">
      <c r="A87" s="5">
        <v>81</v>
      </c>
      <c r="B87" s="6" t="s">
        <v>676</v>
      </c>
      <c r="C87" s="6" t="s">
        <v>677</v>
      </c>
      <c r="D87" s="6" t="s">
        <v>78</v>
      </c>
      <c r="E87" s="7">
        <v>2228</v>
      </c>
      <c r="F87" s="8">
        <v>27.924638000000002</v>
      </c>
      <c r="G87" s="9">
        <v>9.0819920000000005E-3</v>
      </c>
      <c r="H87" s="167"/>
    </row>
    <row r="88" spans="1:8" ht="25.5" x14ac:dyDescent="0.2">
      <c r="A88" s="5">
        <v>82</v>
      </c>
      <c r="B88" s="6" t="s">
        <v>425</v>
      </c>
      <c r="C88" s="6" t="s">
        <v>426</v>
      </c>
      <c r="D88" s="6" t="s">
        <v>78</v>
      </c>
      <c r="E88" s="7">
        <v>12852</v>
      </c>
      <c r="F88" s="8">
        <v>27.837432</v>
      </c>
      <c r="G88" s="9">
        <v>9.05363E-3</v>
      </c>
      <c r="H88" s="167"/>
    </row>
    <row r="89" spans="1:8" x14ac:dyDescent="0.2">
      <c r="A89" s="5">
        <v>83</v>
      </c>
      <c r="B89" s="6" t="s">
        <v>413</v>
      </c>
      <c r="C89" s="6" t="s">
        <v>414</v>
      </c>
      <c r="D89" s="6" t="s">
        <v>167</v>
      </c>
      <c r="E89" s="7">
        <v>880</v>
      </c>
      <c r="F89" s="8">
        <v>27.800519999999999</v>
      </c>
      <c r="G89" s="9">
        <v>9.0416249999999993E-3</v>
      </c>
      <c r="H89" s="167"/>
    </row>
    <row r="90" spans="1:8" x14ac:dyDescent="0.2">
      <c r="A90" s="5">
        <v>84</v>
      </c>
      <c r="B90" s="6" t="s">
        <v>512</v>
      </c>
      <c r="C90" s="6" t="s">
        <v>513</v>
      </c>
      <c r="D90" s="6" t="s">
        <v>167</v>
      </c>
      <c r="E90" s="7">
        <v>703</v>
      </c>
      <c r="F90" s="8">
        <v>27.715071999999999</v>
      </c>
      <c r="G90" s="9">
        <v>9.0138340000000001E-3</v>
      </c>
      <c r="H90" s="167"/>
    </row>
    <row r="91" spans="1:8" x14ac:dyDescent="0.2">
      <c r="A91" s="5">
        <v>85</v>
      </c>
      <c r="B91" s="6" t="s">
        <v>429</v>
      </c>
      <c r="C91" s="6" t="s">
        <v>430</v>
      </c>
      <c r="D91" s="6" t="s">
        <v>23</v>
      </c>
      <c r="E91" s="7">
        <v>1531</v>
      </c>
      <c r="F91" s="8">
        <v>27.675886999999999</v>
      </c>
      <c r="G91" s="9">
        <v>9.0010899999999998E-3</v>
      </c>
      <c r="H91" s="167"/>
    </row>
    <row r="92" spans="1:8" x14ac:dyDescent="0.2">
      <c r="A92" s="5">
        <v>86</v>
      </c>
      <c r="B92" s="6" t="s">
        <v>407</v>
      </c>
      <c r="C92" s="6" t="s">
        <v>408</v>
      </c>
      <c r="D92" s="6" t="s">
        <v>94</v>
      </c>
      <c r="E92" s="7">
        <v>3419</v>
      </c>
      <c r="F92" s="8">
        <v>27.623810500000001</v>
      </c>
      <c r="G92" s="9">
        <v>8.9841529999999999E-3</v>
      </c>
      <c r="H92" s="167"/>
    </row>
    <row r="93" spans="1:8" x14ac:dyDescent="0.2">
      <c r="A93" s="5">
        <v>87</v>
      </c>
      <c r="B93" s="6" t="s">
        <v>678</v>
      </c>
      <c r="C93" s="6" t="s">
        <v>679</v>
      </c>
      <c r="D93" s="6" t="s">
        <v>94</v>
      </c>
      <c r="E93" s="7">
        <v>918</v>
      </c>
      <c r="F93" s="8">
        <v>27.60885</v>
      </c>
      <c r="G93" s="9">
        <v>8.9792870000000007E-3</v>
      </c>
      <c r="H93" s="167"/>
    </row>
    <row r="94" spans="1:8" x14ac:dyDescent="0.2">
      <c r="A94" s="5">
        <v>88</v>
      </c>
      <c r="B94" s="6" t="s">
        <v>323</v>
      </c>
      <c r="C94" s="6" t="s">
        <v>324</v>
      </c>
      <c r="D94" s="6" t="s">
        <v>185</v>
      </c>
      <c r="E94" s="7">
        <v>33</v>
      </c>
      <c r="F94" s="8">
        <v>27.601662000000001</v>
      </c>
      <c r="G94" s="9">
        <v>8.9769499999999992E-3</v>
      </c>
      <c r="H94" s="167"/>
    </row>
    <row r="95" spans="1:8" x14ac:dyDescent="0.2">
      <c r="A95" s="5">
        <v>89</v>
      </c>
      <c r="B95" s="6" t="s">
        <v>680</v>
      </c>
      <c r="C95" s="6" t="s">
        <v>681</v>
      </c>
      <c r="D95" s="6" t="s">
        <v>158</v>
      </c>
      <c r="E95" s="7">
        <v>1505</v>
      </c>
      <c r="F95" s="8">
        <v>27.33381</v>
      </c>
      <c r="G95" s="9">
        <v>8.8898359999999999E-3</v>
      </c>
      <c r="H95" s="167"/>
    </row>
    <row r="96" spans="1:8" ht="25.5" x14ac:dyDescent="0.2">
      <c r="A96" s="5">
        <v>90</v>
      </c>
      <c r="B96" s="6" t="s">
        <v>40</v>
      </c>
      <c r="C96" s="6" t="s">
        <v>41</v>
      </c>
      <c r="D96" s="6" t="s">
        <v>970</v>
      </c>
      <c r="E96" s="7">
        <v>406</v>
      </c>
      <c r="F96" s="8">
        <v>27.234480000000001</v>
      </c>
      <c r="G96" s="9">
        <v>8.8575300000000006E-3</v>
      </c>
      <c r="H96" s="167"/>
    </row>
    <row r="97" spans="1:8" ht="25.5" x14ac:dyDescent="0.2">
      <c r="A97" s="5">
        <v>91</v>
      </c>
      <c r="B97" s="6" t="s">
        <v>682</v>
      </c>
      <c r="C97" s="6" t="s">
        <v>683</v>
      </c>
      <c r="D97" s="6" t="s">
        <v>970</v>
      </c>
      <c r="E97" s="7">
        <v>98</v>
      </c>
      <c r="F97" s="8">
        <v>27.026440000000001</v>
      </c>
      <c r="G97" s="9">
        <v>8.7898690000000005E-3</v>
      </c>
      <c r="H97" s="167"/>
    </row>
    <row r="98" spans="1:8" x14ac:dyDescent="0.2">
      <c r="A98" s="5">
        <v>92</v>
      </c>
      <c r="B98" s="6" t="s">
        <v>684</v>
      </c>
      <c r="C98" s="6" t="s">
        <v>685</v>
      </c>
      <c r="D98" s="6" t="s">
        <v>75</v>
      </c>
      <c r="E98" s="7">
        <v>2621</v>
      </c>
      <c r="F98" s="8">
        <v>27.017268000000001</v>
      </c>
      <c r="G98" s="9">
        <v>8.7868860000000007E-3</v>
      </c>
      <c r="H98" s="167"/>
    </row>
    <row r="99" spans="1:8" ht="25.5" x14ac:dyDescent="0.2">
      <c r="A99" s="5">
        <v>93</v>
      </c>
      <c r="B99" s="6" t="s">
        <v>686</v>
      </c>
      <c r="C99" s="6" t="s">
        <v>687</v>
      </c>
      <c r="D99" s="6" t="s">
        <v>60</v>
      </c>
      <c r="E99" s="7">
        <v>11144</v>
      </c>
      <c r="F99" s="8">
        <v>27.001912000000001</v>
      </c>
      <c r="G99" s="9">
        <v>8.7818919999999995E-3</v>
      </c>
      <c r="H99" s="167"/>
    </row>
    <row r="100" spans="1:8" ht="25.5" x14ac:dyDescent="0.2">
      <c r="A100" s="5">
        <v>94</v>
      </c>
      <c r="B100" s="6" t="s">
        <v>688</v>
      </c>
      <c r="C100" s="6" t="s">
        <v>689</v>
      </c>
      <c r="D100" s="6" t="s">
        <v>78</v>
      </c>
      <c r="E100" s="7">
        <v>783</v>
      </c>
      <c r="F100" s="8">
        <v>26.996665499999999</v>
      </c>
      <c r="G100" s="9">
        <v>8.7801849999999994E-3</v>
      </c>
      <c r="H100" s="167"/>
    </row>
    <row r="101" spans="1:8" x14ac:dyDescent="0.2">
      <c r="A101" s="5">
        <v>95</v>
      </c>
      <c r="B101" s="6" t="s">
        <v>590</v>
      </c>
      <c r="C101" s="6" t="s">
        <v>591</v>
      </c>
      <c r="D101" s="6" t="s">
        <v>969</v>
      </c>
      <c r="E101" s="7">
        <v>4046</v>
      </c>
      <c r="F101" s="8">
        <v>26.942314</v>
      </c>
      <c r="G101" s="9">
        <v>8.7625080000000004E-3</v>
      </c>
      <c r="H101" s="167"/>
    </row>
    <row r="102" spans="1:8" x14ac:dyDescent="0.2">
      <c r="A102" s="5">
        <v>96</v>
      </c>
      <c r="B102" s="6" t="s">
        <v>594</v>
      </c>
      <c r="C102" s="6" t="s">
        <v>595</v>
      </c>
      <c r="D102" s="6" t="s">
        <v>284</v>
      </c>
      <c r="E102" s="7">
        <v>612</v>
      </c>
      <c r="F102" s="8">
        <v>26.594154</v>
      </c>
      <c r="G102" s="9">
        <v>8.6492759999999991E-3</v>
      </c>
      <c r="H102" s="167"/>
    </row>
    <row r="103" spans="1:8" x14ac:dyDescent="0.2">
      <c r="A103" s="5">
        <v>97</v>
      </c>
      <c r="B103" s="6" t="s">
        <v>366</v>
      </c>
      <c r="C103" s="6" t="s">
        <v>367</v>
      </c>
      <c r="D103" s="6" t="s">
        <v>167</v>
      </c>
      <c r="E103" s="7">
        <v>2812</v>
      </c>
      <c r="F103" s="8">
        <v>26.579024</v>
      </c>
      <c r="G103" s="9">
        <v>8.6443549999999994E-3</v>
      </c>
      <c r="H103" s="167"/>
    </row>
    <row r="104" spans="1:8" x14ac:dyDescent="0.2">
      <c r="A104" s="5">
        <v>98</v>
      </c>
      <c r="B104" s="6" t="s">
        <v>690</v>
      </c>
      <c r="C104" s="6" t="s">
        <v>691</v>
      </c>
      <c r="D104" s="6" t="s">
        <v>192</v>
      </c>
      <c r="E104" s="7">
        <v>6791</v>
      </c>
      <c r="F104" s="8">
        <v>26.362662</v>
      </c>
      <c r="G104" s="9">
        <v>8.5739869999999999E-3</v>
      </c>
      <c r="H104" s="167"/>
    </row>
    <row r="105" spans="1:8" x14ac:dyDescent="0.2">
      <c r="A105" s="5">
        <v>99</v>
      </c>
      <c r="B105" s="6" t="s">
        <v>692</v>
      </c>
      <c r="C105" s="6" t="s">
        <v>693</v>
      </c>
      <c r="D105" s="6" t="s">
        <v>23</v>
      </c>
      <c r="E105" s="7">
        <v>190130</v>
      </c>
      <c r="F105" s="8">
        <v>25.667549999999999</v>
      </c>
      <c r="G105" s="9">
        <v>8.3479139999999997E-3</v>
      </c>
      <c r="H105" s="167"/>
    </row>
    <row r="106" spans="1:8" x14ac:dyDescent="0.2">
      <c r="A106" s="5">
        <v>100</v>
      </c>
      <c r="B106" s="6" t="s">
        <v>694</v>
      </c>
      <c r="C106" s="6" t="s">
        <v>695</v>
      </c>
      <c r="D106" s="6" t="s">
        <v>23</v>
      </c>
      <c r="E106" s="7">
        <v>7717</v>
      </c>
      <c r="F106" s="8">
        <v>23.722058000000001</v>
      </c>
      <c r="G106" s="9">
        <v>7.7151770000000001E-3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0">
        <v>3049.9143829999998</v>
      </c>
      <c r="G107" s="11">
        <v>0.99193040600000004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105</v>
      </c>
      <c r="D109" s="3" t="s">
        <v>10</v>
      </c>
      <c r="E109" s="3" t="s">
        <v>10</v>
      </c>
      <c r="F109" s="3" t="s">
        <v>10</v>
      </c>
      <c r="G109" s="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104</v>
      </c>
      <c r="D110" s="3" t="s">
        <v>10</v>
      </c>
      <c r="E110" s="3" t="s">
        <v>10</v>
      </c>
      <c r="F110" s="14">
        <v>0</v>
      </c>
      <c r="G110" s="15">
        <v>0</v>
      </c>
      <c r="H110" s="167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106</v>
      </c>
      <c r="D112" s="3" t="s">
        <v>10</v>
      </c>
      <c r="E112" s="3" t="s">
        <v>10</v>
      </c>
      <c r="F112" s="3" t="s">
        <v>10</v>
      </c>
      <c r="G112" s="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104</v>
      </c>
      <c r="D113" s="3" t="s">
        <v>10</v>
      </c>
      <c r="E113" s="3" t="s">
        <v>10</v>
      </c>
      <c r="F113" s="14">
        <v>0</v>
      </c>
      <c r="G113" s="15">
        <v>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110</v>
      </c>
      <c r="D115" s="3" t="s">
        <v>10</v>
      </c>
      <c r="E115" s="3" t="s">
        <v>10</v>
      </c>
      <c r="F115" s="3" t="s">
        <v>10</v>
      </c>
      <c r="G115" s="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4">
        <v>0</v>
      </c>
      <c r="G116" s="15">
        <v>0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111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7"/>
    </row>
    <row r="119" spans="1:8" x14ac:dyDescent="0.2">
      <c r="A119" s="3" t="s">
        <v>10</v>
      </c>
      <c r="B119" s="3" t="s">
        <v>10</v>
      </c>
      <c r="C119" s="4" t="s">
        <v>104</v>
      </c>
      <c r="D119" s="3" t="s">
        <v>10</v>
      </c>
      <c r="E119" s="3" t="s">
        <v>10</v>
      </c>
      <c r="F119" s="14">
        <v>0</v>
      </c>
      <c r="G119" s="15">
        <v>0</v>
      </c>
      <c r="H119" s="167"/>
    </row>
    <row r="120" spans="1:8" x14ac:dyDescent="0.2">
      <c r="A120" s="3" t="s">
        <v>10</v>
      </c>
      <c r="B120" s="3" t="s">
        <v>10</v>
      </c>
      <c r="C120" s="12" t="s">
        <v>10</v>
      </c>
      <c r="D120" s="3" t="s">
        <v>10</v>
      </c>
      <c r="E120" s="3" t="s">
        <v>10</v>
      </c>
      <c r="F120" s="13" t="s">
        <v>10</v>
      </c>
      <c r="G120" s="1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112</v>
      </c>
      <c r="D121" s="3" t="s">
        <v>10</v>
      </c>
      <c r="E121" s="3" t="s">
        <v>10</v>
      </c>
      <c r="F121" s="13" t="s">
        <v>10</v>
      </c>
      <c r="G121" s="1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113</v>
      </c>
      <c r="D124" s="3" t="s">
        <v>10</v>
      </c>
      <c r="E124" s="3" t="s">
        <v>10</v>
      </c>
      <c r="F124" s="10">
        <v>3049.9143829999998</v>
      </c>
      <c r="G124" s="11">
        <v>0.99193040600000004</v>
      </c>
      <c r="H124" s="167"/>
    </row>
    <row r="125" spans="1:8" x14ac:dyDescent="0.2">
      <c r="A125" s="3" t="s">
        <v>10</v>
      </c>
      <c r="B125" s="3" t="s">
        <v>10</v>
      </c>
      <c r="C125" s="12" t="s">
        <v>10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114</v>
      </c>
      <c r="D126" s="3" t="s">
        <v>10</v>
      </c>
      <c r="E126" s="3" t="s">
        <v>10</v>
      </c>
      <c r="F126" s="13" t="s">
        <v>10</v>
      </c>
      <c r="G126" s="13" t="s">
        <v>10</v>
      </c>
      <c r="H126" s="167"/>
    </row>
    <row r="127" spans="1:8" ht="25.5" x14ac:dyDescent="0.2">
      <c r="A127" s="3" t="s">
        <v>10</v>
      </c>
      <c r="B127" s="3" t="s">
        <v>10</v>
      </c>
      <c r="C127" s="4" t="s">
        <v>12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3" t="s">
        <v>10</v>
      </c>
      <c r="B128" s="3" t="s">
        <v>10</v>
      </c>
      <c r="C128" s="4" t="s">
        <v>104</v>
      </c>
      <c r="D128" s="3" t="s">
        <v>10</v>
      </c>
      <c r="E128" s="3" t="s">
        <v>10</v>
      </c>
      <c r="F128" s="14">
        <v>0</v>
      </c>
      <c r="G128" s="15">
        <v>0</v>
      </c>
      <c r="H128" s="167"/>
    </row>
    <row r="129" spans="1:8" x14ac:dyDescent="0.2">
      <c r="A129" s="3" t="s">
        <v>10</v>
      </c>
      <c r="B129" s="3" t="s">
        <v>10</v>
      </c>
      <c r="C129" s="12" t="s">
        <v>10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115</v>
      </c>
      <c r="D130" s="3" t="s">
        <v>10</v>
      </c>
      <c r="E130" s="3" t="s">
        <v>10</v>
      </c>
      <c r="F130" s="3" t="s">
        <v>10</v>
      </c>
      <c r="G130" s="3" t="s">
        <v>10</v>
      </c>
      <c r="H130" s="167"/>
    </row>
    <row r="131" spans="1:8" s="196" customFormat="1" ht="25.5" x14ac:dyDescent="0.2">
      <c r="A131" s="190">
        <v>1</v>
      </c>
      <c r="B131" s="191" t="s">
        <v>1008</v>
      </c>
      <c r="C131" s="192" t="s">
        <v>1009</v>
      </c>
      <c r="D131" s="192"/>
      <c r="E131" s="193">
        <v>828</v>
      </c>
      <c r="F131" s="194">
        <v>0.24012</v>
      </c>
      <c r="G131" s="195">
        <v>7.8095000000000004E-5</v>
      </c>
      <c r="H131" s="205" t="s">
        <v>1010</v>
      </c>
    </row>
    <row r="132" spans="1:8" x14ac:dyDescent="0.2">
      <c r="A132" s="3" t="s">
        <v>10</v>
      </c>
      <c r="B132" s="3" t="s">
        <v>10</v>
      </c>
      <c r="C132" s="4" t="s">
        <v>104</v>
      </c>
      <c r="D132" s="3" t="s">
        <v>10</v>
      </c>
      <c r="E132" s="3" t="s">
        <v>10</v>
      </c>
      <c r="F132" s="10">
        <v>0.24012</v>
      </c>
      <c r="G132" s="11">
        <v>7.8095000000000004E-5</v>
      </c>
      <c r="H132" s="167"/>
    </row>
    <row r="133" spans="1:8" x14ac:dyDescent="0.2">
      <c r="A133" s="3" t="s">
        <v>10</v>
      </c>
      <c r="B133" s="3" t="s">
        <v>10</v>
      </c>
      <c r="C133" s="12" t="s">
        <v>10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7"/>
    </row>
    <row r="134" spans="1:8" x14ac:dyDescent="0.2">
      <c r="A134" s="3" t="s">
        <v>10</v>
      </c>
      <c r="B134" s="3" t="s">
        <v>10</v>
      </c>
      <c r="C134" s="4" t="s">
        <v>116</v>
      </c>
      <c r="D134" s="3" t="s">
        <v>10</v>
      </c>
      <c r="E134" s="3" t="s">
        <v>10</v>
      </c>
      <c r="F134" s="3" t="s">
        <v>10</v>
      </c>
      <c r="G134" s="3" t="s">
        <v>10</v>
      </c>
      <c r="H134" s="167"/>
    </row>
    <row r="135" spans="1:8" x14ac:dyDescent="0.2">
      <c r="A135" s="3" t="s">
        <v>10</v>
      </c>
      <c r="B135" s="3" t="s">
        <v>10</v>
      </c>
      <c r="C135" s="4" t="s">
        <v>104</v>
      </c>
      <c r="D135" s="3" t="s">
        <v>10</v>
      </c>
      <c r="E135" s="3" t="s">
        <v>10</v>
      </c>
      <c r="F135" s="14">
        <v>0</v>
      </c>
      <c r="G135" s="15">
        <v>0</v>
      </c>
      <c r="H135" s="167"/>
    </row>
    <row r="136" spans="1:8" x14ac:dyDescent="0.2">
      <c r="A136" s="3" t="s">
        <v>10</v>
      </c>
      <c r="B136" s="3" t="s">
        <v>10</v>
      </c>
      <c r="C136" s="12" t="s">
        <v>10</v>
      </c>
      <c r="D136" s="3" t="s">
        <v>10</v>
      </c>
      <c r="E136" s="3" t="s">
        <v>10</v>
      </c>
      <c r="F136" s="13" t="s">
        <v>10</v>
      </c>
      <c r="G136" s="13" t="s">
        <v>10</v>
      </c>
      <c r="H136" s="167"/>
    </row>
    <row r="137" spans="1:8" x14ac:dyDescent="0.2">
      <c r="A137" s="3" t="s">
        <v>10</v>
      </c>
      <c r="B137" s="3" t="s">
        <v>10</v>
      </c>
      <c r="C137" s="4" t="s">
        <v>117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7"/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4">
        <v>0</v>
      </c>
      <c r="G138" s="15">
        <v>0</v>
      </c>
      <c r="H138" s="167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7"/>
    </row>
    <row r="140" spans="1:8" x14ac:dyDescent="0.2">
      <c r="A140" s="3" t="s">
        <v>10</v>
      </c>
      <c r="B140" s="3" t="s">
        <v>10</v>
      </c>
      <c r="C140" s="4" t="s">
        <v>118</v>
      </c>
      <c r="D140" s="3" t="s">
        <v>10</v>
      </c>
      <c r="E140" s="3" t="s">
        <v>10</v>
      </c>
      <c r="F140" s="10">
        <v>0.24012</v>
      </c>
      <c r="G140" s="11">
        <v>7.8095000000000004E-5</v>
      </c>
      <c r="H140" s="167"/>
    </row>
    <row r="141" spans="1:8" x14ac:dyDescent="0.2">
      <c r="A141" s="3" t="s">
        <v>10</v>
      </c>
      <c r="B141" s="3" t="s">
        <v>10</v>
      </c>
      <c r="C141" s="12" t="s">
        <v>10</v>
      </c>
      <c r="D141" s="3" t="s">
        <v>10</v>
      </c>
      <c r="E141" s="3" t="s">
        <v>10</v>
      </c>
      <c r="F141" s="13" t="s">
        <v>10</v>
      </c>
      <c r="G141" s="13" t="s">
        <v>10</v>
      </c>
      <c r="H141" s="167"/>
    </row>
    <row r="142" spans="1:8" x14ac:dyDescent="0.2">
      <c r="A142" s="3" t="s">
        <v>10</v>
      </c>
      <c r="B142" s="3" t="s">
        <v>10</v>
      </c>
      <c r="C142" s="4" t="s">
        <v>119</v>
      </c>
      <c r="D142" s="3" t="s">
        <v>10</v>
      </c>
      <c r="E142" s="3" t="s">
        <v>10</v>
      </c>
      <c r="F142" s="13" t="s">
        <v>10</v>
      </c>
      <c r="G142" s="13" t="s">
        <v>10</v>
      </c>
      <c r="H142" s="167"/>
    </row>
    <row r="143" spans="1:8" x14ac:dyDescent="0.2">
      <c r="A143" s="3" t="s">
        <v>10</v>
      </c>
      <c r="B143" s="3" t="s">
        <v>10</v>
      </c>
      <c r="C143" s="4" t="s">
        <v>120</v>
      </c>
      <c r="D143" s="3" t="s">
        <v>10</v>
      </c>
      <c r="E143" s="3" t="s">
        <v>10</v>
      </c>
      <c r="F143" s="13" t="s">
        <v>10</v>
      </c>
      <c r="G143" s="13" t="s">
        <v>10</v>
      </c>
      <c r="H143" s="167"/>
    </row>
    <row r="144" spans="1:8" x14ac:dyDescent="0.2">
      <c r="A144" s="3" t="s">
        <v>10</v>
      </c>
      <c r="B144" s="3" t="s">
        <v>10</v>
      </c>
      <c r="C144" s="4" t="s">
        <v>104</v>
      </c>
      <c r="D144" s="3" t="s">
        <v>10</v>
      </c>
      <c r="E144" s="3" t="s">
        <v>10</v>
      </c>
      <c r="F144" s="14">
        <v>0</v>
      </c>
      <c r="G144" s="15">
        <v>0</v>
      </c>
      <c r="H144" s="167"/>
    </row>
    <row r="145" spans="1:8" x14ac:dyDescent="0.2">
      <c r="A145" s="3" t="s">
        <v>10</v>
      </c>
      <c r="B145" s="3" t="s">
        <v>10</v>
      </c>
      <c r="C145" s="12" t="s">
        <v>10</v>
      </c>
      <c r="D145" s="3" t="s">
        <v>10</v>
      </c>
      <c r="E145" s="3" t="s">
        <v>10</v>
      </c>
      <c r="F145" s="13" t="s">
        <v>10</v>
      </c>
      <c r="G145" s="13" t="s">
        <v>10</v>
      </c>
      <c r="H145" s="167"/>
    </row>
    <row r="146" spans="1:8" x14ac:dyDescent="0.2">
      <c r="A146" s="3" t="s">
        <v>10</v>
      </c>
      <c r="B146" s="3" t="s">
        <v>10</v>
      </c>
      <c r="C146" s="4" t="s">
        <v>121</v>
      </c>
      <c r="D146" s="3" t="s">
        <v>10</v>
      </c>
      <c r="E146" s="3" t="s">
        <v>10</v>
      </c>
      <c r="F146" s="13" t="s">
        <v>10</v>
      </c>
      <c r="G146" s="13" t="s">
        <v>10</v>
      </c>
      <c r="H146" s="167"/>
    </row>
    <row r="147" spans="1:8" x14ac:dyDescent="0.2">
      <c r="A147" s="3" t="s">
        <v>10</v>
      </c>
      <c r="B147" s="3" t="s">
        <v>10</v>
      </c>
      <c r="C147" s="4" t="s">
        <v>104</v>
      </c>
      <c r="D147" s="3" t="s">
        <v>10</v>
      </c>
      <c r="E147" s="3" t="s">
        <v>10</v>
      </c>
      <c r="F147" s="14">
        <v>0</v>
      </c>
      <c r="G147" s="15">
        <v>0</v>
      </c>
      <c r="H147" s="167"/>
    </row>
    <row r="148" spans="1:8" x14ac:dyDescent="0.2">
      <c r="A148" s="3" t="s">
        <v>10</v>
      </c>
      <c r="B148" s="3" t="s">
        <v>10</v>
      </c>
      <c r="C148" s="12" t="s">
        <v>10</v>
      </c>
      <c r="D148" s="3" t="s">
        <v>10</v>
      </c>
      <c r="E148" s="3" t="s">
        <v>10</v>
      </c>
      <c r="F148" s="13" t="s">
        <v>10</v>
      </c>
      <c r="G148" s="13" t="s">
        <v>10</v>
      </c>
      <c r="H148" s="167"/>
    </row>
    <row r="149" spans="1:8" x14ac:dyDescent="0.2">
      <c r="A149" s="3" t="s">
        <v>10</v>
      </c>
      <c r="B149" s="3" t="s">
        <v>10</v>
      </c>
      <c r="C149" s="4" t="s">
        <v>122</v>
      </c>
      <c r="D149" s="3" t="s">
        <v>10</v>
      </c>
      <c r="E149" s="3" t="s">
        <v>10</v>
      </c>
      <c r="F149" s="13" t="s">
        <v>10</v>
      </c>
      <c r="G149" s="13" t="s">
        <v>10</v>
      </c>
      <c r="H149" s="167"/>
    </row>
    <row r="150" spans="1:8" x14ac:dyDescent="0.2">
      <c r="A150" s="3" t="s">
        <v>10</v>
      </c>
      <c r="B150" s="3" t="s">
        <v>10</v>
      </c>
      <c r="C150" s="4" t="s">
        <v>104</v>
      </c>
      <c r="D150" s="3" t="s">
        <v>10</v>
      </c>
      <c r="E150" s="3" t="s">
        <v>10</v>
      </c>
      <c r="F150" s="14">
        <v>0</v>
      </c>
      <c r="G150" s="15">
        <v>0</v>
      </c>
      <c r="H150" s="167"/>
    </row>
    <row r="151" spans="1:8" x14ac:dyDescent="0.2">
      <c r="A151" s="3" t="s">
        <v>10</v>
      </c>
      <c r="B151" s="3" t="s">
        <v>10</v>
      </c>
      <c r="C151" s="12" t="s">
        <v>10</v>
      </c>
      <c r="D151" s="3" t="s">
        <v>10</v>
      </c>
      <c r="E151" s="3" t="s">
        <v>10</v>
      </c>
      <c r="F151" s="13" t="s">
        <v>10</v>
      </c>
      <c r="G151" s="13" t="s">
        <v>10</v>
      </c>
      <c r="H151" s="167"/>
    </row>
    <row r="152" spans="1:8" x14ac:dyDescent="0.2">
      <c r="A152" s="3" t="s">
        <v>10</v>
      </c>
      <c r="B152" s="3" t="s">
        <v>10</v>
      </c>
      <c r="C152" s="4" t="s">
        <v>123</v>
      </c>
      <c r="D152" s="3" t="s">
        <v>10</v>
      </c>
      <c r="E152" s="3" t="s">
        <v>10</v>
      </c>
      <c r="F152" s="13" t="s">
        <v>10</v>
      </c>
      <c r="G152" s="13" t="s">
        <v>10</v>
      </c>
      <c r="H152" s="167"/>
    </row>
    <row r="153" spans="1:8" x14ac:dyDescent="0.2">
      <c r="A153" s="5">
        <v>1</v>
      </c>
      <c r="B153" s="6"/>
      <c r="C153" s="6" t="s">
        <v>124</v>
      </c>
      <c r="D153" s="6"/>
      <c r="E153" s="16" t="s">
        <v>10</v>
      </c>
      <c r="F153" s="8">
        <v>19.698155400000001</v>
      </c>
      <c r="G153" s="9">
        <v>6.406475E-3</v>
      </c>
      <c r="H153" s="108">
        <v>3.23</v>
      </c>
    </row>
    <row r="154" spans="1:8" x14ac:dyDescent="0.2">
      <c r="A154" s="5">
        <v>2</v>
      </c>
      <c r="B154" s="6"/>
      <c r="C154" s="6" t="s">
        <v>125</v>
      </c>
      <c r="D154" s="6"/>
      <c r="E154" s="16" t="s">
        <v>10</v>
      </c>
      <c r="F154" s="8">
        <v>5.5330735999999998</v>
      </c>
      <c r="G154" s="9">
        <v>1.799534E-3</v>
      </c>
      <c r="H154" s="108">
        <v>3.35</v>
      </c>
    </row>
    <row r="155" spans="1:8" x14ac:dyDescent="0.2">
      <c r="A155" s="3" t="s">
        <v>10</v>
      </c>
      <c r="B155" s="3" t="s">
        <v>10</v>
      </c>
      <c r="C155" s="4" t="s">
        <v>104</v>
      </c>
      <c r="D155" s="3" t="s">
        <v>10</v>
      </c>
      <c r="E155" s="3" t="s">
        <v>10</v>
      </c>
      <c r="F155" s="10">
        <v>25.231228999999999</v>
      </c>
      <c r="G155" s="11">
        <v>8.2060090000000002E-3</v>
      </c>
      <c r="H155" s="167"/>
    </row>
    <row r="156" spans="1:8" x14ac:dyDescent="0.2">
      <c r="A156" s="3" t="s">
        <v>10</v>
      </c>
      <c r="B156" s="3" t="s">
        <v>10</v>
      </c>
      <c r="C156" s="12" t="s">
        <v>10</v>
      </c>
      <c r="D156" s="3" t="s">
        <v>10</v>
      </c>
      <c r="E156" s="3" t="s">
        <v>10</v>
      </c>
      <c r="F156" s="13" t="s">
        <v>10</v>
      </c>
      <c r="G156" s="13" t="s">
        <v>10</v>
      </c>
      <c r="H156" s="167"/>
    </row>
    <row r="157" spans="1:8" x14ac:dyDescent="0.2">
      <c r="A157" s="3" t="s">
        <v>10</v>
      </c>
      <c r="B157" s="3" t="s">
        <v>10</v>
      </c>
      <c r="C157" s="4" t="s">
        <v>126</v>
      </c>
      <c r="D157" s="3" t="s">
        <v>10</v>
      </c>
      <c r="E157" s="3" t="s">
        <v>10</v>
      </c>
      <c r="F157" s="10">
        <v>25.231228999999999</v>
      </c>
      <c r="G157" s="11">
        <v>8.2060090000000002E-3</v>
      </c>
      <c r="H157" s="167"/>
    </row>
    <row r="158" spans="1:8" x14ac:dyDescent="0.2">
      <c r="A158" s="3" t="s">
        <v>10</v>
      </c>
      <c r="B158" s="3" t="s">
        <v>10</v>
      </c>
      <c r="C158" s="1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167"/>
    </row>
    <row r="159" spans="1:8" x14ac:dyDescent="0.2">
      <c r="A159" s="3" t="s">
        <v>10</v>
      </c>
      <c r="B159" s="3" t="s">
        <v>10</v>
      </c>
      <c r="C159" s="4" t="s">
        <v>127</v>
      </c>
      <c r="D159" s="3" t="s">
        <v>10</v>
      </c>
      <c r="E159" s="3" t="s">
        <v>10</v>
      </c>
      <c r="F159" s="3" t="s">
        <v>10</v>
      </c>
      <c r="G159" s="3" t="s">
        <v>10</v>
      </c>
      <c r="H159" s="167"/>
    </row>
    <row r="160" spans="1:8" x14ac:dyDescent="0.2">
      <c r="A160" s="3" t="s">
        <v>10</v>
      </c>
      <c r="B160" s="3" t="s">
        <v>10</v>
      </c>
      <c r="C160" s="4" t="s">
        <v>128</v>
      </c>
      <c r="D160" s="3" t="s">
        <v>10</v>
      </c>
      <c r="E160" s="3" t="s">
        <v>10</v>
      </c>
      <c r="F160" s="3" t="s">
        <v>10</v>
      </c>
      <c r="G160" s="3" t="s">
        <v>10</v>
      </c>
      <c r="H160" s="167"/>
    </row>
    <row r="161" spans="1:8" x14ac:dyDescent="0.2">
      <c r="A161" s="3" t="s">
        <v>10</v>
      </c>
      <c r="B161" s="3" t="s">
        <v>10</v>
      </c>
      <c r="C161" s="4" t="s">
        <v>104</v>
      </c>
      <c r="D161" s="3" t="s">
        <v>10</v>
      </c>
      <c r="E161" s="3" t="s">
        <v>10</v>
      </c>
      <c r="F161" s="14">
        <v>0</v>
      </c>
      <c r="G161" s="15">
        <v>0</v>
      </c>
      <c r="H161" s="167"/>
    </row>
    <row r="162" spans="1:8" x14ac:dyDescent="0.2">
      <c r="A162" s="3" t="s">
        <v>10</v>
      </c>
      <c r="B162" s="3" t="s">
        <v>10</v>
      </c>
      <c r="C162" s="12" t="s">
        <v>10</v>
      </c>
      <c r="D162" s="3" t="s">
        <v>10</v>
      </c>
      <c r="E162" s="3" t="s">
        <v>10</v>
      </c>
      <c r="F162" s="13" t="s">
        <v>10</v>
      </c>
      <c r="G162" s="13" t="s">
        <v>10</v>
      </c>
      <c r="H162" s="167"/>
    </row>
    <row r="163" spans="1:8" x14ac:dyDescent="0.2">
      <c r="A163" s="3" t="s">
        <v>10</v>
      </c>
      <c r="B163" s="3" t="s">
        <v>10</v>
      </c>
      <c r="C163" s="4" t="s">
        <v>129</v>
      </c>
      <c r="D163" s="3" t="s">
        <v>10</v>
      </c>
      <c r="E163" s="3" t="s">
        <v>10</v>
      </c>
      <c r="F163" s="3" t="s">
        <v>10</v>
      </c>
      <c r="G163" s="3" t="s">
        <v>10</v>
      </c>
      <c r="H163" s="167"/>
    </row>
    <row r="164" spans="1:8" x14ac:dyDescent="0.2">
      <c r="A164" s="3" t="s">
        <v>10</v>
      </c>
      <c r="B164" s="3" t="s">
        <v>10</v>
      </c>
      <c r="C164" s="4" t="s">
        <v>130</v>
      </c>
      <c r="D164" s="3" t="s">
        <v>10</v>
      </c>
      <c r="E164" s="3" t="s">
        <v>10</v>
      </c>
      <c r="F164" s="3" t="s">
        <v>10</v>
      </c>
      <c r="G164" s="3" t="s">
        <v>10</v>
      </c>
      <c r="H164" s="167"/>
    </row>
    <row r="165" spans="1:8" x14ac:dyDescent="0.2">
      <c r="A165" s="3" t="s">
        <v>10</v>
      </c>
      <c r="B165" s="3" t="s">
        <v>10</v>
      </c>
      <c r="C165" s="4" t="s">
        <v>104</v>
      </c>
      <c r="D165" s="3" t="s">
        <v>10</v>
      </c>
      <c r="E165" s="3" t="s">
        <v>10</v>
      </c>
      <c r="F165" s="14">
        <v>0</v>
      </c>
      <c r="G165" s="15">
        <v>0</v>
      </c>
      <c r="H165" s="167"/>
    </row>
    <row r="166" spans="1:8" x14ac:dyDescent="0.2">
      <c r="A166" s="3" t="s">
        <v>10</v>
      </c>
      <c r="B166" s="3" t="s">
        <v>10</v>
      </c>
      <c r="C166" s="12" t="s">
        <v>10</v>
      </c>
      <c r="D166" s="3" t="s">
        <v>10</v>
      </c>
      <c r="E166" s="3" t="s">
        <v>10</v>
      </c>
      <c r="F166" s="13" t="s">
        <v>10</v>
      </c>
      <c r="G166" s="13" t="s">
        <v>10</v>
      </c>
      <c r="H166" s="167"/>
    </row>
    <row r="167" spans="1:8" x14ac:dyDescent="0.2">
      <c r="A167" s="3" t="s">
        <v>10</v>
      </c>
      <c r="B167" s="3" t="s">
        <v>10</v>
      </c>
      <c r="C167" s="12" t="s">
        <v>10</v>
      </c>
      <c r="D167" s="3" t="s">
        <v>10</v>
      </c>
      <c r="E167" s="3" t="s">
        <v>10</v>
      </c>
      <c r="F167" s="13" t="s">
        <v>10</v>
      </c>
      <c r="G167" s="13" t="s">
        <v>10</v>
      </c>
      <c r="H167" s="167"/>
    </row>
    <row r="168" spans="1:8" ht="25.5" x14ac:dyDescent="0.2">
      <c r="A168" s="3" t="s">
        <v>10</v>
      </c>
      <c r="B168" s="3" t="s">
        <v>10</v>
      </c>
      <c r="C168" s="4" t="s">
        <v>131</v>
      </c>
      <c r="D168" s="3" t="s">
        <v>10</v>
      </c>
      <c r="E168" s="3" t="s">
        <v>10</v>
      </c>
      <c r="F168" s="13" t="s">
        <v>10</v>
      </c>
      <c r="G168" s="13" t="s">
        <v>10</v>
      </c>
      <c r="H168" s="167"/>
    </row>
    <row r="169" spans="1:8" x14ac:dyDescent="0.2">
      <c r="A169" s="3" t="s">
        <v>10</v>
      </c>
      <c r="B169" s="3" t="s">
        <v>10</v>
      </c>
      <c r="C169" s="4" t="s">
        <v>104</v>
      </c>
      <c r="D169" s="3" t="s">
        <v>10</v>
      </c>
      <c r="E169" s="3" t="s">
        <v>10</v>
      </c>
      <c r="F169" s="14">
        <v>0</v>
      </c>
      <c r="G169" s="15">
        <v>0</v>
      </c>
      <c r="H169" s="167"/>
    </row>
    <row r="170" spans="1:8" x14ac:dyDescent="0.2">
      <c r="A170" s="3" t="s">
        <v>10</v>
      </c>
      <c r="B170" s="3" t="s">
        <v>10</v>
      </c>
      <c r="C170" s="12" t="s">
        <v>10</v>
      </c>
      <c r="D170" s="3" t="s">
        <v>10</v>
      </c>
      <c r="E170" s="3" t="s">
        <v>10</v>
      </c>
      <c r="F170" s="13" t="s">
        <v>10</v>
      </c>
      <c r="G170" s="13" t="s">
        <v>10</v>
      </c>
      <c r="H170" s="167"/>
    </row>
    <row r="171" spans="1:8" x14ac:dyDescent="0.2">
      <c r="A171" s="3" t="s">
        <v>10</v>
      </c>
      <c r="B171" s="6" t="s">
        <v>10</v>
      </c>
      <c r="C171" s="6" t="s">
        <v>10</v>
      </c>
      <c r="D171" s="4" t="s">
        <v>10</v>
      </c>
      <c r="E171" s="3" t="s">
        <v>10</v>
      </c>
      <c r="F171" s="6" t="s">
        <v>10</v>
      </c>
      <c r="G171" s="16" t="s">
        <v>10</v>
      </c>
      <c r="H171" s="167"/>
    </row>
    <row r="172" spans="1:8" x14ac:dyDescent="0.2">
      <c r="A172" s="16" t="s">
        <v>10</v>
      </c>
      <c r="B172" s="6" t="s">
        <v>10</v>
      </c>
      <c r="C172" s="139" t="s">
        <v>779</v>
      </c>
      <c r="D172" s="6" t="s">
        <v>10</v>
      </c>
      <c r="E172" s="16" t="s">
        <v>10</v>
      </c>
      <c r="F172" s="8">
        <v>-0.65955512000000005</v>
      </c>
      <c r="G172" s="9">
        <v>-2.1450899999999999E-4</v>
      </c>
      <c r="H172" s="167"/>
    </row>
    <row r="173" spans="1:8" x14ac:dyDescent="0.2">
      <c r="A173" s="12" t="s">
        <v>10</v>
      </c>
      <c r="B173" s="12" t="s">
        <v>10</v>
      </c>
      <c r="C173" s="4" t="s">
        <v>133</v>
      </c>
      <c r="D173" s="17" t="s">
        <v>10</v>
      </c>
      <c r="E173" s="17" t="s">
        <v>10</v>
      </c>
      <c r="F173" s="10">
        <v>3074.7261768799999</v>
      </c>
      <c r="G173" s="11">
        <v>1.0000000010000001</v>
      </c>
      <c r="H173" s="167"/>
    </row>
    <row r="174" spans="1:8" ht="14.1" customHeight="1" x14ac:dyDescent="0.2">
      <c r="A174" s="18" t="s">
        <v>10</v>
      </c>
      <c r="B174" s="18" t="s">
        <v>10</v>
      </c>
      <c r="C174" s="18" t="s">
        <v>10</v>
      </c>
      <c r="D174" s="19" t="s">
        <v>10</v>
      </c>
      <c r="E174" s="19" t="s">
        <v>10</v>
      </c>
      <c r="F174" s="19" t="s">
        <v>10</v>
      </c>
      <c r="G174" s="19" t="s">
        <v>10</v>
      </c>
    </row>
    <row r="175" spans="1:8" ht="14.1" customHeight="1" x14ac:dyDescent="0.2">
      <c r="A175" s="20"/>
      <c r="B175" s="333" t="s">
        <v>1069</v>
      </c>
      <c r="C175" s="20"/>
      <c r="D175" s="22"/>
      <c r="E175" s="22"/>
      <c r="F175" s="22"/>
      <c r="G175" s="22"/>
    </row>
    <row r="176" spans="1:8" ht="14.1" customHeight="1" x14ac:dyDescent="0.2">
      <c r="A176" s="20" t="s">
        <v>10</v>
      </c>
      <c r="B176" s="203" t="s">
        <v>781</v>
      </c>
      <c r="C176" s="203"/>
      <c r="D176" s="203"/>
      <c r="E176" s="203"/>
      <c r="F176" s="203"/>
      <c r="G176" s="22" t="s">
        <v>10</v>
      </c>
    </row>
    <row r="177" spans="1:7" ht="14.1" customHeight="1" x14ac:dyDescent="0.2">
      <c r="A177" s="20"/>
      <c r="B177" s="202" t="s">
        <v>1068</v>
      </c>
      <c r="C177" s="201"/>
      <c r="D177" s="201"/>
      <c r="E177" s="201"/>
      <c r="F177" s="201"/>
      <c r="G177" s="22"/>
    </row>
    <row r="178" spans="1:7" ht="14.1" customHeight="1" x14ac:dyDescent="0.2">
      <c r="A178" s="20" t="s">
        <v>10</v>
      </c>
      <c r="B178" s="204" t="s">
        <v>10</v>
      </c>
      <c r="C178" s="204"/>
      <c r="D178" s="204"/>
      <c r="E178" s="204"/>
      <c r="F178" s="204"/>
      <c r="G178" s="22" t="s">
        <v>10</v>
      </c>
    </row>
    <row r="179" spans="1:7" ht="14.1" customHeight="1" x14ac:dyDescent="0.2">
      <c r="A179" s="20" t="s">
        <v>10</v>
      </c>
      <c r="B179" s="20" t="s">
        <v>10</v>
      </c>
      <c r="C179" s="20" t="s">
        <v>10</v>
      </c>
      <c r="D179" s="22" t="s">
        <v>10</v>
      </c>
      <c r="E179" s="22" t="s">
        <v>10</v>
      </c>
      <c r="F179" s="22" t="s">
        <v>10</v>
      </c>
      <c r="G179" s="22" t="s">
        <v>10</v>
      </c>
    </row>
    <row r="180" spans="1:7" ht="14.1" customHeight="1" x14ac:dyDescent="0.2">
      <c r="A180" s="20" t="s">
        <v>10</v>
      </c>
      <c r="B180" s="206" t="s">
        <v>134</v>
      </c>
      <c r="C180" s="207"/>
      <c r="D180" s="13" t="s">
        <v>10</v>
      </c>
      <c r="E180" s="23" t="s">
        <v>10</v>
      </c>
      <c r="F180" s="22" t="s">
        <v>10</v>
      </c>
      <c r="G180" s="22" t="s">
        <v>10</v>
      </c>
    </row>
    <row r="181" spans="1:7" ht="29.1" customHeight="1" x14ac:dyDescent="0.2">
      <c r="A181" s="20" t="s">
        <v>10</v>
      </c>
      <c r="B181" s="213" t="s">
        <v>135</v>
      </c>
      <c r="C181" s="214"/>
      <c r="D181" s="4" t="s">
        <v>136</v>
      </c>
      <c r="E181" s="23" t="s">
        <v>10</v>
      </c>
      <c r="F181" s="22" t="s">
        <v>10</v>
      </c>
      <c r="G181" s="22" t="s">
        <v>10</v>
      </c>
    </row>
    <row r="182" spans="1:7" ht="17.100000000000001" customHeight="1" x14ac:dyDescent="0.2">
      <c r="A182" s="20" t="s">
        <v>10</v>
      </c>
      <c r="B182" s="213" t="s">
        <v>137</v>
      </c>
      <c r="C182" s="214"/>
      <c r="D182" s="4" t="s">
        <v>136</v>
      </c>
      <c r="E182" s="23" t="s">
        <v>10</v>
      </c>
      <c r="F182" s="22" t="s">
        <v>10</v>
      </c>
      <c r="G182" s="22" t="s">
        <v>10</v>
      </c>
    </row>
    <row r="183" spans="1:7" ht="17.100000000000001" customHeight="1" x14ac:dyDescent="0.2">
      <c r="A183" s="20" t="s">
        <v>10</v>
      </c>
      <c r="B183" s="213" t="s">
        <v>138</v>
      </c>
      <c r="C183" s="214"/>
      <c r="D183" s="13" t="s">
        <v>10</v>
      </c>
      <c r="E183" s="23" t="s">
        <v>10</v>
      </c>
      <c r="F183" s="22" t="s">
        <v>10</v>
      </c>
      <c r="G183" s="22" t="s">
        <v>10</v>
      </c>
    </row>
    <row r="184" spans="1:7" s="20" customFormat="1" ht="17.100000000000001" customHeight="1" x14ac:dyDescent="0.2"/>
    <row r="185" spans="1:7" x14ac:dyDescent="0.2">
      <c r="A185" s="24" t="s">
        <v>10</v>
      </c>
      <c r="B185" s="140" t="s">
        <v>10</v>
      </c>
      <c r="C185" s="140" t="s">
        <v>139</v>
      </c>
      <c r="D185" s="140" t="s">
        <v>140</v>
      </c>
      <c r="E185" s="24" t="s">
        <v>10</v>
      </c>
      <c r="F185" s="24" t="s">
        <v>10</v>
      </c>
      <c r="G185" s="24" t="s">
        <v>10</v>
      </c>
    </row>
    <row r="186" spans="1:7" ht="18" customHeight="1" x14ac:dyDescent="0.2">
      <c r="A186" s="24" t="s">
        <v>10</v>
      </c>
      <c r="B186" s="25" t="s">
        <v>141</v>
      </c>
      <c r="C186" s="25" t="s">
        <v>142</v>
      </c>
      <c r="D186" s="25" t="s">
        <v>143</v>
      </c>
      <c r="E186" s="24" t="s">
        <v>10</v>
      </c>
      <c r="F186" s="24" t="s">
        <v>10</v>
      </c>
      <c r="G186" s="24" t="s">
        <v>10</v>
      </c>
    </row>
    <row r="187" spans="1:7" ht="17.100000000000001" customHeight="1" x14ac:dyDescent="0.2">
      <c r="A187" s="24" t="s">
        <v>10</v>
      </c>
      <c r="B187" s="6" t="s">
        <v>144</v>
      </c>
      <c r="C187" s="26">
        <v>15.524800000000001</v>
      </c>
      <c r="D187" s="26">
        <v>16.705500000000001</v>
      </c>
      <c r="E187" s="24" t="s">
        <v>10</v>
      </c>
      <c r="F187" s="21" t="s">
        <v>10</v>
      </c>
      <c r="G187" s="27" t="s">
        <v>10</v>
      </c>
    </row>
    <row r="188" spans="1:7" ht="17.100000000000001" customHeight="1" x14ac:dyDescent="0.2">
      <c r="A188" s="24" t="s">
        <v>10</v>
      </c>
      <c r="B188" s="6" t="s">
        <v>917</v>
      </c>
      <c r="C188" s="26">
        <v>14.860200000000001</v>
      </c>
      <c r="D188" s="26">
        <v>15.990399999999999</v>
      </c>
      <c r="E188" s="24" t="s">
        <v>10</v>
      </c>
      <c r="F188" s="21" t="s">
        <v>10</v>
      </c>
      <c r="G188" s="27" t="s">
        <v>10</v>
      </c>
    </row>
    <row r="189" spans="1:7" ht="17.100000000000001" customHeight="1" x14ac:dyDescent="0.2">
      <c r="A189" s="24" t="s">
        <v>10</v>
      </c>
      <c r="B189" s="6" t="s">
        <v>145</v>
      </c>
      <c r="C189" s="26">
        <v>15.075799999999999</v>
      </c>
      <c r="D189" s="26">
        <v>16.218900000000001</v>
      </c>
      <c r="E189" s="24" t="s">
        <v>10</v>
      </c>
      <c r="F189" s="21" t="s">
        <v>10</v>
      </c>
      <c r="G189" s="27" t="s">
        <v>10</v>
      </c>
    </row>
    <row r="190" spans="1:7" ht="17.100000000000001" customHeight="1" x14ac:dyDescent="0.2">
      <c r="A190" s="24" t="s">
        <v>10</v>
      </c>
      <c r="B190" s="6" t="s">
        <v>918</v>
      </c>
      <c r="C190" s="26">
        <v>14.424200000000001</v>
      </c>
      <c r="D190" s="26">
        <v>15.517799999999999</v>
      </c>
      <c r="E190" s="24" t="s">
        <v>10</v>
      </c>
      <c r="F190" s="21" t="s">
        <v>10</v>
      </c>
      <c r="G190" s="27" t="s">
        <v>10</v>
      </c>
    </row>
    <row r="191" spans="1:7" ht="14.1" customHeight="1" x14ac:dyDescent="0.2">
      <c r="A191" s="24" t="s">
        <v>10</v>
      </c>
      <c r="B191" s="24" t="s">
        <v>10</v>
      </c>
      <c r="C191" s="24" t="s">
        <v>10</v>
      </c>
      <c r="D191" s="24" t="s">
        <v>10</v>
      </c>
      <c r="E191" s="24" t="s">
        <v>10</v>
      </c>
      <c r="F191" s="24" t="s">
        <v>10</v>
      </c>
      <c r="G191" s="24" t="s">
        <v>10</v>
      </c>
    </row>
    <row r="192" spans="1:7" ht="17.100000000000001" customHeight="1" x14ac:dyDescent="0.2">
      <c r="A192" s="24" t="s">
        <v>10</v>
      </c>
      <c r="B192" s="213" t="s">
        <v>999</v>
      </c>
      <c r="C192" s="214"/>
      <c r="D192" s="4" t="s">
        <v>136</v>
      </c>
      <c r="E192" s="24" t="s">
        <v>10</v>
      </c>
      <c r="F192" s="24" t="s">
        <v>10</v>
      </c>
      <c r="G192" s="24" t="s">
        <v>10</v>
      </c>
    </row>
    <row r="193" spans="1:7" ht="18" customHeight="1" x14ac:dyDescent="0.2">
      <c r="A193" s="24" t="s">
        <v>10</v>
      </c>
      <c r="B193" s="28"/>
      <c r="C193" s="28"/>
      <c r="D193" s="29" t="s">
        <v>10</v>
      </c>
      <c r="E193" s="24" t="s">
        <v>10</v>
      </c>
      <c r="F193" s="24" t="s">
        <v>10</v>
      </c>
      <c r="G193" s="24" t="s">
        <v>10</v>
      </c>
    </row>
    <row r="194" spans="1:7" s="175" customFormat="1" x14ac:dyDescent="0.2">
      <c r="B194" s="221" t="s">
        <v>919</v>
      </c>
      <c r="C194" s="221"/>
      <c r="D194" s="221"/>
      <c r="E194" s="221"/>
      <c r="F194" s="221"/>
    </row>
    <row r="195" spans="1:7" ht="14.1" customHeight="1" x14ac:dyDescent="0.2">
      <c r="A195" s="24" t="s">
        <v>10</v>
      </c>
      <c r="B195" s="21" t="s">
        <v>10</v>
      </c>
      <c r="C195" s="21" t="s">
        <v>10</v>
      </c>
      <c r="D195" s="24" t="s">
        <v>10</v>
      </c>
      <c r="E195" s="24" t="s">
        <v>10</v>
      </c>
      <c r="F195" s="24" t="s">
        <v>10</v>
      </c>
      <c r="G195" s="24" t="s">
        <v>10</v>
      </c>
    </row>
    <row r="196" spans="1:7" ht="29.1" customHeight="1" x14ac:dyDescent="0.2">
      <c r="A196" s="24" t="s">
        <v>10</v>
      </c>
      <c r="B196" s="213" t="s">
        <v>146</v>
      </c>
      <c r="C196" s="214"/>
      <c r="D196" s="4" t="s">
        <v>136</v>
      </c>
      <c r="E196" s="24" t="s">
        <v>10</v>
      </c>
      <c r="F196" s="24" t="s">
        <v>10</v>
      </c>
      <c r="G196" s="24" t="s">
        <v>10</v>
      </c>
    </row>
    <row r="197" spans="1:7" ht="29.1" customHeight="1" x14ac:dyDescent="0.2">
      <c r="A197" s="24" t="s">
        <v>10</v>
      </c>
      <c r="B197" s="213" t="s">
        <v>147</v>
      </c>
      <c r="C197" s="214"/>
      <c r="D197" s="4" t="s">
        <v>136</v>
      </c>
      <c r="E197" s="24" t="s">
        <v>10</v>
      </c>
      <c r="F197" s="24" t="s">
        <v>10</v>
      </c>
      <c r="G197" s="24" t="s">
        <v>10</v>
      </c>
    </row>
    <row r="198" spans="1:7" ht="17.100000000000001" customHeight="1" x14ac:dyDescent="0.2">
      <c r="A198" s="24" t="s">
        <v>10</v>
      </c>
      <c r="B198" s="213" t="s">
        <v>148</v>
      </c>
      <c r="C198" s="214"/>
      <c r="D198" s="30">
        <v>0.68622646999417802</v>
      </c>
      <c r="E198" s="24" t="s">
        <v>10</v>
      </c>
      <c r="F198" s="21" t="s">
        <v>10</v>
      </c>
      <c r="G198" s="27" t="s">
        <v>10</v>
      </c>
    </row>
    <row r="199" spans="1:7" ht="17.100000000000001" customHeight="1" x14ac:dyDescent="0.2">
      <c r="A199" s="24" t="s">
        <v>10</v>
      </c>
      <c r="B199" s="213" t="s">
        <v>149</v>
      </c>
      <c r="C199" s="214"/>
      <c r="D199" s="4" t="s">
        <v>136</v>
      </c>
      <c r="E199" s="24" t="s">
        <v>10</v>
      </c>
      <c r="F199" s="24" t="s">
        <v>10</v>
      </c>
      <c r="G199" s="24" t="s">
        <v>10</v>
      </c>
    </row>
  </sheetData>
  <mergeCells count="13">
    <mergeCell ref="B199:C199"/>
    <mergeCell ref="B181:C181"/>
    <mergeCell ref="B182:C182"/>
    <mergeCell ref="B183:C183"/>
    <mergeCell ref="B192:C192"/>
    <mergeCell ref="B196:C196"/>
    <mergeCell ref="B197:C197"/>
    <mergeCell ref="B194:F194"/>
    <mergeCell ref="B180:C180"/>
    <mergeCell ref="A1:H1"/>
    <mergeCell ref="A2:H2"/>
    <mergeCell ref="A3:H3"/>
    <mergeCell ref="B198:C19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43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1" max="11" width="14.7109375" bestFit="1" customWidth="1"/>
    <col min="13" max="13" width="12.1406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696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51</v>
      </c>
      <c r="C7" s="6" t="s">
        <v>52</v>
      </c>
      <c r="D7" s="6" t="s">
        <v>23</v>
      </c>
      <c r="E7" s="7">
        <v>1165000</v>
      </c>
      <c r="F7" s="8">
        <v>17659.6525</v>
      </c>
      <c r="G7" s="9">
        <v>7.5319931000000007E-2</v>
      </c>
      <c r="H7" s="167"/>
    </row>
    <row r="8" spans="1:8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785000</v>
      </c>
      <c r="F8" s="8">
        <v>16958.355</v>
      </c>
      <c r="G8" s="9">
        <v>7.2328838000000006E-2</v>
      </c>
      <c r="H8" s="167"/>
    </row>
    <row r="9" spans="1:8" x14ac:dyDescent="0.2">
      <c r="A9" s="5">
        <v>3</v>
      </c>
      <c r="B9" s="6" t="s">
        <v>21</v>
      </c>
      <c r="C9" s="6" t="s">
        <v>22</v>
      </c>
      <c r="D9" s="6" t="s">
        <v>23</v>
      </c>
      <c r="E9" s="7">
        <v>2500000</v>
      </c>
      <c r="F9" s="8">
        <v>16568.75</v>
      </c>
      <c r="G9" s="9">
        <v>7.0667139000000004E-2</v>
      </c>
      <c r="H9" s="167"/>
    </row>
    <row r="10" spans="1:8" x14ac:dyDescent="0.2">
      <c r="A10" s="5">
        <v>4</v>
      </c>
      <c r="B10" s="6" t="s">
        <v>399</v>
      </c>
      <c r="C10" s="6" t="s">
        <v>400</v>
      </c>
      <c r="D10" s="6" t="s">
        <v>167</v>
      </c>
      <c r="E10" s="7">
        <v>1072000</v>
      </c>
      <c r="F10" s="8">
        <v>14941</v>
      </c>
      <c r="G10" s="9">
        <v>6.3724645999999996E-2</v>
      </c>
      <c r="H10" s="167"/>
    </row>
    <row r="11" spans="1:8" ht="25.5" x14ac:dyDescent="0.2">
      <c r="A11" s="5">
        <v>5</v>
      </c>
      <c r="B11" s="6" t="s">
        <v>401</v>
      </c>
      <c r="C11" s="6" t="s">
        <v>402</v>
      </c>
      <c r="D11" s="6" t="s">
        <v>158</v>
      </c>
      <c r="E11" s="7">
        <v>460000</v>
      </c>
      <c r="F11" s="8">
        <v>11743.11</v>
      </c>
      <c r="G11" s="9">
        <v>5.0085370999999997E-2</v>
      </c>
      <c r="H11" s="167"/>
    </row>
    <row r="12" spans="1:8" x14ac:dyDescent="0.2">
      <c r="A12" s="5">
        <v>6</v>
      </c>
      <c r="B12" s="6" t="s">
        <v>370</v>
      </c>
      <c r="C12" s="6" t="s">
        <v>371</v>
      </c>
      <c r="D12" s="6" t="s">
        <v>23</v>
      </c>
      <c r="E12" s="7">
        <v>1400000</v>
      </c>
      <c r="F12" s="8">
        <v>10509.8</v>
      </c>
      <c r="G12" s="9">
        <v>4.4825197999999997E-2</v>
      </c>
      <c r="H12" s="167"/>
    </row>
    <row r="13" spans="1:8" x14ac:dyDescent="0.2">
      <c r="A13" s="5">
        <v>7</v>
      </c>
      <c r="B13" s="6" t="s">
        <v>413</v>
      </c>
      <c r="C13" s="6" t="s">
        <v>414</v>
      </c>
      <c r="D13" s="6" t="s">
        <v>167</v>
      </c>
      <c r="E13" s="7">
        <v>230000</v>
      </c>
      <c r="F13" s="8">
        <v>7266.0450000000001</v>
      </c>
      <c r="G13" s="9">
        <v>3.0990304999999999E-2</v>
      </c>
      <c r="H13" s="167"/>
    </row>
    <row r="14" spans="1:8" x14ac:dyDescent="0.2">
      <c r="A14" s="5">
        <v>8</v>
      </c>
      <c r="B14" s="6" t="s">
        <v>366</v>
      </c>
      <c r="C14" s="6" t="s">
        <v>367</v>
      </c>
      <c r="D14" s="6" t="s">
        <v>167</v>
      </c>
      <c r="E14" s="7">
        <v>760000</v>
      </c>
      <c r="F14" s="8">
        <v>7183.52</v>
      </c>
      <c r="G14" s="9">
        <v>3.0638327999999999E-2</v>
      </c>
      <c r="H14" s="167"/>
    </row>
    <row r="15" spans="1:8" x14ac:dyDescent="0.2">
      <c r="A15" s="5">
        <v>9</v>
      </c>
      <c r="B15" s="6" t="s">
        <v>403</v>
      </c>
      <c r="C15" s="6" t="s">
        <v>404</v>
      </c>
      <c r="D15" s="6" t="s">
        <v>23</v>
      </c>
      <c r="E15" s="7">
        <v>1655000</v>
      </c>
      <c r="F15" s="8">
        <v>7022.9925000000003</v>
      </c>
      <c r="G15" s="9">
        <v>2.9953665000000001E-2</v>
      </c>
      <c r="H15" s="167"/>
    </row>
    <row r="16" spans="1:8" x14ac:dyDescent="0.2">
      <c r="A16" s="5">
        <v>10</v>
      </c>
      <c r="B16" s="6" t="s">
        <v>27</v>
      </c>
      <c r="C16" s="6" t="s">
        <v>28</v>
      </c>
      <c r="D16" s="6" t="s">
        <v>29</v>
      </c>
      <c r="E16" s="7">
        <v>565000</v>
      </c>
      <c r="F16" s="8">
        <v>6894.4125000000004</v>
      </c>
      <c r="G16" s="9">
        <v>2.9405259999999999E-2</v>
      </c>
      <c r="H16" s="167"/>
    </row>
    <row r="17" spans="1:8" ht="25.5" x14ac:dyDescent="0.2">
      <c r="A17" s="5">
        <v>11</v>
      </c>
      <c r="B17" s="6" t="s">
        <v>327</v>
      </c>
      <c r="C17" s="6" t="s">
        <v>328</v>
      </c>
      <c r="D17" s="6" t="s">
        <v>78</v>
      </c>
      <c r="E17" s="7">
        <v>640000</v>
      </c>
      <c r="F17" s="8">
        <v>6473.92</v>
      </c>
      <c r="G17" s="9">
        <v>2.7611824E-2</v>
      </c>
      <c r="H17" s="167"/>
    </row>
    <row r="18" spans="1:8" x14ac:dyDescent="0.2">
      <c r="A18" s="5">
        <v>12</v>
      </c>
      <c r="B18" s="6" t="s">
        <v>151</v>
      </c>
      <c r="C18" s="6" t="s">
        <v>152</v>
      </c>
      <c r="D18" s="6" t="s">
        <v>153</v>
      </c>
      <c r="E18" s="7">
        <v>194000</v>
      </c>
      <c r="F18" s="8">
        <v>6256.1120000000001</v>
      </c>
      <c r="G18" s="9">
        <v>2.6682853999999999E-2</v>
      </c>
      <c r="H18" s="167"/>
    </row>
    <row r="19" spans="1:8" ht="25.5" x14ac:dyDescent="0.2">
      <c r="A19" s="5">
        <v>13</v>
      </c>
      <c r="B19" s="6" t="s">
        <v>40</v>
      </c>
      <c r="C19" s="6" t="s">
        <v>41</v>
      </c>
      <c r="D19" s="6" t="s">
        <v>970</v>
      </c>
      <c r="E19" s="7">
        <v>88000</v>
      </c>
      <c r="F19" s="8">
        <v>5903.04</v>
      </c>
      <c r="G19" s="9">
        <v>2.5176971999999999E-2</v>
      </c>
      <c r="H19" s="167"/>
    </row>
    <row r="20" spans="1:8" x14ac:dyDescent="0.2">
      <c r="A20" s="5">
        <v>14</v>
      </c>
      <c r="B20" s="6" t="s">
        <v>13</v>
      </c>
      <c r="C20" s="6" t="s">
        <v>14</v>
      </c>
      <c r="D20" s="6" t="s">
        <v>15</v>
      </c>
      <c r="E20" s="7">
        <v>375000</v>
      </c>
      <c r="F20" s="8">
        <v>5503.875</v>
      </c>
      <c r="G20" s="9">
        <v>2.3474498999999999E-2</v>
      </c>
      <c r="H20" s="167"/>
    </row>
    <row r="21" spans="1:8" x14ac:dyDescent="0.2">
      <c r="A21" s="5">
        <v>15</v>
      </c>
      <c r="B21" s="6" t="s">
        <v>218</v>
      </c>
      <c r="C21" s="6" t="s">
        <v>219</v>
      </c>
      <c r="D21" s="6" t="s">
        <v>973</v>
      </c>
      <c r="E21" s="7">
        <v>800000</v>
      </c>
      <c r="F21" s="8">
        <v>5464.8</v>
      </c>
      <c r="G21" s="9">
        <v>2.330784E-2</v>
      </c>
      <c r="H21" s="167"/>
    </row>
    <row r="22" spans="1:8" ht="25.5" x14ac:dyDescent="0.2">
      <c r="A22" s="5">
        <v>16</v>
      </c>
      <c r="B22" s="6" t="s">
        <v>19</v>
      </c>
      <c r="C22" s="6" t="s">
        <v>20</v>
      </c>
      <c r="D22" s="6" t="s">
        <v>970</v>
      </c>
      <c r="E22" s="7">
        <v>555000</v>
      </c>
      <c r="F22" s="8">
        <v>5362.6875</v>
      </c>
      <c r="G22" s="9">
        <v>2.2872322E-2</v>
      </c>
      <c r="H22" s="167"/>
    </row>
    <row r="23" spans="1:8" x14ac:dyDescent="0.2">
      <c r="A23" s="5">
        <v>17</v>
      </c>
      <c r="B23" s="6" t="s">
        <v>405</v>
      </c>
      <c r="C23" s="6" t="s">
        <v>406</v>
      </c>
      <c r="D23" s="6" t="s">
        <v>969</v>
      </c>
      <c r="E23" s="7">
        <v>510000</v>
      </c>
      <c r="F23" s="8">
        <v>4975.8149999999996</v>
      </c>
      <c r="G23" s="9">
        <v>2.1222277000000001E-2</v>
      </c>
      <c r="H23" s="167"/>
    </row>
    <row r="24" spans="1:8" x14ac:dyDescent="0.2">
      <c r="A24" s="5">
        <v>18</v>
      </c>
      <c r="B24" s="6" t="s">
        <v>24</v>
      </c>
      <c r="C24" s="6" t="s">
        <v>25</v>
      </c>
      <c r="D24" s="6" t="s">
        <v>26</v>
      </c>
      <c r="E24" s="7">
        <v>900000</v>
      </c>
      <c r="F24" s="8">
        <v>4814.1000000000004</v>
      </c>
      <c r="G24" s="9">
        <v>2.0532549000000001E-2</v>
      </c>
      <c r="H24" s="167"/>
    </row>
    <row r="25" spans="1:8" ht="25.5" x14ac:dyDescent="0.2">
      <c r="A25" s="5">
        <v>19</v>
      </c>
      <c r="B25" s="6" t="s">
        <v>321</v>
      </c>
      <c r="C25" s="6" t="s">
        <v>322</v>
      </c>
      <c r="D25" s="6" t="s">
        <v>78</v>
      </c>
      <c r="E25" s="7">
        <v>945000</v>
      </c>
      <c r="F25" s="8">
        <v>4735.3950000000004</v>
      </c>
      <c r="G25" s="9">
        <v>2.0196866000000001E-2</v>
      </c>
      <c r="H25" s="167"/>
    </row>
    <row r="26" spans="1:8" x14ac:dyDescent="0.2">
      <c r="A26" s="5">
        <v>20</v>
      </c>
      <c r="B26" s="6" t="s">
        <v>309</v>
      </c>
      <c r="C26" s="6" t="s">
        <v>310</v>
      </c>
      <c r="D26" s="6" t="s">
        <v>971</v>
      </c>
      <c r="E26" s="7">
        <v>150000</v>
      </c>
      <c r="F26" s="8">
        <v>4666.8</v>
      </c>
      <c r="G26" s="9">
        <v>1.9904301999999999E-2</v>
      </c>
      <c r="H26" s="167"/>
    </row>
    <row r="27" spans="1:8" x14ac:dyDescent="0.2">
      <c r="A27" s="5">
        <v>21</v>
      </c>
      <c r="B27" s="6" t="s">
        <v>61</v>
      </c>
      <c r="C27" s="6" t="s">
        <v>62</v>
      </c>
      <c r="D27" s="6" t="s">
        <v>18</v>
      </c>
      <c r="E27" s="7">
        <v>850000</v>
      </c>
      <c r="F27" s="8">
        <v>4012</v>
      </c>
      <c r="G27" s="9">
        <v>1.7111523999999999E-2</v>
      </c>
      <c r="H27" s="167"/>
    </row>
    <row r="28" spans="1:8" ht="25.5" x14ac:dyDescent="0.2">
      <c r="A28" s="5">
        <v>22</v>
      </c>
      <c r="B28" s="6" t="s">
        <v>331</v>
      </c>
      <c r="C28" s="6" t="s">
        <v>332</v>
      </c>
      <c r="D28" s="6" t="s">
        <v>75</v>
      </c>
      <c r="E28" s="7">
        <v>975000</v>
      </c>
      <c r="F28" s="8">
        <v>3882.9375</v>
      </c>
      <c r="G28" s="9">
        <v>1.6561060999999998E-2</v>
      </c>
      <c r="H28" s="167"/>
    </row>
    <row r="29" spans="1:8" x14ac:dyDescent="0.2">
      <c r="A29" s="5">
        <v>23</v>
      </c>
      <c r="B29" s="6" t="s">
        <v>407</v>
      </c>
      <c r="C29" s="6" t="s">
        <v>408</v>
      </c>
      <c r="D29" s="6" t="s">
        <v>94</v>
      </c>
      <c r="E29" s="7">
        <v>440000</v>
      </c>
      <c r="F29" s="8">
        <v>3554.98</v>
      </c>
      <c r="G29" s="9">
        <v>1.5162294E-2</v>
      </c>
      <c r="H29" s="167"/>
    </row>
    <row r="30" spans="1:8" x14ac:dyDescent="0.2">
      <c r="A30" s="5">
        <v>24</v>
      </c>
      <c r="B30" s="6" t="s">
        <v>97</v>
      </c>
      <c r="C30" s="6" t="s">
        <v>98</v>
      </c>
      <c r="D30" s="6" t="s">
        <v>29</v>
      </c>
      <c r="E30" s="7">
        <v>63078</v>
      </c>
      <c r="F30" s="8">
        <v>3335.7223349999999</v>
      </c>
      <c r="G30" s="9">
        <v>1.4227142E-2</v>
      </c>
      <c r="H30" s="167"/>
    </row>
    <row r="31" spans="1:8" x14ac:dyDescent="0.2">
      <c r="A31" s="5">
        <v>25</v>
      </c>
      <c r="B31" s="6" t="s">
        <v>345</v>
      </c>
      <c r="C31" s="6" t="s">
        <v>346</v>
      </c>
      <c r="D31" s="6" t="s">
        <v>57</v>
      </c>
      <c r="E31" s="7">
        <v>800000</v>
      </c>
      <c r="F31" s="8">
        <v>3257.6</v>
      </c>
      <c r="G31" s="9">
        <v>1.3893943000000001E-2</v>
      </c>
      <c r="H31" s="167"/>
    </row>
    <row r="32" spans="1:8" x14ac:dyDescent="0.2">
      <c r="A32" s="5">
        <v>26</v>
      </c>
      <c r="B32" s="6" t="s">
        <v>421</v>
      </c>
      <c r="C32" s="6" t="s">
        <v>422</v>
      </c>
      <c r="D32" s="6" t="s">
        <v>192</v>
      </c>
      <c r="E32" s="7">
        <v>72000</v>
      </c>
      <c r="F32" s="8">
        <v>3019.68</v>
      </c>
      <c r="G32" s="9">
        <v>1.2879194E-2</v>
      </c>
      <c r="H32" s="167"/>
    </row>
    <row r="33" spans="1:8" ht="25.5" x14ac:dyDescent="0.2">
      <c r="A33" s="5">
        <v>27</v>
      </c>
      <c r="B33" s="6" t="s">
        <v>419</v>
      </c>
      <c r="C33" s="6" t="s">
        <v>420</v>
      </c>
      <c r="D33" s="6" t="s">
        <v>78</v>
      </c>
      <c r="E33" s="7">
        <v>120000</v>
      </c>
      <c r="F33" s="8">
        <v>2808.06</v>
      </c>
      <c r="G33" s="9">
        <v>1.1976617E-2</v>
      </c>
      <c r="H33" s="167"/>
    </row>
    <row r="34" spans="1:8" x14ac:dyDescent="0.2">
      <c r="A34" s="5">
        <v>28</v>
      </c>
      <c r="B34" s="6" t="s">
        <v>168</v>
      </c>
      <c r="C34" s="6" t="s">
        <v>169</v>
      </c>
      <c r="D34" s="6" t="s">
        <v>75</v>
      </c>
      <c r="E34" s="7">
        <v>700000</v>
      </c>
      <c r="F34" s="8">
        <v>2785.3</v>
      </c>
      <c r="G34" s="9">
        <v>1.1879542999999999E-2</v>
      </c>
      <c r="H34" s="167"/>
    </row>
    <row r="35" spans="1:8" x14ac:dyDescent="0.2">
      <c r="A35" s="5">
        <v>29</v>
      </c>
      <c r="B35" s="6" t="s">
        <v>415</v>
      </c>
      <c r="C35" s="6" t="s">
        <v>416</v>
      </c>
      <c r="D35" s="6" t="s">
        <v>192</v>
      </c>
      <c r="E35" s="7">
        <v>410000</v>
      </c>
      <c r="F35" s="8">
        <v>2740.03</v>
      </c>
      <c r="G35" s="9">
        <v>1.1686462999999999E-2</v>
      </c>
      <c r="H35" s="167"/>
    </row>
    <row r="36" spans="1:8" x14ac:dyDescent="0.2">
      <c r="A36" s="5">
        <v>30</v>
      </c>
      <c r="B36" s="6" t="s">
        <v>193</v>
      </c>
      <c r="C36" s="6" t="s">
        <v>194</v>
      </c>
      <c r="D36" s="6" t="s">
        <v>178</v>
      </c>
      <c r="E36" s="7">
        <v>1335000</v>
      </c>
      <c r="F36" s="8">
        <v>2440.38</v>
      </c>
      <c r="G36" s="9">
        <v>1.040843E-2</v>
      </c>
      <c r="H36" s="167"/>
    </row>
    <row r="37" spans="1:8" x14ac:dyDescent="0.2">
      <c r="A37" s="5">
        <v>31</v>
      </c>
      <c r="B37" s="6" t="s">
        <v>333</v>
      </c>
      <c r="C37" s="6" t="s">
        <v>334</v>
      </c>
      <c r="D37" s="6" t="s">
        <v>67</v>
      </c>
      <c r="E37" s="7">
        <v>350000</v>
      </c>
      <c r="F37" s="8">
        <v>2393.65</v>
      </c>
      <c r="G37" s="9">
        <v>1.0209121999999999E-2</v>
      </c>
      <c r="H37" s="167"/>
    </row>
    <row r="38" spans="1:8" ht="25.5" x14ac:dyDescent="0.2">
      <c r="A38" s="5">
        <v>32</v>
      </c>
      <c r="B38" s="6" t="s">
        <v>376</v>
      </c>
      <c r="C38" s="6" t="s">
        <v>377</v>
      </c>
      <c r="D38" s="6" t="s">
        <v>78</v>
      </c>
      <c r="E38" s="7">
        <v>350000</v>
      </c>
      <c r="F38" s="8">
        <v>2323.4749999999999</v>
      </c>
      <c r="G38" s="9">
        <v>9.9098199999999997E-3</v>
      </c>
      <c r="H38" s="167"/>
    </row>
    <row r="39" spans="1:8" x14ac:dyDescent="0.2">
      <c r="A39" s="5">
        <v>33</v>
      </c>
      <c r="B39" s="6" t="s">
        <v>388</v>
      </c>
      <c r="C39" s="6" t="s">
        <v>389</v>
      </c>
      <c r="D39" s="6" t="s">
        <v>969</v>
      </c>
      <c r="E39" s="7">
        <v>19000</v>
      </c>
      <c r="F39" s="8">
        <v>2243.1970000000001</v>
      </c>
      <c r="G39" s="9">
        <v>9.5674269999999999E-3</v>
      </c>
      <c r="H39" s="167"/>
    </row>
    <row r="40" spans="1:8" x14ac:dyDescent="0.2">
      <c r="A40" s="5">
        <v>34</v>
      </c>
      <c r="B40" s="6" t="s">
        <v>301</v>
      </c>
      <c r="C40" s="6" t="s">
        <v>302</v>
      </c>
      <c r="D40" s="6" t="s">
        <v>178</v>
      </c>
      <c r="E40" s="7">
        <v>70000</v>
      </c>
      <c r="F40" s="8">
        <v>2218.125</v>
      </c>
      <c r="G40" s="9">
        <v>9.4604930000000004E-3</v>
      </c>
      <c r="H40" s="167"/>
    </row>
    <row r="41" spans="1:8" x14ac:dyDescent="0.2">
      <c r="A41" s="5">
        <v>35</v>
      </c>
      <c r="B41" s="6" t="s">
        <v>238</v>
      </c>
      <c r="C41" s="6" t="s">
        <v>239</v>
      </c>
      <c r="D41" s="6" t="s">
        <v>240</v>
      </c>
      <c r="E41" s="7">
        <v>264793</v>
      </c>
      <c r="F41" s="8">
        <v>2158.3277429999998</v>
      </c>
      <c r="G41" s="9">
        <v>9.2054530000000006E-3</v>
      </c>
      <c r="H41" s="167"/>
    </row>
    <row r="42" spans="1:8" x14ac:dyDescent="0.2">
      <c r="A42" s="5">
        <v>36</v>
      </c>
      <c r="B42" s="6" t="s">
        <v>431</v>
      </c>
      <c r="C42" s="6" t="s">
        <v>432</v>
      </c>
      <c r="D42" s="6" t="s">
        <v>433</v>
      </c>
      <c r="E42" s="7">
        <v>535000</v>
      </c>
      <c r="F42" s="8">
        <v>2109.2375000000002</v>
      </c>
      <c r="G42" s="9">
        <v>8.9960790000000006E-3</v>
      </c>
      <c r="H42" s="167"/>
    </row>
    <row r="43" spans="1:8" x14ac:dyDescent="0.2">
      <c r="A43" s="5">
        <v>37</v>
      </c>
      <c r="B43" s="6" t="s">
        <v>444</v>
      </c>
      <c r="C43" s="6" t="s">
        <v>445</v>
      </c>
      <c r="D43" s="6" t="s">
        <v>192</v>
      </c>
      <c r="E43" s="7">
        <v>34000</v>
      </c>
      <c r="F43" s="8">
        <v>1805.1110000000001</v>
      </c>
      <c r="G43" s="9">
        <v>7.6989529999999997E-3</v>
      </c>
      <c r="H43" s="167"/>
    </row>
    <row r="44" spans="1:8" ht="25.5" x14ac:dyDescent="0.2">
      <c r="A44" s="5">
        <v>38</v>
      </c>
      <c r="B44" s="6" t="s">
        <v>425</v>
      </c>
      <c r="C44" s="6" t="s">
        <v>426</v>
      </c>
      <c r="D44" s="6" t="s">
        <v>78</v>
      </c>
      <c r="E44" s="7">
        <v>830000</v>
      </c>
      <c r="F44" s="8">
        <v>1797.78</v>
      </c>
      <c r="G44" s="9">
        <v>7.6676859999999999E-3</v>
      </c>
      <c r="H44" s="167"/>
    </row>
    <row r="45" spans="1:8" x14ac:dyDescent="0.2">
      <c r="A45" s="5">
        <v>39</v>
      </c>
      <c r="B45" s="6" t="s">
        <v>68</v>
      </c>
      <c r="C45" s="6" t="s">
        <v>69</v>
      </c>
      <c r="D45" s="6" t="s">
        <v>70</v>
      </c>
      <c r="E45" s="7">
        <v>1100000</v>
      </c>
      <c r="F45" s="8">
        <v>1759.45</v>
      </c>
      <c r="G45" s="9">
        <v>7.5042049999999999E-3</v>
      </c>
      <c r="H45" s="167"/>
    </row>
    <row r="46" spans="1:8" x14ac:dyDescent="0.2">
      <c r="A46" s="5">
        <v>40</v>
      </c>
      <c r="B46" s="6" t="s">
        <v>429</v>
      </c>
      <c r="C46" s="6" t="s">
        <v>430</v>
      </c>
      <c r="D46" s="6" t="s">
        <v>23</v>
      </c>
      <c r="E46" s="7">
        <v>94000</v>
      </c>
      <c r="F46" s="8">
        <v>1699.2380000000001</v>
      </c>
      <c r="G46" s="9">
        <v>7.2473959999999997E-3</v>
      </c>
      <c r="H46" s="167"/>
    </row>
    <row r="47" spans="1:8" ht="25.5" x14ac:dyDescent="0.2">
      <c r="A47" s="5">
        <v>41</v>
      </c>
      <c r="B47" s="6" t="s">
        <v>423</v>
      </c>
      <c r="C47" s="6" t="s">
        <v>424</v>
      </c>
      <c r="D47" s="6" t="s">
        <v>969</v>
      </c>
      <c r="E47" s="7">
        <v>110000</v>
      </c>
      <c r="F47" s="8">
        <v>1619.09</v>
      </c>
      <c r="G47" s="9">
        <v>6.905558E-3</v>
      </c>
      <c r="H47" s="167"/>
    </row>
    <row r="48" spans="1:8" x14ac:dyDescent="0.2">
      <c r="A48" s="5">
        <v>42</v>
      </c>
      <c r="B48" s="6" t="s">
        <v>440</v>
      </c>
      <c r="C48" s="6" t="s">
        <v>441</v>
      </c>
      <c r="D48" s="6" t="s">
        <v>192</v>
      </c>
      <c r="E48" s="7">
        <v>165000</v>
      </c>
      <c r="F48" s="8">
        <v>1566.4275</v>
      </c>
      <c r="G48" s="9">
        <v>6.6809479999999999E-3</v>
      </c>
      <c r="H48" s="167"/>
    </row>
    <row r="49" spans="1:8" x14ac:dyDescent="0.2">
      <c r="A49" s="5">
        <v>43</v>
      </c>
      <c r="B49" s="6" t="s">
        <v>313</v>
      </c>
      <c r="C49" s="6" t="s">
        <v>314</v>
      </c>
      <c r="D49" s="6" t="s">
        <v>23</v>
      </c>
      <c r="E49" s="7">
        <v>1500000</v>
      </c>
      <c r="F49" s="8">
        <v>1308.75</v>
      </c>
      <c r="G49" s="9">
        <v>5.581931E-3</v>
      </c>
      <c r="H49" s="167"/>
    </row>
    <row r="50" spans="1:8" x14ac:dyDescent="0.2">
      <c r="A50" s="5">
        <v>44</v>
      </c>
      <c r="B50" s="6" t="s">
        <v>347</v>
      </c>
      <c r="C50" s="6" t="s">
        <v>348</v>
      </c>
      <c r="D50" s="6" t="s">
        <v>23</v>
      </c>
      <c r="E50" s="7">
        <v>1600000</v>
      </c>
      <c r="F50" s="8">
        <v>1291.2</v>
      </c>
      <c r="G50" s="9">
        <v>5.5070789999999998E-3</v>
      </c>
      <c r="H50" s="167"/>
    </row>
    <row r="51" spans="1:8" ht="25.5" x14ac:dyDescent="0.2">
      <c r="A51" s="5">
        <v>45</v>
      </c>
      <c r="B51" s="6" t="s">
        <v>510</v>
      </c>
      <c r="C51" s="6" t="s">
        <v>511</v>
      </c>
      <c r="D51" s="6" t="s">
        <v>37</v>
      </c>
      <c r="E51" s="7">
        <v>59500</v>
      </c>
      <c r="F51" s="8">
        <v>1241.3485000000001</v>
      </c>
      <c r="G51" s="9">
        <v>5.2944580000000002E-3</v>
      </c>
      <c r="H51" s="167"/>
    </row>
    <row r="52" spans="1:8" x14ac:dyDescent="0.2">
      <c r="A52" s="5">
        <v>46</v>
      </c>
      <c r="B52" s="6" t="s">
        <v>262</v>
      </c>
      <c r="C52" s="6" t="s">
        <v>263</v>
      </c>
      <c r="D52" s="6" t="s">
        <v>185</v>
      </c>
      <c r="E52" s="7">
        <v>204789</v>
      </c>
      <c r="F52" s="8">
        <v>1164.5326485000001</v>
      </c>
      <c r="G52" s="9">
        <v>4.966832E-3</v>
      </c>
      <c r="H52" s="167"/>
    </row>
    <row r="53" spans="1:8" x14ac:dyDescent="0.2">
      <c r="A53" s="5">
        <v>47</v>
      </c>
      <c r="B53" s="6" t="s">
        <v>499</v>
      </c>
      <c r="C53" s="6" t="s">
        <v>500</v>
      </c>
      <c r="D53" s="6" t="s">
        <v>94</v>
      </c>
      <c r="E53" s="7">
        <v>365000</v>
      </c>
      <c r="F53" s="8">
        <v>1163.4375</v>
      </c>
      <c r="G53" s="9">
        <v>4.9621609999999997E-3</v>
      </c>
      <c r="H53" s="167"/>
    </row>
    <row r="54" spans="1:8" x14ac:dyDescent="0.2">
      <c r="A54" s="3" t="s">
        <v>10</v>
      </c>
      <c r="B54" s="3" t="s">
        <v>10</v>
      </c>
      <c r="C54" s="4" t="s">
        <v>104</v>
      </c>
      <c r="D54" s="3" t="s">
        <v>10</v>
      </c>
      <c r="E54" s="3" t="s">
        <v>10</v>
      </c>
      <c r="F54" s="10">
        <v>232603.24922649999</v>
      </c>
      <c r="G54" s="11">
        <v>0.99207279800000003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105</v>
      </c>
      <c r="D56" s="3" t="s">
        <v>10</v>
      </c>
      <c r="E56" s="3" t="s">
        <v>10</v>
      </c>
      <c r="F56" s="3" t="s">
        <v>10</v>
      </c>
      <c r="G56" s="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4">
        <v>0</v>
      </c>
      <c r="G57" s="15">
        <v>0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106</v>
      </c>
      <c r="D59" s="3" t="s">
        <v>10</v>
      </c>
      <c r="E59" s="3" t="s">
        <v>10</v>
      </c>
      <c r="F59" s="3" t="s">
        <v>10</v>
      </c>
      <c r="G59" s="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104</v>
      </c>
      <c r="D60" s="3" t="s">
        <v>10</v>
      </c>
      <c r="E60" s="3" t="s">
        <v>10</v>
      </c>
      <c r="F60" s="14">
        <v>0</v>
      </c>
      <c r="G60" s="15">
        <v>0</v>
      </c>
      <c r="H60" s="167"/>
    </row>
    <row r="61" spans="1:8" x14ac:dyDescent="0.2">
      <c r="A61" s="3" t="s">
        <v>10</v>
      </c>
      <c r="B61" s="3" t="s">
        <v>10</v>
      </c>
      <c r="C61" s="12" t="s">
        <v>10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110</v>
      </c>
      <c r="D62" s="3" t="s">
        <v>10</v>
      </c>
      <c r="E62" s="3" t="s">
        <v>10</v>
      </c>
      <c r="F62" s="3" t="s">
        <v>10</v>
      </c>
      <c r="G62" s="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0</v>
      </c>
      <c r="G63" s="15">
        <v>0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111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112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113</v>
      </c>
      <c r="D71" s="3" t="s">
        <v>10</v>
      </c>
      <c r="E71" s="3" t="s">
        <v>10</v>
      </c>
      <c r="F71" s="10">
        <v>232603.24922649999</v>
      </c>
      <c r="G71" s="11">
        <v>0.99207279800000003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114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ht="25.5" x14ac:dyDescent="0.2">
      <c r="A74" s="3" t="s">
        <v>10</v>
      </c>
      <c r="B74" s="3" t="s">
        <v>10</v>
      </c>
      <c r="C74" s="4" t="s">
        <v>12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115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116</v>
      </c>
      <c r="D80" s="3" t="s">
        <v>10</v>
      </c>
      <c r="E80" s="3" t="s">
        <v>10</v>
      </c>
      <c r="F80" s="3" t="s">
        <v>10</v>
      </c>
      <c r="G80" s="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117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118</v>
      </c>
      <c r="D86" s="3" t="s">
        <v>10</v>
      </c>
      <c r="E86" s="3" t="s">
        <v>10</v>
      </c>
      <c r="F86" s="10">
        <v>0</v>
      </c>
      <c r="G86" s="11">
        <v>0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119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121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122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123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5">
        <v>1</v>
      </c>
      <c r="B99" s="6"/>
      <c r="C99" s="6" t="s">
        <v>124</v>
      </c>
      <c r="D99" s="6"/>
      <c r="E99" s="16" t="s">
        <v>10</v>
      </c>
      <c r="F99" s="8">
        <v>1195.9906698</v>
      </c>
      <c r="G99" s="9">
        <v>5.1010029999999998E-3</v>
      </c>
      <c r="H99" s="108">
        <v>3.23</v>
      </c>
    </row>
    <row r="100" spans="1:8" x14ac:dyDescent="0.2">
      <c r="A100" s="5">
        <v>2</v>
      </c>
      <c r="B100" s="6"/>
      <c r="C100" s="6" t="s">
        <v>125</v>
      </c>
      <c r="D100" s="6"/>
      <c r="E100" s="16" t="s">
        <v>10</v>
      </c>
      <c r="F100" s="8">
        <v>335.94168689999998</v>
      </c>
      <c r="G100" s="9">
        <v>1.43282E-3</v>
      </c>
      <c r="H100" s="108">
        <v>3.35</v>
      </c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0">
        <v>1531.9323566999999</v>
      </c>
      <c r="G101" s="11">
        <v>6.5338230000000002E-3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126</v>
      </c>
      <c r="D103" s="3" t="s">
        <v>10</v>
      </c>
      <c r="E103" s="3" t="s">
        <v>10</v>
      </c>
      <c r="F103" s="10">
        <v>1531.9323566999999</v>
      </c>
      <c r="G103" s="11">
        <v>6.5338230000000002E-3</v>
      </c>
      <c r="H103" s="167"/>
    </row>
    <row r="104" spans="1:8" x14ac:dyDescent="0.2">
      <c r="A104" s="3" t="s">
        <v>10</v>
      </c>
      <c r="B104" s="3" t="s">
        <v>10</v>
      </c>
      <c r="C104" s="1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127</v>
      </c>
      <c r="D105" s="3" t="s">
        <v>10</v>
      </c>
      <c r="E105" s="3" t="s">
        <v>10</v>
      </c>
      <c r="F105" s="3" t="s">
        <v>10</v>
      </c>
      <c r="G105" s="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128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129</v>
      </c>
      <c r="D109" s="3" t="s">
        <v>10</v>
      </c>
      <c r="E109" s="3" t="s">
        <v>10</v>
      </c>
      <c r="F109" s="3" t="s">
        <v>10</v>
      </c>
      <c r="G109" s="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130</v>
      </c>
      <c r="D110" s="3" t="s">
        <v>10</v>
      </c>
      <c r="E110" s="3" t="s">
        <v>10</v>
      </c>
      <c r="F110" s="3" t="s">
        <v>10</v>
      </c>
      <c r="G110" s="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ht="25.5" x14ac:dyDescent="0.2">
      <c r="A114" s="3" t="s">
        <v>10</v>
      </c>
      <c r="B114" s="3" t="s">
        <v>10</v>
      </c>
      <c r="C114" s="4" t="s">
        <v>131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104</v>
      </c>
      <c r="D115" s="3" t="s">
        <v>10</v>
      </c>
      <c r="E115" s="3" t="s">
        <v>10</v>
      </c>
      <c r="F115" s="14">
        <v>0</v>
      </c>
      <c r="G115" s="15">
        <v>0</v>
      </c>
      <c r="H115" s="167"/>
    </row>
    <row r="116" spans="1:8" x14ac:dyDescent="0.2">
      <c r="A116" s="3" t="s">
        <v>10</v>
      </c>
      <c r="B116" s="3" t="s">
        <v>10</v>
      </c>
      <c r="C116" s="12" t="s">
        <v>10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x14ac:dyDescent="0.2">
      <c r="A117" s="3" t="s">
        <v>10</v>
      </c>
      <c r="B117" s="6" t="s">
        <v>10</v>
      </c>
      <c r="C117" s="6" t="s">
        <v>10</v>
      </c>
      <c r="D117" s="4" t="s">
        <v>10</v>
      </c>
      <c r="E117" s="3" t="s">
        <v>10</v>
      </c>
      <c r="F117" s="6" t="s">
        <v>10</v>
      </c>
      <c r="G117" s="16" t="s">
        <v>10</v>
      </c>
      <c r="H117" s="167"/>
    </row>
    <row r="118" spans="1:8" x14ac:dyDescent="0.2">
      <c r="A118" s="16" t="s">
        <v>10</v>
      </c>
      <c r="B118" s="6" t="s">
        <v>10</v>
      </c>
      <c r="C118" s="6" t="s">
        <v>132</v>
      </c>
      <c r="D118" s="6" t="s">
        <v>10</v>
      </c>
      <c r="E118" s="16" t="s">
        <v>10</v>
      </c>
      <c r="F118" s="8">
        <v>326.69524668000003</v>
      </c>
      <c r="G118" s="9">
        <v>1.393383E-3</v>
      </c>
      <c r="H118" s="167"/>
    </row>
    <row r="119" spans="1:8" x14ac:dyDescent="0.2">
      <c r="A119" s="12" t="s">
        <v>10</v>
      </c>
      <c r="B119" s="12" t="s">
        <v>10</v>
      </c>
      <c r="C119" s="4" t="s">
        <v>133</v>
      </c>
      <c r="D119" s="17" t="s">
        <v>10</v>
      </c>
      <c r="E119" s="17" t="s">
        <v>10</v>
      </c>
      <c r="F119" s="10">
        <v>234461.87682988</v>
      </c>
      <c r="G119" s="11">
        <v>1.0000000040000001</v>
      </c>
      <c r="H119" s="167"/>
    </row>
    <row r="120" spans="1:8" ht="14.1" customHeight="1" x14ac:dyDescent="0.2">
      <c r="A120" s="18" t="s">
        <v>10</v>
      </c>
      <c r="B120" s="18" t="s">
        <v>10</v>
      </c>
      <c r="C120" s="18" t="s">
        <v>10</v>
      </c>
      <c r="D120" s="19" t="s">
        <v>10</v>
      </c>
      <c r="E120" s="19" t="s">
        <v>10</v>
      </c>
      <c r="F120" s="19" t="s">
        <v>10</v>
      </c>
      <c r="G120" s="19" t="s">
        <v>10</v>
      </c>
    </row>
    <row r="121" spans="1:8" ht="14.1" customHeight="1" x14ac:dyDescent="0.2">
      <c r="A121" s="20" t="s">
        <v>10</v>
      </c>
      <c r="B121" s="208" t="s">
        <v>10</v>
      </c>
      <c r="C121" s="208"/>
      <c r="D121" s="208"/>
      <c r="E121" s="208"/>
      <c r="F121" s="208"/>
      <c r="G121" s="22" t="s">
        <v>10</v>
      </c>
    </row>
    <row r="122" spans="1:8" ht="14.1" customHeight="1" x14ac:dyDescent="0.2">
      <c r="A122" s="20" t="s">
        <v>10</v>
      </c>
      <c r="B122" s="208" t="s">
        <v>10</v>
      </c>
      <c r="C122" s="208"/>
      <c r="D122" s="208"/>
      <c r="E122" s="208"/>
      <c r="F122" s="208"/>
      <c r="G122" s="22" t="s">
        <v>10</v>
      </c>
    </row>
    <row r="123" spans="1:8" ht="14.1" customHeight="1" x14ac:dyDescent="0.2">
      <c r="A123" s="20" t="s">
        <v>10</v>
      </c>
      <c r="B123" s="20" t="s">
        <v>10</v>
      </c>
      <c r="C123" s="20" t="s">
        <v>10</v>
      </c>
      <c r="D123" s="22" t="s">
        <v>10</v>
      </c>
      <c r="E123" s="22" t="s">
        <v>10</v>
      </c>
      <c r="F123" s="22" t="s">
        <v>10</v>
      </c>
      <c r="G123" s="22" t="s">
        <v>10</v>
      </c>
    </row>
    <row r="124" spans="1:8" ht="14.1" customHeight="1" x14ac:dyDescent="0.2">
      <c r="A124" s="20" t="s">
        <v>10</v>
      </c>
      <c r="B124" s="206" t="s">
        <v>134</v>
      </c>
      <c r="C124" s="207"/>
      <c r="D124" s="13" t="s">
        <v>10</v>
      </c>
      <c r="E124" s="23" t="s">
        <v>10</v>
      </c>
      <c r="F124" s="22" t="s">
        <v>10</v>
      </c>
      <c r="G124" s="22" t="s">
        <v>10</v>
      </c>
    </row>
    <row r="125" spans="1:8" ht="29.1" customHeight="1" x14ac:dyDescent="0.2">
      <c r="A125" s="20" t="s">
        <v>10</v>
      </c>
      <c r="B125" s="213" t="s">
        <v>135</v>
      </c>
      <c r="C125" s="214"/>
      <c r="D125" s="4" t="s">
        <v>136</v>
      </c>
      <c r="E125" s="23" t="s">
        <v>10</v>
      </c>
      <c r="F125" s="22" t="s">
        <v>10</v>
      </c>
      <c r="G125" s="22" t="s">
        <v>10</v>
      </c>
    </row>
    <row r="126" spans="1:8" ht="17.100000000000001" customHeight="1" x14ac:dyDescent="0.2">
      <c r="A126" s="20" t="s">
        <v>10</v>
      </c>
      <c r="B126" s="213" t="s">
        <v>137</v>
      </c>
      <c r="C126" s="214"/>
      <c r="D126" s="4" t="s">
        <v>136</v>
      </c>
      <c r="E126" s="23" t="s">
        <v>10</v>
      </c>
      <c r="F126" s="22" t="s">
        <v>10</v>
      </c>
      <c r="G126" s="22" t="s">
        <v>10</v>
      </c>
    </row>
    <row r="127" spans="1:8" ht="17.100000000000001" customHeight="1" x14ac:dyDescent="0.2">
      <c r="A127" s="20" t="s">
        <v>10</v>
      </c>
      <c r="B127" s="213" t="s">
        <v>138</v>
      </c>
      <c r="C127" s="214"/>
      <c r="D127" s="13" t="s">
        <v>10</v>
      </c>
      <c r="E127" s="23" t="s">
        <v>10</v>
      </c>
      <c r="F127" s="22" t="s">
        <v>10</v>
      </c>
      <c r="G127" s="22" t="s">
        <v>10</v>
      </c>
    </row>
    <row r="128" spans="1:8" s="20" customFormat="1" ht="17.100000000000001" customHeight="1" x14ac:dyDescent="0.2"/>
    <row r="129" spans="1:7" x14ac:dyDescent="0.2">
      <c r="A129" s="24" t="s">
        <v>10</v>
      </c>
      <c r="B129" s="140" t="s">
        <v>10</v>
      </c>
      <c r="C129" s="140" t="s">
        <v>139</v>
      </c>
      <c r="D129" s="140" t="s">
        <v>140</v>
      </c>
      <c r="E129" s="24" t="s">
        <v>10</v>
      </c>
      <c r="F129" s="24" t="s">
        <v>10</v>
      </c>
      <c r="G129" s="24" t="s">
        <v>10</v>
      </c>
    </row>
    <row r="130" spans="1:7" ht="18" customHeight="1" x14ac:dyDescent="0.2">
      <c r="A130" s="24" t="s">
        <v>10</v>
      </c>
      <c r="B130" s="25" t="s">
        <v>141</v>
      </c>
      <c r="C130" s="25" t="s">
        <v>142</v>
      </c>
      <c r="D130" s="25" t="s">
        <v>143</v>
      </c>
      <c r="E130" s="24" t="s">
        <v>10</v>
      </c>
      <c r="F130" s="24" t="s">
        <v>10</v>
      </c>
      <c r="G130" s="24" t="s">
        <v>10</v>
      </c>
    </row>
    <row r="131" spans="1:7" ht="17.100000000000001" customHeight="1" x14ac:dyDescent="0.2">
      <c r="A131" s="24" t="s">
        <v>10</v>
      </c>
      <c r="B131" s="6" t="s">
        <v>144</v>
      </c>
      <c r="C131" s="26">
        <v>124.809</v>
      </c>
      <c r="D131" s="26">
        <v>132.67240000000001</v>
      </c>
      <c r="E131" s="24" t="s">
        <v>10</v>
      </c>
      <c r="F131" s="21" t="s">
        <v>10</v>
      </c>
      <c r="G131" s="27" t="s">
        <v>10</v>
      </c>
    </row>
    <row r="132" spans="1:7" ht="17.100000000000001" customHeight="1" x14ac:dyDescent="0.2">
      <c r="A132" s="24" t="s">
        <v>10</v>
      </c>
      <c r="B132" s="6" t="s">
        <v>917</v>
      </c>
      <c r="C132" s="26">
        <v>14.6661</v>
      </c>
      <c r="D132" s="26">
        <v>15.5901</v>
      </c>
      <c r="E132" s="24" t="s">
        <v>10</v>
      </c>
      <c r="F132" s="21" t="s">
        <v>10</v>
      </c>
      <c r="G132" s="27" t="s">
        <v>10</v>
      </c>
    </row>
    <row r="133" spans="1:7" ht="17.100000000000001" customHeight="1" x14ac:dyDescent="0.2">
      <c r="A133" s="24" t="s">
        <v>10</v>
      </c>
      <c r="B133" s="6" t="s">
        <v>145</v>
      </c>
      <c r="C133" s="26">
        <v>120.6711</v>
      </c>
      <c r="D133" s="26">
        <v>128.18100000000001</v>
      </c>
      <c r="E133" s="24" t="s">
        <v>10</v>
      </c>
      <c r="F133" s="21" t="s">
        <v>10</v>
      </c>
      <c r="G133" s="27" t="s">
        <v>10</v>
      </c>
    </row>
    <row r="134" spans="1:7" ht="17.100000000000001" customHeight="1" x14ac:dyDescent="0.2">
      <c r="A134" s="24" t="s">
        <v>10</v>
      </c>
      <c r="B134" s="6" t="s">
        <v>918</v>
      </c>
      <c r="C134" s="26">
        <v>12.363799999999999</v>
      </c>
      <c r="D134" s="26">
        <v>13.1332</v>
      </c>
      <c r="E134" s="24" t="s">
        <v>10</v>
      </c>
      <c r="F134" s="21" t="s">
        <v>10</v>
      </c>
      <c r="G134" s="27" t="s">
        <v>10</v>
      </c>
    </row>
    <row r="135" spans="1:7" ht="14.1" customHeight="1" x14ac:dyDescent="0.2">
      <c r="A135" s="24" t="s">
        <v>10</v>
      </c>
      <c r="B135" s="24" t="s">
        <v>10</v>
      </c>
      <c r="C135" s="24" t="s">
        <v>10</v>
      </c>
      <c r="D135" s="24" t="s">
        <v>10</v>
      </c>
      <c r="E135" s="24" t="s">
        <v>10</v>
      </c>
      <c r="F135" s="24" t="s">
        <v>10</v>
      </c>
      <c r="G135" s="24" t="s">
        <v>10</v>
      </c>
    </row>
    <row r="136" spans="1:7" ht="17.100000000000001" customHeight="1" x14ac:dyDescent="0.2">
      <c r="A136" s="24" t="s">
        <v>10</v>
      </c>
      <c r="B136" s="213" t="s">
        <v>999</v>
      </c>
      <c r="C136" s="214"/>
      <c r="D136" s="4" t="s">
        <v>136</v>
      </c>
      <c r="E136" s="24" t="s">
        <v>10</v>
      </c>
      <c r="F136" s="24" t="s">
        <v>10</v>
      </c>
      <c r="G136" s="24" t="s">
        <v>10</v>
      </c>
    </row>
    <row r="137" spans="1:7" ht="18" customHeight="1" x14ac:dyDescent="0.2">
      <c r="A137" s="24" t="s">
        <v>10</v>
      </c>
      <c r="B137" s="28"/>
      <c r="C137" s="28"/>
      <c r="D137" s="29" t="s">
        <v>10</v>
      </c>
      <c r="E137" s="24" t="s">
        <v>10</v>
      </c>
      <c r="F137" s="24" t="s">
        <v>10</v>
      </c>
      <c r="G137" s="24" t="s">
        <v>10</v>
      </c>
    </row>
    <row r="138" spans="1:7" s="175" customFormat="1" x14ac:dyDescent="0.2">
      <c r="B138" s="221" t="s">
        <v>919</v>
      </c>
      <c r="C138" s="221"/>
      <c r="D138" s="221"/>
      <c r="E138" s="221"/>
      <c r="F138" s="221"/>
    </row>
    <row r="139" spans="1:7" ht="14.1" customHeight="1" x14ac:dyDescent="0.2">
      <c r="A139" s="24" t="s">
        <v>10</v>
      </c>
      <c r="B139" s="21" t="s">
        <v>10</v>
      </c>
      <c r="C139" s="21" t="s">
        <v>10</v>
      </c>
      <c r="D139" s="24" t="s">
        <v>10</v>
      </c>
      <c r="E139" s="24" t="s">
        <v>10</v>
      </c>
      <c r="F139" s="24" t="s">
        <v>10</v>
      </c>
      <c r="G139" s="24" t="s">
        <v>10</v>
      </c>
    </row>
    <row r="140" spans="1:7" ht="29.1" customHeight="1" x14ac:dyDescent="0.2">
      <c r="A140" s="24" t="s">
        <v>10</v>
      </c>
      <c r="B140" s="213" t="s">
        <v>146</v>
      </c>
      <c r="C140" s="214"/>
      <c r="D140" s="4" t="s">
        <v>136</v>
      </c>
      <c r="E140" s="24" t="s">
        <v>10</v>
      </c>
      <c r="F140" s="24" t="s">
        <v>10</v>
      </c>
      <c r="G140" s="24" t="s">
        <v>10</v>
      </c>
    </row>
    <row r="141" spans="1:7" ht="29.1" customHeight="1" x14ac:dyDescent="0.2">
      <c r="A141" s="24" t="s">
        <v>10</v>
      </c>
      <c r="B141" s="213" t="s">
        <v>147</v>
      </c>
      <c r="C141" s="214"/>
      <c r="D141" s="4" t="s">
        <v>136</v>
      </c>
      <c r="E141" s="24" t="s">
        <v>10</v>
      </c>
      <c r="F141" s="24" t="s">
        <v>10</v>
      </c>
      <c r="G141" s="24" t="s">
        <v>10</v>
      </c>
    </row>
    <row r="142" spans="1:7" ht="17.100000000000001" customHeight="1" x14ac:dyDescent="0.2">
      <c r="A142" s="24" t="s">
        <v>10</v>
      </c>
      <c r="B142" s="213" t="s">
        <v>148</v>
      </c>
      <c r="C142" s="214"/>
      <c r="D142" s="30">
        <v>0.46180437240936711</v>
      </c>
      <c r="E142" s="24" t="s">
        <v>10</v>
      </c>
      <c r="F142" s="21" t="s">
        <v>10</v>
      </c>
      <c r="G142" s="27" t="s">
        <v>10</v>
      </c>
    </row>
    <row r="143" spans="1:7" ht="17.100000000000001" customHeight="1" x14ac:dyDescent="0.2">
      <c r="A143" s="24" t="s">
        <v>10</v>
      </c>
      <c r="B143" s="213" t="s">
        <v>149</v>
      </c>
      <c r="C143" s="214"/>
      <c r="D143" s="4" t="s">
        <v>136</v>
      </c>
      <c r="E143" s="24" t="s">
        <v>10</v>
      </c>
      <c r="F143" s="24" t="s">
        <v>10</v>
      </c>
      <c r="G143" s="24" t="s">
        <v>10</v>
      </c>
    </row>
  </sheetData>
  <mergeCells count="15">
    <mergeCell ref="B142:C142"/>
    <mergeCell ref="B143:C143"/>
    <mergeCell ref="B125:C125"/>
    <mergeCell ref="B126:C126"/>
    <mergeCell ref="B127:C127"/>
    <mergeCell ref="B136:C136"/>
    <mergeCell ref="B140:C140"/>
    <mergeCell ref="B141:C141"/>
    <mergeCell ref="B138:F138"/>
    <mergeCell ref="B124:C124"/>
    <mergeCell ref="B121:F121"/>
    <mergeCell ref="B122:F12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7.28515625" customWidth="1"/>
    <col min="4" max="4" width="17.85546875" customWidth="1"/>
    <col min="5" max="6" width="19.140625" customWidth="1"/>
    <col min="7" max="7" width="16.42578125" customWidth="1"/>
    <col min="8" max="8" width="14.42578125" bestFit="1" customWidth="1"/>
    <col min="11" max="11" width="16.7109375" bestFit="1" customWidth="1"/>
    <col min="13" max="13" width="14.285156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697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403</v>
      </c>
      <c r="C7" s="6" t="s">
        <v>404</v>
      </c>
      <c r="D7" s="6" t="s">
        <v>23</v>
      </c>
      <c r="E7" s="7">
        <v>102000</v>
      </c>
      <c r="F7" s="8">
        <v>432.83699999999999</v>
      </c>
      <c r="G7" s="9">
        <v>6.9746074000000005E-2</v>
      </c>
      <c r="H7" s="167"/>
    </row>
    <row r="8" spans="1:8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19000</v>
      </c>
      <c r="F8" s="8">
        <v>410.45699999999999</v>
      </c>
      <c r="G8" s="9">
        <v>6.6139826999999998E-2</v>
      </c>
      <c r="H8" s="167"/>
    </row>
    <row r="9" spans="1:8" x14ac:dyDescent="0.2">
      <c r="A9" s="5">
        <v>3</v>
      </c>
      <c r="B9" s="6" t="s">
        <v>360</v>
      </c>
      <c r="C9" s="6" t="s">
        <v>361</v>
      </c>
      <c r="D9" s="6" t="s">
        <v>29</v>
      </c>
      <c r="E9" s="7">
        <v>60000</v>
      </c>
      <c r="F9" s="8">
        <v>406.71</v>
      </c>
      <c r="G9" s="9">
        <v>6.5536046000000001E-2</v>
      </c>
      <c r="H9" s="167"/>
    </row>
    <row r="10" spans="1:8" x14ac:dyDescent="0.2">
      <c r="A10" s="5">
        <v>4</v>
      </c>
      <c r="B10" s="6" t="s">
        <v>92</v>
      </c>
      <c r="C10" s="6" t="s">
        <v>93</v>
      </c>
      <c r="D10" s="6" t="s">
        <v>94</v>
      </c>
      <c r="E10" s="7">
        <v>288000</v>
      </c>
      <c r="F10" s="8">
        <v>355.536</v>
      </c>
      <c r="G10" s="9">
        <v>5.7290018999999998E-2</v>
      </c>
      <c r="H10" s="167"/>
    </row>
    <row r="11" spans="1:8" x14ac:dyDescent="0.2">
      <c r="A11" s="5">
        <v>5</v>
      </c>
      <c r="B11" s="6" t="s">
        <v>238</v>
      </c>
      <c r="C11" s="6" t="s">
        <v>239</v>
      </c>
      <c r="D11" s="6" t="s">
        <v>240</v>
      </c>
      <c r="E11" s="7">
        <v>42900</v>
      </c>
      <c r="F11" s="8">
        <v>349.67790000000002</v>
      </c>
      <c r="G11" s="9">
        <v>5.6346063000000002E-2</v>
      </c>
      <c r="H11" s="167"/>
    </row>
    <row r="12" spans="1:8" x14ac:dyDescent="0.2">
      <c r="A12" s="5">
        <v>6</v>
      </c>
      <c r="B12" s="6" t="s">
        <v>329</v>
      </c>
      <c r="C12" s="6" t="s">
        <v>330</v>
      </c>
      <c r="D12" s="6" t="s">
        <v>158</v>
      </c>
      <c r="E12" s="7">
        <v>72000</v>
      </c>
      <c r="F12" s="8">
        <v>335.7</v>
      </c>
      <c r="G12" s="9">
        <v>5.4093704999999999E-2</v>
      </c>
      <c r="H12" s="167"/>
    </row>
    <row r="13" spans="1:8" x14ac:dyDescent="0.2">
      <c r="A13" s="5">
        <v>7</v>
      </c>
      <c r="B13" s="6" t="s">
        <v>315</v>
      </c>
      <c r="C13" s="6" t="s">
        <v>316</v>
      </c>
      <c r="D13" s="6" t="s">
        <v>247</v>
      </c>
      <c r="E13" s="7">
        <v>930</v>
      </c>
      <c r="F13" s="8">
        <v>285.18914999999998</v>
      </c>
      <c r="G13" s="9">
        <v>4.5954535999999997E-2</v>
      </c>
      <c r="H13" s="167"/>
    </row>
    <row r="14" spans="1:8" x14ac:dyDescent="0.2">
      <c r="A14" s="5">
        <v>8</v>
      </c>
      <c r="B14" s="6" t="s">
        <v>370</v>
      </c>
      <c r="C14" s="6" t="s">
        <v>371</v>
      </c>
      <c r="D14" s="6" t="s">
        <v>23</v>
      </c>
      <c r="E14" s="7">
        <v>36000</v>
      </c>
      <c r="F14" s="8">
        <v>270.25200000000001</v>
      </c>
      <c r="G14" s="9">
        <v>4.3547608000000002E-2</v>
      </c>
      <c r="H14" s="167"/>
    </row>
    <row r="15" spans="1:8" x14ac:dyDescent="0.2">
      <c r="A15" s="5">
        <v>9</v>
      </c>
      <c r="B15" s="6" t="s">
        <v>345</v>
      </c>
      <c r="C15" s="6" t="s">
        <v>346</v>
      </c>
      <c r="D15" s="6" t="s">
        <v>57</v>
      </c>
      <c r="E15" s="7">
        <v>65000</v>
      </c>
      <c r="F15" s="8">
        <v>264.68</v>
      </c>
      <c r="G15" s="9">
        <v>4.2649751999999999E-2</v>
      </c>
      <c r="H15" s="167"/>
    </row>
    <row r="16" spans="1:8" x14ac:dyDescent="0.2">
      <c r="A16" s="5">
        <v>10</v>
      </c>
      <c r="B16" s="6" t="s">
        <v>90</v>
      </c>
      <c r="C16" s="6" t="s">
        <v>91</v>
      </c>
      <c r="D16" s="6" t="s">
        <v>67</v>
      </c>
      <c r="E16" s="7">
        <v>30000</v>
      </c>
      <c r="F16" s="8">
        <v>230.86500000000001</v>
      </c>
      <c r="G16" s="9">
        <v>3.7200903E-2</v>
      </c>
      <c r="H16" s="167"/>
    </row>
    <row r="17" spans="1:8" x14ac:dyDescent="0.2">
      <c r="A17" s="5">
        <v>11</v>
      </c>
      <c r="B17" s="6" t="s">
        <v>325</v>
      </c>
      <c r="C17" s="6" t="s">
        <v>326</v>
      </c>
      <c r="D17" s="6" t="s">
        <v>70</v>
      </c>
      <c r="E17" s="7">
        <v>34375</v>
      </c>
      <c r="F17" s="8">
        <v>181.79218750000001</v>
      </c>
      <c r="G17" s="9">
        <v>2.9293454999999999E-2</v>
      </c>
      <c r="H17" s="167"/>
    </row>
    <row r="18" spans="1:8" x14ac:dyDescent="0.2">
      <c r="A18" s="5">
        <v>12</v>
      </c>
      <c r="B18" s="6" t="s">
        <v>616</v>
      </c>
      <c r="C18" s="6" t="s">
        <v>617</v>
      </c>
      <c r="D18" s="6" t="s">
        <v>433</v>
      </c>
      <c r="E18" s="7">
        <v>62000</v>
      </c>
      <c r="F18" s="8">
        <v>170.00399999999999</v>
      </c>
      <c r="G18" s="9">
        <v>2.7393942000000001E-2</v>
      </c>
      <c r="H18" s="167"/>
    </row>
    <row r="19" spans="1:8" x14ac:dyDescent="0.2">
      <c r="A19" s="5">
        <v>13</v>
      </c>
      <c r="B19" s="6" t="s">
        <v>698</v>
      </c>
      <c r="C19" s="6" t="s">
        <v>699</v>
      </c>
      <c r="D19" s="6" t="s">
        <v>23</v>
      </c>
      <c r="E19" s="7">
        <v>75600</v>
      </c>
      <c r="F19" s="8">
        <v>121.56480000000001</v>
      </c>
      <c r="G19" s="9">
        <v>1.9588591999999998E-2</v>
      </c>
      <c r="H19" s="167"/>
    </row>
    <row r="20" spans="1:8" x14ac:dyDescent="0.2">
      <c r="A20" s="5">
        <v>14</v>
      </c>
      <c r="B20" s="6" t="s">
        <v>347</v>
      </c>
      <c r="C20" s="6" t="s">
        <v>348</v>
      </c>
      <c r="D20" s="6" t="s">
        <v>23</v>
      </c>
      <c r="E20" s="7">
        <v>140400</v>
      </c>
      <c r="F20" s="8">
        <v>113.3028</v>
      </c>
      <c r="G20" s="9">
        <v>1.8257277999999998E-2</v>
      </c>
      <c r="H20" s="167"/>
    </row>
    <row r="21" spans="1:8" x14ac:dyDescent="0.2">
      <c r="A21" s="5">
        <v>15</v>
      </c>
      <c r="B21" s="6" t="s">
        <v>21</v>
      </c>
      <c r="C21" s="6" t="s">
        <v>22</v>
      </c>
      <c r="D21" s="6" t="s">
        <v>23</v>
      </c>
      <c r="E21" s="7">
        <v>16500</v>
      </c>
      <c r="F21" s="8">
        <v>109.35375000000001</v>
      </c>
      <c r="G21" s="9">
        <v>1.7620940000000002E-2</v>
      </c>
      <c r="H21" s="167"/>
    </row>
    <row r="22" spans="1:8" ht="25.5" x14ac:dyDescent="0.2">
      <c r="A22" s="5">
        <v>16</v>
      </c>
      <c r="B22" s="6" t="s">
        <v>425</v>
      </c>
      <c r="C22" s="6" t="s">
        <v>426</v>
      </c>
      <c r="D22" s="6" t="s">
        <v>78</v>
      </c>
      <c r="E22" s="7">
        <v>48000</v>
      </c>
      <c r="F22" s="8">
        <v>103.968</v>
      </c>
      <c r="G22" s="9">
        <v>1.6753095999999999E-2</v>
      </c>
      <c r="H22" s="167"/>
    </row>
    <row r="23" spans="1:8" x14ac:dyDescent="0.2">
      <c r="A23" s="5">
        <v>17</v>
      </c>
      <c r="B23" s="6" t="s">
        <v>61</v>
      </c>
      <c r="C23" s="6" t="s">
        <v>62</v>
      </c>
      <c r="D23" s="6" t="s">
        <v>18</v>
      </c>
      <c r="E23" s="7">
        <v>19800</v>
      </c>
      <c r="F23" s="8">
        <v>93.456000000000003</v>
      </c>
      <c r="G23" s="9">
        <v>1.5059223E-2</v>
      </c>
      <c r="H23" s="167"/>
    </row>
    <row r="24" spans="1:8" x14ac:dyDescent="0.2">
      <c r="A24" s="3" t="s">
        <v>10</v>
      </c>
      <c r="B24" s="3" t="s">
        <v>10</v>
      </c>
      <c r="C24" s="4" t="s">
        <v>104</v>
      </c>
      <c r="D24" s="3" t="s">
        <v>10</v>
      </c>
      <c r="E24" s="3" t="s">
        <v>10</v>
      </c>
      <c r="F24" s="10">
        <v>4235.3455875</v>
      </c>
      <c r="G24" s="11">
        <v>0.68247105900000005</v>
      </c>
      <c r="H24" s="167"/>
    </row>
    <row r="25" spans="1:8" x14ac:dyDescent="0.2">
      <c r="A25" s="3" t="s">
        <v>10</v>
      </c>
      <c r="B25" s="3" t="s">
        <v>10</v>
      </c>
      <c r="C25" s="12" t="s">
        <v>10</v>
      </c>
      <c r="D25" s="3" t="s">
        <v>10</v>
      </c>
      <c r="E25" s="3" t="s">
        <v>10</v>
      </c>
      <c r="F25" s="13" t="s">
        <v>10</v>
      </c>
      <c r="G25" s="13" t="s">
        <v>10</v>
      </c>
      <c r="H25" s="167"/>
    </row>
    <row r="26" spans="1:8" x14ac:dyDescent="0.2">
      <c r="A26" s="3" t="s">
        <v>10</v>
      </c>
      <c r="B26" s="3" t="s">
        <v>10</v>
      </c>
      <c r="C26" s="4" t="s">
        <v>105</v>
      </c>
      <c r="D26" s="3" t="s">
        <v>10</v>
      </c>
      <c r="E26" s="3" t="s">
        <v>10</v>
      </c>
      <c r="F26" s="3" t="s">
        <v>10</v>
      </c>
      <c r="G26" s="3" t="s">
        <v>10</v>
      </c>
      <c r="H26" s="167"/>
    </row>
    <row r="27" spans="1:8" x14ac:dyDescent="0.2">
      <c r="A27" s="3" t="s">
        <v>10</v>
      </c>
      <c r="B27" s="3" t="s">
        <v>10</v>
      </c>
      <c r="C27" s="4" t="s">
        <v>104</v>
      </c>
      <c r="D27" s="3" t="s">
        <v>10</v>
      </c>
      <c r="E27" s="3" t="s">
        <v>10</v>
      </c>
      <c r="F27" s="14">
        <v>0</v>
      </c>
      <c r="G27" s="15">
        <v>0</v>
      </c>
      <c r="H27" s="167"/>
    </row>
    <row r="28" spans="1:8" x14ac:dyDescent="0.2">
      <c r="A28" s="3" t="s">
        <v>10</v>
      </c>
      <c r="B28" s="3" t="s">
        <v>10</v>
      </c>
      <c r="C28" s="12" t="s">
        <v>10</v>
      </c>
      <c r="D28" s="3" t="s">
        <v>10</v>
      </c>
      <c r="E28" s="3" t="s">
        <v>10</v>
      </c>
      <c r="F28" s="13" t="s">
        <v>10</v>
      </c>
      <c r="G28" s="13" t="s">
        <v>10</v>
      </c>
      <c r="H28" s="167"/>
    </row>
    <row r="29" spans="1:8" x14ac:dyDescent="0.2">
      <c r="A29" s="3" t="s">
        <v>10</v>
      </c>
      <c r="B29" s="3" t="s">
        <v>10</v>
      </c>
      <c r="C29" s="4" t="s">
        <v>106</v>
      </c>
      <c r="D29" s="3" t="s">
        <v>10</v>
      </c>
      <c r="E29" s="3" t="s">
        <v>10</v>
      </c>
      <c r="F29" s="3" t="s">
        <v>10</v>
      </c>
      <c r="G29" s="3" t="s">
        <v>10</v>
      </c>
      <c r="H29" s="167"/>
    </row>
    <row r="30" spans="1:8" x14ac:dyDescent="0.2">
      <c r="A30" s="3" t="s">
        <v>10</v>
      </c>
      <c r="B30" s="3" t="s">
        <v>10</v>
      </c>
      <c r="C30" s="4" t="s">
        <v>104</v>
      </c>
      <c r="D30" s="3" t="s">
        <v>10</v>
      </c>
      <c r="E30" s="3" t="s">
        <v>10</v>
      </c>
      <c r="F30" s="14">
        <v>0</v>
      </c>
      <c r="G30" s="15">
        <v>0</v>
      </c>
      <c r="H30" s="167"/>
    </row>
    <row r="31" spans="1:8" x14ac:dyDescent="0.2">
      <c r="A31" s="3" t="s">
        <v>10</v>
      </c>
      <c r="B31" s="3" t="s">
        <v>10</v>
      </c>
      <c r="C31" s="12" t="s">
        <v>10</v>
      </c>
      <c r="D31" s="3" t="s">
        <v>10</v>
      </c>
      <c r="E31" s="3" t="s">
        <v>10</v>
      </c>
      <c r="F31" s="13" t="s">
        <v>10</v>
      </c>
      <c r="G31" s="13" t="s">
        <v>10</v>
      </c>
      <c r="H31" s="167"/>
    </row>
    <row r="32" spans="1:8" x14ac:dyDescent="0.2">
      <c r="A32" s="3" t="s">
        <v>10</v>
      </c>
      <c r="B32" s="3" t="s">
        <v>10</v>
      </c>
      <c r="C32" s="4" t="s">
        <v>110</v>
      </c>
      <c r="D32" s="3" t="s">
        <v>10</v>
      </c>
      <c r="E32" s="3" t="s">
        <v>10</v>
      </c>
      <c r="F32" s="3" t="s">
        <v>10</v>
      </c>
      <c r="G32" s="3" t="s">
        <v>10</v>
      </c>
      <c r="H32" s="167"/>
    </row>
    <row r="33" spans="1:8" x14ac:dyDescent="0.2">
      <c r="A33" s="3" t="s">
        <v>10</v>
      </c>
      <c r="B33" s="3" t="s">
        <v>10</v>
      </c>
      <c r="C33" s="4" t="s">
        <v>104</v>
      </c>
      <c r="D33" s="3" t="s">
        <v>10</v>
      </c>
      <c r="E33" s="3" t="s">
        <v>10</v>
      </c>
      <c r="F33" s="14">
        <v>0</v>
      </c>
      <c r="G33" s="15">
        <v>0</v>
      </c>
      <c r="H33" s="167"/>
    </row>
    <row r="34" spans="1:8" x14ac:dyDescent="0.2">
      <c r="A34" s="3" t="s">
        <v>10</v>
      </c>
      <c r="B34" s="3" t="s">
        <v>10</v>
      </c>
      <c r="C34" s="12" t="s">
        <v>10</v>
      </c>
      <c r="D34" s="3" t="s">
        <v>10</v>
      </c>
      <c r="E34" s="3" t="s">
        <v>10</v>
      </c>
      <c r="F34" s="13" t="s">
        <v>10</v>
      </c>
      <c r="G34" s="13" t="s">
        <v>10</v>
      </c>
      <c r="H34" s="167"/>
    </row>
    <row r="35" spans="1:8" x14ac:dyDescent="0.2">
      <c r="A35" s="3" t="s">
        <v>10</v>
      </c>
      <c r="B35" s="3" t="s">
        <v>10</v>
      </c>
      <c r="C35" s="4" t="s">
        <v>111</v>
      </c>
      <c r="D35" s="3" t="s">
        <v>10</v>
      </c>
      <c r="E35" s="3" t="s">
        <v>10</v>
      </c>
      <c r="F35" s="13" t="s">
        <v>10</v>
      </c>
      <c r="G35" s="13" t="s">
        <v>10</v>
      </c>
      <c r="H35" s="167"/>
    </row>
    <row r="36" spans="1:8" x14ac:dyDescent="0.2">
      <c r="A36" s="3" t="s">
        <v>10</v>
      </c>
      <c r="B36" s="3" t="s">
        <v>10</v>
      </c>
      <c r="C36" s="4" t="s">
        <v>104</v>
      </c>
      <c r="D36" s="3" t="s">
        <v>10</v>
      </c>
      <c r="E36" s="3" t="s">
        <v>10</v>
      </c>
      <c r="F36" s="14">
        <v>0</v>
      </c>
      <c r="G36" s="15">
        <v>0</v>
      </c>
      <c r="H36" s="167"/>
    </row>
    <row r="37" spans="1:8" x14ac:dyDescent="0.2">
      <c r="A37" s="3" t="s">
        <v>10</v>
      </c>
      <c r="B37" s="3" t="s">
        <v>10</v>
      </c>
      <c r="C37" s="12" t="s">
        <v>10</v>
      </c>
      <c r="D37" s="3" t="s">
        <v>10</v>
      </c>
      <c r="E37" s="3" t="s">
        <v>10</v>
      </c>
      <c r="F37" s="13" t="s">
        <v>10</v>
      </c>
      <c r="G37" s="13" t="s">
        <v>10</v>
      </c>
      <c r="H37" s="167"/>
    </row>
    <row r="38" spans="1:8" x14ac:dyDescent="0.2">
      <c r="A38" s="3" t="s">
        <v>10</v>
      </c>
      <c r="B38" s="3" t="s">
        <v>10</v>
      </c>
      <c r="C38" s="4" t="s">
        <v>112</v>
      </c>
      <c r="D38" s="3" t="s">
        <v>10</v>
      </c>
      <c r="E38" s="3" t="s">
        <v>10</v>
      </c>
      <c r="F38" s="13" t="s">
        <v>10</v>
      </c>
      <c r="G38" s="13" t="s">
        <v>10</v>
      </c>
      <c r="H38" s="167"/>
    </row>
    <row r="39" spans="1:8" x14ac:dyDescent="0.2">
      <c r="A39" s="5">
        <v>1</v>
      </c>
      <c r="B39" s="6"/>
      <c r="C39" s="6" t="s">
        <v>953</v>
      </c>
      <c r="D39" s="6" t="s">
        <v>700</v>
      </c>
      <c r="E39" s="7">
        <v>-19800</v>
      </c>
      <c r="F39" s="8">
        <v>-93.743099999999998</v>
      </c>
      <c r="G39" s="9">
        <v>-1.5105489999999999E-2</v>
      </c>
      <c r="H39" s="167"/>
    </row>
    <row r="40" spans="1:8" x14ac:dyDescent="0.2">
      <c r="A40" s="5">
        <v>2</v>
      </c>
      <c r="B40" s="6"/>
      <c r="C40" s="6" t="s">
        <v>954</v>
      </c>
      <c r="D40" s="6" t="s">
        <v>700</v>
      </c>
      <c r="E40" s="7">
        <v>-48000</v>
      </c>
      <c r="F40" s="8">
        <v>-102.91200000000001</v>
      </c>
      <c r="G40" s="9">
        <v>-1.6582940000000001E-2</v>
      </c>
      <c r="H40" s="167"/>
    </row>
    <row r="41" spans="1:8" x14ac:dyDescent="0.2">
      <c r="A41" s="5">
        <v>3</v>
      </c>
      <c r="B41" s="6"/>
      <c r="C41" s="6" t="s">
        <v>938</v>
      </c>
      <c r="D41" s="6" t="s">
        <v>700</v>
      </c>
      <c r="E41" s="7">
        <v>-16500</v>
      </c>
      <c r="F41" s="8">
        <v>-109.5765</v>
      </c>
      <c r="G41" s="9">
        <v>-1.7656829999999998E-2</v>
      </c>
      <c r="H41" s="167"/>
    </row>
    <row r="42" spans="1:8" x14ac:dyDescent="0.2">
      <c r="A42" s="5">
        <v>4</v>
      </c>
      <c r="B42" s="6"/>
      <c r="C42" s="6" t="s">
        <v>955</v>
      </c>
      <c r="D42" s="6" t="s">
        <v>700</v>
      </c>
      <c r="E42" s="7">
        <v>-140400</v>
      </c>
      <c r="F42" s="8">
        <v>-113.7942</v>
      </c>
      <c r="G42" s="9">
        <v>-1.8336459999999999E-2</v>
      </c>
      <c r="H42" s="167"/>
    </row>
    <row r="43" spans="1:8" x14ac:dyDescent="0.2">
      <c r="A43" s="5">
        <v>5</v>
      </c>
      <c r="B43" s="6"/>
      <c r="C43" s="6" t="s">
        <v>956</v>
      </c>
      <c r="D43" s="6" t="s">
        <v>700</v>
      </c>
      <c r="E43" s="7">
        <v>-75600</v>
      </c>
      <c r="F43" s="8">
        <v>-122.1696</v>
      </c>
      <c r="G43" s="9">
        <v>-1.968605E-2</v>
      </c>
      <c r="H43" s="167"/>
    </row>
    <row r="44" spans="1:8" x14ac:dyDescent="0.2">
      <c r="A44" s="5">
        <v>6</v>
      </c>
      <c r="B44" s="6"/>
      <c r="C44" s="6" t="s">
        <v>941</v>
      </c>
      <c r="D44" s="6" t="s">
        <v>700</v>
      </c>
      <c r="E44" s="7">
        <v>-62000</v>
      </c>
      <c r="F44" s="8">
        <v>-170.99600000000001</v>
      </c>
      <c r="G44" s="9">
        <v>-2.7553790000000002E-2</v>
      </c>
      <c r="H44" s="167"/>
    </row>
    <row r="45" spans="1:8" x14ac:dyDescent="0.2">
      <c r="A45" s="5">
        <v>7</v>
      </c>
      <c r="B45" s="6"/>
      <c r="C45" s="6" t="s">
        <v>957</v>
      </c>
      <c r="D45" s="6" t="s">
        <v>700</v>
      </c>
      <c r="E45" s="7">
        <v>-34375</v>
      </c>
      <c r="F45" s="8">
        <v>-182.82343750000001</v>
      </c>
      <c r="G45" s="9">
        <v>-2.9459630000000001E-2</v>
      </c>
      <c r="H45" s="167"/>
    </row>
    <row r="46" spans="1:8" x14ac:dyDescent="0.2">
      <c r="A46" s="5">
        <v>8</v>
      </c>
      <c r="B46" s="6"/>
      <c r="C46" s="6" t="s">
        <v>943</v>
      </c>
      <c r="D46" s="6" t="s">
        <v>700</v>
      </c>
      <c r="E46" s="7">
        <v>-30000</v>
      </c>
      <c r="F46" s="8">
        <v>-231.82499999999999</v>
      </c>
      <c r="G46" s="9">
        <v>-3.7355590000000001E-2</v>
      </c>
      <c r="H46" s="167"/>
    </row>
    <row r="47" spans="1:8" x14ac:dyDescent="0.2">
      <c r="A47" s="5">
        <v>9</v>
      </c>
      <c r="B47" s="6"/>
      <c r="C47" s="6" t="s">
        <v>935</v>
      </c>
      <c r="D47" s="6" t="s">
        <v>700</v>
      </c>
      <c r="E47" s="7">
        <v>-65000</v>
      </c>
      <c r="F47" s="8">
        <v>-266.14249999999998</v>
      </c>
      <c r="G47" s="9">
        <v>-4.288542E-2</v>
      </c>
      <c r="H47" s="167"/>
    </row>
    <row r="48" spans="1:8" x14ac:dyDescent="0.2">
      <c r="A48" s="5">
        <v>10</v>
      </c>
      <c r="B48" s="6"/>
      <c r="C48" s="6" t="s">
        <v>927</v>
      </c>
      <c r="D48" s="6" t="s">
        <v>700</v>
      </c>
      <c r="E48" s="7">
        <v>-36000</v>
      </c>
      <c r="F48" s="8">
        <v>-271.06200000000001</v>
      </c>
      <c r="G48" s="9">
        <v>-4.3678130000000003E-2</v>
      </c>
      <c r="H48" s="167"/>
    </row>
    <row r="49" spans="1:8" x14ac:dyDescent="0.2">
      <c r="A49" s="5">
        <v>11</v>
      </c>
      <c r="B49" s="6"/>
      <c r="C49" s="6" t="s">
        <v>958</v>
      </c>
      <c r="D49" s="6" t="s">
        <v>700</v>
      </c>
      <c r="E49" s="7">
        <v>-930</v>
      </c>
      <c r="F49" s="8">
        <v>-286.74597</v>
      </c>
      <c r="G49" s="9">
        <v>-4.6205400000000001E-2</v>
      </c>
      <c r="H49" s="167"/>
    </row>
    <row r="50" spans="1:8" x14ac:dyDescent="0.2">
      <c r="A50" s="5">
        <v>12</v>
      </c>
      <c r="B50" s="6"/>
      <c r="C50" s="6" t="s">
        <v>959</v>
      </c>
      <c r="D50" s="6" t="s">
        <v>700</v>
      </c>
      <c r="E50" s="7">
        <v>-72000</v>
      </c>
      <c r="F50" s="8">
        <v>-337.608</v>
      </c>
      <c r="G50" s="9">
        <v>-5.4401150000000002E-2</v>
      </c>
      <c r="H50" s="167"/>
    </row>
    <row r="51" spans="1:8" x14ac:dyDescent="0.2">
      <c r="A51" s="5">
        <v>13</v>
      </c>
      <c r="B51" s="6"/>
      <c r="C51" s="6" t="s">
        <v>960</v>
      </c>
      <c r="D51" s="6" t="s">
        <v>700</v>
      </c>
      <c r="E51" s="7">
        <v>-42900</v>
      </c>
      <c r="F51" s="8">
        <v>-351.54405000000003</v>
      </c>
      <c r="G51" s="9">
        <v>-5.6646769999999999E-2</v>
      </c>
      <c r="H51" s="167"/>
    </row>
    <row r="52" spans="1:8" x14ac:dyDescent="0.2">
      <c r="A52" s="5">
        <v>14</v>
      </c>
      <c r="B52" s="6"/>
      <c r="C52" s="6" t="s">
        <v>961</v>
      </c>
      <c r="D52" s="6" t="s">
        <v>700</v>
      </c>
      <c r="E52" s="7">
        <v>-288000</v>
      </c>
      <c r="F52" s="8">
        <v>-357.69600000000003</v>
      </c>
      <c r="G52" s="9">
        <v>-5.7638080000000001E-2</v>
      </c>
      <c r="H52" s="167"/>
    </row>
    <row r="53" spans="1:8" x14ac:dyDescent="0.2">
      <c r="A53" s="5">
        <v>15</v>
      </c>
      <c r="B53" s="6"/>
      <c r="C53" s="6" t="s">
        <v>962</v>
      </c>
      <c r="D53" s="6" t="s">
        <v>700</v>
      </c>
      <c r="E53" s="7">
        <v>-60000</v>
      </c>
      <c r="F53" s="8">
        <v>-408.87</v>
      </c>
      <c r="G53" s="9">
        <v>-6.5884100000000001E-2</v>
      </c>
      <c r="H53" s="167"/>
    </row>
    <row r="54" spans="1:8" x14ac:dyDescent="0.2">
      <c r="A54" s="5">
        <v>16</v>
      </c>
      <c r="B54" s="6"/>
      <c r="C54" s="6" t="s">
        <v>931</v>
      </c>
      <c r="D54" s="6" t="s">
        <v>700</v>
      </c>
      <c r="E54" s="7">
        <v>-19000</v>
      </c>
      <c r="F54" s="8">
        <v>-410.61849999999998</v>
      </c>
      <c r="G54" s="9">
        <v>-6.6165849999999998E-2</v>
      </c>
      <c r="H54" s="167"/>
    </row>
    <row r="55" spans="1:8" x14ac:dyDescent="0.2">
      <c r="A55" s="5">
        <v>17</v>
      </c>
      <c r="B55" s="6"/>
      <c r="C55" s="6" t="s">
        <v>949</v>
      </c>
      <c r="D55" s="6" t="s">
        <v>700</v>
      </c>
      <c r="E55" s="7">
        <v>-102000</v>
      </c>
      <c r="F55" s="8">
        <v>-430.79700000000003</v>
      </c>
      <c r="G55" s="9">
        <v>-6.9417350000000003E-2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0">
        <v>-4248.9238574999999</v>
      </c>
      <c r="G56" s="11">
        <v>-0.68465902199999995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113</v>
      </c>
      <c r="D58" s="3" t="s">
        <v>10</v>
      </c>
      <c r="E58" s="3" t="s">
        <v>10</v>
      </c>
      <c r="F58" s="10">
        <v>4235.3455875</v>
      </c>
      <c r="G58" s="11">
        <v>0.68247105900000005</v>
      </c>
      <c r="H58" s="167"/>
    </row>
    <row r="59" spans="1:8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114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12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104</v>
      </c>
      <c r="D62" s="3" t="s">
        <v>10</v>
      </c>
      <c r="E62" s="3" t="s">
        <v>10</v>
      </c>
      <c r="F62" s="14">
        <v>0</v>
      </c>
      <c r="G62" s="15">
        <v>0</v>
      </c>
      <c r="H62" s="167"/>
    </row>
    <row r="63" spans="1:8" x14ac:dyDescent="0.2">
      <c r="A63" s="3" t="s">
        <v>10</v>
      </c>
      <c r="B63" s="3" t="s">
        <v>10</v>
      </c>
      <c r="C63" s="12" t="s">
        <v>10</v>
      </c>
      <c r="D63" s="3" t="s">
        <v>10</v>
      </c>
      <c r="E63" s="3" t="s">
        <v>10</v>
      </c>
      <c r="F63" s="13" t="s">
        <v>10</v>
      </c>
      <c r="G63" s="1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115</v>
      </c>
      <c r="D64" s="3" t="s">
        <v>10</v>
      </c>
      <c r="E64" s="3" t="s">
        <v>10</v>
      </c>
      <c r="F64" s="3" t="s">
        <v>10</v>
      </c>
      <c r="G64" s="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104</v>
      </c>
      <c r="D65" s="3" t="s">
        <v>10</v>
      </c>
      <c r="E65" s="3" t="s">
        <v>10</v>
      </c>
      <c r="F65" s="14">
        <v>0</v>
      </c>
      <c r="G65" s="15">
        <v>0</v>
      </c>
      <c r="H65" s="167"/>
    </row>
    <row r="66" spans="1:8" x14ac:dyDescent="0.2">
      <c r="A66" s="3" t="s">
        <v>10</v>
      </c>
      <c r="B66" s="3" t="s">
        <v>10</v>
      </c>
      <c r="C66" s="12" t="s">
        <v>10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116</v>
      </c>
      <c r="D67" s="3" t="s">
        <v>10</v>
      </c>
      <c r="E67" s="3" t="s">
        <v>10</v>
      </c>
      <c r="F67" s="3" t="s">
        <v>10</v>
      </c>
      <c r="G67" s="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104</v>
      </c>
      <c r="D68" s="3" t="s">
        <v>10</v>
      </c>
      <c r="E68" s="3" t="s">
        <v>10</v>
      </c>
      <c r="F68" s="14">
        <v>0</v>
      </c>
      <c r="G68" s="15">
        <v>0</v>
      </c>
      <c r="H68" s="167"/>
    </row>
    <row r="69" spans="1:8" x14ac:dyDescent="0.2">
      <c r="A69" s="3" t="s">
        <v>10</v>
      </c>
      <c r="B69" s="3" t="s">
        <v>10</v>
      </c>
      <c r="C69" s="12" t="s">
        <v>10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117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104</v>
      </c>
      <c r="D71" s="3" t="s">
        <v>10</v>
      </c>
      <c r="E71" s="3" t="s">
        <v>10</v>
      </c>
      <c r="F71" s="14">
        <v>0</v>
      </c>
      <c r="G71" s="15">
        <v>0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118</v>
      </c>
      <c r="D73" s="3" t="s">
        <v>10</v>
      </c>
      <c r="E73" s="3" t="s">
        <v>10</v>
      </c>
      <c r="F73" s="10">
        <v>0</v>
      </c>
      <c r="G73" s="11">
        <v>0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119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120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104</v>
      </c>
      <c r="D77" s="3" t="s">
        <v>10</v>
      </c>
      <c r="E77" s="3" t="s">
        <v>10</v>
      </c>
      <c r="F77" s="14">
        <v>0</v>
      </c>
      <c r="G77" s="15">
        <v>0</v>
      </c>
      <c r="H77" s="167"/>
    </row>
    <row r="78" spans="1:8" x14ac:dyDescent="0.2">
      <c r="A78" s="3" t="s">
        <v>10</v>
      </c>
      <c r="B78" s="3" t="s">
        <v>10</v>
      </c>
      <c r="C78" s="12" t="s">
        <v>10</v>
      </c>
      <c r="D78" s="3" t="s">
        <v>10</v>
      </c>
      <c r="E78" s="3" t="s">
        <v>10</v>
      </c>
      <c r="F78" s="13" t="s">
        <v>10</v>
      </c>
      <c r="G78" s="1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121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104</v>
      </c>
      <c r="D80" s="3" t="s">
        <v>10</v>
      </c>
      <c r="E80" s="3" t="s">
        <v>10</v>
      </c>
      <c r="F80" s="14">
        <v>0</v>
      </c>
      <c r="G80" s="15">
        <v>0</v>
      </c>
      <c r="H80" s="167"/>
    </row>
    <row r="81" spans="1:8" x14ac:dyDescent="0.2">
      <c r="A81" s="3" t="s">
        <v>10</v>
      </c>
      <c r="B81" s="3" t="s">
        <v>10</v>
      </c>
      <c r="C81" s="12" t="s">
        <v>10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122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104</v>
      </c>
      <c r="D83" s="3" t="s">
        <v>10</v>
      </c>
      <c r="E83" s="3" t="s">
        <v>10</v>
      </c>
      <c r="F83" s="14">
        <v>0</v>
      </c>
      <c r="G83" s="15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123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5">
        <v>1</v>
      </c>
      <c r="B86" s="6"/>
      <c r="C86" s="6" t="s">
        <v>124</v>
      </c>
      <c r="D86" s="6"/>
      <c r="E86" s="16" t="s">
        <v>10</v>
      </c>
      <c r="F86" s="8">
        <v>252.00717940000001</v>
      </c>
      <c r="G86" s="9">
        <v>4.0607691000000001E-2</v>
      </c>
      <c r="H86" s="108">
        <v>3.23</v>
      </c>
    </row>
    <row r="87" spans="1:8" x14ac:dyDescent="0.2">
      <c r="A87" s="5">
        <v>2</v>
      </c>
      <c r="B87" s="6"/>
      <c r="C87" s="6" t="s">
        <v>125</v>
      </c>
      <c r="D87" s="6"/>
      <c r="E87" s="16" t="s">
        <v>10</v>
      </c>
      <c r="F87" s="8">
        <v>70.786288600000006</v>
      </c>
      <c r="G87" s="9">
        <v>1.1406293E-2</v>
      </c>
      <c r="H87" s="108">
        <v>3.35</v>
      </c>
    </row>
    <row r="88" spans="1:8" x14ac:dyDescent="0.2">
      <c r="A88" s="3" t="s">
        <v>10</v>
      </c>
      <c r="B88" s="3" t="s">
        <v>10</v>
      </c>
      <c r="C88" s="4" t="s">
        <v>104</v>
      </c>
      <c r="D88" s="3" t="s">
        <v>10</v>
      </c>
      <c r="E88" s="3" t="s">
        <v>10</v>
      </c>
      <c r="F88" s="10">
        <v>322.79346800000002</v>
      </c>
      <c r="G88" s="11">
        <v>5.2013983999999999E-2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126</v>
      </c>
      <c r="D90" s="3" t="s">
        <v>10</v>
      </c>
      <c r="E90" s="3" t="s">
        <v>10</v>
      </c>
      <c r="F90" s="10">
        <v>322.79346800000002</v>
      </c>
      <c r="G90" s="11">
        <v>5.2013983999999999E-2</v>
      </c>
      <c r="H90" s="167"/>
    </row>
    <row r="91" spans="1:8" x14ac:dyDescent="0.2">
      <c r="A91" s="3" t="s">
        <v>10</v>
      </c>
      <c r="B91" s="3" t="s">
        <v>10</v>
      </c>
      <c r="C91" s="13" t="s">
        <v>10</v>
      </c>
      <c r="D91" s="3" t="s">
        <v>10</v>
      </c>
      <c r="E91" s="3" t="s">
        <v>10</v>
      </c>
      <c r="F91" s="3" t="s">
        <v>10</v>
      </c>
      <c r="G91" s="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127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128</v>
      </c>
      <c r="D93" s="3" t="s">
        <v>10</v>
      </c>
      <c r="E93" s="3" t="s">
        <v>10</v>
      </c>
      <c r="F93" s="3" t="s">
        <v>10</v>
      </c>
      <c r="G93" s="3" t="s">
        <v>10</v>
      </c>
      <c r="H93" s="167"/>
    </row>
    <row r="94" spans="1:8" x14ac:dyDescent="0.2">
      <c r="A94" s="5">
        <v>1</v>
      </c>
      <c r="B94" s="6" t="s">
        <v>701</v>
      </c>
      <c r="C94" s="139" t="s">
        <v>979</v>
      </c>
      <c r="D94" s="6"/>
      <c r="E94" s="7">
        <v>464328.50199999998</v>
      </c>
      <c r="F94" s="8">
        <v>202.59488333600001</v>
      </c>
      <c r="G94" s="9">
        <v>3.2645540000000001E-2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0">
        <v>202.59488333600001</v>
      </c>
      <c r="G95" s="11">
        <v>3.2645540000000001E-2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129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130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ht="25.5" x14ac:dyDescent="0.2">
      <c r="A102" s="3" t="s">
        <v>10</v>
      </c>
      <c r="B102" s="3" t="s">
        <v>10</v>
      </c>
      <c r="C102" s="4" t="s">
        <v>131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104</v>
      </c>
      <c r="D103" s="3" t="s">
        <v>10</v>
      </c>
      <c r="E103" s="3" t="s">
        <v>10</v>
      </c>
      <c r="F103" s="14">
        <v>0</v>
      </c>
      <c r="G103" s="15">
        <v>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16" t="s">
        <v>10</v>
      </c>
      <c r="B105" s="6" t="s">
        <v>10</v>
      </c>
      <c r="C105" s="6" t="s">
        <v>702</v>
      </c>
      <c r="D105" s="6" t="s">
        <v>10</v>
      </c>
      <c r="E105" s="16" t="s">
        <v>10</v>
      </c>
      <c r="F105" s="8">
        <v>1324.7694873999999</v>
      </c>
      <c r="G105" s="9">
        <v>0.21346943700000001</v>
      </c>
      <c r="H105" s="167"/>
    </row>
    <row r="106" spans="1:8" x14ac:dyDescent="0.2">
      <c r="A106" s="16" t="s">
        <v>10</v>
      </c>
      <c r="B106" s="6" t="s">
        <v>10</v>
      </c>
      <c r="C106" s="6" t="s">
        <v>132</v>
      </c>
      <c r="D106" s="6" t="s">
        <v>10</v>
      </c>
      <c r="E106" s="16" t="s">
        <v>10</v>
      </c>
      <c r="F106" s="8">
        <v>120.39427896400048</v>
      </c>
      <c r="G106" s="199">
        <v>1.9400000000000001E-2</v>
      </c>
      <c r="H106" s="167"/>
    </row>
    <row r="107" spans="1:8" x14ac:dyDescent="0.2">
      <c r="A107" s="12" t="s">
        <v>10</v>
      </c>
      <c r="B107" s="12" t="s">
        <v>10</v>
      </c>
      <c r="C107" s="4" t="s">
        <v>133</v>
      </c>
      <c r="D107" s="17" t="s">
        <v>10</v>
      </c>
      <c r="E107" s="17" t="s">
        <v>10</v>
      </c>
      <c r="F107" s="198">
        <v>6205.8977052</v>
      </c>
      <c r="G107" s="200">
        <v>1.0000000200000001</v>
      </c>
      <c r="H107" s="167"/>
    </row>
    <row r="108" spans="1:8" ht="14.1" customHeight="1" x14ac:dyDescent="0.2">
      <c r="A108" s="18" t="s">
        <v>10</v>
      </c>
      <c r="B108" s="18" t="s">
        <v>10</v>
      </c>
      <c r="C108" s="18" t="s">
        <v>10</v>
      </c>
      <c r="D108" s="19" t="s">
        <v>10</v>
      </c>
      <c r="E108" s="19" t="s">
        <v>10</v>
      </c>
      <c r="F108" s="197"/>
      <c r="G108" s="22" t="s">
        <v>10</v>
      </c>
    </row>
    <row r="109" spans="1:8" ht="14.1" customHeight="1" x14ac:dyDescent="0.2">
      <c r="A109" s="20" t="s">
        <v>10</v>
      </c>
      <c r="B109" s="217" t="s">
        <v>978</v>
      </c>
      <c r="C109" s="217"/>
      <c r="D109" s="217"/>
      <c r="E109" s="217"/>
      <c r="F109" s="217"/>
      <c r="G109" s="22"/>
    </row>
    <row r="110" spans="1:8" ht="17.100000000000001" customHeight="1" x14ac:dyDescent="0.2">
      <c r="A110" s="20" t="s">
        <v>10</v>
      </c>
      <c r="B110" s="208"/>
      <c r="C110" s="208"/>
      <c r="D110" s="208"/>
      <c r="E110" s="208"/>
      <c r="F110" s="208"/>
      <c r="G110" s="22" t="s">
        <v>10</v>
      </c>
    </row>
    <row r="111" spans="1:8" ht="14.1" customHeight="1" x14ac:dyDescent="0.2">
      <c r="A111" s="20" t="s">
        <v>10</v>
      </c>
      <c r="B111" s="20" t="s">
        <v>10</v>
      </c>
      <c r="C111" s="20" t="s">
        <v>10</v>
      </c>
      <c r="D111" s="22" t="s">
        <v>10</v>
      </c>
      <c r="E111" s="22" t="s">
        <v>10</v>
      </c>
      <c r="F111" s="22" t="s">
        <v>10</v>
      </c>
      <c r="G111" s="22" t="s">
        <v>10</v>
      </c>
    </row>
    <row r="112" spans="1:8" ht="14.1" customHeight="1" x14ac:dyDescent="0.2">
      <c r="A112" s="20" t="s">
        <v>10</v>
      </c>
      <c r="B112" s="206" t="s">
        <v>134</v>
      </c>
      <c r="C112" s="207"/>
      <c r="D112" s="13" t="s">
        <v>10</v>
      </c>
      <c r="E112" s="23" t="s">
        <v>10</v>
      </c>
      <c r="F112" s="22" t="s">
        <v>10</v>
      </c>
      <c r="G112" s="22" t="s">
        <v>10</v>
      </c>
    </row>
    <row r="113" spans="1:7" ht="29.1" customHeight="1" x14ac:dyDescent="0.2">
      <c r="A113" s="20" t="s">
        <v>10</v>
      </c>
      <c r="B113" s="213" t="s">
        <v>135</v>
      </c>
      <c r="C113" s="214"/>
      <c r="D113" s="4" t="s">
        <v>136</v>
      </c>
      <c r="E113" s="23" t="s">
        <v>10</v>
      </c>
      <c r="F113" s="22" t="s">
        <v>10</v>
      </c>
      <c r="G113" s="22" t="s">
        <v>10</v>
      </c>
    </row>
    <row r="114" spans="1:7" ht="17.100000000000001" customHeight="1" x14ac:dyDescent="0.2">
      <c r="A114" s="20" t="s">
        <v>10</v>
      </c>
      <c r="B114" s="213" t="s">
        <v>137</v>
      </c>
      <c r="C114" s="214"/>
      <c r="D114" s="4" t="s">
        <v>136</v>
      </c>
      <c r="E114" s="23" t="s">
        <v>10</v>
      </c>
      <c r="F114" s="22" t="s">
        <v>10</v>
      </c>
      <c r="G114" s="22" t="s">
        <v>10</v>
      </c>
    </row>
    <row r="115" spans="1:7" ht="17.100000000000001" customHeight="1" x14ac:dyDescent="0.2">
      <c r="A115" s="20" t="s">
        <v>10</v>
      </c>
      <c r="B115" s="213" t="s">
        <v>138</v>
      </c>
      <c r="C115" s="214"/>
      <c r="D115" s="13" t="s">
        <v>10</v>
      </c>
      <c r="E115" s="23" t="s">
        <v>10</v>
      </c>
      <c r="F115" s="22" t="s">
        <v>10</v>
      </c>
      <c r="G115" s="22" t="s">
        <v>10</v>
      </c>
    </row>
    <row r="116" spans="1:7" s="20" customFormat="1" ht="17.100000000000001" customHeight="1" x14ac:dyDescent="0.2"/>
    <row r="117" spans="1:7" x14ac:dyDescent="0.2">
      <c r="A117" s="24" t="s">
        <v>10</v>
      </c>
      <c r="B117" s="140" t="s">
        <v>10</v>
      </c>
      <c r="C117" s="140" t="s">
        <v>139</v>
      </c>
      <c r="D117" s="140" t="s">
        <v>140</v>
      </c>
      <c r="E117" s="24" t="s">
        <v>10</v>
      </c>
      <c r="F117" s="24" t="s">
        <v>10</v>
      </c>
      <c r="G117" s="24" t="s">
        <v>10</v>
      </c>
    </row>
    <row r="118" spans="1:7" ht="18" customHeight="1" x14ac:dyDescent="0.2">
      <c r="A118" s="24" t="s">
        <v>10</v>
      </c>
      <c r="B118" s="25" t="s">
        <v>141</v>
      </c>
      <c r="C118" s="25" t="s">
        <v>142</v>
      </c>
      <c r="D118" s="25" t="s">
        <v>143</v>
      </c>
      <c r="E118" s="24" t="s">
        <v>10</v>
      </c>
      <c r="F118" s="24" t="s">
        <v>10</v>
      </c>
      <c r="G118" s="24" t="s">
        <v>10</v>
      </c>
    </row>
    <row r="119" spans="1:7" ht="17.100000000000001" customHeight="1" x14ac:dyDescent="0.2">
      <c r="A119" s="24" t="s">
        <v>10</v>
      </c>
      <c r="B119" s="6" t="s">
        <v>144</v>
      </c>
      <c r="C119" s="26">
        <v>10.555899999999999</v>
      </c>
      <c r="D119" s="26">
        <v>10.5989</v>
      </c>
      <c r="E119" s="24" t="s">
        <v>10</v>
      </c>
      <c r="F119" s="21" t="s">
        <v>10</v>
      </c>
      <c r="G119" s="27" t="s">
        <v>10</v>
      </c>
    </row>
    <row r="120" spans="1:7" ht="17.100000000000001" customHeight="1" x14ac:dyDescent="0.2">
      <c r="A120" s="24" t="s">
        <v>10</v>
      </c>
      <c r="B120" s="6" t="s">
        <v>917</v>
      </c>
      <c r="C120" s="26">
        <v>10.553100000000001</v>
      </c>
      <c r="D120" s="26">
        <v>10.595700000000001</v>
      </c>
      <c r="E120" s="24" t="s">
        <v>10</v>
      </c>
      <c r="F120" s="21" t="s">
        <v>10</v>
      </c>
      <c r="G120" s="27" t="s">
        <v>10</v>
      </c>
    </row>
    <row r="121" spans="1:7" ht="17.100000000000001" customHeight="1" x14ac:dyDescent="0.2">
      <c r="A121" s="24" t="s">
        <v>10</v>
      </c>
      <c r="B121" s="6" t="s">
        <v>145</v>
      </c>
      <c r="C121" s="26">
        <v>10.4666</v>
      </c>
      <c r="D121" s="26">
        <v>10.502700000000001</v>
      </c>
      <c r="E121" s="24" t="s">
        <v>10</v>
      </c>
      <c r="F121" s="21" t="s">
        <v>10</v>
      </c>
      <c r="G121" s="27" t="s">
        <v>10</v>
      </c>
    </row>
    <row r="122" spans="1:7" ht="17.100000000000001" customHeight="1" x14ac:dyDescent="0.2">
      <c r="A122" s="24" t="s">
        <v>10</v>
      </c>
      <c r="B122" s="6" t="s">
        <v>918</v>
      </c>
      <c r="C122" s="26">
        <v>10.466699999999999</v>
      </c>
      <c r="D122" s="26">
        <v>10.502800000000001</v>
      </c>
      <c r="E122" s="24" t="s">
        <v>10</v>
      </c>
      <c r="F122" s="21" t="s">
        <v>10</v>
      </c>
      <c r="G122" s="27" t="s">
        <v>10</v>
      </c>
    </row>
    <row r="123" spans="1:7" ht="14.1" customHeight="1" x14ac:dyDescent="0.2">
      <c r="A123" s="24" t="s">
        <v>10</v>
      </c>
      <c r="B123" s="24" t="s">
        <v>10</v>
      </c>
      <c r="C123" s="24" t="s">
        <v>10</v>
      </c>
      <c r="D123" s="24" t="s">
        <v>10</v>
      </c>
      <c r="E123" s="24" t="s">
        <v>10</v>
      </c>
      <c r="F123" s="24" t="s">
        <v>10</v>
      </c>
      <c r="G123" s="24" t="s">
        <v>10</v>
      </c>
    </row>
    <row r="124" spans="1:7" ht="17.100000000000001" customHeight="1" x14ac:dyDescent="0.2">
      <c r="A124" s="24" t="s">
        <v>10</v>
      </c>
      <c r="B124" s="213" t="s">
        <v>999</v>
      </c>
      <c r="C124" s="214"/>
      <c r="D124" s="4" t="s">
        <v>136</v>
      </c>
      <c r="E124" s="24" t="s">
        <v>10</v>
      </c>
      <c r="F124" s="24" t="s">
        <v>10</v>
      </c>
      <c r="G124" s="24" t="s">
        <v>10</v>
      </c>
    </row>
    <row r="125" spans="1:7" ht="18" customHeight="1" x14ac:dyDescent="0.2">
      <c r="A125" s="24" t="s">
        <v>10</v>
      </c>
      <c r="B125" s="28"/>
      <c r="C125" s="28"/>
      <c r="D125" s="29" t="s">
        <v>10</v>
      </c>
      <c r="E125" s="24" t="s">
        <v>10</v>
      </c>
      <c r="F125" s="24" t="s">
        <v>10</v>
      </c>
      <c r="G125" s="24" t="s">
        <v>10</v>
      </c>
    </row>
    <row r="126" spans="1:7" s="175" customFormat="1" x14ac:dyDescent="0.2">
      <c r="B126" s="221" t="s">
        <v>919</v>
      </c>
      <c r="C126" s="221"/>
      <c r="D126" s="221"/>
      <c r="E126" s="221"/>
      <c r="F126" s="221"/>
    </row>
    <row r="127" spans="1:7" ht="14.1" customHeight="1" x14ac:dyDescent="0.2">
      <c r="A127" s="24" t="s">
        <v>10</v>
      </c>
      <c r="B127" s="21" t="s">
        <v>10</v>
      </c>
      <c r="C127" s="21" t="s">
        <v>10</v>
      </c>
      <c r="D127" s="24" t="s">
        <v>10</v>
      </c>
      <c r="E127" s="24" t="s">
        <v>10</v>
      </c>
      <c r="F127" s="24" t="s">
        <v>10</v>
      </c>
      <c r="G127" s="24" t="s">
        <v>10</v>
      </c>
    </row>
    <row r="128" spans="1:7" ht="29.1" customHeight="1" x14ac:dyDescent="0.2">
      <c r="A128" s="24" t="s">
        <v>10</v>
      </c>
      <c r="B128" s="213" t="s">
        <v>146</v>
      </c>
      <c r="C128" s="214"/>
      <c r="D128" s="4" t="s">
        <v>981</v>
      </c>
      <c r="E128" s="24" t="s">
        <v>10</v>
      </c>
      <c r="F128" s="24" t="s">
        <v>10</v>
      </c>
      <c r="G128" s="24" t="s">
        <v>10</v>
      </c>
    </row>
    <row r="129" spans="1:7" ht="29.1" customHeight="1" x14ac:dyDescent="0.2">
      <c r="A129" s="24" t="s">
        <v>10</v>
      </c>
      <c r="B129" s="213" t="s">
        <v>147</v>
      </c>
      <c r="C129" s="214"/>
      <c r="D129" s="4" t="s">
        <v>136</v>
      </c>
      <c r="E129" s="24" t="s">
        <v>10</v>
      </c>
      <c r="F129" s="24" t="s">
        <v>10</v>
      </c>
      <c r="G129" s="24" t="s">
        <v>10</v>
      </c>
    </row>
    <row r="130" spans="1:7" ht="17.100000000000001" customHeight="1" x14ac:dyDescent="0.2">
      <c r="A130" s="24" t="s">
        <v>10</v>
      </c>
      <c r="B130" s="213" t="s">
        <v>148</v>
      </c>
      <c r="C130" s="214"/>
      <c r="D130" s="30">
        <v>13.367065624489822</v>
      </c>
      <c r="E130" s="24" t="s">
        <v>10</v>
      </c>
      <c r="F130" s="21" t="s">
        <v>10</v>
      </c>
      <c r="G130" s="27" t="s">
        <v>10</v>
      </c>
    </row>
    <row r="131" spans="1:7" ht="17.100000000000001" customHeight="1" x14ac:dyDescent="0.2">
      <c r="A131" s="24" t="s">
        <v>10</v>
      </c>
      <c r="B131" s="213" t="s">
        <v>149</v>
      </c>
      <c r="C131" s="214"/>
      <c r="D131" s="4" t="s">
        <v>136</v>
      </c>
      <c r="E131" s="24" t="s">
        <v>10</v>
      </c>
      <c r="F131" s="24" t="s">
        <v>10</v>
      </c>
      <c r="G131" s="24" t="s">
        <v>10</v>
      </c>
    </row>
  </sheetData>
  <mergeCells count="15">
    <mergeCell ref="B130:C130"/>
    <mergeCell ref="B131:C131"/>
    <mergeCell ref="B113:C113"/>
    <mergeCell ref="B114:C114"/>
    <mergeCell ref="B115:C115"/>
    <mergeCell ref="B124:C124"/>
    <mergeCell ref="B128:C128"/>
    <mergeCell ref="B129:C129"/>
    <mergeCell ref="B126:F126"/>
    <mergeCell ref="B112:C112"/>
    <mergeCell ref="B109:F109"/>
    <mergeCell ref="B110:F11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1028-CA1F-421A-AFDC-B4ED9C697965}">
  <sheetPr>
    <outlinePr summaryBelow="0" summaryRight="0"/>
  </sheetPr>
  <dimension ref="A1:H20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" bestFit="1" customWidth="1"/>
    <col min="4" max="4" width="17.85546875" customWidth="1"/>
    <col min="5" max="6" width="19.140625" customWidth="1"/>
    <col min="7" max="7" width="16.42578125" customWidth="1"/>
    <col min="11" max="12" width="11.5703125" bestFit="1" customWidth="1"/>
    <col min="13" max="13" width="16.7109375" bestFit="1" customWidth="1"/>
    <col min="255" max="255" width="6.85546875" customWidth="1"/>
    <col min="256" max="256" width="20.5703125" customWidth="1"/>
    <col min="257" max="257" width="34.28515625" customWidth="1"/>
    <col min="258" max="258" width="17.85546875" customWidth="1"/>
    <col min="259" max="260" width="19.140625" customWidth="1"/>
    <col min="261" max="261" width="16.42578125" customWidth="1"/>
    <col min="511" max="511" width="6.85546875" customWidth="1"/>
    <col min="512" max="512" width="20.5703125" customWidth="1"/>
    <col min="513" max="513" width="34.28515625" customWidth="1"/>
    <col min="514" max="514" width="17.85546875" customWidth="1"/>
    <col min="515" max="516" width="19.140625" customWidth="1"/>
    <col min="517" max="517" width="16.42578125" customWidth="1"/>
    <col min="767" max="767" width="6.85546875" customWidth="1"/>
    <col min="768" max="768" width="20.5703125" customWidth="1"/>
    <col min="769" max="769" width="34.28515625" customWidth="1"/>
    <col min="770" max="770" width="17.85546875" customWidth="1"/>
    <col min="771" max="772" width="19.140625" customWidth="1"/>
    <col min="773" max="773" width="16.42578125" customWidth="1"/>
    <col min="1023" max="1023" width="6.85546875" customWidth="1"/>
    <col min="1024" max="1024" width="20.5703125" customWidth="1"/>
    <col min="1025" max="1025" width="34.28515625" customWidth="1"/>
    <col min="1026" max="1026" width="17.85546875" customWidth="1"/>
    <col min="1027" max="1028" width="19.140625" customWidth="1"/>
    <col min="1029" max="1029" width="16.42578125" customWidth="1"/>
    <col min="1279" max="1279" width="6.85546875" customWidth="1"/>
    <col min="1280" max="1280" width="20.5703125" customWidth="1"/>
    <col min="1281" max="1281" width="34.28515625" customWidth="1"/>
    <col min="1282" max="1282" width="17.85546875" customWidth="1"/>
    <col min="1283" max="1284" width="19.140625" customWidth="1"/>
    <col min="1285" max="1285" width="16.42578125" customWidth="1"/>
    <col min="1535" max="1535" width="6.85546875" customWidth="1"/>
    <col min="1536" max="1536" width="20.5703125" customWidth="1"/>
    <col min="1537" max="1537" width="34.28515625" customWidth="1"/>
    <col min="1538" max="1538" width="17.85546875" customWidth="1"/>
    <col min="1539" max="1540" width="19.140625" customWidth="1"/>
    <col min="1541" max="1541" width="16.42578125" customWidth="1"/>
    <col min="1791" max="1791" width="6.85546875" customWidth="1"/>
    <col min="1792" max="1792" width="20.5703125" customWidth="1"/>
    <col min="1793" max="1793" width="34.28515625" customWidth="1"/>
    <col min="1794" max="1794" width="17.85546875" customWidth="1"/>
    <col min="1795" max="1796" width="19.140625" customWidth="1"/>
    <col min="1797" max="1797" width="16.42578125" customWidth="1"/>
    <col min="2047" max="2047" width="6.85546875" customWidth="1"/>
    <col min="2048" max="2048" width="20.5703125" customWidth="1"/>
    <col min="2049" max="2049" width="34.28515625" customWidth="1"/>
    <col min="2050" max="2050" width="17.85546875" customWidth="1"/>
    <col min="2051" max="2052" width="19.140625" customWidth="1"/>
    <col min="2053" max="2053" width="16.42578125" customWidth="1"/>
    <col min="2303" max="2303" width="6.85546875" customWidth="1"/>
    <col min="2304" max="2304" width="20.5703125" customWidth="1"/>
    <col min="2305" max="2305" width="34.28515625" customWidth="1"/>
    <col min="2306" max="2306" width="17.85546875" customWidth="1"/>
    <col min="2307" max="2308" width="19.140625" customWidth="1"/>
    <col min="2309" max="2309" width="16.42578125" customWidth="1"/>
    <col min="2559" max="2559" width="6.85546875" customWidth="1"/>
    <col min="2560" max="2560" width="20.5703125" customWidth="1"/>
    <col min="2561" max="2561" width="34.28515625" customWidth="1"/>
    <col min="2562" max="2562" width="17.85546875" customWidth="1"/>
    <col min="2563" max="2564" width="19.140625" customWidth="1"/>
    <col min="2565" max="2565" width="16.42578125" customWidth="1"/>
    <col min="2815" max="2815" width="6.85546875" customWidth="1"/>
    <col min="2816" max="2816" width="20.5703125" customWidth="1"/>
    <col min="2817" max="2817" width="34.28515625" customWidth="1"/>
    <col min="2818" max="2818" width="17.85546875" customWidth="1"/>
    <col min="2819" max="2820" width="19.140625" customWidth="1"/>
    <col min="2821" max="2821" width="16.42578125" customWidth="1"/>
    <col min="3071" max="3071" width="6.85546875" customWidth="1"/>
    <col min="3072" max="3072" width="20.5703125" customWidth="1"/>
    <col min="3073" max="3073" width="34.28515625" customWidth="1"/>
    <col min="3074" max="3074" width="17.85546875" customWidth="1"/>
    <col min="3075" max="3076" width="19.140625" customWidth="1"/>
    <col min="3077" max="3077" width="16.42578125" customWidth="1"/>
    <col min="3327" max="3327" width="6.85546875" customWidth="1"/>
    <col min="3328" max="3328" width="20.5703125" customWidth="1"/>
    <col min="3329" max="3329" width="34.28515625" customWidth="1"/>
    <col min="3330" max="3330" width="17.85546875" customWidth="1"/>
    <col min="3331" max="3332" width="19.140625" customWidth="1"/>
    <col min="3333" max="3333" width="16.42578125" customWidth="1"/>
    <col min="3583" max="3583" width="6.85546875" customWidth="1"/>
    <col min="3584" max="3584" width="20.5703125" customWidth="1"/>
    <col min="3585" max="3585" width="34.28515625" customWidth="1"/>
    <col min="3586" max="3586" width="17.85546875" customWidth="1"/>
    <col min="3587" max="3588" width="19.140625" customWidth="1"/>
    <col min="3589" max="3589" width="16.42578125" customWidth="1"/>
    <col min="3839" max="3839" width="6.85546875" customWidth="1"/>
    <col min="3840" max="3840" width="20.5703125" customWidth="1"/>
    <col min="3841" max="3841" width="34.28515625" customWidth="1"/>
    <col min="3842" max="3842" width="17.85546875" customWidth="1"/>
    <col min="3843" max="3844" width="19.140625" customWidth="1"/>
    <col min="3845" max="3845" width="16.42578125" customWidth="1"/>
    <col min="4095" max="4095" width="6.85546875" customWidth="1"/>
    <col min="4096" max="4096" width="20.5703125" customWidth="1"/>
    <col min="4097" max="4097" width="34.28515625" customWidth="1"/>
    <col min="4098" max="4098" width="17.85546875" customWidth="1"/>
    <col min="4099" max="4100" width="19.140625" customWidth="1"/>
    <col min="4101" max="4101" width="16.42578125" customWidth="1"/>
    <col min="4351" max="4351" width="6.85546875" customWidth="1"/>
    <col min="4352" max="4352" width="20.5703125" customWidth="1"/>
    <col min="4353" max="4353" width="34.28515625" customWidth="1"/>
    <col min="4354" max="4354" width="17.85546875" customWidth="1"/>
    <col min="4355" max="4356" width="19.140625" customWidth="1"/>
    <col min="4357" max="4357" width="16.42578125" customWidth="1"/>
    <col min="4607" max="4607" width="6.85546875" customWidth="1"/>
    <col min="4608" max="4608" width="20.5703125" customWidth="1"/>
    <col min="4609" max="4609" width="34.28515625" customWidth="1"/>
    <col min="4610" max="4610" width="17.85546875" customWidth="1"/>
    <col min="4611" max="4612" width="19.140625" customWidth="1"/>
    <col min="4613" max="4613" width="16.42578125" customWidth="1"/>
    <col min="4863" max="4863" width="6.85546875" customWidth="1"/>
    <col min="4864" max="4864" width="20.5703125" customWidth="1"/>
    <col min="4865" max="4865" width="34.28515625" customWidth="1"/>
    <col min="4866" max="4866" width="17.85546875" customWidth="1"/>
    <col min="4867" max="4868" width="19.140625" customWidth="1"/>
    <col min="4869" max="4869" width="16.42578125" customWidth="1"/>
    <col min="5119" max="5119" width="6.85546875" customWidth="1"/>
    <col min="5120" max="5120" width="20.5703125" customWidth="1"/>
    <col min="5121" max="5121" width="34.28515625" customWidth="1"/>
    <col min="5122" max="5122" width="17.85546875" customWidth="1"/>
    <col min="5123" max="5124" width="19.140625" customWidth="1"/>
    <col min="5125" max="5125" width="16.42578125" customWidth="1"/>
    <col min="5375" max="5375" width="6.85546875" customWidth="1"/>
    <col min="5376" max="5376" width="20.5703125" customWidth="1"/>
    <col min="5377" max="5377" width="34.28515625" customWidth="1"/>
    <col min="5378" max="5378" width="17.85546875" customWidth="1"/>
    <col min="5379" max="5380" width="19.140625" customWidth="1"/>
    <col min="5381" max="5381" width="16.42578125" customWidth="1"/>
    <col min="5631" max="5631" width="6.85546875" customWidth="1"/>
    <col min="5632" max="5632" width="20.5703125" customWidth="1"/>
    <col min="5633" max="5633" width="34.28515625" customWidth="1"/>
    <col min="5634" max="5634" width="17.85546875" customWidth="1"/>
    <col min="5635" max="5636" width="19.140625" customWidth="1"/>
    <col min="5637" max="5637" width="16.42578125" customWidth="1"/>
    <col min="5887" max="5887" width="6.85546875" customWidth="1"/>
    <col min="5888" max="5888" width="20.5703125" customWidth="1"/>
    <col min="5889" max="5889" width="34.28515625" customWidth="1"/>
    <col min="5890" max="5890" width="17.85546875" customWidth="1"/>
    <col min="5891" max="5892" width="19.140625" customWidth="1"/>
    <col min="5893" max="5893" width="16.42578125" customWidth="1"/>
    <col min="6143" max="6143" width="6.85546875" customWidth="1"/>
    <col min="6144" max="6144" width="20.5703125" customWidth="1"/>
    <col min="6145" max="6145" width="34.28515625" customWidth="1"/>
    <col min="6146" max="6146" width="17.85546875" customWidth="1"/>
    <col min="6147" max="6148" width="19.140625" customWidth="1"/>
    <col min="6149" max="6149" width="16.42578125" customWidth="1"/>
    <col min="6399" max="6399" width="6.85546875" customWidth="1"/>
    <col min="6400" max="6400" width="20.5703125" customWidth="1"/>
    <col min="6401" max="6401" width="34.28515625" customWidth="1"/>
    <col min="6402" max="6402" width="17.85546875" customWidth="1"/>
    <col min="6403" max="6404" width="19.140625" customWidth="1"/>
    <col min="6405" max="6405" width="16.42578125" customWidth="1"/>
    <col min="6655" max="6655" width="6.85546875" customWidth="1"/>
    <col min="6656" max="6656" width="20.5703125" customWidth="1"/>
    <col min="6657" max="6657" width="34.28515625" customWidth="1"/>
    <col min="6658" max="6658" width="17.85546875" customWidth="1"/>
    <col min="6659" max="6660" width="19.140625" customWidth="1"/>
    <col min="6661" max="6661" width="16.42578125" customWidth="1"/>
    <col min="6911" max="6911" width="6.85546875" customWidth="1"/>
    <col min="6912" max="6912" width="20.5703125" customWidth="1"/>
    <col min="6913" max="6913" width="34.28515625" customWidth="1"/>
    <col min="6914" max="6914" width="17.85546875" customWidth="1"/>
    <col min="6915" max="6916" width="19.140625" customWidth="1"/>
    <col min="6917" max="6917" width="16.42578125" customWidth="1"/>
    <col min="7167" max="7167" width="6.85546875" customWidth="1"/>
    <col min="7168" max="7168" width="20.5703125" customWidth="1"/>
    <col min="7169" max="7169" width="34.28515625" customWidth="1"/>
    <col min="7170" max="7170" width="17.85546875" customWidth="1"/>
    <col min="7171" max="7172" width="19.140625" customWidth="1"/>
    <col min="7173" max="7173" width="16.42578125" customWidth="1"/>
    <col min="7423" max="7423" width="6.85546875" customWidth="1"/>
    <col min="7424" max="7424" width="20.5703125" customWidth="1"/>
    <col min="7425" max="7425" width="34.28515625" customWidth="1"/>
    <col min="7426" max="7426" width="17.85546875" customWidth="1"/>
    <col min="7427" max="7428" width="19.140625" customWidth="1"/>
    <col min="7429" max="7429" width="16.42578125" customWidth="1"/>
    <col min="7679" max="7679" width="6.85546875" customWidth="1"/>
    <col min="7680" max="7680" width="20.5703125" customWidth="1"/>
    <col min="7681" max="7681" width="34.28515625" customWidth="1"/>
    <col min="7682" max="7682" width="17.85546875" customWidth="1"/>
    <col min="7683" max="7684" width="19.140625" customWidth="1"/>
    <col min="7685" max="7685" width="16.42578125" customWidth="1"/>
    <col min="7935" max="7935" width="6.85546875" customWidth="1"/>
    <col min="7936" max="7936" width="20.5703125" customWidth="1"/>
    <col min="7937" max="7937" width="34.28515625" customWidth="1"/>
    <col min="7938" max="7938" width="17.85546875" customWidth="1"/>
    <col min="7939" max="7940" width="19.140625" customWidth="1"/>
    <col min="7941" max="7941" width="16.42578125" customWidth="1"/>
    <col min="8191" max="8191" width="6.85546875" customWidth="1"/>
    <col min="8192" max="8192" width="20.5703125" customWidth="1"/>
    <col min="8193" max="8193" width="34.28515625" customWidth="1"/>
    <col min="8194" max="8194" width="17.85546875" customWidth="1"/>
    <col min="8195" max="8196" width="19.140625" customWidth="1"/>
    <col min="8197" max="8197" width="16.42578125" customWidth="1"/>
    <col min="8447" max="8447" width="6.85546875" customWidth="1"/>
    <col min="8448" max="8448" width="20.5703125" customWidth="1"/>
    <col min="8449" max="8449" width="34.28515625" customWidth="1"/>
    <col min="8450" max="8450" width="17.85546875" customWidth="1"/>
    <col min="8451" max="8452" width="19.140625" customWidth="1"/>
    <col min="8453" max="8453" width="16.42578125" customWidth="1"/>
    <col min="8703" max="8703" width="6.85546875" customWidth="1"/>
    <col min="8704" max="8704" width="20.5703125" customWidth="1"/>
    <col min="8705" max="8705" width="34.28515625" customWidth="1"/>
    <col min="8706" max="8706" width="17.85546875" customWidth="1"/>
    <col min="8707" max="8708" width="19.140625" customWidth="1"/>
    <col min="8709" max="8709" width="16.42578125" customWidth="1"/>
    <col min="8959" max="8959" width="6.85546875" customWidth="1"/>
    <col min="8960" max="8960" width="20.5703125" customWidth="1"/>
    <col min="8961" max="8961" width="34.28515625" customWidth="1"/>
    <col min="8962" max="8962" width="17.85546875" customWidth="1"/>
    <col min="8963" max="8964" width="19.140625" customWidth="1"/>
    <col min="8965" max="8965" width="16.42578125" customWidth="1"/>
    <col min="9215" max="9215" width="6.85546875" customWidth="1"/>
    <col min="9216" max="9216" width="20.5703125" customWidth="1"/>
    <col min="9217" max="9217" width="34.28515625" customWidth="1"/>
    <col min="9218" max="9218" width="17.85546875" customWidth="1"/>
    <col min="9219" max="9220" width="19.140625" customWidth="1"/>
    <col min="9221" max="9221" width="16.42578125" customWidth="1"/>
    <col min="9471" max="9471" width="6.85546875" customWidth="1"/>
    <col min="9472" max="9472" width="20.5703125" customWidth="1"/>
    <col min="9473" max="9473" width="34.28515625" customWidth="1"/>
    <col min="9474" max="9474" width="17.85546875" customWidth="1"/>
    <col min="9475" max="9476" width="19.140625" customWidth="1"/>
    <col min="9477" max="9477" width="16.42578125" customWidth="1"/>
    <col min="9727" max="9727" width="6.85546875" customWidth="1"/>
    <col min="9728" max="9728" width="20.5703125" customWidth="1"/>
    <col min="9729" max="9729" width="34.28515625" customWidth="1"/>
    <col min="9730" max="9730" width="17.85546875" customWidth="1"/>
    <col min="9731" max="9732" width="19.140625" customWidth="1"/>
    <col min="9733" max="9733" width="16.42578125" customWidth="1"/>
    <col min="9983" max="9983" width="6.85546875" customWidth="1"/>
    <col min="9984" max="9984" width="20.5703125" customWidth="1"/>
    <col min="9985" max="9985" width="34.28515625" customWidth="1"/>
    <col min="9986" max="9986" width="17.85546875" customWidth="1"/>
    <col min="9987" max="9988" width="19.140625" customWidth="1"/>
    <col min="9989" max="9989" width="16.42578125" customWidth="1"/>
    <col min="10239" max="10239" width="6.85546875" customWidth="1"/>
    <col min="10240" max="10240" width="20.5703125" customWidth="1"/>
    <col min="10241" max="10241" width="34.28515625" customWidth="1"/>
    <col min="10242" max="10242" width="17.85546875" customWidth="1"/>
    <col min="10243" max="10244" width="19.140625" customWidth="1"/>
    <col min="10245" max="10245" width="16.42578125" customWidth="1"/>
    <col min="10495" max="10495" width="6.85546875" customWidth="1"/>
    <col min="10496" max="10496" width="20.5703125" customWidth="1"/>
    <col min="10497" max="10497" width="34.28515625" customWidth="1"/>
    <col min="10498" max="10498" width="17.85546875" customWidth="1"/>
    <col min="10499" max="10500" width="19.140625" customWidth="1"/>
    <col min="10501" max="10501" width="16.42578125" customWidth="1"/>
    <col min="10751" max="10751" width="6.85546875" customWidth="1"/>
    <col min="10752" max="10752" width="20.5703125" customWidth="1"/>
    <col min="10753" max="10753" width="34.28515625" customWidth="1"/>
    <col min="10754" max="10754" width="17.85546875" customWidth="1"/>
    <col min="10755" max="10756" width="19.140625" customWidth="1"/>
    <col min="10757" max="10757" width="16.42578125" customWidth="1"/>
    <col min="11007" max="11007" width="6.85546875" customWidth="1"/>
    <col min="11008" max="11008" width="20.5703125" customWidth="1"/>
    <col min="11009" max="11009" width="34.28515625" customWidth="1"/>
    <col min="11010" max="11010" width="17.85546875" customWidth="1"/>
    <col min="11011" max="11012" width="19.140625" customWidth="1"/>
    <col min="11013" max="11013" width="16.42578125" customWidth="1"/>
    <col min="11263" max="11263" width="6.85546875" customWidth="1"/>
    <col min="11264" max="11264" width="20.5703125" customWidth="1"/>
    <col min="11265" max="11265" width="34.28515625" customWidth="1"/>
    <col min="11266" max="11266" width="17.85546875" customWidth="1"/>
    <col min="11267" max="11268" width="19.140625" customWidth="1"/>
    <col min="11269" max="11269" width="16.42578125" customWidth="1"/>
    <col min="11519" max="11519" width="6.85546875" customWidth="1"/>
    <col min="11520" max="11520" width="20.5703125" customWidth="1"/>
    <col min="11521" max="11521" width="34.28515625" customWidth="1"/>
    <col min="11522" max="11522" width="17.85546875" customWidth="1"/>
    <col min="11523" max="11524" width="19.140625" customWidth="1"/>
    <col min="11525" max="11525" width="16.42578125" customWidth="1"/>
    <col min="11775" max="11775" width="6.85546875" customWidth="1"/>
    <col min="11776" max="11776" width="20.5703125" customWidth="1"/>
    <col min="11777" max="11777" width="34.28515625" customWidth="1"/>
    <col min="11778" max="11778" width="17.85546875" customWidth="1"/>
    <col min="11779" max="11780" width="19.140625" customWidth="1"/>
    <col min="11781" max="11781" width="16.42578125" customWidth="1"/>
    <col min="12031" max="12031" width="6.85546875" customWidth="1"/>
    <col min="12032" max="12032" width="20.5703125" customWidth="1"/>
    <col min="12033" max="12033" width="34.28515625" customWidth="1"/>
    <col min="12034" max="12034" width="17.85546875" customWidth="1"/>
    <col min="12035" max="12036" width="19.140625" customWidth="1"/>
    <col min="12037" max="12037" width="16.42578125" customWidth="1"/>
    <col min="12287" max="12287" width="6.85546875" customWidth="1"/>
    <col min="12288" max="12288" width="20.5703125" customWidth="1"/>
    <col min="12289" max="12289" width="34.28515625" customWidth="1"/>
    <col min="12290" max="12290" width="17.85546875" customWidth="1"/>
    <col min="12291" max="12292" width="19.140625" customWidth="1"/>
    <col min="12293" max="12293" width="16.42578125" customWidth="1"/>
    <col min="12543" max="12543" width="6.85546875" customWidth="1"/>
    <col min="12544" max="12544" width="20.5703125" customWidth="1"/>
    <col min="12545" max="12545" width="34.28515625" customWidth="1"/>
    <col min="12546" max="12546" width="17.85546875" customWidth="1"/>
    <col min="12547" max="12548" width="19.140625" customWidth="1"/>
    <col min="12549" max="12549" width="16.42578125" customWidth="1"/>
    <col min="12799" max="12799" width="6.85546875" customWidth="1"/>
    <col min="12800" max="12800" width="20.5703125" customWidth="1"/>
    <col min="12801" max="12801" width="34.28515625" customWidth="1"/>
    <col min="12802" max="12802" width="17.85546875" customWidth="1"/>
    <col min="12803" max="12804" width="19.140625" customWidth="1"/>
    <col min="12805" max="12805" width="16.42578125" customWidth="1"/>
    <col min="13055" max="13055" width="6.85546875" customWidth="1"/>
    <col min="13056" max="13056" width="20.5703125" customWidth="1"/>
    <col min="13057" max="13057" width="34.28515625" customWidth="1"/>
    <col min="13058" max="13058" width="17.85546875" customWidth="1"/>
    <col min="13059" max="13060" width="19.140625" customWidth="1"/>
    <col min="13061" max="13061" width="16.42578125" customWidth="1"/>
    <col min="13311" max="13311" width="6.85546875" customWidth="1"/>
    <col min="13312" max="13312" width="20.5703125" customWidth="1"/>
    <col min="13313" max="13313" width="34.28515625" customWidth="1"/>
    <col min="13314" max="13314" width="17.85546875" customWidth="1"/>
    <col min="13315" max="13316" width="19.140625" customWidth="1"/>
    <col min="13317" max="13317" width="16.42578125" customWidth="1"/>
    <col min="13567" max="13567" width="6.85546875" customWidth="1"/>
    <col min="13568" max="13568" width="20.5703125" customWidth="1"/>
    <col min="13569" max="13569" width="34.28515625" customWidth="1"/>
    <col min="13570" max="13570" width="17.85546875" customWidth="1"/>
    <col min="13571" max="13572" width="19.140625" customWidth="1"/>
    <col min="13573" max="13573" width="16.42578125" customWidth="1"/>
    <col min="13823" max="13823" width="6.85546875" customWidth="1"/>
    <col min="13824" max="13824" width="20.5703125" customWidth="1"/>
    <col min="13825" max="13825" width="34.28515625" customWidth="1"/>
    <col min="13826" max="13826" width="17.85546875" customWidth="1"/>
    <col min="13827" max="13828" width="19.140625" customWidth="1"/>
    <col min="13829" max="13829" width="16.42578125" customWidth="1"/>
    <col min="14079" max="14079" width="6.85546875" customWidth="1"/>
    <col min="14080" max="14080" width="20.5703125" customWidth="1"/>
    <col min="14081" max="14081" width="34.28515625" customWidth="1"/>
    <col min="14082" max="14082" width="17.85546875" customWidth="1"/>
    <col min="14083" max="14084" width="19.140625" customWidth="1"/>
    <col min="14085" max="14085" width="16.42578125" customWidth="1"/>
    <col min="14335" max="14335" width="6.85546875" customWidth="1"/>
    <col min="14336" max="14336" width="20.5703125" customWidth="1"/>
    <col min="14337" max="14337" width="34.28515625" customWidth="1"/>
    <col min="14338" max="14338" width="17.85546875" customWidth="1"/>
    <col min="14339" max="14340" width="19.140625" customWidth="1"/>
    <col min="14341" max="14341" width="16.42578125" customWidth="1"/>
    <col min="14591" max="14591" width="6.85546875" customWidth="1"/>
    <col min="14592" max="14592" width="20.5703125" customWidth="1"/>
    <col min="14593" max="14593" width="34.28515625" customWidth="1"/>
    <col min="14594" max="14594" width="17.85546875" customWidth="1"/>
    <col min="14595" max="14596" width="19.140625" customWidth="1"/>
    <col min="14597" max="14597" width="16.42578125" customWidth="1"/>
    <col min="14847" max="14847" width="6.85546875" customWidth="1"/>
    <col min="14848" max="14848" width="20.5703125" customWidth="1"/>
    <col min="14849" max="14849" width="34.28515625" customWidth="1"/>
    <col min="14850" max="14850" width="17.85546875" customWidth="1"/>
    <col min="14851" max="14852" width="19.140625" customWidth="1"/>
    <col min="14853" max="14853" width="16.42578125" customWidth="1"/>
    <col min="15103" max="15103" width="6.85546875" customWidth="1"/>
    <col min="15104" max="15104" width="20.5703125" customWidth="1"/>
    <col min="15105" max="15105" width="34.28515625" customWidth="1"/>
    <col min="15106" max="15106" width="17.85546875" customWidth="1"/>
    <col min="15107" max="15108" width="19.140625" customWidth="1"/>
    <col min="15109" max="15109" width="16.42578125" customWidth="1"/>
    <col min="15359" max="15359" width="6.85546875" customWidth="1"/>
    <col min="15360" max="15360" width="20.5703125" customWidth="1"/>
    <col min="15361" max="15361" width="34.28515625" customWidth="1"/>
    <col min="15362" max="15362" width="17.85546875" customWidth="1"/>
    <col min="15363" max="15364" width="19.140625" customWidth="1"/>
    <col min="15365" max="15365" width="16.42578125" customWidth="1"/>
    <col min="15615" max="15615" width="6.85546875" customWidth="1"/>
    <col min="15616" max="15616" width="20.5703125" customWidth="1"/>
    <col min="15617" max="15617" width="34.28515625" customWidth="1"/>
    <col min="15618" max="15618" width="17.85546875" customWidth="1"/>
    <col min="15619" max="15620" width="19.140625" customWidth="1"/>
    <col min="15621" max="15621" width="16.42578125" customWidth="1"/>
    <col min="15871" max="15871" width="6.85546875" customWidth="1"/>
    <col min="15872" max="15872" width="20.5703125" customWidth="1"/>
    <col min="15873" max="15873" width="34.28515625" customWidth="1"/>
    <col min="15874" max="15874" width="17.85546875" customWidth="1"/>
    <col min="15875" max="15876" width="19.140625" customWidth="1"/>
    <col min="15877" max="15877" width="16.42578125" customWidth="1"/>
    <col min="16127" max="16127" width="6.85546875" customWidth="1"/>
    <col min="16128" max="16128" width="20.5703125" customWidth="1"/>
    <col min="16129" max="16129" width="34.28515625" customWidth="1"/>
    <col min="16130" max="16130" width="17.85546875" customWidth="1"/>
    <col min="16131" max="16132" width="19.140625" customWidth="1"/>
    <col min="16133" max="16133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747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33" t="s">
        <v>3</v>
      </c>
      <c r="B4" s="33" t="s">
        <v>4</v>
      </c>
      <c r="C4" s="33" t="s">
        <v>5</v>
      </c>
      <c r="D4" s="33" t="s">
        <v>6</v>
      </c>
      <c r="E4" s="34" t="s">
        <v>7</v>
      </c>
      <c r="F4" s="34" t="s">
        <v>8</v>
      </c>
      <c r="G4" s="34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985000</v>
      </c>
      <c r="F7" s="8">
        <v>6528.0874999999996</v>
      </c>
      <c r="G7" s="9">
        <v>6.7573821000000006E-2</v>
      </c>
      <c r="H7" s="167"/>
    </row>
    <row r="8" spans="1:8" x14ac:dyDescent="0.2">
      <c r="A8" s="5">
        <v>2</v>
      </c>
      <c r="B8" s="6" t="s">
        <v>16</v>
      </c>
      <c r="C8" s="6" t="s">
        <v>17</v>
      </c>
      <c r="D8" s="6" t="s">
        <v>18</v>
      </c>
      <c r="E8" s="7">
        <v>160750</v>
      </c>
      <c r="F8" s="8">
        <v>3472.6822499999998</v>
      </c>
      <c r="G8" s="9">
        <v>3.5946578E-2</v>
      </c>
      <c r="H8" s="167"/>
    </row>
    <row r="9" spans="1:8" x14ac:dyDescent="0.2">
      <c r="A9" s="5">
        <v>3</v>
      </c>
      <c r="B9" s="6" t="s">
        <v>628</v>
      </c>
      <c r="C9" s="6" t="s">
        <v>629</v>
      </c>
      <c r="D9" s="6" t="s">
        <v>153</v>
      </c>
      <c r="E9" s="7">
        <v>149500</v>
      </c>
      <c r="F9" s="8">
        <v>3125.3722499999999</v>
      </c>
      <c r="G9" s="9">
        <v>3.2351487999999998E-2</v>
      </c>
      <c r="H9" s="167"/>
    </row>
    <row r="10" spans="1:8" x14ac:dyDescent="0.2">
      <c r="A10" s="5">
        <v>4</v>
      </c>
      <c r="B10" s="6" t="s">
        <v>403</v>
      </c>
      <c r="C10" s="6" t="s">
        <v>404</v>
      </c>
      <c r="D10" s="6" t="s">
        <v>23</v>
      </c>
      <c r="E10" s="7">
        <v>701000</v>
      </c>
      <c r="F10" s="8">
        <v>2974.6934999999999</v>
      </c>
      <c r="G10" s="9">
        <v>3.0791776E-2</v>
      </c>
      <c r="H10" s="167"/>
    </row>
    <row r="11" spans="1:8" x14ac:dyDescent="0.2">
      <c r="A11" s="5">
        <v>5</v>
      </c>
      <c r="B11" s="6" t="s">
        <v>51</v>
      </c>
      <c r="C11" s="6" t="s">
        <v>52</v>
      </c>
      <c r="D11" s="6" t="s">
        <v>23</v>
      </c>
      <c r="E11" s="7">
        <v>184000</v>
      </c>
      <c r="F11" s="8">
        <v>2789.1640000000002</v>
      </c>
      <c r="G11" s="9">
        <v>2.8871315000000002E-2</v>
      </c>
      <c r="H11" s="167"/>
    </row>
    <row r="12" spans="1:8" x14ac:dyDescent="0.2">
      <c r="A12" s="5">
        <v>6</v>
      </c>
      <c r="B12" s="6" t="s">
        <v>399</v>
      </c>
      <c r="C12" s="6" t="s">
        <v>400</v>
      </c>
      <c r="D12" s="6" t="s">
        <v>167</v>
      </c>
      <c r="E12" s="7">
        <v>195000</v>
      </c>
      <c r="F12" s="8">
        <v>2717.8125</v>
      </c>
      <c r="G12" s="9">
        <v>2.8132738000000001E-2</v>
      </c>
      <c r="H12" s="167"/>
    </row>
    <row r="13" spans="1:8" ht="25.5" x14ac:dyDescent="0.2">
      <c r="A13" s="5">
        <v>7</v>
      </c>
      <c r="B13" s="6" t="s">
        <v>401</v>
      </c>
      <c r="C13" s="6" t="s">
        <v>402</v>
      </c>
      <c r="D13" s="6" t="s">
        <v>158</v>
      </c>
      <c r="E13" s="7">
        <v>101500</v>
      </c>
      <c r="F13" s="8">
        <v>2591.14275</v>
      </c>
      <c r="G13" s="9">
        <v>2.6821549E-2</v>
      </c>
      <c r="H13" s="167"/>
    </row>
    <row r="14" spans="1:8" x14ac:dyDescent="0.2">
      <c r="A14" s="5">
        <v>8</v>
      </c>
      <c r="B14" s="6" t="s">
        <v>24</v>
      </c>
      <c r="C14" s="6" t="s">
        <v>25</v>
      </c>
      <c r="D14" s="6" t="s">
        <v>26</v>
      </c>
      <c r="E14" s="7">
        <v>478691</v>
      </c>
      <c r="F14" s="8">
        <v>2560.5181590000002</v>
      </c>
      <c r="G14" s="9">
        <v>2.6504546E-2</v>
      </c>
      <c r="H14" s="167"/>
    </row>
    <row r="15" spans="1:8" x14ac:dyDescent="0.2">
      <c r="A15" s="5">
        <v>9</v>
      </c>
      <c r="B15" s="6" t="s">
        <v>1006</v>
      </c>
      <c r="C15" s="6" t="s">
        <v>1007</v>
      </c>
      <c r="D15" s="6" t="s">
        <v>32</v>
      </c>
      <c r="E15" s="7">
        <v>738000</v>
      </c>
      <c r="F15" s="8">
        <v>2400.0497999999998</v>
      </c>
      <c r="G15" s="9">
        <v>2.4799999999999999E-2</v>
      </c>
      <c r="H15" s="167"/>
    </row>
    <row r="16" spans="1:8" x14ac:dyDescent="0.2">
      <c r="A16" s="5">
        <v>10</v>
      </c>
      <c r="B16" s="6" t="s">
        <v>370</v>
      </c>
      <c r="C16" s="6" t="s">
        <v>371</v>
      </c>
      <c r="D16" s="6" t="s">
        <v>23</v>
      </c>
      <c r="E16" s="7">
        <v>300000</v>
      </c>
      <c r="F16" s="8">
        <v>2252.1</v>
      </c>
      <c r="G16" s="9">
        <v>2.3312034999999998E-2</v>
      </c>
      <c r="H16" s="167"/>
    </row>
    <row r="17" spans="1:8" x14ac:dyDescent="0.2">
      <c r="A17" s="5">
        <v>11</v>
      </c>
      <c r="B17" s="6" t="s">
        <v>413</v>
      </c>
      <c r="C17" s="6" t="s">
        <v>414</v>
      </c>
      <c r="D17" s="6" t="s">
        <v>167</v>
      </c>
      <c r="E17" s="7">
        <v>71006</v>
      </c>
      <c r="F17" s="8">
        <v>2243.1860489999999</v>
      </c>
      <c r="G17" s="9">
        <v>2.3219764E-2</v>
      </c>
      <c r="H17" s="167"/>
    </row>
    <row r="18" spans="1:8" ht="25.5" x14ac:dyDescent="0.2">
      <c r="A18" s="5">
        <v>12</v>
      </c>
      <c r="B18" s="6" t="s">
        <v>483</v>
      </c>
      <c r="C18" s="6" t="s">
        <v>484</v>
      </c>
      <c r="D18" s="6" t="s">
        <v>78</v>
      </c>
      <c r="E18" s="7">
        <v>300000</v>
      </c>
      <c r="F18" s="8">
        <v>1837.35</v>
      </c>
      <c r="G18" s="9">
        <v>1.9018857E-2</v>
      </c>
      <c r="H18" s="167"/>
    </row>
    <row r="19" spans="1:8" ht="25.5" x14ac:dyDescent="0.2">
      <c r="A19" s="5">
        <v>13</v>
      </c>
      <c r="B19" s="6" t="s">
        <v>622</v>
      </c>
      <c r="C19" s="6" t="s">
        <v>623</v>
      </c>
      <c r="D19" s="6" t="s">
        <v>78</v>
      </c>
      <c r="E19" s="7">
        <v>384000</v>
      </c>
      <c r="F19" s="8">
        <v>1824.768</v>
      </c>
      <c r="G19" s="9">
        <v>1.8888617E-2</v>
      </c>
      <c r="H19" s="167"/>
    </row>
    <row r="20" spans="1:8" ht="25.5" x14ac:dyDescent="0.2">
      <c r="A20" s="5">
        <v>14</v>
      </c>
      <c r="B20" s="6" t="s">
        <v>1004</v>
      </c>
      <c r="C20" s="6" t="s">
        <v>1003</v>
      </c>
      <c r="D20" s="6" t="s">
        <v>1005</v>
      </c>
      <c r="E20" s="7">
        <v>1462700</v>
      </c>
      <c r="F20" s="8">
        <v>1637.4926499999999</v>
      </c>
      <c r="G20" s="9">
        <v>1.7000000000000001E-2</v>
      </c>
      <c r="H20" s="167"/>
    </row>
    <row r="21" spans="1:8" x14ac:dyDescent="0.2">
      <c r="A21" s="5">
        <v>15</v>
      </c>
      <c r="B21" s="6" t="s">
        <v>55</v>
      </c>
      <c r="C21" s="6" t="s">
        <v>56</v>
      </c>
      <c r="D21" s="6" t="s">
        <v>57</v>
      </c>
      <c r="E21" s="7">
        <v>1197000</v>
      </c>
      <c r="F21" s="8">
        <v>1515.402</v>
      </c>
      <c r="G21" s="9">
        <v>1.5686294999999999E-2</v>
      </c>
      <c r="H21" s="167"/>
    </row>
    <row r="22" spans="1:8" ht="25.5" x14ac:dyDescent="0.2">
      <c r="A22" s="5">
        <v>16</v>
      </c>
      <c r="B22" s="6" t="s">
        <v>419</v>
      </c>
      <c r="C22" s="6" t="s">
        <v>420</v>
      </c>
      <c r="D22" s="6" t="s">
        <v>78</v>
      </c>
      <c r="E22" s="7">
        <v>53850</v>
      </c>
      <c r="F22" s="8">
        <v>1260.116925</v>
      </c>
      <c r="G22" s="9">
        <v>1.3043776999999999E-2</v>
      </c>
      <c r="H22" s="167"/>
    </row>
    <row r="23" spans="1:8" ht="25.5" x14ac:dyDescent="0.2">
      <c r="A23" s="5">
        <v>17</v>
      </c>
      <c r="B23" s="6" t="s">
        <v>40</v>
      </c>
      <c r="C23" s="6" t="s">
        <v>41</v>
      </c>
      <c r="D23" s="6" t="s">
        <v>970</v>
      </c>
      <c r="E23" s="7">
        <v>18750</v>
      </c>
      <c r="F23" s="8">
        <v>1257.75</v>
      </c>
      <c r="G23" s="9">
        <v>1.3019276E-2</v>
      </c>
      <c r="H23" s="167"/>
    </row>
    <row r="24" spans="1:8" x14ac:dyDescent="0.2">
      <c r="A24" s="5">
        <v>18</v>
      </c>
      <c r="B24" s="6" t="s">
        <v>13</v>
      </c>
      <c r="C24" s="6" t="s">
        <v>14</v>
      </c>
      <c r="D24" s="6" t="s">
        <v>15</v>
      </c>
      <c r="E24" s="7">
        <v>85500</v>
      </c>
      <c r="F24" s="8">
        <v>1254.8834999999999</v>
      </c>
      <c r="G24" s="9">
        <v>1.2989604E-2</v>
      </c>
      <c r="H24" s="167"/>
    </row>
    <row r="25" spans="1:8" x14ac:dyDescent="0.2">
      <c r="A25" s="5">
        <v>19</v>
      </c>
      <c r="B25" s="6" t="s">
        <v>27</v>
      </c>
      <c r="C25" s="6" t="s">
        <v>28</v>
      </c>
      <c r="D25" s="6" t="s">
        <v>29</v>
      </c>
      <c r="E25" s="7">
        <v>100000</v>
      </c>
      <c r="F25" s="8">
        <v>1220.25</v>
      </c>
      <c r="G25" s="9">
        <v>1.2631104000000001E-2</v>
      </c>
      <c r="H25" s="167"/>
    </row>
    <row r="26" spans="1:8" x14ac:dyDescent="0.2">
      <c r="A26" s="5">
        <v>20</v>
      </c>
      <c r="B26" s="6" t="s">
        <v>444</v>
      </c>
      <c r="C26" s="6" t="s">
        <v>445</v>
      </c>
      <c r="D26" s="6" t="s">
        <v>192</v>
      </c>
      <c r="E26" s="7">
        <v>22625</v>
      </c>
      <c r="F26" s="8">
        <v>1201.1951875</v>
      </c>
      <c r="G26" s="9">
        <v>1.2433863E-2</v>
      </c>
      <c r="H26" s="167"/>
    </row>
    <row r="27" spans="1:8" x14ac:dyDescent="0.2">
      <c r="A27" s="5">
        <v>21</v>
      </c>
      <c r="B27" s="6" t="s">
        <v>429</v>
      </c>
      <c r="C27" s="6" t="s">
        <v>430</v>
      </c>
      <c r="D27" s="6" t="s">
        <v>23</v>
      </c>
      <c r="E27" s="7">
        <v>58100</v>
      </c>
      <c r="F27" s="8">
        <v>1050.2737</v>
      </c>
      <c r="G27" s="9">
        <v>1.0871637999999999E-2</v>
      </c>
      <c r="H27" s="167"/>
    </row>
    <row r="28" spans="1:8" x14ac:dyDescent="0.2">
      <c r="A28" s="5">
        <v>22</v>
      </c>
      <c r="B28" s="6" t="s">
        <v>151</v>
      </c>
      <c r="C28" s="6" t="s">
        <v>152</v>
      </c>
      <c r="D28" s="6" t="s">
        <v>153</v>
      </c>
      <c r="E28" s="7">
        <v>31600</v>
      </c>
      <c r="F28" s="8">
        <v>1019.0368</v>
      </c>
      <c r="G28" s="9">
        <v>1.0548297999999999E-2</v>
      </c>
      <c r="H28" s="167"/>
    </row>
    <row r="29" spans="1:8" x14ac:dyDescent="0.2">
      <c r="A29" s="5">
        <v>23</v>
      </c>
      <c r="B29" s="6" t="s">
        <v>581</v>
      </c>
      <c r="C29" s="6" t="s">
        <v>582</v>
      </c>
      <c r="D29" s="6" t="s">
        <v>94</v>
      </c>
      <c r="E29" s="7">
        <v>24000</v>
      </c>
      <c r="F29" s="8">
        <v>1006.272</v>
      </c>
      <c r="G29" s="9">
        <v>1.0416165999999999E-2</v>
      </c>
      <c r="H29" s="167"/>
    </row>
    <row r="30" spans="1:8" x14ac:dyDescent="0.2">
      <c r="A30" s="5">
        <v>24</v>
      </c>
      <c r="B30" s="6" t="s">
        <v>61</v>
      </c>
      <c r="C30" s="6" t="s">
        <v>62</v>
      </c>
      <c r="D30" s="6" t="s">
        <v>18</v>
      </c>
      <c r="E30" s="7">
        <v>201000</v>
      </c>
      <c r="F30" s="8">
        <v>948.72</v>
      </c>
      <c r="G30" s="9">
        <v>9.8204309999999993E-3</v>
      </c>
      <c r="H30" s="167"/>
    </row>
    <row r="31" spans="1:8" x14ac:dyDescent="0.2">
      <c r="A31" s="5">
        <v>25</v>
      </c>
      <c r="B31" s="6" t="s">
        <v>590</v>
      </c>
      <c r="C31" s="6" t="s">
        <v>591</v>
      </c>
      <c r="D31" s="6" t="s">
        <v>969</v>
      </c>
      <c r="E31" s="7">
        <v>137200</v>
      </c>
      <c r="F31" s="8">
        <v>913.61479999999995</v>
      </c>
      <c r="G31" s="9">
        <v>9.4570490000000004E-3</v>
      </c>
      <c r="H31" s="167"/>
    </row>
    <row r="32" spans="1:8" x14ac:dyDescent="0.2">
      <c r="A32" s="5">
        <v>26</v>
      </c>
      <c r="B32" s="6" t="s">
        <v>295</v>
      </c>
      <c r="C32" s="6" t="s">
        <v>296</v>
      </c>
      <c r="D32" s="6" t="s">
        <v>969</v>
      </c>
      <c r="E32" s="7">
        <v>96000</v>
      </c>
      <c r="F32" s="8">
        <v>895.77599999999995</v>
      </c>
      <c r="G32" s="9">
        <v>9.2723949999999992E-3</v>
      </c>
      <c r="H32" s="167"/>
    </row>
    <row r="33" spans="1:8" x14ac:dyDescent="0.2">
      <c r="A33" s="5">
        <v>27</v>
      </c>
      <c r="B33" s="6" t="s">
        <v>407</v>
      </c>
      <c r="C33" s="6" t="s">
        <v>408</v>
      </c>
      <c r="D33" s="6" t="s">
        <v>94</v>
      </c>
      <c r="E33" s="7">
        <v>102000</v>
      </c>
      <c r="F33" s="8">
        <v>824.10900000000004</v>
      </c>
      <c r="G33" s="9">
        <v>8.5305529999999997E-3</v>
      </c>
      <c r="H33" s="167"/>
    </row>
    <row r="34" spans="1:8" x14ac:dyDescent="0.2">
      <c r="A34" s="5">
        <v>28</v>
      </c>
      <c r="B34" s="6" t="s">
        <v>317</v>
      </c>
      <c r="C34" s="6" t="s">
        <v>318</v>
      </c>
      <c r="D34" s="6" t="s">
        <v>240</v>
      </c>
      <c r="E34" s="7">
        <v>30000</v>
      </c>
      <c r="F34" s="8">
        <v>784.48500000000001</v>
      </c>
      <c r="G34" s="9">
        <v>8.1203950000000007E-3</v>
      </c>
      <c r="H34" s="167"/>
    </row>
    <row r="35" spans="1:8" x14ac:dyDescent="0.2">
      <c r="A35" s="5">
        <v>29</v>
      </c>
      <c r="B35" s="6" t="s">
        <v>664</v>
      </c>
      <c r="C35" s="6" t="s">
        <v>665</v>
      </c>
      <c r="D35" s="6" t="s">
        <v>167</v>
      </c>
      <c r="E35" s="7">
        <v>74200</v>
      </c>
      <c r="F35" s="8">
        <v>758.0643</v>
      </c>
      <c r="G35" s="9">
        <v>7.8469079999999997E-3</v>
      </c>
      <c r="H35" s="167"/>
    </row>
    <row r="36" spans="1:8" x14ac:dyDescent="0.2">
      <c r="A36" s="5">
        <v>30</v>
      </c>
      <c r="B36" s="6" t="s">
        <v>97</v>
      </c>
      <c r="C36" s="6" t="s">
        <v>98</v>
      </c>
      <c r="D36" s="6" t="s">
        <v>29</v>
      </c>
      <c r="E36" s="7">
        <v>14050</v>
      </c>
      <c r="F36" s="8">
        <v>742.99912500000005</v>
      </c>
      <c r="G36" s="9">
        <v>7.6909650000000001E-3</v>
      </c>
      <c r="H36" s="167"/>
    </row>
    <row r="37" spans="1:8" x14ac:dyDescent="0.2">
      <c r="A37" s="5">
        <v>31</v>
      </c>
      <c r="B37" s="6" t="s">
        <v>366</v>
      </c>
      <c r="C37" s="6" t="s">
        <v>367</v>
      </c>
      <c r="D37" s="6" t="s">
        <v>167</v>
      </c>
      <c r="E37" s="7">
        <v>77000</v>
      </c>
      <c r="F37" s="8">
        <v>727.80399999999997</v>
      </c>
      <c r="G37" s="9">
        <v>7.5336759999999996E-3</v>
      </c>
      <c r="H37" s="167"/>
    </row>
    <row r="38" spans="1:8" x14ac:dyDescent="0.2">
      <c r="A38" s="5">
        <v>32</v>
      </c>
      <c r="B38" s="6" t="s">
        <v>405</v>
      </c>
      <c r="C38" s="6" t="s">
        <v>406</v>
      </c>
      <c r="D38" s="6" t="s">
        <v>969</v>
      </c>
      <c r="E38" s="7">
        <v>72500</v>
      </c>
      <c r="F38" s="8">
        <v>707.34625000000005</v>
      </c>
      <c r="G38" s="9">
        <v>7.3219130000000002E-3</v>
      </c>
      <c r="H38" s="167"/>
    </row>
    <row r="39" spans="1:8" x14ac:dyDescent="0.2">
      <c r="A39" s="5">
        <v>33</v>
      </c>
      <c r="B39" s="6" t="s">
        <v>68</v>
      </c>
      <c r="C39" s="6" t="s">
        <v>69</v>
      </c>
      <c r="D39" s="6" t="s">
        <v>70</v>
      </c>
      <c r="E39" s="7">
        <v>400000</v>
      </c>
      <c r="F39" s="8">
        <v>639.79999999999995</v>
      </c>
      <c r="G39" s="9">
        <v>6.6227250000000003E-3</v>
      </c>
      <c r="H39" s="167"/>
    </row>
    <row r="40" spans="1:8" ht="25.5" x14ac:dyDescent="0.2">
      <c r="A40" s="5">
        <v>34</v>
      </c>
      <c r="B40" s="6" t="s">
        <v>331</v>
      </c>
      <c r="C40" s="6" t="s">
        <v>332</v>
      </c>
      <c r="D40" s="6" t="s">
        <v>75</v>
      </c>
      <c r="E40" s="7">
        <v>159000</v>
      </c>
      <c r="F40" s="8">
        <v>633.21749999999997</v>
      </c>
      <c r="G40" s="9">
        <v>6.5545880000000001E-3</v>
      </c>
      <c r="H40" s="167"/>
    </row>
    <row r="41" spans="1:8" x14ac:dyDescent="0.2">
      <c r="A41" s="5">
        <v>35</v>
      </c>
      <c r="B41" s="6" t="s">
        <v>218</v>
      </c>
      <c r="C41" s="6" t="s">
        <v>219</v>
      </c>
      <c r="D41" s="6" t="s">
        <v>973</v>
      </c>
      <c r="E41" s="7">
        <v>90000</v>
      </c>
      <c r="F41" s="8">
        <v>614.79</v>
      </c>
      <c r="G41" s="9">
        <v>6.3638410000000003E-3</v>
      </c>
      <c r="H41" s="167"/>
    </row>
    <row r="42" spans="1:8" x14ac:dyDescent="0.2">
      <c r="A42" s="5">
        <v>36</v>
      </c>
      <c r="B42" s="6" t="s">
        <v>333</v>
      </c>
      <c r="C42" s="6" t="s">
        <v>334</v>
      </c>
      <c r="D42" s="6" t="s">
        <v>67</v>
      </c>
      <c r="E42" s="7">
        <v>89000</v>
      </c>
      <c r="F42" s="8">
        <v>608.67100000000005</v>
      </c>
      <c r="G42" s="9">
        <v>6.3005020000000004E-3</v>
      </c>
      <c r="H42" s="167"/>
    </row>
    <row r="43" spans="1:8" x14ac:dyDescent="0.2">
      <c r="A43" s="5">
        <v>37</v>
      </c>
      <c r="B43" s="6" t="s">
        <v>417</v>
      </c>
      <c r="C43" s="6" t="s">
        <v>418</v>
      </c>
      <c r="D43" s="6" t="s">
        <v>57</v>
      </c>
      <c r="E43" s="7">
        <v>54050</v>
      </c>
      <c r="F43" s="8">
        <v>608.41382499999997</v>
      </c>
      <c r="G43" s="9">
        <v>6.2978390000000004E-3</v>
      </c>
      <c r="H43" s="167"/>
    </row>
    <row r="44" spans="1:8" x14ac:dyDescent="0.2">
      <c r="A44" s="5">
        <v>38</v>
      </c>
      <c r="B44" s="6" t="s">
        <v>305</v>
      </c>
      <c r="C44" s="6" t="s">
        <v>306</v>
      </c>
      <c r="D44" s="6" t="s">
        <v>75</v>
      </c>
      <c r="E44" s="7">
        <v>60000</v>
      </c>
      <c r="F44" s="8">
        <v>604.38</v>
      </c>
      <c r="G44" s="9">
        <v>6.2560840000000003E-3</v>
      </c>
      <c r="H44" s="167"/>
    </row>
    <row r="45" spans="1:8" ht="25.5" x14ac:dyDescent="0.2">
      <c r="A45" s="5">
        <v>39</v>
      </c>
      <c r="B45" s="6" t="s">
        <v>327</v>
      </c>
      <c r="C45" s="6" t="s">
        <v>328</v>
      </c>
      <c r="D45" s="6" t="s">
        <v>78</v>
      </c>
      <c r="E45" s="7">
        <v>55000</v>
      </c>
      <c r="F45" s="8">
        <v>556.35249999999996</v>
      </c>
      <c r="G45" s="9">
        <v>5.7589399999999997E-3</v>
      </c>
      <c r="H45" s="167"/>
    </row>
    <row r="46" spans="1:8" x14ac:dyDescent="0.2">
      <c r="A46" s="5">
        <v>40</v>
      </c>
      <c r="B46" s="6" t="s">
        <v>238</v>
      </c>
      <c r="C46" s="6" t="s">
        <v>239</v>
      </c>
      <c r="D46" s="6" t="s">
        <v>240</v>
      </c>
      <c r="E46" s="7">
        <v>65000</v>
      </c>
      <c r="F46" s="8">
        <v>529.81500000000005</v>
      </c>
      <c r="G46" s="9">
        <v>5.4842440000000001E-3</v>
      </c>
      <c r="H46" s="167"/>
    </row>
    <row r="47" spans="1:8" x14ac:dyDescent="0.2">
      <c r="A47" s="5">
        <v>41</v>
      </c>
      <c r="B47" s="6" t="s">
        <v>347</v>
      </c>
      <c r="C47" s="6" t="s">
        <v>348</v>
      </c>
      <c r="D47" s="6" t="s">
        <v>23</v>
      </c>
      <c r="E47" s="7">
        <v>640000</v>
      </c>
      <c r="F47" s="8">
        <v>516.48</v>
      </c>
      <c r="G47" s="9">
        <v>5.3462099999999997E-3</v>
      </c>
      <c r="H47" s="167"/>
    </row>
    <row r="48" spans="1:8" ht="25.5" x14ac:dyDescent="0.2">
      <c r="A48" s="5">
        <v>42</v>
      </c>
      <c r="B48" s="6" t="s">
        <v>395</v>
      </c>
      <c r="C48" s="6" t="s">
        <v>1002</v>
      </c>
      <c r="D48" s="6" t="s">
        <v>284</v>
      </c>
      <c r="E48" s="7">
        <v>312750</v>
      </c>
      <c r="F48" s="8">
        <v>495.23962499999999</v>
      </c>
      <c r="G48" s="9">
        <v>5.1263460000000004E-3</v>
      </c>
      <c r="H48" s="167"/>
    </row>
    <row r="49" spans="1:8" x14ac:dyDescent="0.2">
      <c r="A49" s="5">
        <v>43</v>
      </c>
      <c r="B49" s="6" t="s">
        <v>415</v>
      </c>
      <c r="C49" s="6" t="s">
        <v>416</v>
      </c>
      <c r="D49" s="6" t="s">
        <v>192</v>
      </c>
      <c r="E49" s="7">
        <v>70000</v>
      </c>
      <c r="F49" s="8">
        <v>467.81</v>
      </c>
      <c r="G49" s="9">
        <v>4.8424150000000001E-3</v>
      </c>
      <c r="H49" s="167"/>
    </row>
    <row r="50" spans="1:8" ht="25.5" x14ac:dyDescent="0.2">
      <c r="A50" s="5">
        <v>44</v>
      </c>
      <c r="B50" s="6" t="s">
        <v>19</v>
      </c>
      <c r="C50" s="6" t="s">
        <v>20</v>
      </c>
      <c r="D50" s="6" t="s">
        <v>970</v>
      </c>
      <c r="E50" s="7">
        <v>47500</v>
      </c>
      <c r="F50" s="8">
        <v>458.96875</v>
      </c>
      <c r="G50" s="9">
        <v>4.7508969999999996E-3</v>
      </c>
      <c r="H50" s="167"/>
    </row>
    <row r="51" spans="1:8" x14ac:dyDescent="0.2">
      <c r="A51" s="5">
        <v>45</v>
      </c>
      <c r="B51" s="6" t="s">
        <v>388</v>
      </c>
      <c r="C51" s="6" t="s">
        <v>389</v>
      </c>
      <c r="D51" s="6" t="s">
        <v>969</v>
      </c>
      <c r="E51" s="7">
        <v>3750</v>
      </c>
      <c r="F51" s="8">
        <v>442.73624999999998</v>
      </c>
      <c r="G51" s="9">
        <v>4.5828709999999996E-3</v>
      </c>
      <c r="H51" s="167"/>
    </row>
    <row r="52" spans="1:8" ht="25.5" x14ac:dyDescent="0.2">
      <c r="A52" s="5">
        <v>46</v>
      </c>
      <c r="B52" s="6" t="s">
        <v>376</v>
      </c>
      <c r="C52" s="6" t="s">
        <v>377</v>
      </c>
      <c r="D52" s="6" t="s">
        <v>78</v>
      </c>
      <c r="E52" s="7">
        <v>65000</v>
      </c>
      <c r="F52" s="8">
        <v>431.5025</v>
      </c>
      <c r="G52" s="9">
        <v>4.4665870000000002E-3</v>
      </c>
      <c r="H52" s="167"/>
    </row>
    <row r="53" spans="1:8" x14ac:dyDescent="0.2">
      <c r="A53" s="5">
        <v>47</v>
      </c>
      <c r="B53" s="6" t="s">
        <v>421</v>
      </c>
      <c r="C53" s="6" t="s">
        <v>422</v>
      </c>
      <c r="D53" s="6" t="s">
        <v>192</v>
      </c>
      <c r="E53" s="7">
        <v>10200</v>
      </c>
      <c r="F53" s="8">
        <v>427.78800000000001</v>
      </c>
      <c r="G53" s="9">
        <v>4.4281379999999999E-3</v>
      </c>
      <c r="H53" s="167"/>
    </row>
    <row r="54" spans="1:8" x14ac:dyDescent="0.2">
      <c r="A54" s="5">
        <v>48</v>
      </c>
      <c r="B54" s="6" t="s">
        <v>626</v>
      </c>
      <c r="C54" s="6" t="s">
        <v>627</v>
      </c>
      <c r="D54" s="6" t="s">
        <v>23</v>
      </c>
      <c r="E54" s="7">
        <v>992000</v>
      </c>
      <c r="F54" s="8">
        <v>420.608</v>
      </c>
      <c r="G54" s="9">
        <v>4.3538159999999999E-3</v>
      </c>
      <c r="H54" s="167"/>
    </row>
    <row r="55" spans="1:8" x14ac:dyDescent="0.2">
      <c r="A55" s="5">
        <v>49</v>
      </c>
      <c r="B55" s="6" t="s">
        <v>345</v>
      </c>
      <c r="C55" s="6" t="s">
        <v>346</v>
      </c>
      <c r="D55" s="6" t="s">
        <v>57</v>
      </c>
      <c r="E55" s="7">
        <v>100000</v>
      </c>
      <c r="F55" s="8">
        <v>407.2</v>
      </c>
      <c r="G55" s="9">
        <v>4.2150260000000002E-3</v>
      </c>
      <c r="H55" s="167"/>
    </row>
    <row r="56" spans="1:8" ht="25.5" x14ac:dyDescent="0.2">
      <c r="A56" s="5">
        <v>50</v>
      </c>
      <c r="B56" s="6" t="s">
        <v>425</v>
      </c>
      <c r="C56" s="6" t="s">
        <v>426</v>
      </c>
      <c r="D56" s="6" t="s">
        <v>78</v>
      </c>
      <c r="E56" s="7">
        <v>186400</v>
      </c>
      <c r="F56" s="8">
        <v>403.74239999999998</v>
      </c>
      <c r="G56" s="9">
        <v>4.1792360000000002E-3</v>
      </c>
      <c r="H56" s="167"/>
    </row>
    <row r="57" spans="1:8" x14ac:dyDescent="0.2">
      <c r="A57" s="5">
        <v>51</v>
      </c>
      <c r="B57" s="6" t="s">
        <v>380</v>
      </c>
      <c r="C57" s="6" t="s">
        <v>381</v>
      </c>
      <c r="D57" s="6" t="s">
        <v>75</v>
      </c>
      <c r="E57" s="7">
        <v>600000</v>
      </c>
      <c r="F57" s="8">
        <v>400.8</v>
      </c>
      <c r="G57" s="9">
        <v>4.1487779999999997E-3</v>
      </c>
      <c r="H57" s="167"/>
    </row>
    <row r="58" spans="1:8" x14ac:dyDescent="0.2">
      <c r="A58" s="5">
        <v>52</v>
      </c>
      <c r="B58" s="6" t="s">
        <v>575</v>
      </c>
      <c r="C58" s="6" t="s">
        <v>576</v>
      </c>
      <c r="D58" s="6" t="s">
        <v>75</v>
      </c>
      <c r="E58" s="7">
        <v>30000</v>
      </c>
      <c r="F58" s="8">
        <v>370.5</v>
      </c>
      <c r="G58" s="9">
        <v>3.8351359999999998E-3</v>
      </c>
      <c r="H58" s="167"/>
    </row>
    <row r="59" spans="1:8" x14ac:dyDescent="0.2">
      <c r="A59" s="5">
        <v>53</v>
      </c>
      <c r="B59" s="6" t="s">
        <v>339</v>
      </c>
      <c r="C59" s="6" t="s">
        <v>340</v>
      </c>
      <c r="D59" s="6" t="s">
        <v>192</v>
      </c>
      <c r="E59" s="7">
        <v>11500</v>
      </c>
      <c r="F59" s="8">
        <v>362.69274999999999</v>
      </c>
      <c r="G59" s="9">
        <v>3.7543210000000001E-3</v>
      </c>
      <c r="H59" s="167"/>
    </row>
    <row r="60" spans="1:8" x14ac:dyDescent="0.2">
      <c r="A60" s="5">
        <v>54</v>
      </c>
      <c r="B60" s="6" t="s">
        <v>431</v>
      </c>
      <c r="C60" s="6" t="s">
        <v>432</v>
      </c>
      <c r="D60" s="6" t="s">
        <v>433</v>
      </c>
      <c r="E60" s="7">
        <v>90000</v>
      </c>
      <c r="F60" s="8">
        <v>354.82499999999999</v>
      </c>
      <c r="G60" s="9">
        <v>3.6728799999999999E-3</v>
      </c>
      <c r="H60" s="167"/>
    </row>
    <row r="61" spans="1:8" x14ac:dyDescent="0.2">
      <c r="A61" s="5">
        <v>55</v>
      </c>
      <c r="B61" s="6" t="s">
        <v>440</v>
      </c>
      <c r="C61" s="6" t="s">
        <v>441</v>
      </c>
      <c r="D61" s="6" t="s">
        <v>192</v>
      </c>
      <c r="E61" s="7">
        <v>35500</v>
      </c>
      <c r="F61" s="8">
        <v>337.01925</v>
      </c>
      <c r="G61" s="9">
        <v>3.4885680000000001E-3</v>
      </c>
      <c r="H61" s="167"/>
    </row>
    <row r="62" spans="1:8" x14ac:dyDescent="0.2">
      <c r="A62" s="5">
        <v>56</v>
      </c>
      <c r="B62" s="6" t="s">
        <v>362</v>
      </c>
      <c r="C62" s="6" t="s">
        <v>363</v>
      </c>
      <c r="D62" s="6" t="s">
        <v>75</v>
      </c>
      <c r="E62" s="7">
        <v>15400</v>
      </c>
      <c r="F62" s="8">
        <v>333.00959999999998</v>
      </c>
      <c r="G62" s="9">
        <v>3.4470630000000002E-3</v>
      </c>
      <c r="H62" s="167"/>
    </row>
    <row r="63" spans="1:8" x14ac:dyDescent="0.2">
      <c r="A63" s="5">
        <v>57</v>
      </c>
      <c r="B63" s="6" t="s">
        <v>202</v>
      </c>
      <c r="C63" s="6" t="s">
        <v>203</v>
      </c>
      <c r="D63" s="6" t="s">
        <v>57</v>
      </c>
      <c r="E63" s="7">
        <v>28300</v>
      </c>
      <c r="F63" s="8">
        <v>304.791</v>
      </c>
      <c r="G63" s="9">
        <v>3.1549659999999999E-3</v>
      </c>
      <c r="H63" s="167"/>
    </row>
    <row r="64" spans="1:8" x14ac:dyDescent="0.2">
      <c r="A64" s="5">
        <v>58</v>
      </c>
      <c r="B64" s="6" t="s">
        <v>499</v>
      </c>
      <c r="C64" s="6" t="s">
        <v>500</v>
      </c>
      <c r="D64" s="6" t="s">
        <v>94</v>
      </c>
      <c r="E64" s="7">
        <v>91000</v>
      </c>
      <c r="F64" s="8">
        <v>290.0625</v>
      </c>
      <c r="G64" s="9">
        <v>3.0025070000000002E-3</v>
      </c>
      <c r="H64" s="167"/>
    </row>
    <row r="65" spans="1:8" ht="25.5" x14ac:dyDescent="0.2">
      <c r="A65" s="5">
        <v>59</v>
      </c>
      <c r="B65" s="6" t="s">
        <v>423</v>
      </c>
      <c r="C65" s="6" t="s">
        <v>424</v>
      </c>
      <c r="D65" s="6" t="s">
        <v>969</v>
      </c>
      <c r="E65" s="7">
        <v>19000</v>
      </c>
      <c r="F65" s="8">
        <v>279.661</v>
      </c>
      <c r="G65" s="9">
        <v>2.8948390000000002E-3</v>
      </c>
      <c r="H65" s="167"/>
    </row>
    <row r="66" spans="1:8" x14ac:dyDescent="0.2">
      <c r="A66" s="5">
        <v>60</v>
      </c>
      <c r="B66" s="6" t="s">
        <v>427</v>
      </c>
      <c r="C66" s="6" t="s">
        <v>428</v>
      </c>
      <c r="D66" s="6" t="s">
        <v>158</v>
      </c>
      <c r="E66" s="7">
        <v>22500</v>
      </c>
      <c r="F66" s="8">
        <v>266.77125000000001</v>
      </c>
      <c r="G66" s="9">
        <v>2.7614139999999998E-3</v>
      </c>
      <c r="H66" s="167"/>
    </row>
    <row r="67" spans="1:8" x14ac:dyDescent="0.2">
      <c r="A67" s="5">
        <v>61</v>
      </c>
      <c r="B67" s="6" t="s">
        <v>262</v>
      </c>
      <c r="C67" s="6" t="s">
        <v>263</v>
      </c>
      <c r="D67" s="6" t="s">
        <v>185</v>
      </c>
      <c r="E67" s="7">
        <v>41000</v>
      </c>
      <c r="F67" s="8">
        <v>233.1465</v>
      </c>
      <c r="G67" s="9">
        <v>2.4133560000000002E-3</v>
      </c>
      <c r="H67" s="167"/>
    </row>
    <row r="68" spans="1:8" ht="25.5" x14ac:dyDescent="0.2">
      <c r="A68" s="5">
        <v>62</v>
      </c>
      <c r="B68" s="6" t="s">
        <v>90</v>
      </c>
      <c r="C68" s="6" t="s">
        <v>91</v>
      </c>
      <c r="D68" s="6" t="s">
        <v>67</v>
      </c>
      <c r="E68" s="7">
        <v>30000</v>
      </c>
      <c r="F68" s="8">
        <v>230.86500000000001</v>
      </c>
      <c r="G68" s="9">
        <v>2.38974E-3</v>
      </c>
      <c r="H68" s="167"/>
    </row>
    <row r="69" spans="1:8" x14ac:dyDescent="0.2">
      <c r="A69" s="5">
        <v>63</v>
      </c>
      <c r="B69" s="6" t="s">
        <v>319</v>
      </c>
      <c r="C69" s="6" t="s">
        <v>320</v>
      </c>
      <c r="D69" s="6" t="s">
        <v>192</v>
      </c>
      <c r="E69" s="7">
        <v>11000</v>
      </c>
      <c r="F69" s="8">
        <v>227.76599999999999</v>
      </c>
      <c r="G69" s="9">
        <v>2.357661E-3</v>
      </c>
      <c r="H69" s="167"/>
    </row>
    <row r="70" spans="1:8" x14ac:dyDescent="0.2">
      <c r="A70" s="5">
        <v>64</v>
      </c>
      <c r="B70" s="6" t="s">
        <v>307</v>
      </c>
      <c r="C70" s="6" t="s">
        <v>308</v>
      </c>
      <c r="D70" s="6" t="s">
        <v>23</v>
      </c>
      <c r="E70" s="7">
        <v>22000</v>
      </c>
      <c r="F70" s="8">
        <v>217.48099999999999</v>
      </c>
      <c r="G70" s="9">
        <v>2.2511990000000002E-3</v>
      </c>
      <c r="H70" s="167"/>
    </row>
    <row r="71" spans="1:8" x14ac:dyDescent="0.2">
      <c r="A71" s="5">
        <v>65</v>
      </c>
      <c r="B71" s="6" t="s">
        <v>351</v>
      </c>
      <c r="C71" s="6" t="s">
        <v>352</v>
      </c>
      <c r="D71" s="6" t="s">
        <v>974</v>
      </c>
      <c r="E71" s="7">
        <v>116648</v>
      </c>
      <c r="F71" s="8">
        <v>169.60619199999999</v>
      </c>
      <c r="G71" s="9">
        <v>1.755635E-3</v>
      </c>
      <c r="H71" s="167"/>
    </row>
    <row r="72" spans="1:8" x14ac:dyDescent="0.2">
      <c r="A72" s="5">
        <v>66</v>
      </c>
      <c r="B72" s="6" t="s">
        <v>616</v>
      </c>
      <c r="C72" s="6" t="s">
        <v>617</v>
      </c>
      <c r="D72" s="6" t="s">
        <v>433</v>
      </c>
      <c r="E72" s="7">
        <v>52700</v>
      </c>
      <c r="F72" s="8">
        <v>144.5034</v>
      </c>
      <c r="G72" s="9">
        <v>1.4957900000000001E-3</v>
      </c>
      <c r="H72" s="167"/>
    </row>
    <row r="73" spans="1:8" x14ac:dyDescent="0.2">
      <c r="A73" s="3" t="s">
        <v>10</v>
      </c>
      <c r="B73" s="3" t="s">
        <v>10</v>
      </c>
      <c r="C73" s="4" t="s">
        <v>104</v>
      </c>
      <c r="D73" s="3" t="s">
        <v>10</v>
      </c>
      <c r="E73" s="3" t="s">
        <v>10</v>
      </c>
      <c r="F73" s="10">
        <v>70833.53378750004</v>
      </c>
      <c r="G73" s="11">
        <v>0.73322154799999972</v>
      </c>
      <c r="H73" s="167"/>
    </row>
    <row r="74" spans="1:8" x14ac:dyDescent="0.2">
      <c r="A74" s="3" t="s">
        <v>10</v>
      </c>
      <c r="B74" s="3" t="s">
        <v>10</v>
      </c>
      <c r="C74" s="12" t="s">
        <v>10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105</v>
      </c>
      <c r="D75" s="3" t="s">
        <v>10</v>
      </c>
      <c r="E75" s="3" t="s">
        <v>10</v>
      </c>
      <c r="F75" s="3" t="s">
        <v>10</v>
      </c>
      <c r="G75" s="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106</v>
      </c>
      <c r="D78" s="3" t="s">
        <v>10</v>
      </c>
      <c r="E78" s="3" t="s">
        <v>10</v>
      </c>
      <c r="F78" s="3" t="s">
        <v>10</v>
      </c>
      <c r="G78" s="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110</v>
      </c>
      <c r="D81" s="3" t="s">
        <v>10</v>
      </c>
      <c r="E81" s="3" t="s">
        <v>10</v>
      </c>
      <c r="F81" s="3" t="s">
        <v>10</v>
      </c>
      <c r="G81" s="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0">
        <v>0</v>
      </c>
      <c r="G82" s="11">
        <v>0</v>
      </c>
      <c r="H82" s="167"/>
    </row>
    <row r="83" spans="1:8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111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s="155" customFormat="1" ht="25.5" x14ac:dyDescent="0.2">
      <c r="A85" s="185">
        <v>1</v>
      </c>
      <c r="B85" s="186" t="s">
        <v>1000</v>
      </c>
      <c r="C85" s="186" t="s">
        <v>1001</v>
      </c>
      <c r="D85" s="186" t="s">
        <v>158</v>
      </c>
      <c r="E85" s="187">
        <v>2400</v>
      </c>
      <c r="F85" s="188">
        <v>19.248000000000001</v>
      </c>
      <c r="G85" s="189">
        <v>1.9314963466512779E-4</v>
      </c>
      <c r="H85" s="167"/>
    </row>
    <row r="86" spans="1:8" x14ac:dyDescent="0.2">
      <c r="A86" s="3" t="s">
        <v>10</v>
      </c>
      <c r="B86" s="3" t="s">
        <v>10</v>
      </c>
      <c r="C86" s="4" t="s">
        <v>104</v>
      </c>
      <c r="D86" s="3" t="s">
        <v>10</v>
      </c>
      <c r="E86" s="3" t="s">
        <v>10</v>
      </c>
      <c r="F86" s="14">
        <v>19.248000000000001</v>
      </c>
      <c r="G86" s="15">
        <v>1.9314963466512779E-4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112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5">
        <v>1</v>
      </c>
      <c r="B89" s="6"/>
      <c r="C89" s="6" t="s">
        <v>941</v>
      </c>
      <c r="D89" s="6" t="s">
        <v>700</v>
      </c>
      <c r="E89" s="7">
        <v>-52700</v>
      </c>
      <c r="F89" s="8">
        <v>-145.3466</v>
      </c>
      <c r="G89" s="9">
        <v>-1.504518E-3</v>
      </c>
      <c r="H89" s="167"/>
    </row>
    <row r="90" spans="1:8" x14ac:dyDescent="0.2">
      <c r="A90" s="5">
        <v>2</v>
      </c>
      <c r="B90" s="6"/>
      <c r="C90" s="6" t="s">
        <v>942</v>
      </c>
      <c r="D90" s="6" t="s">
        <v>700</v>
      </c>
      <c r="E90" s="7">
        <v>-10000</v>
      </c>
      <c r="F90" s="8">
        <v>-181.17500000000001</v>
      </c>
      <c r="G90" s="9">
        <v>-1.8753859999999999E-3</v>
      </c>
      <c r="H90" s="167"/>
    </row>
    <row r="91" spans="1:8" x14ac:dyDescent="0.2">
      <c r="A91" s="5">
        <v>3</v>
      </c>
      <c r="B91" s="6"/>
      <c r="C91" s="6" t="s">
        <v>943</v>
      </c>
      <c r="D91" s="6" t="s">
        <v>700</v>
      </c>
      <c r="E91" s="7">
        <v>-30000</v>
      </c>
      <c r="F91" s="8">
        <v>-231.82499999999999</v>
      </c>
      <c r="G91" s="9">
        <v>-2.3996769999999998E-3</v>
      </c>
      <c r="H91" s="167"/>
    </row>
    <row r="92" spans="1:8" x14ac:dyDescent="0.2">
      <c r="A92" s="5">
        <v>4</v>
      </c>
      <c r="B92" s="6"/>
      <c r="C92" s="6" t="s">
        <v>944</v>
      </c>
      <c r="D92" s="6" t="s">
        <v>700</v>
      </c>
      <c r="E92" s="7">
        <v>-23000</v>
      </c>
      <c r="F92" s="8">
        <v>-338.9855</v>
      </c>
      <c r="G92" s="9">
        <v>-3.5089209999999999E-3</v>
      </c>
      <c r="H92" s="167"/>
    </row>
    <row r="93" spans="1:8" x14ac:dyDescent="0.2">
      <c r="A93" s="5">
        <v>5</v>
      </c>
      <c r="B93" s="6"/>
      <c r="C93" s="6" t="s">
        <v>937</v>
      </c>
      <c r="D93" s="6" t="s">
        <v>700</v>
      </c>
      <c r="E93" s="7">
        <v>-33600</v>
      </c>
      <c r="F93" s="8">
        <v>-344.904</v>
      </c>
      <c r="G93" s="9">
        <v>-3.570185E-3</v>
      </c>
      <c r="H93" s="167"/>
    </row>
    <row r="94" spans="1:8" x14ac:dyDescent="0.2">
      <c r="A94" s="5">
        <v>6</v>
      </c>
      <c r="B94" s="6"/>
      <c r="C94" s="6" t="s">
        <v>945</v>
      </c>
      <c r="D94" s="6" t="s">
        <v>700</v>
      </c>
      <c r="E94" s="7">
        <v>-992000</v>
      </c>
      <c r="F94" s="8">
        <v>-423.08800000000002</v>
      </c>
      <c r="G94" s="9">
        <v>-4.3794869999999996E-3</v>
      </c>
      <c r="H94" s="167"/>
    </row>
    <row r="95" spans="1:8" x14ac:dyDescent="0.2">
      <c r="A95" s="5">
        <v>7</v>
      </c>
      <c r="B95" s="6"/>
      <c r="C95" s="6" t="s">
        <v>930</v>
      </c>
      <c r="D95" s="6" t="s">
        <v>714</v>
      </c>
      <c r="E95" s="7">
        <v>-11500</v>
      </c>
      <c r="F95" s="8">
        <v>-484.85725000000002</v>
      </c>
      <c r="G95" s="9">
        <v>-5.0188749999999999E-3</v>
      </c>
      <c r="H95" s="167"/>
    </row>
    <row r="96" spans="1:8" x14ac:dyDescent="0.2">
      <c r="A96" s="5">
        <v>8</v>
      </c>
      <c r="B96" s="6"/>
      <c r="C96" s="6" t="s">
        <v>927</v>
      </c>
      <c r="D96" s="6" t="s">
        <v>700</v>
      </c>
      <c r="E96" s="7">
        <v>-68400</v>
      </c>
      <c r="F96" s="8">
        <v>-515.01779999999997</v>
      </c>
      <c r="G96" s="9">
        <v>-5.3310739999999999E-3</v>
      </c>
      <c r="H96" s="167"/>
    </row>
    <row r="97" spans="1:8" ht="25.5" x14ac:dyDescent="0.2">
      <c r="A97" s="5">
        <v>9</v>
      </c>
      <c r="B97" s="6"/>
      <c r="C97" s="6" t="s">
        <v>946</v>
      </c>
      <c r="D97" s="6" t="s">
        <v>700</v>
      </c>
      <c r="E97" s="7">
        <v>-100100</v>
      </c>
      <c r="F97" s="8">
        <v>-670.41975000000002</v>
      </c>
      <c r="G97" s="9">
        <v>-6.9396780000000003E-3</v>
      </c>
      <c r="H97" s="167"/>
    </row>
    <row r="98" spans="1:8" x14ac:dyDescent="0.2">
      <c r="A98" s="5">
        <v>10</v>
      </c>
      <c r="B98" s="6"/>
      <c r="C98" s="6" t="s">
        <v>940</v>
      </c>
      <c r="D98" s="6" t="s">
        <v>700</v>
      </c>
      <c r="E98" s="7">
        <v>-31200</v>
      </c>
      <c r="F98" s="8">
        <v>-728.66039999999998</v>
      </c>
      <c r="G98" s="9">
        <v>-7.5425409999999998E-3</v>
      </c>
      <c r="H98" s="167"/>
    </row>
    <row r="99" spans="1:8" x14ac:dyDescent="0.2">
      <c r="A99" s="5">
        <v>11</v>
      </c>
      <c r="B99" s="6"/>
      <c r="C99" s="6" t="s">
        <v>947</v>
      </c>
      <c r="D99" s="6" t="s">
        <v>700</v>
      </c>
      <c r="E99" s="7">
        <v>-14000</v>
      </c>
      <c r="F99" s="8">
        <v>-745.05899999999997</v>
      </c>
      <c r="G99" s="9">
        <v>-7.712287E-3</v>
      </c>
      <c r="H99" s="167"/>
    </row>
    <row r="100" spans="1:8" ht="25.5" x14ac:dyDescent="0.2">
      <c r="A100" s="5">
        <v>12</v>
      </c>
      <c r="B100" s="6"/>
      <c r="C100" s="6" t="s">
        <v>939</v>
      </c>
      <c r="D100" s="6" t="s">
        <v>700</v>
      </c>
      <c r="E100" s="7">
        <v>-30000</v>
      </c>
      <c r="F100" s="8">
        <v>-767.49</v>
      </c>
      <c r="G100" s="9">
        <v>-7.9444760000000007E-3</v>
      </c>
      <c r="H100" s="167"/>
    </row>
    <row r="101" spans="1:8" x14ac:dyDescent="0.2">
      <c r="A101" s="5">
        <v>13</v>
      </c>
      <c r="B101" s="6"/>
      <c r="C101" s="6" t="s">
        <v>931</v>
      </c>
      <c r="D101" s="6" t="s">
        <v>700</v>
      </c>
      <c r="E101" s="7">
        <v>-40000</v>
      </c>
      <c r="F101" s="8">
        <v>-864.46</v>
      </c>
      <c r="G101" s="9">
        <v>-8.948236E-3</v>
      </c>
      <c r="H101" s="167"/>
    </row>
    <row r="102" spans="1:8" x14ac:dyDescent="0.2">
      <c r="A102" s="5">
        <v>14</v>
      </c>
      <c r="B102" s="6"/>
      <c r="C102" s="6" t="s">
        <v>948</v>
      </c>
      <c r="D102" s="6" t="s">
        <v>700</v>
      </c>
      <c r="E102" s="7">
        <v>-31200</v>
      </c>
      <c r="F102" s="8">
        <v>-988.24440000000004</v>
      </c>
      <c r="G102" s="9">
        <v>-1.0229558E-2</v>
      </c>
      <c r="H102" s="167"/>
    </row>
    <row r="103" spans="1:8" x14ac:dyDescent="0.2">
      <c r="A103" s="5">
        <v>15</v>
      </c>
      <c r="B103" s="6"/>
      <c r="C103" s="6" t="s">
        <v>949</v>
      </c>
      <c r="D103" s="6" t="s">
        <v>700</v>
      </c>
      <c r="E103" s="7">
        <v>-261000</v>
      </c>
      <c r="F103" s="8">
        <v>-1102.3335</v>
      </c>
      <c r="G103" s="9">
        <v>-1.1410521999999999E-2</v>
      </c>
      <c r="H103" s="167"/>
    </row>
    <row r="104" spans="1:8" x14ac:dyDescent="0.2">
      <c r="A104" s="5">
        <v>16</v>
      </c>
      <c r="B104" s="6"/>
      <c r="C104" s="6" t="s">
        <v>934</v>
      </c>
      <c r="D104" s="6" t="s">
        <v>700</v>
      </c>
      <c r="E104" s="7">
        <v>-246183</v>
      </c>
      <c r="F104" s="8">
        <v>-1321.756527</v>
      </c>
      <c r="G104" s="9">
        <v>-1.3681822999999999E-2</v>
      </c>
      <c r="H104" s="167"/>
    </row>
    <row r="105" spans="1:8" x14ac:dyDescent="0.2">
      <c r="A105" s="5">
        <v>17</v>
      </c>
      <c r="B105" s="6"/>
      <c r="C105" s="6" t="s">
        <v>950</v>
      </c>
      <c r="D105" s="6" t="s">
        <v>700</v>
      </c>
      <c r="E105" s="7">
        <v>-1197000</v>
      </c>
      <c r="F105" s="8">
        <v>-1526.175</v>
      </c>
      <c r="G105" s="9">
        <v>-1.5797808999999999E-2</v>
      </c>
      <c r="H105" s="167"/>
    </row>
    <row r="106" spans="1:8" x14ac:dyDescent="0.2">
      <c r="A106" s="5">
        <v>18</v>
      </c>
      <c r="B106" s="6"/>
      <c r="C106" s="6" t="s">
        <v>951</v>
      </c>
      <c r="D106" s="6" t="s">
        <v>700</v>
      </c>
      <c r="E106" s="7">
        <v>-384000</v>
      </c>
      <c r="F106" s="8">
        <v>-1830.912</v>
      </c>
      <c r="G106" s="9">
        <v>-1.8952215000000001E-2</v>
      </c>
      <c r="H106" s="167"/>
    </row>
    <row r="107" spans="1:8" x14ac:dyDescent="0.2">
      <c r="A107" s="5">
        <v>19</v>
      </c>
      <c r="B107" s="6"/>
      <c r="C107" s="6" t="s">
        <v>936</v>
      </c>
      <c r="D107" s="6" t="s">
        <v>700</v>
      </c>
      <c r="E107" s="7">
        <v>-300000</v>
      </c>
      <c r="F107" s="8">
        <v>-1845.9</v>
      </c>
      <c r="G107" s="9">
        <v>-1.910736E-2</v>
      </c>
      <c r="H107" s="167"/>
    </row>
    <row r="108" spans="1:8" x14ac:dyDescent="0.2">
      <c r="A108" s="5">
        <v>20</v>
      </c>
      <c r="B108" s="6"/>
      <c r="C108" s="6" t="s">
        <v>952</v>
      </c>
      <c r="D108" s="6" t="s">
        <v>714</v>
      </c>
      <c r="E108" s="7">
        <v>-19875</v>
      </c>
      <c r="F108" s="8">
        <v>-3097.1610000000001</v>
      </c>
      <c r="G108" s="9">
        <v>-3.2059467000000001E-2</v>
      </c>
      <c r="H108" s="167"/>
    </row>
    <row r="109" spans="1:8" x14ac:dyDescent="0.2">
      <c r="A109" s="5">
        <v>21</v>
      </c>
      <c r="B109" s="6"/>
      <c r="C109" s="6" t="s">
        <v>928</v>
      </c>
      <c r="D109" s="6" t="s">
        <v>700</v>
      </c>
      <c r="E109" s="7">
        <v>-149500</v>
      </c>
      <c r="F109" s="8">
        <v>-3141.1444999999999</v>
      </c>
      <c r="G109" s="9">
        <v>-3.2514751000000001E-2</v>
      </c>
      <c r="H109" s="167"/>
    </row>
    <row r="110" spans="1:8" x14ac:dyDescent="0.2">
      <c r="A110" s="5">
        <v>22</v>
      </c>
      <c r="B110" s="6"/>
      <c r="C110" s="6" t="s">
        <v>938</v>
      </c>
      <c r="D110" s="6" t="s">
        <v>700</v>
      </c>
      <c r="E110" s="7">
        <v>-532125</v>
      </c>
      <c r="F110" s="8">
        <v>-3533.8421250000001</v>
      </c>
      <c r="G110" s="9">
        <v>-3.6579659E-2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0">
        <v>-24828.757352000001</v>
      </c>
      <c r="G111" s="11">
        <v>-0.257008505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113</v>
      </c>
      <c r="D113" s="3" t="s">
        <v>10</v>
      </c>
      <c r="E113" s="3" t="s">
        <v>10</v>
      </c>
      <c r="F113" s="10">
        <v>70852.781787500047</v>
      </c>
      <c r="G113" s="11">
        <v>0.73341469763466483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x14ac:dyDescent="0.2">
      <c r="A115" s="3" t="s">
        <v>10</v>
      </c>
      <c r="B115" s="3" t="s">
        <v>10</v>
      </c>
      <c r="C115" s="4" t="s">
        <v>114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ht="25.5" x14ac:dyDescent="0.2">
      <c r="A116" s="3" t="s">
        <v>10</v>
      </c>
      <c r="B116" s="3" t="s">
        <v>10</v>
      </c>
      <c r="C116" s="4" t="s">
        <v>12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7"/>
    </row>
    <row r="117" spans="1:8" ht="25.5" x14ac:dyDescent="0.2">
      <c r="A117" s="5">
        <v>1</v>
      </c>
      <c r="B117" s="6" t="s">
        <v>748</v>
      </c>
      <c r="C117" s="6" t="s">
        <v>749</v>
      </c>
      <c r="D117" s="6" t="s">
        <v>965</v>
      </c>
      <c r="E117" s="7">
        <v>150</v>
      </c>
      <c r="F117" s="8">
        <v>1548.402</v>
      </c>
      <c r="G117" s="9">
        <v>1.6027886000000002E-2</v>
      </c>
      <c r="H117" s="168">
        <v>4.7850000000000001</v>
      </c>
    </row>
    <row r="118" spans="1:8" ht="25.5" x14ac:dyDescent="0.2">
      <c r="A118" s="5">
        <v>2</v>
      </c>
      <c r="B118" s="6" t="s">
        <v>750</v>
      </c>
      <c r="C118" s="6" t="s">
        <v>751</v>
      </c>
      <c r="D118" s="6" t="s">
        <v>717</v>
      </c>
      <c r="E118" s="7">
        <v>100</v>
      </c>
      <c r="F118" s="8">
        <v>1038.576</v>
      </c>
      <c r="G118" s="9">
        <v>1.0750552999999999E-2</v>
      </c>
      <c r="H118" s="168">
        <v>4.8</v>
      </c>
    </row>
    <row r="119" spans="1:8" x14ac:dyDescent="0.2">
      <c r="A119" s="5">
        <v>3</v>
      </c>
      <c r="B119" s="6" t="s">
        <v>752</v>
      </c>
      <c r="C119" s="6" t="s">
        <v>753</v>
      </c>
      <c r="D119" s="6" t="s">
        <v>717</v>
      </c>
      <c r="E119" s="7">
        <v>100</v>
      </c>
      <c r="F119" s="8">
        <v>1038.2270000000001</v>
      </c>
      <c r="G119" s="9">
        <v>1.074694E-2</v>
      </c>
      <c r="H119" s="168">
        <v>4.8250000000000002</v>
      </c>
    </row>
    <row r="120" spans="1:8" ht="25.5" x14ac:dyDescent="0.2">
      <c r="A120" s="5">
        <v>4</v>
      </c>
      <c r="B120" s="6" t="s">
        <v>754</v>
      </c>
      <c r="C120" s="6" t="s">
        <v>755</v>
      </c>
      <c r="D120" s="6" t="s">
        <v>965</v>
      </c>
      <c r="E120" s="7">
        <v>100</v>
      </c>
      <c r="F120" s="8">
        <v>1035.3499999999999</v>
      </c>
      <c r="G120" s="9">
        <v>1.071716E-2</v>
      </c>
      <c r="H120" s="168">
        <v>4.6900000000000004</v>
      </c>
    </row>
    <row r="121" spans="1:8" ht="25.5" x14ac:dyDescent="0.2">
      <c r="A121" s="5">
        <v>5</v>
      </c>
      <c r="B121" s="6" t="s">
        <v>756</v>
      </c>
      <c r="C121" s="6" t="s">
        <v>757</v>
      </c>
      <c r="D121" s="6" t="s">
        <v>717</v>
      </c>
      <c r="E121" s="7">
        <v>100</v>
      </c>
      <c r="F121" s="8">
        <v>1035.1679999999999</v>
      </c>
      <c r="G121" s="9">
        <v>1.0715275999999999E-2</v>
      </c>
      <c r="H121" s="168">
        <v>4.7709999999999999</v>
      </c>
    </row>
    <row r="122" spans="1:8" x14ac:dyDescent="0.2">
      <c r="A122" s="5">
        <v>6</v>
      </c>
      <c r="B122" s="6" t="s">
        <v>758</v>
      </c>
      <c r="C122" s="6" t="s">
        <v>759</v>
      </c>
      <c r="D122" s="6" t="s">
        <v>717</v>
      </c>
      <c r="E122" s="7">
        <v>100</v>
      </c>
      <c r="F122" s="8">
        <v>1015.977</v>
      </c>
      <c r="G122" s="9">
        <v>1.0516625E-2</v>
      </c>
      <c r="H122" s="168">
        <v>4.93</v>
      </c>
    </row>
    <row r="123" spans="1:8" ht="25.5" x14ac:dyDescent="0.2">
      <c r="A123" s="5">
        <v>7</v>
      </c>
      <c r="B123" s="6" t="s">
        <v>760</v>
      </c>
      <c r="C123" s="6" t="s">
        <v>761</v>
      </c>
      <c r="D123" s="6" t="s">
        <v>717</v>
      </c>
      <c r="E123" s="7">
        <v>100</v>
      </c>
      <c r="F123" s="8">
        <v>1004.015</v>
      </c>
      <c r="G123" s="9">
        <v>1.0392803000000001E-2</v>
      </c>
      <c r="H123" s="168">
        <v>4.5999999999999996</v>
      </c>
    </row>
    <row r="124" spans="1:8" ht="25.5" x14ac:dyDescent="0.2">
      <c r="A124" s="5">
        <v>8</v>
      </c>
      <c r="B124" s="6" t="s">
        <v>762</v>
      </c>
      <c r="C124" s="6" t="s">
        <v>763</v>
      </c>
      <c r="D124" s="6" t="s">
        <v>717</v>
      </c>
      <c r="E124" s="7">
        <v>50</v>
      </c>
      <c r="F124" s="8">
        <v>528.20600000000002</v>
      </c>
      <c r="G124" s="9">
        <v>5.4675890000000001E-3</v>
      </c>
      <c r="H124" s="168">
        <v>4.6500000000000004</v>
      </c>
    </row>
    <row r="125" spans="1:8" ht="25.5" x14ac:dyDescent="0.2">
      <c r="A125" s="5">
        <v>9</v>
      </c>
      <c r="B125" s="6" t="s">
        <v>764</v>
      </c>
      <c r="C125" s="6" t="s">
        <v>765</v>
      </c>
      <c r="D125" s="6" t="s">
        <v>717</v>
      </c>
      <c r="E125" s="7">
        <v>50</v>
      </c>
      <c r="F125" s="8">
        <v>519.6105</v>
      </c>
      <c r="G125" s="9">
        <v>5.3786149999999998E-3</v>
      </c>
      <c r="H125" s="168">
        <v>4.79</v>
      </c>
    </row>
    <row r="126" spans="1:8" x14ac:dyDescent="0.2">
      <c r="A126" s="5">
        <v>10</v>
      </c>
      <c r="B126" s="6" t="s">
        <v>766</v>
      </c>
      <c r="C126" s="6" t="s">
        <v>767</v>
      </c>
      <c r="D126" s="6" t="s">
        <v>717</v>
      </c>
      <c r="E126" s="7">
        <v>50</v>
      </c>
      <c r="F126" s="8">
        <v>518.14750000000004</v>
      </c>
      <c r="G126" s="9">
        <v>5.3634709999999999E-3</v>
      </c>
      <c r="H126" s="168">
        <v>4.5599999999999996</v>
      </c>
    </row>
    <row r="127" spans="1:8" ht="25.5" x14ac:dyDescent="0.2">
      <c r="A127" s="5">
        <v>11</v>
      </c>
      <c r="B127" s="6" t="s">
        <v>768</v>
      </c>
      <c r="C127" s="6" t="s">
        <v>769</v>
      </c>
      <c r="D127" s="6" t="s">
        <v>717</v>
      </c>
      <c r="E127" s="7">
        <v>50</v>
      </c>
      <c r="F127" s="8">
        <v>517.74599999999998</v>
      </c>
      <c r="G127" s="9">
        <v>5.3593149999999999E-3</v>
      </c>
      <c r="H127" s="168">
        <v>4.5650000000000004</v>
      </c>
    </row>
    <row r="128" spans="1:8" ht="25.5" x14ac:dyDescent="0.2">
      <c r="A128" s="5">
        <v>12</v>
      </c>
      <c r="B128" s="6" t="s">
        <v>770</v>
      </c>
      <c r="C128" s="6" t="s">
        <v>771</v>
      </c>
      <c r="D128" s="6" t="s">
        <v>717</v>
      </c>
      <c r="E128" s="7">
        <v>50</v>
      </c>
      <c r="F128" s="8">
        <v>508.96100000000001</v>
      </c>
      <c r="G128" s="9">
        <v>5.2683790000000001E-3</v>
      </c>
      <c r="H128" s="168">
        <v>3.87</v>
      </c>
    </row>
    <row r="129" spans="1:8" ht="25.5" x14ac:dyDescent="0.2">
      <c r="A129" s="5">
        <v>13</v>
      </c>
      <c r="B129" s="6" t="s">
        <v>772</v>
      </c>
      <c r="C129" s="6" t="s">
        <v>773</v>
      </c>
      <c r="D129" s="6" t="s">
        <v>717</v>
      </c>
      <c r="E129" s="7">
        <v>50</v>
      </c>
      <c r="F129" s="8">
        <v>503.0265</v>
      </c>
      <c r="G129" s="9">
        <v>5.2069500000000001E-3</v>
      </c>
      <c r="H129" s="168">
        <v>3.51</v>
      </c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0">
        <v>10811.4125</v>
      </c>
      <c r="G130" s="11">
        <v>0.11191156200000001</v>
      </c>
      <c r="H130" s="168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8"/>
    </row>
    <row r="132" spans="1:8" x14ac:dyDescent="0.2">
      <c r="A132" s="3" t="s">
        <v>10</v>
      </c>
      <c r="B132" s="3" t="s">
        <v>10</v>
      </c>
      <c r="C132" s="4" t="s">
        <v>115</v>
      </c>
      <c r="D132" s="3" t="s">
        <v>10</v>
      </c>
      <c r="E132" s="3" t="s">
        <v>10</v>
      </c>
      <c r="F132" s="3" t="s">
        <v>10</v>
      </c>
      <c r="G132" s="3" t="s">
        <v>10</v>
      </c>
      <c r="H132" s="168"/>
    </row>
    <row r="133" spans="1:8" x14ac:dyDescent="0.2">
      <c r="A133" s="3" t="s">
        <v>10</v>
      </c>
      <c r="B133" s="3" t="s">
        <v>10</v>
      </c>
      <c r="C133" s="4" t="s">
        <v>104</v>
      </c>
      <c r="D133" s="3" t="s">
        <v>10</v>
      </c>
      <c r="E133" s="3" t="s">
        <v>10</v>
      </c>
      <c r="F133" s="14">
        <v>0</v>
      </c>
      <c r="G133" s="15">
        <v>0</v>
      </c>
      <c r="H133" s="168"/>
    </row>
    <row r="134" spans="1:8" x14ac:dyDescent="0.2">
      <c r="A134" s="3" t="s">
        <v>10</v>
      </c>
      <c r="B134" s="3" t="s">
        <v>10</v>
      </c>
      <c r="C134" s="12" t="s">
        <v>10</v>
      </c>
      <c r="D134" s="3" t="s">
        <v>10</v>
      </c>
      <c r="E134" s="3" t="s">
        <v>10</v>
      </c>
      <c r="F134" s="13" t="s">
        <v>10</v>
      </c>
      <c r="G134" s="13" t="s">
        <v>10</v>
      </c>
      <c r="H134" s="168"/>
    </row>
    <row r="135" spans="1:8" x14ac:dyDescent="0.2">
      <c r="A135" s="3" t="s">
        <v>10</v>
      </c>
      <c r="B135" s="3" t="s">
        <v>10</v>
      </c>
      <c r="C135" s="4" t="s">
        <v>116</v>
      </c>
      <c r="D135" s="3" t="s">
        <v>10</v>
      </c>
      <c r="E135" s="3" t="s">
        <v>10</v>
      </c>
      <c r="F135" s="3" t="s">
        <v>10</v>
      </c>
      <c r="G135" s="3" t="s">
        <v>10</v>
      </c>
      <c r="H135" s="168"/>
    </row>
    <row r="136" spans="1:8" ht="25.5" x14ac:dyDescent="0.2">
      <c r="A136" s="5">
        <v>1</v>
      </c>
      <c r="B136" s="6" t="s">
        <v>722</v>
      </c>
      <c r="C136" s="6" t="s">
        <v>964</v>
      </c>
      <c r="D136" s="6" t="s">
        <v>723</v>
      </c>
      <c r="E136" s="7">
        <v>2000000</v>
      </c>
      <c r="F136" s="8">
        <v>2129.4</v>
      </c>
      <c r="G136" s="9">
        <v>2.2041937000000001E-2</v>
      </c>
      <c r="H136" s="168">
        <v>4.6989999999999998</v>
      </c>
    </row>
    <row r="137" spans="1:8" ht="25.5" x14ac:dyDescent="0.2">
      <c r="A137" s="5">
        <v>2</v>
      </c>
      <c r="B137" s="6" t="s">
        <v>774</v>
      </c>
      <c r="C137" s="6" t="s">
        <v>775</v>
      </c>
      <c r="D137" s="6" t="s">
        <v>723</v>
      </c>
      <c r="E137" s="7">
        <v>1000000</v>
      </c>
      <c r="F137" s="8">
        <v>1011.1</v>
      </c>
      <c r="G137" s="9">
        <v>1.0466141999999999E-2</v>
      </c>
      <c r="H137" s="168">
        <v>3.7709999999999999</v>
      </c>
    </row>
    <row r="138" spans="1:8" x14ac:dyDescent="0.2">
      <c r="A138" s="3" t="s">
        <v>10</v>
      </c>
      <c r="B138" s="3" t="s">
        <v>10</v>
      </c>
      <c r="C138" s="4" t="s">
        <v>104</v>
      </c>
      <c r="D138" s="3" t="s">
        <v>10</v>
      </c>
      <c r="E138" s="3" t="s">
        <v>10</v>
      </c>
      <c r="F138" s="10">
        <v>3140.5</v>
      </c>
      <c r="G138" s="11">
        <v>3.2508079000000002E-2</v>
      </c>
      <c r="H138" s="168"/>
    </row>
    <row r="139" spans="1:8" x14ac:dyDescent="0.2">
      <c r="A139" s="3" t="s">
        <v>10</v>
      </c>
      <c r="B139" s="3" t="s">
        <v>10</v>
      </c>
      <c r="C139" s="12" t="s">
        <v>10</v>
      </c>
      <c r="D139" s="3" t="s">
        <v>10</v>
      </c>
      <c r="E139" s="3" t="s">
        <v>10</v>
      </c>
      <c r="F139" s="13" t="s">
        <v>10</v>
      </c>
      <c r="G139" s="13" t="s">
        <v>10</v>
      </c>
      <c r="H139" s="168"/>
    </row>
    <row r="140" spans="1:8" x14ac:dyDescent="0.2">
      <c r="A140" s="3" t="s">
        <v>10</v>
      </c>
      <c r="B140" s="3" t="s">
        <v>10</v>
      </c>
      <c r="C140" s="4" t="s">
        <v>117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8"/>
    </row>
    <row r="141" spans="1:8" x14ac:dyDescent="0.2">
      <c r="A141" s="3" t="s">
        <v>10</v>
      </c>
      <c r="B141" s="3" t="s">
        <v>10</v>
      </c>
      <c r="C141" s="4" t="s">
        <v>104</v>
      </c>
      <c r="D141" s="3" t="s">
        <v>10</v>
      </c>
      <c r="E141" s="3" t="s">
        <v>10</v>
      </c>
      <c r="F141" s="14">
        <v>0</v>
      </c>
      <c r="G141" s="15">
        <v>0</v>
      </c>
      <c r="H141" s="168"/>
    </row>
    <row r="142" spans="1:8" x14ac:dyDescent="0.2">
      <c r="A142" s="3" t="s">
        <v>10</v>
      </c>
      <c r="B142" s="3" t="s">
        <v>10</v>
      </c>
      <c r="C142" s="12" t="s">
        <v>10</v>
      </c>
      <c r="D142" s="3" t="s">
        <v>10</v>
      </c>
      <c r="E142" s="3" t="s">
        <v>10</v>
      </c>
      <c r="F142" s="13" t="s">
        <v>10</v>
      </c>
      <c r="G142" s="13" t="s">
        <v>10</v>
      </c>
      <c r="H142" s="168"/>
    </row>
    <row r="143" spans="1:8" x14ac:dyDescent="0.2">
      <c r="A143" s="3" t="s">
        <v>10</v>
      </c>
      <c r="B143" s="3" t="s">
        <v>10</v>
      </c>
      <c r="C143" s="4" t="s">
        <v>118</v>
      </c>
      <c r="D143" s="3" t="s">
        <v>10</v>
      </c>
      <c r="E143" s="3" t="s">
        <v>10</v>
      </c>
      <c r="F143" s="10">
        <v>13951.9125</v>
      </c>
      <c r="G143" s="11">
        <v>0.14441964099999999</v>
      </c>
      <c r="H143" s="168"/>
    </row>
    <row r="144" spans="1:8" x14ac:dyDescent="0.2">
      <c r="A144" s="3" t="s">
        <v>10</v>
      </c>
      <c r="B144" s="3" t="s">
        <v>10</v>
      </c>
      <c r="C144" s="12" t="s">
        <v>10</v>
      </c>
      <c r="D144" s="3" t="s">
        <v>10</v>
      </c>
      <c r="E144" s="3" t="s">
        <v>10</v>
      </c>
      <c r="F144" s="13" t="s">
        <v>10</v>
      </c>
      <c r="G144" s="13" t="s">
        <v>10</v>
      </c>
      <c r="H144" s="168"/>
    </row>
    <row r="145" spans="1:8" x14ac:dyDescent="0.2">
      <c r="A145" s="3" t="s">
        <v>10</v>
      </c>
      <c r="B145" s="3" t="s">
        <v>10</v>
      </c>
      <c r="C145" s="4" t="s">
        <v>119</v>
      </c>
      <c r="D145" s="3" t="s">
        <v>10</v>
      </c>
      <c r="E145" s="3" t="s">
        <v>10</v>
      </c>
      <c r="F145" s="13" t="s">
        <v>10</v>
      </c>
      <c r="G145" s="13" t="s">
        <v>10</v>
      </c>
      <c r="H145" s="168"/>
    </row>
    <row r="146" spans="1:8" x14ac:dyDescent="0.2">
      <c r="A146" s="3" t="s">
        <v>10</v>
      </c>
      <c r="B146" s="3" t="s">
        <v>10</v>
      </c>
      <c r="C146" s="4" t="s">
        <v>120</v>
      </c>
      <c r="D146" s="3" t="s">
        <v>10</v>
      </c>
      <c r="E146" s="3" t="s">
        <v>10</v>
      </c>
      <c r="F146" s="13" t="s">
        <v>10</v>
      </c>
      <c r="G146" s="13" t="s">
        <v>10</v>
      </c>
      <c r="H146" s="168"/>
    </row>
    <row r="147" spans="1:8" x14ac:dyDescent="0.2">
      <c r="A147" s="3" t="s">
        <v>10</v>
      </c>
      <c r="B147" s="3" t="s">
        <v>10</v>
      </c>
      <c r="C147" s="4" t="s">
        <v>104</v>
      </c>
      <c r="D147" s="3" t="s">
        <v>10</v>
      </c>
      <c r="E147" s="3" t="s">
        <v>10</v>
      </c>
      <c r="F147" s="14">
        <v>0</v>
      </c>
      <c r="G147" s="15">
        <v>0</v>
      </c>
      <c r="H147" s="168"/>
    </row>
    <row r="148" spans="1:8" x14ac:dyDescent="0.2">
      <c r="A148" s="3" t="s">
        <v>10</v>
      </c>
      <c r="B148" s="3" t="s">
        <v>10</v>
      </c>
      <c r="C148" s="12" t="s">
        <v>10</v>
      </c>
      <c r="D148" s="3" t="s">
        <v>10</v>
      </c>
      <c r="E148" s="3" t="s">
        <v>10</v>
      </c>
      <c r="F148" s="13" t="s">
        <v>10</v>
      </c>
      <c r="G148" s="13" t="s">
        <v>10</v>
      </c>
      <c r="H148" s="168"/>
    </row>
    <row r="149" spans="1:8" x14ac:dyDescent="0.2">
      <c r="A149" s="3" t="s">
        <v>10</v>
      </c>
      <c r="B149" s="3" t="s">
        <v>10</v>
      </c>
      <c r="C149" s="4" t="s">
        <v>121</v>
      </c>
      <c r="D149" s="3" t="s">
        <v>10</v>
      </c>
      <c r="E149" s="3" t="s">
        <v>10</v>
      </c>
      <c r="F149" s="13" t="s">
        <v>10</v>
      </c>
      <c r="G149" s="13" t="s">
        <v>10</v>
      </c>
      <c r="H149" s="168"/>
    </row>
    <row r="150" spans="1:8" x14ac:dyDescent="0.2">
      <c r="A150" s="5">
        <v>1</v>
      </c>
      <c r="B150" s="6" t="s">
        <v>776</v>
      </c>
      <c r="C150" s="6" t="s">
        <v>777</v>
      </c>
      <c r="D150" s="6" t="s">
        <v>778</v>
      </c>
      <c r="E150" s="7">
        <v>300</v>
      </c>
      <c r="F150" s="8">
        <v>1459.3064999999999</v>
      </c>
      <c r="G150" s="9">
        <v>1.5105636E-2</v>
      </c>
      <c r="H150" s="168">
        <v>3.9449999999999998</v>
      </c>
    </row>
    <row r="151" spans="1:8" x14ac:dyDescent="0.2">
      <c r="A151" s="3" t="s">
        <v>10</v>
      </c>
      <c r="B151" s="3" t="s">
        <v>10</v>
      </c>
      <c r="C151" s="4" t="s">
        <v>104</v>
      </c>
      <c r="D151" s="3" t="s">
        <v>10</v>
      </c>
      <c r="E151" s="3" t="s">
        <v>10</v>
      </c>
      <c r="F151" s="10">
        <v>1459.3064999999999</v>
      </c>
      <c r="G151" s="11">
        <v>1.5105636E-2</v>
      </c>
      <c r="H151" s="168"/>
    </row>
    <row r="152" spans="1:8" x14ac:dyDescent="0.2">
      <c r="A152" s="3" t="s">
        <v>10</v>
      </c>
      <c r="B152" s="3" t="s">
        <v>10</v>
      </c>
      <c r="C152" s="12" t="s">
        <v>10</v>
      </c>
      <c r="D152" s="3" t="s">
        <v>10</v>
      </c>
      <c r="E152" s="3" t="s">
        <v>10</v>
      </c>
      <c r="F152" s="13" t="s">
        <v>10</v>
      </c>
      <c r="G152" s="13" t="s">
        <v>10</v>
      </c>
      <c r="H152" s="168"/>
    </row>
    <row r="153" spans="1:8" x14ac:dyDescent="0.2">
      <c r="A153" s="3" t="s">
        <v>10</v>
      </c>
      <c r="B153" s="3" t="s">
        <v>10</v>
      </c>
      <c r="C153" s="4" t="s">
        <v>122</v>
      </c>
      <c r="D153" s="3" t="s">
        <v>10</v>
      </c>
      <c r="E153" s="3" t="s">
        <v>10</v>
      </c>
      <c r="F153" s="13" t="s">
        <v>10</v>
      </c>
      <c r="G153" s="13" t="s">
        <v>10</v>
      </c>
      <c r="H153" s="168"/>
    </row>
    <row r="154" spans="1:8" x14ac:dyDescent="0.2">
      <c r="A154" s="3" t="s">
        <v>10</v>
      </c>
      <c r="B154" s="3" t="s">
        <v>10</v>
      </c>
      <c r="C154" s="4" t="s">
        <v>104</v>
      </c>
      <c r="D154" s="3" t="s">
        <v>10</v>
      </c>
      <c r="E154" s="3" t="s">
        <v>10</v>
      </c>
      <c r="F154" s="14">
        <v>0</v>
      </c>
      <c r="G154" s="15">
        <v>0</v>
      </c>
      <c r="H154" s="168"/>
    </row>
    <row r="155" spans="1:8" x14ac:dyDescent="0.2">
      <c r="A155" s="3" t="s">
        <v>10</v>
      </c>
      <c r="B155" s="3" t="s">
        <v>10</v>
      </c>
      <c r="C155" s="12" t="s">
        <v>10</v>
      </c>
      <c r="D155" s="3" t="s">
        <v>10</v>
      </c>
      <c r="E155" s="3" t="s">
        <v>10</v>
      </c>
      <c r="F155" s="13" t="s">
        <v>10</v>
      </c>
      <c r="G155" s="13" t="s">
        <v>10</v>
      </c>
      <c r="H155" s="168"/>
    </row>
    <row r="156" spans="1:8" x14ac:dyDescent="0.2">
      <c r="A156" s="3" t="s">
        <v>10</v>
      </c>
      <c r="B156" s="3" t="s">
        <v>10</v>
      </c>
      <c r="C156" s="4" t="s">
        <v>123</v>
      </c>
      <c r="D156" s="3" t="s">
        <v>10</v>
      </c>
      <c r="E156" s="3" t="s">
        <v>10</v>
      </c>
      <c r="F156" s="13" t="s">
        <v>10</v>
      </c>
      <c r="G156" s="13" t="s">
        <v>10</v>
      </c>
      <c r="H156" s="168"/>
    </row>
    <row r="157" spans="1:8" x14ac:dyDescent="0.2">
      <c r="A157" s="5">
        <v>1</v>
      </c>
      <c r="B157" s="6"/>
      <c r="C157" s="6" t="s">
        <v>124</v>
      </c>
      <c r="D157" s="6"/>
      <c r="E157" s="16" t="s">
        <v>10</v>
      </c>
      <c r="F157" s="8">
        <v>2519.3272602000002</v>
      </c>
      <c r="G157" s="9">
        <v>2.6078168999999998E-2</v>
      </c>
      <c r="H157" s="108">
        <v>3.23</v>
      </c>
    </row>
    <row r="158" spans="1:8" x14ac:dyDescent="0.2">
      <c r="A158" s="5">
        <v>2</v>
      </c>
      <c r="B158" s="6"/>
      <c r="C158" s="6" t="s">
        <v>125</v>
      </c>
      <c r="D158" s="6"/>
      <c r="E158" s="16" t="s">
        <v>10</v>
      </c>
      <c r="F158" s="8">
        <v>707.65349560000004</v>
      </c>
      <c r="G158" s="9">
        <v>7.3250930000000004E-3</v>
      </c>
      <c r="H158" s="108">
        <v>3.35</v>
      </c>
    </row>
    <row r="159" spans="1:8" x14ac:dyDescent="0.2">
      <c r="A159" s="3" t="s">
        <v>10</v>
      </c>
      <c r="B159" s="3" t="s">
        <v>10</v>
      </c>
      <c r="C159" s="4" t="s">
        <v>104</v>
      </c>
      <c r="D159" s="3" t="s">
        <v>10</v>
      </c>
      <c r="E159" s="3" t="s">
        <v>10</v>
      </c>
      <c r="F159" s="10">
        <v>3226.9807558000002</v>
      </c>
      <c r="G159" s="11">
        <v>3.3403262000000003E-2</v>
      </c>
      <c r="H159" s="168"/>
    </row>
    <row r="160" spans="1:8" x14ac:dyDescent="0.2">
      <c r="A160" s="3" t="s">
        <v>10</v>
      </c>
      <c r="B160" s="3" t="s">
        <v>10</v>
      </c>
      <c r="C160" s="12" t="s">
        <v>10</v>
      </c>
      <c r="D160" s="3" t="s">
        <v>10</v>
      </c>
      <c r="E160" s="3" t="s">
        <v>10</v>
      </c>
      <c r="F160" s="13" t="s">
        <v>10</v>
      </c>
      <c r="G160" s="13" t="s">
        <v>10</v>
      </c>
      <c r="H160" s="168"/>
    </row>
    <row r="161" spans="1:8" x14ac:dyDescent="0.2">
      <c r="A161" s="3" t="s">
        <v>10</v>
      </c>
      <c r="B161" s="3" t="s">
        <v>10</v>
      </c>
      <c r="C161" s="4" t="s">
        <v>126</v>
      </c>
      <c r="D161" s="3" t="s">
        <v>10</v>
      </c>
      <c r="E161" s="3" t="s">
        <v>10</v>
      </c>
      <c r="F161" s="10">
        <v>4686.2872557999999</v>
      </c>
      <c r="G161" s="11">
        <v>4.8508898000000002E-2</v>
      </c>
      <c r="H161" s="168"/>
    </row>
    <row r="162" spans="1:8" x14ac:dyDescent="0.2">
      <c r="A162" s="3" t="s">
        <v>10</v>
      </c>
      <c r="B162" s="3" t="s">
        <v>10</v>
      </c>
      <c r="C162" s="13" t="s">
        <v>10</v>
      </c>
      <c r="D162" s="3" t="s">
        <v>10</v>
      </c>
      <c r="E162" s="3" t="s">
        <v>10</v>
      </c>
      <c r="F162" s="3" t="s">
        <v>10</v>
      </c>
      <c r="G162" s="3" t="s">
        <v>10</v>
      </c>
      <c r="H162" s="168"/>
    </row>
    <row r="163" spans="1:8" x14ac:dyDescent="0.2">
      <c r="A163" s="3" t="s">
        <v>10</v>
      </c>
      <c r="B163" s="3" t="s">
        <v>10</v>
      </c>
      <c r="C163" s="4" t="s">
        <v>127</v>
      </c>
      <c r="D163" s="3" t="s">
        <v>10</v>
      </c>
      <c r="E163" s="3" t="s">
        <v>10</v>
      </c>
      <c r="F163" s="3" t="s">
        <v>10</v>
      </c>
      <c r="G163" s="3" t="s">
        <v>10</v>
      </c>
      <c r="H163" s="168"/>
    </row>
    <row r="164" spans="1:8" x14ac:dyDescent="0.2">
      <c r="A164" s="3" t="s">
        <v>10</v>
      </c>
      <c r="B164" s="3" t="s">
        <v>10</v>
      </c>
      <c r="C164" s="4" t="s">
        <v>128</v>
      </c>
      <c r="D164" s="3" t="s">
        <v>10</v>
      </c>
      <c r="E164" s="3" t="s">
        <v>10</v>
      </c>
      <c r="F164" s="3" t="s">
        <v>10</v>
      </c>
      <c r="G164" s="3" t="s">
        <v>10</v>
      </c>
      <c r="H164" s="168"/>
    </row>
    <row r="165" spans="1:8" x14ac:dyDescent="0.2">
      <c r="A165" s="3" t="s">
        <v>10</v>
      </c>
      <c r="B165" s="3" t="s">
        <v>10</v>
      </c>
      <c r="C165" s="4" t="s">
        <v>104</v>
      </c>
      <c r="D165" s="3" t="s">
        <v>10</v>
      </c>
      <c r="E165" s="3" t="s">
        <v>10</v>
      </c>
      <c r="F165" s="14">
        <v>0</v>
      </c>
      <c r="G165" s="15">
        <v>0</v>
      </c>
      <c r="H165" s="168"/>
    </row>
    <row r="166" spans="1:8" x14ac:dyDescent="0.2">
      <c r="A166" s="3" t="s">
        <v>10</v>
      </c>
      <c r="B166" s="3" t="s">
        <v>10</v>
      </c>
      <c r="C166" s="12" t="s">
        <v>10</v>
      </c>
      <c r="D166" s="3" t="s">
        <v>10</v>
      </c>
      <c r="E166" s="3" t="s">
        <v>10</v>
      </c>
      <c r="F166" s="13" t="s">
        <v>10</v>
      </c>
      <c r="G166" s="13" t="s">
        <v>10</v>
      </c>
      <c r="H166" s="168"/>
    </row>
    <row r="167" spans="1:8" x14ac:dyDescent="0.2">
      <c r="A167" s="3" t="s">
        <v>10</v>
      </c>
      <c r="B167" s="3" t="s">
        <v>10</v>
      </c>
      <c r="C167" s="4" t="s">
        <v>129</v>
      </c>
      <c r="D167" s="3" t="s">
        <v>10</v>
      </c>
      <c r="E167" s="3" t="s">
        <v>10</v>
      </c>
      <c r="F167" s="3" t="s">
        <v>10</v>
      </c>
      <c r="G167" s="3" t="s">
        <v>10</v>
      </c>
      <c r="H167" s="168"/>
    </row>
    <row r="168" spans="1:8" x14ac:dyDescent="0.2">
      <c r="A168" s="3" t="s">
        <v>10</v>
      </c>
      <c r="B168" s="3" t="s">
        <v>10</v>
      </c>
      <c r="C168" s="4" t="s">
        <v>130</v>
      </c>
      <c r="D168" s="3" t="s">
        <v>10</v>
      </c>
      <c r="E168" s="3" t="s">
        <v>10</v>
      </c>
      <c r="F168" s="3" t="s">
        <v>10</v>
      </c>
      <c r="G168" s="3" t="s">
        <v>10</v>
      </c>
      <c r="H168" s="168"/>
    </row>
    <row r="169" spans="1:8" x14ac:dyDescent="0.2">
      <c r="A169" s="3" t="s">
        <v>10</v>
      </c>
      <c r="B169" s="3" t="s">
        <v>10</v>
      </c>
      <c r="C169" s="4" t="s">
        <v>104</v>
      </c>
      <c r="D169" s="3" t="s">
        <v>10</v>
      </c>
      <c r="E169" s="3" t="s">
        <v>10</v>
      </c>
      <c r="F169" s="14">
        <v>0</v>
      </c>
      <c r="G169" s="15">
        <v>0</v>
      </c>
      <c r="H169" s="168"/>
    </row>
    <row r="170" spans="1:8" x14ac:dyDescent="0.2">
      <c r="A170" s="3" t="s">
        <v>10</v>
      </c>
      <c r="B170" s="3" t="s">
        <v>10</v>
      </c>
      <c r="C170" s="12" t="s">
        <v>10</v>
      </c>
      <c r="D170" s="3" t="s">
        <v>10</v>
      </c>
      <c r="E170" s="3" t="s">
        <v>10</v>
      </c>
      <c r="F170" s="13" t="s">
        <v>10</v>
      </c>
      <c r="G170" s="13" t="s">
        <v>10</v>
      </c>
      <c r="H170" s="168"/>
    </row>
    <row r="171" spans="1:8" ht="25.5" x14ac:dyDescent="0.2">
      <c r="A171" s="3" t="s">
        <v>10</v>
      </c>
      <c r="B171" s="3" t="s">
        <v>10</v>
      </c>
      <c r="C171" s="4" t="s">
        <v>131</v>
      </c>
      <c r="D171" s="3" t="s">
        <v>10</v>
      </c>
      <c r="E171" s="3" t="s">
        <v>10</v>
      </c>
      <c r="F171" s="13" t="s">
        <v>10</v>
      </c>
      <c r="G171" s="13" t="s">
        <v>10</v>
      </c>
      <c r="H171" s="167"/>
    </row>
    <row r="172" spans="1:8" x14ac:dyDescent="0.2">
      <c r="A172" s="3" t="s">
        <v>10</v>
      </c>
      <c r="B172" s="3" t="s">
        <v>10</v>
      </c>
      <c r="C172" s="4" t="s">
        <v>104</v>
      </c>
      <c r="D172" s="3" t="s">
        <v>10</v>
      </c>
      <c r="E172" s="3" t="s">
        <v>10</v>
      </c>
      <c r="F172" s="14">
        <v>0</v>
      </c>
      <c r="G172" s="15">
        <v>0</v>
      </c>
      <c r="H172" s="167"/>
    </row>
    <row r="173" spans="1:8" x14ac:dyDescent="0.2">
      <c r="A173" s="3" t="s">
        <v>10</v>
      </c>
      <c r="B173" s="3" t="s">
        <v>10</v>
      </c>
      <c r="C173" s="12" t="s">
        <v>10</v>
      </c>
      <c r="D173" s="3" t="s">
        <v>10</v>
      </c>
      <c r="E173" s="3" t="s">
        <v>10</v>
      </c>
      <c r="F173" s="13" t="s">
        <v>10</v>
      </c>
      <c r="G173" s="13" t="s">
        <v>10</v>
      </c>
      <c r="H173" s="167"/>
    </row>
    <row r="174" spans="1:8" x14ac:dyDescent="0.2">
      <c r="A174" s="16" t="s">
        <v>10</v>
      </c>
      <c r="B174" s="6" t="s">
        <v>10</v>
      </c>
      <c r="C174" s="6" t="s">
        <v>702</v>
      </c>
      <c r="D174" s="6" t="s">
        <v>10</v>
      </c>
      <c r="E174" s="16" t="s">
        <v>10</v>
      </c>
      <c r="F174" s="8">
        <v>7080.0590781000001</v>
      </c>
      <c r="G174" s="9">
        <v>7.3287412999999996E-2</v>
      </c>
      <c r="H174" s="167"/>
    </row>
    <row r="175" spans="1:8" x14ac:dyDescent="0.2">
      <c r="A175" s="16" t="s">
        <v>10</v>
      </c>
      <c r="B175" s="6" t="s">
        <v>10</v>
      </c>
      <c r="C175" s="6" t="s">
        <v>779</v>
      </c>
      <c r="D175" s="6" t="s">
        <v>10</v>
      </c>
      <c r="E175" s="16" t="s">
        <v>10</v>
      </c>
      <c r="F175" s="8">
        <v>35.713156069934485</v>
      </c>
      <c r="G175" s="9">
        <v>4.0000000000000002E-4</v>
      </c>
      <c r="H175" s="167"/>
    </row>
    <row r="176" spans="1:8" x14ac:dyDescent="0.2">
      <c r="A176" s="12" t="s">
        <v>10</v>
      </c>
      <c r="B176" s="12" t="s">
        <v>10</v>
      </c>
      <c r="C176" s="4" t="s">
        <v>133</v>
      </c>
      <c r="D176" s="13" t="s">
        <v>10</v>
      </c>
      <c r="E176" s="13" t="s">
        <v>10</v>
      </c>
      <c r="F176" s="10">
        <v>96606.753777470003</v>
      </c>
      <c r="G176" s="11">
        <v>1.0000306496346647</v>
      </c>
      <c r="H176" s="167"/>
    </row>
    <row r="177" spans="1:7" ht="14.1" customHeight="1" x14ac:dyDescent="0.2">
      <c r="A177" s="18" t="s">
        <v>10</v>
      </c>
      <c r="B177" s="18" t="s">
        <v>10</v>
      </c>
      <c r="C177" s="18" t="s">
        <v>10</v>
      </c>
      <c r="D177" s="19" t="s">
        <v>10</v>
      </c>
      <c r="E177" s="19" t="s">
        <v>10</v>
      </c>
      <c r="F177" s="19" t="s">
        <v>10</v>
      </c>
      <c r="G177" s="19" t="s">
        <v>10</v>
      </c>
    </row>
    <row r="178" spans="1:7" ht="17.100000000000001" customHeight="1" x14ac:dyDescent="0.2">
      <c r="A178" s="35" t="s">
        <v>10</v>
      </c>
      <c r="B178" s="222" t="s">
        <v>780</v>
      </c>
      <c r="C178" s="222"/>
      <c r="D178" s="222"/>
      <c r="E178" s="222"/>
      <c r="F178" s="222"/>
      <c r="G178" s="36" t="s">
        <v>10</v>
      </c>
    </row>
    <row r="179" spans="1:7" ht="17.100000000000001" customHeight="1" x14ac:dyDescent="0.2">
      <c r="A179" s="35" t="s">
        <v>10</v>
      </c>
      <c r="B179" s="222" t="s">
        <v>781</v>
      </c>
      <c r="C179" s="222"/>
      <c r="D179" s="222"/>
      <c r="E179" s="222"/>
      <c r="F179" s="222"/>
      <c r="G179" s="36" t="s">
        <v>10</v>
      </c>
    </row>
    <row r="180" spans="1:7" ht="14.1" customHeight="1" x14ac:dyDescent="0.2">
      <c r="A180" s="35" t="s">
        <v>10</v>
      </c>
      <c r="B180" s="222" t="s">
        <v>10</v>
      </c>
      <c r="C180" s="222"/>
      <c r="D180" s="222"/>
      <c r="E180" s="222"/>
      <c r="F180" s="222"/>
      <c r="G180" s="36" t="s">
        <v>10</v>
      </c>
    </row>
    <row r="181" spans="1:7" ht="14.1" customHeight="1" x14ac:dyDescent="0.2">
      <c r="A181" s="35" t="s">
        <v>10</v>
      </c>
      <c r="B181" s="35" t="s">
        <v>10</v>
      </c>
      <c r="C181" s="35" t="s">
        <v>10</v>
      </c>
      <c r="D181" s="36" t="s">
        <v>10</v>
      </c>
      <c r="E181" s="36" t="s">
        <v>10</v>
      </c>
      <c r="F181" s="36" t="s">
        <v>10</v>
      </c>
      <c r="G181" s="36" t="s">
        <v>10</v>
      </c>
    </row>
    <row r="182" spans="1:7" ht="14.1" customHeight="1" x14ac:dyDescent="0.2">
      <c r="A182" s="35" t="s">
        <v>10</v>
      </c>
      <c r="B182" s="206" t="s">
        <v>134</v>
      </c>
      <c r="C182" s="223"/>
      <c r="D182" s="207"/>
      <c r="E182" s="23" t="s">
        <v>10</v>
      </c>
      <c r="F182" s="36" t="s">
        <v>10</v>
      </c>
      <c r="G182" s="36" t="s">
        <v>10</v>
      </c>
    </row>
    <row r="183" spans="1:7" ht="29.1" customHeight="1" x14ac:dyDescent="0.2">
      <c r="A183" s="35" t="s">
        <v>10</v>
      </c>
      <c r="B183" s="213" t="s">
        <v>135</v>
      </c>
      <c r="C183" s="214"/>
      <c r="D183" s="4" t="s">
        <v>136</v>
      </c>
      <c r="E183" s="23" t="s">
        <v>10</v>
      </c>
      <c r="F183" s="36" t="s">
        <v>10</v>
      </c>
      <c r="G183" s="36" t="s">
        <v>10</v>
      </c>
    </row>
    <row r="184" spans="1:7" ht="17.100000000000001" customHeight="1" x14ac:dyDescent="0.2">
      <c r="A184" s="35" t="s">
        <v>10</v>
      </c>
      <c r="B184" s="213" t="s">
        <v>137</v>
      </c>
      <c r="C184" s="214"/>
      <c r="D184" s="4" t="s">
        <v>136</v>
      </c>
      <c r="E184" s="23" t="s">
        <v>10</v>
      </c>
      <c r="F184" s="36" t="s">
        <v>10</v>
      </c>
      <c r="G184" s="36" t="s">
        <v>10</v>
      </c>
    </row>
    <row r="185" spans="1:7" ht="17.100000000000001" customHeight="1" x14ac:dyDescent="0.2">
      <c r="A185" s="35" t="s">
        <v>10</v>
      </c>
      <c r="B185" s="213" t="s">
        <v>138</v>
      </c>
      <c r="C185" s="214"/>
      <c r="D185" s="13" t="s">
        <v>10</v>
      </c>
      <c r="E185" s="23" t="s">
        <v>10</v>
      </c>
      <c r="F185" s="36" t="s">
        <v>10</v>
      </c>
      <c r="G185" s="36" t="s">
        <v>10</v>
      </c>
    </row>
    <row r="186" spans="1:7" s="20" customFormat="1" ht="17.100000000000001" customHeight="1" x14ac:dyDescent="0.2"/>
    <row r="187" spans="1:7" x14ac:dyDescent="0.2">
      <c r="A187" s="24" t="s">
        <v>10</v>
      </c>
      <c r="B187" s="140" t="s">
        <v>10</v>
      </c>
      <c r="C187" s="140" t="s">
        <v>139</v>
      </c>
      <c r="D187" s="140" t="s">
        <v>140</v>
      </c>
      <c r="E187" s="24" t="s">
        <v>10</v>
      </c>
      <c r="F187" s="24" t="s">
        <v>10</v>
      </c>
      <c r="G187" s="24" t="s">
        <v>10</v>
      </c>
    </row>
    <row r="188" spans="1:7" ht="18" customHeight="1" x14ac:dyDescent="0.2">
      <c r="A188" s="37" t="s">
        <v>10</v>
      </c>
      <c r="B188" s="38" t="s">
        <v>141</v>
      </c>
      <c r="C188" s="25" t="s">
        <v>142</v>
      </c>
      <c r="D188" s="25" t="s">
        <v>143</v>
      </c>
      <c r="E188" s="37" t="s">
        <v>10</v>
      </c>
      <c r="F188" s="37" t="s">
        <v>10</v>
      </c>
      <c r="G188" s="37" t="s">
        <v>10</v>
      </c>
    </row>
    <row r="189" spans="1:7" ht="17.100000000000001" customHeight="1" x14ac:dyDescent="0.2">
      <c r="A189" s="37" t="s">
        <v>10</v>
      </c>
      <c r="B189" s="6" t="s">
        <v>144</v>
      </c>
      <c r="C189" s="39">
        <v>13.415900000000001</v>
      </c>
      <c r="D189" s="39">
        <v>13.8725</v>
      </c>
      <c r="E189" s="37" t="s">
        <v>10</v>
      </c>
      <c r="F189" s="40" t="s">
        <v>10</v>
      </c>
      <c r="G189" s="41" t="s">
        <v>10</v>
      </c>
    </row>
    <row r="190" spans="1:7" ht="17.100000000000001" customHeight="1" x14ac:dyDescent="0.2">
      <c r="A190" s="37" t="s">
        <v>10</v>
      </c>
      <c r="B190" s="6" t="s">
        <v>917</v>
      </c>
      <c r="C190" s="39">
        <v>13.416700000000001</v>
      </c>
      <c r="D190" s="39">
        <v>13.873200000000001</v>
      </c>
      <c r="E190" s="37" t="s">
        <v>10</v>
      </c>
      <c r="F190" s="40" t="s">
        <v>10</v>
      </c>
      <c r="G190" s="41" t="s">
        <v>10</v>
      </c>
    </row>
    <row r="191" spans="1:7" ht="17.100000000000001" customHeight="1" x14ac:dyDescent="0.2">
      <c r="A191" s="37" t="s">
        <v>10</v>
      </c>
      <c r="B191" s="6" t="s">
        <v>145</v>
      </c>
      <c r="C191" s="39">
        <v>13.123799999999999</v>
      </c>
      <c r="D191" s="39">
        <v>13.5486</v>
      </c>
      <c r="E191" s="37" t="s">
        <v>10</v>
      </c>
      <c r="F191" s="40" t="s">
        <v>10</v>
      </c>
      <c r="G191" s="41" t="s">
        <v>10</v>
      </c>
    </row>
    <row r="192" spans="1:7" ht="17.100000000000001" customHeight="1" x14ac:dyDescent="0.2">
      <c r="A192" s="37" t="s">
        <v>10</v>
      </c>
      <c r="B192" s="6" t="s">
        <v>918</v>
      </c>
      <c r="C192" s="39">
        <v>13.123699999999999</v>
      </c>
      <c r="D192" s="39">
        <v>13.5486</v>
      </c>
      <c r="E192" s="37" t="s">
        <v>10</v>
      </c>
      <c r="F192" s="40" t="s">
        <v>10</v>
      </c>
      <c r="G192" s="41" t="s">
        <v>10</v>
      </c>
    </row>
    <row r="193" spans="1:7" ht="14.1" customHeight="1" x14ac:dyDescent="0.2">
      <c r="A193" s="37" t="s">
        <v>10</v>
      </c>
      <c r="B193" s="37" t="s">
        <v>10</v>
      </c>
      <c r="C193" s="37" t="s">
        <v>10</v>
      </c>
      <c r="D193" s="37" t="s">
        <v>10</v>
      </c>
      <c r="E193" s="37" t="s">
        <v>10</v>
      </c>
      <c r="F193" s="37" t="s">
        <v>10</v>
      </c>
      <c r="G193" s="37" t="s">
        <v>10</v>
      </c>
    </row>
    <row r="194" spans="1:7" ht="17.100000000000001" customHeight="1" x14ac:dyDescent="0.2">
      <c r="A194" s="37" t="s">
        <v>10</v>
      </c>
      <c r="B194" s="213" t="s">
        <v>999</v>
      </c>
      <c r="C194" s="214"/>
      <c r="D194" s="4" t="s">
        <v>136</v>
      </c>
      <c r="E194" s="37" t="s">
        <v>10</v>
      </c>
      <c r="F194" s="37" t="s">
        <v>10</v>
      </c>
      <c r="G194" s="37" t="s">
        <v>10</v>
      </c>
    </row>
    <row r="195" spans="1:7" ht="18" customHeight="1" x14ac:dyDescent="0.2">
      <c r="A195" s="37" t="s">
        <v>10</v>
      </c>
      <c r="B195" s="42"/>
      <c r="C195" s="42"/>
      <c r="D195" s="42"/>
      <c r="E195" s="37" t="s">
        <v>10</v>
      </c>
      <c r="F195" s="37" t="s">
        <v>10</v>
      </c>
      <c r="G195" s="37" t="s">
        <v>10</v>
      </c>
    </row>
    <row r="196" spans="1:7" s="175" customFormat="1" x14ac:dyDescent="0.2">
      <c r="B196" s="221" t="s">
        <v>919</v>
      </c>
      <c r="C196" s="221"/>
      <c r="D196" s="221"/>
      <c r="E196" s="221"/>
      <c r="F196" s="221"/>
    </row>
    <row r="197" spans="1:7" ht="14.1" customHeight="1" x14ac:dyDescent="0.2">
      <c r="A197" s="37" t="s">
        <v>10</v>
      </c>
      <c r="B197" s="40" t="s">
        <v>10</v>
      </c>
      <c r="C197" s="40" t="s">
        <v>10</v>
      </c>
      <c r="D197" s="37" t="s">
        <v>10</v>
      </c>
      <c r="E197" s="37" t="s">
        <v>10</v>
      </c>
      <c r="F197" s="37" t="s">
        <v>10</v>
      </c>
      <c r="G197" s="37" t="s">
        <v>10</v>
      </c>
    </row>
    <row r="198" spans="1:7" ht="29.1" customHeight="1" x14ac:dyDescent="0.2">
      <c r="A198" s="37" t="s">
        <v>10</v>
      </c>
      <c r="B198" s="213" t="s">
        <v>146</v>
      </c>
      <c r="C198" s="214"/>
      <c r="D198" s="4" t="s">
        <v>981</v>
      </c>
      <c r="E198" s="43" t="s">
        <v>10</v>
      </c>
      <c r="F198" s="37" t="s">
        <v>10</v>
      </c>
      <c r="G198" s="37" t="s">
        <v>10</v>
      </c>
    </row>
    <row r="199" spans="1:7" ht="29.1" customHeight="1" x14ac:dyDescent="0.2">
      <c r="A199" s="37" t="s">
        <v>10</v>
      </c>
      <c r="B199" s="213" t="s">
        <v>147</v>
      </c>
      <c r="C199" s="214"/>
      <c r="D199" s="4" t="s">
        <v>136</v>
      </c>
      <c r="E199" s="43" t="s">
        <v>10</v>
      </c>
      <c r="F199" s="37" t="s">
        <v>10</v>
      </c>
      <c r="G199" s="37" t="s">
        <v>10</v>
      </c>
    </row>
    <row r="200" spans="1:7" ht="17.100000000000001" customHeight="1" x14ac:dyDescent="0.2">
      <c r="A200" s="37" t="s">
        <v>10</v>
      </c>
      <c r="B200" s="215" t="s">
        <v>982</v>
      </c>
      <c r="C200" s="216"/>
      <c r="D200" s="44">
        <v>1.94</v>
      </c>
      <c r="E200" s="43" t="s">
        <v>10</v>
      </c>
      <c r="F200" s="37" t="s">
        <v>10</v>
      </c>
      <c r="G200" s="37" t="s">
        <v>10</v>
      </c>
    </row>
    <row r="201" spans="1:7" ht="17.100000000000001" customHeight="1" x14ac:dyDescent="0.2">
      <c r="A201" s="37" t="s">
        <v>10</v>
      </c>
      <c r="B201" s="215" t="s">
        <v>983</v>
      </c>
      <c r="C201" s="216"/>
      <c r="D201" s="44">
        <v>1.83</v>
      </c>
      <c r="E201" s="43" t="s">
        <v>10</v>
      </c>
      <c r="F201" s="37" t="s">
        <v>10</v>
      </c>
      <c r="G201" s="37" t="s">
        <v>10</v>
      </c>
    </row>
    <row r="202" spans="1:7" ht="17.100000000000001" customHeight="1" x14ac:dyDescent="0.2">
      <c r="A202" s="37" t="s">
        <v>10</v>
      </c>
      <c r="B202" s="213" t="s">
        <v>783</v>
      </c>
      <c r="C202" s="214"/>
      <c r="D202" s="4" t="s">
        <v>136</v>
      </c>
      <c r="E202" s="43" t="s">
        <v>10</v>
      </c>
      <c r="F202" s="37" t="s">
        <v>10</v>
      </c>
      <c r="G202" s="37" t="s">
        <v>10</v>
      </c>
    </row>
    <row r="203" spans="1:7" ht="17.100000000000001" customHeight="1" x14ac:dyDescent="0.2">
      <c r="A203" s="37" t="s">
        <v>10</v>
      </c>
      <c r="B203" s="213" t="s">
        <v>784</v>
      </c>
      <c r="C203" s="214"/>
      <c r="D203" s="30">
        <v>3.3835209600228038</v>
      </c>
      <c r="E203" s="37" t="s">
        <v>10</v>
      </c>
      <c r="F203" s="40" t="s">
        <v>10</v>
      </c>
      <c r="G203" s="41" t="s">
        <v>10</v>
      </c>
    </row>
    <row r="204" spans="1:7" ht="11.1" customHeight="1" x14ac:dyDescent="0.2">
      <c r="A204" s="42"/>
      <c r="B204" s="42"/>
      <c r="C204" s="42"/>
      <c r="D204" s="42"/>
      <c r="E204" s="42"/>
      <c r="F204" s="42"/>
      <c r="G204" s="42"/>
    </row>
  </sheetData>
  <mergeCells count="18">
    <mergeCell ref="A1:H1"/>
    <mergeCell ref="A2:H2"/>
    <mergeCell ref="A3:H3"/>
    <mergeCell ref="B196:F196"/>
    <mergeCell ref="B198:C198"/>
    <mergeCell ref="B178:F178"/>
    <mergeCell ref="B179:F179"/>
    <mergeCell ref="B180:F180"/>
    <mergeCell ref="B182:D182"/>
    <mergeCell ref="B183:C183"/>
    <mergeCell ref="B184:C184"/>
    <mergeCell ref="B185:C185"/>
    <mergeCell ref="B194:C194"/>
    <mergeCell ref="B199:C199"/>
    <mergeCell ref="B200:C200"/>
    <mergeCell ref="B201:C201"/>
    <mergeCell ref="B202:C202"/>
    <mergeCell ref="B203:C20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2D7D-99C7-4CD5-A18A-DA0C4CA24625}">
  <sheetPr>
    <outlinePr summaryBelow="0" summaryRight="0"/>
  </sheetPr>
  <dimension ref="A1:H174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255" max="255" width="6.85546875" customWidth="1"/>
    <col min="256" max="256" width="20.5703125" customWidth="1"/>
    <col min="257" max="257" width="34.28515625" customWidth="1"/>
    <col min="258" max="258" width="17.85546875" customWidth="1"/>
    <col min="259" max="260" width="19.140625" customWidth="1"/>
    <col min="261" max="261" width="16.42578125" customWidth="1"/>
    <col min="511" max="511" width="6.85546875" customWidth="1"/>
    <col min="512" max="512" width="20.5703125" customWidth="1"/>
    <col min="513" max="513" width="34.28515625" customWidth="1"/>
    <col min="514" max="514" width="17.85546875" customWidth="1"/>
    <col min="515" max="516" width="19.140625" customWidth="1"/>
    <col min="517" max="517" width="16.42578125" customWidth="1"/>
    <col min="767" max="767" width="6.85546875" customWidth="1"/>
    <col min="768" max="768" width="20.5703125" customWidth="1"/>
    <col min="769" max="769" width="34.28515625" customWidth="1"/>
    <col min="770" max="770" width="17.85546875" customWidth="1"/>
    <col min="771" max="772" width="19.140625" customWidth="1"/>
    <col min="773" max="773" width="16.42578125" customWidth="1"/>
    <col min="1023" max="1023" width="6.85546875" customWidth="1"/>
    <col min="1024" max="1024" width="20.5703125" customWidth="1"/>
    <col min="1025" max="1025" width="34.28515625" customWidth="1"/>
    <col min="1026" max="1026" width="17.85546875" customWidth="1"/>
    <col min="1027" max="1028" width="19.140625" customWidth="1"/>
    <col min="1029" max="1029" width="16.42578125" customWidth="1"/>
    <col min="1279" max="1279" width="6.85546875" customWidth="1"/>
    <col min="1280" max="1280" width="20.5703125" customWidth="1"/>
    <col min="1281" max="1281" width="34.28515625" customWidth="1"/>
    <col min="1282" max="1282" width="17.85546875" customWidth="1"/>
    <col min="1283" max="1284" width="19.140625" customWidth="1"/>
    <col min="1285" max="1285" width="16.42578125" customWidth="1"/>
    <col min="1535" max="1535" width="6.85546875" customWidth="1"/>
    <col min="1536" max="1536" width="20.5703125" customWidth="1"/>
    <col min="1537" max="1537" width="34.28515625" customWidth="1"/>
    <col min="1538" max="1538" width="17.85546875" customWidth="1"/>
    <col min="1539" max="1540" width="19.140625" customWidth="1"/>
    <col min="1541" max="1541" width="16.42578125" customWidth="1"/>
    <col min="1791" max="1791" width="6.85546875" customWidth="1"/>
    <col min="1792" max="1792" width="20.5703125" customWidth="1"/>
    <col min="1793" max="1793" width="34.28515625" customWidth="1"/>
    <col min="1794" max="1794" width="17.85546875" customWidth="1"/>
    <col min="1795" max="1796" width="19.140625" customWidth="1"/>
    <col min="1797" max="1797" width="16.42578125" customWidth="1"/>
    <col min="2047" max="2047" width="6.85546875" customWidth="1"/>
    <col min="2048" max="2048" width="20.5703125" customWidth="1"/>
    <col min="2049" max="2049" width="34.28515625" customWidth="1"/>
    <col min="2050" max="2050" width="17.85546875" customWidth="1"/>
    <col min="2051" max="2052" width="19.140625" customWidth="1"/>
    <col min="2053" max="2053" width="16.42578125" customWidth="1"/>
    <col min="2303" max="2303" width="6.85546875" customWidth="1"/>
    <col min="2304" max="2304" width="20.5703125" customWidth="1"/>
    <col min="2305" max="2305" width="34.28515625" customWidth="1"/>
    <col min="2306" max="2306" width="17.85546875" customWidth="1"/>
    <col min="2307" max="2308" width="19.140625" customWidth="1"/>
    <col min="2309" max="2309" width="16.42578125" customWidth="1"/>
    <col min="2559" max="2559" width="6.85546875" customWidth="1"/>
    <col min="2560" max="2560" width="20.5703125" customWidth="1"/>
    <col min="2561" max="2561" width="34.28515625" customWidth="1"/>
    <col min="2562" max="2562" width="17.85546875" customWidth="1"/>
    <col min="2563" max="2564" width="19.140625" customWidth="1"/>
    <col min="2565" max="2565" width="16.42578125" customWidth="1"/>
    <col min="2815" max="2815" width="6.85546875" customWidth="1"/>
    <col min="2816" max="2816" width="20.5703125" customWidth="1"/>
    <col min="2817" max="2817" width="34.28515625" customWidth="1"/>
    <col min="2818" max="2818" width="17.85546875" customWidth="1"/>
    <col min="2819" max="2820" width="19.140625" customWidth="1"/>
    <col min="2821" max="2821" width="16.42578125" customWidth="1"/>
    <col min="3071" max="3071" width="6.85546875" customWidth="1"/>
    <col min="3072" max="3072" width="20.5703125" customWidth="1"/>
    <col min="3073" max="3073" width="34.28515625" customWidth="1"/>
    <col min="3074" max="3074" width="17.85546875" customWidth="1"/>
    <col min="3075" max="3076" width="19.140625" customWidth="1"/>
    <col min="3077" max="3077" width="16.42578125" customWidth="1"/>
    <col min="3327" max="3327" width="6.85546875" customWidth="1"/>
    <col min="3328" max="3328" width="20.5703125" customWidth="1"/>
    <col min="3329" max="3329" width="34.28515625" customWidth="1"/>
    <col min="3330" max="3330" width="17.85546875" customWidth="1"/>
    <col min="3331" max="3332" width="19.140625" customWidth="1"/>
    <col min="3333" max="3333" width="16.42578125" customWidth="1"/>
    <col min="3583" max="3583" width="6.85546875" customWidth="1"/>
    <col min="3584" max="3584" width="20.5703125" customWidth="1"/>
    <col min="3585" max="3585" width="34.28515625" customWidth="1"/>
    <col min="3586" max="3586" width="17.85546875" customWidth="1"/>
    <col min="3587" max="3588" width="19.140625" customWidth="1"/>
    <col min="3589" max="3589" width="16.42578125" customWidth="1"/>
    <col min="3839" max="3839" width="6.85546875" customWidth="1"/>
    <col min="3840" max="3840" width="20.5703125" customWidth="1"/>
    <col min="3841" max="3841" width="34.28515625" customWidth="1"/>
    <col min="3842" max="3842" width="17.85546875" customWidth="1"/>
    <col min="3843" max="3844" width="19.140625" customWidth="1"/>
    <col min="3845" max="3845" width="16.42578125" customWidth="1"/>
    <col min="4095" max="4095" width="6.85546875" customWidth="1"/>
    <col min="4096" max="4096" width="20.5703125" customWidth="1"/>
    <col min="4097" max="4097" width="34.28515625" customWidth="1"/>
    <col min="4098" max="4098" width="17.85546875" customWidth="1"/>
    <col min="4099" max="4100" width="19.140625" customWidth="1"/>
    <col min="4101" max="4101" width="16.42578125" customWidth="1"/>
    <col min="4351" max="4351" width="6.85546875" customWidth="1"/>
    <col min="4352" max="4352" width="20.5703125" customWidth="1"/>
    <col min="4353" max="4353" width="34.28515625" customWidth="1"/>
    <col min="4354" max="4354" width="17.85546875" customWidth="1"/>
    <col min="4355" max="4356" width="19.140625" customWidth="1"/>
    <col min="4357" max="4357" width="16.42578125" customWidth="1"/>
    <col min="4607" max="4607" width="6.85546875" customWidth="1"/>
    <col min="4608" max="4608" width="20.5703125" customWidth="1"/>
    <col min="4609" max="4609" width="34.28515625" customWidth="1"/>
    <col min="4610" max="4610" width="17.85546875" customWidth="1"/>
    <col min="4611" max="4612" width="19.140625" customWidth="1"/>
    <col min="4613" max="4613" width="16.42578125" customWidth="1"/>
    <col min="4863" max="4863" width="6.85546875" customWidth="1"/>
    <col min="4864" max="4864" width="20.5703125" customWidth="1"/>
    <col min="4865" max="4865" width="34.28515625" customWidth="1"/>
    <col min="4866" max="4866" width="17.85546875" customWidth="1"/>
    <col min="4867" max="4868" width="19.140625" customWidth="1"/>
    <col min="4869" max="4869" width="16.42578125" customWidth="1"/>
    <col min="5119" max="5119" width="6.85546875" customWidth="1"/>
    <col min="5120" max="5120" width="20.5703125" customWidth="1"/>
    <col min="5121" max="5121" width="34.28515625" customWidth="1"/>
    <col min="5122" max="5122" width="17.85546875" customWidth="1"/>
    <col min="5123" max="5124" width="19.140625" customWidth="1"/>
    <col min="5125" max="5125" width="16.42578125" customWidth="1"/>
    <col min="5375" max="5375" width="6.85546875" customWidth="1"/>
    <col min="5376" max="5376" width="20.5703125" customWidth="1"/>
    <col min="5377" max="5377" width="34.28515625" customWidth="1"/>
    <col min="5378" max="5378" width="17.85546875" customWidth="1"/>
    <col min="5379" max="5380" width="19.140625" customWidth="1"/>
    <col min="5381" max="5381" width="16.42578125" customWidth="1"/>
    <col min="5631" max="5631" width="6.85546875" customWidth="1"/>
    <col min="5632" max="5632" width="20.5703125" customWidth="1"/>
    <col min="5633" max="5633" width="34.28515625" customWidth="1"/>
    <col min="5634" max="5634" width="17.85546875" customWidth="1"/>
    <col min="5635" max="5636" width="19.140625" customWidth="1"/>
    <col min="5637" max="5637" width="16.42578125" customWidth="1"/>
    <col min="5887" max="5887" width="6.85546875" customWidth="1"/>
    <col min="5888" max="5888" width="20.5703125" customWidth="1"/>
    <col min="5889" max="5889" width="34.28515625" customWidth="1"/>
    <col min="5890" max="5890" width="17.85546875" customWidth="1"/>
    <col min="5891" max="5892" width="19.140625" customWidth="1"/>
    <col min="5893" max="5893" width="16.42578125" customWidth="1"/>
    <col min="6143" max="6143" width="6.85546875" customWidth="1"/>
    <col min="6144" max="6144" width="20.5703125" customWidth="1"/>
    <col min="6145" max="6145" width="34.28515625" customWidth="1"/>
    <col min="6146" max="6146" width="17.85546875" customWidth="1"/>
    <col min="6147" max="6148" width="19.140625" customWidth="1"/>
    <col min="6149" max="6149" width="16.42578125" customWidth="1"/>
    <col min="6399" max="6399" width="6.85546875" customWidth="1"/>
    <col min="6400" max="6400" width="20.5703125" customWidth="1"/>
    <col min="6401" max="6401" width="34.28515625" customWidth="1"/>
    <col min="6402" max="6402" width="17.85546875" customWidth="1"/>
    <col min="6403" max="6404" width="19.140625" customWidth="1"/>
    <col min="6405" max="6405" width="16.42578125" customWidth="1"/>
    <col min="6655" max="6655" width="6.85546875" customWidth="1"/>
    <col min="6656" max="6656" width="20.5703125" customWidth="1"/>
    <col min="6657" max="6657" width="34.28515625" customWidth="1"/>
    <col min="6658" max="6658" width="17.85546875" customWidth="1"/>
    <col min="6659" max="6660" width="19.140625" customWidth="1"/>
    <col min="6661" max="6661" width="16.42578125" customWidth="1"/>
    <col min="6911" max="6911" width="6.85546875" customWidth="1"/>
    <col min="6912" max="6912" width="20.5703125" customWidth="1"/>
    <col min="6913" max="6913" width="34.28515625" customWidth="1"/>
    <col min="6914" max="6914" width="17.85546875" customWidth="1"/>
    <col min="6915" max="6916" width="19.140625" customWidth="1"/>
    <col min="6917" max="6917" width="16.42578125" customWidth="1"/>
    <col min="7167" max="7167" width="6.85546875" customWidth="1"/>
    <col min="7168" max="7168" width="20.5703125" customWidth="1"/>
    <col min="7169" max="7169" width="34.28515625" customWidth="1"/>
    <col min="7170" max="7170" width="17.85546875" customWidth="1"/>
    <col min="7171" max="7172" width="19.140625" customWidth="1"/>
    <col min="7173" max="7173" width="16.42578125" customWidth="1"/>
    <col min="7423" max="7423" width="6.85546875" customWidth="1"/>
    <col min="7424" max="7424" width="20.5703125" customWidth="1"/>
    <col min="7425" max="7425" width="34.28515625" customWidth="1"/>
    <col min="7426" max="7426" width="17.85546875" customWidth="1"/>
    <col min="7427" max="7428" width="19.140625" customWidth="1"/>
    <col min="7429" max="7429" width="16.42578125" customWidth="1"/>
    <col min="7679" max="7679" width="6.85546875" customWidth="1"/>
    <col min="7680" max="7680" width="20.5703125" customWidth="1"/>
    <col min="7681" max="7681" width="34.28515625" customWidth="1"/>
    <col min="7682" max="7682" width="17.85546875" customWidth="1"/>
    <col min="7683" max="7684" width="19.140625" customWidth="1"/>
    <col min="7685" max="7685" width="16.42578125" customWidth="1"/>
    <col min="7935" max="7935" width="6.85546875" customWidth="1"/>
    <col min="7936" max="7936" width="20.5703125" customWidth="1"/>
    <col min="7937" max="7937" width="34.28515625" customWidth="1"/>
    <col min="7938" max="7938" width="17.85546875" customWidth="1"/>
    <col min="7939" max="7940" width="19.140625" customWidth="1"/>
    <col min="7941" max="7941" width="16.42578125" customWidth="1"/>
    <col min="8191" max="8191" width="6.85546875" customWidth="1"/>
    <col min="8192" max="8192" width="20.5703125" customWidth="1"/>
    <col min="8193" max="8193" width="34.28515625" customWidth="1"/>
    <col min="8194" max="8194" width="17.85546875" customWidth="1"/>
    <col min="8195" max="8196" width="19.140625" customWidth="1"/>
    <col min="8197" max="8197" width="16.42578125" customWidth="1"/>
    <col min="8447" max="8447" width="6.85546875" customWidth="1"/>
    <col min="8448" max="8448" width="20.5703125" customWidth="1"/>
    <col min="8449" max="8449" width="34.28515625" customWidth="1"/>
    <col min="8450" max="8450" width="17.85546875" customWidth="1"/>
    <col min="8451" max="8452" width="19.140625" customWidth="1"/>
    <col min="8453" max="8453" width="16.42578125" customWidth="1"/>
    <col min="8703" max="8703" width="6.85546875" customWidth="1"/>
    <col min="8704" max="8704" width="20.5703125" customWidth="1"/>
    <col min="8705" max="8705" width="34.28515625" customWidth="1"/>
    <col min="8706" max="8706" width="17.85546875" customWidth="1"/>
    <col min="8707" max="8708" width="19.140625" customWidth="1"/>
    <col min="8709" max="8709" width="16.42578125" customWidth="1"/>
    <col min="8959" max="8959" width="6.85546875" customWidth="1"/>
    <col min="8960" max="8960" width="20.5703125" customWidth="1"/>
    <col min="8961" max="8961" width="34.28515625" customWidth="1"/>
    <col min="8962" max="8962" width="17.85546875" customWidth="1"/>
    <col min="8963" max="8964" width="19.140625" customWidth="1"/>
    <col min="8965" max="8965" width="16.42578125" customWidth="1"/>
    <col min="9215" max="9215" width="6.85546875" customWidth="1"/>
    <col min="9216" max="9216" width="20.5703125" customWidth="1"/>
    <col min="9217" max="9217" width="34.28515625" customWidth="1"/>
    <col min="9218" max="9218" width="17.85546875" customWidth="1"/>
    <col min="9219" max="9220" width="19.140625" customWidth="1"/>
    <col min="9221" max="9221" width="16.42578125" customWidth="1"/>
    <col min="9471" max="9471" width="6.85546875" customWidth="1"/>
    <col min="9472" max="9472" width="20.5703125" customWidth="1"/>
    <col min="9473" max="9473" width="34.28515625" customWidth="1"/>
    <col min="9474" max="9474" width="17.85546875" customWidth="1"/>
    <col min="9475" max="9476" width="19.140625" customWidth="1"/>
    <col min="9477" max="9477" width="16.42578125" customWidth="1"/>
    <col min="9727" max="9727" width="6.85546875" customWidth="1"/>
    <col min="9728" max="9728" width="20.5703125" customWidth="1"/>
    <col min="9729" max="9729" width="34.28515625" customWidth="1"/>
    <col min="9730" max="9730" width="17.85546875" customWidth="1"/>
    <col min="9731" max="9732" width="19.140625" customWidth="1"/>
    <col min="9733" max="9733" width="16.42578125" customWidth="1"/>
    <col min="9983" max="9983" width="6.85546875" customWidth="1"/>
    <col min="9984" max="9984" width="20.5703125" customWidth="1"/>
    <col min="9985" max="9985" width="34.28515625" customWidth="1"/>
    <col min="9986" max="9986" width="17.85546875" customWidth="1"/>
    <col min="9987" max="9988" width="19.140625" customWidth="1"/>
    <col min="9989" max="9989" width="16.42578125" customWidth="1"/>
    <col min="10239" max="10239" width="6.85546875" customWidth="1"/>
    <col min="10240" max="10240" width="20.5703125" customWidth="1"/>
    <col min="10241" max="10241" width="34.28515625" customWidth="1"/>
    <col min="10242" max="10242" width="17.85546875" customWidth="1"/>
    <col min="10243" max="10244" width="19.140625" customWidth="1"/>
    <col min="10245" max="10245" width="16.42578125" customWidth="1"/>
    <col min="10495" max="10495" width="6.85546875" customWidth="1"/>
    <col min="10496" max="10496" width="20.5703125" customWidth="1"/>
    <col min="10497" max="10497" width="34.28515625" customWidth="1"/>
    <col min="10498" max="10498" width="17.85546875" customWidth="1"/>
    <col min="10499" max="10500" width="19.140625" customWidth="1"/>
    <col min="10501" max="10501" width="16.42578125" customWidth="1"/>
    <col min="10751" max="10751" width="6.85546875" customWidth="1"/>
    <col min="10752" max="10752" width="20.5703125" customWidth="1"/>
    <col min="10753" max="10753" width="34.28515625" customWidth="1"/>
    <col min="10754" max="10754" width="17.85546875" customWidth="1"/>
    <col min="10755" max="10756" width="19.140625" customWidth="1"/>
    <col min="10757" max="10757" width="16.42578125" customWidth="1"/>
    <col min="11007" max="11007" width="6.85546875" customWidth="1"/>
    <col min="11008" max="11008" width="20.5703125" customWidth="1"/>
    <col min="11009" max="11009" width="34.28515625" customWidth="1"/>
    <col min="11010" max="11010" width="17.85546875" customWidth="1"/>
    <col min="11011" max="11012" width="19.140625" customWidth="1"/>
    <col min="11013" max="11013" width="16.42578125" customWidth="1"/>
    <col min="11263" max="11263" width="6.85546875" customWidth="1"/>
    <col min="11264" max="11264" width="20.5703125" customWidth="1"/>
    <col min="11265" max="11265" width="34.28515625" customWidth="1"/>
    <col min="11266" max="11266" width="17.85546875" customWidth="1"/>
    <col min="11267" max="11268" width="19.140625" customWidth="1"/>
    <col min="11269" max="11269" width="16.42578125" customWidth="1"/>
    <col min="11519" max="11519" width="6.85546875" customWidth="1"/>
    <col min="11520" max="11520" width="20.5703125" customWidth="1"/>
    <col min="11521" max="11521" width="34.28515625" customWidth="1"/>
    <col min="11522" max="11522" width="17.85546875" customWidth="1"/>
    <col min="11523" max="11524" width="19.140625" customWidth="1"/>
    <col min="11525" max="11525" width="16.42578125" customWidth="1"/>
    <col min="11775" max="11775" width="6.85546875" customWidth="1"/>
    <col min="11776" max="11776" width="20.5703125" customWidth="1"/>
    <col min="11777" max="11777" width="34.28515625" customWidth="1"/>
    <col min="11778" max="11778" width="17.85546875" customWidth="1"/>
    <col min="11779" max="11780" width="19.140625" customWidth="1"/>
    <col min="11781" max="11781" width="16.42578125" customWidth="1"/>
    <col min="12031" max="12031" width="6.85546875" customWidth="1"/>
    <col min="12032" max="12032" width="20.5703125" customWidth="1"/>
    <col min="12033" max="12033" width="34.28515625" customWidth="1"/>
    <col min="12034" max="12034" width="17.85546875" customWidth="1"/>
    <col min="12035" max="12036" width="19.140625" customWidth="1"/>
    <col min="12037" max="12037" width="16.42578125" customWidth="1"/>
    <col min="12287" max="12287" width="6.85546875" customWidth="1"/>
    <col min="12288" max="12288" width="20.5703125" customWidth="1"/>
    <col min="12289" max="12289" width="34.28515625" customWidth="1"/>
    <col min="12290" max="12290" width="17.85546875" customWidth="1"/>
    <col min="12291" max="12292" width="19.140625" customWidth="1"/>
    <col min="12293" max="12293" width="16.42578125" customWidth="1"/>
    <col min="12543" max="12543" width="6.85546875" customWidth="1"/>
    <col min="12544" max="12544" width="20.5703125" customWidth="1"/>
    <col min="12545" max="12545" width="34.28515625" customWidth="1"/>
    <col min="12546" max="12546" width="17.85546875" customWidth="1"/>
    <col min="12547" max="12548" width="19.140625" customWidth="1"/>
    <col min="12549" max="12549" width="16.42578125" customWidth="1"/>
    <col min="12799" max="12799" width="6.85546875" customWidth="1"/>
    <col min="12800" max="12800" width="20.5703125" customWidth="1"/>
    <col min="12801" max="12801" width="34.28515625" customWidth="1"/>
    <col min="12802" max="12802" width="17.85546875" customWidth="1"/>
    <col min="12803" max="12804" width="19.140625" customWidth="1"/>
    <col min="12805" max="12805" width="16.42578125" customWidth="1"/>
    <col min="13055" max="13055" width="6.85546875" customWidth="1"/>
    <col min="13056" max="13056" width="20.5703125" customWidth="1"/>
    <col min="13057" max="13057" width="34.28515625" customWidth="1"/>
    <col min="13058" max="13058" width="17.85546875" customWidth="1"/>
    <col min="13059" max="13060" width="19.140625" customWidth="1"/>
    <col min="13061" max="13061" width="16.42578125" customWidth="1"/>
    <col min="13311" max="13311" width="6.85546875" customWidth="1"/>
    <col min="13312" max="13312" width="20.5703125" customWidth="1"/>
    <col min="13313" max="13313" width="34.28515625" customWidth="1"/>
    <col min="13314" max="13314" width="17.85546875" customWidth="1"/>
    <col min="13315" max="13316" width="19.140625" customWidth="1"/>
    <col min="13317" max="13317" width="16.42578125" customWidth="1"/>
    <col min="13567" max="13567" width="6.85546875" customWidth="1"/>
    <col min="13568" max="13568" width="20.5703125" customWidth="1"/>
    <col min="13569" max="13569" width="34.28515625" customWidth="1"/>
    <col min="13570" max="13570" width="17.85546875" customWidth="1"/>
    <col min="13571" max="13572" width="19.140625" customWidth="1"/>
    <col min="13573" max="13573" width="16.42578125" customWidth="1"/>
    <col min="13823" max="13823" width="6.85546875" customWidth="1"/>
    <col min="13824" max="13824" width="20.5703125" customWidth="1"/>
    <col min="13825" max="13825" width="34.28515625" customWidth="1"/>
    <col min="13826" max="13826" width="17.85546875" customWidth="1"/>
    <col min="13827" max="13828" width="19.140625" customWidth="1"/>
    <col min="13829" max="13829" width="16.42578125" customWidth="1"/>
    <col min="14079" max="14079" width="6.85546875" customWidth="1"/>
    <col min="14080" max="14080" width="20.5703125" customWidth="1"/>
    <col min="14081" max="14081" width="34.28515625" customWidth="1"/>
    <col min="14082" max="14082" width="17.85546875" customWidth="1"/>
    <col min="14083" max="14084" width="19.140625" customWidth="1"/>
    <col min="14085" max="14085" width="16.42578125" customWidth="1"/>
    <col min="14335" max="14335" width="6.85546875" customWidth="1"/>
    <col min="14336" max="14336" width="20.5703125" customWidth="1"/>
    <col min="14337" max="14337" width="34.28515625" customWidth="1"/>
    <col min="14338" max="14338" width="17.85546875" customWidth="1"/>
    <col min="14339" max="14340" width="19.140625" customWidth="1"/>
    <col min="14341" max="14341" width="16.42578125" customWidth="1"/>
    <col min="14591" max="14591" width="6.85546875" customWidth="1"/>
    <col min="14592" max="14592" width="20.5703125" customWidth="1"/>
    <col min="14593" max="14593" width="34.28515625" customWidth="1"/>
    <col min="14594" max="14594" width="17.85546875" customWidth="1"/>
    <col min="14595" max="14596" width="19.140625" customWidth="1"/>
    <col min="14597" max="14597" width="16.42578125" customWidth="1"/>
    <col min="14847" max="14847" width="6.85546875" customWidth="1"/>
    <col min="14848" max="14848" width="20.5703125" customWidth="1"/>
    <col min="14849" max="14849" width="34.28515625" customWidth="1"/>
    <col min="14850" max="14850" width="17.85546875" customWidth="1"/>
    <col min="14851" max="14852" width="19.140625" customWidth="1"/>
    <col min="14853" max="14853" width="16.42578125" customWidth="1"/>
    <col min="15103" max="15103" width="6.85546875" customWidth="1"/>
    <col min="15104" max="15104" width="20.5703125" customWidth="1"/>
    <col min="15105" max="15105" width="34.28515625" customWidth="1"/>
    <col min="15106" max="15106" width="17.85546875" customWidth="1"/>
    <col min="15107" max="15108" width="19.140625" customWidth="1"/>
    <col min="15109" max="15109" width="16.42578125" customWidth="1"/>
    <col min="15359" max="15359" width="6.85546875" customWidth="1"/>
    <col min="15360" max="15360" width="20.5703125" customWidth="1"/>
    <col min="15361" max="15361" width="34.28515625" customWidth="1"/>
    <col min="15362" max="15362" width="17.85546875" customWidth="1"/>
    <col min="15363" max="15364" width="19.140625" customWidth="1"/>
    <col min="15365" max="15365" width="16.42578125" customWidth="1"/>
    <col min="15615" max="15615" width="6.85546875" customWidth="1"/>
    <col min="15616" max="15616" width="20.5703125" customWidth="1"/>
    <col min="15617" max="15617" width="34.28515625" customWidth="1"/>
    <col min="15618" max="15618" width="17.85546875" customWidth="1"/>
    <col min="15619" max="15620" width="19.140625" customWidth="1"/>
    <col min="15621" max="15621" width="16.42578125" customWidth="1"/>
    <col min="15871" max="15871" width="6.85546875" customWidth="1"/>
    <col min="15872" max="15872" width="20.5703125" customWidth="1"/>
    <col min="15873" max="15873" width="34.28515625" customWidth="1"/>
    <col min="15874" max="15874" width="17.85546875" customWidth="1"/>
    <col min="15875" max="15876" width="19.140625" customWidth="1"/>
    <col min="15877" max="15877" width="16.42578125" customWidth="1"/>
    <col min="16127" max="16127" width="6.85546875" customWidth="1"/>
    <col min="16128" max="16128" width="20.5703125" customWidth="1"/>
    <col min="16129" max="16129" width="34.28515625" customWidth="1"/>
    <col min="16130" max="16130" width="17.85546875" customWidth="1"/>
    <col min="16131" max="16132" width="19.140625" customWidth="1"/>
    <col min="16133" max="16133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785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33" t="s">
        <v>3</v>
      </c>
      <c r="B4" s="33" t="s">
        <v>4</v>
      </c>
      <c r="C4" s="33" t="s">
        <v>5</v>
      </c>
      <c r="D4" s="33" t="s">
        <v>6</v>
      </c>
      <c r="E4" s="34" t="s">
        <v>7</v>
      </c>
      <c r="F4" s="34" t="s">
        <v>8</v>
      </c>
      <c r="G4" s="34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399</v>
      </c>
      <c r="C7" s="6" t="s">
        <v>400</v>
      </c>
      <c r="D7" s="6" t="s">
        <v>167</v>
      </c>
      <c r="E7" s="7">
        <v>704290</v>
      </c>
      <c r="F7" s="8">
        <v>9816.0418750000008</v>
      </c>
      <c r="G7" s="9">
        <v>5.6077691999999998E-2</v>
      </c>
      <c r="H7" s="167"/>
    </row>
    <row r="8" spans="1:8" x14ac:dyDescent="0.2">
      <c r="A8" s="5">
        <v>2</v>
      </c>
      <c r="B8" s="6" t="s">
        <v>51</v>
      </c>
      <c r="C8" s="6" t="s">
        <v>52</v>
      </c>
      <c r="D8" s="6" t="s">
        <v>23</v>
      </c>
      <c r="E8" s="7">
        <v>637828</v>
      </c>
      <c r="F8" s="8">
        <v>9668.5157380000001</v>
      </c>
      <c r="G8" s="9">
        <v>5.5234894999999999E-2</v>
      </c>
      <c r="H8" s="167"/>
    </row>
    <row r="9" spans="1:8" x14ac:dyDescent="0.2">
      <c r="A9" s="5">
        <v>3</v>
      </c>
      <c r="B9" s="6" t="s">
        <v>21</v>
      </c>
      <c r="C9" s="6" t="s">
        <v>22</v>
      </c>
      <c r="D9" s="6" t="s">
        <v>23</v>
      </c>
      <c r="E9" s="7">
        <v>1395256</v>
      </c>
      <c r="F9" s="8">
        <v>9247.0591399999994</v>
      </c>
      <c r="G9" s="9">
        <v>5.2827171999999999E-2</v>
      </c>
      <c r="H9" s="167"/>
    </row>
    <row r="10" spans="1:8" x14ac:dyDescent="0.2">
      <c r="A10" s="5">
        <v>4</v>
      </c>
      <c r="B10" s="6" t="s">
        <v>438</v>
      </c>
      <c r="C10" s="6" t="s">
        <v>439</v>
      </c>
      <c r="D10" s="6" t="s">
        <v>29</v>
      </c>
      <c r="E10" s="7">
        <v>298548</v>
      </c>
      <c r="F10" s="8">
        <v>5598.3720960000001</v>
      </c>
      <c r="G10" s="9">
        <v>3.1982727000000002E-2</v>
      </c>
      <c r="H10" s="167"/>
    </row>
    <row r="11" spans="1:8" x14ac:dyDescent="0.2">
      <c r="A11" s="5">
        <v>5</v>
      </c>
      <c r="B11" s="6" t="s">
        <v>13</v>
      </c>
      <c r="C11" s="6" t="s">
        <v>14</v>
      </c>
      <c r="D11" s="6" t="s">
        <v>15</v>
      </c>
      <c r="E11" s="7">
        <v>369779</v>
      </c>
      <c r="F11" s="8">
        <v>5427.2463829999997</v>
      </c>
      <c r="G11" s="9">
        <v>3.1005108999999999E-2</v>
      </c>
      <c r="H11" s="167"/>
    </row>
    <row r="12" spans="1:8" x14ac:dyDescent="0.2">
      <c r="A12" s="5">
        <v>6</v>
      </c>
      <c r="B12" s="6" t="s">
        <v>403</v>
      </c>
      <c r="C12" s="6" t="s">
        <v>404</v>
      </c>
      <c r="D12" s="6" t="s">
        <v>23</v>
      </c>
      <c r="E12" s="7">
        <v>1275000</v>
      </c>
      <c r="F12" s="8">
        <v>5410.4624999999996</v>
      </c>
      <c r="G12" s="9">
        <v>3.0909224999999999E-2</v>
      </c>
      <c r="H12" s="167"/>
    </row>
    <row r="13" spans="1:8" x14ac:dyDescent="0.2">
      <c r="A13" s="5">
        <v>7</v>
      </c>
      <c r="B13" s="6" t="s">
        <v>528</v>
      </c>
      <c r="C13" s="6" t="s">
        <v>529</v>
      </c>
      <c r="D13" s="6" t="s">
        <v>23</v>
      </c>
      <c r="E13" s="7">
        <v>1583382</v>
      </c>
      <c r="F13" s="8">
        <v>4906.1091269999997</v>
      </c>
      <c r="G13" s="9">
        <v>2.8027923999999999E-2</v>
      </c>
      <c r="H13" s="167"/>
    </row>
    <row r="14" spans="1:8" ht="25.5" x14ac:dyDescent="0.2">
      <c r="A14" s="5">
        <v>8</v>
      </c>
      <c r="B14" s="6" t="s">
        <v>401</v>
      </c>
      <c r="C14" s="6" t="s">
        <v>402</v>
      </c>
      <c r="D14" s="6" t="s">
        <v>158</v>
      </c>
      <c r="E14" s="7">
        <v>185482</v>
      </c>
      <c r="F14" s="8">
        <v>4735.0772370000004</v>
      </c>
      <c r="G14" s="9">
        <v>2.7050841999999999E-2</v>
      </c>
      <c r="H14" s="167"/>
    </row>
    <row r="15" spans="1:8" x14ac:dyDescent="0.2">
      <c r="A15" s="5">
        <v>9</v>
      </c>
      <c r="B15" s="6" t="s">
        <v>413</v>
      </c>
      <c r="C15" s="6" t="s">
        <v>414</v>
      </c>
      <c r="D15" s="6" t="s">
        <v>167</v>
      </c>
      <c r="E15" s="7">
        <v>139203</v>
      </c>
      <c r="F15" s="8">
        <v>4397.6315745000002</v>
      </c>
      <c r="G15" s="9">
        <v>2.5123062000000002E-2</v>
      </c>
      <c r="H15" s="167"/>
    </row>
    <row r="16" spans="1:8" x14ac:dyDescent="0.2">
      <c r="A16" s="5">
        <v>10</v>
      </c>
      <c r="B16" s="6" t="s">
        <v>61</v>
      </c>
      <c r="C16" s="6" t="s">
        <v>62</v>
      </c>
      <c r="D16" s="6" t="s">
        <v>18</v>
      </c>
      <c r="E16" s="7">
        <v>867538</v>
      </c>
      <c r="F16" s="8">
        <v>4094.77936</v>
      </c>
      <c r="G16" s="9">
        <v>2.3392909E-2</v>
      </c>
      <c r="H16" s="167"/>
    </row>
    <row r="17" spans="1:8" ht="25.5" x14ac:dyDescent="0.2">
      <c r="A17" s="5">
        <v>11</v>
      </c>
      <c r="B17" s="6" t="s">
        <v>327</v>
      </c>
      <c r="C17" s="6" t="s">
        <v>328</v>
      </c>
      <c r="D17" s="6" t="s">
        <v>78</v>
      </c>
      <c r="E17" s="7">
        <v>394065</v>
      </c>
      <c r="F17" s="8">
        <v>3986.1645075000001</v>
      </c>
      <c r="G17" s="9">
        <v>2.2772407000000001E-2</v>
      </c>
      <c r="H17" s="167"/>
    </row>
    <row r="18" spans="1:8" x14ac:dyDescent="0.2">
      <c r="A18" s="5">
        <v>12</v>
      </c>
      <c r="B18" s="6" t="s">
        <v>24</v>
      </c>
      <c r="C18" s="6" t="s">
        <v>25</v>
      </c>
      <c r="D18" s="6" t="s">
        <v>26</v>
      </c>
      <c r="E18" s="7">
        <v>652195</v>
      </c>
      <c r="F18" s="8">
        <v>3488.5910549999999</v>
      </c>
      <c r="G18" s="9">
        <v>1.9929839000000001E-2</v>
      </c>
      <c r="H18" s="167"/>
    </row>
    <row r="19" spans="1:8" ht="25.5" x14ac:dyDescent="0.2">
      <c r="A19" s="5">
        <v>13</v>
      </c>
      <c r="B19" s="6" t="s">
        <v>483</v>
      </c>
      <c r="C19" s="6" t="s">
        <v>484</v>
      </c>
      <c r="D19" s="6" t="s">
        <v>78</v>
      </c>
      <c r="E19" s="7">
        <v>567883</v>
      </c>
      <c r="F19" s="8">
        <v>3477.9994335000001</v>
      </c>
      <c r="G19" s="9">
        <v>1.9869330000000001E-2</v>
      </c>
      <c r="H19" s="167"/>
    </row>
    <row r="20" spans="1:8" x14ac:dyDescent="0.2">
      <c r="A20" s="5">
        <v>14</v>
      </c>
      <c r="B20" s="6" t="s">
        <v>317</v>
      </c>
      <c r="C20" s="6" t="s">
        <v>318</v>
      </c>
      <c r="D20" s="6" t="s">
        <v>240</v>
      </c>
      <c r="E20" s="7">
        <v>121109</v>
      </c>
      <c r="F20" s="8">
        <v>3166.9397954999999</v>
      </c>
      <c r="G20" s="9">
        <v>1.809229E-2</v>
      </c>
      <c r="H20" s="167"/>
    </row>
    <row r="21" spans="1:8" x14ac:dyDescent="0.2">
      <c r="A21" s="5">
        <v>15</v>
      </c>
      <c r="B21" s="6" t="s">
        <v>370</v>
      </c>
      <c r="C21" s="6" t="s">
        <v>371</v>
      </c>
      <c r="D21" s="6" t="s">
        <v>23</v>
      </c>
      <c r="E21" s="7">
        <v>405935</v>
      </c>
      <c r="F21" s="8">
        <v>3047.354045</v>
      </c>
      <c r="G21" s="9">
        <v>1.7409113E-2</v>
      </c>
      <c r="H21" s="167"/>
    </row>
    <row r="22" spans="1:8" x14ac:dyDescent="0.2">
      <c r="A22" s="5">
        <v>16</v>
      </c>
      <c r="B22" s="6" t="s">
        <v>339</v>
      </c>
      <c r="C22" s="6" t="s">
        <v>340</v>
      </c>
      <c r="D22" s="6" t="s">
        <v>192</v>
      </c>
      <c r="E22" s="7">
        <v>93671</v>
      </c>
      <c r="F22" s="8">
        <v>2954.2428335</v>
      </c>
      <c r="G22" s="9">
        <v>1.6877181000000002E-2</v>
      </c>
      <c r="H22" s="167"/>
    </row>
    <row r="23" spans="1:8" ht="25.5" x14ac:dyDescent="0.2">
      <c r="A23" s="5">
        <v>17</v>
      </c>
      <c r="B23" s="6" t="s">
        <v>487</v>
      </c>
      <c r="C23" s="6" t="s">
        <v>488</v>
      </c>
      <c r="D23" s="6" t="s">
        <v>78</v>
      </c>
      <c r="E23" s="7">
        <v>22304</v>
      </c>
      <c r="F23" s="8">
        <v>2927.9464480000001</v>
      </c>
      <c r="G23" s="9">
        <v>1.6726953999999999E-2</v>
      </c>
      <c r="H23" s="167"/>
    </row>
    <row r="24" spans="1:8" x14ac:dyDescent="0.2">
      <c r="A24" s="5">
        <v>18</v>
      </c>
      <c r="B24" s="6" t="s">
        <v>366</v>
      </c>
      <c r="C24" s="6" t="s">
        <v>367</v>
      </c>
      <c r="D24" s="6" t="s">
        <v>167</v>
      </c>
      <c r="E24" s="7">
        <v>307173</v>
      </c>
      <c r="F24" s="8">
        <v>2903.3991959999998</v>
      </c>
      <c r="G24" s="9">
        <v>1.6586719E-2</v>
      </c>
      <c r="H24" s="167"/>
    </row>
    <row r="25" spans="1:8" x14ac:dyDescent="0.2">
      <c r="A25" s="5">
        <v>19</v>
      </c>
      <c r="B25" s="6" t="s">
        <v>325</v>
      </c>
      <c r="C25" s="6" t="s">
        <v>326</v>
      </c>
      <c r="D25" s="6" t="s">
        <v>70</v>
      </c>
      <c r="E25" s="7">
        <v>543670</v>
      </c>
      <c r="F25" s="8">
        <v>2875.1987949999998</v>
      </c>
      <c r="G25" s="9">
        <v>1.6425614000000002E-2</v>
      </c>
      <c r="H25" s="167"/>
    </row>
    <row r="26" spans="1:8" x14ac:dyDescent="0.2">
      <c r="A26" s="5">
        <v>20</v>
      </c>
      <c r="B26" s="6" t="s">
        <v>254</v>
      </c>
      <c r="C26" s="6" t="s">
        <v>255</v>
      </c>
      <c r="D26" s="6" t="s">
        <v>971</v>
      </c>
      <c r="E26" s="7">
        <v>552800</v>
      </c>
      <c r="F26" s="8">
        <v>2665.0488</v>
      </c>
      <c r="G26" s="9">
        <v>1.5225056000000001E-2</v>
      </c>
      <c r="H26" s="167"/>
    </row>
    <row r="27" spans="1:8" x14ac:dyDescent="0.2">
      <c r="A27" s="5">
        <v>21</v>
      </c>
      <c r="B27" s="6" t="s">
        <v>358</v>
      </c>
      <c r="C27" s="6" t="s">
        <v>359</v>
      </c>
      <c r="D27" s="6" t="s">
        <v>75</v>
      </c>
      <c r="E27" s="7">
        <v>62720</v>
      </c>
      <c r="F27" s="8">
        <v>2526.8633599999998</v>
      </c>
      <c r="G27" s="9">
        <v>1.4435620999999999E-2</v>
      </c>
      <c r="H27" s="167"/>
    </row>
    <row r="28" spans="1:8" x14ac:dyDescent="0.2">
      <c r="A28" s="5">
        <v>22</v>
      </c>
      <c r="B28" s="6" t="s">
        <v>212</v>
      </c>
      <c r="C28" s="6" t="s">
        <v>213</v>
      </c>
      <c r="D28" s="6" t="s">
        <v>158</v>
      </c>
      <c r="E28" s="7">
        <v>435308</v>
      </c>
      <c r="F28" s="8">
        <v>2476.249558</v>
      </c>
      <c r="G28" s="9">
        <v>1.4146472E-2</v>
      </c>
      <c r="H28" s="167"/>
    </row>
    <row r="29" spans="1:8" x14ac:dyDescent="0.2">
      <c r="A29" s="5">
        <v>23</v>
      </c>
      <c r="B29" s="6" t="s">
        <v>415</v>
      </c>
      <c r="C29" s="6" t="s">
        <v>416</v>
      </c>
      <c r="D29" s="6" t="s">
        <v>192</v>
      </c>
      <c r="E29" s="7">
        <v>366711</v>
      </c>
      <c r="F29" s="8">
        <v>2450.729613</v>
      </c>
      <c r="G29" s="9">
        <v>1.400068E-2</v>
      </c>
      <c r="H29" s="167"/>
    </row>
    <row r="30" spans="1:8" x14ac:dyDescent="0.2">
      <c r="A30" s="5">
        <v>24</v>
      </c>
      <c r="B30" s="6" t="s">
        <v>299</v>
      </c>
      <c r="C30" s="6" t="s">
        <v>300</v>
      </c>
      <c r="D30" s="6" t="s">
        <v>167</v>
      </c>
      <c r="E30" s="7">
        <v>92807</v>
      </c>
      <c r="F30" s="8">
        <v>2222.1244044999999</v>
      </c>
      <c r="G30" s="9">
        <v>1.269469E-2</v>
      </c>
      <c r="H30" s="167"/>
    </row>
    <row r="31" spans="1:8" x14ac:dyDescent="0.2">
      <c r="A31" s="5">
        <v>25</v>
      </c>
      <c r="B31" s="6" t="s">
        <v>704</v>
      </c>
      <c r="C31" s="6" t="s">
        <v>705</v>
      </c>
      <c r="D31" s="6" t="s">
        <v>158</v>
      </c>
      <c r="E31" s="7">
        <v>153515</v>
      </c>
      <c r="F31" s="8">
        <v>2194.9574699999998</v>
      </c>
      <c r="G31" s="9">
        <v>1.2539488999999999E-2</v>
      </c>
      <c r="H31" s="167"/>
    </row>
    <row r="32" spans="1:8" x14ac:dyDescent="0.2">
      <c r="A32" s="5">
        <v>26</v>
      </c>
      <c r="B32" s="6" t="s">
        <v>226</v>
      </c>
      <c r="C32" s="6" t="s">
        <v>227</v>
      </c>
      <c r="D32" s="6" t="s">
        <v>32</v>
      </c>
      <c r="E32" s="7">
        <v>266282</v>
      </c>
      <c r="F32" s="8">
        <v>2106.8231839999999</v>
      </c>
      <c r="G32" s="9">
        <v>1.203599E-2</v>
      </c>
      <c r="H32" s="167"/>
    </row>
    <row r="33" spans="1:8" ht="25.5" x14ac:dyDescent="0.2">
      <c r="A33" s="5">
        <v>27</v>
      </c>
      <c r="B33" s="6" t="s">
        <v>40</v>
      </c>
      <c r="C33" s="6" t="s">
        <v>41</v>
      </c>
      <c r="D33" s="6" t="s">
        <v>970</v>
      </c>
      <c r="E33" s="7">
        <v>31126</v>
      </c>
      <c r="F33" s="8">
        <v>2087.93208</v>
      </c>
      <c r="G33" s="9">
        <v>1.1928068E-2</v>
      </c>
      <c r="H33" s="167"/>
    </row>
    <row r="34" spans="1:8" x14ac:dyDescent="0.2">
      <c r="A34" s="5">
        <v>28</v>
      </c>
      <c r="B34" s="6" t="s">
        <v>163</v>
      </c>
      <c r="C34" s="6" t="s">
        <v>164</v>
      </c>
      <c r="D34" s="6" t="s">
        <v>167</v>
      </c>
      <c r="E34" s="7">
        <v>221232</v>
      </c>
      <c r="F34" s="8">
        <v>1919.2982159999999</v>
      </c>
      <c r="G34" s="9">
        <v>1.0964686E-2</v>
      </c>
      <c r="H34" s="167"/>
    </row>
    <row r="35" spans="1:8" x14ac:dyDescent="0.2">
      <c r="A35" s="5">
        <v>29</v>
      </c>
      <c r="B35" s="6" t="s">
        <v>218</v>
      </c>
      <c r="C35" s="6" t="s">
        <v>219</v>
      </c>
      <c r="D35" s="6" t="s">
        <v>973</v>
      </c>
      <c r="E35" s="7">
        <v>278324</v>
      </c>
      <c r="F35" s="8">
        <v>1901.2312440000001</v>
      </c>
      <c r="G35" s="9">
        <v>1.0861472E-2</v>
      </c>
      <c r="H35" s="167"/>
    </row>
    <row r="36" spans="1:8" ht="25.5" x14ac:dyDescent="0.2">
      <c r="A36" s="5">
        <v>30</v>
      </c>
      <c r="B36" s="6" t="s">
        <v>376</v>
      </c>
      <c r="C36" s="6" t="s">
        <v>377</v>
      </c>
      <c r="D36" s="6" t="s">
        <v>78</v>
      </c>
      <c r="E36" s="7">
        <v>270522</v>
      </c>
      <c r="F36" s="8">
        <v>1795.8602969999999</v>
      </c>
      <c r="G36" s="9">
        <v>1.0259502E-2</v>
      </c>
      <c r="H36" s="167"/>
    </row>
    <row r="37" spans="1:8" x14ac:dyDescent="0.2">
      <c r="A37" s="5">
        <v>31</v>
      </c>
      <c r="B37" s="6" t="s">
        <v>329</v>
      </c>
      <c r="C37" s="6" t="s">
        <v>330</v>
      </c>
      <c r="D37" s="6" t="s">
        <v>158</v>
      </c>
      <c r="E37" s="7">
        <v>373414</v>
      </c>
      <c r="F37" s="8">
        <v>1741.0427749999999</v>
      </c>
      <c r="G37" s="9">
        <v>9.9463369999999995E-3</v>
      </c>
      <c r="H37" s="167"/>
    </row>
    <row r="38" spans="1:8" x14ac:dyDescent="0.2">
      <c r="A38" s="5">
        <v>32</v>
      </c>
      <c r="B38" s="6" t="s">
        <v>92</v>
      </c>
      <c r="C38" s="6" t="s">
        <v>93</v>
      </c>
      <c r="D38" s="6" t="s">
        <v>94</v>
      </c>
      <c r="E38" s="7">
        <v>1396366</v>
      </c>
      <c r="F38" s="8">
        <v>1723.8138269999999</v>
      </c>
      <c r="G38" s="9">
        <v>9.8479099999999997E-3</v>
      </c>
      <c r="H38" s="167"/>
    </row>
    <row r="39" spans="1:8" x14ac:dyDescent="0.2">
      <c r="A39" s="5">
        <v>33</v>
      </c>
      <c r="B39" s="6" t="s">
        <v>99</v>
      </c>
      <c r="C39" s="6" t="s">
        <v>100</v>
      </c>
      <c r="D39" s="6" t="s">
        <v>32</v>
      </c>
      <c r="E39" s="7">
        <v>543806</v>
      </c>
      <c r="F39" s="8">
        <v>1485.6779919999999</v>
      </c>
      <c r="G39" s="9">
        <v>8.4874730000000006E-3</v>
      </c>
      <c r="H39" s="167"/>
    </row>
    <row r="40" spans="1:8" x14ac:dyDescent="0.2">
      <c r="A40" s="5">
        <v>34</v>
      </c>
      <c r="B40" s="6" t="s">
        <v>388</v>
      </c>
      <c r="C40" s="6" t="s">
        <v>389</v>
      </c>
      <c r="D40" s="6" t="s">
        <v>969</v>
      </c>
      <c r="E40" s="7">
        <v>12331</v>
      </c>
      <c r="F40" s="8">
        <v>1455.8348530000001</v>
      </c>
      <c r="G40" s="9">
        <v>8.316983E-3</v>
      </c>
      <c r="H40" s="167"/>
    </row>
    <row r="41" spans="1:8" x14ac:dyDescent="0.2">
      <c r="A41" s="5">
        <v>35</v>
      </c>
      <c r="B41" s="6" t="s">
        <v>417</v>
      </c>
      <c r="C41" s="6" t="s">
        <v>418</v>
      </c>
      <c r="D41" s="6" t="s">
        <v>57</v>
      </c>
      <c r="E41" s="7">
        <v>127500</v>
      </c>
      <c r="F41" s="8">
        <v>1435.2037499999999</v>
      </c>
      <c r="G41" s="9">
        <v>8.1991210000000002E-3</v>
      </c>
      <c r="H41" s="167"/>
    </row>
    <row r="42" spans="1:8" x14ac:dyDescent="0.2">
      <c r="A42" s="5">
        <v>36</v>
      </c>
      <c r="B42" s="6" t="s">
        <v>16</v>
      </c>
      <c r="C42" s="6" t="s">
        <v>17</v>
      </c>
      <c r="D42" s="6" t="s">
        <v>18</v>
      </c>
      <c r="E42" s="7">
        <v>65219</v>
      </c>
      <c r="F42" s="8">
        <v>1408.9260569999999</v>
      </c>
      <c r="G42" s="9">
        <v>8.0490000000000006E-3</v>
      </c>
      <c r="H42" s="167"/>
    </row>
    <row r="43" spans="1:8" x14ac:dyDescent="0.2">
      <c r="A43" s="5">
        <v>37</v>
      </c>
      <c r="B43" s="6" t="s">
        <v>159</v>
      </c>
      <c r="C43" s="6" t="s">
        <v>160</v>
      </c>
      <c r="D43" s="6" t="s">
        <v>29</v>
      </c>
      <c r="E43" s="7">
        <v>187458</v>
      </c>
      <c r="F43" s="8">
        <v>1155.3036540000001</v>
      </c>
      <c r="G43" s="9">
        <v>6.6000900000000003E-3</v>
      </c>
      <c r="H43" s="167"/>
    </row>
    <row r="44" spans="1:8" x14ac:dyDescent="0.2">
      <c r="A44" s="5">
        <v>38</v>
      </c>
      <c r="B44" s="6" t="s">
        <v>38</v>
      </c>
      <c r="C44" s="6" t="s">
        <v>39</v>
      </c>
      <c r="D44" s="6" t="s">
        <v>29</v>
      </c>
      <c r="E44" s="7">
        <v>68815</v>
      </c>
      <c r="F44" s="8">
        <v>1152.1351374999999</v>
      </c>
      <c r="G44" s="9">
        <v>6.5819889999999999E-3</v>
      </c>
      <c r="H44" s="167"/>
    </row>
    <row r="45" spans="1:8" x14ac:dyDescent="0.2">
      <c r="A45" s="5">
        <v>39</v>
      </c>
      <c r="B45" s="6" t="s">
        <v>431</v>
      </c>
      <c r="C45" s="6" t="s">
        <v>432</v>
      </c>
      <c r="D45" s="6" t="s">
        <v>433</v>
      </c>
      <c r="E45" s="7">
        <v>265470</v>
      </c>
      <c r="F45" s="8">
        <v>1046.6154750000001</v>
      </c>
      <c r="G45" s="9">
        <v>5.9791699999999998E-3</v>
      </c>
      <c r="H45" s="167"/>
    </row>
    <row r="46" spans="1:8" ht="25.5" x14ac:dyDescent="0.2">
      <c r="A46" s="5">
        <v>40</v>
      </c>
      <c r="B46" s="6" t="s">
        <v>90</v>
      </c>
      <c r="C46" s="6" t="s">
        <v>91</v>
      </c>
      <c r="D46" s="6" t="s">
        <v>67</v>
      </c>
      <c r="E46" s="7">
        <v>109708</v>
      </c>
      <c r="F46" s="8">
        <v>844.25791400000003</v>
      </c>
      <c r="G46" s="9">
        <v>4.8231289999999998E-3</v>
      </c>
      <c r="H46" s="167"/>
    </row>
    <row r="47" spans="1:8" ht="25.5" x14ac:dyDescent="0.2">
      <c r="A47" s="5">
        <v>41</v>
      </c>
      <c r="B47" s="6" t="s">
        <v>419</v>
      </c>
      <c r="C47" s="6" t="s">
        <v>420</v>
      </c>
      <c r="D47" s="6" t="s">
        <v>78</v>
      </c>
      <c r="E47" s="7">
        <v>35088</v>
      </c>
      <c r="F47" s="8">
        <v>821.07674399999996</v>
      </c>
      <c r="G47" s="9">
        <v>4.6906980000000001E-3</v>
      </c>
      <c r="H47" s="167"/>
    </row>
    <row r="48" spans="1:8" x14ac:dyDescent="0.2">
      <c r="A48" s="5">
        <v>42</v>
      </c>
      <c r="B48" s="6" t="s">
        <v>440</v>
      </c>
      <c r="C48" s="6" t="s">
        <v>441</v>
      </c>
      <c r="D48" s="6" t="s">
        <v>192</v>
      </c>
      <c r="E48" s="7">
        <v>75252</v>
      </c>
      <c r="F48" s="8">
        <v>714.40486199999998</v>
      </c>
      <c r="G48" s="9">
        <v>4.0812959999999999E-3</v>
      </c>
      <c r="H48" s="167"/>
    </row>
    <row r="49" spans="1:8" x14ac:dyDescent="0.2">
      <c r="A49" s="5">
        <v>43</v>
      </c>
      <c r="B49" s="6" t="s">
        <v>407</v>
      </c>
      <c r="C49" s="6" t="s">
        <v>408</v>
      </c>
      <c r="D49" s="6" t="s">
        <v>94</v>
      </c>
      <c r="E49" s="7">
        <v>84643</v>
      </c>
      <c r="F49" s="8">
        <v>683.87311850000003</v>
      </c>
      <c r="G49" s="9">
        <v>3.9068729999999999E-3</v>
      </c>
      <c r="H49" s="167"/>
    </row>
    <row r="50" spans="1:8" x14ac:dyDescent="0.2">
      <c r="A50" s="5">
        <v>44</v>
      </c>
      <c r="B50" s="6" t="s">
        <v>280</v>
      </c>
      <c r="C50" s="6" t="s">
        <v>281</v>
      </c>
      <c r="D50" s="6" t="s">
        <v>971</v>
      </c>
      <c r="E50" s="7">
        <v>1566650</v>
      </c>
      <c r="F50" s="8">
        <v>654.85969999999998</v>
      </c>
      <c r="G50" s="9">
        <v>3.7411229999999998E-3</v>
      </c>
      <c r="H50" s="167"/>
    </row>
    <row r="51" spans="1:8" x14ac:dyDescent="0.2">
      <c r="A51" s="5">
        <v>45</v>
      </c>
      <c r="B51" s="6" t="s">
        <v>390</v>
      </c>
      <c r="C51" s="6" t="s">
        <v>391</v>
      </c>
      <c r="D51" s="6" t="s">
        <v>392</v>
      </c>
      <c r="E51" s="7">
        <v>129600</v>
      </c>
      <c r="F51" s="8">
        <v>582.03359999999998</v>
      </c>
      <c r="G51" s="9">
        <v>3.325078E-3</v>
      </c>
      <c r="H51" s="167"/>
    </row>
    <row r="52" spans="1:8" ht="25.5" x14ac:dyDescent="0.2">
      <c r="A52" s="5">
        <v>46</v>
      </c>
      <c r="B52" s="6" t="s">
        <v>331</v>
      </c>
      <c r="C52" s="6" t="s">
        <v>332</v>
      </c>
      <c r="D52" s="6" t="s">
        <v>75</v>
      </c>
      <c r="E52" s="7">
        <v>134358</v>
      </c>
      <c r="F52" s="8">
        <v>535.080735</v>
      </c>
      <c r="G52" s="9">
        <v>3.0568420000000002E-3</v>
      </c>
      <c r="H52" s="167"/>
    </row>
    <row r="53" spans="1:8" x14ac:dyDescent="0.2">
      <c r="A53" s="5">
        <v>47</v>
      </c>
      <c r="B53" s="6" t="s">
        <v>588</v>
      </c>
      <c r="C53" s="6" t="s">
        <v>589</v>
      </c>
      <c r="D53" s="6" t="s">
        <v>178</v>
      </c>
      <c r="E53" s="7">
        <v>19603</v>
      </c>
      <c r="F53" s="8">
        <v>506.55132149999997</v>
      </c>
      <c r="G53" s="9">
        <v>2.893858E-3</v>
      </c>
      <c r="H53" s="167"/>
    </row>
    <row r="54" spans="1:8" x14ac:dyDescent="0.2">
      <c r="A54" s="5">
        <v>48</v>
      </c>
      <c r="B54" s="6" t="s">
        <v>492</v>
      </c>
      <c r="C54" s="6" t="s">
        <v>493</v>
      </c>
      <c r="D54" s="6" t="s">
        <v>94</v>
      </c>
      <c r="E54" s="7">
        <v>5824</v>
      </c>
      <c r="F54" s="8">
        <v>412.70611200000002</v>
      </c>
      <c r="G54" s="9">
        <v>2.3577329999999999E-3</v>
      </c>
      <c r="H54" s="167"/>
    </row>
    <row r="55" spans="1:8" x14ac:dyDescent="0.2">
      <c r="A55" s="3" t="s">
        <v>10</v>
      </c>
      <c r="B55" s="3" t="s">
        <v>10</v>
      </c>
      <c r="C55" s="4" t="s">
        <v>104</v>
      </c>
      <c r="D55" s="3" t="s">
        <v>10</v>
      </c>
      <c r="E55" s="3" t="s">
        <v>10</v>
      </c>
      <c r="F55" s="10">
        <v>134835.64699350001</v>
      </c>
      <c r="G55" s="11">
        <v>0.77029743299999998</v>
      </c>
      <c r="H55" s="167"/>
    </row>
    <row r="56" spans="1:8" x14ac:dyDescent="0.2">
      <c r="A56" s="3" t="s">
        <v>10</v>
      </c>
      <c r="B56" s="3" t="s">
        <v>10</v>
      </c>
      <c r="C56" s="12" t="s">
        <v>10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105</v>
      </c>
      <c r="D57" s="3" t="s">
        <v>10</v>
      </c>
      <c r="E57" s="3" t="s">
        <v>10</v>
      </c>
      <c r="F57" s="3" t="s">
        <v>10</v>
      </c>
      <c r="G57" s="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104</v>
      </c>
      <c r="D58" s="3" t="s">
        <v>10</v>
      </c>
      <c r="E58" s="3" t="s">
        <v>10</v>
      </c>
      <c r="F58" s="14">
        <v>0</v>
      </c>
      <c r="G58" s="15">
        <v>0</v>
      </c>
      <c r="H58" s="167"/>
    </row>
    <row r="59" spans="1:8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106</v>
      </c>
      <c r="D60" s="3" t="s">
        <v>10</v>
      </c>
      <c r="E60" s="3" t="s">
        <v>10</v>
      </c>
      <c r="F60" s="3" t="s">
        <v>10</v>
      </c>
      <c r="G60" s="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104</v>
      </c>
      <c r="D61" s="3" t="s">
        <v>10</v>
      </c>
      <c r="E61" s="3" t="s">
        <v>10</v>
      </c>
      <c r="F61" s="14">
        <v>0</v>
      </c>
      <c r="G61" s="15">
        <v>0</v>
      </c>
      <c r="H61" s="167"/>
    </row>
    <row r="62" spans="1:8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110</v>
      </c>
      <c r="D63" s="3" t="s">
        <v>10</v>
      </c>
      <c r="E63" s="3" t="s">
        <v>10</v>
      </c>
      <c r="F63" s="3" t="s">
        <v>10</v>
      </c>
      <c r="G63" s="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104</v>
      </c>
      <c r="D64" s="3" t="s">
        <v>10</v>
      </c>
      <c r="E64" s="3" t="s">
        <v>10</v>
      </c>
      <c r="F64" s="14">
        <v>0</v>
      </c>
      <c r="G64" s="15">
        <v>0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111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104</v>
      </c>
      <c r="D67" s="3" t="s">
        <v>10</v>
      </c>
      <c r="E67" s="3" t="s">
        <v>10</v>
      </c>
      <c r="F67" s="14">
        <v>0</v>
      </c>
      <c r="G67" s="15">
        <v>0</v>
      </c>
      <c r="H67" s="167"/>
    </row>
    <row r="68" spans="1:8" x14ac:dyDescent="0.2">
      <c r="A68" s="3" t="s">
        <v>10</v>
      </c>
      <c r="B68" s="3" t="s">
        <v>10</v>
      </c>
      <c r="C68" s="12" t="s">
        <v>10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112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104</v>
      </c>
      <c r="D70" s="3" t="s">
        <v>10</v>
      </c>
      <c r="E70" s="3" t="s">
        <v>10</v>
      </c>
      <c r="F70" s="14">
        <v>0</v>
      </c>
      <c r="G70" s="15">
        <v>0</v>
      </c>
      <c r="H70" s="167"/>
    </row>
    <row r="71" spans="1:8" x14ac:dyDescent="0.2">
      <c r="A71" s="3" t="s">
        <v>10</v>
      </c>
      <c r="B71" s="3" t="s">
        <v>10</v>
      </c>
      <c r="C71" s="12" t="s">
        <v>10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113</v>
      </c>
      <c r="D72" s="3" t="s">
        <v>10</v>
      </c>
      <c r="E72" s="3" t="s">
        <v>10</v>
      </c>
      <c r="F72" s="10">
        <v>134835.64699350001</v>
      </c>
      <c r="G72" s="11">
        <v>0.77029743299999998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114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ht="25.5" x14ac:dyDescent="0.2">
      <c r="A75" s="3" t="s">
        <v>10</v>
      </c>
      <c r="B75" s="3" t="s">
        <v>10</v>
      </c>
      <c r="C75" s="4" t="s">
        <v>12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ht="25.5" x14ac:dyDescent="0.2">
      <c r="A76" s="5">
        <v>1</v>
      </c>
      <c r="B76" s="6" t="s">
        <v>786</v>
      </c>
      <c r="C76" s="6" t="s">
        <v>787</v>
      </c>
      <c r="D76" s="6" t="s">
        <v>717</v>
      </c>
      <c r="E76" s="7">
        <v>250</v>
      </c>
      <c r="F76" s="8">
        <v>2590.5650000000001</v>
      </c>
      <c r="G76" s="9">
        <v>1.479954E-2</v>
      </c>
      <c r="H76" s="168">
        <v>4.75</v>
      </c>
    </row>
    <row r="77" spans="1:8" ht="25.5" x14ac:dyDescent="0.2">
      <c r="A77" s="5">
        <v>2</v>
      </c>
      <c r="B77" s="6" t="s">
        <v>788</v>
      </c>
      <c r="C77" s="6" t="s">
        <v>789</v>
      </c>
      <c r="D77" s="6" t="s">
        <v>717</v>
      </c>
      <c r="E77" s="7">
        <v>250</v>
      </c>
      <c r="F77" s="8">
        <v>2590.0100000000002</v>
      </c>
      <c r="G77" s="9">
        <v>1.4796369E-2</v>
      </c>
      <c r="H77" s="168">
        <v>4.79</v>
      </c>
    </row>
    <row r="78" spans="1:8" ht="38.25" x14ac:dyDescent="0.2">
      <c r="A78" s="5">
        <v>3</v>
      </c>
      <c r="B78" s="6" t="s">
        <v>790</v>
      </c>
      <c r="C78" s="171" t="s">
        <v>994</v>
      </c>
      <c r="D78" s="6" t="s">
        <v>791</v>
      </c>
      <c r="E78" s="7">
        <v>250</v>
      </c>
      <c r="F78" s="8">
        <v>2561.11</v>
      </c>
      <c r="G78" s="9">
        <v>1.4631267999999999E-2</v>
      </c>
      <c r="H78" s="168">
        <v>7.7859999999999996</v>
      </c>
    </row>
    <row r="79" spans="1:8" x14ac:dyDescent="0.2">
      <c r="A79" s="5">
        <v>4</v>
      </c>
      <c r="B79" s="6" t="s">
        <v>792</v>
      </c>
      <c r="C79" s="6" t="s">
        <v>793</v>
      </c>
      <c r="D79" s="6" t="s">
        <v>717</v>
      </c>
      <c r="E79" s="7">
        <v>250</v>
      </c>
      <c r="F79" s="8">
        <v>2526.46</v>
      </c>
      <c r="G79" s="9">
        <v>1.4433316999999999E-2</v>
      </c>
      <c r="H79" s="168">
        <v>5.34</v>
      </c>
    </row>
    <row r="80" spans="1:8" ht="25.5" x14ac:dyDescent="0.2">
      <c r="A80" s="5">
        <v>5</v>
      </c>
      <c r="B80" s="6" t="s">
        <v>794</v>
      </c>
      <c r="C80" s="6" t="s">
        <v>795</v>
      </c>
      <c r="D80" s="139" t="s">
        <v>965</v>
      </c>
      <c r="E80" s="7">
        <v>250</v>
      </c>
      <c r="F80" s="8">
        <v>2505.2975000000001</v>
      </c>
      <c r="G80" s="9">
        <v>1.4312419E-2</v>
      </c>
      <c r="H80" s="168">
        <v>4.41</v>
      </c>
    </row>
    <row r="81" spans="1:8" ht="38.25" x14ac:dyDescent="0.2">
      <c r="A81" s="5">
        <v>6</v>
      </c>
      <c r="B81" s="6" t="s">
        <v>796</v>
      </c>
      <c r="C81" s="171" t="s">
        <v>992</v>
      </c>
      <c r="D81" s="6" t="s">
        <v>791</v>
      </c>
      <c r="E81" s="7">
        <v>230</v>
      </c>
      <c r="F81" s="8">
        <v>2336.1536999999998</v>
      </c>
      <c r="G81" s="9">
        <v>1.3346123E-2</v>
      </c>
      <c r="H81" s="168">
        <v>8.6080000000000005</v>
      </c>
    </row>
    <row r="82" spans="1:8" ht="38.25" x14ac:dyDescent="0.2">
      <c r="A82" s="5">
        <v>7</v>
      </c>
      <c r="B82" s="6" t="s">
        <v>797</v>
      </c>
      <c r="C82" s="171" t="s">
        <v>993</v>
      </c>
      <c r="D82" s="6" t="s">
        <v>791</v>
      </c>
      <c r="E82" s="7">
        <v>200</v>
      </c>
      <c r="F82" s="8">
        <v>2022.11</v>
      </c>
      <c r="G82" s="9">
        <v>1.1552035E-2</v>
      </c>
      <c r="H82" s="168">
        <v>8.2170000000000005</v>
      </c>
    </row>
    <row r="83" spans="1:8" ht="38.25" x14ac:dyDescent="0.2">
      <c r="A83" s="5">
        <v>8</v>
      </c>
      <c r="B83" s="6" t="s">
        <v>798</v>
      </c>
      <c r="C83" s="171" t="s">
        <v>997</v>
      </c>
      <c r="D83" s="6" t="s">
        <v>791</v>
      </c>
      <c r="E83" s="7">
        <v>200</v>
      </c>
      <c r="F83" s="8">
        <v>2021.46</v>
      </c>
      <c r="G83" s="9">
        <v>1.1548322E-2</v>
      </c>
      <c r="H83" s="168">
        <v>8.4329999999999998</v>
      </c>
    </row>
    <row r="84" spans="1:8" x14ac:dyDescent="0.2">
      <c r="A84" s="5">
        <v>9</v>
      </c>
      <c r="B84" s="6" t="s">
        <v>799</v>
      </c>
      <c r="C84" s="6" t="s">
        <v>800</v>
      </c>
      <c r="D84" s="6" t="s">
        <v>801</v>
      </c>
      <c r="E84" s="7">
        <v>150</v>
      </c>
      <c r="F84" s="8">
        <v>1613.1945000000001</v>
      </c>
      <c r="G84" s="9">
        <v>9.2159570000000003E-3</v>
      </c>
      <c r="H84" s="168">
        <v>7.2290000000000001</v>
      </c>
    </row>
    <row r="85" spans="1:8" ht="25.5" x14ac:dyDescent="0.2">
      <c r="A85" s="5">
        <v>10</v>
      </c>
      <c r="B85" s="6" t="s">
        <v>802</v>
      </c>
      <c r="C85" s="6" t="s">
        <v>803</v>
      </c>
      <c r="D85" s="6" t="s">
        <v>717</v>
      </c>
      <c r="E85" s="7">
        <v>150</v>
      </c>
      <c r="F85" s="8">
        <v>1588.6679999999999</v>
      </c>
      <c r="G85" s="9">
        <v>9.0758409999999994E-3</v>
      </c>
      <c r="H85" s="168">
        <v>5.17</v>
      </c>
    </row>
    <row r="86" spans="1:8" ht="38.25" x14ac:dyDescent="0.2">
      <c r="A86" s="5">
        <v>11</v>
      </c>
      <c r="B86" s="6" t="s">
        <v>804</v>
      </c>
      <c r="C86" s="171" t="s">
        <v>991</v>
      </c>
      <c r="D86" s="6" t="s">
        <v>791</v>
      </c>
      <c r="E86" s="7">
        <v>150</v>
      </c>
      <c r="F86" s="8">
        <v>1545.681</v>
      </c>
      <c r="G86" s="9">
        <v>8.8302620000000002E-3</v>
      </c>
      <c r="H86" s="168">
        <v>8.1880000000000006</v>
      </c>
    </row>
    <row r="87" spans="1:8" ht="25.5" x14ac:dyDescent="0.2">
      <c r="A87" s="5">
        <v>12</v>
      </c>
      <c r="B87" s="6" t="s">
        <v>805</v>
      </c>
      <c r="C87" s="6" t="s">
        <v>806</v>
      </c>
      <c r="D87" s="6" t="s">
        <v>807</v>
      </c>
      <c r="E87" s="7">
        <v>150</v>
      </c>
      <c r="F87" s="8">
        <v>1504.3095000000001</v>
      </c>
      <c r="G87" s="9">
        <v>8.5939120000000004E-3</v>
      </c>
      <c r="H87" s="168">
        <v>4.1500000000000004</v>
      </c>
    </row>
    <row r="88" spans="1:8" ht="25.5" x14ac:dyDescent="0.2">
      <c r="A88" s="5">
        <v>13</v>
      </c>
      <c r="B88" s="6" t="s">
        <v>808</v>
      </c>
      <c r="C88" s="6" t="s">
        <v>809</v>
      </c>
      <c r="D88" s="6" t="s">
        <v>717</v>
      </c>
      <c r="E88" s="7">
        <v>100</v>
      </c>
      <c r="F88" s="8">
        <v>1076.2850000000001</v>
      </c>
      <c r="G88" s="9">
        <v>6.1486680000000004E-3</v>
      </c>
      <c r="H88" s="168">
        <v>5.29</v>
      </c>
    </row>
    <row r="89" spans="1:8" ht="25.5" x14ac:dyDescent="0.2">
      <c r="A89" s="5">
        <v>14</v>
      </c>
      <c r="B89" s="6" t="s">
        <v>810</v>
      </c>
      <c r="C89" s="6" t="s">
        <v>811</v>
      </c>
      <c r="D89" s="6" t="s">
        <v>717</v>
      </c>
      <c r="E89" s="7">
        <v>100</v>
      </c>
      <c r="F89" s="8">
        <v>1068.502</v>
      </c>
      <c r="G89" s="9">
        <v>6.1042040000000002E-3</v>
      </c>
      <c r="H89" s="168">
        <v>5.16</v>
      </c>
    </row>
    <row r="90" spans="1:8" ht="25.5" x14ac:dyDescent="0.2">
      <c r="A90" s="5">
        <v>15</v>
      </c>
      <c r="B90" s="6" t="s">
        <v>812</v>
      </c>
      <c r="C90" s="6" t="s">
        <v>813</v>
      </c>
      <c r="D90" s="6" t="s">
        <v>717</v>
      </c>
      <c r="E90" s="7">
        <v>100</v>
      </c>
      <c r="F90" s="8">
        <v>1039.24</v>
      </c>
      <c r="G90" s="9">
        <v>5.9370350000000002E-3</v>
      </c>
      <c r="H90" s="168">
        <v>4.84</v>
      </c>
    </row>
    <row r="91" spans="1:8" ht="38.25" x14ac:dyDescent="0.2">
      <c r="A91" s="5">
        <v>16</v>
      </c>
      <c r="B91" s="6" t="s">
        <v>814</v>
      </c>
      <c r="C91" s="171" t="s">
        <v>995</v>
      </c>
      <c r="D91" s="6" t="s">
        <v>966</v>
      </c>
      <c r="E91" s="7">
        <v>100</v>
      </c>
      <c r="F91" s="8">
        <v>1027.604</v>
      </c>
      <c r="G91" s="9">
        <v>5.8705600000000004E-3</v>
      </c>
      <c r="H91" s="168">
        <v>8.7690000000000001</v>
      </c>
    </row>
    <row r="92" spans="1:8" ht="38.25" x14ac:dyDescent="0.2">
      <c r="A92" s="5">
        <v>17</v>
      </c>
      <c r="B92" s="6" t="s">
        <v>815</v>
      </c>
      <c r="C92" s="171" t="s">
        <v>996</v>
      </c>
      <c r="D92" s="6" t="s">
        <v>791</v>
      </c>
      <c r="E92" s="7">
        <v>100</v>
      </c>
      <c r="F92" s="8">
        <v>1017.552</v>
      </c>
      <c r="G92" s="9">
        <v>5.8131340000000002E-3</v>
      </c>
      <c r="H92" s="168">
        <v>8.4809999999999999</v>
      </c>
    </row>
    <row r="93" spans="1:8" x14ac:dyDescent="0.2">
      <c r="A93" s="5">
        <v>18</v>
      </c>
      <c r="B93" s="6" t="s">
        <v>816</v>
      </c>
      <c r="C93" s="6" t="s">
        <v>817</v>
      </c>
      <c r="D93" s="6" t="s">
        <v>717</v>
      </c>
      <c r="E93" s="7">
        <v>50</v>
      </c>
      <c r="F93" s="8">
        <v>512.37699999999995</v>
      </c>
      <c r="G93" s="9">
        <v>2.927139E-3</v>
      </c>
      <c r="H93" s="168">
        <v>3.9</v>
      </c>
    </row>
    <row r="94" spans="1:8" ht="25.5" x14ac:dyDescent="0.2">
      <c r="A94" s="5">
        <v>19</v>
      </c>
      <c r="B94" s="6" t="s">
        <v>818</v>
      </c>
      <c r="C94" s="6" t="s">
        <v>819</v>
      </c>
      <c r="D94" s="6" t="s">
        <v>717</v>
      </c>
      <c r="E94" s="7">
        <v>50</v>
      </c>
      <c r="F94" s="8">
        <v>506.86900000000003</v>
      </c>
      <c r="G94" s="9">
        <v>2.8956730000000001E-3</v>
      </c>
      <c r="H94" s="168">
        <v>3.96</v>
      </c>
    </row>
    <row r="95" spans="1:8" x14ac:dyDescent="0.2">
      <c r="A95" s="5">
        <v>20</v>
      </c>
      <c r="B95" s="6" t="s">
        <v>820</v>
      </c>
      <c r="C95" s="6" t="s">
        <v>821</v>
      </c>
      <c r="D95" s="6" t="s">
        <v>967</v>
      </c>
      <c r="E95" s="7">
        <v>20</v>
      </c>
      <c r="F95" s="8">
        <v>175.7936</v>
      </c>
      <c r="G95" s="9">
        <v>1.0042849999999999E-3</v>
      </c>
      <c r="H95" s="168">
        <v>20.38</v>
      </c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0">
        <v>31829.2418</v>
      </c>
      <c r="G96" s="11">
        <v>0.18183606299999999</v>
      </c>
      <c r="H96" s="168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8"/>
    </row>
    <row r="98" spans="1:8" x14ac:dyDescent="0.2">
      <c r="A98" s="3" t="s">
        <v>10</v>
      </c>
      <c r="B98" s="3" t="s">
        <v>10</v>
      </c>
      <c r="C98" s="4" t="s">
        <v>115</v>
      </c>
      <c r="D98" s="3" t="s">
        <v>10</v>
      </c>
      <c r="E98" s="3" t="s">
        <v>10</v>
      </c>
      <c r="F98" s="3" t="s">
        <v>10</v>
      </c>
      <c r="G98" s="3" t="s">
        <v>10</v>
      </c>
      <c r="H98" s="168"/>
    </row>
    <row r="99" spans="1:8" x14ac:dyDescent="0.2">
      <c r="A99" s="5">
        <v>1</v>
      </c>
      <c r="B99" s="6" t="s">
        <v>822</v>
      </c>
      <c r="C99" s="6" t="s">
        <v>823</v>
      </c>
      <c r="D99" s="6" t="s">
        <v>717</v>
      </c>
      <c r="E99" s="7">
        <v>50</v>
      </c>
      <c r="F99" s="8">
        <v>542.96349999999995</v>
      </c>
      <c r="G99" s="9">
        <v>3.101875E-3</v>
      </c>
      <c r="H99" s="168">
        <v>6.125</v>
      </c>
    </row>
    <row r="100" spans="1:8" x14ac:dyDescent="0.2">
      <c r="A100" s="3" t="s">
        <v>10</v>
      </c>
      <c r="B100" s="3" t="s">
        <v>10</v>
      </c>
      <c r="C100" s="4" t="s">
        <v>104</v>
      </c>
      <c r="D100" s="3" t="s">
        <v>10</v>
      </c>
      <c r="E100" s="3" t="s">
        <v>10</v>
      </c>
      <c r="F100" s="10">
        <v>542.96349999999995</v>
      </c>
      <c r="G100" s="11">
        <v>3.101875E-3</v>
      </c>
      <c r="H100" s="168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8"/>
    </row>
    <row r="102" spans="1:8" x14ac:dyDescent="0.2">
      <c r="A102" s="3" t="s">
        <v>10</v>
      </c>
      <c r="B102" s="3" t="s">
        <v>10</v>
      </c>
      <c r="C102" s="4" t="s">
        <v>116</v>
      </c>
      <c r="D102" s="3" t="s">
        <v>10</v>
      </c>
      <c r="E102" s="3" t="s">
        <v>10</v>
      </c>
      <c r="F102" s="3" t="s">
        <v>10</v>
      </c>
      <c r="G102" s="3" t="s">
        <v>10</v>
      </c>
      <c r="H102" s="168"/>
    </row>
    <row r="103" spans="1:8" ht="25.5" x14ac:dyDescent="0.2">
      <c r="A103" s="5">
        <v>1</v>
      </c>
      <c r="B103" s="6" t="s">
        <v>722</v>
      </c>
      <c r="C103" s="6" t="s">
        <v>964</v>
      </c>
      <c r="D103" s="6" t="s">
        <v>723</v>
      </c>
      <c r="E103" s="7">
        <v>1800000</v>
      </c>
      <c r="F103" s="8">
        <v>1916.46</v>
      </c>
      <c r="G103" s="9">
        <v>1.0948471E-2</v>
      </c>
      <c r="H103" s="168">
        <v>4.6989999999999998</v>
      </c>
    </row>
    <row r="104" spans="1:8" ht="25.5" x14ac:dyDescent="0.2">
      <c r="A104" s="5">
        <v>2</v>
      </c>
      <c r="B104" s="6" t="s">
        <v>824</v>
      </c>
      <c r="C104" s="6" t="s">
        <v>963</v>
      </c>
      <c r="D104" s="6" t="s">
        <v>723</v>
      </c>
      <c r="E104" s="7">
        <v>1500000</v>
      </c>
      <c r="F104" s="8">
        <v>1579.2764999999999</v>
      </c>
      <c r="G104" s="9">
        <v>9.0221889999999999E-3</v>
      </c>
      <c r="H104" s="168">
        <v>4.33</v>
      </c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0">
        <v>3495.7365</v>
      </c>
      <c r="G105" s="11">
        <v>1.9970660000000001E-2</v>
      </c>
      <c r="H105" s="168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8"/>
    </row>
    <row r="107" spans="1:8" x14ac:dyDescent="0.2">
      <c r="A107" s="3" t="s">
        <v>10</v>
      </c>
      <c r="B107" s="3" t="s">
        <v>10</v>
      </c>
      <c r="C107" s="4" t="s">
        <v>117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8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8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8"/>
    </row>
    <row r="110" spans="1:8" x14ac:dyDescent="0.2">
      <c r="A110" s="3" t="s">
        <v>10</v>
      </c>
      <c r="B110" s="3" t="s">
        <v>10</v>
      </c>
      <c r="C110" s="4" t="s">
        <v>118</v>
      </c>
      <c r="D110" s="3" t="s">
        <v>10</v>
      </c>
      <c r="E110" s="3" t="s">
        <v>10</v>
      </c>
      <c r="F110" s="10">
        <v>35867.941800000001</v>
      </c>
      <c r="G110" s="11">
        <v>0.204908598</v>
      </c>
      <c r="H110" s="168"/>
    </row>
    <row r="111" spans="1:8" x14ac:dyDescent="0.2">
      <c r="A111" s="3" t="s">
        <v>10</v>
      </c>
      <c r="B111" s="3" t="s">
        <v>10</v>
      </c>
      <c r="C111" s="12" t="s">
        <v>10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8"/>
    </row>
    <row r="112" spans="1:8" x14ac:dyDescent="0.2">
      <c r="A112" s="3" t="s">
        <v>10</v>
      </c>
      <c r="B112" s="3" t="s">
        <v>10</v>
      </c>
      <c r="C112" s="4" t="s">
        <v>119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8"/>
    </row>
    <row r="113" spans="1:8" x14ac:dyDescent="0.2">
      <c r="A113" s="3" t="s">
        <v>10</v>
      </c>
      <c r="B113" s="3" t="s">
        <v>10</v>
      </c>
      <c r="C113" s="4" t="s">
        <v>120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8"/>
    </row>
    <row r="114" spans="1:8" x14ac:dyDescent="0.2">
      <c r="A114" s="3" t="s">
        <v>10</v>
      </c>
      <c r="B114" s="3" t="s">
        <v>10</v>
      </c>
      <c r="C114" s="4" t="s">
        <v>104</v>
      </c>
      <c r="D114" s="3" t="s">
        <v>10</v>
      </c>
      <c r="E114" s="3" t="s">
        <v>10</v>
      </c>
      <c r="F114" s="14">
        <v>0</v>
      </c>
      <c r="G114" s="15">
        <v>0</v>
      </c>
      <c r="H114" s="168"/>
    </row>
    <row r="115" spans="1:8" x14ac:dyDescent="0.2">
      <c r="A115" s="3" t="s">
        <v>10</v>
      </c>
      <c r="B115" s="3" t="s">
        <v>10</v>
      </c>
      <c r="C115" s="12" t="s">
        <v>10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8"/>
    </row>
    <row r="116" spans="1:8" x14ac:dyDescent="0.2">
      <c r="A116" s="3" t="s">
        <v>10</v>
      </c>
      <c r="B116" s="3" t="s">
        <v>10</v>
      </c>
      <c r="C116" s="4" t="s">
        <v>121</v>
      </c>
      <c r="D116" s="3" t="s">
        <v>10</v>
      </c>
      <c r="E116" s="3" t="s">
        <v>10</v>
      </c>
      <c r="F116" s="13" t="s">
        <v>10</v>
      </c>
      <c r="G116" s="13" t="s">
        <v>10</v>
      </c>
      <c r="H116" s="168"/>
    </row>
    <row r="117" spans="1:8" x14ac:dyDescent="0.2">
      <c r="A117" s="3" t="s">
        <v>10</v>
      </c>
      <c r="B117" s="3" t="s">
        <v>10</v>
      </c>
      <c r="C117" s="4" t="s">
        <v>104</v>
      </c>
      <c r="D117" s="3" t="s">
        <v>10</v>
      </c>
      <c r="E117" s="3" t="s">
        <v>10</v>
      </c>
      <c r="F117" s="14">
        <v>0</v>
      </c>
      <c r="G117" s="15">
        <v>0</v>
      </c>
      <c r="H117" s="168"/>
    </row>
    <row r="118" spans="1:8" x14ac:dyDescent="0.2">
      <c r="A118" s="3" t="s">
        <v>10</v>
      </c>
      <c r="B118" s="3" t="s">
        <v>10</v>
      </c>
      <c r="C118" s="12" t="s">
        <v>10</v>
      </c>
      <c r="D118" s="3" t="s">
        <v>10</v>
      </c>
      <c r="E118" s="3" t="s">
        <v>10</v>
      </c>
      <c r="F118" s="13" t="s">
        <v>10</v>
      </c>
      <c r="G118" s="13" t="s">
        <v>10</v>
      </c>
      <c r="H118" s="168"/>
    </row>
    <row r="119" spans="1:8" x14ac:dyDescent="0.2">
      <c r="A119" s="3" t="s">
        <v>10</v>
      </c>
      <c r="B119" s="3" t="s">
        <v>10</v>
      </c>
      <c r="C119" s="4" t="s">
        <v>122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8"/>
    </row>
    <row r="120" spans="1:8" x14ac:dyDescent="0.2">
      <c r="A120" s="5">
        <v>1</v>
      </c>
      <c r="B120" s="6" t="s">
        <v>825</v>
      </c>
      <c r="C120" s="6" t="s">
        <v>826</v>
      </c>
      <c r="D120" s="6" t="s">
        <v>723</v>
      </c>
      <c r="E120" s="7">
        <v>2500000</v>
      </c>
      <c r="F120" s="8">
        <v>2457.34</v>
      </c>
      <c r="G120" s="9">
        <v>1.4038444000000001E-2</v>
      </c>
      <c r="H120" s="168">
        <v>3.58</v>
      </c>
    </row>
    <row r="121" spans="1:8" x14ac:dyDescent="0.2">
      <c r="A121" s="3" t="s">
        <v>10</v>
      </c>
      <c r="B121" s="3" t="s">
        <v>10</v>
      </c>
      <c r="C121" s="4" t="s">
        <v>104</v>
      </c>
      <c r="D121" s="3" t="s">
        <v>10</v>
      </c>
      <c r="E121" s="3" t="s">
        <v>10</v>
      </c>
      <c r="F121" s="10">
        <v>2457.34</v>
      </c>
      <c r="G121" s="11">
        <v>1.4038444000000001E-2</v>
      </c>
      <c r="H121" s="168"/>
    </row>
    <row r="122" spans="1:8" x14ac:dyDescent="0.2">
      <c r="A122" s="3" t="s">
        <v>10</v>
      </c>
      <c r="B122" s="3" t="s">
        <v>10</v>
      </c>
      <c r="C122" s="12" t="s">
        <v>10</v>
      </c>
      <c r="D122" s="3" t="s">
        <v>10</v>
      </c>
      <c r="E122" s="3" t="s">
        <v>10</v>
      </c>
      <c r="F122" s="13" t="s">
        <v>10</v>
      </c>
      <c r="G122" s="13" t="s">
        <v>10</v>
      </c>
      <c r="H122" s="168"/>
    </row>
    <row r="123" spans="1:8" x14ac:dyDescent="0.2">
      <c r="A123" s="3" t="s">
        <v>10</v>
      </c>
      <c r="B123" s="3" t="s">
        <v>10</v>
      </c>
      <c r="C123" s="4" t="s">
        <v>123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8"/>
    </row>
    <row r="124" spans="1:8" x14ac:dyDescent="0.2">
      <c r="A124" s="5">
        <v>1</v>
      </c>
      <c r="B124" s="6"/>
      <c r="C124" s="6" t="s">
        <v>124</v>
      </c>
      <c r="D124" s="6"/>
      <c r="E124" s="16" t="s">
        <v>10</v>
      </c>
      <c r="F124" s="8">
        <v>464.89002420000003</v>
      </c>
      <c r="G124" s="9">
        <v>2.6558530000000001E-3</v>
      </c>
      <c r="H124" s="108">
        <v>3.23</v>
      </c>
    </row>
    <row r="125" spans="1:8" x14ac:dyDescent="0.2">
      <c r="A125" s="5">
        <v>2</v>
      </c>
      <c r="B125" s="6"/>
      <c r="C125" s="6" t="s">
        <v>125</v>
      </c>
      <c r="D125" s="6"/>
      <c r="E125" s="16" t="s">
        <v>10</v>
      </c>
      <c r="F125" s="8">
        <v>130.58293499999999</v>
      </c>
      <c r="G125" s="9">
        <v>7.4600199999999995E-4</v>
      </c>
      <c r="H125" s="108">
        <v>3.35</v>
      </c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0">
        <v>595.47295919999999</v>
      </c>
      <c r="G126" s="11">
        <v>3.4018550000000001E-3</v>
      </c>
      <c r="H126" s="168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8"/>
    </row>
    <row r="128" spans="1:8" x14ac:dyDescent="0.2">
      <c r="A128" s="3" t="s">
        <v>10</v>
      </c>
      <c r="B128" s="3" t="s">
        <v>10</v>
      </c>
      <c r="C128" s="4" t="s">
        <v>126</v>
      </c>
      <c r="D128" s="3" t="s">
        <v>10</v>
      </c>
      <c r="E128" s="3" t="s">
        <v>10</v>
      </c>
      <c r="F128" s="10">
        <v>3052.8129592</v>
      </c>
      <c r="G128" s="11">
        <v>1.7440298999999999E-2</v>
      </c>
      <c r="H128" s="168"/>
    </row>
    <row r="129" spans="1:8" x14ac:dyDescent="0.2">
      <c r="A129" s="3" t="s">
        <v>10</v>
      </c>
      <c r="B129" s="3" t="s">
        <v>10</v>
      </c>
      <c r="C129" s="13" t="s">
        <v>10</v>
      </c>
      <c r="D129" s="3" t="s">
        <v>10</v>
      </c>
      <c r="E129" s="3" t="s">
        <v>10</v>
      </c>
      <c r="F129" s="3" t="s">
        <v>10</v>
      </c>
      <c r="G129" s="3" t="s">
        <v>10</v>
      </c>
      <c r="H129" s="168"/>
    </row>
    <row r="130" spans="1:8" x14ac:dyDescent="0.2">
      <c r="A130" s="3" t="s">
        <v>10</v>
      </c>
      <c r="B130" s="3" t="s">
        <v>10</v>
      </c>
      <c r="C130" s="4" t="s">
        <v>127</v>
      </c>
      <c r="D130" s="3" t="s">
        <v>10</v>
      </c>
      <c r="E130" s="3" t="s">
        <v>10</v>
      </c>
      <c r="F130" s="3" t="s">
        <v>10</v>
      </c>
      <c r="G130" s="3" t="s">
        <v>10</v>
      </c>
      <c r="H130" s="168"/>
    </row>
    <row r="131" spans="1:8" x14ac:dyDescent="0.2">
      <c r="A131" s="3" t="s">
        <v>10</v>
      </c>
      <c r="B131" s="3" t="s">
        <v>10</v>
      </c>
      <c r="C131" s="4" t="s">
        <v>128</v>
      </c>
      <c r="D131" s="3" t="s">
        <v>10</v>
      </c>
      <c r="E131" s="3" t="s">
        <v>10</v>
      </c>
      <c r="F131" s="3" t="s">
        <v>10</v>
      </c>
      <c r="G131" s="3" t="s">
        <v>10</v>
      </c>
      <c r="H131" s="168"/>
    </row>
    <row r="132" spans="1:8" x14ac:dyDescent="0.2">
      <c r="A132" s="3" t="s">
        <v>10</v>
      </c>
      <c r="B132" s="3" t="s">
        <v>10</v>
      </c>
      <c r="C132" s="4" t="s">
        <v>104</v>
      </c>
      <c r="D132" s="3" t="s">
        <v>10</v>
      </c>
      <c r="E132" s="3" t="s">
        <v>10</v>
      </c>
      <c r="F132" s="14">
        <v>0</v>
      </c>
      <c r="G132" s="15">
        <v>0</v>
      </c>
      <c r="H132" s="168"/>
    </row>
    <row r="133" spans="1:8" x14ac:dyDescent="0.2">
      <c r="A133" s="3" t="s">
        <v>10</v>
      </c>
      <c r="B133" s="3" t="s">
        <v>10</v>
      </c>
      <c r="C133" s="12" t="s">
        <v>10</v>
      </c>
      <c r="D133" s="3" t="s">
        <v>10</v>
      </c>
      <c r="E133" s="3" t="s">
        <v>10</v>
      </c>
      <c r="F133" s="13" t="s">
        <v>10</v>
      </c>
      <c r="G133" s="13" t="s">
        <v>10</v>
      </c>
      <c r="H133" s="168"/>
    </row>
    <row r="134" spans="1:8" x14ac:dyDescent="0.2">
      <c r="A134" s="3" t="s">
        <v>10</v>
      </c>
      <c r="B134" s="3" t="s">
        <v>10</v>
      </c>
      <c r="C134" s="4" t="s">
        <v>129</v>
      </c>
      <c r="D134" s="3" t="s">
        <v>10</v>
      </c>
      <c r="E134" s="3" t="s">
        <v>10</v>
      </c>
      <c r="F134" s="3" t="s">
        <v>10</v>
      </c>
      <c r="G134" s="3" t="s">
        <v>10</v>
      </c>
      <c r="H134" s="168"/>
    </row>
    <row r="135" spans="1:8" x14ac:dyDescent="0.2">
      <c r="A135" s="3" t="s">
        <v>10</v>
      </c>
      <c r="B135" s="3" t="s">
        <v>10</v>
      </c>
      <c r="C135" s="4" t="s">
        <v>130</v>
      </c>
      <c r="D135" s="3" t="s">
        <v>10</v>
      </c>
      <c r="E135" s="3" t="s">
        <v>10</v>
      </c>
      <c r="F135" s="3" t="s">
        <v>10</v>
      </c>
      <c r="G135" s="3" t="s">
        <v>10</v>
      </c>
      <c r="H135" s="168"/>
    </row>
    <row r="136" spans="1:8" x14ac:dyDescent="0.2">
      <c r="A136" s="3" t="s">
        <v>10</v>
      </c>
      <c r="B136" s="3" t="s">
        <v>10</v>
      </c>
      <c r="C136" s="4" t="s">
        <v>104</v>
      </c>
      <c r="D136" s="3" t="s">
        <v>10</v>
      </c>
      <c r="E136" s="3" t="s">
        <v>10</v>
      </c>
      <c r="F136" s="14">
        <v>0</v>
      </c>
      <c r="G136" s="15">
        <v>0</v>
      </c>
      <c r="H136" s="168"/>
    </row>
    <row r="137" spans="1:8" x14ac:dyDescent="0.2">
      <c r="A137" s="3" t="s">
        <v>10</v>
      </c>
      <c r="B137" s="3" t="s">
        <v>10</v>
      </c>
      <c r="C137" s="12" t="s">
        <v>10</v>
      </c>
      <c r="D137" s="3" t="s">
        <v>10</v>
      </c>
      <c r="E137" s="3" t="s">
        <v>10</v>
      </c>
      <c r="F137" s="13" t="s">
        <v>10</v>
      </c>
      <c r="G137" s="13" t="s">
        <v>10</v>
      </c>
      <c r="H137" s="168"/>
    </row>
    <row r="138" spans="1:8" ht="25.5" x14ac:dyDescent="0.2">
      <c r="A138" s="3" t="s">
        <v>10</v>
      </c>
      <c r="B138" s="3" t="s">
        <v>10</v>
      </c>
      <c r="C138" s="4" t="s">
        <v>131</v>
      </c>
      <c r="D138" s="3" t="s">
        <v>10</v>
      </c>
      <c r="E138" s="3" t="s">
        <v>10</v>
      </c>
      <c r="F138" s="13" t="s">
        <v>10</v>
      </c>
      <c r="G138" s="13" t="s">
        <v>10</v>
      </c>
      <c r="H138" s="168"/>
    </row>
    <row r="139" spans="1:8" x14ac:dyDescent="0.2">
      <c r="A139" s="3" t="s">
        <v>10</v>
      </c>
      <c r="B139" s="3" t="s">
        <v>10</v>
      </c>
      <c r="C139" s="4" t="s">
        <v>104</v>
      </c>
      <c r="D139" s="3" t="s">
        <v>10</v>
      </c>
      <c r="E139" s="3" t="s">
        <v>10</v>
      </c>
      <c r="F139" s="14">
        <v>0</v>
      </c>
      <c r="G139" s="15">
        <v>0</v>
      </c>
      <c r="H139" s="168"/>
    </row>
    <row r="140" spans="1:8" x14ac:dyDescent="0.2">
      <c r="A140" s="3" t="s">
        <v>10</v>
      </c>
      <c r="B140" s="3" t="s">
        <v>10</v>
      </c>
      <c r="C140" s="12" t="s">
        <v>10</v>
      </c>
      <c r="D140" s="3" t="s">
        <v>10</v>
      </c>
      <c r="E140" s="3" t="s">
        <v>10</v>
      </c>
      <c r="F140" s="13" t="s">
        <v>10</v>
      </c>
      <c r="G140" s="13" t="s">
        <v>10</v>
      </c>
      <c r="H140" s="168"/>
    </row>
    <row r="141" spans="1:8" x14ac:dyDescent="0.2">
      <c r="A141" s="3" t="s">
        <v>10</v>
      </c>
      <c r="B141" s="6" t="s">
        <v>10</v>
      </c>
      <c r="C141" s="6" t="s">
        <v>10</v>
      </c>
      <c r="D141" s="4" t="s">
        <v>10</v>
      </c>
      <c r="E141" s="3" t="s">
        <v>10</v>
      </c>
      <c r="F141" s="6" t="s">
        <v>10</v>
      </c>
      <c r="G141" s="16" t="s">
        <v>10</v>
      </c>
      <c r="H141" s="168"/>
    </row>
    <row r="142" spans="1:8" x14ac:dyDescent="0.2">
      <c r="A142" s="16" t="s">
        <v>10</v>
      </c>
      <c r="B142" s="6" t="s">
        <v>10</v>
      </c>
      <c r="C142" s="6" t="s">
        <v>779</v>
      </c>
      <c r="D142" s="6" t="s">
        <v>10</v>
      </c>
      <c r="E142" s="16" t="s">
        <v>10</v>
      </c>
      <c r="F142" s="8">
        <v>1287.216440550003</v>
      </c>
      <c r="G142" s="9">
        <v>7.3536699999999997E-3</v>
      </c>
      <c r="H142" s="168"/>
    </row>
    <row r="143" spans="1:8" x14ac:dyDescent="0.2">
      <c r="A143" s="12" t="s">
        <v>10</v>
      </c>
      <c r="B143" s="12" t="s">
        <v>10</v>
      </c>
      <c r="C143" s="4" t="s">
        <v>133</v>
      </c>
      <c r="D143" s="13" t="s">
        <v>10</v>
      </c>
      <c r="E143" s="13" t="s">
        <v>10</v>
      </c>
      <c r="F143" s="10">
        <v>175043.61819325</v>
      </c>
      <c r="G143" s="11">
        <v>1</v>
      </c>
      <c r="H143" s="168"/>
    </row>
    <row r="144" spans="1:8" ht="14.1" customHeight="1" x14ac:dyDescent="0.2">
      <c r="A144" s="18" t="s">
        <v>10</v>
      </c>
      <c r="B144" s="18" t="s">
        <v>10</v>
      </c>
      <c r="C144" s="18" t="s">
        <v>10</v>
      </c>
      <c r="D144" s="19" t="s">
        <v>10</v>
      </c>
      <c r="E144" s="19" t="s">
        <v>10</v>
      </c>
      <c r="F144" s="19" t="s">
        <v>10</v>
      </c>
      <c r="G144" s="19" t="s">
        <v>10</v>
      </c>
      <c r="H144" s="169"/>
    </row>
    <row r="145" spans="1:8" ht="17.100000000000001" customHeight="1" x14ac:dyDescent="0.2">
      <c r="A145" s="35" t="s">
        <v>10</v>
      </c>
      <c r="B145" s="222" t="s">
        <v>780</v>
      </c>
      <c r="C145" s="222"/>
      <c r="D145" s="222"/>
      <c r="E145" s="222"/>
      <c r="F145" s="222"/>
      <c r="G145" s="36" t="s">
        <v>10</v>
      </c>
      <c r="H145" s="169"/>
    </row>
    <row r="146" spans="1:8" ht="17.100000000000001" customHeight="1" x14ac:dyDescent="0.2">
      <c r="A146" s="35" t="s">
        <v>10</v>
      </c>
      <c r="B146" s="222" t="s">
        <v>781</v>
      </c>
      <c r="C146" s="222"/>
      <c r="D146" s="222"/>
      <c r="E146" s="222"/>
      <c r="F146" s="222"/>
      <c r="G146" s="36" t="s">
        <v>10</v>
      </c>
    </row>
    <row r="147" spans="1:8" ht="14.1" customHeight="1" x14ac:dyDescent="0.2">
      <c r="A147" s="35" t="s">
        <v>10</v>
      </c>
      <c r="B147" s="222" t="s">
        <v>10</v>
      </c>
      <c r="C147" s="222"/>
      <c r="D147" s="222"/>
      <c r="E147" s="222"/>
      <c r="F147" s="222"/>
      <c r="G147" s="36" t="s">
        <v>10</v>
      </c>
    </row>
    <row r="148" spans="1:8" ht="14.1" customHeight="1" x14ac:dyDescent="0.2">
      <c r="A148" s="35" t="s">
        <v>10</v>
      </c>
      <c r="B148" s="35" t="s">
        <v>10</v>
      </c>
      <c r="C148" s="35" t="s">
        <v>10</v>
      </c>
      <c r="D148" s="36" t="s">
        <v>10</v>
      </c>
      <c r="E148" s="36" t="s">
        <v>10</v>
      </c>
      <c r="F148" s="36" t="s">
        <v>10</v>
      </c>
      <c r="G148" s="36" t="s">
        <v>10</v>
      </c>
    </row>
    <row r="149" spans="1:8" ht="14.1" customHeight="1" x14ac:dyDescent="0.2">
      <c r="A149" s="35" t="s">
        <v>10</v>
      </c>
      <c r="B149" s="206" t="s">
        <v>134</v>
      </c>
      <c r="C149" s="223"/>
      <c r="D149" s="207"/>
      <c r="E149" s="23" t="s">
        <v>10</v>
      </c>
      <c r="F149" s="36" t="s">
        <v>10</v>
      </c>
      <c r="G149" s="36" t="s">
        <v>10</v>
      </c>
    </row>
    <row r="150" spans="1:8" ht="29.1" customHeight="1" x14ac:dyDescent="0.2">
      <c r="A150" s="35" t="s">
        <v>10</v>
      </c>
      <c r="B150" s="213" t="s">
        <v>135</v>
      </c>
      <c r="C150" s="214"/>
      <c r="D150" s="170" t="s">
        <v>990</v>
      </c>
      <c r="E150" s="23" t="s">
        <v>10</v>
      </c>
      <c r="F150" s="36" t="s">
        <v>10</v>
      </c>
      <c r="G150" s="36" t="s">
        <v>10</v>
      </c>
    </row>
    <row r="151" spans="1:8" ht="17.100000000000001" customHeight="1" x14ac:dyDescent="0.2">
      <c r="A151" s="35" t="s">
        <v>10</v>
      </c>
      <c r="B151" s="213" t="s">
        <v>137</v>
      </c>
      <c r="C151" s="214"/>
      <c r="D151" s="4" t="s">
        <v>136</v>
      </c>
      <c r="E151" s="23" t="s">
        <v>10</v>
      </c>
      <c r="F151" s="36" t="s">
        <v>10</v>
      </c>
      <c r="G151" s="36" t="s">
        <v>10</v>
      </c>
    </row>
    <row r="152" spans="1:8" ht="17.100000000000001" customHeight="1" x14ac:dyDescent="0.2">
      <c r="A152" s="35" t="s">
        <v>10</v>
      </c>
      <c r="B152" s="213" t="s">
        <v>138</v>
      </c>
      <c r="C152" s="214"/>
      <c r="D152" s="13" t="s">
        <v>10</v>
      </c>
      <c r="E152" s="23" t="s">
        <v>10</v>
      </c>
      <c r="F152" s="36" t="s">
        <v>10</v>
      </c>
      <c r="G152" s="36" t="s">
        <v>10</v>
      </c>
    </row>
    <row r="153" spans="1:8" s="20" customFormat="1" ht="17.100000000000001" customHeight="1" x14ac:dyDescent="0.2"/>
    <row r="154" spans="1:8" x14ac:dyDescent="0.2">
      <c r="A154" s="24" t="s">
        <v>10</v>
      </c>
      <c r="B154" s="140" t="s">
        <v>10</v>
      </c>
      <c r="C154" s="140" t="s">
        <v>139</v>
      </c>
      <c r="D154" s="140" t="s">
        <v>140</v>
      </c>
      <c r="E154" s="24" t="s">
        <v>10</v>
      </c>
      <c r="F154" s="24" t="s">
        <v>10</v>
      </c>
      <c r="G154" s="24" t="s">
        <v>10</v>
      </c>
    </row>
    <row r="155" spans="1:8" ht="18" customHeight="1" x14ac:dyDescent="0.2">
      <c r="A155" s="37" t="s">
        <v>10</v>
      </c>
      <c r="B155" s="38" t="s">
        <v>141</v>
      </c>
      <c r="C155" s="25" t="s">
        <v>142</v>
      </c>
      <c r="D155" s="25" t="s">
        <v>143</v>
      </c>
      <c r="E155" s="37" t="s">
        <v>10</v>
      </c>
      <c r="F155" s="37" t="s">
        <v>10</v>
      </c>
      <c r="G155" s="37" t="s">
        <v>10</v>
      </c>
    </row>
    <row r="156" spans="1:8" ht="17.100000000000001" customHeight="1" x14ac:dyDescent="0.2">
      <c r="A156" s="37" t="s">
        <v>10</v>
      </c>
      <c r="B156" s="6" t="s">
        <v>144</v>
      </c>
      <c r="C156" s="39">
        <v>120.5493</v>
      </c>
      <c r="D156" s="39">
        <v>127.6187</v>
      </c>
      <c r="E156" s="37" t="s">
        <v>10</v>
      </c>
      <c r="F156" s="40" t="s">
        <v>10</v>
      </c>
      <c r="G156" s="41" t="s">
        <v>10</v>
      </c>
    </row>
    <row r="157" spans="1:8" ht="17.100000000000001" customHeight="1" x14ac:dyDescent="0.2">
      <c r="A157" s="37" t="s">
        <v>10</v>
      </c>
      <c r="B157" s="6" t="s">
        <v>917</v>
      </c>
      <c r="C157" s="39">
        <v>16.4986</v>
      </c>
      <c r="D157" s="39">
        <v>17.307700000000001</v>
      </c>
      <c r="E157" s="37" t="s">
        <v>10</v>
      </c>
      <c r="F157" s="40" t="s">
        <v>10</v>
      </c>
      <c r="G157" s="41" t="s">
        <v>10</v>
      </c>
    </row>
    <row r="158" spans="1:8" ht="17.100000000000001" customHeight="1" x14ac:dyDescent="0.2">
      <c r="A158" s="37" t="s">
        <v>10</v>
      </c>
      <c r="B158" s="6" t="s">
        <v>145</v>
      </c>
      <c r="C158" s="39">
        <v>112.301</v>
      </c>
      <c r="D158" s="39">
        <v>118.75830000000001</v>
      </c>
      <c r="E158" s="37" t="s">
        <v>10</v>
      </c>
      <c r="F158" s="40" t="s">
        <v>10</v>
      </c>
      <c r="G158" s="41" t="s">
        <v>10</v>
      </c>
    </row>
    <row r="159" spans="1:8" ht="17.100000000000001" customHeight="1" x14ac:dyDescent="0.2">
      <c r="A159" s="37" t="s">
        <v>10</v>
      </c>
      <c r="B159" s="6" t="s">
        <v>918</v>
      </c>
      <c r="C159" s="39">
        <v>14.6265</v>
      </c>
      <c r="D159" s="39">
        <v>15.3278</v>
      </c>
      <c r="E159" s="37" t="s">
        <v>10</v>
      </c>
      <c r="F159" s="40" t="s">
        <v>10</v>
      </c>
      <c r="G159" s="41" t="s">
        <v>10</v>
      </c>
    </row>
    <row r="160" spans="1:8" ht="14.1" customHeight="1" x14ac:dyDescent="0.2">
      <c r="A160" s="37" t="s">
        <v>10</v>
      </c>
      <c r="B160" s="37" t="s">
        <v>10</v>
      </c>
      <c r="C160" s="37" t="s">
        <v>10</v>
      </c>
      <c r="D160" s="37" t="s">
        <v>10</v>
      </c>
      <c r="E160" s="37" t="s">
        <v>10</v>
      </c>
      <c r="F160" s="37" t="s">
        <v>10</v>
      </c>
      <c r="G160" s="37" t="s">
        <v>10</v>
      </c>
    </row>
    <row r="161" spans="1:8" ht="29.1" customHeight="1" x14ac:dyDescent="0.2">
      <c r="A161" s="37" t="s">
        <v>10</v>
      </c>
      <c r="B161" s="213" t="s">
        <v>999</v>
      </c>
      <c r="C161" s="214"/>
      <c r="D161" s="4"/>
      <c r="E161" s="37" t="s">
        <v>10</v>
      </c>
      <c r="F161" s="37" t="s">
        <v>10</v>
      </c>
      <c r="G161" s="37" t="s">
        <v>10</v>
      </c>
    </row>
    <row r="162" spans="1:8" s="144" customFormat="1" ht="15" x14ac:dyDescent="0.2">
      <c r="A162" s="141" t="s">
        <v>10</v>
      </c>
      <c r="B162" s="142" t="s">
        <v>141</v>
      </c>
      <c r="C162" s="142" t="s">
        <v>827</v>
      </c>
      <c r="D162" s="142" t="s">
        <v>828</v>
      </c>
      <c r="E162" s="141" t="s">
        <v>10</v>
      </c>
      <c r="F162" s="141" t="s">
        <v>10</v>
      </c>
      <c r="G162" s="141" t="s">
        <v>10</v>
      </c>
      <c r="H162" s="143"/>
    </row>
    <row r="163" spans="1:8" ht="17.100000000000001" customHeight="1" x14ac:dyDescent="0.2">
      <c r="A163" s="37" t="s">
        <v>10</v>
      </c>
      <c r="B163" s="6" t="s">
        <v>917</v>
      </c>
      <c r="C163" s="45">
        <v>0.153</v>
      </c>
      <c r="D163" s="45">
        <v>0.153</v>
      </c>
      <c r="E163" s="37" t="s">
        <v>10</v>
      </c>
      <c r="F163" s="40" t="s">
        <v>10</v>
      </c>
      <c r="G163" s="41" t="s">
        <v>10</v>
      </c>
    </row>
    <row r="164" spans="1:8" ht="17.100000000000001" customHeight="1" x14ac:dyDescent="0.2">
      <c r="A164" s="37" t="s">
        <v>10</v>
      </c>
      <c r="B164" s="6" t="s">
        <v>918</v>
      </c>
      <c r="C164" s="45">
        <v>0.13500000000000001</v>
      </c>
      <c r="D164" s="45">
        <v>0.13500000000000001</v>
      </c>
      <c r="E164" s="37" t="s">
        <v>10</v>
      </c>
      <c r="F164" s="40" t="s">
        <v>10</v>
      </c>
      <c r="G164" s="41" t="s">
        <v>10</v>
      </c>
    </row>
    <row r="165" spans="1:8" ht="14.1" customHeight="1" x14ac:dyDescent="0.2">
      <c r="A165" s="37" t="s">
        <v>10</v>
      </c>
      <c r="B165" s="46" t="s">
        <v>10</v>
      </c>
      <c r="C165" s="46" t="s">
        <v>10</v>
      </c>
      <c r="D165" s="47" t="s">
        <v>10</v>
      </c>
      <c r="E165" s="37" t="s">
        <v>10</v>
      </c>
      <c r="F165" s="151" t="s">
        <v>10</v>
      </c>
      <c r="G165" s="41" t="s">
        <v>10</v>
      </c>
    </row>
    <row r="166" spans="1:8" s="175" customFormat="1" x14ac:dyDescent="0.2">
      <c r="B166" s="221" t="s">
        <v>919</v>
      </c>
      <c r="C166" s="221"/>
      <c r="D166" s="221"/>
      <c r="E166" s="221"/>
      <c r="F166" s="221"/>
    </row>
    <row r="167" spans="1:8" ht="14.1" customHeight="1" x14ac:dyDescent="0.2">
      <c r="A167" s="37" t="s">
        <v>10</v>
      </c>
      <c r="B167" s="40" t="s">
        <v>10</v>
      </c>
      <c r="C167" s="40" t="s">
        <v>10</v>
      </c>
      <c r="D167" s="37" t="s">
        <v>10</v>
      </c>
      <c r="E167" s="37" t="s">
        <v>10</v>
      </c>
      <c r="F167" s="37" t="s">
        <v>10</v>
      </c>
      <c r="G167" s="37" t="s">
        <v>10</v>
      </c>
    </row>
    <row r="168" spans="1:8" ht="29.1" customHeight="1" x14ac:dyDescent="0.2">
      <c r="A168" s="37" t="s">
        <v>10</v>
      </c>
      <c r="B168" s="213" t="s">
        <v>146</v>
      </c>
      <c r="C168" s="214"/>
      <c r="D168" s="4" t="s">
        <v>136</v>
      </c>
      <c r="E168" s="43" t="s">
        <v>10</v>
      </c>
      <c r="F168" s="37" t="s">
        <v>10</v>
      </c>
      <c r="G168" s="37" t="s">
        <v>10</v>
      </c>
    </row>
    <row r="169" spans="1:8" ht="29.1" customHeight="1" x14ac:dyDescent="0.2">
      <c r="A169" s="37" t="s">
        <v>10</v>
      </c>
      <c r="B169" s="213" t="s">
        <v>147</v>
      </c>
      <c r="C169" s="214"/>
      <c r="D169" s="4" t="s">
        <v>136</v>
      </c>
      <c r="E169" s="43" t="s">
        <v>10</v>
      </c>
      <c r="F169" s="37" t="s">
        <v>10</v>
      </c>
      <c r="G169" s="37" t="s">
        <v>10</v>
      </c>
    </row>
    <row r="170" spans="1:8" ht="17.100000000000001" customHeight="1" x14ac:dyDescent="0.2">
      <c r="A170" s="37" t="s">
        <v>10</v>
      </c>
      <c r="B170" s="215" t="s">
        <v>982</v>
      </c>
      <c r="C170" s="216"/>
      <c r="D170" s="44">
        <v>4.7428279803944031</v>
      </c>
      <c r="E170" s="43" t="s">
        <v>10</v>
      </c>
      <c r="F170" s="37" t="s">
        <v>10</v>
      </c>
      <c r="G170" s="37" t="s">
        <v>10</v>
      </c>
    </row>
    <row r="171" spans="1:8" ht="17.100000000000001" customHeight="1" x14ac:dyDescent="0.2">
      <c r="A171" s="37" t="s">
        <v>10</v>
      </c>
      <c r="B171" s="215" t="s">
        <v>983</v>
      </c>
      <c r="C171" s="216"/>
      <c r="D171" s="44">
        <v>3.566848454760283</v>
      </c>
      <c r="E171" s="43" t="s">
        <v>10</v>
      </c>
      <c r="F171" s="37" t="s">
        <v>10</v>
      </c>
      <c r="G171" s="37" t="s">
        <v>10</v>
      </c>
    </row>
    <row r="172" spans="1:8" ht="17.100000000000001" customHeight="1" x14ac:dyDescent="0.2">
      <c r="A172" s="37" t="s">
        <v>10</v>
      </c>
      <c r="B172" s="213" t="s">
        <v>783</v>
      </c>
      <c r="C172" s="214"/>
      <c r="D172" s="4" t="s">
        <v>136</v>
      </c>
      <c r="E172" s="43" t="s">
        <v>10</v>
      </c>
      <c r="F172" s="37" t="s">
        <v>10</v>
      </c>
      <c r="G172" s="37" t="s">
        <v>10</v>
      </c>
    </row>
    <row r="173" spans="1:8" ht="17.100000000000001" customHeight="1" x14ac:dyDescent="0.2">
      <c r="A173" s="37" t="s">
        <v>10</v>
      </c>
      <c r="B173" s="213" t="s">
        <v>784</v>
      </c>
      <c r="C173" s="214"/>
      <c r="D173" s="30">
        <v>0.99298040518801944</v>
      </c>
      <c r="E173" s="37" t="s">
        <v>10</v>
      </c>
      <c r="F173" s="40" t="s">
        <v>10</v>
      </c>
      <c r="G173" s="41" t="s">
        <v>10</v>
      </c>
    </row>
    <row r="174" spans="1:8" ht="11.1" customHeight="1" x14ac:dyDescent="0.2">
      <c r="A174" s="42"/>
      <c r="B174" s="42"/>
      <c r="C174" s="42"/>
      <c r="D174" s="42"/>
      <c r="E174" s="42"/>
      <c r="F174" s="42"/>
      <c r="G174" s="42"/>
    </row>
  </sheetData>
  <mergeCells count="18">
    <mergeCell ref="A1:H1"/>
    <mergeCell ref="A2:H2"/>
    <mergeCell ref="A3:H3"/>
    <mergeCell ref="B166:F166"/>
    <mergeCell ref="B168:C168"/>
    <mergeCell ref="B145:F145"/>
    <mergeCell ref="B146:F146"/>
    <mergeCell ref="B147:F147"/>
    <mergeCell ref="B149:D149"/>
    <mergeCell ref="B150:C150"/>
    <mergeCell ref="B151:C151"/>
    <mergeCell ref="B152:C152"/>
    <mergeCell ref="B161:C161"/>
    <mergeCell ref="B169:C169"/>
    <mergeCell ref="B170:C170"/>
    <mergeCell ref="B171:C171"/>
    <mergeCell ref="B172:C172"/>
    <mergeCell ref="B173:C17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144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703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1267715</v>
      </c>
      <c r="F7" s="8">
        <v>8401.7811624999995</v>
      </c>
      <c r="G7" s="9">
        <v>7.8202514000000001E-2</v>
      </c>
      <c r="H7" s="167"/>
    </row>
    <row r="8" spans="1:8" x14ac:dyDescent="0.2">
      <c r="A8" s="5">
        <v>2</v>
      </c>
      <c r="B8" s="6" t="s">
        <v>399</v>
      </c>
      <c r="C8" s="6" t="s">
        <v>400</v>
      </c>
      <c r="D8" s="6" t="s">
        <v>167</v>
      </c>
      <c r="E8" s="7">
        <v>577633</v>
      </c>
      <c r="F8" s="8">
        <v>8050.7599375</v>
      </c>
      <c r="G8" s="9">
        <v>7.4935261000000003E-2</v>
      </c>
      <c r="H8" s="167"/>
    </row>
    <row r="9" spans="1:8" x14ac:dyDescent="0.2">
      <c r="A9" s="5">
        <v>3</v>
      </c>
      <c r="B9" s="6" t="s">
        <v>51</v>
      </c>
      <c r="C9" s="6" t="s">
        <v>52</v>
      </c>
      <c r="D9" s="6" t="s">
        <v>23</v>
      </c>
      <c r="E9" s="7">
        <v>492852</v>
      </c>
      <c r="F9" s="8">
        <v>7470.8970419999996</v>
      </c>
      <c r="G9" s="9">
        <v>6.9537984999999997E-2</v>
      </c>
      <c r="H9" s="167"/>
    </row>
    <row r="10" spans="1:8" x14ac:dyDescent="0.2">
      <c r="A10" s="5">
        <v>4</v>
      </c>
      <c r="B10" s="6" t="s">
        <v>16</v>
      </c>
      <c r="C10" s="6" t="s">
        <v>17</v>
      </c>
      <c r="D10" s="6" t="s">
        <v>18</v>
      </c>
      <c r="E10" s="7">
        <v>340589</v>
      </c>
      <c r="F10" s="8">
        <v>7357.7441669999998</v>
      </c>
      <c r="G10" s="9">
        <v>6.8484774999999998E-2</v>
      </c>
      <c r="H10" s="167"/>
    </row>
    <row r="11" spans="1:8" x14ac:dyDescent="0.2">
      <c r="A11" s="5">
        <v>5</v>
      </c>
      <c r="B11" s="6" t="s">
        <v>403</v>
      </c>
      <c r="C11" s="6" t="s">
        <v>404</v>
      </c>
      <c r="D11" s="6" t="s">
        <v>23</v>
      </c>
      <c r="E11" s="7">
        <v>1329136</v>
      </c>
      <c r="F11" s="8">
        <v>5640.1886160000004</v>
      </c>
      <c r="G11" s="9">
        <v>5.2498026000000003E-2</v>
      </c>
      <c r="H11" s="167"/>
    </row>
    <row r="12" spans="1:8" ht="25.5" x14ac:dyDescent="0.2">
      <c r="A12" s="5">
        <v>6</v>
      </c>
      <c r="B12" s="6" t="s">
        <v>401</v>
      </c>
      <c r="C12" s="6" t="s">
        <v>402</v>
      </c>
      <c r="D12" s="6" t="s">
        <v>158</v>
      </c>
      <c r="E12" s="7">
        <v>188177</v>
      </c>
      <c r="F12" s="8">
        <v>4803.8765444999999</v>
      </c>
      <c r="G12" s="9">
        <v>4.4713758999999999E-2</v>
      </c>
      <c r="H12" s="167"/>
    </row>
    <row r="13" spans="1:8" x14ac:dyDescent="0.2">
      <c r="A13" s="5">
        <v>7</v>
      </c>
      <c r="B13" s="6" t="s">
        <v>413</v>
      </c>
      <c r="C13" s="6" t="s">
        <v>414</v>
      </c>
      <c r="D13" s="6" t="s">
        <v>167</v>
      </c>
      <c r="E13" s="7">
        <v>142864</v>
      </c>
      <c r="F13" s="8">
        <v>4513.2880560000003</v>
      </c>
      <c r="G13" s="9">
        <v>4.2009006000000002E-2</v>
      </c>
      <c r="H13" s="167"/>
    </row>
    <row r="14" spans="1:8" x14ac:dyDescent="0.2">
      <c r="A14" s="5">
        <v>8</v>
      </c>
      <c r="B14" s="6" t="s">
        <v>13</v>
      </c>
      <c r="C14" s="6" t="s">
        <v>14</v>
      </c>
      <c r="D14" s="6" t="s">
        <v>15</v>
      </c>
      <c r="E14" s="7">
        <v>277602</v>
      </c>
      <c r="F14" s="8">
        <v>4074.3645540000002</v>
      </c>
      <c r="G14" s="9">
        <v>3.7923572000000003E-2</v>
      </c>
      <c r="H14" s="167"/>
    </row>
    <row r="15" spans="1:8" x14ac:dyDescent="0.2">
      <c r="A15" s="5">
        <v>9</v>
      </c>
      <c r="B15" s="6" t="s">
        <v>370</v>
      </c>
      <c r="C15" s="6" t="s">
        <v>371</v>
      </c>
      <c r="D15" s="6" t="s">
        <v>23</v>
      </c>
      <c r="E15" s="7">
        <v>523701</v>
      </c>
      <c r="F15" s="8">
        <v>3931.4234070000002</v>
      </c>
      <c r="G15" s="9">
        <v>3.6593096999999998E-2</v>
      </c>
      <c r="H15" s="167"/>
    </row>
    <row r="16" spans="1:8" x14ac:dyDescent="0.2">
      <c r="A16" s="5">
        <v>10</v>
      </c>
      <c r="B16" s="6" t="s">
        <v>366</v>
      </c>
      <c r="C16" s="6" t="s">
        <v>367</v>
      </c>
      <c r="D16" s="6" t="s">
        <v>167</v>
      </c>
      <c r="E16" s="7">
        <v>263510</v>
      </c>
      <c r="F16" s="8">
        <v>2490.69652</v>
      </c>
      <c r="G16" s="9">
        <v>2.3183028000000001E-2</v>
      </c>
      <c r="H16" s="167"/>
    </row>
    <row r="17" spans="1:8" x14ac:dyDescent="0.2">
      <c r="A17" s="5">
        <v>11</v>
      </c>
      <c r="B17" s="6" t="s">
        <v>24</v>
      </c>
      <c r="C17" s="6" t="s">
        <v>25</v>
      </c>
      <c r="D17" s="6" t="s">
        <v>26</v>
      </c>
      <c r="E17" s="7">
        <v>449264</v>
      </c>
      <c r="F17" s="8">
        <v>2403.1131359999999</v>
      </c>
      <c r="G17" s="9">
        <v>2.2367814999999999E-2</v>
      </c>
      <c r="H17" s="167"/>
    </row>
    <row r="18" spans="1:8" x14ac:dyDescent="0.2">
      <c r="A18" s="5">
        <v>12</v>
      </c>
      <c r="B18" s="6" t="s">
        <v>61</v>
      </c>
      <c r="C18" s="6" t="s">
        <v>62</v>
      </c>
      <c r="D18" s="6" t="s">
        <v>18</v>
      </c>
      <c r="E18" s="7">
        <v>487530</v>
      </c>
      <c r="F18" s="8">
        <v>2301.1415999999999</v>
      </c>
      <c r="G18" s="9">
        <v>2.1418678999999999E-2</v>
      </c>
      <c r="H18" s="167"/>
    </row>
    <row r="19" spans="1:8" x14ac:dyDescent="0.2">
      <c r="A19" s="5">
        <v>13</v>
      </c>
      <c r="B19" s="6" t="s">
        <v>299</v>
      </c>
      <c r="C19" s="6" t="s">
        <v>300</v>
      </c>
      <c r="D19" s="6" t="s">
        <v>167</v>
      </c>
      <c r="E19" s="7">
        <v>95146</v>
      </c>
      <c r="F19" s="8">
        <v>2278.1282510000001</v>
      </c>
      <c r="G19" s="9">
        <v>2.1204475E-2</v>
      </c>
      <c r="H19" s="167"/>
    </row>
    <row r="20" spans="1:8" x14ac:dyDescent="0.2">
      <c r="A20" s="5">
        <v>14</v>
      </c>
      <c r="B20" s="6" t="s">
        <v>339</v>
      </c>
      <c r="C20" s="6" t="s">
        <v>340</v>
      </c>
      <c r="D20" s="6" t="s">
        <v>192</v>
      </c>
      <c r="E20" s="7">
        <v>71231</v>
      </c>
      <c r="F20" s="8">
        <v>2246.5188935000001</v>
      </c>
      <c r="G20" s="9">
        <v>2.091026E-2</v>
      </c>
      <c r="H20" s="167"/>
    </row>
    <row r="21" spans="1:8" ht="25.5" x14ac:dyDescent="0.2">
      <c r="A21" s="5">
        <v>15</v>
      </c>
      <c r="B21" s="6" t="s">
        <v>487</v>
      </c>
      <c r="C21" s="6" t="s">
        <v>488</v>
      </c>
      <c r="D21" s="6" t="s">
        <v>78</v>
      </c>
      <c r="E21" s="7">
        <v>14892</v>
      </c>
      <c r="F21" s="8">
        <v>1954.939854</v>
      </c>
      <c r="G21" s="9">
        <v>1.8196285999999999E-2</v>
      </c>
      <c r="H21" s="167"/>
    </row>
    <row r="22" spans="1:8" ht="25.5" x14ac:dyDescent="0.2">
      <c r="A22" s="5">
        <v>16</v>
      </c>
      <c r="B22" s="6" t="s">
        <v>419</v>
      </c>
      <c r="C22" s="6" t="s">
        <v>420</v>
      </c>
      <c r="D22" s="6" t="s">
        <v>78</v>
      </c>
      <c r="E22" s="7">
        <v>78561</v>
      </c>
      <c r="F22" s="8">
        <v>1838.3666805</v>
      </c>
      <c r="G22" s="9">
        <v>1.711124E-2</v>
      </c>
      <c r="H22" s="167"/>
    </row>
    <row r="23" spans="1:8" x14ac:dyDescent="0.2">
      <c r="A23" s="5">
        <v>17</v>
      </c>
      <c r="B23" s="6" t="s">
        <v>317</v>
      </c>
      <c r="C23" s="6" t="s">
        <v>318</v>
      </c>
      <c r="D23" s="6" t="s">
        <v>240</v>
      </c>
      <c r="E23" s="7">
        <v>69284</v>
      </c>
      <c r="F23" s="8">
        <v>1811.7419580000001</v>
      </c>
      <c r="G23" s="9">
        <v>1.6863421E-2</v>
      </c>
      <c r="H23" s="167"/>
    </row>
    <row r="24" spans="1:8" x14ac:dyDescent="0.2">
      <c r="A24" s="5">
        <v>18</v>
      </c>
      <c r="B24" s="6" t="s">
        <v>438</v>
      </c>
      <c r="C24" s="6" t="s">
        <v>439</v>
      </c>
      <c r="D24" s="6" t="s">
        <v>29</v>
      </c>
      <c r="E24" s="7">
        <v>93108</v>
      </c>
      <c r="F24" s="8">
        <v>1745.9612159999999</v>
      </c>
      <c r="G24" s="9">
        <v>1.6251143999999999E-2</v>
      </c>
      <c r="H24" s="167"/>
    </row>
    <row r="25" spans="1:8" ht="25.5" x14ac:dyDescent="0.2">
      <c r="A25" s="5">
        <v>19</v>
      </c>
      <c r="B25" s="6" t="s">
        <v>640</v>
      </c>
      <c r="C25" s="6" t="s">
        <v>641</v>
      </c>
      <c r="D25" s="6" t="s">
        <v>970</v>
      </c>
      <c r="E25" s="7">
        <v>511927</v>
      </c>
      <c r="F25" s="8">
        <v>1672.9774359999999</v>
      </c>
      <c r="G25" s="9">
        <v>1.5571822000000001E-2</v>
      </c>
      <c r="H25" s="167"/>
    </row>
    <row r="26" spans="1:8" x14ac:dyDescent="0.2">
      <c r="A26" s="5">
        <v>20</v>
      </c>
      <c r="B26" s="6" t="s">
        <v>325</v>
      </c>
      <c r="C26" s="6" t="s">
        <v>326</v>
      </c>
      <c r="D26" s="6" t="s">
        <v>70</v>
      </c>
      <c r="E26" s="7">
        <v>299733</v>
      </c>
      <c r="F26" s="8">
        <v>1585.1379704999999</v>
      </c>
      <c r="G26" s="9">
        <v>1.4754226E-2</v>
      </c>
      <c r="H26" s="167"/>
    </row>
    <row r="27" spans="1:8" x14ac:dyDescent="0.2">
      <c r="A27" s="5">
        <v>21</v>
      </c>
      <c r="B27" s="6" t="s">
        <v>388</v>
      </c>
      <c r="C27" s="6" t="s">
        <v>389</v>
      </c>
      <c r="D27" s="6" t="s">
        <v>969</v>
      </c>
      <c r="E27" s="7">
        <v>13401</v>
      </c>
      <c r="F27" s="8">
        <v>1582.1622629999999</v>
      </c>
      <c r="G27" s="9">
        <v>1.4726527999999999E-2</v>
      </c>
      <c r="H27" s="167"/>
    </row>
    <row r="28" spans="1:8" x14ac:dyDescent="0.2">
      <c r="A28" s="5">
        <v>22</v>
      </c>
      <c r="B28" s="6" t="s">
        <v>417</v>
      </c>
      <c r="C28" s="6" t="s">
        <v>418</v>
      </c>
      <c r="D28" s="6" t="s">
        <v>57</v>
      </c>
      <c r="E28" s="7">
        <v>132628</v>
      </c>
      <c r="F28" s="8">
        <v>1492.9270819999999</v>
      </c>
      <c r="G28" s="9">
        <v>1.3895940000000001E-2</v>
      </c>
      <c r="H28" s="167"/>
    </row>
    <row r="29" spans="1:8" x14ac:dyDescent="0.2">
      <c r="A29" s="5">
        <v>23</v>
      </c>
      <c r="B29" s="6" t="s">
        <v>362</v>
      </c>
      <c r="C29" s="6" t="s">
        <v>363</v>
      </c>
      <c r="D29" s="6" t="s">
        <v>75</v>
      </c>
      <c r="E29" s="7">
        <v>66561</v>
      </c>
      <c r="F29" s="8">
        <v>1439.3150639999999</v>
      </c>
      <c r="G29" s="9">
        <v>1.3396928000000001E-2</v>
      </c>
      <c r="H29" s="167"/>
    </row>
    <row r="30" spans="1:8" x14ac:dyDescent="0.2">
      <c r="A30" s="5">
        <v>24</v>
      </c>
      <c r="B30" s="6" t="s">
        <v>704</v>
      </c>
      <c r="C30" s="6" t="s">
        <v>705</v>
      </c>
      <c r="D30" s="6" t="s">
        <v>158</v>
      </c>
      <c r="E30" s="7">
        <v>97266</v>
      </c>
      <c r="F30" s="8">
        <v>1390.7092680000001</v>
      </c>
      <c r="G30" s="9">
        <v>1.2944512E-2</v>
      </c>
      <c r="H30" s="167"/>
    </row>
    <row r="31" spans="1:8" ht="25.5" x14ac:dyDescent="0.2">
      <c r="A31" s="5">
        <v>25</v>
      </c>
      <c r="B31" s="6" t="s">
        <v>327</v>
      </c>
      <c r="C31" s="6" t="s">
        <v>328</v>
      </c>
      <c r="D31" s="6" t="s">
        <v>78</v>
      </c>
      <c r="E31" s="7">
        <v>133351</v>
      </c>
      <c r="F31" s="8">
        <v>1348.9120405000001</v>
      </c>
      <c r="G31" s="9">
        <v>1.2555470000000001E-2</v>
      </c>
      <c r="H31" s="167"/>
    </row>
    <row r="32" spans="1:8" ht="25.5" x14ac:dyDescent="0.2">
      <c r="A32" s="5">
        <v>26</v>
      </c>
      <c r="B32" s="6" t="s">
        <v>40</v>
      </c>
      <c r="C32" s="6" t="s">
        <v>41</v>
      </c>
      <c r="D32" s="6" t="s">
        <v>970</v>
      </c>
      <c r="E32" s="7">
        <v>19363</v>
      </c>
      <c r="F32" s="8">
        <v>1298.87004</v>
      </c>
      <c r="G32" s="9">
        <v>1.2089687E-2</v>
      </c>
      <c r="H32" s="167"/>
    </row>
    <row r="33" spans="1:8" x14ac:dyDescent="0.2">
      <c r="A33" s="5">
        <v>27</v>
      </c>
      <c r="B33" s="6" t="s">
        <v>415</v>
      </c>
      <c r="C33" s="6" t="s">
        <v>416</v>
      </c>
      <c r="D33" s="6" t="s">
        <v>192</v>
      </c>
      <c r="E33" s="7">
        <v>190664</v>
      </c>
      <c r="F33" s="8">
        <v>1274.207512</v>
      </c>
      <c r="G33" s="9">
        <v>1.1860132000000001E-2</v>
      </c>
      <c r="H33" s="167"/>
    </row>
    <row r="34" spans="1:8" x14ac:dyDescent="0.2">
      <c r="A34" s="5">
        <v>28</v>
      </c>
      <c r="B34" s="6" t="s">
        <v>431</v>
      </c>
      <c r="C34" s="6" t="s">
        <v>432</v>
      </c>
      <c r="D34" s="6" t="s">
        <v>433</v>
      </c>
      <c r="E34" s="7">
        <v>319113</v>
      </c>
      <c r="F34" s="8">
        <v>1258.1030025</v>
      </c>
      <c r="G34" s="9">
        <v>1.1710233E-2</v>
      </c>
      <c r="H34" s="167"/>
    </row>
    <row r="35" spans="1:8" ht="25.5" x14ac:dyDescent="0.2">
      <c r="A35" s="5">
        <v>29</v>
      </c>
      <c r="B35" s="6" t="s">
        <v>483</v>
      </c>
      <c r="C35" s="6" t="s">
        <v>484</v>
      </c>
      <c r="D35" s="6" t="s">
        <v>78</v>
      </c>
      <c r="E35" s="7">
        <v>197658</v>
      </c>
      <c r="F35" s="8">
        <v>1210.556421</v>
      </c>
      <c r="G35" s="9">
        <v>1.1267677E-2</v>
      </c>
      <c r="H35" s="167"/>
    </row>
    <row r="36" spans="1:8" ht="25.5" x14ac:dyDescent="0.2">
      <c r="A36" s="5">
        <v>30</v>
      </c>
      <c r="B36" s="6" t="s">
        <v>668</v>
      </c>
      <c r="C36" s="6" t="s">
        <v>669</v>
      </c>
      <c r="D36" s="6" t="s">
        <v>78</v>
      </c>
      <c r="E36" s="7">
        <v>223886</v>
      </c>
      <c r="F36" s="8">
        <v>1209.9918869999999</v>
      </c>
      <c r="G36" s="9">
        <v>1.1262421999999999E-2</v>
      </c>
      <c r="H36" s="167"/>
    </row>
    <row r="37" spans="1:8" x14ac:dyDescent="0.2">
      <c r="A37" s="5">
        <v>31</v>
      </c>
      <c r="B37" s="6" t="s">
        <v>662</v>
      </c>
      <c r="C37" s="6" t="s">
        <v>663</v>
      </c>
      <c r="D37" s="6" t="s">
        <v>23</v>
      </c>
      <c r="E37" s="7">
        <v>115885</v>
      </c>
      <c r="F37" s="8">
        <v>1173.9150500000001</v>
      </c>
      <c r="G37" s="9">
        <v>1.0926625000000001E-2</v>
      </c>
      <c r="H37" s="167"/>
    </row>
    <row r="38" spans="1:8" ht="25.5" x14ac:dyDescent="0.2">
      <c r="A38" s="5">
        <v>32</v>
      </c>
      <c r="B38" s="6" t="s">
        <v>376</v>
      </c>
      <c r="C38" s="6" t="s">
        <v>377</v>
      </c>
      <c r="D38" s="6" t="s">
        <v>78</v>
      </c>
      <c r="E38" s="7">
        <v>167408</v>
      </c>
      <c r="F38" s="8">
        <v>1111.3380079999999</v>
      </c>
      <c r="G38" s="9">
        <v>1.0344167E-2</v>
      </c>
      <c r="H38" s="167"/>
    </row>
    <row r="39" spans="1:8" x14ac:dyDescent="0.2">
      <c r="A39" s="5">
        <v>33</v>
      </c>
      <c r="B39" s="6" t="s">
        <v>405</v>
      </c>
      <c r="C39" s="6" t="s">
        <v>406</v>
      </c>
      <c r="D39" s="6" t="s">
        <v>969</v>
      </c>
      <c r="E39" s="7">
        <v>112500</v>
      </c>
      <c r="F39" s="8">
        <v>1097.60625</v>
      </c>
      <c r="G39" s="9">
        <v>1.0216354E-2</v>
      </c>
      <c r="H39" s="167"/>
    </row>
    <row r="40" spans="1:8" x14ac:dyDescent="0.2">
      <c r="A40" s="5">
        <v>34</v>
      </c>
      <c r="B40" s="6" t="s">
        <v>490</v>
      </c>
      <c r="C40" s="6" t="s">
        <v>491</v>
      </c>
      <c r="D40" s="6" t="s">
        <v>185</v>
      </c>
      <c r="E40" s="7">
        <v>453852</v>
      </c>
      <c r="F40" s="8">
        <v>1090.1525039999999</v>
      </c>
      <c r="G40" s="9">
        <v>1.0146975000000001E-2</v>
      </c>
      <c r="H40" s="167"/>
    </row>
    <row r="41" spans="1:8" ht="25.5" x14ac:dyDescent="0.2">
      <c r="A41" s="5">
        <v>35</v>
      </c>
      <c r="B41" s="6" t="s">
        <v>90</v>
      </c>
      <c r="C41" s="6" t="s">
        <v>91</v>
      </c>
      <c r="D41" s="6" t="s">
        <v>67</v>
      </c>
      <c r="E41" s="7">
        <v>139388</v>
      </c>
      <c r="F41" s="8">
        <v>1072.6603540000001</v>
      </c>
      <c r="G41" s="9">
        <v>9.9841610000000001E-3</v>
      </c>
      <c r="H41" s="167"/>
    </row>
    <row r="42" spans="1:8" x14ac:dyDescent="0.2">
      <c r="A42" s="5">
        <v>36</v>
      </c>
      <c r="B42" s="6" t="s">
        <v>429</v>
      </c>
      <c r="C42" s="6" t="s">
        <v>430</v>
      </c>
      <c r="D42" s="6" t="s">
        <v>23</v>
      </c>
      <c r="E42" s="7">
        <v>58515</v>
      </c>
      <c r="F42" s="8">
        <v>1057.7756549999999</v>
      </c>
      <c r="G42" s="9">
        <v>9.8456169999999992E-3</v>
      </c>
      <c r="H42" s="167"/>
    </row>
    <row r="43" spans="1:8" x14ac:dyDescent="0.2">
      <c r="A43" s="5">
        <v>37</v>
      </c>
      <c r="B43" s="6" t="s">
        <v>588</v>
      </c>
      <c r="C43" s="6" t="s">
        <v>589</v>
      </c>
      <c r="D43" s="6" t="s">
        <v>178</v>
      </c>
      <c r="E43" s="7">
        <v>38618</v>
      </c>
      <c r="F43" s="8">
        <v>997.90842899999996</v>
      </c>
      <c r="G43" s="9">
        <v>9.2883810000000001E-3</v>
      </c>
      <c r="H43" s="167"/>
    </row>
    <row r="44" spans="1:8" x14ac:dyDescent="0.2">
      <c r="A44" s="5">
        <v>38</v>
      </c>
      <c r="B44" s="6" t="s">
        <v>492</v>
      </c>
      <c r="C44" s="6" t="s">
        <v>493</v>
      </c>
      <c r="D44" s="6" t="s">
        <v>94</v>
      </c>
      <c r="E44" s="7">
        <v>13588</v>
      </c>
      <c r="F44" s="8">
        <v>962.88644399999998</v>
      </c>
      <c r="G44" s="9">
        <v>8.9624019999999995E-3</v>
      </c>
      <c r="H44" s="167"/>
    </row>
    <row r="45" spans="1:8" x14ac:dyDescent="0.2">
      <c r="A45" s="5">
        <v>39</v>
      </c>
      <c r="B45" s="6" t="s">
        <v>92</v>
      </c>
      <c r="C45" s="6" t="s">
        <v>93</v>
      </c>
      <c r="D45" s="6" t="s">
        <v>94</v>
      </c>
      <c r="E45" s="7">
        <v>745213</v>
      </c>
      <c r="F45" s="8">
        <v>919.96544849999998</v>
      </c>
      <c r="G45" s="9">
        <v>8.5629E-3</v>
      </c>
      <c r="H45" s="167"/>
    </row>
    <row r="46" spans="1:8" x14ac:dyDescent="0.2">
      <c r="A46" s="5">
        <v>40</v>
      </c>
      <c r="B46" s="6" t="s">
        <v>440</v>
      </c>
      <c r="C46" s="6" t="s">
        <v>441</v>
      </c>
      <c r="D46" s="6" t="s">
        <v>192</v>
      </c>
      <c r="E46" s="7">
        <v>91288</v>
      </c>
      <c r="F46" s="8">
        <v>866.64262799999995</v>
      </c>
      <c r="G46" s="9">
        <v>8.0665790000000008E-3</v>
      </c>
      <c r="H46" s="167"/>
    </row>
    <row r="47" spans="1:8" x14ac:dyDescent="0.2">
      <c r="A47" s="5">
        <v>41</v>
      </c>
      <c r="B47" s="6" t="s">
        <v>226</v>
      </c>
      <c r="C47" s="6" t="s">
        <v>227</v>
      </c>
      <c r="D47" s="6" t="s">
        <v>32</v>
      </c>
      <c r="E47" s="7">
        <v>101997</v>
      </c>
      <c r="F47" s="8">
        <v>807.00026400000002</v>
      </c>
      <c r="G47" s="9">
        <v>7.5114370000000001E-3</v>
      </c>
      <c r="H47" s="167"/>
    </row>
    <row r="48" spans="1:8" x14ac:dyDescent="0.2">
      <c r="A48" s="5">
        <v>42</v>
      </c>
      <c r="B48" s="6" t="s">
        <v>573</v>
      </c>
      <c r="C48" s="6" t="s">
        <v>574</v>
      </c>
      <c r="D48" s="6" t="s">
        <v>158</v>
      </c>
      <c r="E48" s="7">
        <v>11390</v>
      </c>
      <c r="F48" s="8">
        <v>641.023505</v>
      </c>
      <c r="G48" s="9">
        <v>5.9665500000000002E-3</v>
      </c>
      <c r="H48" s="167"/>
    </row>
    <row r="49" spans="1:8" x14ac:dyDescent="0.2">
      <c r="A49" s="5">
        <v>43</v>
      </c>
      <c r="B49" s="6" t="s">
        <v>313</v>
      </c>
      <c r="C49" s="6" t="s">
        <v>314</v>
      </c>
      <c r="D49" s="6" t="s">
        <v>23</v>
      </c>
      <c r="E49" s="7">
        <v>695867</v>
      </c>
      <c r="F49" s="8">
        <v>607.14395750000006</v>
      </c>
      <c r="G49" s="9">
        <v>5.6512050000000003E-3</v>
      </c>
      <c r="H49" s="167"/>
    </row>
    <row r="50" spans="1:8" x14ac:dyDescent="0.2">
      <c r="A50" s="5">
        <v>44</v>
      </c>
      <c r="B50" s="6" t="s">
        <v>502</v>
      </c>
      <c r="C50" s="6" t="s">
        <v>503</v>
      </c>
      <c r="D50" s="6" t="s">
        <v>75</v>
      </c>
      <c r="E50" s="7">
        <v>37350</v>
      </c>
      <c r="F50" s="8">
        <v>596.19937500000003</v>
      </c>
      <c r="G50" s="9">
        <v>5.5493340000000004E-3</v>
      </c>
      <c r="H50" s="167"/>
    </row>
    <row r="51" spans="1:8" ht="25.5" x14ac:dyDescent="0.2">
      <c r="A51" s="5">
        <v>45</v>
      </c>
      <c r="B51" s="6" t="s">
        <v>423</v>
      </c>
      <c r="C51" s="6" t="s">
        <v>424</v>
      </c>
      <c r="D51" s="6" t="s">
        <v>969</v>
      </c>
      <c r="E51" s="7">
        <v>40310</v>
      </c>
      <c r="F51" s="8">
        <v>593.32289000000003</v>
      </c>
      <c r="G51" s="9">
        <v>5.5225600000000001E-3</v>
      </c>
      <c r="H51" s="167"/>
    </row>
    <row r="52" spans="1:8" x14ac:dyDescent="0.2">
      <c r="A52" s="5">
        <v>46</v>
      </c>
      <c r="B52" s="6" t="s">
        <v>590</v>
      </c>
      <c r="C52" s="6" t="s">
        <v>591</v>
      </c>
      <c r="D52" s="6" t="s">
        <v>969</v>
      </c>
      <c r="E52" s="7">
        <v>82057</v>
      </c>
      <c r="F52" s="8">
        <v>546.41756299999997</v>
      </c>
      <c r="G52" s="9">
        <v>5.0859720000000002E-3</v>
      </c>
      <c r="H52" s="167"/>
    </row>
    <row r="53" spans="1:8" x14ac:dyDescent="0.2">
      <c r="A53" s="5">
        <v>47</v>
      </c>
      <c r="B53" s="6" t="s">
        <v>407</v>
      </c>
      <c r="C53" s="6" t="s">
        <v>408</v>
      </c>
      <c r="D53" s="6" t="s">
        <v>94</v>
      </c>
      <c r="E53" s="7">
        <v>66914</v>
      </c>
      <c r="F53" s="8">
        <v>540.631663</v>
      </c>
      <c r="G53" s="9">
        <v>5.0321180000000004E-3</v>
      </c>
      <c r="H53" s="167"/>
    </row>
    <row r="54" spans="1:8" x14ac:dyDescent="0.2">
      <c r="A54" s="5">
        <v>48</v>
      </c>
      <c r="B54" s="6" t="s">
        <v>634</v>
      </c>
      <c r="C54" s="6" t="s">
        <v>635</v>
      </c>
      <c r="D54" s="6" t="s">
        <v>192</v>
      </c>
      <c r="E54" s="7">
        <v>18001</v>
      </c>
      <c r="F54" s="8">
        <v>538.08589199999994</v>
      </c>
      <c r="G54" s="9">
        <v>5.0084220000000002E-3</v>
      </c>
      <c r="H54" s="167"/>
    </row>
    <row r="55" spans="1:8" x14ac:dyDescent="0.2">
      <c r="A55" s="3" t="s">
        <v>10</v>
      </c>
      <c r="B55" s="3" t="s">
        <v>10</v>
      </c>
      <c r="C55" s="4" t="s">
        <v>104</v>
      </c>
      <c r="D55" s="3" t="s">
        <v>10</v>
      </c>
      <c r="E55" s="3" t="s">
        <v>10</v>
      </c>
      <c r="F55" s="10">
        <v>105299.477462</v>
      </c>
      <c r="G55" s="11">
        <v>0.98011167899999996</v>
      </c>
      <c r="H55" s="167"/>
    </row>
    <row r="56" spans="1:8" x14ac:dyDescent="0.2">
      <c r="A56" s="3" t="s">
        <v>10</v>
      </c>
      <c r="B56" s="3" t="s">
        <v>10</v>
      </c>
      <c r="C56" s="12" t="s">
        <v>10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105</v>
      </c>
      <c r="D57" s="3" t="s">
        <v>10</v>
      </c>
      <c r="E57" s="3" t="s">
        <v>10</v>
      </c>
      <c r="F57" s="3" t="s">
        <v>10</v>
      </c>
      <c r="G57" s="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104</v>
      </c>
      <c r="D58" s="3" t="s">
        <v>10</v>
      </c>
      <c r="E58" s="3" t="s">
        <v>10</v>
      </c>
      <c r="F58" s="14">
        <v>0</v>
      </c>
      <c r="G58" s="15">
        <v>0</v>
      </c>
      <c r="H58" s="167"/>
    </row>
    <row r="59" spans="1:8" x14ac:dyDescent="0.2">
      <c r="A59" s="3" t="s">
        <v>10</v>
      </c>
      <c r="B59" s="3" t="s">
        <v>10</v>
      </c>
      <c r="C59" s="12" t="s">
        <v>10</v>
      </c>
      <c r="D59" s="3" t="s">
        <v>10</v>
      </c>
      <c r="E59" s="3" t="s">
        <v>10</v>
      </c>
      <c r="F59" s="13" t="s">
        <v>10</v>
      </c>
      <c r="G59" s="13" t="s">
        <v>10</v>
      </c>
      <c r="H59" s="167"/>
    </row>
    <row r="60" spans="1:8" x14ac:dyDescent="0.2">
      <c r="A60" s="3" t="s">
        <v>10</v>
      </c>
      <c r="B60" s="3" t="s">
        <v>10</v>
      </c>
      <c r="C60" s="4" t="s">
        <v>106</v>
      </c>
      <c r="D60" s="3" t="s">
        <v>10</v>
      </c>
      <c r="E60" s="3" t="s">
        <v>10</v>
      </c>
      <c r="F60" s="3" t="s">
        <v>10</v>
      </c>
      <c r="G60" s="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104</v>
      </c>
      <c r="D61" s="3" t="s">
        <v>10</v>
      </c>
      <c r="E61" s="3" t="s">
        <v>10</v>
      </c>
      <c r="F61" s="14">
        <v>0</v>
      </c>
      <c r="G61" s="15">
        <v>0</v>
      </c>
      <c r="H61" s="167"/>
    </row>
    <row r="62" spans="1:8" x14ac:dyDescent="0.2">
      <c r="A62" s="3" t="s">
        <v>10</v>
      </c>
      <c r="B62" s="3" t="s">
        <v>10</v>
      </c>
      <c r="C62" s="12" t="s">
        <v>10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110</v>
      </c>
      <c r="D63" s="3" t="s">
        <v>10</v>
      </c>
      <c r="E63" s="3" t="s">
        <v>10</v>
      </c>
      <c r="F63" s="3" t="s">
        <v>10</v>
      </c>
      <c r="G63" s="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104</v>
      </c>
      <c r="D64" s="3" t="s">
        <v>10</v>
      </c>
      <c r="E64" s="3" t="s">
        <v>10</v>
      </c>
      <c r="F64" s="14">
        <v>0</v>
      </c>
      <c r="G64" s="15">
        <v>0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111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104</v>
      </c>
      <c r="D67" s="3" t="s">
        <v>10</v>
      </c>
      <c r="E67" s="3" t="s">
        <v>10</v>
      </c>
      <c r="F67" s="14">
        <v>0</v>
      </c>
      <c r="G67" s="15">
        <v>0</v>
      </c>
      <c r="H67" s="167"/>
    </row>
    <row r="68" spans="1:8" x14ac:dyDescent="0.2">
      <c r="A68" s="3" t="s">
        <v>10</v>
      </c>
      <c r="B68" s="3" t="s">
        <v>10</v>
      </c>
      <c r="C68" s="12" t="s">
        <v>10</v>
      </c>
      <c r="D68" s="3" t="s">
        <v>10</v>
      </c>
      <c r="E68" s="3" t="s">
        <v>10</v>
      </c>
      <c r="F68" s="13" t="s">
        <v>10</v>
      </c>
      <c r="G68" s="1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112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104</v>
      </c>
      <c r="D70" s="3" t="s">
        <v>10</v>
      </c>
      <c r="E70" s="3" t="s">
        <v>10</v>
      </c>
      <c r="F70" s="14">
        <v>0</v>
      </c>
      <c r="G70" s="15">
        <v>0</v>
      </c>
      <c r="H70" s="167"/>
    </row>
    <row r="71" spans="1:8" x14ac:dyDescent="0.2">
      <c r="A71" s="3" t="s">
        <v>10</v>
      </c>
      <c r="B71" s="3" t="s">
        <v>10</v>
      </c>
      <c r="C71" s="12" t="s">
        <v>10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113</v>
      </c>
      <c r="D72" s="3" t="s">
        <v>10</v>
      </c>
      <c r="E72" s="3" t="s">
        <v>10</v>
      </c>
      <c r="F72" s="10">
        <v>105299.477462</v>
      </c>
      <c r="G72" s="11">
        <v>0.98011167899999996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114</v>
      </c>
      <c r="D74" s="3" t="s">
        <v>10</v>
      </c>
      <c r="E74" s="3" t="s">
        <v>10</v>
      </c>
      <c r="F74" s="13" t="s">
        <v>10</v>
      </c>
      <c r="G74" s="13" t="s">
        <v>10</v>
      </c>
      <c r="H74" s="167"/>
    </row>
    <row r="75" spans="1:8" ht="25.5" x14ac:dyDescent="0.2">
      <c r="A75" s="3" t="s">
        <v>10</v>
      </c>
      <c r="B75" s="3" t="s">
        <v>10</v>
      </c>
      <c r="C75" s="4" t="s">
        <v>12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4">
        <v>0</v>
      </c>
      <c r="G76" s="15">
        <v>0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115</v>
      </c>
      <c r="D78" s="3" t="s">
        <v>10</v>
      </c>
      <c r="E78" s="3" t="s">
        <v>10</v>
      </c>
      <c r="F78" s="3" t="s">
        <v>10</v>
      </c>
      <c r="G78" s="3" t="s">
        <v>10</v>
      </c>
      <c r="H78" s="167"/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4">
        <v>0</v>
      </c>
      <c r="G79" s="15">
        <v>0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116</v>
      </c>
      <c r="D81" s="3" t="s">
        <v>10</v>
      </c>
      <c r="E81" s="3" t="s">
        <v>10</v>
      </c>
      <c r="F81" s="3" t="s">
        <v>10</v>
      </c>
      <c r="G81" s="3" t="s">
        <v>10</v>
      </c>
      <c r="H81" s="167"/>
    </row>
    <row r="82" spans="1:8" x14ac:dyDescent="0.2">
      <c r="A82" s="3" t="s">
        <v>10</v>
      </c>
      <c r="B82" s="3" t="s">
        <v>10</v>
      </c>
      <c r="C82" s="4" t="s">
        <v>104</v>
      </c>
      <c r="D82" s="3" t="s">
        <v>10</v>
      </c>
      <c r="E82" s="3" t="s">
        <v>10</v>
      </c>
      <c r="F82" s="14">
        <v>0</v>
      </c>
      <c r="G82" s="15">
        <v>0</v>
      </c>
      <c r="H82" s="167"/>
    </row>
    <row r="83" spans="1:8" x14ac:dyDescent="0.2">
      <c r="A83" s="3" t="s">
        <v>10</v>
      </c>
      <c r="B83" s="3" t="s">
        <v>10</v>
      </c>
      <c r="C83" s="12" t="s">
        <v>10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117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4">
        <v>0</v>
      </c>
      <c r="G85" s="15">
        <v>0</v>
      </c>
      <c r="H85" s="167"/>
    </row>
    <row r="86" spans="1:8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118</v>
      </c>
      <c r="D87" s="3" t="s">
        <v>10</v>
      </c>
      <c r="E87" s="3" t="s">
        <v>10</v>
      </c>
      <c r="F87" s="10">
        <v>0</v>
      </c>
      <c r="G87" s="11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119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120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104</v>
      </c>
      <c r="D91" s="3" t="s">
        <v>10</v>
      </c>
      <c r="E91" s="3" t="s">
        <v>10</v>
      </c>
      <c r="F91" s="14">
        <v>0</v>
      </c>
      <c r="G91" s="15">
        <v>0</v>
      </c>
      <c r="H91" s="167"/>
    </row>
    <row r="92" spans="1:8" x14ac:dyDescent="0.2">
      <c r="A92" s="3" t="s">
        <v>10</v>
      </c>
      <c r="B92" s="3" t="s">
        <v>10</v>
      </c>
      <c r="C92" s="12" t="s">
        <v>10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121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104</v>
      </c>
      <c r="D94" s="3" t="s">
        <v>10</v>
      </c>
      <c r="E94" s="3" t="s">
        <v>10</v>
      </c>
      <c r="F94" s="14">
        <v>0</v>
      </c>
      <c r="G94" s="15">
        <v>0</v>
      </c>
      <c r="H94" s="167"/>
    </row>
    <row r="95" spans="1:8" x14ac:dyDescent="0.2">
      <c r="A95" s="3" t="s">
        <v>10</v>
      </c>
      <c r="B95" s="3" t="s">
        <v>10</v>
      </c>
      <c r="C95" s="12" t="s">
        <v>10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122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104</v>
      </c>
      <c r="D97" s="3" t="s">
        <v>10</v>
      </c>
      <c r="E97" s="3" t="s">
        <v>10</v>
      </c>
      <c r="F97" s="14">
        <v>0</v>
      </c>
      <c r="G97" s="15">
        <v>0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123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5">
        <v>1</v>
      </c>
      <c r="B100" s="6"/>
      <c r="C100" s="6" t="s">
        <v>124</v>
      </c>
      <c r="D100" s="6"/>
      <c r="E100" s="16" t="s">
        <v>10</v>
      </c>
      <c r="F100" s="8">
        <v>1258.9771908</v>
      </c>
      <c r="G100" s="9">
        <v>1.1718370000000001E-2</v>
      </c>
      <c r="H100" s="108">
        <v>3.23</v>
      </c>
    </row>
    <row r="101" spans="1:8" x14ac:dyDescent="0.2">
      <c r="A101" s="5">
        <v>2</v>
      </c>
      <c r="B101" s="6"/>
      <c r="C101" s="6" t="s">
        <v>125</v>
      </c>
      <c r="D101" s="6"/>
      <c r="E101" s="16" t="s">
        <v>10</v>
      </c>
      <c r="F101" s="8">
        <v>353.6339036</v>
      </c>
      <c r="G101" s="9">
        <v>3.2915710000000001E-3</v>
      </c>
      <c r="H101" s="108">
        <v>3.35</v>
      </c>
    </row>
    <row r="102" spans="1:8" x14ac:dyDescent="0.2">
      <c r="A102" s="3" t="s">
        <v>10</v>
      </c>
      <c r="B102" s="3" t="s">
        <v>10</v>
      </c>
      <c r="C102" s="4" t="s">
        <v>104</v>
      </c>
      <c r="D102" s="3" t="s">
        <v>10</v>
      </c>
      <c r="E102" s="3" t="s">
        <v>10</v>
      </c>
      <c r="F102" s="10">
        <v>1612.6110944</v>
      </c>
      <c r="G102" s="11">
        <v>1.5009941000000001E-2</v>
      </c>
      <c r="H102" s="167"/>
    </row>
    <row r="103" spans="1:8" x14ac:dyDescent="0.2">
      <c r="A103" s="3" t="s">
        <v>10</v>
      </c>
      <c r="B103" s="3" t="s">
        <v>10</v>
      </c>
      <c r="C103" s="12" t="s">
        <v>10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126</v>
      </c>
      <c r="D104" s="3" t="s">
        <v>10</v>
      </c>
      <c r="E104" s="3" t="s">
        <v>10</v>
      </c>
      <c r="F104" s="10">
        <v>1612.6110944</v>
      </c>
      <c r="G104" s="11">
        <v>1.5009941000000001E-2</v>
      </c>
      <c r="H104" s="167"/>
    </row>
    <row r="105" spans="1:8" x14ac:dyDescent="0.2">
      <c r="A105" s="3" t="s">
        <v>10</v>
      </c>
      <c r="B105" s="3" t="s">
        <v>10</v>
      </c>
      <c r="C105" s="1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127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128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129</v>
      </c>
      <c r="D110" s="3" t="s">
        <v>10</v>
      </c>
      <c r="E110" s="3" t="s">
        <v>10</v>
      </c>
      <c r="F110" s="3" t="s">
        <v>10</v>
      </c>
      <c r="G110" s="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130</v>
      </c>
      <c r="D111" s="3" t="s">
        <v>10</v>
      </c>
      <c r="E111" s="3" t="s">
        <v>10</v>
      </c>
      <c r="F111" s="3" t="s">
        <v>10</v>
      </c>
      <c r="G111" s="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4">
        <v>0</v>
      </c>
      <c r="G112" s="15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12" t="s">
        <v>10</v>
      </c>
      <c r="D114" s="3" t="s">
        <v>10</v>
      </c>
      <c r="E114" s="3" t="s">
        <v>10</v>
      </c>
      <c r="F114" s="13" t="s">
        <v>10</v>
      </c>
      <c r="G114" s="13" t="s">
        <v>10</v>
      </c>
      <c r="H114" s="167"/>
    </row>
    <row r="115" spans="1:8" ht="25.5" x14ac:dyDescent="0.2">
      <c r="A115" s="3" t="s">
        <v>10</v>
      </c>
      <c r="B115" s="3" t="s">
        <v>10</v>
      </c>
      <c r="C115" s="4" t="s">
        <v>131</v>
      </c>
      <c r="D115" s="3" t="s">
        <v>10</v>
      </c>
      <c r="E115" s="3" t="s">
        <v>10</v>
      </c>
      <c r="F115" s="13" t="s">
        <v>10</v>
      </c>
      <c r="G115" s="1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4">
        <v>0</v>
      </c>
      <c r="G116" s="15">
        <v>0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6" t="s">
        <v>10</v>
      </c>
      <c r="C118" s="6" t="s">
        <v>10</v>
      </c>
      <c r="D118" s="4" t="s">
        <v>10</v>
      </c>
      <c r="E118" s="3" t="s">
        <v>10</v>
      </c>
      <c r="F118" s="6" t="s">
        <v>10</v>
      </c>
      <c r="G118" s="16" t="s">
        <v>10</v>
      </c>
      <c r="H118" s="167"/>
    </row>
    <row r="119" spans="1:8" x14ac:dyDescent="0.2">
      <c r="A119" s="16" t="s">
        <v>10</v>
      </c>
      <c r="B119" s="6" t="s">
        <v>10</v>
      </c>
      <c r="C119" s="6" t="s">
        <v>132</v>
      </c>
      <c r="D119" s="6" t="s">
        <v>10</v>
      </c>
      <c r="E119" s="16" t="s">
        <v>10</v>
      </c>
      <c r="F119" s="8">
        <v>524.11455027</v>
      </c>
      <c r="G119" s="9">
        <v>4.8783790000000004E-3</v>
      </c>
      <c r="H119" s="167"/>
    </row>
    <row r="120" spans="1:8" x14ac:dyDescent="0.2">
      <c r="A120" s="12" t="s">
        <v>10</v>
      </c>
      <c r="B120" s="12" t="s">
        <v>10</v>
      </c>
      <c r="C120" s="4" t="s">
        <v>133</v>
      </c>
      <c r="D120" s="17" t="s">
        <v>10</v>
      </c>
      <c r="E120" s="17" t="s">
        <v>10</v>
      </c>
      <c r="F120" s="10">
        <v>107436.20310666999</v>
      </c>
      <c r="G120" s="11">
        <v>0.99999999899999992</v>
      </c>
      <c r="H120" s="167"/>
    </row>
    <row r="121" spans="1:8" ht="14.1" customHeight="1" x14ac:dyDescent="0.2">
      <c r="A121" s="18" t="s">
        <v>10</v>
      </c>
      <c r="B121" s="18" t="s">
        <v>10</v>
      </c>
      <c r="C121" s="18" t="s">
        <v>10</v>
      </c>
      <c r="D121" s="19" t="s">
        <v>10</v>
      </c>
      <c r="E121" s="19" t="s">
        <v>10</v>
      </c>
      <c r="F121" s="19" t="s">
        <v>10</v>
      </c>
      <c r="G121" s="19" t="s">
        <v>10</v>
      </c>
    </row>
    <row r="122" spans="1:8" ht="14.1" customHeight="1" x14ac:dyDescent="0.2">
      <c r="A122" s="20" t="s">
        <v>10</v>
      </c>
      <c r="B122" s="208" t="s">
        <v>10</v>
      </c>
      <c r="C122" s="208"/>
      <c r="D122" s="208"/>
      <c r="E122" s="208"/>
      <c r="F122" s="208"/>
      <c r="G122" s="22" t="s">
        <v>10</v>
      </c>
    </row>
    <row r="123" spans="1:8" ht="14.1" customHeight="1" x14ac:dyDescent="0.2">
      <c r="A123" s="20" t="s">
        <v>10</v>
      </c>
      <c r="B123" s="208" t="s">
        <v>10</v>
      </c>
      <c r="C123" s="208"/>
      <c r="D123" s="208"/>
      <c r="E123" s="208"/>
      <c r="F123" s="208"/>
      <c r="G123" s="22" t="s">
        <v>10</v>
      </c>
    </row>
    <row r="124" spans="1:8" ht="14.1" customHeight="1" x14ac:dyDescent="0.2">
      <c r="A124" s="20" t="s">
        <v>10</v>
      </c>
      <c r="B124" s="20" t="s">
        <v>10</v>
      </c>
      <c r="C124" s="20" t="s">
        <v>10</v>
      </c>
      <c r="D124" s="22" t="s">
        <v>10</v>
      </c>
      <c r="E124" s="22" t="s">
        <v>10</v>
      </c>
      <c r="F124" s="22" t="s">
        <v>10</v>
      </c>
      <c r="G124" s="22" t="s">
        <v>10</v>
      </c>
    </row>
    <row r="125" spans="1:8" ht="14.1" customHeight="1" x14ac:dyDescent="0.2">
      <c r="A125" s="20" t="s">
        <v>10</v>
      </c>
      <c r="B125" s="206" t="s">
        <v>134</v>
      </c>
      <c r="C125" s="207"/>
      <c r="D125" s="13" t="s">
        <v>10</v>
      </c>
      <c r="E125" s="23" t="s">
        <v>10</v>
      </c>
      <c r="F125" s="22" t="s">
        <v>10</v>
      </c>
      <c r="G125" s="22" t="s">
        <v>10</v>
      </c>
    </row>
    <row r="126" spans="1:8" ht="29.1" customHeight="1" x14ac:dyDescent="0.2">
      <c r="A126" s="20" t="s">
        <v>10</v>
      </c>
      <c r="B126" s="213" t="s">
        <v>135</v>
      </c>
      <c r="C126" s="214"/>
      <c r="D126" s="4" t="s">
        <v>136</v>
      </c>
      <c r="E126" s="23" t="s">
        <v>10</v>
      </c>
      <c r="F126" s="22" t="s">
        <v>10</v>
      </c>
      <c r="G126" s="22" t="s">
        <v>10</v>
      </c>
    </row>
    <row r="127" spans="1:8" ht="17.100000000000001" customHeight="1" x14ac:dyDescent="0.2">
      <c r="A127" s="20" t="s">
        <v>10</v>
      </c>
      <c r="B127" s="213" t="s">
        <v>137</v>
      </c>
      <c r="C127" s="214"/>
      <c r="D127" s="4" t="s">
        <v>136</v>
      </c>
      <c r="E127" s="23" t="s">
        <v>10</v>
      </c>
      <c r="F127" s="22" t="s">
        <v>10</v>
      </c>
      <c r="G127" s="22" t="s">
        <v>10</v>
      </c>
    </row>
    <row r="128" spans="1:8" ht="17.100000000000001" customHeight="1" x14ac:dyDescent="0.2">
      <c r="A128" s="20" t="s">
        <v>10</v>
      </c>
      <c r="B128" s="213" t="s">
        <v>138</v>
      </c>
      <c r="C128" s="214"/>
      <c r="D128" s="13" t="s">
        <v>10</v>
      </c>
      <c r="E128" s="23" t="s">
        <v>10</v>
      </c>
      <c r="F128" s="22" t="s">
        <v>10</v>
      </c>
      <c r="G128" s="22" t="s">
        <v>10</v>
      </c>
    </row>
    <row r="129" spans="1:7" s="20" customFormat="1" ht="17.100000000000001" customHeight="1" x14ac:dyDescent="0.2"/>
    <row r="130" spans="1:7" x14ac:dyDescent="0.2">
      <c r="A130" s="24" t="s">
        <v>10</v>
      </c>
      <c r="B130" s="140" t="s">
        <v>10</v>
      </c>
      <c r="C130" s="140" t="s">
        <v>139</v>
      </c>
      <c r="D130" s="140" t="s">
        <v>140</v>
      </c>
      <c r="E130" s="24" t="s">
        <v>10</v>
      </c>
      <c r="F130" s="24" t="s">
        <v>10</v>
      </c>
      <c r="G130" s="24" t="s">
        <v>10</v>
      </c>
    </row>
    <row r="131" spans="1:7" ht="18" customHeight="1" x14ac:dyDescent="0.2">
      <c r="A131" s="24" t="s">
        <v>10</v>
      </c>
      <c r="B131" s="25" t="s">
        <v>141</v>
      </c>
      <c r="C131" s="25" t="s">
        <v>142</v>
      </c>
      <c r="D131" s="25" t="s">
        <v>143</v>
      </c>
      <c r="E131" s="24" t="s">
        <v>10</v>
      </c>
      <c r="F131" s="24" t="s">
        <v>10</v>
      </c>
      <c r="G131" s="24" t="s">
        <v>10</v>
      </c>
    </row>
    <row r="132" spans="1:7" ht="17.100000000000001" customHeight="1" x14ac:dyDescent="0.2">
      <c r="A132" s="24" t="s">
        <v>10</v>
      </c>
      <c r="B132" s="6" t="s">
        <v>144</v>
      </c>
      <c r="C132" s="26">
        <v>12.376899999999999</v>
      </c>
      <c r="D132" s="26">
        <v>13.2187</v>
      </c>
      <c r="E132" s="24" t="s">
        <v>10</v>
      </c>
      <c r="F132" s="21" t="s">
        <v>10</v>
      </c>
      <c r="G132" s="27" t="s">
        <v>10</v>
      </c>
    </row>
    <row r="133" spans="1:7" ht="17.100000000000001" customHeight="1" x14ac:dyDescent="0.2">
      <c r="A133" s="24" t="s">
        <v>10</v>
      </c>
      <c r="B133" s="6" t="s">
        <v>917</v>
      </c>
      <c r="C133" s="26">
        <v>12.375500000000001</v>
      </c>
      <c r="D133" s="26">
        <v>13.2173</v>
      </c>
      <c r="E133" s="24" t="s">
        <v>10</v>
      </c>
      <c r="F133" s="21" t="s">
        <v>10</v>
      </c>
      <c r="G133" s="27" t="s">
        <v>10</v>
      </c>
    </row>
    <row r="134" spans="1:7" ht="17.100000000000001" customHeight="1" x14ac:dyDescent="0.2">
      <c r="A134" s="24" t="s">
        <v>10</v>
      </c>
      <c r="B134" s="6" t="s">
        <v>145</v>
      </c>
      <c r="C134" s="26">
        <v>12.241400000000001</v>
      </c>
      <c r="D134" s="26">
        <v>13.0519</v>
      </c>
      <c r="E134" s="24" t="s">
        <v>10</v>
      </c>
      <c r="F134" s="21" t="s">
        <v>10</v>
      </c>
      <c r="G134" s="27" t="s">
        <v>10</v>
      </c>
    </row>
    <row r="135" spans="1:7" ht="17.100000000000001" customHeight="1" x14ac:dyDescent="0.2">
      <c r="A135" s="24" t="s">
        <v>10</v>
      </c>
      <c r="B135" s="6" t="s">
        <v>918</v>
      </c>
      <c r="C135" s="26">
        <v>12.241099999999999</v>
      </c>
      <c r="D135" s="26">
        <v>13.051600000000001</v>
      </c>
      <c r="E135" s="24" t="s">
        <v>10</v>
      </c>
      <c r="F135" s="21" t="s">
        <v>10</v>
      </c>
      <c r="G135" s="27" t="s">
        <v>10</v>
      </c>
    </row>
    <row r="136" spans="1:7" ht="14.1" customHeight="1" x14ac:dyDescent="0.2">
      <c r="A136" s="24" t="s">
        <v>10</v>
      </c>
      <c r="B136" s="24" t="s">
        <v>10</v>
      </c>
      <c r="C136" s="24" t="s">
        <v>10</v>
      </c>
      <c r="D136" s="24" t="s">
        <v>10</v>
      </c>
      <c r="E136" s="24" t="s">
        <v>10</v>
      </c>
      <c r="F136" s="24" t="s">
        <v>10</v>
      </c>
      <c r="G136" s="24" t="s">
        <v>10</v>
      </c>
    </row>
    <row r="137" spans="1:7" ht="17.100000000000001" customHeight="1" x14ac:dyDescent="0.2">
      <c r="A137" s="24" t="s">
        <v>10</v>
      </c>
      <c r="B137" s="213" t="s">
        <v>999</v>
      </c>
      <c r="C137" s="214"/>
      <c r="D137" s="4" t="s">
        <v>136</v>
      </c>
      <c r="E137" s="24" t="s">
        <v>10</v>
      </c>
      <c r="F137" s="24" t="s">
        <v>10</v>
      </c>
      <c r="G137" s="24" t="s">
        <v>10</v>
      </c>
    </row>
    <row r="138" spans="1:7" ht="18" customHeight="1" x14ac:dyDescent="0.2">
      <c r="A138" s="24" t="s">
        <v>10</v>
      </c>
      <c r="B138" s="28"/>
      <c r="C138" s="28"/>
      <c r="D138" s="29" t="s">
        <v>10</v>
      </c>
      <c r="E138" s="24" t="s">
        <v>10</v>
      </c>
      <c r="F138" s="24" t="s">
        <v>10</v>
      </c>
      <c r="G138" s="24" t="s">
        <v>10</v>
      </c>
    </row>
    <row r="139" spans="1:7" s="175" customFormat="1" x14ac:dyDescent="0.2">
      <c r="B139" s="221" t="s">
        <v>919</v>
      </c>
      <c r="C139" s="221"/>
      <c r="D139" s="221"/>
      <c r="E139" s="221"/>
      <c r="F139" s="221"/>
    </row>
    <row r="140" spans="1:7" ht="14.1" customHeight="1" x14ac:dyDescent="0.2">
      <c r="A140" s="24" t="s">
        <v>10</v>
      </c>
      <c r="B140" s="21" t="s">
        <v>10</v>
      </c>
      <c r="C140" s="21" t="s">
        <v>10</v>
      </c>
      <c r="D140" s="24" t="s">
        <v>10</v>
      </c>
      <c r="E140" s="24" t="s">
        <v>10</v>
      </c>
      <c r="F140" s="24" t="s">
        <v>10</v>
      </c>
      <c r="G140" s="24" t="s">
        <v>10</v>
      </c>
    </row>
    <row r="141" spans="1:7" ht="29.1" customHeight="1" x14ac:dyDescent="0.2">
      <c r="A141" s="24" t="s">
        <v>10</v>
      </c>
      <c r="B141" s="213" t="s">
        <v>146</v>
      </c>
      <c r="C141" s="214"/>
      <c r="D141" s="4" t="s">
        <v>136</v>
      </c>
      <c r="E141" s="24" t="s">
        <v>10</v>
      </c>
      <c r="F141" s="24" t="s">
        <v>10</v>
      </c>
      <c r="G141" s="24" t="s">
        <v>10</v>
      </c>
    </row>
    <row r="142" spans="1:7" ht="29.1" customHeight="1" x14ac:dyDescent="0.2">
      <c r="A142" s="24" t="s">
        <v>10</v>
      </c>
      <c r="B142" s="213" t="s">
        <v>147</v>
      </c>
      <c r="C142" s="214"/>
      <c r="D142" s="4" t="s">
        <v>136</v>
      </c>
      <c r="E142" s="24" t="s">
        <v>10</v>
      </c>
      <c r="F142" s="24" t="s">
        <v>10</v>
      </c>
      <c r="G142" s="24" t="s">
        <v>10</v>
      </c>
    </row>
    <row r="143" spans="1:7" ht="17.100000000000001" customHeight="1" x14ac:dyDescent="0.2">
      <c r="A143" s="24" t="s">
        <v>10</v>
      </c>
      <c r="B143" s="213" t="s">
        <v>148</v>
      </c>
      <c r="C143" s="214"/>
      <c r="D143" s="30">
        <v>0.72101863604914385</v>
      </c>
      <c r="E143" s="24" t="s">
        <v>10</v>
      </c>
      <c r="F143" s="21" t="s">
        <v>10</v>
      </c>
      <c r="G143" s="27" t="s">
        <v>10</v>
      </c>
    </row>
    <row r="144" spans="1:7" ht="17.100000000000001" customHeight="1" x14ac:dyDescent="0.2">
      <c r="A144" s="24" t="s">
        <v>10</v>
      </c>
      <c r="B144" s="213" t="s">
        <v>149</v>
      </c>
      <c r="C144" s="214"/>
      <c r="D144" s="4" t="s">
        <v>136</v>
      </c>
      <c r="E144" s="24" t="s">
        <v>10</v>
      </c>
      <c r="F144" s="24" t="s">
        <v>10</v>
      </c>
      <c r="G144" s="24" t="s">
        <v>10</v>
      </c>
    </row>
  </sheetData>
  <mergeCells count="15">
    <mergeCell ref="B143:C143"/>
    <mergeCell ref="B144:C144"/>
    <mergeCell ref="B126:C126"/>
    <mergeCell ref="B127:C127"/>
    <mergeCell ref="B128:C128"/>
    <mergeCell ref="B137:C137"/>
    <mergeCell ref="B141:C141"/>
    <mergeCell ref="B142:C142"/>
    <mergeCell ref="B139:F139"/>
    <mergeCell ref="B125:C125"/>
    <mergeCell ref="B122:F122"/>
    <mergeCell ref="B123:F12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58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706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16</v>
      </c>
      <c r="C7" s="6" t="s">
        <v>17</v>
      </c>
      <c r="D7" s="6" t="s">
        <v>18</v>
      </c>
      <c r="E7" s="7">
        <v>160000</v>
      </c>
      <c r="F7" s="8">
        <v>3456.48</v>
      </c>
      <c r="G7" s="9">
        <v>4.8401245000000002E-2</v>
      </c>
      <c r="H7" s="167"/>
    </row>
    <row r="8" spans="1:8" x14ac:dyDescent="0.2">
      <c r="A8" s="5">
        <v>2</v>
      </c>
      <c r="B8" s="6" t="s">
        <v>51</v>
      </c>
      <c r="C8" s="6" t="s">
        <v>52</v>
      </c>
      <c r="D8" s="6" t="s">
        <v>23</v>
      </c>
      <c r="E8" s="7">
        <v>201792</v>
      </c>
      <c r="F8" s="8">
        <v>3058.864032</v>
      </c>
      <c r="G8" s="9">
        <v>4.2833411000000002E-2</v>
      </c>
      <c r="H8" s="167"/>
    </row>
    <row r="9" spans="1:8" x14ac:dyDescent="0.2">
      <c r="A9" s="5">
        <v>3</v>
      </c>
      <c r="B9" s="6" t="s">
        <v>151</v>
      </c>
      <c r="C9" s="6" t="s">
        <v>152</v>
      </c>
      <c r="D9" s="6" t="s">
        <v>153</v>
      </c>
      <c r="E9" s="7">
        <v>90000</v>
      </c>
      <c r="F9" s="8">
        <v>2902.32</v>
      </c>
      <c r="G9" s="9">
        <v>4.0641317000000003E-2</v>
      </c>
      <c r="H9" s="167"/>
    </row>
    <row r="10" spans="1:8" x14ac:dyDescent="0.2">
      <c r="A10" s="5">
        <v>4</v>
      </c>
      <c r="B10" s="6" t="s">
        <v>21</v>
      </c>
      <c r="C10" s="6" t="s">
        <v>22</v>
      </c>
      <c r="D10" s="6" t="s">
        <v>23</v>
      </c>
      <c r="E10" s="7">
        <v>377738</v>
      </c>
      <c r="F10" s="8">
        <v>2503.4585950000001</v>
      </c>
      <c r="G10" s="9">
        <v>3.5056043000000002E-2</v>
      </c>
      <c r="H10" s="167"/>
    </row>
    <row r="11" spans="1:8" ht="25.5" x14ac:dyDescent="0.2">
      <c r="A11" s="5">
        <v>5</v>
      </c>
      <c r="B11" s="6" t="s">
        <v>401</v>
      </c>
      <c r="C11" s="6" t="s">
        <v>402</v>
      </c>
      <c r="D11" s="6" t="s">
        <v>158</v>
      </c>
      <c r="E11" s="7">
        <v>94000</v>
      </c>
      <c r="F11" s="8">
        <v>2399.6790000000001</v>
      </c>
      <c r="G11" s="9">
        <v>3.3602813000000002E-2</v>
      </c>
      <c r="H11" s="167"/>
    </row>
    <row r="12" spans="1:8" x14ac:dyDescent="0.2">
      <c r="A12" s="5">
        <v>6</v>
      </c>
      <c r="B12" s="6" t="s">
        <v>399</v>
      </c>
      <c r="C12" s="6" t="s">
        <v>400</v>
      </c>
      <c r="D12" s="6" t="s">
        <v>167</v>
      </c>
      <c r="E12" s="7">
        <v>154329</v>
      </c>
      <c r="F12" s="8">
        <v>2150.9604374999999</v>
      </c>
      <c r="G12" s="9">
        <v>3.0119996E-2</v>
      </c>
      <c r="H12" s="167"/>
    </row>
    <row r="13" spans="1:8" x14ac:dyDescent="0.2">
      <c r="A13" s="5">
        <v>7</v>
      </c>
      <c r="B13" s="6" t="s">
        <v>84</v>
      </c>
      <c r="C13" s="6" t="s">
        <v>85</v>
      </c>
      <c r="D13" s="6" t="s">
        <v>15</v>
      </c>
      <c r="E13" s="7">
        <v>2257921</v>
      </c>
      <c r="F13" s="8">
        <v>1827.7870495</v>
      </c>
      <c r="G13" s="9">
        <v>2.5594584E-2</v>
      </c>
      <c r="H13" s="167"/>
    </row>
    <row r="14" spans="1:8" x14ac:dyDescent="0.2">
      <c r="A14" s="5">
        <v>8</v>
      </c>
      <c r="B14" s="6" t="s">
        <v>403</v>
      </c>
      <c r="C14" s="6" t="s">
        <v>404</v>
      </c>
      <c r="D14" s="6" t="s">
        <v>23</v>
      </c>
      <c r="E14" s="7">
        <v>416666</v>
      </c>
      <c r="F14" s="8">
        <v>1768.122171</v>
      </c>
      <c r="G14" s="9">
        <v>2.4759093999999999E-2</v>
      </c>
      <c r="H14" s="167"/>
    </row>
    <row r="15" spans="1:8" ht="25.5" x14ac:dyDescent="0.2">
      <c r="A15" s="5">
        <v>9</v>
      </c>
      <c r="B15" s="6" t="s">
        <v>497</v>
      </c>
      <c r="C15" s="6" t="s">
        <v>498</v>
      </c>
      <c r="D15" s="6" t="s">
        <v>970</v>
      </c>
      <c r="E15" s="7">
        <v>139340</v>
      </c>
      <c r="F15" s="8">
        <v>1749.0653500000001</v>
      </c>
      <c r="G15" s="9">
        <v>2.4492241000000001E-2</v>
      </c>
      <c r="H15" s="167"/>
    </row>
    <row r="16" spans="1:8" x14ac:dyDescent="0.2">
      <c r="A16" s="5">
        <v>10</v>
      </c>
      <c r="B16" s="6" t="s">
        <v>299</v>
      </c>
      <c r="C16" s="6" t="s">
        <v>300</v>
      </c>
      <c r="D16" s="6" t="s">
        <v>167</v>
      </c>
      <c r="E16" s="7">
        <v>73000</v>
      </c>
      <c r="F16" s="8">
        <v>1747.8755000000001</v>
      </c>
      <c r="G16" s="9">
        <v>2.4475579000000001E-2</v>
      </c>
      <c r="H16" s="167"/>
    </row>
    <row r="17" spans="1:8" x14ac:dyDescent="0.2">
      <c r="A17" s="5">
        <v>11</v>
      </c>
      <c r="B17" s="6" t="s">
        <v>24</v>
      </c>
      <c r="C17" s="6" t="s">
        <v>25</v>
      </c>
      <c r="D17" s="6" t="s">
        <v>26</v>
      </c>
      <c r="E17" s="7">
        <v>301200</v>
      </c>
      <c r="F17" s="8">
        <v>1611.1188</v>
      </c>
      <c r="G17" s="9">
        <v>2.2560568999999999E-2</v>
      </c>
      <c r="H17" s="167"/>
    </row>
    <row r="18" spans="1:8" x14ac:dyDescent="0.2">
      <c r="A18" s="5">
        <v>12</v>
      </c>
      <c r="B18" s="6" t="s">
        <v>202</v>
      </c>
      <c r="C18" s="6" t="s">
        <v>203</v>
      </c>
      <c r="D18" s="6" t="s">
        <v>57</v>
      </c>
      <c r="E18" s="7">
        <v>141941</v>
      </c>
      <c r="F18" s="8">
        <v>1528.7045700000001</v>
      </c>
      <c r="G18" s="9">
        <v>2.1406518999999999E-2</v>
      </c>
      <c r="H18" s="167"/>
    </row>
    <row r="19" spans="1:8" x14ac:dyDescent="0.2">
      <c r="A19" s="5">
        <v>13</v>
      </c>
      <c r="B19" s="6" t="s">
        <v>442</v>
      </c>
      <c r="C19" s="6" t="s">
        <v>443</v>
      </c>
      <c r="D19" s="6" t="s">
        <v>158</v>
      </c>
      <c r="E19" s="7">
        <v>224242</v>
      </c>
      <c r="F19" s="8">
        <v>1437.5033410000001</v>
      </c>
      <c r="G19" s="9">
        <v>2.0129424E-2</v>
      </c>
      <c r="H19" s="167"/>
    </row>
    <row r="20" spans="1:8" x14ac:dyDescent="0.2">
      <c r="A20" s="5">
        <v>14</v>
      </c>
      <c r="B20" s="6" t="s">
        <v>218</v>
      </c>
      <c r="C20" s="6" t="s">
        <v>219</v>
      </c>
      <c r="D20" s="6" t="s">
        <v>973</v>
      </c>
      <c r="E20" s="7">
        <v>210048</v>
      </c>
      <c r="F20" s="8">
        <v>1434.837888</v>
      </c>
      <c r="G20" s="9">
        <v>2.0092098999999999E-2</v>
      </c>
      <c r="H20" s="167"/>
    </row>
    <row r="21" spans="1:8" x14ac:dyDescent="0.2">
      <c r="A21" s="5">
        <v>15</v>
      </c>
      <c r="B21" s="6" t="s">
        <v>528</v>
      </c>
      <c r="C21" s="6" t="s">
        <v>529</v>
      </c>
      <c r="D21" s="6" t="s">
        <v>23</v>
      </c>
      <c r="E21" s="7">
        <v>447355</v>
      </c>
      <c r="F21" s="8">
        <v>1386.1294674999999</v>
      </c>
      <c r="G21" s="9">
        <v>1.9410033E-2</v>
      </c>
      <c r="H21" s="167"/>
    </row>
    <row r="22" spans="1:8" x14ac:dyDescent="0.2">
      <c r="A22" s="5">
        <v>16</v>
      </c>
      <c r="B22" s="6" t="s">
        <v>370</v>
      </c>
      <c r="C22" s="6" t="s">
        <v>371</v>
      </c>
      <c r="D22" s="6" t="s">
        <v>23</v>
      </c>
      <c r="E22" s="7">
        <v>178024</v>
      </c>
      <c r="F22" s="8">
        <v>1336.426168</v>
      </c>
      <c r="G22" s="9">
        <v>1.8714036E-2</v>
      </c>
      <c r="H22" s="167"/>
    </row>
    <row r="23" spans="1:8" x14ac:dyDescent="0.2">
      <c r="A23" s="5">
        <v>17</v>
      </c>
      <c r="B23" s="6" t="s">
        <v>13</v>
      </c>
      <c r="C23" s="6" t="s">
        <v>14</v>
      </c>
      <c r="D23" s="6" t="s">
        <v>15</v>
      </c>
      <c r="E23" s="7">
        <v>91037</v>
      </c>
      <c r="F23" s="8">
        <v>1336.1500490000001</v>
      </c>
      <c r="G23" s="9">
        <v>1.8710168999999999E-2</v>
      </c>
      <c r="H23" s="167"/>
    </row>
    <row r="24" spans="1:8" ht="25.5" x14ac:dyDescent="0.2">
      <c r="A24" s="5">
        <v>18</v>
      </c>
      <c r="B24" s="6" t="s">
        <v>40</v>
      </c>
      <c r="C24" s="6" t="s">
        <v>41</v>
      </c>
      <c r="D24" s="6" t="s">
        <v>970</v>
      </c>
      <c r="E24" s="7">
        <v>19801</v>
      </c>
      <c r="F24" s="8">
        <v>1328.25108</v>
      </c>
      <c r="G24" s="9">
        <v>1.8599560000000001E-2</v>
      </c>
      <c r="H24" s="167"/>
    </row>
    <row r="25" spans="1:8" ht="25.5" x14ac:dyDescent="0.2">
      <c r="A25" s="5">
        <v>19</v>
      </c>
      <c r="B25" s="6" t="s">
        <v>707</v>
      </c>
      <c r="C25" s="6" t="s">
        <v>708</v>
      </c>
      <c r="D25" s="6" t="s">
        <v>37</v>
      </c>
      <c r="E25" s="7">
        <v>19261</v>
      </c>
      <c r="F25" s="8">
        <v>1285.9317735</v>
      </c>
      <c r="G25" s="9">
        <v>1.8006959999999999E-2</v>
      </c>
      <c r="H25" s="167"/>
    </row>
    <row r="26" spans="1:8" x14ac:dyDescent="0.2">
      <c r="A26" s="5">
        <v>20</v>
      </c>
      <c r="B26" s="6" t="s">
        <v>27</v>
      </c>
      <c r="C26" s="6" t="s">
        <v>28</v>
      </c>
      <c r="D26" s="6" t="s">
        <v>29</v>
      </c>
      <c r="E26" s="7">
        <v>100996</v>
      </c>
      <c r="F26" s="8">
        <v>1232.4036900000001</v>
      </c>
      <c r="G26" s="9">
        <v>1.7257404E-2</v>
      </c>
      <c r="H26" s="167"/>
    </row>
    <row r="27" spans="1:8" x14ac:dyDescent="0.2">
      <c r="A27" s="5">
        <v>21</v>
      </c>
      <c r="B27" s="6" t="s">
        <v>61</v>
      </c>
      <c r="C27" s="6" t="s">
        <v>62</v>
      </c>
      <c r="D27" s="6" t="s">
        <v>18</v>
      </c>
      <c r="E27" s="7">
        <v>256895</v>
      </c>
      <c r="F27" s="8">
        <v>1212.5444</v>
      </c>
      <c r="G27" s="9">
        <v>1.6979313999999999E-2</v>
      </c>
      <c r="H27" s="167"/>
    </row>
    <row r="28" spans="1:8" ht="25.5" x14ac:dyDescent="0.2">
      <c r="A28" s="5">
        <v>22</v>
      </c>
      <c r="B28" s="6" t="s">
        <v>321</v>
      </c>
      <c r="C28" s="6" t="s">
        <v>322</v>
      </c>
      <c r="D28" s="6" t="s">
        <v>78</v>
      </c>
      <c r="E28" s="7">
        <v>237070</v>
      </c>
      <c r="F28" s="8">
        <v>1187.95777</v>
      </c>
      <c r="G28" s="9">
        <v>1.6635026000000001E-2</v>
      </c>
      <c r="H28" s="167"/>
    </row>
    <row r="29" spans="1:8" x14ac:dyDescent="0.2">
      <c r="A29" s="5">
        <v>23</v>
      </c>
      <c r="B29" s="6" t="s">
        <v>347</v>
      </c>
      <c r="C29" s="6" t="s">
        <v>348</v>
      </c>
      <c r="D29" s="6" t="s">
        <v>23</v>
      </c>
      <c r="E29" s="7">
        <v>1431306</v>
      </c>
      <c r="F29" s="8">
        <v>1155.063942</v>
      </c>
      <c r="G29" s="9">
        <v>1.6174411999999999E-2</v>
      </c>
      <c r="H29" s="167"/>
    </row>
    <row r="30" spans="1:8" x14ac:dyDescent="0.2">
      <c r="A30" s="5">
        <v>24</v>
      </c>
      <c r="B30" s="6" t="s">
        <v>388</v>
      </c>
      <c r="C30" s="6" t="s">
        <v>389</v>
      </c>
      <c r="D30" s="6" t="s">
        <v>969</v>
      </c>
      <c r="E30" s="7">
        <v>9583</v>
      </c>
      <c r="F30" s="8">
        <v>1131.397729</v>
      </c>
      <c r="G30" s="9">
        <v>1.5843013E-2</v>
      </c>
      <c r="H30" s="167"/>
    </row>
    <row r="31" spans="1:8" ht="25.5" x14ac:dyDescent="0.2">
      <c r="A31" s="5">
        <v>25</v>
      </c>
      <c r="B31" s="6" t="s">
        <v>200</v>
      </c>
      <c r="C31" s="6" t="s">
        <v>201</v>
      </c>
      <c r="D31" s="6" t="s">
        <v>75</v>
      </c>
      <c r="E31" s="7">
        <v>47943</v>
      </c>
      <c r="F31" s="8">
        <v>1080.6352199999999</v>
      </c>
      <c r="G31" s="9">
        <v>1.5132184E-2</v>
      </c>
      <c r="H31" s="167"/>
    </row>
    <row r="32" spans="1:8" x14ac:dyDescent="0.2">
      <c r="A32" s="5">
        <v>26</v>
      </c>
      <c r="B32" s="6" t="s">
        <v>188</v>
      </c>
      <c r="C32" s="6" t="s">
        <v>189</v>
      </c>
      <c r="D32" s="6" t="s">
        <v>167</v>
      </c>
      <c r="E32" s="7">
        <v>41632</v>
      </c>
      <c r="F32" s="8">
        <v>1058.680944</v>
      </c>
      <c r="G32" s="9">
        <v>1.4824756999999999E-2</v>
      </c>
      <c r="H32" s="167"/>
    </row>
    <row r="33" spans="1:8" x14ac:dyDescent="0.2">
      <c r="A33" s="5">
        <v>27</v>
      </c>
      <c r="B33" s="6" t="s">
        <v>413</v>
      </c>
      <c r="C33" s="6" t="s">
        <v>414</v>
      </c>
      <c r="D33" s="6" t="s">
        <v>167</v>
      </c>
      <c r="E33" s="7">
        <v>32028</v>
      </c>
      <c r="F33" s="8">
        <v>1011.812562</v>
      </c>
      <c r="G33" s="9">
        <v>1.4168457000000001E-2</v>
      </c>
      <c r="H33" s="167"/>
    </row>
    <row r="34" spans="1:8" x14ac:dyDescent="0.2">
      <c r="A34" s="5">
        <v>28</v>
      </c>
      <c r="B34" s="6" t="s">
        <v>315</v>
      </c>
      <c r="C34" s="6" t="s">
        <v>316</v>
      </c>
      <c r="D34" s="6" t="s">
        <v>247</v>
      </c>
      <c r="E34" s="7">
        <v>3287</v>
      </c>
      <c r="F34" s="8">
        <v>1007.9749849999999</v>
      </c>
      <c r="G34" s="9">
        <v>1.4114719E-2</v>
      </c>
      <c r="H34" s="167"/>
    </row>
    <row r="35" spans="1:8" x14ac:dyDescent="0.2">
      <c r="A35" s="5">
        <v>29</v>
      </c>
      <c r="B35" s="6" t="s">
        <v>248</v>
      </c>
      <c r="C35" s="6" t="s">
        <v>249</v>
      </c>
      <c r="D35" s="6" t="s">
        <v>192</v>
      </c>
      <c r="E35" s="7">
        <v>69458</v>
      </c>
      <c r="F35" s="8">
        <v>1007.6966640000001</v>
      </c>
      <c r="G35" s="9">
        <v>1.4110822E-2</v>
      </c>
      <c r="H35" s="167"/>
    </row>
    <row r="36" spans="1:8" x14ac:dyDescent="0.2">
      <c r="A36" s="5">
        <v>30</v>
      </c>
      <c r="B36" s="6" t="s">
        <v>333</v>
      </c>
      <c r="C36" s="6" t="s">
        <v>334</v>
      </c>
      <c r="D36" s="6" t="s">
        <v>67</v>
      </c>
      <c r="E36" s="7">
        <v>147000</v>
      </c>
      <c r="F36" s="8">
        <v>1005.333</v>
      </c>
      <c r="G36" s="9">
        <v>1.4077723E-2</v>
      </c>
      <c r="H36" s="167"/>
    </row>
    <row r="37" spans="1:8" x14ac:dyDescent="0.2">
      <c r="A37" s="5">
        <v>31</v>
      </c>
      <c r="B37" s="6" t="s">
        <v>431</v>
      </c>
      <c r="C37" s="6" t="s">
        <v>432</v>
      </c>
      <c r="D37" s="6" t="s">
        <v>433</v>
      </c>
      <c r="E37" s="7">
        <v>250000</v>
      </c>
      <c r="F37" s="8">
        <v>985.625</v>
      </c>
      <c r="G37" s="9">
        <v>1.3801750999999999E-2</v>
      </c>
      <c r="H37" s="167"/>
    </row>
    <row r="38" spans="1:8" x14ac:dyDescent="0.2">
      <c r="A38" s="5">
        <v>32</v>
      </c>
      <c r="B38" s="6" t="s">
        <v>405</v>
      </c>
      <c r="C38" s="6" t="s">
        <v>406</v>
      </c>
      <c r="D38" s="6" t="s">
        <v>969</v>
      </c>
      <c r="E38" s="7">
        <v>100100</v>
      </c>
      <c r="F38" s="8">
        <v>976.62564999999995</v>
      </c>
      <c r="G38" s="9">
        <v>1.3675733000000001E-2</v>
      </c>
      <c r="H38" s="167"/>
    </row>
    <row r="39" spans="1:8" x14ac:dyDescent="0.2">
      <c r="A39" s="5">
        <v>33</v>
      </c>
      <c r="B39" s="6" t="s">
        <v>343</v>
      </c>
      <c r="C39" s="6" t="s">
        <v>344</v>
      </c>
      <c r="D39" s="6" t="s">
        <v>153</v>
      </c>
      <c r="E39" s="7">
        <v>14917</v>
      </c>
      <c r="F39" s="8">
        <v>971.56658549999997</v>
      </c>
      <c r="G39" s="9">
        <v>1.3604890999999999E-2</v>
      </c>
      <c r="H39" s="167"/>
    </row>
    <row r="40" spans="1:8" x14ac:dyDescent="0.2">
      <c r="A40" s="5">
        <v>34</v>
      </c>
      <c r="B40" s="6" t="s">
        <v>444</v>
      </c>
      <c r="C40" s="6" t="s">
        <v>445</v>
      </c>
      <c r="D40" s="6" t="s">
        <v>192</v>
      </c>
      <c r="E40" s="7">
        <v>17902</v>
      </c>
      <c r="F40" s="8">
        <v>950.44403299999999</v>
      </c>
      <c r="G40" s="9">
        <v>1.3309111E-2</v>
      </c>
      <c r="H40" s="167"/>
    </row>
    <row r="41" spans="1:8" x14ac:dyDescent="0.2">
      <c r="A41" s="5">
        <v>35</v>
      </c>
      <c r="B41" s="6" t="s">
        <v>198</v>
      </c>
      <c r="C41" s="6" t="s">
        <v>199</v>
      </c>
      <c r="D41" s="6" t="s">
        <v>167</v>
      </c>
      <c r="E41" s="7">
        <v>115000</v>
      </c>
      <c r="F41" s="8">
        <v>947.42750000000001</v>
      </c>
      <c r="G41" s="9">
        <v>1.326687E-2</v>
      </c>
      <c r="H41" s="167"/>
    </row>
    <row r="42" spans="1:8" x14ac:dyDescent="0.2">
      <c r="A42" s="5">
        <v>36</v>
      </c>
      <c r="B42" s="6" t="s">
        <v>366</v>
      </c>
      <c r="C42" s="6" t="s">
        <v>367</v>
      </c>
      <c r="D42" s="6" t="s">
        <v>167</v>
      </c>
      <c r="E42" s="7">
        <v>100000</v>
      </c>
      <c r="F42" s="8">
        <v>945.2</v>
      </c>
      <c r="G42" s="9">
        <v>1.3235678000000001E-2</v>
      </c>
      <c r="H42" s="167"/>
    </row>
    <row r="43" spans="1:8" x14ac:dyDescent="0.2">
      <c r="A43" s="5">
        <v>37</v>
      </c>
      <c r="B43" s="6" t="s">
        <v>409</v>
      </c>
      <c r="C43" s="6" t="s">
        <v>410</v>
      </c>
      <c r="D43" s="6" t="s">
        <v>192</v>
      </c>
      <c r="E43" s="7">
        <v>90000</v>
      </c>
      <c r="F43" s="8">
        <v>898.15499999999997</v>
      </c>
      <c r="G43" s="9">
        <v>1.2576904999999999E-2</v>
      </c>
      <c r="H43" s="167"/>
    </row>
    <row r="44" spans="1:8" x14ac:dyDescent="0.2">
      <c r="A44" s="5">
        <v>38</v>
      </c>
      <c r="B44" s="6" t="s">
        <v>499</v>
      </c>
      <c r="C44" s="6" t="s">
        <v>500</v>
      </c>
      <c r="D44" s="6" t="s">
        <v>94</v>
      </c>
      <c r="E44" s="7">
        <v>267773</v>
      </c>
      <c r="F44" s="8">
        <v>853.52643750000004</v>
      </c>
      <c r="G44" s="9">
        <v>1.1951969E-2</v>
      </c>
      <c r="H44" s="167"/>
    </row>
    <row r="45" spans="1:8" ht="25.5" x14ac:dyDescent="0.2">
      <c r="A45" s="5">
        <v>39</v>
      </c>
      <c r="B45" s="6" t="s">
        <v>521</v>
      </c>
      <c r="C45" s="6" t="s">
        <v>522</v>
      </c>
      <c r="D45" s="6" t="s">
        <v>78</v>
      </c>
      <c r="E45" s="7">
        <v>3189</v>
      </c>
      <c r="F45" s="8">
        <v>814.3478235</v>
      </c>
      <c r="G45" s="9">
        <v>1.1403349E-2</v>
      </c>
      <c r="H45" s="167"/>
    </row>
    <row r="46" spans="1:8" ht="25.5" x14ac:dyDescent="0.2">
      <c r="A46" s="5">
        <v>40</v>
      </c>
      <c r="B46" s="6" t="s">
        <v>19</v>
      </c>
      <c r="C46" s="6" t="s">
        <v>20</v>
      </c>
      <c r="D46" s="6" t="s">
        <v>970</v>
      </c>
      <c r="E46" s="7">
        <v>84095</v>
      </c>
      <c r="F46" s="8">
        <v>812.56793749999997</v>
      </c>
      <c r="G46" s="9">
        <v>1.1378424999999999E-2</v>
      </c>
      <c r="H46" s="167"/>
    </row>
    <row r="47" spans="1:8" ht="25.5" x14ac:dyDescent="0.2">
      <c r="A47" s="5">
        <v>41</v>
      </c>
      <c r="B47" s="6" t="s">
        <v>709</v>
      </c>
      <c r="C47" s="6" t="s">
        <v>710</v>
      </c>
      <c r="D47" s="6" t="s">
        <v>78</v>
      </c>
      <c r="E47" s="7">
        <v>132080</v>
      </c>
      <c r="F47" s="8">
        <v>806.01819999999998</v>
      </c>
      <c r="G47" s="9">
        <v>1.1286709000000001E-2</v>
      </c>
      <c r="H47" s="167"/>
    </row>
    <row r="48" spans="1:8" x14ac:dyDescent="0.2">
      <c r="A48" s="5">
        <v>42</v>
      </c>
      <c r="B48" s="6" t="s">
        <v>262</v>
      </c>
      <c r="C48" s="6" t="s">
        <v>263</v>
      </c>
      <c r="D48" s="6" t="s">
        <v>185</v>
      </c>
      <c r="E48" s="7">
        <v>141728</v>
      </c>
      <c r="F48" s="8">
        <v>805.93627200000003</v>
      </c>
      <c r="G48" s="9">
        <v>1.1285562000000001E-2</v>
      </c>
      <c r="H48" s="167"/>
    </row>
    <row r="49" spans="1:8" x14ac:dyDescent="0.2">
      <c r="A49" s="5">
        <v>43</v>
      </c>
      <c r="B49" s="6" t="s">
        <v>329</v>
      </c>
      <c r="C49" s="6" t="s">
        <v>330</v>
      </c>
      <c r="D49" s="6" t="s">
        <v>158</v>
      </c>
      <c r="E49" s="7">
        <v>169899</v>
      </c>
      <c r="F49" s="8">
        <v>792.15408749999995</v>
      </c>
      <c r="G49" s="9">
        <v>1.1092569E-2</v>
      </c>
      <c r="H49" s="167"/>
    </row>
    <row r="50" spans="1:8" x14ac:dyDescent="0.2">
      <c r="A50" s="5">
        <v>44</v>
      </c>
      <c r="B50" s="6" t="s">
        <v>339</v>
      </c>
      <c r="C50" s="6" t="s">
        <v>340</v>
      </c>
      <c r="D50" s="6" t="s">
        <v>192</v>
      </c>
      <c r="E50" s="7">
        <v>25000</v>
      </c>
      <c r="F50" s="8">
        <v>788.46249999999998</v>
      </c>
      <c r="G50" s="9">
        <v>1.1040876E-2</v>
      </c>
      <c r="H50" s="167"/>
    </row>
    <row r="51" spans="1:8" x14ac:dyDescent="0.2">
      <c r="A51" s="5">
        <v>45</v>
      </c>
      <c r="B51" s="6" t="s">
        <v>349</v>
      </c>
      <c r="C51" s="6" t="s">
        <v>350</v>
      </c>
      <c r="D51" s="6" t="s">
        <v>972</v>
      </c>
      <c r="E51" s="7">
        <v>127230</v>
      </c>
      <c r="F51" s="8">
        <v>765.22483499999998</v>
      </c>
      <c r="G51" s="9">
        <v>1.0715478000000001E-2</v>
      </c>
      <c r="H51" s="167"/>
    </row>
    <row r="52" spans="1:8" x14ac:dyDescent="0.2">
      <c r="A52" s="5">
        <v>46</v>
      </c>
      <c r="B52" s="6" t="s">
        <v>86</v>
      </c>
      <c r="C52" s="6" t="s">
        <v>87</v>
      </c>
      <c r="D52" s="6" t="s">
        <v>29</v>
      </c>
      <c r="E52" s="7">
        <v>96041</v>
      </c>
      <c r="F52" s="8">
        <v>755.74662899999998</v>
      </c>
      <c r="G52" s="9">
        <v>1.0582754E-2</v>
      </c>
      <c r="H52" s="167"/>
    </row>
    <row r="53" spans="1:8" x14ac:dyDescent="0.2">
      <c r="A53" s="5">
        <v>47</v>
      </c>
      <c r="B53" s="6" t="s">
        <v>272</v>
      </c>
      <c r="C53" s="6" t="s">
        <v>273</v>
      </c>
      <c r="D53" s="6" t="s">
        <v>972</v>
      </c>
      <c r="E53" s="7">
        <v>46064</v>
      </c>
      <c r="F53" s="8">
        <v>713.53135999999995</v>
      </c>
      <c r="G53" s="9">
        <v>9.9916120000000004E-3</v>
      </c>
      <c r="H53" s="167"/>
    </row>
    <row r="54" spans="1:8" x14ac:dyDescent="0.2">
      <c r="A54" s="5">
        <v>48</v>
      </c>
      <c r="B54" s="6" t="s">
        <v>210</v>
      </c>
      <c r="C54" s="6" t="s">
        <v>211</v>
      </c>
      <c r="D54" s="6" t="s">
        <v>29</v>
      </c>
      <c r="E54" s="7">
        <v>52223</v>
      </c>
      <c r="F54" s="8">
        <v>703.41769850000003</v>
      </c>
      <c r="G54" s="9">
        <v>9.8499899999999994E-3</v>
      </c>
      <c r="H54" s="167"/>
    </row>
    <row r="55" spans="1:8" x14ac:dyDescent="0.2">
      <c r="A55" s="5">
        <v>49</v>
      </c>
      <c r="B55" s="6" t="s">
        <v>440</v>
      </c>
      <c r="C55" s="6" t="s">
        <v>441</v>
      </c>
      <c r="D55" s="6" t="s">
        <v>192</v>
      </c>
      <c r="E55" s="7">
        <v>73768</v>
      </c>
      <c r="F55" s="8">
        <v>700.316508</v>
      </c>
      <c r="G55" s="9">
        <v>9.8065640000000003E-3</v>
      </c>
      <c r="H55" s="167"/>
    </row>
    <row r="56" spans="1:8" x14ac:dyDescent="0.2">
      <c r="A56" s="5">
        <v>50</v>
      </c>
      <c r="B56" s="6" t="s">
        <v>393</v>
      </c>
      <c r="C56" s="6" t="s">
        <v>394</v>
      </c>
      <c r="D56" s="6" t="s">
        <v>185</v>
      </c>
      <c r="E56" s="7">
        <v>10000</v>
      </c>
      <c r="F56" s="8">
        <v>683.13</v>
      </c>
      <c r="G56" s="9">
        <v>9.5659000000000004E-3</v>
      </c>
      <c r="H56" s="167"/>
    </row>
    <row r="57" spans="1:8" x14ac:dyDescent="0.2">
      <c r="A57" s="5">
        <v>51</v>
      </c>
      <c r="B57" s="6" t="s">
        <v>92</v>
      </c>
      <c r="C57" s="6" t="s">
        <v>93</v>
      </c>
      <c r="D57" s="6" t="s">
        <v>94</v>
      </c>
      <c r="E57" s="7">
        <v>543762</v>
      </c>
      <c r="F57" s="8">
        <v>671.27418899999998</v>
      </c>
      <c r="G57" s="9">
        <v>9.3998829999999995E-3</v>
      </c>
      <c r="H57" s="167"/>
    </row>
    <row r="58" spans="1:8" x14ac:dyDescent="0.2">
      <c r="A58" s="5">
        <v>52</v>
      </c>
      <c r="B58" s="6" t="s">
        <v>325</v>
      </c>
      <c r="C58" s="6" t="s">
        <v>326</v>
      </c>
      <c r="D58" s="6" t="s">
        <v>70</v>
      </c>
      <c r="E58" s="7">
        <v>125000</v>
      </c>
      <c r="F58" s="8">
        <v>661.0625</v>
      </c>
      <c r="G58" s="9">
        <v>9.2568879999999996E-3</v>
      </c>
      <c r="H58" s="167"/>
    </row>
    <row r="59" spans="1:8" x14ac:dyDescent="0.2">
      <c r="A59" s="5">
        <v>53</v>
      </c>
      <c r="B59" s="6" t="s">
        <v>711</v>
      </c>
      <c r="C59" s="6" t="s">
        <v>712</v>
      </c>
      <c r="D59" s="6" t="s">
        <v>32</v>
      </c>
      <c r="E59" s="7">
        <v>100958</v>
      </c>
      <c r="F59" s="8">
        <v>611.25021100000004</v>
      </c>
      <c r="G59" s="9">
        <v>8.5593639999999999E-3</v>
      </c>
      <c r="H59" s="167"/>
    </row>
    <row r="60" spans="1:8" x14ac:dyDescent="0.2">
      <c r="A60" s="5">
        <v>54</v>
      </c>
      <c r="B60" s="6" t="s">
        <v>358</v>
      </c>
      <c r="C60" s="6" t="s">
        <v>359</v>
      </c>
      <c r="D60" s="6" t="s">
        <v>75</v>
      </c>
      <c r="E60" s="7">
        <v>13600</v>
      </c>
      <c r="F60" s="8">
        <v>547.91679999999997</v>
      </c>
      <c r="G60" s="9">
        <v>7.6725040000000001E-3</v>
      </c>
      <c r="H60" s="167"/>
    </row>
    <row r="61" spans="1:8" x14ac:dyDescent="0.2">
      <c r="A61" s="5">
        <v>55</v>
      </c>
      <c r="B61" s="6" t="s">
        <v>407</v>
      </c>
      <c r="C61" s="6" t="s">
        <v>408</v>
      </c>
      <c r="D61" s="6" t="s">
        <v>94</v>
      </c>
      <c r="E61" s="7">
        <v>67372</v>
      </c>
      <c r="F61" s="8">
        <v>544.33207400000003</v>
      </c>
      <c r="G61" s="9">
        <v>7.6223059999999997E-3</v>
      </c>
      <c r="H61" s="167"/>
    </row>
    <row r="62" spans="1:8" x14ac:dyDescent="0.2">
      <c r="A62" s="5">
        <v>56</v>
      </c>
      <c r="B62" s="6" t="s">
        <v>355</v>
      </c>
      <c r="C62" s="6" t="s">
        <v>356</v>
      </c>
      <c r="D62" s="6" t="s">
        <v>357</v>
      </c>
      <c r="E62" s="7">
        <v>60545</v>
      </c>
      <c r="F62" s="8">
        <v>485.11681249999998</v>
      </c>
      <c r="G62" s="9">
        <v>6.7931129999999999E-3</v>
      </c>
      <c r="H62" s="167"/>
    </row>
    <row r="63" spans="1:8" x14ac:dyDescent="0.2">
      <c r="A63" s="5">
        <v>57</v>
      </c>
      <c r="B63" s="6" t="s">
        <v>97</v>
      </c>
      <c r="C63" s="6" t="s">
        <v>98</v>
      </c>
      <c r="D63" s="6" t="s">
        <v>29</v>
      </c>
      <c r="E63" s="7">
        <v>9000</v>
      </c>
      <c r="F63" s="8">
        <v>475.9425</v>
      </c>
      <c r="G63" s="9">
        <v>6.664644E-3</v>
      </c>
      <c r="H63" s="167"/>
    </row>
    <row r="64" spans="1:8" x14ac:dyDescent="0.2">
      <c r="A64" s="5">
        <v>58</v>
      </c>
      <c r="B64" s="6" t="s">
        <v>362</v>
      </c>
      <c r="C64" s="6" t="s">
        <v>363</v>
      </c>
      <c r="D64" s="6" t="s">
        <v>75</v>
      </c>
      <c r="E64" s="7">
        <v>21630</v>
      </c>
      <c r="F64" s="8">
        <v>467.72712000000001</v>
      </c>
      <c r="G64" s="9">
        <v>6.5496039999999997E-3</v>
      </c>
      <c r="H64" s="167"/>
    </row>
    <row r="65" spans="1:8" x14ac:dyDescent="0.2">
      <c r="A65" s="5">
        <v>59</v>
      </c>
      <c r="B65" s="6" t="s">
        <v>447</v>
      </c>
      <c r="C65" s="6" t="s">
        <v>448</v>
      </c>
      <c r="D65" s="6" t="s">
        <v>75</v>
      </c>
      <c r="E65" s="7">
        <v>141219</v>
      </c>
      <c r="F65" s="8">
        <v>430.153074</v>
      </c>
      <c r="G65" s="9">
        <v>6.0234529999999998E-3</v>
      </c>
      <c r="H65" s="167"/>
    </row>
    <row r="66" spans="1:8" ht="25.5" x14ac:dyDescent="0.2">
      <c r="A66" s="5">
        <v>60</v>
      </c>
      <c r="B66" s="6" t="s">
        <v>376</v>
      </c>
      <c r="C66" s="6" t="s">
        <v>377</v>
      </c>
      <c r="D66" s="6" t="s">
        <v>78</v>
      </c>
      <c r="E66" s="7">
        <v>53473</v>
      </c>
      <c r="F66" s="8">
        <v>354.98051049999998</v>
      </c>
      <c r="G66" s="9">
        <v>4.9708080000000002E-3</v>
      </c>
      <c r="H66" s="167"/>
    </row>
    <row r="67" spans="1:8" x14ac:dyDescent="0.2">
      <c r="A67" s="5">
        <v>61</v>
      </c>
      <c r="B67" s="6" t="s">
        <v>53</v>
      </c>
      <c r="C67" s="6" t="s">
        <v>54</v>
      </c>
      <c r="D67" s="6" t="s">
        <v>32</v>
      </c>
      <c r="E67" s="7">
        <v>140212</v>
      </c>
      <c r="F67" s="8">
        <v>296.19785000000002</v>
      </c>
      <c r="G67" s="9">
        <v>4.1476719999999998E-3</v>
      </c>
      <c r="H67" s="167"/>
    </row>
    <row r="68" spans="1:8" x14ac:dyDescent="0.2">
      <c r="A68" s="5">
        <v>62</v>
      </c>
      <c r="B68" s="6" t="s">
        <v>530</v>
      </c>
      <c r="C68" s="6" t="s">
        <v>531</v>
      </c>
      <c r="D68" s="6" t="s">
        <v>75</v>
      </c>
      <c r="E68" s="7">
        <v>4382</v>
      </c>
      <c r="F68" s="8">
        <v>34.346116000000002</v>
      </c>
      <c r="G68" s="9">
        <v>4.8095000000000001E-4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0">
        <v>70590.889991999997</v>
      </c>
      <c r="G69" s="11">
        <v>0.98848740800000001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105</v>
      </c>
      <c r="D71" s="3" t="s">
        <v>10</v>
      </c>
      <c r="E71" s="3" t="s">
        <v>10</v>
      </c>
      <c r="F71" s="3" t="s">
        <v>10</v>
      </c>
      <c r="G71" s="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106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110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111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112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113</v>
      </c>
      <c r="D86" s="3" t="s">
        <v>10</v>
      </c>
      <c r="E86" s="3" t="s">
        <v>10</v>
      </c>
      <c r="F86" s="10">
        <v>70590.889991999997</v>
      </c>
      <c r="G86" s="11">
        <v>0.98848740800000001</v>
      </c>
      <c r="H86" s="167"/>
    </row>
    <row r="87" spans="1:8" x14ac:dyDescent="0.2">
      <c r="A87" s="3" t="s">
        <v>10</v>
      </c>
      <c r="B87" s="3" t="s">
        <v>10</v>
      </c>
      <c r="C87" s="12" t="s">
        <v>10</v>
      </c>
      <c r="D87" s="3" t="s">
        <v>10</v>
      </c>
      <c r="E87" s="3" t="s">
        <v>10</v>
      </c>
      <c r="F87" s="13" t="s">
        <v>10</v>
      </c>
      <c r="G87" s="1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114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ht="25.5" x14ac:dyDescent="0.2">
      <c r="A89" s="3" t="s">
        <v>10</v>
      </c>
      <c r="B89" s="3" t="s">
        <v>10</v>
      </c>
      <c r="C89" s="4" t="s">
        <v>12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115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116</v>
      </c>
      <c r="D95" s="3" t="s">
        <v>10</v>
      </c>
      <c r="E95" s="3" t="s">
        <v>10</v>
      </c>
      <c r="F95" s="3" t="s">
        <v>10</v>
      </c>
      <c r="G95" s="3" t="s">
        <v>10</v>
      </c>
      <c r="H95" s="167"/>
    </row>
    <row r="96" spans="1:8" x14ac:dyDescent="0.2">
      <c r="A96" s="3" t="s">
        <v>10</v>
      </c>
      <c r="B96" s="3" t="s">
        <v>10</v>
      </c>
      <c r="C96" s="4" t="s">
        <v>104</v>
      </c>
      <c r="D96" s="3" t="s">
        <v>10</v>
      </c>
      <c r="E96" s="3" t="s">
        <v>10</v>
      </c>
      <c r="F96" s="14">
        <v>0</v>
      </c>
      <c r="G96" s="15">
        <v>0</v>
      </c>
      <c r="H96" s="167"/>
    </row>
    <row r="97" spans="1:8" x14ac:dyDescent="0.2">
      <c r="A97" s="3" t="s">
        <v>10</v>
      </c>
      <c r="B97" s="3" t="s">
        <v>10</v>
      </c>
      <c r="C97" s="12" t="s">
        <v>10</v>
      </c>
      <c r="D97" s="3" t="s">
        <v>10</v>
      </c>
      <c r="E97" s="3" t="s">
        <v>10</v>
      </c>
      <c r="F97" s="13" t="s">
        <v>10</v>
      </c>
      <c r="G97" s="1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117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118</v>
      </c>
      <c r="D101" s="3" t="s">
        <v>10</v>
      </c>
      <c r="E101" s="3" t="s">
        <v>10</v>
      </c>
      <c r="F101" s="10">
        <v>0</v>
      </c>
      <c r="G101" s="11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119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120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3" t="s">
        <v>10</v>
      </c>
      <c r="C105" s="4" t="s">
        <v>104</v>
      </c>
      <c r="D105" s="3" t="s">
        <v>10</v>
      </c>
      <c r="E105" s="3" t="s">
        <v>10</v>
      </c>
      <c r="F105" s="14">
        <v>0</v>
      </c>
      <c r="G105" s="15">
        <v>0</v>
      </c>
      <c r="H105" s="167"/>
    </row>
    <row r="106" spans="1:8" x14ac:dyDescent="0.2">
      <c r="A106" s="3" t="s">
        <v>10</v>
      </c>
      <c r="B106" s="3" t="s">
        <v>10</v>
      </c>
      <c r="C106" s="12" t="s">
        <v>10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121</v>
      </c>
      <c r="D107" s="3" t="s">
        <v>10</v>
      </c>
      <c r="E107" s="3" t="s">
        <v>10</v>
      </c>
      <c r="F107" s="13" t="s">
        <v>10</v>
      </c>
      <c r="G107" s="1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4" t="s">
        <v>122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x14ac:dyDescent="0.2">
      <c r="A111" s="3" t="s">
        <v>10</v>
      </c>
      <c r="B111" s="3" t="s">
        <v>10</v>
      </c>
      <c r="C111" s="4" t="s">
        <v>104</v>
      </c>
      <c r="D111" s="3" t="s">
        <v>10</v>
      </c>
      <c r="E111" s="3" t="s">
        <v>10</v>
      </c>
      <c r="F111" s="14">
        <v>0</v>
      </c>
      <c r="G111" s="15">
        <v>0</v>
      </c>
      <c r="H111" s="167"/>
    </row>
    <row r="112" spans="1:8" x14ac:dyDescent="0.2">
      <c r="A112" s="3" t="s">
        <v>10</v>
      </c>
      <c r="B112" s="3" t="s">
        <v>10</v>
      </c>
      <c r="C112" s="12" t="s">
        <v>10</v>
      </c>
      <c r="D112" s="3" t="s">
        <v>10</v>
      </c>
      <c r="E112" s="3" t="s">
        <v>10</v>
      </c>
      <c r="F112" s="13" t="s">
        <v>10</v>
      </c>
      <c r="G112" s="13" t="s">
        <v>10</v>
      </c>
      <c r="H112" s="167"/>
    </row>
    <row r="113" spans="1:8" x14ac:dyDescent="0.2">
      <c r="A113" s="3" t="s">
        <v>10</v>
      </c>
      <c r="B113" s="3" t="s">
        <v>10</v>
      </c>
      <c r="C113" s="4" t="s">
        <v>123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5">
        <v>1</v>
      </c>
      <c r="B114" s="6"/>
      <c r="C114" s="6" t="s">
        <v>124</v>
      </c>
      <c r="D114" s="6"/>
      <c r="E114" s="16" t="s">
        <v>10</v>
      </c>
      <c r="F114" s="8">
        <v>888.65579070000001</v>
      </c>
      <c r="G114" s="9">
        <v>1.2443887000000001E-2</v>
      </c>
      <c r="H114" s="108">
        <v>3.23</v>
      </c>
    </row>
    <row r="115" spans="1:8" x14ac:dyDescent="0.2">
      <c r="A115" s="5">
        <v>2</v>
      </c>
      <c r="B115" s="6"/>
      <c r="C115" s="6" t="s">
        <v>125</v>
      </c>
      <c r="D115" s="6"/>
      <c r="E115" s="16" t="s">
        <v>10</v>
      </c>
      <c r="F115" s="8">
        <v>249.61445710000001</v>
      </c>
      <c r="G115" s="9">
        <v>3.4953620000000001E-3</v>
      </c>
      <c r="H115" s="108">
        <v>3.35</v>
      </c>
    </row>
    <row r="116" spans="1:8" x14ac:dyDescent="0.2">
      <c r="A116" s="3" t="s">
        <v>10</v>
      </c>
      <c r="B116" s="3" t="s">
        <v>10</v>
      </c>
      <c r="C116" s="4" t="s">
        <v>104</v>
      </c>
      <c r="D116" s="3" t="s">
        <v>10</v>
      </c>
      <c r="E116" s="3" t="s">
        <v>10</v>
      </c>
      <c r="F116" s="10">
        <v>1138.2702478000001</v>
      </c>
      <c r="G116" s="11">
        <v>1.5939248999999999E-2</v>
      </c>
      <c r="H116" s="167"/>
    </row>
    <row r="117" spans="1:8" x14ac:dyDescent="0.2">
      <c r="A117" s="3" t="s">
        <v>10</v>
      </c>
      <c r="B117" s="3" t="s">
        <v>10</v>
      </c>
      <c r="C117" s="12" t="s">
        <v>10</v>
      </c>
      <c r="D117" s="3" t="s">
        <v>10</v>
      </c>
      <c r="E117" s="3" t="s">
        <v>10</v>
      </c>
      <c r="F117" s="13" t="s">
        <v>10</v>
      </c>
      <c r="G117" s="1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126</v>
      </c>
      <c r="D118" s="3" t="s">
        <v>10</v>
      </c>
      <c r="E118" s="3" t="s">
        <v>10</v>
      </c>
      <c r="F118" s="10">
        <v>1138.2702478000001</v>
      </c>
      <c r="G118" s="11">
        <v>1.5939248999999999E-2</v>
      </c>
      <c r="H118" s="167"/>
    </row>
    <row r="119" spans="1:8" x14ac:dyDescent="0.2">
      <c r="A119" s="3" t="s">
        <v>10</v>
      </c>
      <c r="B119" s="3" t="s">
        <v>10</v>
      </c>
      <c r="C119" s="13" t="s">
        <v>10</v>
      </c>
      <c r="D119" s="3" t="s">
        <v>10</v>
      </c>
      <c r="E119" s="3" t="s">
        <v>10</v>
      </c>
      <c r="F119" s="3" t="s">
        <v>10</v>
      </c>
      <c r="G119" s="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127</v>
      </c>
      <c r="D120" s="3" t="s">
        <v>10</v>
      </c>
      <c r="E120" s="3" t="s">
        <v>10</v>
      </c>
      <c r="F120" s="3" t="s">
        <v>10</v>
      </c>
      <c r="G120" s="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128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4" t="s">
        <v>129</v>
      </c>
      <c r="D124" s="3" t="s">
        <v>10</v>
      </c>
      <c r="E124" s="3" t="s">
        <v>10</v>
      </c>
      <c r="F124" s="3" t="s">
        <v>10</v>
      </c>
      <c r="G124" s="3" t="s">
        <v>10</v>
      </c>
      <c r="H124" s="167"/>
    </row>
    <row r="125" spans="1:8" x14ac:dyDescent="0.2">
      <c r="A125" s="3" t="s">
        <v>10</v>
      </c>
      <c r="B125" s="3" t="s">
        <v>10</v>
      </c>
      <c r="C125" s="4" t="s">
        <v>130</v>
      </c>
      <c r="D125" s="3" t="s">
        <v>10</v>
      </c>
      <c r="E125" s="3" t="s">
        <v>10</v>
      </c>
      <c r="F125" s="3" t="s">
        <v>10</v>
      </c>
      <c r="G125" s="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4">
        <v>0</v>
      </c>
      <c r="G126" s="15">
        <v>0</v>
      </c>
      <c r="H126" s="167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3" t="s">
        <v>10</v>
      </c>
      <c r="B128" s="3" t="s">
        <v>10</v>
      </c>
      <c r="C128" s="12" t="s">
        <v>10</v>
      </c>
      <c r="D128" s="3" t="s">
        <v>10</v>
      </c>
      <c r="E128" s="3" t="s">
        <v>10</v>
      </c>
      <c r="F128" s="13" t="s">
        <v>10</v>
      </c>
      <c r="G128" s="13" t="s">
        <v>10</v>
      </c>
      <c r="H128" s="167"/>
    </row>
    <row r="129" spans="1:8" ht="25.5" x14ac:dyDescent="0.2">
      <c r="A129" s="3" t="s">
        <v>10</v>
      </c>
      <c r="B129" s="3" t="s">
        <v>10</v>
      </c>
      <c r="C129" s="4" t="s">
        <v>131</v>
      </c>
      <c r="D129" s="3" t="s">
        <v>10</v>
      </c>
      <c r="E129" s="3" t="s">
        <v>10</v>
      </c>
      <c r="F129" s="13" t="s">
        <v>10</v>
      </c>
      <c r="G129" s="13" t="s">
        <v>10</v>
      </c>
      <c r="H129" s="167"/>
    </row>
    <row r="130" spans="1:8" x14ac:dyDescent="0.2">
      <c r="A130" s="3" t="s">
        <v>10</v>
      </c>
      <c r="B130" s="3" t="s">
        <v>10</v>
      </c>
      <c r="C130" s="4" t="s">
        <v>104</v>
      </c>
      <c r="D130" s="3" t="s">
        <v>10</v>
      </c>
      <c r="E130" s="3" t="s">
        <v>10</v>
      </c>
      <c r="F130" s="14">
        <v>0</v>
      </c>
      <c r="G130" s="15">
        <v>0</v>
      </c>
      <c r="H130" s="167"/>
    </row>
    <row r="131" spans="1:8" x14ac:dyDescent="0.2">
      <c r="A131" s="3" t="s">
        <v>10</v>
      </c>
      <c r="B131" s="3" t="s">
        <v>10</v>
      </c>
      <c r="C131" s="12" t="s">
        <v>10</v>
      </c>
      <c r="D131" s="3" t="s">
        <v>10</v>
      </c>
      <c r="E131" s="3" t="s">
        <v>10</v>
      </c>
      <c r="F131" s="13" t="s">
        <v>10</v>
      </c>
      <c r="G131" s="13" t="s">
        <v>10</v>
      </c>
      <c r="H131" s="167"/>
    </row>
    <row r="132" spans="1:8" x14ac:dyDescent="0.2">
      <c r="A132" s="3" t="s">
        <v>10</v>
      </c>
      <c r="B132" s="6" t="s">
        <v>10</v>
      </c>
      <c r="C132" s="6" t="s">
        <v>10</v>
      </c>
      <c r="D132" s="4" t="s">
        <v>10</v>
      </c>
      <c r="E132" s="3" t="s">
        <v>10</v>
      </c>
      <c r="F132" s="6" t="s">
        <v>10</v>
      </c>
      <c r="G132" s="16" t="s">
        <v>10</v>
      </c>
      <c r="H132" s="167"/>
    </row>
    <row r="133" spans="1:8" x14ac:dyDescent="0.2">
      <c r="A133" s="16" t="s">
        <v>10</v>
      </c>
      <c r="B133" s="6" t="s">
        <v>10</v>
      </c>
      <c r="C133" s="6" t="s">
        <v>132</v>
      </c>
      <c r="D133" s="6" t="s">
        <v>10</v>
      </c>
      <c r="E133" s="16" t="s">
        <v>10</v>
      </c>
      <c r="F133" s="8">
        <v>-316.12089261</v>
      </c>
      <c r="G133" s="9">
        <v>-4.4266549999999998E-3</v>
      </c>
      <c r="H133" s="167"/>
    </row>
    <row r="134" spans="1:8" x14ac:dyDescent="0.2">
      <c r="A134" s="12" t="s">
        <v>10</v>
      </c>
      <c r="B134" s="12" t="s">
        <v>10</v>
      </c>
      <c r="C134" s="4" t="s">
        <v>133</v>
      </c>
      <c r="D134" s="17" t="s">
        <v>10</v>
      </c>
      <c r="E134" s="17" t="s">
        <v>10</v>
      </c>
      <c r="F134" s="10">
        <v>71413.039347190002</v>
      </c>
      <c r="G134" s="11">
        <v>1.0000000019999999</v>
      </c>
      <c r="H134" s="167"/>
    </row>
    <row r="135" spans="1:8" ht="14.1" customHeight="1" x14ac:dyDescent="0.2">
      <c r="A135" s="18" t="s">
        <v>10</v>
      </c>
      <c r="B135" s="18" t="s">
        <v>10</v>
      </c>
      <c r="C135" s="18" t="s">
        <v>10</v>
      </c>
      <c r="D135" s="19" t="s">
        <v>10</v>
      </c>
      <c r="E135" s="19" t="s">
        <v>10</v>
      </c>
      <c r="F135" s="19" t="s">
        <v>10</v>
      </c>
      <c r="G135" s="19" t="s">
        <v>10</v>
      </c>
    </row>
    <row r="136" spans="1:8" ht="14.1" customHeight="1" x14ac:dyDescent="0.2">
      <c r="A136" s="20" t="s">
        <v>10</v>
      </c>
      <c r="B136" s="208" t="s">
        <v>10</v>
      </c>
      <c r="C136" s="208"/>
      <c r="D136" s="208"/>
      <c r="E136" s="208"/>
      <c r="F136" s="208"/>
      <c r="G136" s="22" t="s">
        <v>10</v>
      </c>
    </row>
    <row r="137" spans="1:8" ht="14.1" customHeight="1" x14ac:dyDescent="0.2">
      <c r="A137" s="20" t="s">
        <v>10</v>
      </c>
      <c r="B137" s="208" t="s">
        <v>10</v>
      </c>
      <c r="C137" s="208"/>
      <c r="D137" s="208"/>
      <c r="E137" s="208"/>
      <c r="F137" s="208"/>
      <c r="G137" s="22" t="s">
        <v>10</v>
      </c>
    </row>
    <row r="138" spans="1:8" ht="14.1" customHeight="1" x14ac:dyDescent="0.2">
      <c r="A138" s="20" t="s">
        <v>10</v>
      </c>
      <c r="B138" s="20" t="s">
        <v>10</v>
      </c>
      <c r="C138" s="20" t="s">
        <v>10</v>
      </c>
      <c r="D138" s="22" t="s">
        <v>10</v>
      </c>
      <c r="E138" s="22" t="s">
        <v>10</v>
      </c>
      <c r="F138" s="22" t="s">
        <v>10</v>
      </c>
      <c r="G138" s="22" t="s">
        <v>10</v>
      </c>
    </row>
    <row r="139" spans="1:8" ht="14.1" customHeight="1" x14ac:dyDescent="0.2">
      <c r="A139" s="20" t="s">
        <v>10</v>
      </c>
      <c r="B139" s="206" t="s">
        <v>134</v>
      </c>
      <c r="C139" s="207"/>
      <c r="D139" s="13" t="s">
        <v>10</v>
      </c>
      <c r="E139" s="23" t="s">
        <v>10</v>
      </c>
      <c r="F139" s="22" t="s">
        <v>10</v>
      </c>
      <c r="G139" s="22" t="s">
        <v>10</v>
      </c>
    </row>
    <row r="140" spans="1:8" ht="29.1" customHeight="1" x14ac:dyDescent="0.2">
      <c r="A140" s="20" t="s">
        <v>10</v>
      </c>
      <c r="B140" s="213" t="s">
        <v>135</v>
      </c>
      <c r="C140" s="214"/>
      <c r="D140" s="4" t="s">
        <v>136</v>
      </c>
      <c r="E140" s="23" t="s">
        <v>10</v>
      </c>
      <c r="F140" s="22" t="s">
        <v>10</v>
      </c>
      <c r="G140" s="22" t="s">
        <v>10</v>
      </c>
    </row>
    <row r="141" spans="1:8" ht="17.100000000000001" customHeight="1" x14ac:dyDescent="0.2">
      <c r="A141" s="20" t="s">
        <v>10</v>
      </c>
      <c r="B141" s="213" t="s">
        <v>137</v>
      </c>
      <c r="C141" s="214"/>
      <c r="D141" s="4" t="s">
        <v>136</v>
      </c>
      <c r="E141" s="23" t="s">
        <v>10</v>
      </c>
      <c r="F141" s="22" t="s">
        <v>10</v>
      </c>
      <c r="G141" s="22" t="s">
        <v>10</v>
      </c>
    </row>
    <row r="142" spans="1:8" ht="17.100000000000001" customHeight="1" x14ac:dyDescent="0.2">
      <c r="A142" s="20" t="s">
        <v>10</v>
      </c>
      <c r="B142" s="213" t="s">
        <v>138</v>
      </c>
      <c r="C142" s="214"/>
      <c r="D142" s="13" t="s">
        <v>10</v>
      </c>
      <c r="E142" s="23" t="s">
        <v>10</v>
      </c>
      <c r="F142" s="22" t="s">
        <v>10</v>
      </c>
      <c r="G142" s="22" t="s">
        <v>10</v>
      </c>
    </row>
    <row r="143" spans="1:8" s="20" customFormat="1" ht="17.100000000000001" customHeight="1" x14ac:dyDescent="0.2"/>
    <row r="144" spans="1:8" x14ac:dyDescent="0.2">
      <c r="A144" s="24" t="s">
        <v>10</v>
      </c>
      <c r="B144" s="140" t="s">
        <v>10</v>
      </c>
      <c r="C144" s="140" t="s">
        <v>139</v>
      </c>
      <c r="D144" s="140" t="s">
        <v>140</v>
      </c>
      <c r="E144" s="24" t="s">
        <v>10</v>
      </c>
      <c r="F144" s="24" t="s">
        <v>10</v>
      </c>
      <c r="G144" s="24" t="s">
        <v>10</v>
      </c>
    </row>
    <row r="145" spans="1:7" ht="18" customHeight="1" x14ac:dyDescent="0.2">
      <c r="A145" s="24" t="s">
        <v>10</v>
      </c>
      <c r="B145" s="25" t="s">
        <v>141</v>
      </c>
      <c r="C145" s="25" t="s">
        <v>142</v>
      </c>
      <c r="D145" s="25" t="s">
        <v>143</v>
      </c>
      <c r="E145" s="24" t="s">
        <v>10</v>
      </c>
      <c r="F145" s="24" t="s">
        <v>10</v>
      </c>
      <c r="G145" s="24" t="s">
        <v>10</v>
      </c>
    </row>
    <row r="146" spans="1:7" ht="17.100000000000001" customHeight="1" x14ac:dyDescent="0.2">
      <c r="A146" s="24" t="s">
        <v>10</v>
      </c>
      <c r="B146" s="6" t="s">
        <v>144</v>
      </c>
      <c r="C146" s="26">
        <v>13.7066</v>
      </c>
      <c r="D146" s="26">
        <v>14.703099999999999</v>
      </c>
      <c r="E146" s="24" t="s">
        <v>10</v>
      </c>
      <c r="F146" s="21" t="s">
        <v>10</v>
      </c>
      <c r="G146" s="27" t="s">
        <v>10</v>
      </c>
    </row>
    <row r="147" spans="1:7" ht="17.100000000000001" customHeight="1" x14ac:dyDescent="0.2">
      <c r="A147" s="24" t="s">
        <v>10</v>
      </c>
      <c r="B147" s="6" t="s">
        <v>917</v>
      </c>
      <c r="C147" s="26">
        <v>13.693199999999999</v>
      </c>
      <c r="D147" s="26">
        <v>14.688700000000001</v>
      </c>
      <c r="E147" s="24" t="s">
        <v>10</v>
      </c>
      <c r="F147" s="21" t="s">
        <v>10</v>
      </c>
      <c r="G147" s="27" t="s">
        <v>10</v>
      </c>
    </row>
    <row r="148" spans="1:7" ht="17.100000000000001" customHeight="1" x14ac:dyDescent="0.2">
      <c r="A148" s="24" t="s">
        <v>10</v>
      </c>
      <c r="B148" s="6" t="s">
        <v>145</v>
      </c>
      <c r="C148" s="26">
        <v>13.278600000000001</v>
      </c>
      <c r="D148" s="26">
        <v>14.223699999999999</v>
      </c>
      <c r="E148" s="24" t="s">
        <v>10</v>
      </c>
      <c r="F148" s="21" t="s">
        <v>10</v>
      </c>
      <c r="G148" s="27" t="s">
        <v>10</v>
      </c>
    </row>
    <row r="149" spans="1:7" ht="17.100000000000001" customHeight="1" x14ac:dyDescent="0.2">
      <c r="A149" s="24" t="s">
        <v>10</v>
      </c>
      <c r="B149" s="6" t="s">
        <v>918</v>
      </c>
      <c r="C149" s="26">
        <v>13.279</v>
      </c>
      <c r="D149" s="26">
        <v>14.2242</v>
      </c>
      <c r="E149" s="24" t="s">
        <v>10</v>
      </c>
      <c r="F149" s="21" t="s">
        <v>10</v>
      </c>
      <c r="G149" s="27" t="s">
        <v>10</v>
      </c>
    </row>
    <row r="150" spans="1:7" ht="14.1" customHeight="1" x14ac:dyDescent="0.2">
      <c r="A150" s="24" t="s">
        <v>10</v>
      </c>
      <c r="B150" s="24" t="s">
        <v>10</v>
      </c>
      <c r="C150" s="24" t="s">
        <v>10</v>
      </c>
      <c r="D150" s="24" t="s">
        <v>10</v>
      </c>
      <c r="E150" s="24" t="s">
        <v>10</v>
      </c>
      <c r="F150" s="24" t="s">
        <v>10</v>
      </c>
      <c r="G150" s="24" t="s">
        <v>10</v>
      </c>
    </row>
    <row r="151" spans="1:7" ht="17.100000000000001" customHeight="1" x14ac:dyDescent="0.2">
      <c r="A151" s="24" t="s">
        <v>10</v>
      </c>
      <c r="B151" s="213" t="s">
        <v>999</v>
      </c>
      <c r="C151" s="214"/>
      <c r="D151" s="4" t="s">
        <v>136</v>
      </c>
      <c r="E151" s="24" t="s">
        <v>10</v>
      </c>
      <c r="F151" s="24" t="s">
        <v>10</v>
      </c>
      <c r="G151" s="24" t="s">
        <v>10</v>
      </c>
    </row>
    <row r="152" spans="1:7" ht="18" customHeight="1" x14ac:dyDescent="0.2">
      <c r="A152" s="24" t="s">
        <v>10</v>
      </c>
      <c r="B152" s="28"/>
      <c r="C152" s="28"/>
      <c r="D152" s="29" t="s">
        <v>10</v>
      </c>
      <c r="E152" s="24" t="s">
        <v>10</v>
      </c>
      <c r="F152" s="24" t="s">
        <v>10</v>
      </c>
      <c r="G152" s="24" t="s">
        <v>10</v>
      </c>
    </row>
    <row r="153" spans="1:7" s="175" customFormat="1" x14ac:dyDescent="0.2">
      <c r="B153" s="221" t="s">
        <v>919</v>
      </c>
      <c r="C153" s="221"/>
      <c r="D153" s="221"/>
      <c r="E153" s="221"/>
      <c r="F153" s="221"/>
    </row>
    <row r="154" spans="1:7" ht="14.1" customHeight="1" x14ac:dyDescent="0.2">
      <c r="A154" s="24" t="s">
        <v>10</v>
      </c>
      <c r="B154" s="21" t="s">
        <v>10</v>
      </c>
      <c r="C154" s="21" t="s">
        <v>10</v>
      </c>
      <c r="D154" s="24" t="s">
        <v>10</v>
      </c>
      <c r="E154" s="24" t="s">
        <v>10</v>
      </c>
      <c r="F154" s="24" t="s">
        <v>10</v>
      </c>
      <c r="G154" s="24" t="s">
        <v>10</v>
      </c>
    </row>
    <row r="155" spans="1:7" ht="29.1" customHeight="1" x14ac:dyDescent="0.2">
      <c r="A155" s="24" t="s">
        <v>10</v>
      </c>
      <c r="B155" s="213" t="s">
        <v>146</v>
      </c>
      <c r="C155" s="214"/>
      <c r="D155" s="4" t="s">
        <v>136</v>
      </c>
      <c r="E155" s="24" t="s">
        <v>10</v>
      </c>
      <c r="F155" s="24" t="s">
        <v>10</v>
      </c>
      <c r="G155" s="24" t="s">
        <v>10</v>
      </c>
    </row>
    <row r="156" spans="1:7" ht="29.1" customHeight="1" x14ac:dyDescent="0.2">
      <c r="A156" s="24" t="s">
        <v>10</v>
      </c>
      <c r="B156" s="213" t="s">
        <v>147</v>
      </c>
      <c r="C156" s="214"/>
      <c r="D156" s="4" t="s">
        <v>136</v>
      </c>
      <c r="E156" s="24" t="s">
        <v>10</v>
      </c>
      <c r="F156" s="24" t="s">
        <v>10</v>
      </c>
      <c r="G156" s="24" t="s">
        <v>10</v>
      </c>
    </row>
    <row r="157" spans="1:7" ht="17.100000000000001" customHeight="1" x14ac:dyDescent="0.2">
      <c r="A157" s="24" t="s">
        <v>10</v>
      </c>
      <c r="B157" s="213" t="s">
        <v>148</v>
      </c>
      <c r="C157" s="214"/>
      <c r="D157" s="30">
        <v>0.88336340869282159</v>
      </c>
      <c r="E157" s="24" t="s">
        <v>10</v>
      </c>
      <c r="F157" s="21" t="s">
        <v>10</v>
      </c>
      <c r="G157" s="27" t="s">
        <v>10</v>
      </c>
    </row>
    <row r="158" spans="1:7" ht="17.100000000000001" customHeight="1" x14ac:dyDescent="0.2">
      <c r="A158" s="24" t="s">
        <v>10</v>
      </c>
      <c r="B158" s="213" t="s">
        <v>149</v>
      </c>
      <c r="C158" s="214"/>
      <c r="D158" s="4" t="s">
        <v>136</v>
      </c>
      <c r="E158" s="24" t="s">
        <v>10</v>
      </c>
      <c r="F158" s="24" t="s">
        <v>10</v>
      </c>
      <c r="G158" s="24" t="s">
        <v>10</v>
      </c>
    </row>
  </sheetData>
  <mergeCells count="15">
    <mergeCell ref="B157:C157"/>
    <mergeCell ref="B158:C158"/>
    <mergeCell ref="B140:C140"/>
    <mergeCell ref="B141:C141"/>
    <mergeCell ref="B142:C142"/>
    <mergeCell ref="B151:C151"/>
    <mergeCell ref="B155:C155"/>
    <mergeCell ref="B156:C156"/>
    <mergeCell ref="B153:F153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N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4" max="14" width="17.42578125" bestFit="1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713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ht="25.5" x14ac:dyDescent="0.2">
      <c r="A7" s="5">
        <v>1</v>
      </c>
      <c r="B7" s="6" t="s">
        <v>401</v>
      </c>
      <c r="C7" s="6" t="s">
        <v>402</v>
      </c>
      <c r="D7" s="6" t="s">
        <v>158</v>
      </c>
      <c r="E7" s="7">
        <v>34100</v>
      </c>
      <c r="F7" s="8">
        <v>870.52184999999997</v>
      </c>
      <c r="G7" s="9">
        <v>8.2413769999999997E-2</v>
      </c>
      <c r="H7" s="167"/>
    </row>
    <row r="8" spans="1:8" ht="25.5" x14ac:dyDescent="0.2">
      <c r="A8" s="5">
        <v>2</v>
      </c>
      <c r="B8" s="6" t="s">
        <v>419</v>
      </c>
      <c r="C8" s="6" t="s">
        <v>420</v>
      </c>
      <c r="D8" s="6" t="s">
        <v>78</v>
      </c>
      <c r="E8" s="7">
        <v>34600</v>
      </c>
      <c r="F8" s="8">
        <v>809.65729999999996</v>
      </c>
      <c r="G8" s="9">
        <v>7.6651620000000004E-2</v>
      </c>
      <c r="H8" s="167"/>
    </row>
    <row r="9" spans="1:8" x14ac:dyDescent="0.2">
      <c r="A9" s="5">
        <v>3</v>
      </c>
      <c r="B9" s="6" t="s">
        <v>21</v>
      </c>
      <c r="C9" s="6" t="s">
        <v>22</v>
      </c>
      <c r="D9" s="6" t="s">
        <v>23</v>
      </c>
      <c r="E9" s="7">
        <v>109875</v>
      </c>
      <c r="F9" s="8">
        <v>728.19656250000003</v>
      </c>
      <c r="G9" s="9">
        <v>6.8939595000000006E-2</v>
      </c>
      <c r="H9" s="167"/>
    </row>
    <row r="10" spans="1:8" x14ac:dyDescent="0.2">
      <c r="A10" s="5">
        <v>4</v>
      </c>
      <c r="B10" s="6" t="s">
        <v>16</v>
      </c>
      <c r="C10" s="6" t="s">
        <v>17</v>
      </c>
      <c r="D10" s="6" t="s">
        <v>18</v>
      </c>
      <c r="E10" s="7">
        <v>23500</v>
      </c>
      <c r="F10" s="8">
        <v>507.6705</v>
      </c>
      <c r="G10" s="9">
        <v>4.8062021000000003E-2</v>
      </c>
      <c r="H10" s="167"/>
    </row>
    <row r="11" spans="1:8" x14ac:dyDescent="0.2">
      <c r="A11" s="5">
        <v>5</v>
      </c>
      <c r="B11" s="6" t="s">
        <v>51</v>
      </c>
      <c r="C11" s="6" t="s">
        <v>52</v>
      </c>
      <c r="D11" s="6" t="s">
        <v>23</v>
      </c>
      <c r="E11" s="7">
        <v>30800</v>
      </c>
      <c r="F11" s="8">
        <v>466.8818</v>
      </c>
      <c r="G11" s="9">
        <v>4.4200485999999997E-2</v>
      </c>
      <c r="H11" s="167"/>
    </row>
    <row r="12" spans="1:8" x14ac:dyDescent="0.2">
      <c r="A12" s="5">
        <v>6</v>
      </c>
      <c r="B12" s="6" t="s">
        <v>664</v>
      </c>
      <c r="C12" s="6" t="s">
        <v>665</v>
      </c>
      <c r="D12" s="6" t="s">
        <v>167</v>
      </c>
      <c r="E12" s="7">
        <v>40000</v>
      </c>
      <c r="F12" s="8">
        <v>408.66</v>
      </c>
      <c r="G12" s="9">
        <v>3.8688529999999999E-2</v>
      </c>
      <c r="H12" s="167"/>
    </row>
    <row r="13" spans="1:8" x14ac:dyDescent="0.2">
      <c r="A13" s="5">
        <v>7</v>
      </c>
      <c r="B13" s="6" t="s">
        <v>399</v>
      </c>
      <c r="C13" s="6" t="s">
        <v>400</v>
      </c>
      <c r="D13" s="6" t="s">
        <v>167</v>
      </c>
      <c r="E13" s="7">
        <v>27000</v>
      </c>
      <c r="F13" s="8">
        <v>376.3125</v>
      </c>
      <c r="G13" s="9">
        <v>3.5626138000000002E-2</v>
      </c>
      <c r="H13" s="167"/>
    </row>
    <row r="14" spans="1:8" x14ac:dyDescent="0.2">
      <c r="A14" s="5">
        <v>8</v>
      </c>
      <c r="B14" s="6" t="s">
        <v>345</v>
      </c>
      <c r="C14" s="6" t="s">
        <v>346</v>
      </c>
      <c r="D14" s="6" t="s">
        <v>57</v>
      </c>
      <c r="E14" s="7">
        <v>84500</v>
      </c>
      <c r="F14" s="8">
        <v>344.084</v>
      </c>
      <c r="G14" s="9">
        <v>3.2575012E-2</v>
      </c>
      <c r="H14" s="167"/>
    </row>
    <row r="15" spans="1:8" x14ac:dyDescent="0.2">
      <c r="A15" s="5">
        <v>9</v>
      </c>
      <c r="B15" s="6" t="s">
        <v>24</v>
      </c>
      <c r="C15" s="6" t="s">
        <v>25</v>
      </c>
      <c r="D15" s="6" t="s">
        <v>26</v>
      </c>
      <c r="E15" s="7">
        <v>63318</v>
      </c>
      <c r="F15" s="8">
        <v>338.68798199999998</v>
      </c>
      <c r="G15" s="9">
        <v>3.2064162E-2</v>
      </c>
      <c r="H15" s="167"/>
    </row>
    <row r="16" spans="1:8" ht="25.5" x14ac:dyDescent="0.2">
      <c r="A16" s="5">
        <v>10</v>
      </c>
      <c r="B16" s="6" t="s">
        <v>376</v>
      </c>
      <c r="C16" s="6" t="s">
        <v>377</v>
      </c>
      <c r="D16" s="6" t="s">
        <v>78</v>
      </c>
      <c r="E16" s="7">
        <v>40000</v>
      </c>
      <c r="F16" s="8">
        <v>265.54000000000002</v>
      </c>
      <c r="G16" s="9">
        <v>2.5139119000000001E-2</v>
      </c>
      <c r="H16" s="167"/>
    </row>
    <row r="17" spans="1:8" ht="25.5" x14ac:dyDescent="0.2">
      <c r="A17" s="5">
        <v>11</v>
      </c>
      <c r="B17" s="6" t="s">
        <v>483</v>
      </c>
      <c r="C17" s="6" t="s">
        <v>484</v>
      </c>
      <c r="D17" s="6" t="s">
        <v>78</v>
      </c>
      <c r="E17" s="7">
        <v>40000</v>
      </c>
      <c r="F17" s="8">
        <v>244.98</v>
      </c>
      <c r="G17" s="9">
        <v>2.3192668999999999E-2</v>
      </c>
      <c r="H17" s="167"/>
    </row>
    <row r="18" spans="1:8" x14ac:dyDescent="0.2">
      <c r="A18" s="5">
        <v>12</v>
      </c>
      <c r="B18" s="6" t="s">
        <v>499</v>
      </c>
      <c r="C18" s="6" t="s">
        <v>500</v>
      </c>
      <c r="D18" s="6" t="s">
        <v>94</v>
      </c>
      <c r="E18" s="7">
        <v>75100</v>
      </c>
      <c r="F18" s="8">
        <v>239.38124999999999</v>
      </c>
      <c r="G18" s="9">
        <v>2.2662626000000002E-2</v>
      </c>
      <c r="H18" s="167"/>
    </row>
    <row r="19" spans="1:8" x14ac:dyDescent="0.2">
      <c r="A19" s="5">
        <v>13</v>
      </c>
      <c r="B19" s="6" t="s">
        <v>581</v>
      </c>
      <c r="C19" s="6" t="s">
        <v>582</v>
      </c>
      <c r="D19" s="6" t="s">
        <v>94</v>
      </c>
      <c r="E19" s="7">
        <v>4750</v>
      </c>
      <c r="F19" s="8">
        <v>199.15799999999999</v>
      </c>
      <c r="G19" s="9">
        <v>1.8854623000000001E-2</v>
      </c>
      <c r="H19" s="167"/>
    </row>
    <row r="20" spans="1:8" x14ac:dyDescent="0.2">
      <c r="A20" s="5">
        <v>14</v>
      </c>
      <c r="B20" s="6" t="s">
        <v>1006</v>
      </c>
      <c r="C20" s="6" t="s">
        <v>1007</v>
      </c>
      <c r="D20" s="6" t="s">
        <v>32</v>
      </c>
      <c r="E20" s="182">
        <v>57000</v>
      </c>
      <c r="F20" s="8">
        <v>185.36969999999999</v>
      </c>
      <c r="G20" s="9">
        <v>1.7500000000000002E-2</v>
      </c>
      <c r="H20" s="167"/>
    </row>
    <row r="21" spans="1:8" x14ac:dyDescent="0.2">
      <c r="A21" s="5">
        <v>15</v>
      </c>
      <c r="B21" s="6" t="s">
        <v>403</v>
      </c>
      <c r="C21" s="6" t="s">
        <v>404</v>
      </c>
      <c r="D21" s="6" t="s">
        <v>23</v>
      </c>
      <c r="E21" s="7">
        <v>40000</v>
      </c>
      <c r="F21" s="8">
        <v>169.74</v>
      </c>
      <c r="G21" s="9">
        <v>1.6069572000000001E-2</v>
      </c>
      <c r="H21" s="167"/>
    </row>
    <row r="22" spans="1:8" x14ac:dyDescent="0.2">
      <c r="A22" s="5">
        <v>16</v>
      </c>
      <c r="B22" s="6" t="s">
        <v>370</v>
      </c>
      <c r="C22" s="6" t="s">
        <v>371</v>
      </c>
      <c r="D22" s="6" t="s">
        <v>23</v>
      </c>
      <c r="E22" s="7">
        <v>22200</v>
      </c>
      <c r="F22" s="8">
        <v>166.65539999999999</v>
      </c>
      <c r="G22" s="9">
        <v>1.5777546999999999E-2</v>
      </c>
      <c r="H22" s="167"/>
    </row>
    <row r="23" spans="1:8" x14ac:dyDescent="0.2">
      <c r="A23" s="5">
        <v>17</v>
      </c>
      <c r="B23" s="6" t="s">
        <v>413</v>
      </c>
      <c r="C23" s="6" t="s">
        <v>414</v>
      </c>
      <c r="D23" s="6" t="s">
        <v>167</v>
      </c>
      <c r="E23" s="7">
        <v>4639</v>
      </c>
      <c r="F23" s="8">
        <v>146.55296849999999</v>
      </c>
      <c r="G23" s="9">
        <v>1.3874416000000001E-2</v>
      </c>
      <c r="H23" s="167"/>
    </row>
    <row r="24" spans="1:8" ht="25.5" x14ac:dyDescent="0.2">
      <c r="A24" s="5">
        <v>18</v>
      </c>
      <c r="B24" s="6" t="s">
        <v>40</v>
      </c>
      <c r="C24" s="6" t="s">
        <v>41</v>
      </c>
      <c r="D24" s="6" t="s">
        <v>970</v>
      </c>
      <c r="E24" s="7">
        <v>2000</v>
      </c>
      <c r="F24" s="8">
        <v>134.16</v>
      </c>
      <c r="G24" s="9">
        <v>1.2701153E-2</v>
      </c>
      <c r="H24" s="167"/>
    </row>
    <row r="25" spans="1:8" x14ac:dyDescent="0.2">
      <c r="A25" s="5">
        <v>19</v>
      </c>
      <c r="B25" s="6" t="s">
        <v>13</v>
      </c>
      <c r="C25" s="6" t="s">
        <v>14</v>
      </c>
      <c r="D25" s="6" t="s">
        <v>15</v>
      </c>
      <c r="E25" s="7">
        <v>9000</v>
      </c>
      <c r="F25" s="8">
        <v>132.09299999999999</v>
      </c>
      <c r="G25" s="9">
        <v>1.2505466999999999E-2</v>
      </c>
      <c r="H25" s="167"/>
    </row>
    <row r="26" spans="1:8" x14ac:dyDescent="0.2">
      <c r="A26" s="5">
        <v>20</v>
      </c>
      <c r="B26" s="6" t="s">
        <v>313</v>
      </c>
      <c r="C26" s="6" t="s">
        <v>314</v>
      </c>
      <c r="D26" s="6" t="s">
        <v>23</v>
      </c>
      <c r="E26" s="7">
        <v>150000</v>
      </c>
      <c r="F26" s="8">
        <v>130.875</v>
      </c>
      <c r="G26" s="9">
        <v>1.2390157000000001E-2</v>
      </c>
      <c r="H26" s="167"/>
    </row>
    <row r="27" spans="1:8" x14ac:dyDescent="0.2">
      <c r="A27" s="5">
        <v>21</v>
      </c>
      <c r="B27" s="6" t="s">
        <v>429</v>
      </c>
      <c r="C27" s="6" t="s">
        <v>430</v>
      </c>
      <c r="D27" s="6" t="s">
        <v>23</v>
      </c>
      <c r="E27" s="7">
        <v>6000</v>
      </c>
      <c r="F27" s="8">
        <v>108.462</v>
      </c>
      <c r="G27" s="9">
        <v>1.0268279999999999E-2</v>
      </c>
      <c r="H27" s="167"/>
    </row>
    <row r="28" spans="1:8" x14ac:dyDescent="0.2">
      <c r="A28" s="5">
        <v>22</v>
      </c>
      <c r="B28" s="6" t="s">
        <v>590</v>
      </c>
      <c r="C28" s="6" t="s">
        <v>591</v>
      </c>
      <c r="D28" s="6" t="s">
        <v>969</v>
      </c>
      <c r="E28" s="7">
        <v>14500</v>
      </c>
      <c r="F28" s="8">
        <v>96.555499999999995</v>
      </c>
      <c r="G28" s="9">
        <v>9.1410720000000001E-3</v>
      </c>
      <c r="H28" s="167"/>
    </row>
    <row r="29" spans="1:8" x14ac:dyDescent="0.2">
      <c r="A29" s="5">
        <v>23</v>
      </c>
      <c r="B29" s="6" t="s">
        <v>295</v>
      </c>
      <c r="C29" s="6" t="s">
        <v>296</v>
      </c>
      <c r="D29" s="6" t="s">
        <v>969</v>
      </c>
      <c r="E29" s="7">
        <v>8000</v>
      </c>
      <c r="F29" s="8">
        <v>74.647999999999996</v>
      </c>
      <c r="G29" s="9">
        <v>7.0670519999999999E-3</v>
      </c>
      <c r="H29" s="167"/>
    </row>
    <row r="30" spans="1:8" ht="25.5" x14ac:dyDescent="0.2">
      <c r="A30" s="5">
        <v>24</v>
      </c>
      <c r="B30" s="6" t="s">
        <v>19</v>
      </c>
      <c r="C30" s="6" t="s">
        <v>20</v>
      </c>
      <c r="D30" s="6" t="s">
        <v>970</v>
      </c>
      <c r="E30" s="7">
        <v>7700</v>
      </c>
      <c r="F30" s="8">
        <v>74.401250000000005</v>
      </c>
      <c r="G30" s="9">
        <v>7.0436919999999998E-3</v>
      </c>
      <c r="H30" s="167"/>
    </row>
    <row r="31" spans="1:8" x14ac:dyDescent="0.2">
      <c r="A31" s="5">
        <v>25</v>
      </c>
      <c r="B31" s="6" t="s">
        <v>628</v>
      </c>
      <c r="C31" s="6" t="s">
        <v>629</v>
      </c>
      <c r="D31" s="6" t="s">
        <v>153</v>
      </c>
      <c r="E31" s="7">
        <v>3500</v>
      </c>
      <c r="F31" s="8">
        <v>73.169250000000005</v>
      </c>
      <c r="G31" s="9">
        <v>6.927056E-3</v>
      </c>
      <c r="H31" s="167"/>
    </row>
    <row r="32" spans="1:8" x14ac:dyDescent="0.2">
      <c r="A32" s="5">
        <v>26</v>
      </c>
      <c r="B32" s="6" t="s">
        <v>421</v>
      </c>
      <c r="C32" s="6" t="s">
        <v>422</v>
      </c>
      <c r="D32" s="6" t="s">
        <v>192</v>
      </c>
      <c r="E32" s="7">
        <v>1600</v>
      </c>
      <c r="F32" s="8">
        <v>67.103999999999999</v>
      </c>
      <c r="G32" s="9">
        <v>6.3528489999999998E-3</v>
      </c>
      <c r="H32" s="167"/>
    </row>
    <row r="33" spans="1:8" x14ac:dyDescent="0.2">
      <c r="A33" s="5">
        <v>27</v>
      </c>
      <c r="B33" s="6" t="s">
        <v>366</v>
      </c>
      <c r="C33" s="6" t="s">
        <v>367</v>
      </c>
      <c r="D33" s="6" t="s">
        <v>167</v>
      </c>
      <c r="E33" s="7">
        <v>7000</v>
      </c>
      <c r="F33" s="8">
        <v>66.164000000000001</v>
      </c>
      <c r="G33" s="9">
        <v>6.2638570000000003E-3</v>
      </c>
      <c r="H33" s="167"/>
    </row>
    <row r="34" spans="1:8" x14ac:dyDescent="0.2">
      <c r="A34" s="5">
        <v>28</v>
      </c>
      <c r="B34" s="6" t="s">
        <v>68</v>
      </c>
      <c r="C34" s="6" t="s">
        <v>69</v>
      </c>
      <c r="D34" s="6" t="s">
        <v>70</v>
      </c>
      <c r="E34" s="7">
        <v>40000</v>
      </c>
      <c r="F34" s="8">
        <v>63.98</v>
      </c>
      <c r="G34" s="9">
        <v>6.0570939999999998E-3</v>
      </c>
      <c r="H34" s="167"/>
    </row>
    <row r="35" spans="1:8" x14ac:dyDescent="0.2">
      <c r="A35" s="5">
        <v>29</v>
      </c>
      <c r="B35" s="6" t="s">
        <v>238</v>
      </c>
      <c r="C35" s="6" t="s">
        <v>239</v>
      </c>
      <c r="D35" s="6" t="s">
        <v>240</v>
      </c>
      <c r="E35" s="7">
        <v>7000</v>
      </c>
      <c r="F35" s="8">
        <v>57.057000000000002</v>
      </c>
      <c r="G35" s="9">
        <v>5.4016819999999997E-3</v>
      </c>
      <c r="H35" s="167"/>
    </row>
    <row r="36" spans="1:8" x14ac:dyDescent="0.2">
      <c r="A36" s="5">
        <v>30</v>
      </c>
      <c r="B36" s="6" t="s">
        <v>407</v>
      </c>
      <c r="C36" s="6" t="s">
        <v>408</v>
      </c>
      <c r="D36" s="6" t="s">
        <v>94</v>
      </c>
      <c r="E36" s="7">
        <v>6500</v>
      </c>
      <c r="F36" s="8">
        <v>52.516750000000002</v>
      </c>
      <c r="G36" s="9">
        <v>4.9718490000000004E-3</v>
      </c>
      <c r="H36" s="167"/>
    </row>
    <row r="37" spans="1:8" ht="25.5" x14ac:dyDescent="0.2">
      <c r="A37" s="5">
        <v>31</v>
      </c>
      <c r="B37" s="6" t="s">
        <v>76</v>
      </c>
      <c r="C37" s="6" t="s">
        <v>77</v>
      </c>
      <c r="D37" s="6" t="s">
        <v>78</v>
      </c>
      <c r="E37" s="7">
        <v>8500</v>
      </c>
      <c r="F37" s="8">
        <v>48.607250000000001</v>
      </c>
      <c r="G37" s="9">
        <v>4.6017300000000001E-3</v>
      </c>
      <c r="H37" s="167"/>
    </row>
    <row r="38" spans="1:8" ht="25.5" x14ac:dyDescent="0.2">
      <c r="A38" s="5">
        <v>32</v>
      </c>
      <c r="B38" s="6" t="s">
        <v>1004</v>
      </c>
      <c r="C38" s="6" t="s">
        <v>1003</v>
      </c>
      <c r="D38" s="6" t="s">
        <v>1005</v>
      </c>
      <c r="E38" s="7">
        <v>40000</v>
      </c>
      <c r="F38" s="8">
        <v>44.78</v>
      </c>
      <c r="G38" s="9">
        <v>4.1999999999999997E-3</v>
      </c>
      <c r="H38" s="167"/>
    </row>
    <row r="39" spans="1:8" x14ac:dyDescent="0.2">
      <c r="A39" s="5">
        <v>33</v>
      </c>
      <c r="B39" s="6" t="s">
        <v>61</v>
      </c>
      <c r="C39" s="6" t="s">
        <v>62</v>
      </c>
      <c r="D39" s="6" t="s">
        <v>18</v>
      </c>
      <c r="E39" s="7">
        <v>9200</v>
      </c>
      <c r="F39" s="8">
        <v>43.423999999999999</v>
      </c>
      <c r="G39" s="9">
        <v>4.1110230000000001E-3</v>
      </c>
      <c r="H39" s="167"/>
    </row>
    <row r="40" spans="1:8" ht="25.5" x14ac:dyDescent="0.2">
      <c r="A40" s="5">
        <v>34</v>
      </c>
      <c r="B40" s="6" t="s">
        <v>425</v>
      </c>
      <c r="C40" s="6" t="s">
        <v>426</v>
      </c>
      <c r="D40" s="6" t="s">
        <v>78</v>
      </c>
      <c r="E40" s="7">
        <v>20000</v>
      </c>
      <c r="F40" s="8">
        <v>43.32</v>
      </c>
      <c r="G40" s="9">
        <v>4.1011770000000001E-3</v>
      </c>
      <c r="H40" s="167"/>
    </row>
    <row r="41" spans="1:8" x14ac:dyDescent="0.2">
      <c r="A41" s="5">
        <v>35</v>
      </c>
      <c r="B41" s="6" t="s">
        <v>347</v>
      </c>
      <c r="C41" s="6" t="s">
        <v>348</v>
      </c>
      <c r="D41" s="6" t="s">
        <v>23</v>
      </c>
      <c r="E41" s="7">
        <v>50000</v>
      </c>
      <c r="F41" s="8">
        <v>40.35</v>
      </c>
      <c r="G41" s="9">
        <v>3.8200019999999999E-3</v>
      </c>
      <c r="H41" s="167"/>
    </row>
    <row r="42" spans="1:8" x14ac:dyDescent="0.2">
      <c r="A42" s="5">
        <v>36</v>
      </c>
      <c r="B42" s="6" t="s">
        <v>355</v>
      </c>
      <c r="C42" s="6" t="s">
        <v>356</v>
      </c>
      <c r="D42" s="6" t="s">
        <v>357</v>
      </c>
      <c r="E42" s="7">
        <v>5000</v>
      </c>
      <c r="F42" s="8">
        <v>40.0625</v>
      </c>
      <c r="G42" s="9">
        <v>3.792784E-3</v>
      </c>
      <c r="H42" s="167"/>
    </row>
    <row r="43" spans="1:8" x14ac:dyDescent="0.2">
      <c r="A43" s="5">
        <v>37</v>
      </c>
      <c r="B43" s="6" t="s">
        <v>411</v>
      </c>
      <c r="C43" s="6" t="s">
        <v>412</v>
      </c>
      <c r="D43" s="6" t="s">
        <v>167</v>
      </c>
      <c r="E43" s="7">
        <v>6000</v>
      </c>
      <c r="F43" s="8">
        <v>32.343000000000004</v>
      </c>
      <c r="G43" s="9">
        <v>3.0619660000000002E-3</v>
      </c>
      <c r="H43" s="167"/>
    </row>
    <row r="44" spans="1:8" x14ac:dyDescent="0.2">
      <c r="A44" s="5">
        <v>38</v>
      </c>
      <c r="B44" s="6" t="s">
        <v>444</v>
      </c>
      <c r="C44" s="6" t="s">
        <v>445</v>
      </c>
      <c r="D44" s="6" t="s">
        <v>192</v>
      </c>
      <c r="E44" s="7">
        <v>600</v>
      </c>
      <c r="F44" s="8">
        <v>31.854900000000001</v>
      </c>
      <c r="G44" s="9">
        <v>3.015757E-3</v>
      </c>
      <c r="H44" s="167"/>
    </row>
    <row r="45" spans="1:8" x14ac:dyDescent="0.2">
      <c r="A45" s="5">
        <v>39</v>
      </c>
      <c r="B45" s="6" t="s">
        <v>339</v>
      </c>
      <c r="C45" s="6" t="s">
        <v>340</v>
      </c>
      <c r="D45" s="6" t="s">
        <v>192</v>
      </c>
      <c r="E45" s="7">
        <v>1000</v>
      </c>
      <c r="F45" s="8">
        <v>31.538499999999999</v>
      </c>
      <c r="G45" s="9">
        <v>2.985803E-3</v>
      </c>
      <c r="H45" s="167"/>
    </row>
    <row r="46" spans="1:8" x14ac:dyDescent="0.2">
      <c r="A46" s="5">
        <v>40</v>
      </c>
      <c r="B46" s="6" t="s">
        <v>654</v>
      </c>
      <c r="C46" s="6" t="s">
        <v>655</v>
      </c>
      <c r="D46" s="6" t="s">
        <v>50</v>
      </c>
      <c r="E46" s="7">
        <v>15000</v>
      </c>
      <c r="F46" s="8">
        <v>16.574999999999999</v>
      </c>
      <c r="G46" s="9">
        <v>1.569183E-3</v>
      </c>
      <c r="H46" s="167"/>
    </row>
    <row r="47" spans="1:8" x14ac:dyDescent="0.2">
      <c r="A47" s="3" t="s">
        <v>10</v>
      </c>
      <c r="B47" s="3" t="s">
        <v>10</v>
      </c>
      <c r="C47" s="4" t="s">
        <v>104</v>
      </c>
      <c r="D47" s="3" t="s">
        <v>10</v>
      </c>
      <c r="E47" s="3" t="s">
        <v>10</v>
      </c>
      <c r="F47" s="10">
        <v>7972.0907129999996</v>
      </c>
      <c r="G47" s="11">
        <v>0.75464259099999997</v>
      </c>
      <c r="H47" s="167"/>
    </row>
    <row r="48" spans="1:8" x14ac:dyDescent="0.2">
      <c r="A48" s="3" t="s">
        <v>10</v>
      </c>
      <c r="B48" s="3" t="s">
        <v>10</v>
      </c>
      <c r="C48" s="12" t="s">
        <v>10</v>
      </c>
      <c r="D48" s="3" t="s">
        <v>10</v>
      </c>
      <c r="E48" s="3" t="s">
        <v>10</v>
      </c>
      <c r="F48" s="13" t="s">
        <v>10</v>
      </c>
      <c r="G48" s="13" t="s">
        <v>10</v>
      </c>
      <c r="H48" s="167"/>
    </row>
    <row r="49" spans="1:8" x14ac:dyDescent="0.2">
      <c r="A49" s="3" t="s">
        <v>10</v>
      </c>
      <c r="B49" s="3" t="s">
        <v>10</v>
      </c>
      <c r="C49" s="4" t="s">
        <v>105</v>
      </c>
      <c r="D49" s="3" t="s">
        <v>10</v>
      </c>
      <c r="E49" s="3" t="s">
        <v>10</v>
      </c>
      <c r="F49" s="3" t="s">
        <v>10</v>
      </c>
      <c r="G49" s="3" t="s">
        <v>10</v>
      </c>
      <c r="H49" s="167"/>
    </row>
    <row r="50" spans="1:8" x14ac:dyDescent="0.2">
      <c r="A50" s="3" t="s">
        <v>10</v>
      </c>
      <c r="B50" s="3" t="s">
        <v>10</v>
      </c>
      <c r="C50" s="4" t="s">
        <v>104</v>
      </c>
      <c r="D50" s="3" t="s">
        <v>10</v>
      </c>
      <c r="E50" s="3" t="s">
        <v>10</v>
      </c>
      <c r="F50" s="14">
        <v>0</v>
      </c>
      <c r="G50" s="15">
        <v>0</v>
      </c>
      <c r="H50" s="167"/>
    </row>
    <row r="51" spans="1:8" x14ac:dyDescent="0.2">
      <c r="A51" s="3" t="s">
        <v>10</v>
      </c>
      <c r="B51" s="3" t="s">
        <v>10</v>
      </c>
      <c r="C51" s="12" t="s">
        <v>10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106</v>
      </c>
      <c r="D52" s="3" t="s">
        <v>10</v>
      </c>
      <c r="E52" s="3" t="s">
        <v>10</v>
      </c>
      <c r="F52" s="3" t="s">
        <v>10</v>
      </c>
      <c r="G52" s="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104</v>
      </c>
      <c r="D53" s="3" t="s">
        <v>10</v>
      </c>
      <c r="E53" s="3" t="s">
        <v>10</v>
      </c>
      <c r="F53" s="14">
        <v>0</v>
      </c>
      <c r="G53" s="15">
        <v>0</v>
      </c>
      <c r="H53" s="167"/>
    </row>
    <row r="54" spans="1:8" x14ac:dyDescent="0.2">
      <c r="A54" s="3" t="s">
        <v>10</v>
      </c>
      <c r="B54" s="3" t="s">
        <v>10</v>
      </c>
      <c r="C54" s="12" t="s">
        <v>10</v>
      </c>
      <c r="D54" s="3" t="s">
        <v>10</v>
      </c>
      <c r="E54" s="3" t="s">
        <v>10</v>
      </c>
      <c r="F54" s="13" t="s">
        <v>10</v>
      </c>
      <c r="G54" s="1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110</v>
      </c>
      <c r="D55" s="3" t="s">
        <v>10</v>
      </c>
      <c r="E55" s="3" t="s">
        <v>10</v>
      </c>
      <c r="F55" s="3" t="s">
        <v>10</v>
      </c>
      <c r="G55" s="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4">
        <v>0</v>
      </c>
      <c r="G56" s="15">
        <v>0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111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104</v>
      </c>
      <c r="D59" s="3" t="s">
        <v>10</v>
      </c>
      <c r="E59" s="3" t="s">
        <v>10</v>
      </c>
      <c r="F59" s="14">
        <v>0</v>
      </c>
      <c r="G59" s="15">
        <v>0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112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5">
        <v>1</v>
      </c>
      <c r="B62" s="6"/>
      <c r="C62" s="6" t="s">
        <v>927</v>
      </c>
      <c r="D62" s="6" t="s">
        <v>700</v>
      </c>
      <c r="E62" s="7">
        <v>-3600</v>
      </c>
      <c r="F62" s="8">
        <v>-27.106200000000001</v>
      </c>
      <c r="G62" s="9">
        <v>-2.5661899999999999E-3</v>
      </c>
      <c r="H62" s="167"/>
    </row>
    <row r="63" spans="1:8" x14ac:dyDescent="0.2">
      <c r="A63" s="5">
        <v>2</v>
      </c>
      <c r="B63" s="6"/>
      <c r="C63" s="6" t="s">
        <v>928</v>
      </c>
      <c r="D63" s="6" t="s">
        <v>700</v>
      </c>
      <c r="E63" s="7">
        <v>-3500</v>
      </c>
      <c r="F63" s="8">
        <v>-73.538499999999999</v>
      </c>
      <c r="G63" s="9">
        <v>-6.9620100000000002E-3</v>
      </c>
      <c r="H63" s="167"/>
    </row>
    <row r="64" spans="1:8" x14ac:dyDescent="0.2">
      <c r="A64" s="5">
        <v>3</v>
      </c>
      <c r="B64" s="6"/>
      <c r="C64" s="6" t="s">
        <v>929</v>
      </c>
      <c r="D64" s="6" t="s">
        <v>700</v>
      </c>
      <c r="E64" s="7">
        <v>-150000</v>
      </c>
      <c r="F64" s="8">
        <v>-131.625</v>
      </c>
      <c r="G64" s="9">
        <v>-1.2461160000000001E-2</v>
      </c>
      <c r="H64" s="167"/>
    </row>
    <row r="65" spans="1:8" x14ac:dyDescent="0.2">
      <c r="A65" s="5">
        <v>4</v>
      </c>
      <c r="B65" s="6"/>
      <c r="C65" s="6" t="s">
        <v>930</v>
      </c>
      <c r="D65" s="6" t="s">
        <v>714</v>
      </c>
      <c r="E65" s="7">
        <v>-3250</v>
      </c>
      <c r="F65" s="8">
        <v>-137.02487500000001</v>
      </c>
      <c r="G65" s="9">
        <v>-1.297238E-2</v>
      </c>
      <c r="H65" s="167"/>
    </row>
    <row r="66" spans="1:8" x14ac:dyDescent="0.2">
      <c r="A66" s="5">
        <v>5</v>
      </c>
      <c r="B66" s="6"/>
      <c r="C66" s="6" t="s">
        <v>931</v>
      </c>
      <c r="D66" s="6" t="s">
        <v>700</v>
      </c>
      <c r="E66" s="7">
        <v>-7500</v>
      </c>
      <c r="F66" s="8">
        <v>-162.08625000000001</v>
      </c>
      <c r="G66" s="9">
        <v>-1.5344979999999999E-2</v>
      </c>
      <c r="H66" s="167"/>
    </row>
    <row r="67" spans="1:8" x14ac:dyDescent="0.2">
      <c r="A67" s="5">
        <v>6</v>
      </c>
      <c r="B67" s="6"/>
      <c r="C67" s="6" t="s">
        <v>932</v>
      </c>
      <c r="D67" s="6" t="s">
        <v>700</v>
      </c>
      <c r="E67" s="7">
        <v>-27000</v>
      </c>
      <c r="F67" s="8">
        <v>-179.18549999999999</v>
      </c>
      <c r="G67" s="9">
        <v>-1.6963789999999999E-2</v>
      </c>
      <c r="H67" s="167"/>
    </row>
    <row r="68" spans="1:8" x14ac:dyDescent="0.2">
      <c r="A68" s="5">
        <v>7</v>
      </c>
      <c r="B68" s="6"/>
      <c r="C68" s="6" t="s">
        <v>933</v>
      </c>
      <c r="D68" s="6" t="s">
        <v>700</v>
      </c>
      <c r="E68" s="7">
        <v>-62700</v>
      </c>
      <c r="F68" s="8">
        <v>-200.23245</v>
      </c>
      <c r="G68" s="9">
        <v>-1.8956339999999999E-2</v>
      </c>
      <c r="H68" s="167"/>
    </row>
    <row r="69" spans="1:8" x14ac:dyDescent="0.2">
      <c r="A69" s="5">
        <v>8</v>
      </c>
      <c r="B69" s="6"/>
      <c r="C69" s="6" t="s">
        <v>934</v>
      </c>
      <c r="D69" s="6" t="s">
        <v>700</v>
      </c>
      <c r="E69" s="7">
        <v>-38871</v>
      </c>
      <c r="F69" s="8">
        <v>-208.69839899999999</v>
      </c>
      <c r="G69" s="9">
        <v>-1.9757830000000001E-2</v>
      </c>
      <c r="H69" s="167"/>
    </row>
    <row r="70" spans="1:8" x14ac:dyDescent="0.2">
      <c r="A70" s="5">
        <v>9</v>
      </c>
      <c r="B70" s="6"/>
      <c r="C70" s="6" t="s">
        <v>935</v>
      </c>
      <c r="D70" s="6" t="s">
        <v>700</v>
      </c>
      <c r="E70" s="7">
        <v>-60000</v>
      </c>
      <c r="F70" s="8">
        <v>-245.67</v>
      </c>
      <c r="G70" s="9">
        <v>-2.3257989999999999E-2</v>
      </c>
      <c r="H70" s="167"/>
    </row>
    <row r="71" spans="1:8" x14ac:dyDescent="0.2">
      <c r="A71" s="5">
        <v>10</v>
      </c>
      <c r="B71" s="6"/>
      <c r="C71" s="6" t="s">
        <v>936</v>
      </c>
      <c r="D71" s="6" t="s">
        <v>700</v>
      </c>
      <c r="E71" s="7">
        <v>-40000</v>
      </c>
      <c r="F71" s="8">
        <v>-246.12</v>
      </c>
      <c r="G71" s="9">
        <v>-2.3300589999999999E-2</v>
      </c>
      <c r="H71" s="167"/>
    </row>
    <row r="72" spans="1:8" x14ac:dyDescent="0.2">
      <c r="A72" s="5">
        <v>11</v>
      </c>
      <c r="B72" s="6"/>
      <c r="C72" s="6" t="s">
        <v>937</v>
      </c>
      <c r="D72" s="6" t="s">
        <v>700</v>
      </c>
      <c r="E72" s="7">
        <v>-36000</v>
      </c>
      <c r="F72" s="8">
        <v>-369.54</v>
      </c>
      <c r="G72" s="9">
        <v>-3.4984969999999997E-2</v>
      </c>
      <c r="H72" s="167"/>
    </row>
    <row r="73" spans="1:8" x14ac:dyDescent="0.2">
      <c r="A73" s="5">
        <v>12</v>
      </c>
      <c r="B73" s="6"/>
      <c r="C73" s="6" t="s">
        <v>938</v>
      </c>
      <c r="D73" s="6" t="s">
        <v>700</v>
      </c>
      <c r="E73" s="7">
        <v>-61875</v>
      </c>
      <c r="F73" s="8">
        <v>-410.91187500000001</v>
      </c>
      <c r="G73" s="9">
        <v>-3.8901720000000001E-2</v>
      </c>
      <c r="H73" s="167"/>
    </row>
    <row r="74" spans="1:8" ht="25.5" x14ac:dyDescent="0.2">
      <c r="A74" s="5">
        <v>13</v>
      </c>
      <c r="B74" s="6"/>
      <c r="C74" s="6" t="s">
        <v>939</v>
      </c>
      <c r="D74" s="6" t="s">
        <v>700</v>
      </c>
      <c r="E74" s="7">
        <v>-23100</v>
      </c>
      <c r="F74" s="8">
        <v>-590.96730000000002</v>
      </c>
      <c r="G74" s="9">
        <v>-5.5947869999999997E-2</v>
      </c>
      <c r="H74" s="167"/>
    </row>
    <row r="75" spans="1:8" x14ac:dyDescent="0.2">
      <c r="A75" s="5">
        <v>14</v>
      </c>
      <c r="B75" s="6"/>
      <c r="C75" s="6" t="s">
        <v>940</v>
      </c>
      <c r="D75" s="6" t="s">
        <v>700</v>
      </c>
      <c r="E75" s="7">
        <v>-30000</v>
      </c>
      <c r="F75" s="8">
        <v>-700.63499999999999</v>
      </c>
      <c r="G75" s="9">
        <v>-6.6330299999999995E-2</v>
      </c>
      <c r="H75" s="167"/>
    </row>
    <row r="76" spans="1:8" x14ac:dyDescent="0.2">
      <c r="A76" s="3" t="s">
        <v>10</v>
      </c>
      <c r="B76" s="3" t="s">
        <v>10</v>
      </c>
      <c r="C76" s="4" t="s">
        <v>104</v>
      </c>
      <c r="D76" s="3" t="s">
        <v>10</v>
      </c>
      <c r="E76" s="3" t="s">
        <v>10</v>
      </c>
      <c r="F76" s="10">
        <v>-3683.3413489999998</v>
      </c>
      <c r="G76" s="11">
        <v>-0.34870812899999998</v>
      </c>
      <c r="H76" s="167"/>
    </row>
    <row r="77" spans="1:8" x14ac:dyDescent="0.2">
      <c r="A77" s="3" t="s">
        <v>10</v>
      </c>
      <c r="B77" s="3" t="s">
        <v>10</v>
      </c>
      <c r="C77" s="12" t="s">
        <v>10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113</v>
      </c>
      <c r="D78" s="3" t="s">
        <v>10</v>
      </c>
      <c r="E78" s="3" t="s">
        <v>10</v>
      </c>
      <c r="F78" s="10">
        <v>7972.0907129999996</v>
      </c>
      <c r="G78" s="11">
        <v>0.75464259099999997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114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ht="25.5" x14ac:dyDescent="0.2">
      <c r="A81" s="3" t="s">
        <v>10</v>
      </c>
      <c r="B81" s="3" t="s">
        <v>10</v>
      </c>
      <c r="C81" s="4" t="s">
        <v>12</v>
      </c>
      <c r="D81" s="3" t="s">
        <v>10</v>
      </c>
      <c r="E81" s="3" t="s">
        <v>10</v>
      </c>
      <c r="F81" s="13" t="s">
        <v>10</v>
      </c>
      <c r="G81" s="13" t="s">
        <v>10</v>
      </c>
      <c r="H81" s="167"/>
    </row>
    <row r="82" spans="1:8" x14ac:dyDescent="0.2">
      <c r="A82" s="5">
        <v>1</v>
      </c>
      <c r="B82" s="6" t="s">
        <v>715</v>
      </c>
      <c r="C82" s="6" t="s">
        <v>716</v>
      </c>
      <c r="D82" s="6" t="s">
        <v>717</v>
      </c>
      <c r="E82" s="7">
        <v>50</v>
      </c>
      <c r="F82" s="8">
        <v>517.37549999999999</v>
      </c>
      <c r="G82" s="9">
        <v>4.898081E-2</v>
      </c>
      <c r="H82" s="168">
        <v>4.05</v>
      </c>
    </row>
    <row r="83" spans="1:8" ht="25.5" x14ac:dyDescent="0.2">
      <c r="A83" s="5">
        <v>2</v>
      </c>
      <c r="B83" s="6" t="s">
        <v>718</v>
      </c>
      <c r="C83" s="6" t="s">
        <v>719</v>
      </c>
      <c r="D83" s="6" t="s">
        <v>717</v>
      </c>
      <c r="E83" s="7">
        <v>30</v>
      </c>
      <c r="F83" s="8">
        <v>310.0899</v>
      </c>
      <c r="G83" s="9">
        <v>2.9356732999999999E-2</v>
      </c>
      <c r="H83" s="168">
        <v>4.1349999999999998</v>
      </c>
    </row>
    <row r="84" spans="1:8" x14ac:dyDescent="0.2">
      <c r="A84" s="5">
        <v>3</v>
      </c>
      <c r="B84" s="6" t="s">
        <v>720</v>
      </c>
      <c r="C84" s="6" t="s">
        <v>721</v>
      </c>
      <c r="D84" s="6" t="s">
        <v>717</v>
      </c>
      <c r="E84" s="7">
        <v>20</v>
      </c>
      <c r="F84" s="8">
        <v>210.5966</v>
      </c>
      <c r="G84" s="9">
        <v>1.9937534999999999E-2</v>
      </c>
      <c r="H84" s="168">
        <v>4.71</v>
      </c>
    </row>
    <row r="85" spans="1:8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0">
        <v>1038.0619999999999</v>
      </c>
      <c r="G85" s="11">
        <v>9.8275078000000002E-2</v>
      </c>
      <c r="H85" s="167"/>
    </row>
    <row r="86" spans="1:8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115</v>
      </c>
      <c r="D87" s="3" t="s">
        <v>10</v>
      </c>
      <c r="E87" s="3" t="s">
        <v>10</v>
      </c>
      <c r="F87" s="3" t="s">
        <v>10</v>
      </c>
      <c r="G87" s="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104</v>
      </c>
      <c r="D88" s="3" t="s">
        <v>10</v>
      </c>
      <c r="E88" s="3" t="s">
        <v>10</v>
      </c>
      <c r="F88" s="14">
        <v>0</v>
      </c>
      <c r="G88" s="15">
        <v>0</v>
      </c>
      <c r="H88" s="167"/>
    </row>
    <row r="89" spans="1:8" x14ac:dyDescent="0.2">
      <c r="A89" s="3" t="s">
        <v>10</v>
      </c>
      <c r="B89" s="3" t="s">
        <v>10</v>
      </c>
      <c r="C89" s="12" t="s">
        <v>10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116</v>
      </c>
      <c r="D90" s="3" t="s">
        <v>10</v>
      </c>
      <c r="E90" s="3" t="s">
        <v>10</v>
      </c>
      <c r="F90" s="3" t="s">
        <v>10</v>
      </c>
      <c r="G90" s="3" t="s">
        <v>10</v>
      </c>
      <c r="H90" s="167"/>
    </row>
    <row r="91" spans="1:8" ht="25.5" x14ac:dyDescent="0.2">
      <c r="A91" s="5">
        <v>1</v>
      </c>
      <c r="B91" s="6" t="s">
        <v>722</v>
      </c>
      <c r="C91" s="6" t="s">
        <v>964</v>
      </c>
      <c r="D91" s="6" t="s">
        <v>723</v>
      </c>
      <c r="E91" s="7">
        <v>200000</v>
      </c>
      <c r="F91" s="8">
        <v>212.94</v>
      </c>
      <c r="G91" s="9">
        <v>2.0159388E-2</v>
      </c>
      <c r="H91" s="168">
        <v>4.6989999999999998</v>
      </c>
    </row>
    <row r="92" spans="1:8" x14ac:dyDescent="0.2">
      <c r="A92" s="3" t="s">
        <v>10</v>
      </c>
      <c r="B92" s="3" t="s">
        <v>10</v>
      </c>
      <c r="C92" s="4" t="s">
        <v>104</v>
      </c>
      <c r="D92" s="3" t="s">
        <v>10</v>
      </c>
      <c r="E92" s="3" t="s">
        <v>10</v>
      </c>
      <c r="F92" s="10">
        <v>212.94</v>
      </c>
      <c r="G92" s="11">
        <v>2.0159388E-2</v>
      </c>
      <c r="H92" s="167"/>
    </row>
    <row r="93" spans="1:8" x14ac:dyDescent="0.2">
      <c r="A93" s="3" t="s">
        <v>10</v>
      </c>
      <c r="B93" s="3" t="s">
        <v>10</v>
      </c>
      <c r="C93" s="12" t="s">
        <v>10</v>
      </c>
      <c r="D93" s="3" t="s">
        <v>10</v>
      </c>
      <c r="E93" s="3" t="s">
        <v>10</v>
      </c>
      <c r="F93" s="13" t="s">
        <v>10</v>
      </c>
      <c r="G93" s="1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117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4">
        <v>0</v>
      </c>
      <c r="G95" s="15">
        <v>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118</v>
      </c>
      <c r="D97" s="3" t="s">
        <v>10</v>
      </c>
      <c r="E97" s="3" t="s">
        <v>10</v>
      </c>
      <c r="F97" s="10">
        <v>1251.002</v>
      </c>
      <c r="G97" s="11">
        <v>0.118434466</v>
      </c>
      <c r="H97" s="167"/>
    </row>
    <row r="98" spans="1:8" x14ac:dyDescent="0.2">
      <c r="A98" s="3" t="s">
        <v>10</v>
      </c>
      <c r="B98" s="3" t="s">
        <v>10</v>
      </c>
      <c r="C98" s="12" t="s">
        <v>10</v>
      </c>
      <c r="D98" s="3" t="s">
        <v>10</v>
      </c>
      <c r="E98" s="3" t="s">
        <v>10</v>
      </c>
      <c r="F98" s="13" t="s">
        <v>10</v>
      </c>
      <c r="G98" s="1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119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120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4" t="s">
        <v>104</v>
      </c>
      <c r="D101" s="3" t="s">
        <v>10</v>
      </c>
      <c r="E101" s="3" t="s">
        <v>10</v>
      </c>
      <c r="F101" s="14">
        <v>0</v>
      </c>
      <c r="G101" s="15">
        <v>0</v>
      </c>
      <c r="H101" s="167"/>
    </row>
    <row r="102" spans="1:8" x14ac:dyDescent="0.2">
      <c r="A102" s="3" t="s">
        <v>10</v>
      </c>
      <c r="B102" s="3" t="s">
        <v>10</v>
      </c>
      <c r="C102" s="12" t="s">
        <v>10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121</v>
      </c>
      <c r="D103" s="3" t="s">
        <v>10</v>
      </c>
      <c r="E103" s="3" t="s">
        <v>10</v>
      </c>
      <c r="F103" s="13" t="s">
        <v>10</v>
      </c>
      <c r="G103" s="1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122</v>
      </c>
      <c r="D106" s="3" t="s">
        <v>10</v>
      </c>
      <c r="E106" s="3" t="s">
        <v>10</v>
      </c>
      <c r="F106" s="13" t="s">
        <v>10</v>
      </c>
      <c r="G106" s="1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104</v>
      </c>
      <c r="D107" s="3" t="s">
        <v>10</v>
      </c>
      <c r="E107" s="3" t="s">
        <v>10</v>
      </c>
      <c r="F107" s="14">
        <v>0</v>
      </c>
      <c r="G107" s="15">
        <v>0</v>
      </c>
      <c r="H107" s="167"/>
    </row>
    <row r="108" spans="1:8" x14ac:dyDescent="0.2">
      <c r="A108" s="3" t="s">
        <v>10</v>
      </c>
      <c r="B108" s="3" t="s">
        <v>10</v>
      </c>
      <c r="C108" s="12" t="s">
        <v>10</v>
      </c>
      <c r="D108" s="3" t="s">
        <v>10</v>
      </c>
      <c r="E108" s="3" t="s">
        <v>10</v>
      </c>
      <c r="F108" s="13" t="s">
        <v>10</v>
      </c>
      <c r="G108" s="13" t="s">
        <v>10</v>
      </c>
      <c r="H108" s="167"/>
    </row>
    <row r="109" spans="1:8" x14ac:dyDescent="0.2">
      <c r="A109" s="3" t="s">
        <v>10</v>
      </c>
      <c r="B109" s="3" t="s">
        <v>10</v>
      </c>
      <c r="C109" s="4" t="s">
        <v>123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5">
        <v>1</v>
      </c>
      <c r="B110" s="6"/>
      <c r="C110" s="6" t="s">
        <v>124</v>
      </c>
      <c r="D110" s="6"/>
      <c r="E110" s="16" t="s">
        <v>10</v>
      </c>
      <c r="F110" s="8">
        <v>149.10599350000001</v>
      </c>
      <c r="G110" s="9">
        <v>1.4116116E-2</v>
      </c>
      <c r="H110" s="108">
        <v>3.23</v>
      </c>
    </row>
    <row r="111" spans="1:8" x14ac:dyDescent="0.2">
      <c r="A111" s="5">
        <v>2</v>
      </c>
      <c r="B111" s="6"/>
      <c r="C111" s="6" t="s">
        <v>125</v>
      </c>
      <c r="D111" s="6"/>
      <c r="E111" s="16" t="s">
        <v>10</v>
      </c>
      <c r="F111" s="8">
        <v>41.882386799999999</v>
      </c>
      <c r="G111" s="9">
        <v>3.9650759999999997E-3</v>
      </c>
      <c r="H111" s="108">
        <v>3.35</v>
      </c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0">
        <v>190.98838029999999</v>
      </c>
      <c r="G112" s="11">
        <v>1.8081191999999999E-2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3" t="s">
        <v>10</v>
      </c>
      <c r="C114" s="4" t="s">
        <v>126</v>
      </c>
      <c r="D114" s="3" t="s">
        <v>10</v>
      </c>
      <c r="E114" s="3" t="s">
        <v>10</v>
      </c>
      <c r="F114" s="10">
        <v>190.98838029999999</v>
      </c>
      <c r="G114" s="11">
        <v>1.8081191999999999E-2</v>
      </c>
      <c r="H114" s="167"/>
    </row>
    <row r="115" spans="1:8" x14ac:dyDescent="0.2">
      <c r="A115" s="3" t="s">
        <v>10</v>
      </c>
      <c r="B115" s="3" t="s">
        <v>10</v>
      </c>
      <c r="C115" s="13" t="s">
        <v>10</v>
      </c>
      <c r="D115" s="3" t="s">
        <v>10</v>
      </c>
      <c r="E115" s="3" t="s">
        <v>10</v>
      </c>
      <c r="F115" s="3" t="s">
        <v>10</v>
      </c>
      <c r="G115" s="3" t="s">
        <v>10</v>
      </c>
      <c r="H115" s="167"/>
    </row>
    <row r="116" spans="1:8" x14ac:dyDescent="0.2">
      <c r="A116" s="3" t="s">
        <v>10</v>
      </c>
      <c r="B116" s="3" t="s">
        <v>10</v>
      </c>
      <c r="C116" s="4" t="s">
        <v>127</v>
      </c>
      <c r="D116" s="3" t="s">
        <v>10</v>
      </c>
      <c r="E116" s="3" t="s">
        <v>10</v>
      </c>
      <c r="F116" s="3" t="s">
        <v>10</v>
      </c>
      <c r="G116" s="3" t="s">
        <v>10</v>
      </c>
      <c r="H116" s="167"/>
    </row>
    <row r="117" spans="1:8" x14ac:dyDescent="0.2">
      <c r="A117" s="3" t="s">
        <v>10</v>
      </c>
      <c r="B117" s="3" t="s">
        <v>10</v>
      </c>
      <c r="C117" s="4" t="s">
        <v>128</v>
      </c>
      <c r="D117" s="3" t="s">
        <v>10</v>
      </c>
      <c r="E117" s="3" t="s">
        <v>10</v>
      </c>
      <c r="F117" s="3" t="s">
        <v>10</v>
      </c>
      <c r="G117" s="3" t="s">
        <v>10</v>
      </c>
      <c r="H117" s="167"/>
    </row>
    <row r="118" spans="1:8" x14ac:dyDescent="0.2">
      <c r="A118" s="3" t="s">
        <v>10</v>
      </c>
      <c r="B118" s="3" t="s">
        <v>10</v>
      </c>
      <c r="C118" s="4" t="s">
        <v>104</v>
      </c>
      <c r="D118" s="3" t="s">
        <v>10</v>
      </c>
      <c r="E118" s="3" t="s">
        <v>10</v>
      </c>
      <c r="F118" s="14">
        <v>0</v>
      </c>
      <c r="G118" s="15">
        <v>0</v>
      </c>
      <c r="H118" s="167"/>
    </row>
    <row r="119" spans="1:8" x14ac:dyDescent="0.2">
      <c r="A119" s="3" t="s">
        <v>10</v>
      </c>
      <c r="B119" s="3" t="s">
        <v>10</v>
      </c>
      <c r="C119" s="12" t="s">
        <v>10</v>
      </c>
      <c r="D119" s="3" t="s">
        <v>10</v>
      </c>
      <c r="E119" s="3" t="s">
        <v>10</v>
      </c>
      <c r="F119" s="13" t="s">
        <v>10</v>
      </c>
      <c r="G119" s="13" t="s">
        <v>10</v>
      </c>
      <c r="H119" s="167"/>
    </row>
    <row r="120" spans="1:8" x14ac:dyDescent="0.2">
      <c r="A120" s="3" t="s">
        <v>10</v>
      </c>
      <c r="B120" s="3" t="s">
        <v>10</v>
      </c>
      <c r="C120" s="4" t="s">
        <v>129</v>
      </c>
      <c r="D120" s="3" t="s">
        <v>10</v>
      </c>
      <c r="E120" s="3" t="s">
        <v>10</v>
      </c>
      <c r="F120" s="3" t="s">
        <v>10</v>
      </c>
      <c r="G120" s="3" t="s">
        <v>10</v>
      </c>
      <c r="H120" s="167"/>
    </row>
    <row r="121" spans="1:8" x14ac:dyDescent="0.2">
      <c r="A121" s="3" t="s">
        <v>10</v>
      </c>
      <c r="B121" s="3" t="s">
        <v>10</v>
      </c>
      <c r="C121" s="4" t="s">
        <v>130</v>
      </c>
      <c r="D121" s="3" t="s">
        <v>10</v>
      </c>
      <c r="E121" s="3" t="s">
        <v>10</v>
      </c>
      <c r="F121" s="3" t="s">
        <v>10</v>
      </c>
      <c r="G121" s="3" t="s">
        <v>10</v>
      </c>
      <c r="H121" s="167"/>
    </row>
    <row r="122" spans="1:8" x14ac:dyDescent="0.2">
      <c r="A122" s="3" t="s">
        <v>10</v>
      </c>
      <c r="B122" s="3" t="s">
        <v>10</v>
      </c>
      <c r="C122" s="4" t="s">
        <v>104</v>
      </c>
      <c r="D122" s="3" t="s">
        <v>10</v>
      </c>
      <c r="E122" s="3" t="s">
        <v>10</v>
      </c>
      <c r="F122" s="14">
        <v>0</v>
      </c>
      <c r="G122" s="15">
        <v>0</v>
      </c>
      <c r="H122" s="167"/>
    </row>
    <row r="123" spans="1:8" x14ac:dyDescent="0.2">
      <c r="A123" s="3" t="s">
        <v>10</v>
      </c>
      <c r="B123" s="3" t="s">
        <v>10</v>
      </c>
      <c r="C123" s="12" t="s">
        <v>10</v>
      </c>
      <c r="D123" s="3" t="s">
        <v>10</v>
      </c>
      <c r="E123" s="3" t="s">
        <v>10</v>
      </c>
      <c r="F123" s="13" t="s">
        <v>10</v>
      </c>
      <c r="G123" s="13" t="s">
        <v>10</v>
      </c>
      <c r="H123" s="167"/>
    </row>
    <row r="124" spans="1:8" x14ac:dyDescent="0.2">
      <c r="A124" s="3" t="s">
        <v>10</v>
      </c>
      <c r="B124" s="3" t="s">
        <v>10</v>
      </c>
      <c r="C124" s="12" t="s">
        <v>10</v>
      </c>
      <c r="D124" s="3" t="s">
        <v>10</v>
      </c>
      <c r="E124" s="3" t="s">
        <v>10</v>
      </c>
      <c r="F124" s="13" t="s">
        <v>10</v>
      </c>
      <c r="G124" s="13" t="s">
        <v>10</v>
      </c>
      <c r="H124" s="167"/>
    </row>
    <row r="125" spans="1:8" ht="25.5" x14ac:dyDescent="0.2">
      <c r="A125" s="3" t="s">
        <v>10</v>
      </c>
      <c r="B125" s="3" t="s">
        <v>10</v>
      </c>
      <c r="C125" s="4" t="s">
        <v>131</v>
      </c>
      <c r="D125" s="3" t="s">
        <v>10</v>
      </c>
      <c r="E125" s="3" t="s">
        <v>10</v>
      </c>
      <c r="F125" s="13" t="s">
        <v>10</v>
      </c>
      <c r="G125" s="13" t="s">
        <v>10</v>
      </c>
      <c r="H125" s="167"/>
    </row>
    <row r="126" spans="1:8" x14ac:dyDescent="0.2">
      <c r="A126" s="3" t="s">
        <v>10</v>
      </c>
      <c r="B126" s="3" t="s">
        <v>10</v>
      </c>
      <c r="C126" s="4" t="s">
        <v>104</v>
      </c>
      <c r="D126" s="3" t="s">
        <v>10</v>
      </c>
      <c r="E126" s="3" t="s">
        <v>10</v>
      </c>
      <c r="F126" s="14">
        <v>0</v>
      </c>
      <c r="G126" s="15">
        <v>0</v>
      </c>
      <c r="H126" s="167"/>
    </row>
    <row r="127" spans="1:8" x14ac:dyDescent="0.2">
      <c r="A127" s="3" t="s">
        <v>10</v>
      </c>
      <c r="B127" s="3" t="s">
        <v>10</v>
      </c>
      <c r="C127" s="12" t="s">
        <v>10</v>
      </c>
      <c r="D127" s="3" t="s">
        <v>10</v>
      </c>
      <c r="E127" s="3" t="s">
        <v>10</v>
      </c>
      <c r="F127" s="13" t="s">
        <v>10</v>
      </c>
      <c r="G127" s="13" t="s">
        <v>10</v>
      </c>
      <c r="H127" s="167"/>
    </row>
    <row r="128" spans="1:8" x14ac:dyDescent="0.2">
      <c r="A128" s="16" t="s">
        <v>10</v>
      </c>
      <c r="B128" s="6" t="s">
        <v>10</v>
      </c>
      <c r="C128" s="6" t="s">
        <v>702</v>
      </c>
      <c r="D128" s="6" t="s">
        <v>10</v>
      </c>
      <c r="E128" s="16" t="s">
        <v>10</v>
      </c>
      <c r="F128" s="8">
        <v>1166.2774214000001</v>
      </c>
      <c r="G128" s="9">
        <v>0.110413448</v>
      </c>
      <c r="H128" s="167"/>
    </row>
    <row r="129" spans="1:14" x14ac:dyDescent="0.2">
      <c r="A129" s="16" t="s">
        <v>10</v>
      </c>
      <c r="B129" s="6" t="s">
        <v>10</v>
      </c>
      <c r="C129" s="6" t="s">
        <v>132</v>
      </c>
      <c r="D129" s="6" t="s">
        <v>10</v>
      </c>
      <c r="E129" s="16" t="s">
        <v>10</v>
      </c>
      <c r="F129" s="8">
        <v>-17.538080389998868</v>
      </c>
      <c r="G129" s="9">
        <v>-1.6000000000000001E-3</v>
      </c>
      <c r="H129" s="167"/>
    </row>
    <row r="130" spans="1:14" x14ac:dyDescent="0.2">
      <c r="A130" s="12" t="s">
        <v>10</v>
      </c>
      <c r="B130" s="12" t="s">
        <v>10</v>
      </c>
      <c r="C130" s="4" t="s">
        <v>133</v>
      </c>
      <c r="D130" s="17" t="s">
        <v>10</v>
      </c>
      <c r="E130" s="17" t="s">
        <v>10</v>
      </c>
      <c r="F130" s="10">
        <v>10562.820434310001</v>
      </c>
      <c r="G130" s="11">
        <v>0.99997169699999988</v>
      </c>
      <c r="H130" s="167"/>
    </row>
    <row r="131" spans="1:14" ht="14.1" customHeight="1" x14ac:dyDescent="0.2">
      <c r="A131" s="18" t="s">
        <v>10</v>
      </c>
      <c r="B131" s="18" t="s">
        <v>10</v>
      </c>
      <c r="C131" s="18" t="s">
        <v>10</v>
      </c>
      <c r="D131" s="19" t="s">
        <v>10</v>
      </c>
      <c r="E131" s="19" t="s">
        <v>10</v>
      </c>
      <c r="F131" s="19" t="s">
        <v>10</v>
      </c>
      <c r="G131" s="19" t="s">
        <v>10</v>
      </c>
    </row>
    <row r="132" spans="1:14" ht="17.100000000000001" customHeight="1" x14ac:dyDescent="0.2">
      <c r="A132" s="20" t="s">
        <v>10</v>
      </c>
      <c r="B132" s="208" t="s">
        <v>724</v>
      </c>
      <c r="C132" s="208"/>
      <c r="D132" s="208"/>
      <c r="E132" s="208"/>
      <c r="F132" s="208"/>
      <c r="G132" s="22" t="s">
        <v>10</v>
      </c>
    </row>
    <row r="133" spans="1:14" s="144" customFormat="1" ht="15" x14ac:dyDescent="0.2">
      <c r="A133" s="164" t="s">
        <v>10</v>
      </c>
      <c r="B133" s="224" t="s">
        <v>781</v>
      </c>
      <c r="C133" s="224"/>
      <c r="D133" s="224"/>
      <c r="E133" s="224"/>
      <c r="F133" s="224"/>
      <c r="G133" s="165" t="s">
        <v>10</v>
      </c>
      <c r="H133" s="143"/>
      <c r="K133"/>
      <c r="L133"/>
      <c r="M133"/>
      <c r="N133"/>
    </row>
    <row r="134" spans="1:14" ht="14.1" customHeight="1" x14ac:dyDescent="0.2">
      <c r="A134" s="20" t="s">
        <v>10</v>
      </c>
      <c r="B134" s="20" t="s">
        <v>10</v>
      </c>
      <c r="C134" s="20" t="s">
        <v>10</v>
      </c>
      <c r="D134" s="22" t="s">
        <v>10</v>
      </c>
      <c r="E134" s="22" t="s">
        <v>10</v>
      </c>
      <c r="F134" s="22" t="s">
        <v>10</v>
      </c>
      <c r="G134" s="22" t="s">
        <v>10</v>
      </c>
    </row>
    <row r="135" spans="1:14" ht="14.1" customHeight="1" x14ac:dyDescent="0.2">
      <c r="A135" s="20" t="s">
        <v>10</v>
      </c>
      <c r="B135" s="206" t="s">
        <v>134</v>
      </c>
      <c r="C135" s="207"/>
      <c r="D135" s="13" t="s">
        <v>10</v>
      </c>
      <c r="E135" s="23" t="s">
        <v>10</v>
      </c>
      <c r="F135" s="22" t="s">
        <v>10</v>
      </c>
      <c r="G135" s="22" t="s">
        <v>10</v>
      </c>
    </row>
    <row r="136" spans="1:14" ht="29.1" customHeight="1" x14ac:dyDescent="0.2">
      <c r="A136" s="20" t="s">
        <v>10</v>
      </c>
      <c r="B136" s="213" t="s">
        <v>135</v>
      </c>
      <c r="C136" s="214"/>
      <c r="D136" s="4" t="s">
        <v>136</v>
      </c>
      <c r="E136" s="23" t="s">
        <v>10</v>
      </c>
      <c r="F136" s="22" t="s">
        <v>10</v>
      </c>
      <c r="G136" s="22" t="s">
        <v>10</v>
      </c>
    </row>
    <row r="137" spans="1:14" ht="17.100000000000001" customHeight="1" x14ac:dyDescent="0.2">
      <c r="A137" s="20" t="s">
        <v>10</v>
      </c>
      <c r="B137" s="213" t="s">
        <v>137</v>
      </c>
      <c r="C137" s="214"/>
      <c r="D137" s="4" t="s">
        <v>136</v>
      </c>
      <c r="E137" s="23" t="s">
        <v>10</v>
      </c>
      <c r="F137" s="22" t="s">
        <v>10</v>
      </c>
      <c r="G137" s="22" t="s">
        <v>10</v>
      </c>
    </row>
    <row r="138" spans="1:14" ht="17.100000000000001" customHeight="1" x14ac:dyDescent="0.2">
      <c r="A138" s="20" t="s">
        <v>10</v>
      </c>
      <c r="B138" s="213" t="s">
        <v>138</v>
      </c>
      <c r="C138" s="214"/>
      <c r="D138" s="13" t="s">
        <v>10</v>
      </c>
      <c r="E138" s="23" t="s">
        <v>10</v>
      </c>
      <c r="F138" s="22" t="s">
        <v>10</v>
      </c>
      <c r="G138" s="22" t="s">
        <v>10</v>
      </c>
    </row>
    <row r="139" spans="1:14" s="20" customFormat="1" ht="17.100000000000001" customHeight="1" x14ac:dyDescent="0.2"/>
    <row r="140" spans="1:14" x14ac:dyDescent="0.2">
      <c r="A140" s="24" t="s">
        <v>10</v>
      </c>
      <c r="B140" s="140" t="s">
        <v>10</v>
      </c>
      <c r="C140" s="140" t="s">
        <v>139</v>
      </c>
      <c r="D140" s="140" t="s">
        <v>140</v>
      </c>
      <c r="E140" s="24" t="s">
        <v>10</v>
      </c>
      <c r="F140" s="24" t="s">
        <v>10</v>
      </c>
      <c r="G140" s="24" t="s">
        <v>10</v>
      </c>
    </row>
    <row r="141" spans="1:14" ht="18" customHeight="1" x14ac:dyDescent="0.2">
      <c r="A141" s="24" t="s">
        <v>10</v>
      </c>
      <c r="B141" s="25" t="s">
        <v>141</v>
      </c>
      <c r="C141" s="25" t="s">
        <v>142</v>
      </c>
      <c r="D141" s="25" t="s">
        <v>143</v>
      </c>
      <c r="E141" s="24" t="s">
        <v>10</v>
      </c>
      <c r="F141" s="24" t="s">
        <v>10</v>
      </c>
      <c r="G141" s="24" t="s">
        <v>10</v>
      </c>
    </row>
    <row r="142" spans="1:14" ht="17.100000000000001" customHeight="1" x14ac:dyDescent="0.2">
      <c r="A142" s="24" t="s">
        <v>10</v>
      </c>
      <c r="B142" s="6" t="s">
        <v>144</v>
      </c>
      <c r="C142" s="26">
        <v>12.2309</v>
      </c>
      <c r="D142" s="26">
        <v>12.5419</v>
      </c>
      <c r="E142" s="24" t="s">
        <v>10</v>
      </c>
      <c r="F142" s="21" t="s">
        <v>10</v>
      </c>
      <c r="G142" s="27" t="s">
        <v>10</v>
      </c>
    </row>
    <row r="143" spans="1:14" ht="17.100000000000001" customHeight="1" x14ac:dyDescent="0.2">
      <c r="A143" s="24" t="s">
        <v>10</v>
      </c>
      <c r="B143" s="6" t="s">
        <v>917</v>
      </c>
      <c r="C143" s="26">
        <v>12.2308</v>
      </c>
      <c r="D143" s="26">
        <v>12.5418</v>
      </c>
      <c r="E143" s="24" t="s">
        <v>10</v>
      </c>
      <c r="F143" s="21" t="s">
        <v>10</v>
      </c>
      <c r="G143" s="27" t="s">
        <v>10</v>
      </c>
    </row>
    <row r="144" spans="1:14" ht="17.100000000000001" customHeight="1" x14ac:dyDescent="0.2">
      <c r="A144" s="24" t="s">
        <v>10</v>
      </c>
      <c r="B144" s="6" t="s">
        <v>145</v>
      </c>
      <c r="C144" s="26">
        <v>11.7279</v>
      </c>
      <c r="D144" s="26">
        <v>12.008800000000001</v>
      </c>
      <c r="E144" s="24" t="s">
        <v>10</v>
      </c>
      <c r="F144" s="21" t="s">
        <v>10</v>
      </c>
      <c r="G144" s="27" t="s">
        <v>10</v>
      </c>
    </row>
    <row r="145" spans="1:8" ht="17.100000000000001" customHeight="1" x14ac:dyDescent="0.2">
      <c r="A145" s="24" t="s">
        <v>10</v>
      </c>
      <c r="B145" s="6" t="s">
        <v>918</v>
      </c>
      <c r="C145" s="26">
        <v>11.7277</v>
      </c>
      <c r="D145" s="26">
        <v>12.0085</v>
      </c>
      <c r="E145" s="24" t="s">
        <v>10</v>
      </c>
      <c r="F145" s="21" t="s">
        <v>10</v>
      </c>
      <c r="G145" s="27" t="s">
        <v>10</v>
      </c>
    </row>
    <row r="146" spans="1:8" ht="14.1" customHeight="1" x14ac:dyDescent="0.2">
      <c r="A146" s="24" t="s">
        <v>10</v>
      </c>
      <c r="B146" s="24" t="s">
        <v>10</v>
      </c>
      <c r="C146" s="24" t="s">
        <v>10</v>
      </c>
      <c r="D146" s="24" t="s">
        <v>10</v>
      </c>
      <c r="E146" s="24" t="s">
        <v>10</v>
      </c>
      <c r="F146" s="24" t="s">
        <v>10</v>
      </c>
      <c r="G146" s="24" t="s">
        <v>10</v>
      </c>
    </row>
    <row r="147" spans="1:8" ht="17.100000000000001" customHeight="1" x14ac:dyDescent="0.2">
      <c r="A147" s="24" t="s">
        <v>10</v>
      </c>
      <c r="B147" s="213" t="s">
        <v>999</v>
      </c>
      <c r="C147" s="214"/>
      <c r="D147" s="4" t="s">
        <v>136</v>
      </c>
      <c r="E147" s="24" t="s">
        <v>10</v>
      </c>
      <c r="F147" s="24" t="s">
        <v>10</v>
      </c>
      <c r="G147" s="24" t="s">
        <v>10</v>
      </c>
    </row>
    <row r="148" spans="1:8" ht="18" customHeight="1" x14ac:dyDescent="0.2">
      <c r="A148" s="24" t="s">
        <v>10</v>
      </c>
      <c r="B148" s="28"/>
      <c r="C148" s="28"/>
      <c r="D148" s="29" t="s">
        <v>10</v>
      </c>
      <c r="E148" s="24" t="s">
        <v>10</v>
      </c>
      <c r="F148" s="24" t="s">
        <v>10</v>
      </c>
      <c r="G148" s="24" t="s">
        <v>10</v>
      </c>
    </row>
    <row r="149" spans="1:8" s="175" customFormat="1" x14ac:dyDescent="0.2">
      <c r="B149" s="221" t="s">
        <v>919</v>
      </c>
      <c r="C149" s="221"/>
      <c r="D149" s="221"/>
      <c r="E149" s="221"/>
      <c r="F149" s="221"/>
    </row>
    <row r="150" spans="1:8" ht="14.1" customHeight="1" x14ac:dyDescent="0.2">
      <c r="A150" s="24" t="s">
        <v>10</v>
      </c>
      <c r="B150" s="21" t="s">
        <v>10</v>
      </c>
      <c r="C150" s="21" t="s">
        <v>10</v>
      </c>
      <c r="D150" s="24" t="s">
        <v>10</v>
      </c>
      <c r="E150" s="24" t="s">
        <v>10</v>
      </c>
      <c r="F150" s="24" t="s">
        <v>10</v>
      </c>
      <c r="G150" s="24" t="s">
        <v>10</v>
      </c>
    </row>
    <row r="151" spans="1:8" ht="29.1" customHeight="1" x14ac:dyDescent="0.2">
      <c r="A151" s="24" t="s">
        <v>10</v>
      </c>
      <c r="B151" s="213" t="s">
        <v>146</v>
      </c>
      <c r="C151" s="214"/>
      <c r="D151" s="4" t="s">
        <v>981</v>
      </c>
      <c r="E151" s="24" t="s">
        <v>10</v>
      </c>
      <c r="F151" s="24" t="s">
        <v>10</v>
      </c>
      <c r="G151" s="24" t="s">
        <v>10</v>
      </c>
    </row>
    <row r="152" spans="1:8" ht="29.1" customHeight="1" x14ac:dyDescent="0.2">
      <c r="A152" s="24" t="s">
        <v>10</v>
      </c>
      <c r="B152" s="213" t="s">
        <v>147</v>
      </c>
      <c r="C152" s="214"/>
      <c r="D152" s="4" t="s">
        <v>136</v>
      </c>
      <c r="E152" s="24" t="s">
        <v>10</v>
      </c>
      <c r="F152" s="24" t="s">
        <v>10</v>
      </c>
      <c r="G152" s="24" t="s">
        <v>10</v>
      </c>
    </row>
    <row r="153" spans="1:8" s="144" customFormat="1" ht="15" x14ac:dyDescent="0.2">
      <c r="A153" s="141" t="s">
        <v>10</v>
      </c>
      <c r="B153" s="215" t="s">
        <v>982</v>
      </c>
      <c r="C153" s="216"/>
      <c r="D153" s="152">
        <v>0.8575126786917574</v>
      </c>
      <c r="E153" s="153" t="s">
        <v>10</v>
      </c>
      <c r="F153" s="154" t="s">
        <v>10</v>
      </c>
      <c r="G153" s="141" t="s">
        <v>10</v>
      </c>
      <c r="H153" s="143"/>
    </row>
    <row r="154" spans="1:8" s="144" customFormat="1" ht="15" x14ac:dyDescent="0.2">
      <c r="A154" s="141" t="s">
        <v>10</v>
      </c>
      <c r="B154" s="215" t="s">
        <v>983</v>
      </c>
      <c r="C154" s="216"/>
      <c r="D154" s="152">
        <v>0.81488010811143041</v>
      </c>
      <c r="E154" s="153" t="s">
        <v>10</v>
      </c>
      <c r="F154" s="154" t="s">
        <v>10</v>
      </c>
      <c r="G154" s="141" t="s">
        <v>10</v>
      </c>
      <c r="H154" s="143"/>
    </row>
    <row r="155" spans="1:8" ht="17.100000000000001" customHeight="1" x14ac:dyDescent="0.2">
      <c r="A155" s="24" t="s">
        <v>10</v>
      </c>
      <c r="B155" s="213" t="s">
        <v>984</v>
      </c>
      <c r="C155" s="214"/>
      <c r="D155" s="30">
        <v>4.6562610407598699</v>
      </c>
      <c r="E155" s="24" t="s">
        <v>10</v>
      </c>
      <c r="F155" s="21" t="s">
        <v>10</v>
      </c>
      <c r="G155" s="27" t="s">
        <v>10</v>
      </c>
    </row>
    <row r="156" spans="1:8" ht="17.100000000000001" customHeight="1" x14ac:dyDescent="0.2">
      <c r="A156" s="24" t="s">
        <v>10</v>
      </c>
      <c r="B156" s="213" t="s">
        <v>985</v>
      </c>
      <c r="C156" s="214"/>
      <c r="D156" s="4" t="s">
        <v>136</v>
      </c>
      <c r="E156" s="24" t="s">
        <v>10</v>
      </c>
      <c r="F156" s="24" t="s">
        <v>10</v>
      </c>
      <c r="G156" s="24" t="s">
        <v>10</v>
      </c>
    </row>
  </sheetData>
  <mergeCells count="17">
    <mergeCell ref="B155:C155"/>
    <mergeCell ref="B156:C156"/>
    <mergeCell ref="B136:C136"/>
    <mergeCell ref="B137:C137"/>
    <mergeCell ref="B138:C138"/>
    <mergeCell ref="B147:C147"/>
    <mergeCell ref="B151:C151"/>
    <mergeCell ref="B152:C152"/>
    <mergeCell ref="B153:C153"/>
    <mergeCell ref="B154:C154"/>
    <mergeCell ref="B149:F149"/>
    <mergeCell ref="B135:C135"/>
    <mergeCell ref="B132:F132"/>
    <mergeCell ref="B133:F13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123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725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51</v>
      </c>
      <c r="C7" s="6" t="s">
        <v>52</v>
      </c>
      <c r="D7" s="6" t="s">
        <v>23</v>
      </c>
      <c r="E7" s="7">
        <v>481259</v>
      </c>
      <c r="F7" s="8">
        <v>7295.1645515</v>
      </c>
      <c r="G7" s="9">
        <v>0.198023433</v>
      </c>
      <c r="H7" s="167"/>
    </row>
    <row r="8" spans="1:8" x14ac:dyDescent="0.2">
      <c r="A8" s="5">
        <v>2</v>
      </c>
      <c r="B8" s="6" t="s">
        <v>21</v>
      </c>
      <c r="C8" s="6" t="s">
        <v>22</v>
      </c>
      <c r="D8" s="6" t="s">
        <v>23</v>
      </c>
      <c r="E8" s="7">
        <v>886497</v>
      </c>
      <c r="F8" s="8">
        <v>5875.2588674999997</v>
      </c>
      <c r="G8" s="9">
        <v>0.15948083399999999</v>
      </c>
      <c r="H8" s="167"/>
    </row>
    <row r="9" spans="1:8" ht="25.5" x14ac:dyDescent="0.2">
      <c r="A9" s="5">
        <v>3</v>
      </c>
      <c r="B9" s="6" t="s">
        <v>401</v>
      </c>
      <c r="C9" s="6" t="s">
        <v>402</v>
      </c>
      <c r="D9" s="6" t="s">
        <v>158</v>
      </c>
      <c r="E9" s="7">
        <v>161518</v>
      </c>
      <c r="F9" s="8">
        <v>4123.3122629999998</v>
      </c>
      <c r="G9" s="9">
        <v>0.111925159</v>
      </c>
      <c r="H9" s="167"/>
    </row>
    <row r="10" spans="1:8" x14ac:dyDescent="0.2">
      <c r="A10" s="5">
        <v>4</v>
      </c>
      <c r="B10" s="6" t="s">
        <v>370</v>
      </c>
      <c r="C10" s="6" t="s">
        <v>371</v>
      </c>
      <c r="D10" s="6" t="s">
        <v>23</v>
      </c>
      <c r="E10" s="7">
        <v>466660</v>
      </c>
      <c r="F10" s="8">
        <v>3503.2166200000001</v>
      </c>
      <c r="G10" s="9">
        <v>9.5092986000000004E-2</v>
      </c>
      <c r="H10" s="167"/>
    </row>
    <row r="11" spans="1:8" x14ac:dyDescent="0.2">
      <c r="A11" s="5">
        <v>5</v>
      </c>
      <c r="B11" s="6" t="s">
        <v>403</v>
      </c>
      <c r="C11" s="6" t="s">
        <v>404</v>
      </c>
      <c r="D11" s="6" t="s">
        <v>23</v>
      </c>
      <c r="E11" s="7">
        <v>739037</v>
      </c>
      <c r="F11" s="8">
        <v>3136.1035095000002</v>
      </c>
      <c r="G11" s="9">
        <v>8.5127891999999997E-2</v>
      </c>
      <c r="H11" s="167"/>
    </row>
    <row r="12" spans="1:8" x14ac:dyDescent="0.2">
      <c r="A12" s="5">
        <v>6</v>
      </c>
      <c r="B12" s="6" t="s">
        <v>528</v>
      </c>
      <c r="C12" s="6" t="s">
        <v>529</v>
      </c>
      <c r="D12" s="6" t="s">
        <v>23</v>
      </c>
      <c r="E12" s="7">
        <v>517173</v>
      </c>
      <c r="F12" s="8">
        <v>1602.4605405</v>
      </c>
      <c r="G12" s="9">
        <v>4.3497954999999998E-2</v>
      </c>
      <c r="H12" s="167"/>
    </row>
    <row r="13" spans="1:8" x14ac:dyDescent="0.2">
      <c r="A13" s="5">
        <v>7</v>
      </c>
      <c r="B13" s="6" t="s">
        <v>388</v>
      </c>
      <c r="C13" s="6" t="s">
        <v>389</v>
      </c>
      <c r="D13" s="6" t="s">
        <v>969</v>
      </c>
      <c r="E13" s="7">
        <v>9946</v>
      </c>
      <c r="F13" s="8">
        <v>1174.254598</v>
      </c>
      <c r="G13" s="9">
        <v>3.1874527999999999E-2</v>
      </c>
      <c r="H13" s="167"/>
    </row>
    <row r="14" spans="1:8" x14ac:dyDescent="0.2">
      <c r="A14" s="5">
        <v>8</v>
      </c>
      <c r="B14" s="6" t="s">
        <v>429</v>
      </c>
      <c r="C14" s="6" t="s">
        <v>430</v>
      </c>
      <c r="D14" s="6" t="s">
        <v>23</v>
      </c>
      <c r="E14" s="7">
        <v>62105</v>
      </c>
      <c r="F14" s="8">
        <v>1122.6720849999999</v>
      </c>
      <c r="G14" s="9">
        <v>3.0474347999999998E-2</v>
      </c>
      <c r="H14" s="167"/>
    </row>
    <row r="15" spans="1:8" x14ac:dyDescent="0.2">
      <c r="A15" s="5">
        <v>9</v>
      </c>
      <c r="B15" s="6" t="s">
        <v>662</v>
      </c>
      <c r="C15" s="6" t="s">
        <v>663</v>
      </c>
      <c r="D15" s="6" t="s">
        <v>23</v>
      </c>
      <c r="E15" s="7">
        <v>108562</v>
      </c>
      <c r="F15" s="8">
        <v>1099.73306</v>
      </c>
      <c r="G15" s="9">
        <v>2.9851679999999998E-2</v>
      </c>
      <c r="H15" s="167"/>
    </row>
    <row r="16" spans="1:8" x14ac:dyDescent="0.2">
      <c r="A16" s="5">
        <v>10</v>
      </c>
      <c r="B16" s="6" t="s">
        <v>307</v>
      </c>
      <c r="C16" s="6" t="s">
        <v>308</v>
      </c>
      <c r="D16" s="6" t="s">
        <v>23</v>
      </c>
      <c r="E16" s="7">
        <v>98253</v>
      </c>
      <c r="F16" s="8">
        <v>971.28003149999995</v>
      </c>
      <c r="G16" s="9">
        <v>2.6364888999999999E-2</v>
      </c>
      <c r="H16" s="167"/>
    </row>
    <row r="17" spans="1:8" x14ac:dyDescent="0.2">
      <c r="A17" s="5">
        <v>11</v>
      </c>
      <c r="B17" s="6" t="s">
        <v>212</v>
      </c>
      <c r="C17" s="6" t="s">
        <v>213</v>
      </c>
      <c r="D17" s="6" t="s">
        <v>158</v>
      </c>
      <c r="E17" s="7">
        <v>163989</v>
      </c>
      <c r="F17" s="8">
        <v>932.8514265</v>
      </c>
      <c r="G17" s="9">
        <v>2.5321765E-2</v>
      </c>
      <c r="H17" s="167"/>
    </row>
    <row r="18" spans="1:8" ht="25.5" x14ac:dyDescent="0.2">
      <c r="A18" s="5">
        <v>12</v>
      </c>
      <c r="B18" s="6" t="s">
        <v>297</v>
      </c>
      <c r="C18" s="6" t="s">
        <v>298</v>
      </c>
      <c r="D18" s="6" t="s">
        <v>158</v>
      </c>
      <c r="E18" s="7">
        <v>161723</v>
      </c>
      <c r="F18" s="8">
        <v>888.34443899999997</v>
      </c>
      <c r="G18" s="9">
        <v>2.4113645999999999E-2</v>
      </c>
      <c r="H18" s="167"/>
    </row>
    <row r="19" spans="1:8" x14ac:dyDescent="0.2">
      <c r="A19" s="5">
        <v>13</v>
      </c>
      <c r="B19" s="6" t="s">
        <v>704</v>
      </c>
      <c r="C19" s="6" t="s">
        <v>705</v>
      </c>
      <c r="D19" s="6" t="s">
        <v>158</v>
      </c>
      <c r="E19" s="7">
        <v>48923</v>
      </c>
      <c r="F19" s="8">
        <v>699.50105399999995</v>
      </c>
      <c r="G19" s="9">
        <v>1.8987591000000002E-2</v>
      </c>
      <c r="H19" s="167"/>
    </row>
    <row r="20" spans="1:8" x14ac:dyDescent="0.2">
      <c r="A20" s="5">
        <v>14</v>
      </c>
      <c r="B20" s="6" t="s">
        <v>329</v>
      </c>
      <c r="C20" s="6" t="s">
        <v>330</v>
      </c>
      <c r="D20" s="6" t="s">
        <v>158</v>
      </c>
      <c r="E20" s="7">
        <v>118311</v>
      </c>
      <c r="F20" s="8">
        <v>551.62503749999996</v>
      </c>
      <c r="G20" s="9">
        <v>1.4973574E-2</v>
      </c>
      <c r="H20" s="167"/>
    </row>
    <row r="21" spans="1:8" x14ac:dyDescent="0.2">
      <c r="A21" s="5">
        <v>15</v>
      </c>
      <c r="B21" s="6" t="s">
        <v>313</v>
      </c>
      <c r="C21" s="6" t="s">
        <v>314</v>
      </c>
      <c r="D21" s="6" t="s">
        <v>23</v>
      </c>
      <c r="E21" s="7">
        <v>627218</v>
      </c>
      <c r="F21" s="8">
        <v>547.247705</v>
      </c>
      <c r="G21" s="9">
        <v>1.4854753E-2</v>
      </c>
      <c r="H21" s="167"/>
    </row>
    <row r="22" spans="1:8" x14ac:dyDescent="0.2">
      <c r="A22" s="5">
        <v>16</v>
      </c>
      <c r="B22" s="6" t="s">
        <v>726</v>
      </c>
      <c r="C22" s="6" t="s">
        <v>727</v>
      </c>
      <c r="D22" s="6" t="s">
        <v>158</v>
      </c>
      <c r="E22" s="7">
        <v>414772</v>
      </c>
      <c r="F22" s="8">
        <v>502.49627800000002</v>
      </c>
      <c r="G22" s="9">
        <v>1.3639999E-2</v>
      </c>
      <c r="H22" s="167"/>
    </row>
    <row r="23" spans="1:8" x14ac:dyDescent="0.2">
      <c r="A23" s="5">
        <v>17</v>
      </c>
      <c r="B23" s="6" t="s">
        <v>573</v>
      </c>
      <c r="C23" s="6" t="s">
        <v>574</v>
      </c>
      <c r="D23" s="6" t="s">
        <v>158</v>
      </c>
      <c r="E23" s="7">
        <v>7202</v>
      </c>
      <c r="F23" s="8">
        <v>405.32495899999998</v>
      </c>
      <c r="G23" s="9">
        <v>1.1002334000000001E-2</v>
      </c>
      <c r="H23" s="167"/>
    </row>
    <row r="24" spans="1:8" x14ac:dyDescent="0.2">
      <c r="A24" s="5">
        <v>18</v>
      </c>
      <c r="B24" s="6" t="s">
        <v>405</v>
      </c>
      <c r="C24" s="6" t="s">
        <v>406</v>
      </c>
      <c r="D24" s="6" t="s">
        <v>969</v>
      </c>
      <c r="E24" s="7">
        <v>37738</v>
      </c>
      <c r="F24" s="8">
        <v>368.19079699999998</v>
      </c>
      <c r="G24" s="9">
        <v>9.9943470000000006E-3</v>
      </c>
      <c r="H24" s="167"/>
    </row>
    <row r="25" spans="1:8" x14ac:dyDescent="0.2">
      <c r="A25" s="5">
        <v>19</v>
      </c>
      <c r="B25" s="6" t="s">
        <v>295</v>
      </c>
      <c r="C25" s="6" t="s">
        <v>296</v>
      </c>
      <c r="D25" s="6" t="s">
        <v>969</v>
      </c>
      <c r="E25" s="7">
        <v>31042</v>
      </c>
      <c r="F25" s="8">
        <v>289.65290199999998</v>
      </c>
      <c r="G25" s="9">
        <v>7.8624769999999997E-3</v>
      </c>
      <c r="H25" s="167"/>
    </row>
    <row r="26" spans="1:8" ht="25.5" x14ac:dyDescent="0.2">
      <c r="A26" s="5">
        <v>20</v>
      </c>
      <c r="B26" s="6" t="s">
        <v>423</v>
      </c>
      <c r="C26" s="6" t="s">
        <v>424</v>
      </c>
      <c r="D26" s="6" t="s">
        <v>969</v>
      </c>
      <c r="E26" s="7">
        <v>19277</v>
      </c>
      <c r="F26" s="8">
        <v>283.73816299999999</v>
      </c>
      <c r="G26" s="9">
        <v>7.7019239999999997E-3</v>
      </c>
      <c r="H26" s="167"/>
    </row>
    <row r="27" spans="1:8" x14ac:dyDescent="0.2">
      <c r="A27" s="5">
        <v>21</v>
      </c>
      <c r="B27" s="6" t="s">
        <v>590</v>
      </c>
      <c r="C27" s="6" t="s">
        <v>591</v>
      </c>
      <c r="D27" s="6" t="s">
        <v>969</v>
      </c>
      <c r="E27" s="7">
        <v>39000</v>
      </c>
      <c r="F27" s="8">
        <v>259.70100000000002</v>
      </c>
      <c r="G27" s="9">
        <v>7.0494479999999998E-3</v>
      </c>
      <c r="H27" s="167"/>
    </row>
    <row r="28" spans="1:8" ht="25.5" x14ac:dyDescent="0.2">
      <c r="A28" s="5">
        <v>22</v>
      </c>
      <c r="B28" s="6" t="s">
        <v>364</v>
      </c>
      <c r="C28" s="6" t="s">
        <v>365</v>
      </c>
      <c r="D28" s="6" t="s">
        <v>158</v>
      </c>
      <c r="E28" s="7">
        <v>116939</v>
      </c>
      <c r="F28" s="8">
        <v>190.61057</v>
      </c>
      <c r="G28" s="9">
        <v>5.1740240000000002E-3</v>
      </c>
      <c r="H28" s="167"/>
    </row>
    <row r="29" spans="1:8" x14ac:dyDescent="0.2">
      <c r="A29" s="5">
        <v>23</v>
      </c>
      <c r="B29" s="6" t="s">
        <v>523</v>
      </c>
      <c r="C29" s="6" t="s">
        <v>524</v>
      </c>
      <c r="D29" s="6" t="s">
        <v>158</v>
      </c>
      <c r="E29" s="7">
        <v>184713</v>
      </c>
      <c r="F29" s="8">
        <v>162.63979649999999</v>
      </c>
      <c r="G29" s="9">
        <v>4.414772E-3</v>
      </c>
      <c r="H29" s="167"/>
    </row>
    <row r="30" spans="1:8" x14ac:dyDescent="0.2">
      <c r="A30" s="5">
        <v>24</v>
      </c>
      <c r="B30" s="6" t="s">
        <v>592</v>
      </c>
      <c r="C30" s="6" t="s">
        <v>593</v>
      </c>
      <c r="D30" s="6" t="s">
        <v>972</v>
      </c>
      <c r="E30" s="7">
        <v>16200</v>
      </c>
      <c r="F30" s="8">
        <v>123.3468</v>
      </c>
      <c r="G30" s="9">
        <v>3.3481840000000001E-3</v>
      </c>
      <c r="H30" s="167"/>
    </row>
    <row r="31" spans="1:8" x14ac:dyDescent="0.2">
      <c r="A31" s="5">
        <v>25</v>
      </c>
      <c r="B31" s="6" t="s">
        <v>349</v>
      </c>
      <c r="C31" s="6" t="s">
        <v>350</v>
      </c>
      <c r="D31" s="6" t="s">
        <v>972</v>
      </c>
      <c r="E31" s="7">
        <v>15113</v>
      </c>
      <c r="F31" s="8">
        <v>90.897138499999997</v>
      </c>
      <c r="G31" s="9">
        <v>2.4673550000000001E-3</v>
      </c>
      <c r="H31" s="167"/>
    </row>
    <row r="32" spans="1:8" x14ac:dyDescent="0.2">
      <c r="A32" s="3" t="s">
        <v>10</v>
      </c>
      <c r="B32" s="3" t="s">
        <v>10</v>
      </c>
      <c r="C32" s="4" t="s">
        <v>104</v>
      </c>
      <c r="D32" s="3" t="s">
        <v>10</v>
      </c>
      <c r="E32" s="3" t="s">
        <v>10</v>
      </c>
      <c r="F32" s="10">
        <v>36199.624192499999</v>
      </c>
      <c r="G32" s="11">
        <v>0.98261989699999996</v>
      </c>
      <c r="H32" s="167"/>
    </row>
    <row r="33" spans="1:8" x14ac:dyDescent="0.2">
      <c r="A33" s="3" t="s">
        <v>10</v>
      </c>
      <c r="B33" s="3" t="s">
        <v>10</v>
      </c>
      <c r="C33" s="12" t="s">
        <v>10</v>
      </c>
      <c r="D33" s="3" t="s">
        <v>10</v>
      </c>
      <c r="E33" s="3" t="s">
        <v>10</v>
      </c>
      <c r="F33" s="13" t="s">
        <v>10</v>
      </c>
      <c r="G33" s="13" t="s">
        <v>10</v>
      </c>
      <c r="H33" s="167"/>
    </row>
    <row r="34" spans="1:8" x14ac:dyDescent="0.2">
      <c r="A34" s="3" t="s">
        <v>10</v>
      </c>
      <c r="B34" s="3" t="s">
        <v>10</v>
      </c>
      <c r="C34" s="4" t="s">
        <v>105</v>
      </c>
      <c r="D34" s="3" t="s">
        <v>10</v>
      </c>
      <c r="E34" s="3" t="s">
        <v>10</v>
      </c>
      <c r="F34" s="3" t="s">
        <v>10</v>
      </c>
      <c r="G34" s="3" t="s">
        <v>10</v>
      </c>
      <c r="H34" s="167"/>
    </row>
    <row r="35" spans="1:8" x14ac:dyDescent="0.2">
      <c r="A35" s="3" t="s">
        <v>10</v>
      </c>
      <c r="B35" s="3" t="s">
        <v>10</v>
      </c>
      <c r="C35" s="4" t="s">
        <v>104</v>
      </c>
      <c r="D35" s="3" t="s">
        <v>10</v>
      </c>
      <c r="E35" s="3" t="s">
        <v>10</v>
      </c>
      <c r="F35" s="14">
        <v>0</v>
      </c>
      <c r="G35" s="15">
        <v>0</v>
      </c>
      <c r="H35" s="167"/>
    </row>
    <row r="36" spans="1:8" x14ac:dyDescent="0.2">
      <c r="A36" s="3" t="s">
        <v>10</v>
      </c>
      <c r="B36" s="3" t="s">
        <v>10</v>
      </c>
      <c r="C36" s="12" t="s">
        <v>10</v>
      </c>
      <c r="D36" s="3" t="s">
        <v>10</v>
      </c>
      <c r="E36" s="3" t="s">
        <v>10</v>
      </c>
      <c r="F36" s="13" t="s">
        <v>10</v>
      </c>
      <c r="G36" s="13" t="s">
        <v>10</v>
      </c>
      <c r="H36" s="167"/>
    </row>
    <row r="37" spans="1:8" x14ac:dyDescent="0.2">
      <c r="A37" s="3" t="s">
        <v>10</v>
      </c>
      <c r="B37" s="3" t="s">
        <v>10</v>
      </c>
      <c r="C37" s="4" t="s">
        <v>106</v>
      </c>
      <c r="D37" s="3" t="s">
        <v>10</v>
      </c>
      <c r="E37" s="3" t="s">
        <v>10</v>
      </c>
      <c r="F37" s="3" t="s">
        <v>10</v>
      </c>
      <c r="G37" s="3" t="s">
        <v>10</v>
      </c>
      <c r="H37" s="167"/>
    </row>
    <row r="38" spans="1:8" x14ac:dyDescent="0.2">
      <c r="A38" s="3" t="s">
        <v>10</v>
      </c>
      <c r="B38" s="3" t="s">
        <v>10</v>
      </c>
      <c r="C38" s="4" t="s">
        <v>104</v>
      </c>
      <c r="D38" s="3" t="s">
        <v>10</v>
      </c>
      <c r="E38" s="3" t="s">
        <v>10</v>
      </c>
      <c r="F38" s="14">
        <v>0</v>
      </c>
      <c r="G38" s="15">
        <v>0</v>
      </c>
      <c r="H38" s="167"/>
    </row>
    <row r="39" spans="1:8" x14ac:dyDescent="0.2">
      <c r="A39" s="3" t="s">
        <v>10</v>
      </c>
      <c r="B39" s="3" t="s">
        <v>10</v>
      </c>
      <c r="C39" s="12" t="s">
        <v>10</v>
      </c>
      <c r="D39" s="3" t="s">
        <v>10</v>
      </c>
      <c r="E39" s="3" t="s">
        <v>10</v>
      </c>
      <c r="F39" s="13" t="s">
        <v>10</v>
      </c>
      <c r="G39" s="13" t="s">
        <v>10</v>
      </c>
      <c r="H39" s="167"/>
    </row>
    <row r="40" spans="1:8" x14ac:dyDescent="0.2">
      <c r="A40" s="3" t="s">
        <v>10</v>
      </c>
      <c r="B40" s="3" t="s">
        <v>10</v>
      </c>
      <c r="C40" s="4" t="s">
        <v>110</v>
      </c>
      <c r="D40" s="3" t="s">
        <v>10</v>
      </c>
      <c r="E40" s="3" t="s">
        <v>10</v>
      </c>
      <c r="F40" s="3" t="s">
        <v>10</v>
      </c>
      <c r="G40" s="3" t="s">
        <v>10</v>
      </c>
      <c r="H40" s="167"/>
    </row>
    <row r="41" spans="1:8" x14ac:dyDescent="0.2">
      <c r="A41" s="3" t="s">
        <v>10</v>
      </c>
      <c r="B41" s="3" t="s">
        <v>10</v>
      </c>
      <c r="C41" s="4" t="s">
        <v>104</v>
      </c>
      <c r="D41" s="3" t="s">
        <v>10</v>
      </c>
      <c r="E41" s="3" t="s">
        <v>10</v>
      </c>
      <c r="F41" s="14">
        <v>0</v>
      </c>
      <c r="G41" s="15">
        <v>0</v>
      </c>
      <c r="H41" s="167"/>
    </row>
    <row r="42" spans="1:8" x14ac:dyDescent="0.2">
      <c r="A42" s="3" t="s">
        <v>10</v>
      </c>
      <c r="B42" s="3" t="s">
        <v>10</v>
      </c>
      <c r="C42" s="12" t="s">
        <v>10</v>
      </c>
      <c r="D42" s="3" t="s">
        <v>10</v>
      </c>
      <c r="E42" s="3" t="s">
        <v>10</v>
      </c>
      <c r="F42" s="13" t="s">
        <v>10</v>
      </c>
      <c r="G42" s="13" t="s">
        <v>10</v>
      </c>
      <c r="H42" s="167"/>
    </row>
    <row r="43" spans="1:8" x14ac:dyDescent="0.2">
      <c r="A43" s="3" t="s">
        <v>10</v>
      </c>
      <c r="B43" s="3" t="s">
        <v>10</v>
      </c>
      <c r="C43" s="4" t="s">
        <v>111</v>
      </c>
      <c r="D43" s="3" t="s">
        <v>10</v>
      </c>
      <c r="E43" s="3" t="s">
        <v>10</v>
      </c>
      <c r="F43" s="13" t="s">
        <v>10</v>
      </c>
      <c r="G43" s="13" t="s">
        <v>10</v>
      </c>
      <c r="H43" s="167"/>
    </row>
    <row r="44" spans="1:8" x14ac:dyDescent="0.2">
      <c r="A44" s="3" t="s">
        <v>10</v>
      </c>
      <c r="B44" s="3" t="s">
        <v>10</v>
      </c>
      <c r="C44" s="4" t="s">
        <v>104</v>
      </c>
      <c r="D44" s="3" t="s">
        <v>10</v>
      </c>
      <c r="E44" s="3" t="s">
        <v>10</v>
      </c>
      <c r="F44" s="14">
        <v>0</v>
      </c>
      <c r="G44" s="15">
        <v>0</v>
      </c>
      <c r="H44" s="167"/>
    </row>
    <row r="45" spans="1:8" x14ac:dyDescent="0.2">
      <c r="A45" s="3" t="s">
        <v>10</v>
      </c>
      <c r="B45" s="3" t="s">
        <v>10</v>
      </c>
      <c r="C45" s="12" t="s">
        <v>10</v>
      </c>
      <c r="D45" s="3" t="s">
        <v>10</v>
      </c>
      <c r="E45" s="3" t="s">
        <v>10</v>
      </c>
      <c r="F45" s="13" t="s">
        <v>10</v>
      </c>
      <c r="G45" s="13" t="s">
        <v>10</v>
      </c>
      <c r="H45" s="167"/>
    </row>
    <row r="46" spans="1:8" x14ac:dyDescent="0.2">
      <c r="A46" s="3" t="s">
        <v>10</v>
      </c>
      <c r="B46" s="3" t="s">
        <v>10</v>
      </c>
      <c r="C46" s="4" t="s">
        <v>112</v>
      </c>
      <c r="D46" s="3" t="s">
        <v>10</v>
      </c>
      <c r="E46" s="3" t="s">
        <v>10</v>
      </c>
      <c r="F46" s="13" t="s">
        <v>10</v>
      </c>
      <c r="G46" s="13" t="s">
        <v>10</v>
      </c>
      <c r="H46" s="167"/>
    </row>
    <row r="47" spans="1:8" x14ac:dyDescent="0.2">
      <c r="A47" s="3" t="s">
        <v>10</v>
      </c>
      <c r="B47" s="3" t="s">
        <v>10</v>
      </c>
      <c r="C47" s="4" t="s">
        <v>104</v>
      </c>
      <c r="D47" s="3" t="s">
        <v>10</v>
      </c>
      <c r="E47" s="3" t="s">
        <v>10</v>
      </c>
      <c r="F47" s="14">
        <v>0</v>
      </c>
      <c r="G47" s="15">
        <v>0</v>
      </c>
      <c r="H47" s="167"/>
    </row>
    <row r="48" spans="1:8" x14ac:dyDescent="0.2">
      <c r="A48" s="3" t="s">
        <v>10</v>
      </c>
      <c r="B48" s="3" t="s">
        <v>10</v>
      </c>
      <c r="C48" s="12" t="s">
        <v>10</v>
      </c>
      <c r="D48" s="3" t="s">
        <v>10</v>
      </c>
      <c r="E48" s="3" t="s">
        <v>10</v>
      </c>
      <c r="F48" s="13" t="s">
        <v>10</v>
      </c>
      <c r="G48" s="13" t="s">
        <v>10</v>
      </c>
      <c r="H48" s="167"/>
    </row>
    <row r="49" spans="1:8" x14ac:dyDescent="0.2">
      <c r="A49" s="3" t="s">
        <v>10</v>
      </c>
      <c r="B49" s="3" t="s">
        <v>10</v>
      </c>
      <c r="C49" s="4" t="s">
        <v>113</v>
      </c>
      <c r="D49" s="3" t="s">
        <v>10</v>
      </c>
      <c r="E49" s="3" t="s">
        <v>10</v>
      </c>
      <c r="F49" s="10">
        <v>36199.624192499999</v>
      </c>
      <c r="G49" s="11">
        <v>0.98261989699999996</v>
      </c>
      <c r="H49" s="167"/>
    </row>
    <row r="50" spans="1:8" x14ac:dyDescent="0.2">
      <c r="A50" s="3" t="s">
        <v>10</v>
      </c>
      <c r="B50" s="3" t="s">
        <v>10</v>
      </c>
      <c r="C50" s="12" t="s">
        <v>10</v>
      </c>
      <c r="D50" s="3" t="s">
        <v>10</v>
      </c>
      <c r="E50" s="3" t="s">
        <v>10</v>
      </c>
      <c r="F50" s="13" t="s">
        <v>10</v>
      </c>
      <c r="G50" s="13" t="s">
        <v>10</v>
      </c>
      <c r="H50" s="167"/>
    </row>
    <row r="51" spans="1:8" x14ac:dyDescent="0.2">
      <c r="A51" s="3" t="s">
        <v>10</v>
      </c>
      <c r="B51" s="3" t="s">
        <v>10</v>
      </c>
      <c r="C51" s="4" t="s">
        <v>114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ht="25.5" x14ac:dyDescent="0.2">
      <c r="A52" s="3" t="s">
        <v>10</v>
      </c>
      <c r="B52" s="3" t="s">
        <v>10</v>
      </c>
      <c r="C52" s="4" t="s">
        <v>12</v>
      </c>
      <c r="D52" s="3" t="s">
        <v>10</v>
      </c>
      <c r="E52" s="3" t="s">
        <v>10</v>
      </c>
      <c r="F52" s="13" t="s">
        <v>10</v>
      </c>
      <c r="G52" s="1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104</v>
      </c>
      <c r="D53" s="3" t="s">
        <v>10</v>
      </c>
      <c r="E53" s="3" t="s">
        <v>10</v>
      </c>
      <c r="F53" s="14">
        <v>0</v>
      </c>
      <c r="G53" s="15">
        <v>0</v>
      </c>
      <c r="H53" s="167"/>
    </row>
    <row r="54" spans="1:8" x14ac:dyDescent="0.2">
      <c r="A54" s="3" t="s">
        <v>10</v>
      </c>
      <c r="B54" s="3" t="s">
        <v>10</v>
      </c>
      <c r="C54" s="12" t="s">
        <v>10</v>
      </c>
      <c r="D54" s="3" t="s">
        <v>10</v>
      </c>
      <c r="E54" s="3" t="s">
        <v>10</v>
      </c>
      <c r="F54" s="13" t="s">
        <v>10</v>
      </c>
      <c r="G54" s="1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115</v>
      </c>
      <c r="D55" s="3" t="s">
        <v>10</v>
      </c>
      <c r="E55" s="3" t="s">
        <v>10</v>
      </c>
      <c r="F55" s="3" t="s">
        <v>10</v>
      </c>
      <c r="G55" s="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4">
        <v>0</v>
      </c>
      <c r="G56" s="15">
        <v>0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116</v>
      </c>
      <c r="D58" s="3" t="s">
        <v>10</v>
      </c>
      <c r="E58" s="3" t="s">
        <v>10</v>
      </c>
      <c r="F58" s="3" t="s">
        <v>10</v>
      </c>
      <c r="G58" s="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104</v>
      </c>
      <c r="D59" s="3" t="s">
        <v>10</v>
      </c>
      <c r="E59" s="3" t="s">
        <v>10</v>
      </c>
      <c r="F59" s="14">
        <v>0</v>
      </c>
      <c r="G59" s="15">
        <v>0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117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x14ac:dyDescent="0.2">
      <c r="A62" s="3" t="s">
        <v>10</v>
      </c>
      <c r="B62" s="3" t="s">
        <v>10</v>
      </c>
      <c r="C62" s="4" t="s">
        <v>104</v>
      </c>
      <c r="D62" s="3" t="s">
        <v>10</v>
      </c>
      <c r="E62" s="3" t="s">
        <v>10</v>
      </c>
      <c r="F62" s="14">
        <v>0</v>
      </c>
      <c r="G62" s="15">
        <v>0</v>
      </c>
      <c r="H62" s="167"/>
    </row>
    <row r="63" spans="1:8" x14ac:dyDescent="0.2">
      <c r="A63" s="3" t="s">
        <v>10</v>
      </c>
      <c r="B63" s="3" t="s">
        <v>10</v>
      </c>
      <c r="C63" s="12" t="s">
        <v>10</v>
      </c>
      <c r="D63" s="3" t="s">
        <v>10</v>
      </c>
      <c r="E63" s="3" t="s">
        <v>10</v>
      </c>
      <c r="F63" s="13" t="s">
        <v>10</v>
      </c>
      <c r="G63" s="13" t="s">
        <v>10</v>
      </c>
      <c r="H63" s="167"/>
    </row>
    <row r="64" spans="1:8" x14ac:dyDescent="0.2">
      <c r="A64" s="3" t="s">
        <v>10</v>
      </c>
      <c r="B64" s="3" t="s">
        <v>10</v>
      </c>
      <c r="C64" s="4" t="s">
        <v>118</v>
      </c>
      <c r="D64" s="3" t="s">
        <v>10</v>
      </c>
      <c r="E64" s="3" t="s">
        <v>10</v>
      </c>
      <c r="F64" s="10">
        <v>0</v>
      </c>
      <c r="G64" s="11">
        <v>0</v>
      </c>
      <c r="H64" s="167"/>
    </row>
    <row r="65" spans="1:8" x14ac:dyDescent="0.2">
      <c r="A65" s="3" t="s">
        <v>10</v>
      </c>
      <c r="B65" s="3" t="s">
        <v>10</v>
      </c>
      <c r="C65" s="12" t="s">
        <v>10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119</v>
      </c>
      <c r="D66" s="3" t="s">
        <v>10</v>
      </c>
      <c r="E66" s="3" t="s">
        <v>10</v>
      </c>
      <c r="F66" s="13" t="s">
        <v>10</v>
      </c>
      <c r="G66" s="13" t="s">
        <v>10</v>
      </c>
      <c r="H66" s="167"/>
    </row>
    <row r="67" spans="1:8" x14ac:dyDescent="0.2">
      <c r="A67" s="3" t="s">
        <v>10</v>
      </c>
      <c r="B67" s="3" t="s">
        <v>10</v>
      </c>
      <c r="C67" s="4" t="s">
        <v>120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104</v>
      </c>
      <c r="D68" s="3" t="s">
        <v>10</v>
      </c>
      <c r="E68" s="3" t="s">
        <v>10</v>
      </c>
      <c r="F68" s="14">
        <v>0</v>
      </c>
      <c r="G68" s="15">
        <v>0</v>
      </c>
      <c r="H68" s="167"/>
    </row>
    <row r="69" spans="1:8" x14ac:dyDescent="0.2">
      <c r="A69" s="3" t="s">
        <v>10</v>
      </c>
      <c r="B69" s="3" t="s">
        <v>10</v>
      </c>
      <c r="C69" s="12" t="s">
        <v>10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121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104</v>
      </c>
      <c r="D71" s="3" t="s">
        <v>10</v>
      </c>
      <c r="E71" s="3" t="s">
        <v>10</v>
      </c>
      <c r="F71" s="14">
        <v>0</v>
      </c>
      <c r="G71" s="15">
        <v>0</v>
      </c>
      <c r="H71" s="167"/>
    </row>
    <row r="72" spans="1:8" x14ac:dyDescent="0.2">
      <c r="A72" s="3" t="s">
        <v>10</v>
      </c>
      <c r="B72" s="3" t="s">
        <v>10</v>
      </c>
      <c r="C72" s="12" t="s">
        <v>10</v>
      </c>
      <c r="D72" s="3" t="s">
        <v>10</v>
      </c>
      <c r="E72" s="3" t="s">
        <v>10</v>
      </c>
      <c r="F72" s="13" t="s">
        <v>10</v>
      </c>
      <c r="G72" s="13" t="s">
        <v>10</v>
      </c>
      <c r="H72" s="167"/>
    </row>
    <row r="73" spans="1:8" x14ac:dyDescent="0.2">
      <c r="A73" s="3" t="s">
        <v>10</v>
      </c>
      <c r="B73" s="3" t="s">
        <v>10</v>
      </c>
      <c r="C73" s="4" t="s">
        <v>122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104</v>
      </c>
      <c r="D74" s="3" t="s">
        <v>10</v>
      </c>
      <c r="E74" s="3" t="s">
        <v>10</v>
      </c>
      <c r="F74" s="14">
        <v>0</v>
      </c>
      <c r="G74" s="15">
        <v>0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123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5">
        <v>1</v>
      </c>
      <c r="B77" s="6"/>
      <c r="C77" s="6" t="s">
        <v>124</v>
      </c>
      <c r="D77" s="6"/>
      <c r="E77" s="16" t="s">
        <v>10</v>
      </c>
      <c r="F77" s="8">
        <v>549.44943450000005</v>
      </c>
      <c r="G77" s="9">
        <v>1.4914518E-2</v>
      </c>
      <c r="H77" s="108">
        <v>3.23</v>
      </c>
    </row>
    <row r="78" spans="1:8" x14ac:dyDescent="0.2">
      <c r="A78" s="5">
        <v>2</v>
      </c>
      <c r="B78" s="6"/>
      <c r="C78" s="6" t="s">
        <v>125</v>
      </c>
      <c r="D78" s="6"/>
      <c r="E78" s="16" t="s">
        <v>10</v>
      </c>
      <c r="F78" s="8">
        <v>154.33477809999999</v>
      </c>
      <c r="G78" s="9">
        <v>4.1893369999999996E-3</v>
      </c>
      <c r="H78" s="108">
        <v>3.35</v>
      </c>
    </row>
    <row r="79" spans="1:8" x14ac:dyDescent="0.2">
      <c r="A79" s="3" t="s">
        <v>10</v>
      </c>
      <c r="B79" s="3" t="s">
        <v>10</v>
      </c>
      <c r="C79" s="4" t="s">
        <v>104</v>
      </c>
      <c r="D79" s="3" t="s">
        <v>10</v>
      </c>
      <c r="E79" s="3" t="s">
        <v>10</v>
      </c>
      <c r="F79" s="10">
        <v>703.78421260000005</v>
      </c>
      <c r="G79" s="11">
        <v>1.9103854999999999E-2</v>
      </c>
      <c r="H79" s="167"/>
    </row>
    <row r="80" spans="1:8" x14ac:dyDescent="0.2">
      <c r="A80" s="3" t="s">
        <v>10</v>
      </c>
      <c r="B80" s="3" t="s">
        <v>10</v>
      </c>
      <c r="C80" s="12" t="s">
        <v>10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126</v>
      </c>
      <c r="D81" s="3" t="s">
        <v>10</v>
      </c>
      <c r="E81" s="3" t="s">
        <v>10</v>
      </c>
      <c r="F81" s="10">
        <v>703.78421260000005</v>
      </c>
      <c r="G81" s="11">
        <v>1.9103854999999999E-2</v>
      </c>
      <c r="H81" s="167"/>
    </row>
    <row r="82" spans="1:8" x14ac:dyDescent="0.2">
      <c r="A82" s="3" t="s">
        <v>10</v>
      </c>
      <c r="B82" s="3" t="s">
        <v>10</v>
      </c>
      <c r="C82" s="13" t="s">
        <v>10</v>
      </c>
      <c r="D82" s="3" t="s">
        <v>10</v>
      </c>
      <c r="E82" s="3" t="s">
        <v>10</v>
      </c>
      <c r="F82" s="3" t="s">
        <v>10</v>
      </c>
      <c r="G82" s="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127</v>
      </c>
      <c r="D83" s="3" t="s">
        <v>10</v>
      </c>
      <c r="E83" s="3" t="s">
        <v>10</v>
      </c>
      <c r="F83" s="3" t="s">
        <v>10</v>
      </c>
      <c r="G83" s="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128</v>
      </c>
      <c r="D84" s="3" t="s">
        <v>10</v>
      </c>
      <c r="E84" s="3" t="s">
        <v>10</v>
      </c>
      <c r="F84" s="3" t="s">
        <v>10</v>
      </c>
      <c r="G84" s="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104</v>
      </c>
      <c r="D85" s="3" t="s">
        <v>10</v>
      </c>
      <c r="E85" s="3" t="s">
        <v>10</v>
      </c>
      <c r="F85" s="14">
        <v>0</v>
      </c>
      <c r="G85" s="15">
        <v>0</v>
      </c>
      <c r="H85" s="167"/>
    </row>
    <row r="86" spans="1:8" x14ac:dyDescent="0.2">
      <c r="A86" s="3" t="s">
        <v>10</v>
      </c>
      <c r="B86" s="3" t="s">
        <v>10</v>
      </c>
      <c r="C86" s="12" t="s">
        <v>10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129</v>
      </c>
      <c r="D87" s="3" t="s">
        <v>10</v>
      </c>
      <c r="E87" s="3" t="s">
        <v>10</v>
      </c>
      <c r="F87" s="3" t="s">
        <v>10</v>
      </c>
      <c r="G87" s="3" t="s">
        <v>10</v>
      </c>
      <c r="H87" s="167"/>
    </row>
    <row r="88" spans="1:8" x14ac:dyDescent="0.2">
      <c r="A88" s="3" t="s">
        <v>10</v>
      </c>
      <c r="B88" s="3" t="s">
        <v>10</v>
      </c>
      <c r="C88" s="4" t="s">
        <v>130</v>
      </c>
      <c r="D88" s="3" t="s">
        <v>10</v>
      </c>
      <c r="E88" s="3" t="s">
        <v>10</v>
      </c>
      <c r="F88" s="3" t="s">
        <v>10</v>
      </c>
      <c r="G88" s="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4">
        <v>0</v>
      </c>
      <c r="G89" s="15">
        <v>0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ht="25.5" x14ac:dyDescent="0.2">
      <c r="A92" s="3" t="s">
        <v>10</v>
      </c>
      <c r="B92" s="3" t="s">
        <v>10</v>
      </c>
      <c r="C92" s="4" t="s">
        <v>131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6" t="s">
        <v>10</v>
      </c>
      <c r="C95" s="6" t="s">
        <v>10</v>
      </c>
      <c r="D95" s="4" t="s">
        <v>10</v>
      </c>
      <c r="E95" s="3" t="s">
        <v>10</v>
      </c>
      <c r="F95" s="6" t="s">
        <v>10</v>
      </c>
      <c r="G95" s="16" t="s">
        <v>10</v>
      </c>
      <c r="H95" s="167"/>
    </row>
    <row r="96" spans="1:8" x14ac:dyDescent="0.2">
      <c r="A96" s="16" t="s">
        <v>10</v>
      </c>
      <c r="B96" s="6" t="s">
        <v>10</v>
      </c>
      <c r="C96" s="6" t="s">
        <v>132</v>
      </c>
      <c r="D96" s="6" t="s">
        <v>10</v>
      </c>
      <c r="E96" s="16" t="s">
        <v>10</v>
      </c>
      <c r="F96" s="8">
        <v>-63.5029051</v>
      </c>
      <c r="G96" s="9">
        <v>-1.723753E-3</v>
      </c>
      <c r="H96" s="167"/>
    </row>
    <row r="97" spans="1:8" x14ac:dyDescent="0.2">
      <c r="A97" s="12" t="s">
        <v>10</v>
      </c>
      <c r="B97" s="12" t="s">
        <v>10</v>
      </c>
      <c r="C97" s="4" t="s">
        <v>133</v>
      </c>
      <c r="D97" s="17" t="s">
        <v>10</v>
      </c>
      <c r="E97" s="17" t="s">
        <v>10</v>
      </c>
      <c r="F97" s="10">
        <v>36839.905500000001</v>
      </c>
      <c r="G97" s="11">
        <v>0.99999999899999992</v>
      </c>
      <c r="H97" s="167"/>
    </row>
    <row r="98" spans="1:8" ht="14.1" customHeight="1" x14ac:dyDescent="0.2">
      <c r="A98" s="18" t="s">
        <v>10</v>
      </c>
      <c r="B98" s="18" t="s">
        <v>10</v>
      </c>
      <c r="C98" s="18" t="s">
        <v>10</v>
      </c>
      <c r="D98" s="19" t="s">
        <v>10</v>
      </c>
      <c r="E98" s="19" t="s">
        <v>10</v>
      </c>
      <c r="F98" s="19" t="s">
        <v>10</v>
      </c>
      <c r="G98" s="19" t="s">
        <v>10</v>
      </c>
    </row>
    <row r="99" spans="1:8" ht="14.1" customHeight="1" x14ac:dyDescent="0.2">
      <c r="A99" s="20" t="s">
        <v>10</v>
      </c>
      <c r="B99" s="208" t="s">
        <v>10</v>
      </c>
      <c r="C99" s="208"/>
      <c r="D99" s="208"/>
      <c r="E99" s="208"/>
      <c r="F99" s="208"/>
      <c r="G99" s="22" t="s">
        <v>10</v>
      </c>
    </row>
    <row r="100" spans="1:8" ht="14.1" customHeight="1" x14ac:dyDescent="0.2">
      <c r="A100" s="20" t="s">
        <v>10</v>
      </c>
      <c r="B100" s="208" t="s">
        <v>10</v>
      </c>
      <c r="C100" s="208"/>
      <c r="D100" s="208"/>
      <c r="E100" s="208"/>
      <c r="F100" s="208"/>
      <c r="G100" s="22" t="s">
        <v>10</v>
      </c>
    </row>
    <row r="101" spans="1:8" ht="14.1" customHeight="1" x14ac:dyDescent="0.2">
      <c r="A101" s="20" t="s">
        <v>10</v>
      </c>
      <c r="B101" s="20" t="s">
        <v>10</v>
      </c>
      <c r="C101" s="20" t="s">
        <v>10</v>
      </c>
      <c r="D101" s="22" t="s">
        <v>10</v>
      </c>
      <c r="E101" s="22" t="s">
        <v>10</v>
      </c>
      <c r="F101" s="22" t="s">
        <v>10</v>
      </c>
      <c r="G101" s="22" t="s">
        <v>10</v>
      </c>
    </row>
    <row r="102" spans="1:8" ht="14.1" customHeight="1" x14ac:dyDescent="0.2">
      <c r="A102" s="20" t="s">
        <v>10</v>
      </c>
      <c r="B102" s="206" t="s">
        <v>134</v>
      </c>
      <c r="C102" s="207"/>
      <c r="D102" s="13" t="s">
        <v>10</v>
      </c>
      <c r="E102" s="23" t="s">
        <v>10</v>
      </c>
      <c r="F102" s="22" t="s">
        <v>10</v>
      </c>
      <c r="G102" s="22" t="s">
        <v>10</v>
      </c>
    </row>
    <row r="103" spans="1:8" ht="29.1" customHeight="1" x14ac:dyDescent="0.2">
      <c r="A103" s="20" t="s">
        <v>10</v>
      </c>
      <c r="B103" s="213" t="s">
        <v>135</v>
      </c>
      <c r="C103" s="214"/>
      <c r="D103" s="4" t="s">
        <v>136</v>
      </c>
      <c r="E103" s="23" t="s">
        <v>10</v>
      </c>
      <c r="F103" s="22" t="s">
        <v>10</v>
      </c>
      <c r="G103" s="22" t="s">
        <v>10</v>
      </c>
    </row>
    <row r="104" spans="1:8" ht="17.100000000000001" customHeight="1" x14ac:dyDescent="0.2">
      <c r="A104" s="20" t="s">
        <v>10</v>
      </c>
      <c r="B104" s="213" t="s">
        <v>137</v>
      </c>
      <c r="C104" s="214"/>
      <c r="D104" s="4" t="s">
        <v>136</v>
      </c>
      <c r="E104" s="23" t="s">
        <v>10</v>
      </c>
      <c r="F104" s="22" t="s">
        <v>10</v>
      </c>
      <c r="G104" s="22" t="s">
        <v>10</v>
      </c>
    </row>
    <row r="105" spans="1:8" ht="17.100000000000001" customHeight="1" x14ac:dyDescent="0.2">
      <c r="A105" s="20" t="s">
        <v>10</v>
      </c>
      <c r="B105" s="213" t="s">
        <v>138</v>
      </c>
      <c r="C105" s="214"/>
      <c r="D105" s="13" t="s">
        <v>10</v>
      </c>
      <c r="E105" s="23" t="s">
        <v>10</v>
      </c>
      <c r="F105" s="22" t="s">
        <v>10</v>
      </c>
      <c r="G105" s="22" t="s">
        <v>10</v>
      </c>
    </row>
    <row r="106" spans="1:8" s="20" customFormat="1" ht="17.100000000000001" customHeight="1" x14ac:dyDescent="0.2"/>
    <row r="107" spans="1:8" x14ac:dyDescent="0.2">
      <c r="A107" s="24" t="s">
        <v>10</v>
      </c>
      <c r="B107" s="140" t="s">
        <v>10</v>
      </c>
      <c r="C107" s="140" t="s">
        <v>139</v>
      </c>
      <c r="D107" s="140" t="s">
        <v>140</v>
      </c>
      <c r="E107" s="24" t="s">
        <v>10</v>
      </c>
      <c r="F107" s="24" t="s">
        <v>10</v>
      </c>
      <c r="G107" s="24" t="s">
        <v>10</v>
      </c>
    </row>
    <row r="108" spans="1:8" ht="18" customHeight="1" x14ac:dyDescent="0.2">
      <c r="A108" s="24" t="s">
        <v>10</v>
      </c>
      <c r="B108" s="25" t="s">
        <v>141</v>
      </c>
      <c r="C108" s="25" t="s">
        <v>142</v>
      </c>
      <c r="D108" s="25" t="s">
        <v>143</v>
      </c>
      <c r="E108" s="24" t="s">
        <v>10</v>
      </c>
      <c r="F108" s="24" t="s">
        <v>10</v>
      </c>
      <c r="G108" s="24" t="s">
        <v>10</v>
      </c>
    </row>
    <row r="109" spans="1:8" ht="17.100000000000001" customHeight="1" x14ac:dyDescent="0.2">
      <c r="A109" s="24" t="s">
        <v>10</v>
      </c>
      <c r="B109" s="6" t="s">
        <v>144</v>
      </c>
      <c r="C109" s="26">
        <v>55.580300000000001</v>
      </c>
      <c r="D109" s="26">
        <v>59.863100000000003</v>
      </c>
      <c r="E109" s="24" t="s">
        <v>10</v>
      </c>
      <c r="F109" s="21" t="s">
        <v>10</v>
      </c>
      <c r="G109" s="27" t="s">
        <v>10</v>
      </c>
    </row>
    <row r="110" spans="1:8" ht="17.100000000000001" customHeight="1" x14ac:dyDescent="0.2">
      <c r="A110" s="24" t="s">
        <v>10</v>
      </c>
      <c r="B110" s="6" t="s">
        <v>917</v>
      </c>
      <c r="C110" s="26">
        <v>23.454499999999999</v>
      </c>
      <c r="D110" s="26">
        <v>25.261800000000001</v>
      </c>
      <c r="E110" s="24" t="s">
        <v>10</v>
      </c>
      <c r="F110" s="21" t="s">
        <v>10</v>
      </c>
      <c r="G110" s="27" t="s">
        <v>10</v>
      </c>
    </row>
    <row r="111" spans="1:8" ht="29.1" customHeight="1" x14ac:dyDescent="0.2">
      <c r="A111" s="24" t="s">
        <v>10</v>
      </c>
      <c r="B111" s="6" t="s">
        <v>397</v>
      </c>
      <c r="C111" s="26">
        <v>57.146799999999999</v>
      </c>
      <c r="D111" s="26">
        <v>61.550400000000003</v>
      </c>
      <c r="E111" s="24" t="s">
        <v>10</v>
      </c>
      <c r="F111" s="21" t="s">
        <v>10</v>
      </c>
      <c r="G111" s="27" t="s">
        <v>10</v>
      </c>
    </row>
    <row r="112" spans="1:8" ht="29.1" customHeight="1" x14ac:dyDescent="0.2">
      <c r="A112" s="24" t="s">
        <v>10</v>
      </c>
      <c r="B112" s="6" t="s">
        <v>998</v>
      </c>
      <c r="C112" s="26">
        <v>23.870100000000001</v>
      </c>
      <c r="D112" s="26">
        <v>25.709399999999999</v>
      </c>
      <c r="E112" s="24" t="s">
        <v>10</v>
      </c>
      <c r="F112" s="21" t="s">
        <v>10</v>
      </c>
      <c r="G112" s="27" t="s">
        <v>10</v>
      </c>
    </row>
    <row r="113" spans="1:7" ht="17.100000000000001" customHeight="1" x14ac:dyDescent="0.2">
      <c r="A113" s="24" t="s">
        <v>10</v>
      </c>
      <c r="B113" s="6" t="s">
        <v>145</v>
      </c>
      <c r="C113" s="26">
        <v>52.310899999999997</v>
      </c>
      <c r="D113" s="26">
        <v>56.271000000000001</v>
      </c>
      <c r="E113" s="24" t="s">
        <v>10</v>
      </c>
      <c r="F113" s="21" t="s">
        <v>10</v>
      </c>
      <c r="G113" s="27" t="s">
        <v>10</v>
      </c>
    </row>
    <row r="114" spans="1:7" ht="17.100000000000001" customHeight="1" x14ac:dyDescent="0.2">
      <c r="A114" s="24" t="s">
        <v>10</v>
      </c>
      <c r="B114" s="6" t="s">
        <v>918</v>
      </c>
      <c r="C114" s="26">
        <v>21.7164</v>
      </c>
      <c r="D114" s="26">
        <v>23.360399999999998</v>
      </c>
      <c r="E114" s="24" t="s">
        <v>10</v>
      </c>
      <c r="F114" s="21" t="s">
        <v>10</v>
      </c>
      <c r="G114" s="27" t="s">
        <v>10</v>
      </c>
    </row>
    <row r="115" spans="1:7" ht="14.1" customHeight="1" x14ac:dyDescent="0.2">
      <c r="A115" s="24" t="s">
        <v>10</v>
      </c>
      <c r="B115" s="24" t="s">
        <v>10</v>
      </c>
      <c r="C115" s="24" t="s">
        <v>10</v>
      </c>
      <c r="D115" s="24" t="s">
        <v>10</v>
      </c>
      <c r="E115" s="24" t="s">
        <v>10</v>
      </c>
      <c r="F115" s="24" t="s">
        <v>10</v>
      </c>
      <c r="G115" s="24" t="s">
        <v>10</v>
      </c>
    </row>
    <row r="116" spans="1:7" ht="17.100000000000001" customHeight="1" x14ac:dyDescent="0.2">
      <c r="A116" s="24" t="s">
        <v>10</v>
      </c>
      <c r="B116" s="213" t="s">
        <v>999</v>
      </c>
      <c r="C116" s="214"/>
      <c r="D116" s="4" t="s">
        <v>136</v>
      </c>
      <c r="E116" s="24" t="s">
        <v>10</v>
      </c>
      <c r="F116" s="24" t="s">
        <v>10</v>
      </c>
      <c r="G116" s="24" t="s">
        <v>10</v>
      </c>
    </row>
    <row r="117" spans="1:7" ht="18" customHeight="1" x14ac:dyDescent="0.2">
      <c r="A117" s="24" t="s">
        <v>10</v>
      </c>
      <c r="B117" s="28"/>
      <c r="C117" s="28"/>
      <c r="D117" s="29" t="s">
        <v>10</v>
      </c>
      <c r="E117" s="24" t="s">
        <v>10</v>
      </c>
      <c r="F117" s="24" t="s">
        <v>10</v>
      </c>
      <c r="G117" s="24" t="s">
        <v>10</v>
      </c>
    </row>
    <row r="118" spans="1:7" s="175" customFormat="1" x14ac:dyDescent="0.2">
      <c r="B118" s="221" t="s">
        <v>919</v>
      </c>
      <c r="C118" s="221"/>
      <c r="D118" s="221"/>
      <c r="E118" s="221"/>
      <c r="F118" s="221"/>
    </row>
    <row r="119" spans="1:7" ht="14.1" customHeight="1" x14ac:dyDescent="0.2">
      <c r="A119" s="24" t="s">
        <v>10</v>
      </c>
      <c r="B119" s="21" t="s">
        <v>10</v>
      </c>
      <c r="C119" s="21" t="s">
        <v>10</v>
      </c>
      <c r="D119" s="24" t="s">
        <v>10</v>
      </c>
      <c r="E119" s="24" t="s">
        <v>10</v>
      </c>
      <c r="F119" s="24" t="s">
        <v>10</v>
      </c>
      <c r="G119" s="24" t="s">
        <v>10</v>
      </c>
    </row>
    <row r="120" spans="1:7" ht="29.1" customHeight="1" x14ac:dyDescent="0.2">
      <c r="A120" s="24" t="s">
        <v>10</v>
      </c>
      <c r="B120" s="213" t="s">
        <v>146</v>
      </c>
      <c r="C120" s="214"/>
      <c r="D120" s="4" t="s">
        <v>136</v>
      </c>
      <c r="E120" s="24" t="s">
        <v>10</v>
      </c>
      <c r="F120" s="24" t="s">
        <v>10</v>
      </c>
      <c r="G120" s="24" t="s">
        <v>10</v>
      </c>
    </row>
    <row r="121" spans="1:7" ht="29.1" customHeight="1" x14ac:dyDescent="0.2">
      <c r="A121" s="24" t="s">
        <v>10</v>
      </c>
      <c r="B121" s="213" t="s">
        <v>147</v>
      </c>
      <c r="C121" s="214"/>
      <c r="D121" s="4" t="s">
        <v>136</v>
      </c>
      <c r="E121" s="24" t="s">
        <v>10</v>
      </c>
      <c r="F121" s="24" t="s">
        <v>10</v>
      </c>
      <c r="G121" s="24" t="s">
        <v>10</v>
      </c>
    </row>
    <row r="122" spans="1:7" ht="17.100000000000001" customHeight="1" x14ac:dyDescent="0.2">
      <c r="A122" s="24" t="s">
        <v>10</v>
      </c>
      <c r="B122" s="213" t="s">
        <v>148</v>
      </c>
      <c r="C122" s="214"/>
      <c r="D122" s="30">
        <v>0.22517530288966861</v>
      </c>
      <c r="E122" s="24" t="s">
        <v>10</v>
      </c>
      <c r="F122" s="21" t="s">
        <v>10</v>
      </c>
      <c r="G122" s="27" t="s">
        <v>10</v>
      </c>
    </row>
    <row r="123" spans="1:7" ht="17.100000000000001" customHeight="1" x14ac:dyDescent="0.2">
      <c r="A123" s="24" t="s">
        <v>10</v>
      </c>
      <c r="B123" s="213" t="s">
        <v>149</v>
      </c>
      <c r="C123" s="214"/>
      <c r="D123" s="4" t="s">
        <v>136</v>
      </c>
      <c r="E123" s="24" t="s">
        <v>10</v>
      </c>
      <c r="F123" s="24" t="s">
        <v>10</v>
      </c>
      <c r="G123" s="24" t="s">
        <v>10</v>
      </c>
    </row>
  </sheetData>
  <mergeCells count="15">
    <mergeCell ref="B122:C122"/>
    <mergeCell ref="B123:C123"/>
    <mergeCell ref="B103:C103"/>
    <mergeCell ref="B104:C104"/>
    <mergeCell ref="B105:C105"/>
    <mergeCell ref="B116:C116"/>
    <mergeCell ref="B120:C120"/>
    <mergeCell ref="B121:C121"/>
    <mergeCell ref="B118:F118"/>
    <mergeCell ref="B102:C102"/>
    <mergeCell ref="B99:F99"/>
    <mergeCell ref="B100:F10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140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728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102145</v>
      </c>
      <c r="F7" s="8">
        <v>676.96598749999998</v>
      </c>
      <c r="G7" s="9">
        <v>7.6157559999999999E-2</v>
      </c>
      <c r="H7" s="167"/>
    </row>
    <row r="8" spans="1:8" x14ac:dyDescent="0.2">
      <c r="A8" s="5">
        <v>2</v>
      </c>
      <c r="B8" s="6" t="s">
        <v>403</v>
      </c>
      <c r="C8" s="6" t="s">
        <v>404</v>
      </c>
      <c r="D8" s="6" t="s">
        <v>23</v>
      </c>
      <c r="E8" s="7">
        <v>150297</v>
      </c>
      <c r="F8" s="8">
        <v>637.78531950000001</v>
      </c>
      <c r="G8" s="9">
        <v>7.1749800000000002E-2</v>
      </c>
      <c r="H8" s="167"/>
    </row>
    <row r="9" spans="1:8" x14ac:dyDescent="0.2">
      <c r="A9" s="5">
        <v>3</v>
      </c>
      <c r="B9" s="6" t="s">
        <v>370</v>
      </c>
      <c r="C9" s="6" t="s">
        <v>371</v>
      </c>
      <c r="D9" s="6" t="s">
        <v>23</v>
      </c>
      <c r="E9" s="7">
        <v>68473</v>
      </c>
      <c r="F9" s="8">
        <v>514.02681099999995</v>
      </c>
      <c r="G9" s="9">
        <v>5.7827170999999997E-2</v>
      </c>
      <c r="H9" s="167"/>
    </row>
    <row r="10" spans="1:8" x14ac:dyDescent="0.2">
      <c r="A10" s="5">
        <v>4</v>
      </c>
      <c r="B10" s="6" t="s">
        <v>13</v>
      </c>
      <c r="C10" s="6" t="s">
        <v>14</v>
      </c>
      <c r="D10" s="6" t="s">
        <v>15</v>
      </c>
      <c r="E10" s="7">
        <v>28039</v>
      </c>
      <c r="F10" s="8">
        <v>411.52840300000003</v>
      </c>
      <c r="G10" s="9">
        <v>4.6296269000000001E-2</v>
      </c>
      <c r="H10" s="167"/>
    </row>
    <row r="11" spans="1:8" x14ac:dyDescent="0.2">
      <c r="A11" s="5">
        <v>5</v>
      </c>
      <c r="B11" s="6" t="s">
        <v>24</v>
      </c>
      <c r="C11" s="6" t="s">
        <v>25</v>
      </c>
      <c r="D11" s="6" t="s">
        <v>26</v>
      </c>
      <c r="E11" s="7">
        <v>66285</v>
      </c>
      <c r="F11" s="8">
        <v>354.55846500000001</v>
      </c>
      <c r="G11" s="9">
        <v>3.9887244000000002E-2</v>
      </c>
      <c r="H11" s="167"/>
    </row>
    <row r="12" spans="1:8" x14ac:dyDescent="0.2">
      <c r="A12" s="5">
        <v>6</v>
      </c>
      <c r="B12" s="6" t="s">
        <v>347</v>
      </c>
      <c r="C12" s="6" t="s">
        <v>348</v>
      </c>
      <c r="D12" s="6" t="s">
        <v>23</v>
      </c>
      <c r="E12" s="7">
        <v>367875</v>
      </c>
      <c r="F12" s="8">
        <v>296.87512500000003</v>
      </c>
      <c r="G12" s="9">
        <v>3.3397963000000003E-2</v>
      </c>
      <c r="H12" s="167"/>
    </row>
    <row r="13" spans="1:8" x14ac:dyDescent="0.2">
      <c r="A13" s="5">
        <v>7</v>
      </c>
      <c r="B13" s="6" t="s">
        <v>202</v>
      </c>
      <c r="C13" s="6" t="s">
        <v>203</v>
      </c>
      <c r="D13" s="6" t="s">
        <v>57</v>
      </c>
      <c r="E13" s="7">
        <v>27548</v>
      </c>
      <c r="F13" s="8">
        <v>296.69195999999999</v>
      </c>
      <c r="G13" s="9">
        <v>3.3377358000000003E-2</v>
      </c>
      <c r="H13" s="167"/>
    </row>
    <row r="14" spans="1:8" x14ac:dyDescent="0.2">
      <c r="A14" s="5">
        <v>8</v>
      </c>
      <c r="B14" s="6" t="s">
        <v>61</v>
      </c>
      <c r="C14" s="6" t="s">
        <v>62</v>
      </c>
      <c r="D14" s="6" t="s">
        <v>18</v>
      </c>
      <c r="E14" s="7">
        <v>60850</v>
      </c>
      <c r="F14" s="8">
        <v>287.21199999999999</v>
      </c>
      <c r="G14" s="9">
        <v>3.2310878000000001E-2</v>
      </c>
      <c r="H14" s="167"/>
    </row>
    <row r="15" spans="1:8" ht="25.5" x14ac:dyDescent="0.2">
      <c r="A15" s="5">
        <v>9</v>
      </c>
      <c r="B15" s="6" t="s">
        <v>401</v>
      </c>
      <c r="C15" s="6" t="s">
        <v>402</v>
      </c>
      <c r="D15" s="6" t="s">
        <v>158</v>
      </c>
      <c r="E15" s="7">
        <v>10962</v>
      </c>
      <c r="F15" s="8">
        <v>279.84341699999999</v>
      </c>
      <c r="G15" s="9">
        <v>3.1481924000000001E-2</v>
      </c>
      <c r="H15" s="167"/>
    </row>
    <row r="16" spans="1:8" x14ac:dyDescent="0.2">
      <c r="A16" s="5">
        <v>10</v>
      </c>
      <c r="B16" s="6" t="s">
        <v>624</v>
      </c>
      <c r="C16" s="6" t="s">
        <v>625</v>
      </c>
      <c r="D16" s="6" t="s">
        <v>18</v>
      </c>
      <c r="E16" s="7">
        <v>236958</v>
      </c>
      <c r="F16" s="8">
        <v>258.87661500000002</v>
      </c>
      <c r="G16" s="9">
        <v>2.9123192999999999E-2</v>
      </c>
      <c r="H16" s="167"/>
    </row>
    <row r="17" spans="1:8" x14ac:dyDescent="0.2">
      <c r="A17" s="5">
        <v>11</v>
      </c>
      <c r="B17" s="6" t="s">
        <v>68</v>
      </c>
      <c r="C17" s="6" t="s">
        <v>69</v>
      </c>
      <c r="D17" s="6" t="s">
        <v>70</v>
      </c>
      <c r="E17" s="7">
        <v>159785</v>
      </c>
      <c r="F17" s="8">
        <v>255.57610750000001</v>
      </c>
      <c r="G17" s="9">
        <v>2.8751892000000001E-2</v>
      </c>
      <c r="H17" s="167"/>
    </row>
    <row r="18" spans="1:8" x14ac:dyDescent="0.2">
      <c r="A18" s="5">
        <v>12</v>
      </c>
      <c r="B18" s="6" t="s">
        <v>313</v>
      </c>
      <c r="C18" s="6" t="s">
        <v>314</v>
      </c>
      <c r="D18" s="6" t="s">
        <v>23</v>
      </c>
      <c r="E18" s="7">
        <v>289203</v>
      </c>
      <c r="F18" s="8">
        <v>252.32961750000001</v>
      </c>
      <c r="G18" s="9">
        <v>2.8386667000000001E-2</v>
      </c>
      <c r="H18" s="167"/>
    </row>
    <row r="19" spans="1:8" ht="25.5" x14ac:dyDescent="0.2">
      <c r="A19" s="5">
        <v>13</v>
      </c>
      <c r="B19" s="6" t="s">
        <v>364</v>
      </c>
      <c r="C19" s="6" t="s">
        <v>365</v>
      </c>
      <c r="D19" s="6" t="s">
        <v>158</v>
      </c>
      <c r="E19" s="7">
        <v>130130</v>
      </c>
      <c r="F19" s="8">
        <v>212.11189999999999</v>
      </c>
      <c r="G19" s="9">
        <v>2.386224E-2</v>
      </c>
      <c r="H19" s="167"/>
    </row>
    <row r="20" spans="1:8" x14ac:dyDescent="0.2">
      <c r="A20" s="5">
        <v>14</v>
      </c>
      <c r="B20" s="6" t="s">
        <v>226</v>
      </c>
      <c r="C20" s="6" t="s">
        <v>227</v>
      </c>
      <c r="D20" s="6" t="s">
        <v>32</v>
      </c>
      <c r="E20" s="7">
        <v>25232</v>
      </c>
      <c r="F20" s="8">
        <v>199.63558399999999</v>
      </c>
      <c r="G20" s="9">
        <v>2.2458675000000001E-2</v>
      </c>
      <c r="H20" s="167"/>
    </row>
    <row r="21" spans="1:8" ht="25.5" x14ac:dyDescent="0.2">
      <c r="A21" s="5">
        <v>15</v>
      </c>
      <c r="B21" s="6" t="s">
        <v>161</v>
      </c>
      <c r="C21" s="6" t="s">
        <v>162</v>
      </c>
      <c r="D21" s="6" t="s">
        <v>970</v>
      </c>
      <c r="E21" s="7">
        <v>108332</v>
      </c>
      <c r="F21" s="8">
        <v>197.43507</v>
      </c>
      <c r="G21" s="9">
        <v>2.2211121E-2</v>
      </c>
      <c r="H21" s="167"/>
    </row>
    <row r="22" spans="1:8" x14ac:dyDescent="0.2">
      <c r="A22" s="5">
        <v>16</v>
      </c>
      <c r="B22" s="6" t="s">
        <v>501</v>
      </c>
      <c r="C22" s="6" t="s">
        <v>396</v>
      </c>
      <c r="D22" s="6" t="s">
        <v>284</v>
      </c>
      <c r="E22" s="7">
        <v>95930</v>
      </c>
      <c r="F22" s="8">
        <v>187.20739499999999</v>
      </c>
      <c r="G22" s="9">
        <v>2.1060524000000001E-2</v>
      </c>
      <c r="H22" s="167"/>
    </row>
    <row r="23" spans="1:8" ht="25.5" x14ac:dyDescent="0.2">
      <c r="A23" s="5">
        <v>17</v>
      </c>
      <c r="B23" s="6" t="s">
        <v>63</v>
      </c>
      <c r="C23" s="6" t="s">
        <v>64</v>
      </c>
      <c r="D23" s="6" t="s">
        <v>37</v>
      </c>
      <c r="E23" s="7">
        <v>32080</v>
      </c>
      <c r="F23" s="8">
        <v>181.52467999999999</v>
      </c>
      <c r="G23" s="9">
        <v>2.0421228E-2</v>
      </c>
      <c r="H23" s="167"/>
    </row>
    <row r="24" spans="1:8" x14ac:dyDescent="0.2">
      <c r="A24" s="5">
        <v>18</v>
      </c>
      <c r="B24" s="6" t="s">
        <v>46</v>
      </c>
      <c r="C24" s="6" t="s">
        <v>47</v>
      </c>
      <c r="D24" s="6" t="s">
        <v>29</v>
      </c>
      <c r="E24" s="7">
        <v>18471</v>
      </c>
      <c r="F24" s="8">
        <v>180.39702149999999</v>
      </c>
      <c r="G24" s="9">
        <v>2.0294368E-2</v>
      </c>
      <c r="H24" s="167"/>
    </row>
    <row r="25" spans="1:8" ht="25.5" x14ac:dyDescent="0.2">
      <c r="A25" s="5">
        <v>19</v>
      </c>
      <c r="B25" s="6" t="s">
        <v>42</v>
      </c>
      <c r="C25" s="6" t="s">
        <v>43</v>
      </c>
      <c r="D25" s="6" t="s">
        <v>37</v>
      </c>
      <c r="E25" s="7">
        <v>53333</v>
      </c>
      <c r="F25" s="8">
        <v>180.1855405</v>
      </c>
      <c r="G25" s="9">
        <v>2.0270577000000001E-2</v>
      </c>
      <c r="H25" s="167"/>
    </row>
    <row r="26" spans="1:8" x14ac:dyDescent="0.2">
      <c r="A26" s="5">
        <v>20</v>
      </c>
      <c r="B26" s="6" t="s">
        <v>654</v>
      </c>
      <c r="C26" s="6" t="s">
        <v>655</v>
      </c>
      <c r="D26" s="6" t="s">
        <v>50</v>
      </c>
      <c r="E26" s="7">
        <v>158867</v>
      </c>
      <c r="F26" s="8">
        <v>175.548035</v>
      </c>
      <c r="G26" s="9">
        <v>1.9748865000000001E-2</v>
      </c>
      <c r="H26" s="167"/>
    </row>
    <row r="27" spans="1:8" x14ac:dyDescent="0.2">
      <c r="A27" s="5">
        <v>21</v>
      </c>
      <c r="B27" s="6" t="s">
        <v>499</v>
      </c>
      <c r="C27" s="6" t="s">
        <v>500</v>
      </c>
      <c r="D27" s="6" t="s">
        <v>94</v>
      </c>
      <c r="E27" s="7">
        <v>54538</v>
      </c>
      <c r="F27" s="8">
        <v>173.83987500000001</v>
      </c>
      <c r="G27" s="9">
        <v>1.95567E-2</v>
      </c>
      <c r="H27" s="167"/>
    </row>
    <row r="28" spans="1:8" x14ac:dyDescent="0.2">
      <c r="A28" s="5">
        <v>22</v>
      </c>
      <c r="B28" s="6" t="s">
        <v>88</v>
      </c>
      <c r="C28" s="6" t="s">
        <v>89</v>
      </c>
      <c r="D28" s="6" t="s">
        <v>70</v>
      </c>
      <c r="E28" s="7">
        <v>69401</v>
      </c>
      <c r="F28" s="8">
        <v>167.5687145</v>
      </c>
      <c r="G28" s="9">
        <v>1.8851204999999999E-2</v>
      </c>
      <c r="H28" s="167"/>
    </row>
    <row r="29" spans="1:8" x14ac:dyDescent="0.2">
      <c r="A29" s="5">
        <v>23</v>
      </c>
      <c r="B29" s="6" t="s">
        <v>417</v>
      </c>
      <c r="C29" s="6" t="s">
        <v>418</v>
      </c>
      <c r="D29" s="6" t="s">
        <v>57</v>
      </c>
      <c r="E29" s="7">
        <v>13719</v>
      </c>
      <c r="F29" s="8">
        <v>154.42792349999999</v>
      </c>
      <c r="G29" s="9">
        <v>1.7372887E-2</v>
      </c>
      <c r="H29" s="167"/>
    </row>
    <row r="30" spans="1:8" x14ac:dyDescent="0.2">
      <c r="A30" s="5">
        <v>24</v>
      </c>
      <c r="B30" s="6" t="s">
        <v>607</v>
      </c>
      <c r="C30" s="6" t="s">
        <v>608</v>
      </c>
      <c r="D30" s="6" t="s">
        <v>609</v>
      </c>
      <c r="E30" s="7">
        <v>82736</v>
      </c>
      <c r="F30" s="8">
        <v>150.70362399999999</v>
      </c>
      <c r="G30" s="9">
        <v>1.6953909999999999E-2</v>
      </c>
      <c r="H30" s="167"/>
    </row>
    <row r="31" spans="1:8" x14ac:dyDescent="0.2">
      <c r="A31" s="5">
        <v>25</v>
      </c>
      <c r="B31" s="6" t="s">
        <v>523</v>
      </c>
      <c r="C31" s="6" t="s">
        <v>524</v>
      </c>
      <c r="D31" s="6" t="s">
        <v>158</v>
      </c>
      <c r="E31" s="7">
        <v>163916</v>
      </c>
      <c r="F31" s="8">
        <v>144.32803799999999</v>
      </c>
      <c r="G31" s="9">
        <v>1.6236667E-2</v>
      </c>
      <c r="H31" s="167"/>
    </row>
    <row r="32" spans="1:8" x14ac:dyDescent="0.2">
      <c r="A32" s="5">
        <v>26</v>
      </c>
      <c r="B32" s="6" t="s">
        <v>282</v>
      </c>
      <c r="C32" s="6" t="s">
        <v>283</v>
      </c>
      <c r="D32" s="6" t="s">
        <v>284</v>
      </c>
      <c r="E32" s="7">
        <v>98000</v>
      </c>
      <c r="F32" s="8">
        <v>142.1</v>
      </c>
      <c r="G32" s="9">
        <v>1.5986015999999999E-2</v>
      </c>
      <c r="H32" s="167"/>
    </row>
    <row r="33" spans="1:8" x14ac:dyDescent="0.2">
      <c r="A33" s="5">
        <v>27</v>
      </c>
      <c r="B33" s="6" t="s">
        <v>345</v>
      </c>
      <c r="C33" s="6" t="s">
        <v>346</v>
      </c>
      <c r="D33" s="6" t="s">
        <v>57</v>
      </c>
      <c r="E33" s="7">
        <v>33343</v>
      </c>
      <c r="F33" s="8">
        <v>135.772696</v>
      </c>
      <c r="G33" s="9">
        <v>1.5274205000000001E-2</v>
      </c>
      <c r="H33" s="167"/>
    </row>
    <row r="34" spans="1:8" ht="25.5" x14ac:dyDescent="0.2">
      <c r="A34" s="5">
        <v>28</v>
      </c>
      <c r="B34" s="6" t="s">
        <v>425</v>
      </c>
      <c r="C34" s="6" t="s">
        <v>426</v>
      </c>
      <c r="D34" s="6" t="s">
        <v>78</v>
      </c>
      <c r="E34" s="7">
        <v>61749</v>
      </c>
      <c r="F34" s="8">
        <v>133.748334</v>
      </c>
      <c r="G34" s="9">
        <v>1.5046468E-2</v>
      </c>
      <c r="H34" s="167"/>
    </row>
    <row r="35" spans="1:8" x14ac:dyDescent="0.2">
      <c r="A35" s="5">
        <v>29</v>
      </c>
      <c r="B35" s="6" t="s">
        <v>481</v>
      </c>
      <c r="C35" s="6" t="s">
        <v>482</v>
      </c>
      <c r="D35" s="6" t="s">
        <v>18</v>
      </c>
      <c r="E35" s="7">
        <v>98428</v>
      </c>
      <c r="F35" s="8">
        <v>132.188804</v>
      </c>
      <c r="G35" s="9">
        <v>1.4871023000000001E-2</v>
      </c>
      <c r="H35" s="167"/>
    </row>
    <row r="36" spans="1:8" x14ac:dyDescent="0.2">
      <c r="A36" s="5">
        <v>30</v>
      </c>
      <c r="B36" s="6" t="s">
        <v>662</v>
      </c>
      <c r="C36" s="6" t="s">
        <v>663</v>
      </c>
      <c r="D36" s="6" t="s">
        <v>23</v>
      </c>
      <c r="E36" s="7">
        <v>12805</v>
      </c>
      <c r="F36" s="8">
        <v>129.71465000000001</v>
      </c>
      <c r="G36" s="9">
        <v>1.4592684999999999E-2</v>
      </c>
      <c r="H36" s="167"/>
    </row>
    <row r="37" spans="1:8" ht="25.5" x14ac:dyDescent="0.2">
      <c r="A37" s="5">
        <v>31</v>
      </c>
      <c r="B37" s="6" t="s">
        <v>510</v>
      </c>
      <c r="C37" s="6" t="s">
        <v>511</v>
      </c>
      <c r="D37" s="6" t="s">
        <v>37</v>
      </c>
      <c r="E37" s="7">
        <v>5829</v>
      </c>
      <c r="F37" s="8">
        <v>121.610427</v>
      </c>
      <c r="G37" s="9">
        <v>1.3680973000000001E-2</v>
      </c>
      <c r="H37" s="167"/>
    </row>
    <row r="38" spans="1:8" x14ac:dyDescent="0.2">
      <c r="A38" s="5">
        <v>32</v>
      </c>
      <c r="B38" s="6" t="s">
        <v>333</v>
      </c>
      <c r="C38" s="6" t="s">
        <v>334</v>
      </c>
      <c r="D38" s="6" t="s">
        <v>67</v>
      </c>
      <c r="E38" s="7">
        <v>17663</v>
      </c>
      <c r="F38" s="8">
        <v>120.797257</v>
      </c>
      <c r="G38" s="9">
        <v>1.3589492999999999E-2</v>
      </c>
      <c r="H38" s="167"/>
    </row>
    <row r="39" spans="1:8" x14ac:dyDescent="0.2">
      <c r="A39" s="5">
        <v>33</v>
      </c>
      <c r="B39" s="6" t="s">
        <v>729</v>
      </c>
      <c r="C39" s="6" t="s">
        <v>730</v>
      </c>
      <c r="D39" s="6" t="s">
        <v>197</v>
      </c>
      <c r="E39" s="7">
        <v>9286</v>
      </c>
      <c r="F39" s="8">
        <v>120.07726599999999</v>
      </c>
      <c r="G39" s="9">
        <v>1.3508495000000001E-2</v>
      </c>
      <c r="H39" s="167"/>
    </row>
    <row r="40" spans="1:8" x14ac:dyDescent="0.2">
      <c r="A40" s="5">
        <v>34</v>
      </c>
      <c r="B40" s="6" t="s">
        <v>620</v>
      </c>
      <c r="C40" s="6" t="s">
        <v>621</v>
      </c>
      <c r="D40" s="6" t="s">
        <v>192</v>
      </c>
      <c r="E40" s="7">
        <v>9147</v>
      </c>
      <c r="F40" s="8">
        <v>111.54766499999999</v>
      </c>
      <c r="G40" s="9">
        <v>1.2548929E-2</v>
      </c>
      <c r="H40" s="167"/>
    </row>
    <row r="41" spans="1:8" x14ac:dyDescent="0.2">
      <c r="A41" s="5">
        <v>35</v>
      </c>
      <c r="B41" s="6" t="s">
        <v>86</v>
      </c>
      <c r="C41" s="6" t="s">
        <v>87</v>
      </c>
      <c r="D41" s="6" t="s">
        <v>29</v>
      </c>
      <c r="E41" s="7">
        <v>13730</v>
      </c>
      <c r="F41" s="8">
        <v>108.04137</v>
      </c>
      <c r="G41" s="9">
        <v>1.2154476000000001E-2</v>
      </c>
      <c r="H41" s="167"/>
    </row>
    <row r="42" spans="1:8" x14ac:dyDescent="0.2">
      <c r="A42" s="5">
        <v>36</v>
      </c>
      <c r="B42" s="6" t="s">
        <v>238</v>
      </c>
      <c r="C42" s="6" t="s">
        <v>239</v>
      </c>
      <c r="D42" s="6" t="s">
        <v>240</v>
      </c>
      <c r="E42" s="7">
        <v>12900</v>
      </c>
      <c r="F42" s="8">
        <v>105.14790000000001</v>
      </c>
      <c r="G42" s="9">
        <v>1.1828966E-2</v>
      </c>
      <c r="H42" s="167"/>
    </row>
    <row r="43" spans="1:8" ht="25.5" x14ac:dyDescent="0.2">
      <c r="A43" s="5">
        <v>37</v>
      </c>
      <c r="B43" s="6" t="s">
        <v>558</v>
      </c>
      <c r="C43" s="6" t="s">
        <v>559</v>
      </c>
      <c r="D43" s="6" t="s">
        <v>970</v>
      </c>
      <c r="E43" s="7">
        <v>35630</v>
      </c>
      <c r="F43" s="8">
        <v>96.183184999999995</v>
      </c>
      <c r="G43" s="9">
        <v>1.0820450000000001E-2</v>
      </c>
      <c r="H43" s="167"/>
    </row>
    <row r="44" spans="1:8" x14ac:dyDescent="0.2">
      <c r="A44" s="5">
        <v>38</v>
      </c>
      <c r="B44" s="6" t="s">
        <v>292</v>
      </c>
      <c r="C44" s="6" t="s">
        <v>293</v>
      </c>
      <c r="D44" s="6" t="s">
        <v>971</v>
      </c>
      <c r="E44" s="7">
        <v>230444</v>
      </c>
      <c r="F44" s="8">
        <v>90.794936000000007</v>
      </c>
      <c r="G44" s="9">
        <v>1.0214281E-2</v>
      </c>
      <c r="H44" s="167"/>
    </row>
    <row r="45" spans="1:8" x14ac:dyDescent="0.2">
      <c r="A45" s="5">
        <v>39</v>
      </c>
      <c r="B45" s="6" t="s">
        <v>670</v>
      </c>
      <c r="C45" s="6" t="s">
        <v>671</v>
      </c>
      <c r="D45" s="6" t="s">
        <v>50</v>
      </c>
      <c r="E45" s="7">
        <v>38413</v>
      </c>
      <c r="F45" s="8">
        <v>86.678934499999997</v>
      </c>
      <c r="G45" s="9">
        <v>9.7512380000000006E-3</v>
      </c>
      <c r="H45" s="167"/>
    </row>
    <row r="46" spans="1:8" x14ac:dyDescent="0.2">
      <c r="A46" s="5">
        <v>40</v>
      </c>
      <c r="B46" s="6" t="s">
        <v>415</v>
      </c>
      <c r="C46" s="6" t="s">
        <v>416</v>
      </c>
      <c r="D46" s="6" t="s">
        <v>192</v>
      </c>
      <c r="E46" s="7">
        <v>12805</v>
      </c>
      <c r="F46" s="8">
        <v>85.575815000000006</v>
      </c>
      <c r="G46" s="9">
        <v>9.6271380000000004E-3</v>
      </c>
      <c r="H46" s="167"/>
    </row>
    <row r="47" spans="1:8" x14ac:dyDescent="0.2">
      <c r="A47" s="5">
        <v>41</v>
      </c>
      <c r="B47" s="6" t="s">
        <v>626</v>
      </c>
      <c r="C47" s="6" t="s">
        <v>627</v>
      </c>
      <c r="D47" s="6" t="s">
        <v>23</v>
      </c>
      <c r="E47" s="7">
        <v>172000</v>
      </c>
      <c r="F47" s="8">
        <v>72.927999999999997</v>
      </c>
      <c r="G47" s="9">
        <v>8.2042799999999996E-3</v>
      </c>
      <c r="H47" s="167"/>
    </row>
    <row r="48" spans="1:8" x14ac:dyDescent="0.2">
      <c r="A48" s="5">
        <v>42</v>
      </c>
      <c r="B48" s="6" t="s">
        <v>731</v>
      </c>
      <c r="C48" s="6" t="s">
        <v>732</v>
      </c>
      <c r="D48" s="6" t="s">
        <v>23</v>
      </c>
      <c r="E48" s="7">
        <v>178000</v>
      </c>
      <c r="F48" s="8">
        <v>68.441000000000003</v>
      </c>
      <c r="G48" s="9">
        <v>7.6994999999999997E-3</v>
      </c>
      <c r="H48" s="167"/>
    </row>
    <row r="49" spans="1:8" x14ac:dyDescent="0.2">
      <c r="A49" s="5">
        <v>43</v>
      </c>
      <c r="B49" s="6" t="s">
        <v>733</v>
      </c>
      <c r="C49" s="6" t="s">
        <v>734</v>
      </c>
      <c r="D49" s="6" t="s">
        <v>158</v>
      </c>
      <c r="E49" s="7">
        <v>22901</v>
      </c>
      <c r="F49" s="8">
        <v>49.191347999999998</v>
      </c>
      <c r="G49" s="9">
        <v>5.5339459999999997E-3</v>
      </c>
      <c r="H49" s="167"/>
    </row>
    <row r="50" spans="1:8" x14ac:dyDescent="0.2">
      <c r="A50" s="3" t="s">
        <v>10</v>
      </c>
      <c r="B50" s="3" t="s">
        <v>10</v>
      </c>
      <c r="C50" s="4" t="s">
        <v>104</v>
      </c>
      <c r="D50" s="3" t="s">
        <v>10</v>
      </c>
      <c r="E50" s="3" t="s">
        <v>10</v>
      </c>
      <c r="F50" s="10">
        <v>8737.7228164999997</v>
      </c>
      <c r="G50" s="11">
        <v>0.98297944800000003</v>
      </c>
      <c r="H50" s="167"/>
    </row>
    <row r="51" spans="1:8" x14ac:dyDescent="0.2">
      <c r="A51" s="3" t="s">
        <v>10</v>
      </c>
      <c r="B51" s="3" t="s">
        <v>10</v>
      </c>
      <c r="C51" s="12" t="s">
        <v>10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105</v>
      </c>
      <c r="D52" s="3" t="s">
        <v>10</v>
      </c>
      <c r="E52" s="3" t="s">
        <v>10</v>
      </c>
      <c r="F52" s="3" t="s">
        <v>10</v>
      </c>
      <c r="G52" s="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104</v>
      </c>
      <c r="D53" s="3" t="s">
        <v>10</v>
      </c>
      <c r="E53" s="3" t="s">
        <v>10</v>
      </c>
      <c r="F53" s="14">
        <v>0</v>
      </c>
      <c r="G53" s="15">
        <v>0</v>
      </c>
      <c r="H53" s="167"/>
    </row>
    <row r="54" spans="1:8" x14ac:dyDescent="0.2">
      <c r="A54" s="3" t="s">
        <v>10</v>
      </c>
      <c r="B54" s="3" t="s">
        <v>10</v>
      </c>
      <c r="C54" s="12" t="s">
        <v>10</v>
      </c>
      <c r="D54" s="3" t="s">
        <v>10</v>
      </c>
      <c r="E54" s="3" t="s">
        <v>10</v>
      </c>
      <c r="F54" s="13" t="s">
        <v>10</v>
      </c>
      <c r="G54" s="1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106</v>
      </c>
      <c r="D55" s="3" t="s">
        <v>10</v>
      </c>
      <c r="E55" s="3" t="s">
        <v>10</v>
      </c>
      <c r="F55" s="3" t="s">
        <v>10</v>
      </c>
      <c r="G55" s="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4">
        <v>0</v>
      </c>
      <c r="G56" s="15">
        <v>0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110</v>
      </c>
      <c r="D58" s="3" t="s">
        <v>10</v>
      </c>
      <c r="E58" s="3" t="s">
        <v>10</v>
      </c>
      <c r="F58" s="3" t="s">
        <v>10</v>
      </c>
      <c r="G58" s="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104</v>
      </c>
      <c r="D59" s="3" t="s">
        <v>10</v>
      </c>
      <c r="E59" s="3" t="s">
        <v>10</v>
      </c>
      <c r="F59" s="14">
        <v>0</v>
      </c>
      <c r="G59" s="15">
        <v>0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111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s="155" customFormat="1" ht="25.5" x14ac:dyDescent="0.2">
      <c r="A62" s="181">
        <v>1</v>
      </c>
      <c r="B62" s="139" t="s">
        <v>1000</v>
      </c>
      <c r="C62" s="139" t="s">
        <v>1001</v>
      </c>
      <c r="D62" s="139" t="s">
        <v>158</v>
      </c>
      <c r="E62" s="182">
        <v>12000</v>
      </c>
      <c r="F62" s="183">
        <v>96.24</v>
      </c>
      <c r="G62" s="184">
        <v>1.0826840000000001E-2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96.24</v>
      </c>
      <c r="G63" s="15">
        <v>1.0826840000000001E-2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112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113</v>
      </c>
      <c r="D68" s="3" t="s">
        <v>10</v>
      </c>
      <c r="E68" s="3" t="s">
        <v>10</v>
      </c>
      <c r="F68" s="10">
        <v>8833.9628164999995</v>
      </c>
      <c r="G68" s="11">
        <v>0.99380628800000004</v>
      </c>
      <c r="H68" s="167"/>
    </row>
    <row r="69" spans="1:8" x14ac:dyDescent="0.2">
      <c r="A69" s="3" t="s">
        <v>10</v>
      </c>
      <c r="B69" s="3" t="s">
        <v>10</v>
      </c>
      <c r="C69" s="12" t="s">
        <v>10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114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ht="25.5" x14ac:dyDescent="0.2">
      <c r="A71" s="3" t="s">
        <v>10</v>
      </c>
      <c r="B71" s="3" t="s">
        <v>10</v>
      </c>
      <c r="C71" s="4" t="s">
        <v>12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115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116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117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118</v>
      </c>
      <c r="D83" s="3" t="s">
        <v>10</v>
      </c>
      <c r="E83" s="3" t="s">
        <v>10</v>
      </c>
      <c r="F83" s="10">
        <v>0</v>
      </c>
      <c r="G83" s="11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119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121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122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123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5">
        <v>1</v>
      </c>
      <c r="B96" s="6"/>
      <c r="C96" s="6" t="s">
        <v>124</v>
      </c>
      <c r="D96" s="6"/>
      <c r="E96" s="16" t="s">
        <v>10</v>
      </c>
      <c r="F96" s="8">
        <v>58.234442199999997</v>
      </c>
      <c r="G96" s="9">
        <v>6.5512790000000001E-3</v>
      </c>
      <c r="H96" s="108">
        <v>3.23</v>
      </c>
    </row>
    <row r="97" spans="1:8" x14ac:dyDescent="0.2">
      <c r="A97" s="5">
        <v>2</v>
      </c>
      <c r="B97" s="6"/>
      <c r="C97" s="6" t="s">
        <v>125</v>
      </c>
      <c r="D97" s="6"/>
      <c r="E97" s="16" t="s">
        <v>10</v>
      </c>
      <c r="F97" s="8">
        <v>16.357474100000001</v>
      </c>
      <c r="G97" s="9">
        <v>1.8401890000000001E-3</v>
      </c>
      <c r="H97" s="108">
        <v>3.35</v>
      </c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0">
        <v>74.591916299999994</v>
      </c>
      <c r="G98" s="11">
        <v>8.3914679999999991E-3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126</v>
      </c>
      <c r="D100" s="3" t="s">
        <v>10</v>
      </c>
      <c r="E100" s="3" t="s">
        <v>10</v>
      </c>
      <c r="F100" s="10">
        <v>74.591916299999994</v>
      </c>
      <c r="G100" s="11">
        <v>8.3914679999999991E-3</v>
      </c>
      <c r="H100" s="167"/>
    </row>
    <row r="101" spans="1:8" x14ac:dyDescent="0.2">
      <c r="A101" s="3" t="s">
        <v>10</v>
      </c>
      <c r="B101" s="3" t="s">
        <v>10</v>
      </c>
      <c r="C101" s="1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127</v>
      </c>
      <c r="D102" s="3" t="s">
        <v>10</v>
      </c>
      <c r="E102" s="3" t="s">
        <v>10</v>
      </c>
      <c r="F102" s="3" t="s">
        <v>10</v>
      </c>
      <c r="G102" s="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128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129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130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ht="25.5" x14ac:dyDescent="0.2">
      <c r="A111" s="3" t="s">
        <v>10</v>
      </c>
      <c r="B111" s="3" t="s">
        <v>10</v>
      </c>
      <c r="C111" s="4" t="s">
        <v>131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4">
        <v>0</v>
      </c>
      <c r="G112" s="15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6" t="s">
        <v>10</v>
      </c>
      <c r="C114" s="6" t="s">
        <v>10</v>
      </c>
      <c r="D114" s="4" t="s">
        <v>10</v>
      </c>
      <c r="E114" s="3" t="s">
        <v>10</v>
      </c>
      <c r="F114" s="6" t="s">
        <v>10</v>
      </c>
      <c r="G114" s="16" t="s">
        <v>10</v>
      </c>
      <c r="H114" s="167"/>
    </row>
    <row r="115" spans="1:8" x14ac:dyDescent="0.2">
      <c r="A115" s="16" t="s">
        <v>10</v>
      </c>
      <c r="B115" s="6" t="s">
        <v>10</v>
      </c>
      <c r="C115" s="6" t="s">
        <v>132</v>
      </c>
      <c r="D115" s="6" t="s">
        <v>10</v>
      </c>
      <c r="E115" s="16" t="s">
        <v>10</v>
      </c>
      <c r="F115" s="8">
        <v>-19.5359154</v>
      </c>
      <c r="G115" s="9">
        <v>-2.1977580000000002E-3</v>
      </c>
      <c r="H115" s="167"/>
    </row>
    <row r="116" spans="1:8" x14ac:dyDescent="0.2">
      <c r="A116" s="12" t="s">
        <v>10</v>
      </c>
      <c r="B116" s="12" t="s">
        <v>10</v>
      </c>
      <c r="C116" s="4" t="s">
        <v>133</v>
      </c>
      <c r="D116" s="17" t="s">
        <v>10</v>
      </c>
      <c r="E116" s="17" t="s">
        <v>10</v>
      </c>
      <c r="F116" s="10">
        <v>8889.0188173999995</v>
      </c>
      <c r="G116" s="11">
        <v>1</v>
      </c>
      <c r="H116" s="167"/>
    </row>
    <row r="117" spans="1:8" ht="14.1" customHeight="1" x14ac:dyDescent="0.2">
      <c r="A117" s="18" t="s">
        <v>10</v>
      </c>
      <c r="B117" s="18" t="s">
        <v>10</v>
      </c>
      <c r="C117" s="18" t="s">
        <v>10</v>
      </c>
      <c r="D117" s="19" t="s">
        <v>10</v>
      </c>
      <c r="E117" s="19" t="s">
        <v>10</v>
      </c>
      <c r="F117" s="19" t="s">
        <v>10</v>
      </c>
      <c r="G117" s="19" t="s">
        <v>10</v>
      </c>
    </row>
    <row r="118" spans="1:8" ht="14.1" customHeight="1" x14ac:dyDescent="0.2">
      <c r="A118" s="20" t="s">
        <v>10</v>
      </c>
      <c r="B118" s="208" t="s">
        <v>10</v>
      </c>
      <c r="C118" s="208"/>
      <c r="D118" s="208"/>
      <c r="E118" s="208"/>
      <c r="F118" s="208"/>
      <c r="G118" s="22" t="s">
        <v>10</v>
      </c>
    </row>
    <row r="119" spans="1:8" ht="14.1" customHeight="1" x14ac:dyDescent="0.2">
      <c r="A119" s="20" t="s">
        <v>10</v>
      </c>
      <c r="B119" s="208" t="s">
        <v>10</v>
      </c>
      <c r="C119" s="208"/>
      <c r="D119" s="208"/>
      <c r="E119" s="208"/>
      <c r="F119" s="208"/>
      <c r="G119" s="22" t="s">
        <v>10</v>
      </c>
    </row>
    <row r="120" spans="1:8" ht="14.1" customHeight="1" x14ac:dyDescent="0.2">
      <c r="A120" s="20" t="s">
        <v>10</v>
      </c>
      <c r="B120" s="20" t="s">
        <v>10</v>
      </c>
      <c r="C120" s="20" t="s">
        <v>10</v>
      </c>
      <c r="D120" s="22" t="s">
        <v>10</v>
      </c>
      <c r="E120" s="22" t="s">
        <v>10</v>
      </c>
      <c r="F120" s="22" t="s">
        <v>10</v>
      </c>
      <c r="G120" s="22" t="s">
        <v>10</v>
      </c>
    </row>
    <row r="121" spans="1:8" ht="14.1" customHeight="1" x14ac:dyDescent="0.2">
      <c r="A121" s="20" t="s">
        <v>10</v>
      </c>
      <c r="B121" s="206" t="s">
        <v>134</v>
      </c>
      <c r="C121" s="207"/>
      <c r="D121" s="13" t="s">
        <v>10</v>
      </c>
      <c r="E121" s="23" t="s">
        <v>10</v>
      </c>
      <c r="F121" s="22" t="s">
        <v>10</v>
      </c>
      <c r="G121" s="22" t="s">
        <v>10</v>
      </c>
    </row>
    <row r="122" spans="1:8" ht="29.1" customHeight="1" x14ac:dyDescent="0.2">
      <c r="A122" s="20" t="s">
        <v>10</v>
      </c>
      <c r="B122" s="213" t="s">
        <v>135</v>
      </c>
      <c r="C122" s="214"/>
      <c r="D122" s="4" t="s">
        <v>136</v>
      </c>
      <c r="E122" s="23" t="s">
        <v>10</v>
      </c>
      <c r="F122" s="22" t="s">
        <v>10</v>
      </c>
      <c r="G122" s="22" t="s">
        <v>10</v>
      </c>
    </row>
    <row r="123" spans="1:8" ht="17.100000000000001" customHeight="1" x14ac:dyDescent="0.2">
      <c r="A123" s="20" t="s">
        <v>10</v>
      </c>
      <c r="B123" s="213" t="s">
        <v>137</v>
      </c>
      <c r="C123" s="214"/>
      <c r="D123" s="4" t="s">
        <v>136</v>
      </c>
      <c r="E123" s="23" t="s">
        <v>10</v>
      </c>
      <c r="F123" s="22" t="s">
        <v>10</v>
      </c>
      <c r="G123" s="22" t="s">
        <v>10</v>
      </c>
    </row>
    <row r="124" spans="1:8" ht="17.100000000000001" customHeight="1" x14ac:dyDescent="0.2">
      <c r="A124" s="20" t="s">
        <v>10</v>
      </c>
      <c r="B124" s="213" t="s">
        <v>138</v>
      </c>
      <c r="C124" s="214"/>
      <c r="D124" s="13" t="s">
        <v>10</v>
      </c>
      <c r="E124" s="23" t="s">
        <v>10</v>
      </c>
      <c r="F124" s="22" t="s">
        <v>10</v>
      </c>
      <c r="G124" s="22" t="s">
        <v>10</v>
      </c>
    </row>
    <row r="125" spans="1:8" s="20" customFormat="1" ht="17.100000000000001" customHeight="1" x14ac:dyDescent="0.2"/>
    <row r="126" spans="1:8" x14ac:dyDescent="0.2">
      <c r="A126" s="24" t="s">
        <v>10</v>
      </c>
      <c r="B126" s="140" t="s">
        <v>10</v>
      </c>
      <c r="C126" s="140" t="s">
        <v>139</v>
      </c>
      <c r="D126" s="140" t="s">
        <v>140</v>
      </c>
      <c r="E126" s="24" t="s">
        <v>10</v>
      </c>
      <c r="F126" s="24" t="s">
        <v>10</v>
      </c>
      <c r="G126" s="24" t="s">
        <v>10</v>
      </c>
    </row>
    <row r="127" spans="1:8" ht="18" customHeight="1" x14ac:dyDescent="0.2">
      <c r="A127" s="24" t="s">
        <v>10</v>
      </c>
      <c r="B127" s="25" t="s">
        <v>141</v>
      </c>
      <c r="C127" s="25" t="s">
        <v>142</v>
      </c>
      <c r="D127" s="25" t="s">
        <v>143</v>
      </c>
      <c r="E127" s="24" t="s">
        <v>10</v>
      </c>
      <c r="F127" s="24" t="s">
        <v>10</v>
      </c>
      <c r="G127" s="24" t="s">
        <v>10</v>
      </c>
    </row>
    <row r="128" spans="1:8" ht="17.100000000000001" customHeight="1" x14ac:dyDescent="0.2">
      <c r="A128" s="24" t="s">
        <v>10</v>
      </c>
      <c r="B128" s="6" t="s">
        <v>144</v>
      </c>
      <c r="C128" s="26">
        <v>13.677199999999999</v>
      </c>
      <c r="D128" s="26">
        <v>15.0481</v>
      </c>
      <c r="E128" s="24" t="s">
        <v>10</v>
      </c>
      <c r="F128" s="21" t="s">
        <v>10</v>
      </c>
      <c r="G128" s="27" t="s">
        <v>10</v>
      </c>
    </row>
    <row r="129" spans="1:7" ht="17.100000000000001" customHeight="1" x14ac:dyDescent="0.2">
      <c r="A129" s="24" t="s">
        <v>10</v>
      </c>
      <c r="B129" s="6" t="s">
        <v>917</v>
      </c>
      <c r="C129" s="26">
        <v>13.677199999999999</v>
      </c>
      <c r="D129" s="26">
        <v>15.0481</v>
      </c>
      <c r="E129" s="24" t="s">
        <v>10</v>
      </c>
      <c r="F129" s="21" t="s">
        <v>10</v>
      </c>
      <c r="G129" s="27" t="s">
        <v>10</v>
      </c>
    </row>
    <row r="130" spans="1:7" ht="17.100000000000001" customHeight="1" x14ac:dyDescent="0.2">
      <c r="A130" s="24" t="s">
        <v>10</v>
      </c>
      <c r="B130" s="6" t="s">
        <v>145</v>
      </c>
      <c r="C130" s="26">
        <v>13.2003</v>
      </c>
      <c r="D130" s="26">
        <v>14.5159</v>
      </c>
      <c r="E130" s="24" t="s">
        <v>10</v>
      </c>
      <c r="F130" s="21" t="s">
        <v>10</v>
      </c>
      <c r="G130" s="27" t="s">
        <v>10</v>
      </c>
    </row>
    <row r="131" spans="1:7" ht="17.100000000000001" customHeight="1" x14ac:dyDescent="0.2">
      <c r="A131" s="24" t="s">
        <v>10</v>
      </c>
      <c r="B131" s="6" t="s">
        <v>918</v>
      </c>
      <c r="C131" s="26">
        <v>13.2003</v>
      </c>
      <c r="D131" s="26">
        <v>14.5159</v>
      </c>
      <c r="E131" s="24" t="s">
        <v>10</v>
      </c>
      <c r="F131" s="21" t="s">
        <v>10</v>
      </c>
      <c r="G131" s="27" t="s">
        <v>10</v>
      </c>
    </row>
    <row r="132" spans="1:7" ht="14.1" customHeight="1" x14ac:dyDescent="0.2">
      <c r="A132" s="24" t="s">
        <v>10</v>
      </c>
      <c r="B132" s="24" t="s">
        <v>10</v>
      </c>
      <c r="C132" s="24" t="s">
        <v>10</v>
      </c>
      <c r="D132" s="24" t="s">
        <v>10</v>
      </c>
      <c r="E132" s="24" t="s">
        <v>10</v>
      </c>
      <c r="F132" s="24" t="s">
        <v>10</v>
      </c>
      <c r="G132" s="24" t="s">
        <v>10</v>
      </c>
    </row>
    <row r="133" spans="1:7" ht="17.100000000000001" customHeight="1" x14ac:dyDescent="0.2">
      <c r="A133" s="24" t="s">
        <v>10</v>
      </c>
      <c r="B133" s="213" t="s">
        <v>999</v>
      </c>
      <c r="C133" s="214"/>
      <c r="D133" s="4" t="s">
        <v>136</v>
      </c>
      <c r="E133" s="24" t="s">
        <v>10</v>
      </c>
      <c r="F133" s="24" t="s">
        <v>10</v>
      </c>
      <c r="G133" s="24" t="s">
        <v>10</v>
      </c>
    </row>
    <row r="134" spans="1:7" ht="18" customHeight="1" x14ac:dyDescent="0.2">
      <c r="A134" s="24" t="s">
        <v>10</v>
      </c>
      <c r="B134" s="28"/>
      <c r="C134" s="28"/>
      <c r="D134" s="29" t="s">
        <v>10</v>
      </c>
      <c r="E134" s="24" t="s">
        <v>10</v>
      </c>
      <c r="F134" s="24" t="s">
        <v>10</v>
      </c>
      <c r="G134" s="24" t="s">
        <v>10</v>
      </c>
    </row>
    <row r="135" spans="1:7" s="175" customFormat="1" x14ac:dyDescent="0.2">
      <c r="B135" s="221" t="s">
        <v>919</v>
      </c>
      <c r="C135" s="221"/>
      <c r="D135" s="221"/>
      <c r="E135" s="221"/>
      <c r="F135" s="221"/>
    </row>
    <row r="136" spans="1:7" ht="14.1" customHeight="1" x14ac:dyDescent="0.2">
      <c r="A136" s="24" t="s">
        <v>10</v>
      </c>
      <c r="B136" s="21" t="s">
        <v>10</v>
      </c>
      <c r="C136" s="21" t="s">
        <v>10</v>
      </c>
      <c r="D136" s="24" t="s">
        <v>10</v>
      </c>
      <c r="E136" s="24" t="s">
        <v>10</v>
      </c>
      <c r="F136" s="24" t="s">
        <v>10</v>
      </c>
      <c r="G136" s="24" t="s">
        <v>10</v>
      </c>
    </row>
    <row r="137" spans="1:7" ht="29.1" customHeight="1" x14ac:dyDescent="0.2">
      <c r="A137" s="24" t="s">
        <v>10</v>
      </c>
      <c r="B137" s="213" t="s">
        <v>146</v>
      </c>
      <c r="C137" s="214"/>
      <c r="D137" s="4" t="s">
        <v>136</v>
      </c>
      <c r="E137" s="24" t="s">
        <v>10</v>
      </c>
      <c r="F137" s="24" t="s">
        <v>10</v>
      </c>
      <c r="G137" s="24" t="s">
        <v>10</v>
      </c>
    </row>
    <row r="138" spans="1:7" ht="29.1" customHeight="1" x14ac:dyDescent="0.2">
      <c r="A138" s="24" t="s">
        <v>10</v>
      </c>
      <c r="B138" s="213" t="s">
        <v>147</v>
      </c>
      <c r="C138" s="214"/>
      <c r="D138" s="4" t="s">
        <v>136</v>
      </c>
      <c r="E138" s="24" t="s">
        <v>10</v>
      </c>
      <c r="F138" s="24" t="s">
        <v>10</v>
      </c>
      <c r="G138" s="24" t="s">
        <v>10</v>
      </c>
    </row>
    <row r="139" spans="1:7" ht="17.100000000000001" customHeight="1" x14ac:dyDescent="0.2">
      <c r="A139" s="24" t="s">
        <v>10</v>
      </c>
      <c r="B139" s="213" t="s">
        <v>148</v>
      </c>
      <c r="C139" s="214"/>
      <c r="D139" s="30">
        <v>0.48139371379078194</v>
      </c>
      <c r="E139" s="24" t="s">
        <v>10</v>
      </c>
      <c r="F139" s="21" t="s">
        <v>10</v>
      </c>
      <c r="G139" s="27" t="s">
        <v>10</v>
      </c>
    </row>
    <row r="140" spans="1:7" ht="17.100000000000001" customHeight="1" x14ac:dyDescent="0.2">
      <c r="A140" s="24" t="s">
        <v>10</v>
      </c>
      <c r="B140" s="213" t="s">
        <v>149</v>
      </c>
      <c r="C140" s="214"/>
      <c r="D140" s="4" t="s">
        <v>136</v>
      </c>
      <c r="E140" s="24" t="s">
        <v>10</v>
      </c>
      <c r="F140" s="24" t="s">
        <v>10</v>
      </c>
      <c r="G140" s="24" t="s">
        <v>10</v>
      </c>
    </row>
  </sheetData>
  <mergeCells count="15">
    <mergeCell ref="B139:C139"/>
    <mergeCell ref="B140:C140"/>
    <mergeCell ref="B122:C122"/>
    <mergeCell ref="B123:C123"/>
    <mergeCell ref="B124:C124"/>
    <mergeCell ref="B133:C133"/>
    <mergeCell ref="B137:C137"/>
    <mergeCell ref="B138:C138"/>
    <mergeCell ref="B135:F135"/>
    <mergeCell ref="B121:C121"/>
    <mergeCell ref="B118:F118"/>
    <mergeCell ref="B119:F11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131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735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403</v>
      </c>
      <c r="C7" s="6" t="s">
        <v>404</v>
      </c>
      <c r="D7" s="6" t="s">
        <v>23</v>
      </c>
      <c r="E7" s="7">
        <v>65489</v>
      </c>
      <c r="F7" s="8">
        <v>277.90257150000002</v>
      </c>
      <c r="G7" s="9">
        <v>7.2802094999999997E-2</v>
      </c>
      <c r="H7" s="167"/>
    </row>
    <row r="8" spans="1:8" x14ac:dyDescent="0.2">
      <c r="A8" s="5">
        <v>2</v>
      </c>
      <c r="B8" s="6" t="s">
        <v>21</v>
      </c>
      <c r="C8" s="6" t="s">
        <v>22</v>
      </c>
      <c r="D8" s="6" t="s">
        <v>23</v>
      </c>
      <c r="E8" s="7">
        <v>33713</v>
      </c>
      <c r="F8" s="8">
        <v>223.4329075</v>
      </c>
      <c r="G8" s="9">
        <v>5.8532685000000001E-2</v>
      </c>
      <c r="H8" s="167"/>
    </row>
    <row r="9" spans="1:8" x14ac:dyDescent="0.2">
      <c r="A9" s="5">
        <v>3</v>
      </c>
      <c r="B9" s="6" t="s">
        <v>370</v>
      </c>
      <c r="C9" s="6" t="s">
        <v>371</v>
      </c>
      <c r="D9" s="6" t="s">
        <v>23</v>
      </c>
      <c r="E9" s="7">
        <v>28150</v>
      </c>
      <c r="F9" s="8">
        <v>211.32204999999999</v>
      </c>
      <c r="G9" s="9">
        <v>5.5360006000000003E-2</v>
      </c>
      <c r="H9" s="167"/>
    </row>
    <row r="10" spans="1:8" x14ac:dyDescent="0.2">
      <c r="A10" s="5">
        <v>4</v>
      </c>
      <c r="B10" s="6" t="s">
        <v>24</v>
      </c>
      <c r="C10" s="6" t="s">
        <v>25</v>
      </c>
      <c r="D10" s="6" t="s">
        <v>26</v>
      </c>
      <c r="E10" s="7">
        <v>29115</v>
      </c>
      <c r="F10" s="8">
        <v>155.73613499999999</v>
      </c>
      <c r="G10" s="9">
        <v>4.0798172000000001E-2</v>
      </c>
      <c r="H10" s="167"/>
    </row>
    <row r="11" spans="1:8" x14ac:dyDescent="0.2">
      <c r="A11" s="5">
        <v>5</v>
      </c>
      <c r="B11" s="6" t="s">
        <v>499</v>
      </c>
      <c r="C11" s="6" t="s">
        <v>500</v>
      </c>
      <c r="D11" s="6" t="s">
        <v>94</v>
      </c>
      <c r="E11" s="7">
        <v>48381</v>
      </c>
      <c r="F11" s="8">
        <v>154.2144375</v>
      </c>
      <c r="G11" s="9">
        <v>4.0399533000000001E-2</v>
      </c>
      <c r="H11" s="167"/>
    </row>
    <row r="12" spans="1:8" x14ac:dyDescent="0.2">
      <c r="A12" s="5">
        <v>6</v>
      </c>
      <c r="B12" s="6" t="s">
        <v>347</v>
      </c>
      <c r="C12" s="6" t="s">
        <v>348</v>
      </c>
      <c r="D12" s="6" t="s">
        <v>23</v>
      </c>
      <c r="E12" s="7">
        <v>189994</v>
      </c>
      <c r="F12" s="8">
        <v>153.32515799999999</v>
      </c>
      <c r="G12" s="9">
        <v>4.0166568999999999E-2</v>
      </c>
      <c r="H12" s="167"/>
    </row>
    <row r="13" spans="1:8" x14ac:dyDescent="0.2">
      <c r="A13" s="5">
        <v>7</v>
      </c>
      <c r="B13" s="6" t="s">
        <v>202</v>
      </c>
      <c r="C13" s="6" t="s">
        <v>203</v>
      </c>
      <c r="D13" s="6" t="s">
        <v>57</v>
      </c>
      <c r="E13" s="7">
        <v>13280</v>
      </c>
      <c r="F13" s="8">
        <v>143.0256</v>
      </c>
      <c r="G13" s="9">
        <v>3.7468395000000002E-2</v>
      </c>
      <c r="H13" s="167"/>
    </row>
    <row r="14" spans="1:8" x14ac:dyDescent="0.2">
      <c r="A14" s="5">
        <v>8</v>
      </c>
      <c r="B14" s="6" t="s">
        <v>417</v>
      </c>
      <c r="C14" s="6" t="s">
        <v>418</v>
      </c>
      <c r="D14" s="6" t="s">
        <v>57</v>
      </c>
      <c r="E14" s="7">
        <v>11306</v>
      </c>
      <c r="F14" s="8">
        <v>127.265989</v>
      </c>
      <c r="G14" s="9">
        <v>3.3339852000000003E-2</v>
      </c>
      <c r="H14" s="167"/>
    </row>
    <row r="15" spans="1:8" x14ac:dyDescent="0.2">
      <c r="A15" s="5">
        <v>9</v>
      </c>
      <c r="B15" s="6" t="s">
        <v>186</v>
      </c>
      <c r="C15" s="6" t="s">
        <v>187</v>
      </c>
      <c r="D15" s="6" t="s">
        <v>57</v>
      </c>
      <c r="E15" s="7">
        <v>52000</v>
      </c>
      <c r="F15" s="8">
        <v>123.864</v>
      </c>
      <c r="G15" s="9">
        <v>3.2448632999999998E-2</v>
      </c>
      <c r="H15" s="167"/>
    </row>
    <row r="16" spans="1:8" ht="25.5" x14ac:dyDescent="0.2">
      <c r="A16" s="5">
        <v>10</v>
      </c>
      <c r="B16" s="6" t="s">
        <v>161</v>
      </c>
      <c r="C16" s="6" t="s">
        <v>162</v>
      </c>
      <c r="D16" s="6" t="s">
        <v>970</v>
      </c>
      <c r="E16" s="7">
        <v>66333</v>
      </c>
      <c r="F16" s="8">
        <v>120.8918925</v>
      </c>
      <c r="G16" s="9">
        <v>3.1670031000000001E-2</v>
      </c>
      <c r="H16" s="167"/>
    </row>
    <row r="17" spans="1:8" ht="25.5" x14ac:dyDescent="0.2">
      <c r="A17" s="5">
        <v>11</v>
      </c>
      <c r="B17" s="6" t="s">
        <v>736</v>
      </c>
      <c r="C17" s="6" t="s">
        <v>737</v>
      </c>
      <c r="D17" s="6" t="s">
        <v>970</v>
      </c>
      <c r="E17" s="7">
        <v>108409</v>
      </c>
      <c r="F17" s="8">
        <v>113.6668365</v>
      </c>
      <c r="G17" s="9">
        <v>2.9777284000000001E-2</v>
      </c>
      <c r="H17" s="167"/>
    </row>
    <row r="18" spans="1:8" x14ac:dyDescent="0.2">
      <c r="A18" s="5">
        <v>12</v>
      </c>
      <c r="B18" s="6" t="s">
        <v>738</v>
      </c>
      <c r="C18" s="6" t="s">
        <v>739</v>
      </c>
      <c r="D18" s="6" t="s">
        <v>357</v>
      </c>
      <c r="E18" s="7">
        <v>100000</v>
      </c>
      <c r="F18" s="8">
        <v>112.7</v>
      </c>
      <c r="G18" s="9">
        <v>2.9524002000000001E-2</v>
      </c>
      <c r="H18" s="167"/>
    </row>
    <row r="19" spans="1:8" x14ac:dyDescent="0.2">
      <c r="A19" s="5">
        <v>13</v>
      </c>
      <c r="B19" s="6" t="s">
        <v>740</v>
      </c>
      <c r="C19" s="6" t="s">
        <v>741</v>
      </c>
      <c r="D19" s="6" t="s">
        <v>158</v>
      </c>
      <c r="E19" s="7">
        <v>6500</v>
      </c>
      <c r="F19" s="8">
        <v>109.17725</v>
      </c>
      <c r="G19" s="9">
        <v>2.8601148E-2</v>
      </c>
      <c r="H19" s="167"/>
    </row>
    <row r="20" spans="1:8" x14ac:dyDescent="0.2">
      <c r="A20" s="5">
        <v>14</v>
      </c>
      <c r="B20" s="6" t="s">
        <v>729</v>
      </c>
      <c r="C20" s="6" t="s">
        <v>730</v>
      </c>
      <c r="D20" s="6" t="s">
        <v>197</v>
      </c>
      <c r="E20" s="7">
        <v>7765</v>
      </c>
      <c r="F20" s="8">
        <v>100.409215</v>
      </c>
      <c r="G20" s="9">
        <v>2.6304187E-2</v>
      </c>
      <c r="H20" s="167"/>
    </row>
    <row r="21" spans="1:8" x14ac:dyDescent="0.2">
      <c r="A21" s="5">
        <v>15</v>
      </c>
      <c r="B21" s="6" t="s">
        <v>333</v>
      </c>
      <c r="C21" s="6" t="s">
        <v>334</v>
      </c>
      <c r="D21" s="6" t="s">
        <v>67</v>
      </c>
      <c r="E21" s="7">
        <v>14574</v>
      </c>
      <c r="F21" s="8">
        <v>99.671586000000005</v>
      </c>
      <c r="G21" s="9">
        <v>2.6110950000000001E-2</v>
      </c>
      <c r="H21" s="167"/>
    </row>
    <row r="22" spans="1:8" x14ac:dyDescent="0.2">
      <c r="A22" s="5">
        <v>16</v>
      </c>
      <c r="B22" s="6" t="s">
        <v>501</v>
      </c>
      <c r="C22" s="6" t="s">
        <v>396</v>
      </c>
      <c r="D22" s="6" t="s">
        <v>284</v>
      </c>
      <c r="E22" s="7">
        <v>50965</v>
      </c>
      <c r="F22" s="8">
        <v>99.458197499999997</v>
      </c>
      <c r="G22" s="9">
        <v>2.6055049E-2</v>
      </c>
      <c r="H22" s="167"/>
    </row>
    <row r="23" spans="1:8" x14ac:dyDescent="0.2">
      <c r="A23" s="5">
        <v>17</v>
      </c>
      <c r="B23" s="6" t="s">
        <v>68</v>
      </c>
      <c r="C23" s="6" t="s">
        <v>69</v>
      </c>
      <c r="D23" s="6" t="s">
        <v>70</v>
      </c>
      <c r="E23" s="7">
        <v>60000</v>
      </c>
      <c r="F23" s="8">
        <v>95.97</v>
      </c>
      <c r="G23" s="9">
        <v>2.5141245999999999E-2</v>
      </c>
      <c r="H23" s="167"/>
    </row>
    <row r="24" spans="1:8" ht="25.5" x14ac:dyDescent="0.2">
      <c r="A24" s="5">
        <v>18</v>
      </c>
      <c r="B24" s="6" t="s">
        <v>364</v>
      </c>
      <c r="C24" s="6" t="s">
        <v>365</v>
      </c>
      <c r="D24" s="6" t="s">
        <v>158</v>
      </c>
      <c r="E24" s="7">
        <v>58527</v>
      </c>
      <c r="F24" s="8">
        <v>95.399010000000004</v>
      </c>
      <c r="G24" s="9">
        <v>2.4991664E-2</v>
      </c>
      <c r="H24" s="167"/>
    </row>
    <row r="25" spans="1:8" x14ac:dyDescent="0.2">
      <c r="A25" s="5">
        <v>19</v>
      </c>
      <c r="B25" s="6" t="s">
        <v>195</v>
      </c>
      <c r="C25" s="6" t="s">
        <v>196</v>
      </c>
      <c r="D25" s="6" t="s">
        <v>197</v>
      </c>
      <c r="E25" s="7">
        <v>12489</v>
      </c>
      <c r="F25" s="8">
        <v>94.348150500000003</v>
      </c>
      <c r="G25" s="9">
        <v>2.4716371000000001E-2</v>
      </c>
      <c r="H25" s="167"/>
    </row>
    <row r="26" spans="1:8" x14ac:dyDescent="0.2">
      <c r="A26" s="5">
        <v>20</v>
      </c>
      <c r="B26" s="6" t="s">
        <v>624</v>
      </c>
      <c r="C26" s="6" t="s">
        <v>625</v>
      </c>
      <c r="D26" s="6" t="s">
        <v>18</v>
      </c>
      <c r="E26" s="7">
        <v>85511</v>
      </c>
      <c r="F26" s="8">
        <v>93.420767499999997</v>
      </c>
      <c r="G26" s="9">
        <v>2.4473424000000001E-2</v>
      </c>
      <c r="H26" s="167"/>
    </row>
    <row r="27" spans="1:8" x14ac:dyDescent="0.2">
      <c r="A27" s="5">
        <v>21</v>
      </c>
      <c r="B27" s="6" t="s">
        <v>607</v>
      </c>
      <c r="C27" s="6" t="s">
        <v>608</v>
      </c>
      <c r="D27" s="6" t="s">
        <v>609</v>
      </c>
      <c r="E27" s="7">
        <v>50800</v>
      </c>
      <c r="F27" s="8">
        <v>92.532200000000003</v>
      </c>
      <c r="G27" s="9">
        <v>2.4240647000000001E-2</v>
      </c>
      <c r="H27" s="167"/>
    </row>
    <row r="28" spans="1:8" x14ac:dyDescent="0.2">
      <c r="A28" s="5">
        <v>22</v>
      </c>
      <c r="B28" s="6" t="s">
        <v>238</v>
      </c>
      <c r="C28" s="6" t="s">
        <v>239</v>
      </c>
      <c r="D28" s="6" t="s">
        <v>240</v>
      </c>
      <c r="E28" s="7">
        <v>11200</v>
      </c>
      <c r="F28" s="8">
        <v>91.291200000000003</v>
      </c>
      <c r="G28" s="9">
        <v>2.3915542000000001E-2</v>
      </c>
      <c r="H28" s="167"/>
    </row>
    <row r="29" spans="1:8" x14ac:dyDescent="0.2">
      <c r="A29" s="5">
        <v>23</v>
      </c>
      <c r="B29" s="6" t="s">
        <v>620</v>
      </c>
      <c r="C29" s="6" t="s">
        <v>621</v>
      </c>
      <c r="D29" s="6" t="s">
        <v>192</v>
      </c>
      <c r="E29" s="7">
        <v>7217</v>
      </c>
      <c r="F29" s="8">
        <v>88.011314999999996</v>
      </c>
      <c r="G29" s="9">
        <v>2.3056310999999999E-2</v>
      </c>
      <c r="H29" s="167"/>
    </row>
    <row r="30" spans="1:8" ht="25.5" x14ac:dyDescent="0.2">
      <c r="A30" s="5">
        <v>24</v>
      </c>
      <c r="B30" s="6" t="s">
        <v>63</v>
      </c>
      <c r="C30" s="6" t="s">
        <v>64</v>
      </c>
      <c r="D30" s="6" t="s">
        <v>37</v>
      </c>
      <c r="E30" s="7">
        <v>14750</v>
      </c>
      <c r="F30" s="8">
        <v>83.462874999999997</v>
      </c>
      <c r="G30" s="9">
        <v>2.1864756999999999E-2</v>
      </c>
      <c r="H30" s="167"/>
    </row>
    <row r="31" spans="1:8" ht="25.5" x14ac:dyDescent="0.2">
      <c r="A31" s="5">
        <v>25</v>
      </c>
      <c r="B31" s="6" t="s">
        <v>321</v>
      </c>
      <c r="C31" s="6" t="s">
        <v>322</v>
      </c>
      <c r="D31" s="6" t="s">
        <v>78</v>
      </c>
      <c r="E31" s="7">
        <v>16000</v>
      </c>
      <c r="F31" s="8">
        <v>80.176000000000002</v>
      </c>
      <c r="G31" s="9">
        <v>2.1003694999999999E-2</v>
      </c>
      <c r="H31" s="167"/>
    </row>
    <row r="32" spans="1:8" ht="25.5" x14ac:dyDescent="0.2">
      <c r="A32" s="5">
        <v>26</v>
      </c>
      <c r="B32" s="6" t="s">
        <v>79</v>
      </c>
      <c r="C32" s="6" t="s">
        <v>80</v>
      </c>
      <c r="D32" s="6" t="s">
        <v>37</v>
      </c>
      <c r="E32" s="7">
        <v>40000</v>
      </c>
      <c r="F32" s="8">
        <v>78.44</v>
      </c>
      <c r="G32" s="9">
        <v>2.0548915000000001E-2</v>
      </c>
      <c r="H32" s="167"/>
    </row>
    <row r="33" spans="1:8" x14ac:dyDescent="0.2">
      <c r="A33" s="5">
        <v>27</v>
      </c>
      <c r="B33" s="6" t="s">
        <v>30</v>
      </c>
      <c r="C33" s="6" t="s">
        <v>31</v>
      </c>
      <c r="D33" s="6" t="s">
        <v>32</v>
      </c>
      <c r="E33" s="7">
        <v>30000</v>
      </c>
      <c r="F33" s="8">
        <v>77.685000000000002</v>
      </c>
      <c r="G33" s="9">
        <v>2.0351128E-2</v>
      </c>
      <c r="H33" s="167"/>
    </row>
    <row r="34" spans="1:8" x14ac:dyDescent="0.2">
      <c r="A34" s="5">
        <v>28</v>
      </c>
      <c r="B34" s="6" t="s">
        <v>245</v>
      </c>
      <c r="C34" s="6" t="s">
        <v>246</v>
      </c>
      <c r="D34" s="6" t="s">
        <v>247</v>
      </c>
      <c r="E34" s="7">
        <v>40000</v>
      </c>
      <c r="F34" s="8">
        <v>65.599999999999994</v>
      </c>
      <c r="G34" s="9">
        <v>1.7185222E-2</v>
      </c>
      <c r="H34" s="167"/>
    </row>
    <row r="35" spans="1:8" ht="25.5" x14ac:dyDescent="0.2">
      <c r="A35" s="5">
        <v>29</v>
      </c>
      <c r="B35" s="6" t="s">
        <v>742</v>
      </c>
      <c r="C35" s="6" t="s">
        <v>743</v>
      </c>
      <c r="D35" s="6" t="s">
        <v>975</v>
      </c>
      <c r="E35" s="7">
        <v>65963</v>
      </c>
      <c r="F35" s="8">
        <v>64.214980499999996</v>
      </c>
      <c r="G35" s="9">
        <v>1.6822389E-2</v>
      </c>
      <c r="H35" s="167"/>
    </row>
    <row r="36" spans="1:8" x14ac:dyDescent="0.2">
      <c r="A36" s="5">
        <v>30</v>
      </c>
      <c r="B36" s="6" t="s">
        <v>345</v>
      </c>
      <c r="C36" s="6" t="s">
        <v>346</v>
      </c>
      <c r="D36" s="6" t="s">
        <v>57</v>
      </c>
      <c r="E36" s="7">
        <v>12997</v>
      </c>
      <c r="F36" s="8">
        <v>52.923783999999998</v>
      </c>
      <c r="G36" s="9">
        <v>1.3864436000000001E-2</v>
      </c>
      <c r="H36" s="167"/>
    </row>
    <row r="37" spans="1:8" x14ac:dyDescent="0.2">
      <c r="A37" s="5">
        <v>31</v>
      </c>
      <c r="B37" s="6" t="s">
        <v>744</v>
      </c>
      <c r="C37" s="6" t="s">
        <v>745</v>
      </c>
      <c r="D37" s="6" t="s">
        <v>23</v>
      </c>
      <c r="E37" s="7">
        <v>87562</v>
      </c>
      <c r="F37" s="8">
        <v>50.085464000000002</v>
      </c>
      <c r="G37" s="9">
        <v>1.3120880999999999E-2</v>
      </c>
      <c r="H37" s="167"/>
    </row>
    <row r="38" spans="1:8" ht="25.5" x14ac:dyDescent="0.2">
      <c r="A38" s="5">
        <v>32</v>
      </c>
      <c r="B38" s="6" t="s">
        <v>42</v>
      </c>
      <c r="C38" s="6" t="s">
        <v>43</v>
      </c>
      <c r="D38" s="6" t="s">
        <v>37</v>
      </c>
      <c r="E38" s="7">
        <v>10000</v>
      </c>
      <c r="F38" s="8">
        <v>33.784999999999997</v>
      </c>
      <c r="G38" s="9">
        <v>8.8506509999999993E-3</v>
      </c>
      <c r="H38" s="167"/>
    </row>
    <row r="39" spans="1:8" x14ac:dyDescent="0.2">
      <c r="A39" s="5">
        <v>33</v>
      </c>
      <c r="B39" s="6" t="s">
        <v>475</v>
      </c>
      <c r="C39" s="6" t="s">
        <v>476</v>
      </c>
      <c r="D39" s="6" t="s">
        <v>67</v>
      </c>
      <c r="E39" s="7">
        <v>30000</v>
      </c>
      <c r="F39" s="8">
        <v>32.340000000000003</v>
      </c>
      <c r="G39" s="9">
        <v>8.4721050000000006E-3</v>
      </c>
      <c r="H39" s="167"/>
    </row>
    <row r="40" spans="1:8" x14ac:dyDescent="0.2">
      <c r="A40" s="5">
        <v>34</v>
      </c>
      <c r="B40" s="6" t="s">
        <v>731</v>
      </c>
      <c r="C40" s="6" t="s">
        <v>732</v>
      </c>
      <c r="D40" s="6" t="s">
        <v>23</v>
      </c>
      <c r="E40" s="7">
        <v>67000</v>
      </c>
      <c r="F40" s="8">
        <v>25.761500000000002</v>
      </c>
      <c r="G40" s="9">
        <v>6.748736E-3</v>
      </c>
      <c r="H40" s="167"/>
    </row>
    <row r="41" spans="1:8" x14ac:dyDescent="0.2">
      <c r="A41" s="5">
        <v>35</v>
      </c>
      <c r="B41" s="6" t="s">
        <v>626</v>
      </c>
      <c r="C41" s="6" t="s">
        <v>627</v>
      </c>
      <c r="D41" s="6" t="s">
        <v>23</v>
      </c>
      <c r="E41" s="7">
        <v>60000</v>
      </c>
      <c r="F41" s="8">
        <v>25.44</v>
      </c>
      <c r="G41" s="9">
        <v>6.6645130000000004E-3</v>
      </c>
      <c r="H41" s="167"/>
    </row>
    <row r="42" spans="1:8" x14ac:dyDescent="0.2">
      <c r="A42" s="3" t="s">
        <v>10</v>
      </c>
      <c r="B42" s="3" t="s">
        <v>10</v>
      </c>
      <c r="C42" s="4" t="s">
        <v>104</v>
      </c>
      <c r="D42" s="3" t="s">
        <v>10</v>
      </c>
      <c r="E42" s="3" t="s">
        <v>10</v>
      </c>
      <c r="F42" s="10">
        <v>3646.9510725</v>
      </c>
      <c r="G42" s="11">
        <v>0.95539122399999998</v>
      </c>
      <c r="H42" s="167"/>
    </row>
    <row r="43" spans="1:8" x14ac:dyDescent="0.2">
      <c r="A43" s="3" t="s">
        <v>10</v>
      </c>
      <c r="B43" s="3" t="s">
        <v>10</v>
      </c>
      <c r="C43" s="12" t="s">
        <v>10</v>
      </c>
      <c r="D43" s="3" t="s">
        <v>10</v>
      </c>
      <c r="E43" s="3" t="s">
        <v>10</v>
      </c>
      <c r="F43" s="13" t="s">
        <v>10</v>
      </c>
      <c r="G43" s="13" t="s">
        <v>10</v>
      </c>
      <c r="H43" s="167"/>
    </row>
    <row r="44" spans="1:8" x14ac:dyDescent="0.2">
      <c r="A44" s="3" t="s">
        <v>10</v>
      </c>
      <c r="B44" s="3" t="s">
        <v>10</v>
      </c>
      <c r="C44" s="4" t="s">
        <v>105</v>
      </c>
      <c r="D44" s="3" t="s">
        <v>10</v>
      </c>
      <c r="E44" s="3" t="s">
        <v>10</v>
      </c>
      <c r="F44" s="3" t="s">
        <v>10</v>
      </c>
      <c r="G44" s="3" t="s">
        <v>10</v>
      </c>
      <c r="H44" s="167"/>
    </row>
    <row r="45" spans="1:8" x14ac:dyDescent="0.2">
      <c r="A45" s="3" t="s">
        <v>10</v>
      </c>
      <c r="B45" s="3" t="s">
        <v>10</v>
      </c>
      <c r="C45" s="4" t="s">
        <v>104</v>
      </c>
      <c r="D45" s="3" t="s">
        <v>10</v>
      </c>
      <c r="E45" s="3" t="s">
        <v>10</v>
      </c>
      <c r="F45" s="14">
        <v>0</v>
      </c>
      <c r="G45" s="15">
        <v>0</v>
      </c>
      <c r="H45" s="167"/>
    </row>
    <row r="46" spans="1:8" x14ac:dyDescent="0.2">
      <c r="A46" s="3" t="s">
        <v>10</v>
      </c>
      <c r="B46" s="3" t="s">
        <v>10</v>
      </c>
      <c r="C46" s="12" t="s">
        <v>10</v>
      </c>
      <c r="D46" s="3" t="s">
        <v>10</v>
      </c>
      <c r="E46" s="3" t="s">
        <v>10</v>
      </c>
      <c r="F46" s="13" t="s">
        <v>10</v>
      </c>
      <c r="G46" s="13" t="s">
        <v>10</v>
      </c>
      <c r="H46" s="167"/>
    </row>
    <row r="47" spans="1:8" x14ac:dyDescent="0.2">
      <c r="A47" s="3" t="s">
        <v>10</v>
      </c>
      <c r="B47" s="3" t="s">
        <v>10</v>
      </c>
      <c r="C47" s="4" t="s">
        <v>106</v>
      </c>
      <c r="D47" s="3" t="s">
        <v>10</v>
      </c>
      <c r="E47" s="3" t="s">
        <v>10</v>
      </c>
      <c r="F47" s="3" t="s">
        <v>10</v>
      </c>
      <c r="G47" s="3" t="s">
        <v>10</v>
      </c>
      <c r="H47" s="167"/>
    </row>
    <row r="48" spans="1:8" x14ac:dyDescent="0.2">
      <c r="A48" s="3" t="s">
        <v>10</v>
      </c>
      <c r="B48" s="3" t="s">
        <v>10</v>
      </c>
      <c r="C48" s="4" t="s">
        <v>104</v>
      </c>
      <c r="D48" s="3" t="s">
        <v>10</v>
      </c>
      <c r="E48" s="3" t="s">
        <v>10</v>
      </c>
      <c r="F48" s="14">
        <v>0</v>
      </c>
      <c r="G48" s="15">
        <v>0</v>
      </c>
      <c r="H48" s="167"/>
    </row>
    <row r="49" spans="1:8" x14ac:dyDescent="0.2">
      <c r="A49" s="3" t="s">
        <v>10</v>
      </c>
      <c r="B49" s="3" t="s">
        <v>10</v>
      </c>
      <c r="C49" s="12" t="s">
        <v>10</v>
      </c>
      <c r="D49" s="3" t="s">
        <v>10</v>
      </c>
      <c r="E49" s="3" t="s">
        <v>10</v>
      </c>
      <c r="F49" s="13" t="s">
        <v>10</v>
      </c>
      <c r="G49" s="13" t="s">
        <v>10</v>
      </c>
      <c r="H49" s="167"/>
    </row>
    <row r="50" spans="1:8" x14ac:dyDescent="0.2">
      <c r="A50" s="3" t="s">
        <v>10</v>
      </c>
      <c r="B50" s="3" t="s">
        <v>10</v>
      </c>
      <c r="C50" s="4" t="s">
        <v>110</v>
      </c>
      <c r="D50" s="3" t="s">
        <v>10</v>
      </c>
      <c r="E50" s="3" t="s">
        <v>10</v>
      </c>
      <c r="F50" s="3" t="s">
        <v>10</v>
      </c>
      <c r="G50" s="3" t="s">
        <v>10</v>
      </c>
      <c r="H50" s="167"/>
    </row>
    <row r="51" spans="1:8" x14ac:dyDescent="0.2">
      <c r="A51" s="3" t="s">
        <v>10</v>
      </c>
      <c r="B51" s="3" t="s">
        <v>10</v>
      </c>
      <c r="C51" s="4" t="s">
        <v>104</v>
      </c>
      <c r="D51" s="3" t="s">
        <v>10</v>
      </c>
      <c r="E51" s="3" t="s">
        <v>10</v>
      </c>
      <c r="F51" s="14">
        <v>0</v>
      </c>
      <c r="G51" s="15">
        <v>0</v>
      </c>
      <c r="H51" s="167"/>
    </row>
    <row r="52" spans="1:8" x14ac:dyDescent="0.2">
      <c r="A52" s="3" t="s">
        <v>10</v>
      </c>
      <c r="B52" s="3" t="s">
        <v>10</v>
      </c>
      <c r="C52" s="12" t="s">
        <v>10</v>
      </c>
      <c r="D52" s="3" t="s">
        <v>10</v>
      </c>
      <c r="E52" s="3" t="s">
        <v>10</v>
      </c>
      <c r="F52" s="13" t="s">
        <v>10</v>
      </c>
      <c r="G52" s="1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111</v>
      </c>
      <c r="D53" s="3" t="s">
        <v>10</v>
      </c>
      <c r="E53" s="3" t="s">
        <v>10</v>
      </c>
      <c r="F53" s="13" t="s">
        <v>10</v>
      </c>
      <c r="G53" s="13" t="s">
        <v>10</v>
      </c>
      <c r="H53" s="167"/>
    </row>
    <row r="54" spans="1:8" x14ac:dyDescent="0.2">
      <c r="A54" s="3" t="s">
        <v>10</v>
      </c>
      <c r="B54" s="3" t="s">
        <v>10</v>
      </c>
      <c r="C54" s="4" t="s">
        <v>104</v>
      </c>
      <c r="D54" s="3" t="s">
        <v>10</v>
      </c>
      <c r="E54" s="3" t="s">
        <v>10</v>
      </c>
      <c r="F54" s="14">
        <v>0</v>
      </c>
      <c r="G54" s="15">
        <v>0</v>
      </c>
      <c r="H54" s="167"/>
    </row>
    <row r="55" spans="1:8" x14ac:dyDescent="0.2">
      <c r="A55" s="3" t="s">
        <v>10</v>
      </c>
      <c r="B55" s="3" t="s">
        <v>10</v>
      </c>
      <c r="C55" s="12" t="s">
        <v>10</v>
      </c>
      <c r="D55" s="3" t="s">
        <v>10</v>
      </c>
      <c r="E55" s="3" t="s">
        <v>10</v>
      </c>
      <c r="F55" s="13" t="s">
        <v>10</v>
      </c>
      <c r="G55" s="1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112</v>
      </c>
      <c r="D56" s="3" t="s">
        <v>10</v>
      </c>
      <c r="E56" s="3" t="s">
        <v>10</v>
      </c>
      <c r="F56" s="13" t="s">
        <v>10</v>
      </c>
      <c r="G56" s="13" t="s">
        <v>10</v>
      </c>
      <c r="H56" s="167"/>
    </row>
    <row r="57" spans="1:8" x14ac:dyDescent="0.2">
      <c r="A57" s="3" t="s">
        <v>10</v>
      </c>
      <c r="B57" s="3" t="s">
        <v>10</v>
      </c>
      <c r="C57" s="4" t="s">
        <v>104</v>
      </c>
      <c r="D57" s="3" t="s">
        <v>10</v>
      </c>
      <c r="E57" s="3" t="s">
        <v>10</v>
      </c>
      <c r="F57" s="14">
        <v>0</v>
      </c>
      <c r="G57" s="15">
        <v>0</v>
      </c>
      <c r="H57" s="167"/>
    </row>
    <row r="58" spans="1:8" x14ac:dyDescent="0.2">
      <c r="A58" s="3" t="s">
        <v>10</v>
      </c>
      <c r="B58" s="3" t="s">
        <v>10</v>
      </c>
      <c r="C58" s="12" t="s">
        <v>10</v>
      </c>
      <c r="D58" s="3" t="s">
        <v>10</v>
      </c>
      <c r="E58" s="3" t="s">
        <v>10</v>
      </c>
      <c r="F58" s="13" t="s">
        <v>10</v>
      </c>
      <c r="G58" s="1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113</v>
      </c>
      <c r="D59" s="3" t="s">
        <v>10</v>
      </c>
      <c r="E59" s="3" t="s">
        <v>10</v>
      </c>
      <c r="F59" s="10">
        <v>3646.9510725</v>
      </c>
      <c r="G59" s="11">
        <v>0.95539122399999998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114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ht="25.5" x14ac:dyDescent="0.2">
      <c r="A62" s="3" t="s">
        <v>10</v>
      </c>
      <c r="B62" s="3" t="s">
        <v>10</v>
      </c>
      <c r="C62" s="4" t="s">
        <v>12</v>
      </c>
      <c r="D62" s="3" t="s">
        <v>10</v>
      </c>
      <c r="E62" s="3" t="s">
        <v>10</v>
      </c>
      <c r="F62" s="13" t="s">
        <v>10</v>
      </c>
      <c r="G62" s="13" t="s">
        <v>10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0</v>
      </c>
      <c r="G63" s="15">
        <v>0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115</v>
      </c>
      <c r="D65" s="3" t="s">
        <v>10</v>
      </c>
      <c r="E65" s="3" t="s">
        <v>10</v>
      </c>
      <c r="F65" s="3" t="s">
        <v>10</v>
      </c>
      <c r="G65" s="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116</v>
      </c>
      <c r="D68" s="3" t="s">
        <v>10</v>
      </c>
      <c r="E68" s="3" t="s">
        <v>10</v>
      </c>
      <c r="F68" s="3" t="s">
        <v>10</v>
      </c>
      <c r="G68" s="3" t="s">
        <v>10</v>
      </c>
      <c r="H68" s="167"/>
    </row>
    <row r="69" spans="1:8" x14ac:dyDescent="0.2">
      <c r="A69" s="3" t="s">
        <v>10</v>
      </c>
      <c r="B69" s="3" t="s">
        <v>10</v>
      </c>
      <c r="C69" s="4" t="s">
        <v>104</v>
      </c>
      <c r="D69" s="3" t="s">
        <v>10</v>
      </c>
      <c r="E69" s="3" t="s">
        <v>10</v>
      </c>
      <c r="F69" s="14">
        <v>0</v>
      </c>
      <c r="G69" s="15">
        <v>0</v>
      </c>
      <c r="H69" s="167"/>
    </row>
    <row r="70" spans="1:8" x14ac:dyDescent="0.2">
      <c r="A70" s="3" t="s">
        <v>10</v>
      </c>
      <c r="B70" s="3" t="s">
        <v>10</v>
      </c>
      <c r="C70" s="12" t="s">
        <v>10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x14ac:dyDescent="0.2">
      <c r="A71" s="3" t="s">
        <v>10</v>
      </c>
      <c r="B71" s="3" t="s">
        <v>10</v>
      </c>
      <c r="C71" s="4" t="s">
        <v>117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118</v>
      </c>
      <c r="D74" s="3" t="s">
        <v>10</v>
      </c>
      <c r="E74" s="3" t="s">
        <v>10</v>
      </c>
      <c r="F74" s="10">
        <v>0</v>
      </c>
      <c r="G74" s="11">
        <v>0</v>
      </c>
      <c r="H74" s="167"/>
    </row>
    <row r="75" spans="1:8" x14ac:dyDescent="0.2">
      <c r="A75" s="3" t="s">
        <v>10</v>
      </c>
      <c r="B75" s="3" t="s">
        <v>10</v>
      </c>
      <c r="C75" s="12" t="s">
        <v>10</v>
      </c>
      <c r="D75" s="3" t="s">
        <v>10</v>
      </c>
      <c r="E75" s="3" t="s">
        <v>10</v>
      </c>
      <c r="F75" s="13" t="s">
        <v>10</v>
      </c>
      <c r="G75" s="13" t="s">
        <v>10</v>
      </c>
      <c r="H75" s="167"/>
    </row>
    <row r="76" spans="1:8" x14ac:dyDescent="0.2">
      <c r="A76" s="3" t="s">
        <v>10</v>
      </c>
      <c r="B76" s="3" t="s">
        <v>10</v>
      </c>
      <c r="C76" s="4" t="s">
        <v>119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120</v>
      </c>
      <c r="D77" s="3" t="s">
        <v>10</v>
      </c>
      <c r="E77" s="3" t="s">
        <v>10</v>
      </c>
      <c r="F77" s="13" t="s">
        <v>10</v>
      </c>
      <c r="G77" s="1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121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122</v>
      </c>
      <c r="D83" s="3" t="s">
        <v>10</v>
      </c>
      <c r="E83" s="3" t="s">
        <v>10</v>
      </c>
      <c r="F83" s="13" t="s">
        <v>10</v>
      </c>
      <c r="G83" s="13" t="s">
        <v>10</v>
      </c>
      <c r="H83" s="167"/>
    </row>
    <row r="84" spans="1:8" x14ac:dyDescent="0.2">
      <c r="A84" s="3" t="s">
        <v>10</v>
      </c>
      <c r="B84" s="3" t="s">
        <v>10</v>
      </c>
      <c r="C84" s="4" t="s">
        <v>104</v>
      </c>
      <c r="D84" s="3" t="s">
        <v>10</v>
      </c>
      <c r="E84" s="3" t="s">
        <v>10</v>
      </c>
      <c r="F84" s="14">
        <v>0</v>
      </c>
      <c r="G84" s="15">
        <v>0</v>
      </c>
      <c r="H84" s="167"/>
    </row>
    <row r="85" spans="1:8" x14ac:dyDescent="0.2">
      <c r="A85" s="3" t="s">
        <v>10</v>
      </c>
      <c r="B85" s="3" t="s">
        <v>10</v>
      </c>
      <c r="C85" s="12" t="s">
        <v>10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123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5">
        <v>1</v>
      </c>
      <c r="B87" s="6"/>
      <c r="C87" s="6" t="s">
        <v>124</v>
      </c>
      <c r="D87" s="6"/>
      <c r="E87" s="16" t="s">
        <v>10</v>
      </c>
      <c r="F87" s="8">
        <v>222.0440332</v>
      </c>
      <c r="G87" s="9">
        <v>5.8168841999999998E-2</v>
      </c>
      <c r="H87" s="108">
        <v>3.23</v>
      </c>
    </row>
    <row r="88" spans="1:8" x14ac:dyDescent="0.2">
      <c r="A88" s="5">
        <v>2</v>
      </c>
      <c r="B88" s="6"/>
      <c r="C88" s="6" t="s">
        <v>125</v>
      </c>
      <c r="D88" s="6"/>
      <c r="E88" s="16" t="s">
        <v>10</v>
      </c>
      <c r="F88" s="8">
        <v>62.369897399999999</v>
      </c>
      <c r="G88" s="9">
        <v>1.6339032999999999E-2</v>
      </c>
      <c r="H88" s="108">
        <v>3.35</v>
      </c>
    </row>
    <row r="89" spans="1:8" x14ac:dyDescent="0.2">
      <c r="A89" s="3" t="s">
        <v>10</v>
      </c>
      <c r="B89" s="3" t="s">
        <v>10</v>
      </c>
      <c r="C89" s="4" t="s">
        <v>104</v>
      </c>
      <c r="D89" s="3" t="s">
        <v>10</v>
      </c>
      <c r="E89" s="3" t="s">
        <v>10</v>
      </c>
      <c r="F89" s="10">
        <v>284.41393060000001</v>
      </c>
      <c r="G89" s="11">
        <v>7.4507875000000001E-2</v>
      </c>
      <c r="H89" s="167"/>
    </row>
    <row r="90" spans="1:8" x14ac:dyDescent="0.2">
      <c r="A90" s="3" t="s">
        <v>10</v>
      </c>
      <c r="B90" s="3" t="s">
        <v>10</v>
      </c>
      <c r="C90" s="12" t="s">
        <v>10</v>
      </c>
      <c r="D90" s="3" t="s">
        <v>10</v>
      </c>
      <c r="E90" s="3" t="s">
        <v>10</v>
      </c>
      <c r="F90" s="13" t="s">
        <v>10</v>
      </c>
      <c r="G90" s="13" t="s">
        <v>10</v>
      </c>
      <c r="H90" s="167"/>
    </row>
    <row r="91" spans="1:8" x14ac:dyDescent="0.2">
      <c r="A91" s="3" t="s">
        <v>10</v>
      </c>
      <c r="B91" s="3" t="s">
        <v>10</v>
      </c>
      <c r="C91" s="4" t="s">
        <v>126</v>
      </c>
      <c r="D91" s="3" t="s">
        <v>10</v>
      </c>
      <c r="E91" s="3" t="s">
        <v>10</v>
      </c>
      <c r="F91" s="10">
        <v>284.41393060000001</v>
      </c>
      <c r="G91" s="11">
        <v>7.4507875000000001E-2</v>
      </c>
      <c r="H91" s="167"/>
    </row>
    <row r="92" spans="1:8" x14ac:dyDescent="0.2">
      <c r="A92" s="3" t="s">
        <v>10</v>
      </c>
      <c r="B92" s="3" t="s">
        <v>10</v>
      </c>
      <c r="C92" s="13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127</v>
      </c>
      <c r="D93" s="3" t="s">
        <v>10</v>
      </c>
      <c r="E93" s="3" t="s">
        <v>10</v>
      </c>
      <c r="F93" s="3" t="s">
        <v>10</v>
      </c>
      <c r="G93" s="3" t="s">
        <v>10</v>
      </c>
      <c r="H93" s="167"/>
    </row>
    <row r="94" spans="1:8" x14ac:dyDescent="0.2">
      <c r="A94" s="3" t="s">
        <v>10</v>
      </c>
      <c r="B94" s="3" t="s">
        <v>10</v>
      </c>
      <c r="C94" s="4" t="s">
        <v>128</v>
      </c>
      <c r="D94" s="3" t="s">
        <v>10</v>
      </c>
      <c r="E94" s="3" t="s">
        <v>10</v>
      </c>
      <c r="F94" s="3" t="s">
        <v>10</v>
      </c>
      <c r="G94" s="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104</v>
      </c>
      <c r="D95" s="3" t="s">
        <v>10</v>
      </c>
      <c r="E95" s="3" t="s">
        <v>10</v>
      </c>
      <c r="F95" s="14">
        <v>0</v>
      </c>
      <c r="G95" s="15">
        <v>0</v>
      </c>
      <c r="H95" s="167"/>
    </row>
    <row r="96" spans="1:8" x14ac:dyDescent="0.2">
      <c r="A96" s="3" t="s">
        <v>10</v>
      </c>
      <c r="B96" s="3" t="s">
        <v>10</v>
      </c>
      <c r="C96" s="12" t="s">
        <v>10</v>
      </c>
      <c r="D96" s="3" t="s">
        <v>10</v>
      </c>
      <c r="E96" s="3" t="s">
        <v>10</v>
      </c>
      <c r="F96" s="13" t="s">
        <v>10</v>
      </c>
      <c r="G96" s="13" t="s">
        <v>10</v>
      </c>
      <c r="H96" s="167"/>
    </row>
    <row r="97" spans="1:8" x14ac:dyDescent="0.2">
      <c r="A97" s="3" t="s">
        <v>10</v>
      </c>
      <c r="B97" s="3" t="s">
        <v>10</v>
      </c>
      <c r="C97" s="4" t="s">
        <v>129</v>
      </c>
      <c r="D97" s="3" t="s">
        <v>10</v>
      </c>
      <c r="E97" s="3" t="s">
        <v>10</v>
      </c>
      <c r="F97" s="3" t="s">
        <v>10</v>
      </c>
      <c r="G97" s="3" t="s">
        <v>10</v>
      </c>
      <c r="H97" s="167"/>
    </row>
    <row r="98" spans="1:8" x14ac:dyDescent="0.2">
      <c r="A98" s="3" t="s">
        <v>10</v>
      </c>
      <c r="B98" s="3" t="s">
        <v>10</v>
      </c>
      <c r="C98" s="4" t="s">
        <v>130</v>
      </c>
      <c r="D98" s="3" t="s">
        <v>10</v>
      </c>
      <c r="E98" s="3" t="s">
        <v>10</v>
      </c>
      <c r="F98" s="3" t="s">
        <v>10</v>
      </c>
      <c r="G98" s="3" t="s">
        <v>10</v>
      </c>
      <c r="H98" s="167"/>
    </row>
    <row r="99" spans="1:8" x14ac:dyDescent="0.2">
      <c r="A99" s="3" t="s">
        <v>10</v>
      </c>
      <c r="B99" s="3" t="s">
        <v>10</v>
      </c>
      <c r="C99" s="4" t="s">
        <v>104</v>
      </c>
      <c r="D99" s="3" t="s">
        <v>10</v>
      </c>
      <c r="E99" s="3" t="s">
        <v>10</v>
      </c>
      <c r="F99" s="14">
        <v>0</v>
      </c>
      <c r="G99" s="15">
        <v>0</v>
      </c>
      <c r="H99" s="167"/>
    </row>
    <row r="100" spans="1:8" x14ac:dyDescent="0.2">
      <c r="A100" s="3" t="s">
        <v>10</v>
      </c>
      <c r="B100" s="3" t="s">
        <v>10</v>
      </c>
      <c r="C100" s="12" t="s">
        <v>10</v>
      </c>
      <c r="D100" s="3" t="s">
        <v>10</v>
      </c>
      <c r="E100" s="3" t="s">
        <v>10</v>
      </c>
      <c r="F100" s="13" t="s">
        <v>10</v>
      </c>
      <c r="G100" s="13" t="s">
        <v>10</v>
      </c>
      <c r="H100" s="167"/>
    </row>
    <row r="101" spans="1:8" x14ac:dyDescent="0.2">
      <c r="A101" s="3" t="s">
        <v>10</v>
      </c>
      <c r="B101" s="3" t="s">
        <v>10</v>
      </c>
      <c r="C101" s="12" t="s">
        <v>10</v>
      </c>
      <c r="D101" s="3" t="s">
        <v>10</v>
      </c>
      <c r="E101" s="3" t="s">
        <v>10</v>
      </c>
      <c r="F101" s="13" t="s">
        <v>10</v>
      </c>
      <c r="G101" s="13" t="s">
        <v>10</v>
      </c>
      <c r="H101" s="167"/>
    </row>
    <row r="102" spans="1:8" ht="25.5" x14ac:dyDescent="0.2">
      <c r="A102" s="3" t="s">
        <v>10</v>
      </c>
      <c r="B102" s="3" t="s">
        <v>10</v>
      </c>
      <c r="C102" s="4" t="s">
        <v>131</v>
      </c>
      <c r="D102" s="3" t="s">
        <v>10</v>
      </c>
      <c r="E102" s="3" t="s">
        <v>10</v>
      </c>
      <c r="F102" s="13" t="s">
        <v>10</v>
      </c>
      <c r="G102" s="1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104</v>
      </c>
      <c r="D103" s="3" t="s">
        <v>10</v>
      </c>
      <c r="E103" s="3" t="s">
        <v>10</v>
      </c>
      <c r="F103" s="14">
        <v>0</v>
      </c>
      <c r="G103" s="15">
        <v>0</v>
      </c>
      <c r="H103" s="167"/>
    </row>
    <row r="104" spans="1:8" x14ac:dyDescent="0.2">
      <c r="A104" s="3" t="s">
        <v>10</v>
      </c>
      <c r="B104" s="3" t="s">
        <v>10</v>
      </c>
      <c r="C104" s="12" t="s">
        <v>10</v>
      </c>
      <c r="D104" s="3" t="s">
        <v>10</v>
      </c>
      <c r="E104" s="3" t="s">
        <v>10</v>
      </c>
      <c r="F104" s="13" t="s">
        <v>10</v>
      </c>
      <c r="G104" s="13" t="s">
        <v>10</v>
      </c>
      <c r="H104" s="167"/>
    </row>
    <row r="105" spans="1:8" x14ac:dyDescent="0.2">
      <c r="A105" s="3" t="s">
        <v>10</v>
      </c>
      <c r="B105" s="6" t="s">
        <v>10</v>
      </c>
      <c r="C105" s="6" t="s">
        <v>10</v>
      </c>
      <c r="D105" s="4" t="s">
        <v>10</v>
      </c>
      <c r="E105" s="3" t="s">
        <v>10</v>
      </c>
      <c r="F105" s="6" t="s">
        <v>10</v>
      </c>
      <c r="G105" s="16" t="s">
        <v>10</v>
      </c>
      <c r="H105" s="167"/>
    </row>
    <row r="106" spans="1:8" x14ac:dyDescent="0.2">
      <c r="A106" s="16" t="s">
        <v>10</v>
      </c>
      <c r="B106" s="6" t="s">
        <v>10</v>
      </c>
      <c r="C106" s="6" t="s">
        <v>132</v>
      </c>
      <c r="D106" s="6" t="s">
        <v>10</v>
      </c>
      <c r="E106" s="16" t="s">
        <v>10</v>
      </c>
      <c r="F106" s="8">
        <v>-114.131829</v>
      </c>
      <c r="G106" s="9">
        <v>-2.9899097999999999E-2</v>
      </c>
      <c r="H106" s="167"/>
    </row>
    <row r="107" spans="1:8" x14ac:dyDescent="0.2">
      <c r="A107" s="12" t="s">
        <v>10</v>
      </c>
      <c r="B107" s="12" t="s">
        <v>10</v>
      </c>
      <c r="C107" s="4" t="s">
        <v>133</v>
      </c>
      <c r="D107" s="17" t="s">
        <v>10</v>
      </c>
      <c r="E107" s="17" t="s">
        <v>10</v>
      </c>
      <c r="F107" s="10">
        <v>3817.2331740999998</v>
      </c>
      <c r="G107" s="11">
        <v>1.0000000010000001</v>
      </c>
      <c r="H107" s="167"/>
    </row>
    <row r="108" spans="1:8" ht="14.1" customHeight="1" x14ac:dyDescent="0.2">
      <c r="A108" s="18" t="s">
        <v>10</v>
      </c>
      <c r="B108" s="18" t="s">
        <v>10</v>
      </c>
      <c r="C108" s="18" t="s">
        <v>10</v>
      </c>
      <c r="D108" s="19" t="s">
        <v>10</v>
      </c>
      <c r="E108" s="19" t="s">
        <v>10</v>
      </c>
      <c r="F108" s="19" t="s">
        <v>10</v>
      </c>
      <c r="G108" s="19" t="s">
        <v>10</v>
      </c>
    </row>
    <row r="109" spans="1:8" ht="14.1" customHeight="1" x14ac:dyDescent="0.2">
      <c r="A109" s="20" t="s">
        <v>10</v>
      </c>
      <c r="B109" s="208" t="s">
        <v>10</v>
      </c>
      <c r="C109" s="208"/>
      <c r="D109" s="208"/>
      <c r="E109" s="208"/>
      <c r="F109" s="208"/>
      <c r="G109" s="22"/>
    </row>
    <row r="110" spans="1:8" ht="14.1" customHeight="1" x14ac:dyDescent="0.2">
      <c r="A110" s="20" t="s">
        <v>10</v>
      </c>
      <c r="B110" s="208" t="s">
        <v>10</v>
      </c>
      <c r="C110" s="208"/>
      <c r="D110" s="208"/>
      <c r="E110" s="208"/>
      <c r="F110" s="208"/>
      <c r="G110" s="22"/>
    </row>
    <row r="111" spans="1:8" ht="14.1" customHeight="1" x14ac:dyDescent="0.2">
      <c r="A111" s="20" t="s">
        <v>10</v>
      </c>
      <c r="B111" s="20" t="s">
        <v>10</v>
      </c>
      <c r="C111" s="20" t="s">
        <v>10</v>
      </c>
      <c r="D111" s="22" t="s">
        <v>10</v>
      </c>
      <c r="E111" s="22" t="s">
        <v>10</v>
      </c>
      <c r="F111" s="22" t="s">
        <v>10</v>
      </c>
      <c r="G111" s="22"/>
    </row>
    <row r="112" spans="1:8" ht="14.1" customHeight="1" x14ac:dyDescent="0.2">
      <c r="A112" s="20" t="s">
        <v>10</v>
      </c>
      <c r="B112" s="206" t="s">
        <v>134</v>
      </c>
      <c r="C112" s="207"/>
      <c r="D112" s="13" t="s">
        <v>10</v>
      </c>
      <c r="E112" s="23" t="s">
        <v>10</v>
      </c>
      <c r="F112" s="22" t="s">
        <v>10</v>
      </c>
      <c r="G112" s="22"/>
    </row>
    <row r="113" spans="1:7" ht="29.1" customHeight="1" x14ac:dyDescent="0.2">
      <c r="A113" s="20" t="s">
        <v>10</v>
      </c>
      <c r="B113" s="213" t="s">
        <v>135</v>
      </c>
      <c r="C113" s="214"/>
      <c r="D113" s="4" t="s">
        <v>136</v>
      </c>
      <c r="E113" s="23" t="s">
        <v>10</v>
      </c>
      <c r="F113" s="22" t="s">
        <v>10</v>
      </c>
      <c r="G113" s="22"/>
    </row>
    <row r="114" spans="1:7" ht="17.100000000000001" customHeight="1" x14ac:dyDescent="0.2">
      <c r="A114" s="20" t="s">
        <v>10</v>
      </c>
      <c r="B114" s="213" t="s">
        <v>137</v>
      </c>
      <c r="C114" s="214"/>
      <c r="D114" s="4" t="s">
        <v>136</v>
      </c>
      <c r="E114" s="23" t="s">
        <v>10</v>
      </c>
      <c r="F114" s="22" t="s">
        <v>10</v>
      </c>
      <c r="G114" s="22"/>
    </row>
    <row r="115" spans="1:7" ht="17.100000000000001" customHeight="1" x14ac:dyDescent="0.2">
      <c r="A115" s="20" t="s">
        <v>10</v>
      </c>
      <c r="B115" s="213" t="s">
        <v>138</v>
      </c>
      <c r="C115" s="214"/>
      <c r="D115" s="13" t="s">
        <v>10</v>
      </c>
      <c r="E115" s="23" t="s">
        <v>10</v>
      </c>
      <c r="F115" s="22" t="s">
        <v>10</v>
      </c>
      <c r="G115" s="22"/>
    </row>
    <row r="116" spans="1:7" s="20" customFormat="1" ht="17.100000000000001" customHeight="1" x14ac:dyDescent="0.2"/>
    <row r="117" spans="1:7" x14ac:dyDescent="0.2">
      <c r="A117" s="24" t="s">
        <v>10</v>
      </c>
      <c r="B117" s="140" t="s">
        <v>10</v>
      </c>
      <c r="C117" s="140" t="s">
        <v>139</v>
      </c>
      <c r="D117" s="140" t="s">
        <v>140</v>
      </c>
      <c r="E117" s="24" t="s">
        <v>10</v>
      </c>
      <c r="F117" s="24" t="s">
        <v>10</v>
      </c>
      <c r="G117" s="24"/>
    </row>
    <row r="118" spans="1:7" ht="18" customHeight="1" x14ac:dyDescent="0.2">
      <c r="A118" s="24" t="s">
        <v>10</v>
      </c>
      <c r="B118" s="25" t="s">
        <v>141</v>
      </c>
      <c r="C118" s="25" t="s">
        <v>142</v>
      </c>
      <c r="D118" s="25" t="s">
        <v>143</v>
      </c>
      <c r="E118" s="24" t="s">
        <v>10</v>
      </c>
      <c r="F118" s="24" t="s">
        <v>10</v>
      </c>
      <c r="G118" s="24" t="s">
        <v>10</v>
      </c>
    </row>
    <row r="119" spans="1:7" ht="17.100000000000001" customHeight="1" x14ac:dyDescent="0.2">
      <c r="A119" s="24" t="s">
        <v>10</v>
      </c>
      <c r="B119" s="6" t="s">
        <v>144</v>
      </c>
      <c r="C119" s="26">
        <v>11.9794</v>
      </c>
      <c r="D119" s="26">
        <v>13.3002</v>
      </c>
      <c r="E119" s="24" t="s">
        <v>10</v>
      </c>
      <c r="F119" s="21" t="s">
        <v>10</v>
      </c>
      <c r="G119" s="27" t="s">
        <v>10</v>
      </c>
    </row>
    <row r="120" spans="1:7" ht="17.100000000000001" customHeight="1" x14ac:dyDescent="0.2">
      <c r="A120" s="24" t="s">
        <v>10</v>
      </c>
      <c r="B120" s="6" t="s">
        <v>917</v>
      </c>
      <c r="C120" s="26">
        <v>11.978999999999999</v>
      </c>
      <c r="D120" s="26">
        <v>13.2997</v>
      </c>
      <c r="E120" s="24" t="s">
        <v>10</v>
      </c>
      <c r="F120" s="21" t="s">
        <v>10</v>
      </c>
      <c r="G120" s="27" t="s">
        <v>10</v>
      </c>
    </row>
    <row r="121" spans="1:7" ht="17.100000000000001" customHeight="1" x14ac:dyDescent="0.2">
      <c r="A121" s="24" t="s">
        <v>10</v>
      </c>
      <c r="B121" s="6" t="s">
        <v>145</v>
      </c>
      <c r="C121" s="26">
        <v>11.661199999999999</v>
      </c>
      <c r="D121" s="26">
        <v>12.941000000000001</v>
      </c>
      <c r="E121" s="24" t="s">
        <v>10</v>
      </c>
      <c r="F121" s="21" t="s">
        <v>10</v>
      </c>
      <c r="G121" s="27" t="s">
        <v>10</v>
      </c>
    </row>
    <row r="122" spans="1:7" ht="17.100000000000001" customHeight="1" x14ac:dyDescent="0.2">
      <c r="A122" s="24" t="s">
        <v>10</v>
      </c>
      <c r="B122" s="6" t="s">
        <v>918</v>
      </c>
      <c r="C122" s="26">
        <v>11.661199999999999</v>
      </c>
      <c r="D122" s="26">
        <v>12.941000000000001</v>
      </c>
      <c r="E122" s="24" t="s">
        <v>10</v>
      </c>
      <c r="F122" s="21" t="s">
        <v>10</v>
      </c>
      <c r="G122" s="27" t="s">
        <v>10</v>
      </c>
    </row>
    <row r="123" spans="1:7" ht="14.1" customHeight="1" x14ac:dyDescent="0.2">
      <c r="A123" s="24" t="s">
        <v>10</v>
      </c>
      <c r="B123" s="24" t="s">
        <v>10</v>
      </c>
      <c r="C123" s="24" t="s">
        <v>10</v>
      </c>
      <c r="D123" s="24" t="s">
        <v>10</v>
      </c>
      <c r="E123" s="24" t="s">
        <v>10</v>
      </c>
      <c r="F123" s="24" t="s">
        <v>10</v>
      </c>
      <c r="G123" s="24" t="s">
        <v>10</v>
      </c>
    </row>
    <row r="124" spans="1:7" ht="17.100000000000001" customHeight="1" x14ac:dyDescent="0.2">
      <c r="A124" s="24" t="s">
        <v>10</v>
      </c>
      <c r="B124" s="213" t="s">
        <v>999</v>
      </c>
      <c r="C124" s="214"/>
      <c r="D124" s="4" t="s">
        <v>136</v>
      </c>
      <c r="E124" s="24" t="s">
        <v>10</v>
      </c>
      <c r="F124" s="24" t="s">
        <v>10</v>
      </c>
      <c r="G124" s="24" t="s">
        <v>10</v>
      </c>
    </row>
    <row r="125" spans="1:7" ht="18" customHeight="1" x14ac:dyDescent="0.2">
      <c r="A125" s="24" t="s">
        <v>10</v>
      </c>
      <c r="B125" s="28"/>
      <c r="C125" s="28"/>
      <c r="D125" s="29" t="s">
        <v>10</v>
      </c>
      <c r="E125" s="24" t="s">
        <v>10</v>
      </c>
      <c r="F125" s="24" t="s">
        <v>10</v>
      </c>
      <c r="G125" s="24" t="s">
        <v>10</v>
      </c>
    </row>
    <row r="126" spans="1:7" s="175" customFormat="1" x14ac:dyDescent="0.2">
      <c r="B126" s="221" t="s">
        <v>919</v>
      </c>
      <c r="C126" s="221"/>
      <c r="D126" s="221"/>
      <c r="E126" s="221"/>
      <c r="F126" s="221"/>
    </row>
    <row r="127" spans="1:7" ht="14.1" customHeight="1" x14ac:dyDescent="0.2">
      <c r="A127" s="24" t="s">
        <v>10</v>
      </c>
      <c r="B127" s="21" t="s">
        <v>10</v>
      </c>
      <c r="C127" s="21" t="s">
        <v>10</v>
      </c>
      <c r="D127" s="24" t="s">
        <v>10</v>
      </c>
      <c r="E127" s="24" t="s">
        <v>10</v>
      </c>
      <c r="F127" s="24" t="s">
        <v>10</v>
      </c>
      <c r="G127" s="24" t="s">
        <v>10</v>
      </c>
    </row>
    <row r="128" spans="1:7" ht="29.1" customHeight="1" x14ac:dyDescent="0.2">
      <c r="A128" s="24" t="s">
        <v>10</v>
      </c>
      <c r="B128" s="213" t="s">
        <v>146</v>
      </c>
      <c r="C128" s="214"/>
      <c r="D128" s="4" t="s">
        <v>136</v>
      </c>
      <c r="E128" s="24" t="s">
        <v>10</v>
      </c>
      <c r="F128" s="24" t="s">
        <v>10</v>
      </c>
      <c r="G128" s="24" t="s">
        <v>10</v>
      </c>
    </row>
    <row r="129" spans="1:7" ht="29.1" customHeight="1" x14ac:dyDescent="0.2">
      <c r="A129" s="24" t="s">
        <v>10</v>
      </c>
      <c r="B129" s="213" t="s">
        <v>147</v>
      </c>
      <c r="C129" s="214"/>
      <c r="D129" s="4" t="s">
        <v>136</v>
      </c>
      <c r="E129" s="24" t="s">
        <v>10</v>
      </c>
      <c r="F129" s="24" t="s">
        <v>10</v>
      </c>
      <c r="G129" s="24" t="s">
        <v>10</v>
      </c>
    </row>
    <row r="130" spans="1:7" ht="17.100000000000001" customHeight="1" x14ac:dyDescent="0.2">
      <c r="A130" s="24" t="s">
        <v>10</v>
      </c>
      <c r="B130" s="213" t="s">
        <v>148</v>
      </c>
      <c r="C130" s="214"/>
      <c r="D130" s="30">
        <v>0.64284527156404647</v>
      </c>
      <c r="E130" s="24" t="s">
        <v>10</v>
      </c>
      <c r="F130" s="21" t="s">
        <v>10</v>
      </c>
      <c r="G130" s="27" t="s">
        <v>10</v>
      </c>
    </row>
    <row r="131" spans="1:7" ht="17.100000000000001" customHeight="1" x14ac:dyDescent="0.2">
      <c r="A131" s="24" t="s">
        <v>10</v>
      </c>
      <c r="B131" s="213" t="s">
        <v>149</v>
      </c>
      <c r="C131" s="214"/>
      <c r="D131" s="4" t="s">
        <v>136</v>
      </c>
      <c r="E131" s="24" t="s">
        <v>10</v>
      </c>
      <c r="F131" s="24" t="s">
        <v>10</v>
      </c>
      <c r="G131" s="24" t="s">
        <v>10</v>
      </c>
    </row>
  </sheetData>
  <mergeCells count="15">
    <mergeCell ref="B130:C130"/>
    <mergeCell ref="B131:C131"/>
    <mergeCell ref="B113:C113"/>
    <mergeCell ref="B114:C114"/>
    <mergeCell ref="B115:C115"/>
    <mergeCell ref="B124:C124"/>
    <mergeCell ref="B128:C128"/>
    <mergeCell ref="B129:C129"/>
    <mergeCell ref="B126:F126"/>
    <mergeCell ref="B112:C112"/>
    <mergeCell ref="B109:F109"/>
    <mergeCell ref="B110:F11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H140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09" t="s">
        <v>0</v>
      </c>
      <c r="B1" s="209"/>
      <c r="C1" s="209"/>
      <c r="D1" s="209"/>
      <c r="E1" s="209"/>
      <c r="F1" s="209"/>
      <c r="G1" s="209"/>
      <c r="H1" s="209"/>
    </row>
    <row r="2" spans="1:8" ht="15" x14ac:dyDescent="0.2">
      <c r="A2" s="210" t="s">
        <v>746</v>
      </c>
      <c r="B2" s="211"/>
      <c r="C2" s="211"/>
      <c r="D2" s="211"/>
      <c r="E2" s="211"/>
      <c r="F2" s="211"/>
      <c r="G2" s="211"/>
      <c r="H2" s="212"/>
    </row>
    <row r="3" spans="1:8" ht="15" x14ac:dyDescent="0.2">
      <c r="A3" s="209" t="s">
        <v>2</v>
      </c>
      <c r="B3" s="209"/>
      <c r="C3" s="209"/>
      <c r="D3" s="209"/>
      <c r="E3" s="209"/>
      <c r="F3" s="209"/>
      <c r="G3" s="209"/>
      <c r="H3" s="209"/>
    </row>
    <row r="4" spans="1:8" ht="30" x14ac:dyDescent="0.2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2" t="s">
        <v>8</v>
      </c>
      <c r="G4" s="2" t="s">
        <v>9</v>
      </c>
      <c r="H4" s="166" t="s">
        <v>905</v>
      </c>
    </row>
    <row r="5" spans="1:8" x14ac:dyDescent="0.2">
      <c r="A5" s="3" t="s">
        <v>10</v>
      </c>
      <c r="B5" s="3" t="s">
        <v>10</v>
      </c>
      <c r="C5" s="4" t="s">
        <v>11</v>
      </c>
      <c r="D5" s="3" t="s">
        <v>10</v>
      </c>
      <c r="E5" s="3" t="s">
        <v>10</v>
      </c>
      <c r="F5" s="3" t="s">
        <v>10</v>
      </c>
      <c r="G5" s="3" t="s">
        <v>10</v>
      </c>
      <c r="H5" s="167"/>
    </row>
    <row r="6" spans="1:8" ht="25.5" x14ac:dyDescent="0.2">
      <c r="A6" s="3" t="s">
        <v>10</v>
      </c>
      <c r="B6" s="3" t="s">
        <v>10</v>
      </c>
      <c r="C6" s="4" t="s">
        <v>12</v>
      </c>
      <c r="D6" s="3" t="s">
        <v>10</v>
      </c>
      <c r="E6" s="3" t="s">
        <v>10</v>
      </c>
      <c r="F6" s="3" t="s">
        <v>10</v>
      </c>
      <c r="G6" s="3" t="s">
        <v>10</v>
      </c>
      <c r="H6" s="167"/>
    </row>
    <row r="7" spans="1:8" x14ac:dyDescent="0.2">
      <c r="A7" s="5">
        <v>1</v>
      </c>
      <c r="B7" s="6" t="s">
        <v>21</v>
      </c>
      <c r="C7" s="6" t="s">
        <v>22</v>
      </c>
      <c r="D7" s="6" t="s">
        <v>23</v>
      </c>
      <c r="E7" s="7">
        <v>180295</v>
      </c>
      <c r="F7" s="8">
        <v>1194.9051125000001</v>
      </c>
      <c r="G7" s="9">
        <v>7.6148394999999994E-2</v>
      </c>
      <c r="H7" s="167"/>
    </row>
    <row r="8" spans="1:8" x14ac:dyDescent="0.2">
      <c r="A8" s="5">
        <v>2</v>
      </c>
      <c r="B8" s="6" t="s">
        <v>403</v>
      </c>
      <c r="C8" s="6" t="s">
        <v>404</v>
      </c>
      <c r="D8" s="6" t="s">
        <v>23</v>
      </c>
      <c r="E8" s="7">
        <v>264724</v>
      </c>
      <c r="F8" s="8">
        <v>1123.3562939999999</v>
      </c>
      <c r="G8" s="9">
        <v>7.1588763E-2</v>
      </c>
      <c r="H8" s="167"/>
    </row>
    <row r="9" spans="1:8" x14ac:dyDescent="0.2">
      <c r="A9" s="5">
        <v>3</v>
      </c>
      <c r="B9" s="6" t="s">
        <v>370</v>
      </c>
      <c r="C9" s="6" t="s">
        <v>371</v>
      </c>
      <c r="D9" s="6" t="s">
        <v>23</v>
      </c>
      <c r="E9" s="7">
        <v>120791</v>
      </c>
      <c r="F9" s="8">
        <v>906.77803700000004</v>
      </c>
      <c r="G9" s="9">
        <v>5.7786757000000001E-2</v>
      </c>
      <c r="H9" s="167"/>
    </row>
    <row r="10" spans="1:8" x14ac:dyDescent="0.2">
      <c r="A10" s="5">
        <v>4</v>
      </c>
      <c r="B10" s="6" t="s">
        <v>13</v>
      </c>
      <c r="C10" s="6" t="s">
        <v>14</v>
      </c>
      <c r="D10" s="6" t="s">
        <v>15</v>
      </c>
      <c r="E10" s="7">
        <v>49460</v>
      </c>
      <c r="F10" s="8">
        <v>725.92442000000005</v>
      </c>
      <c r="G10" s="9">
        <v>4.6261397000000003E-2</v>
      </c>
      <c r="H10" s="167"/>
    </row>
    <row r="11" spans="1:8" x14ac:dyDescent="0.2">
      <c r="A11" s="5">
        <v>5</v>
      </c>
      <c r="B11" s="6" t="s">
        <v>24</v>
      </c>
      <c r="C11" s="6" t="s">
        <v>25</v>
      </c>
      <c r="D11" s="6" t="s">
        <v>26</v>
      </c>
      <c r="E11" s="7">
        <v>117223</v>
      </c>
      <c r="F11" s="8">
        <v>627.02582700000005</v>
      </c>
      <c r="G11" s="9">
        <v>3.9958830000000001E-2</v>
      </c>
      <c r="H11" s="167"/>
    </row>
    <row r="12" spans="1:8" x14ac:dyDescent="0.2">
      <c r="A12" s="5">
        <v>6</v>
      </c>
      <c r="B12" s="6" t="s">
        <v>347</v>
      </c>
      <c r="C12" s="6" t="s">
        <v>348</v>
      </c>
      <c r="D12" s="6" t="s">
        <v>23</v>
      </c>
      <c r="E12" s="7">
        <v>651045</v>
      </c>
      <c r="F12" s="8">
        <v>525.39331500000003</v>
      </c>
      <c r="G12" s="9">
        <v>3.3482036999999999E-2</v>
      </c>
      <c r="H12" s="167"/>
    </row>
    <row r="13" spans="1:8" x14ac:dyDescent="0.2">
      <c r="A13" s="5">
        <v>7</v>
      </c>
      <c r="B13" s="6" t="s">
        <v>202</v>
      </c>
      <c r="C13" s="6" t="s">
        <v>203</v>
      </c>
      <c r="D13" s="6" t="s">
        <v>57</v>
      </c>
      <c r="E13" s="7">
        <v>48594</v>
      </c>
      <c r="F13" s="8">
        <v>523.35738000000003</v>
      </c>
      <c r="G13" s="9">
        <v>3.3352291999999999E-2</v>
      </c>
      <c r="H13" s="167"/>
    </row>
    <row r="14" spans="1:8" x14ac:dyDescent="0.2">
      <c r="A14" s="5">
        <v>8</v>
      </c>
      <c r="B14" s="6" t="s">
        <v>61</v>
      </c>
      <c r="C14" s="6" t="s">
        <v>62</v>
      </c>
      <c r="D14" s="6" t="s">
        <v>18</v>
      </c>
      <c r="E14" s="7">
        <v>107368</v>
      </c>
      <c r="F14" s="8">
        <v>506.77695999999997</v>
      </c>
      <c r="G14" s="9">
        <v>3.2295662000000003E-2</v>
      </c>
      <c r="H14" s="167"/>
    </row>
    <row r="15" spans="1:8" ht="25.5" x14ac:dyDescent="0.2">
      <c r="A15" s="5">
        <v>9</v>
      </c>
      <c r="B15" s="6" t="s">
        <v>401</v>
      </c>
      <c r="C15" s="6" t="s">
        <v>402</v>
      </c>
      <c r="D15" s="6" t="s">
        <v>158</v>
      </c>
      <c r="E15" s="7">
        <v>19332</v>
      </c>
      <c r="F15" s="8">
        <v>493.51696199999998</v>
      </c>
      <c r="G15" s="9">
        <v>3.1450634999999998E-2</v>
      </c>
      <c r="H15" s="167"/>
    </row>
    <row r="16" spans="1:8" x14ac:dyDescent="0.2">
      <c r="A16" s="5">
        <v>10</v>
      </c>
      <c r="B16" s="6" t="s">
        <v>624</v>
      </c>
      <c r="C16" s="6" t="s">
        <v>625</v>
      </c>
      <c r="D16" s="6" t="s">
        <v>18</v>
      </c>
      <c r="E16" s="7">
        <v>417847</v>
      </c>
      <c r="F16" s="8">
        <v>456.49784749999998</v>
      </c>
      <c r="G16" s="9">
        <v>2.9091497000000001E-2</v>
      </c>
      <c r="H16" s="167"/>
    </row>
    <row r="17" spans="1:8" x14ac:dyDescent="0.2">
      <c r="A17" s="5">
        <v>11</v>
      </c>
      <c r="B17" s="6" t="s">
        <v>68</v>
      </c>
      <c r="C17" s="6" t="s">
        <v>69</v>
      </c>
      <c r="D17" s="6" t="s">
        <v>70</v>
      </c>
      <c r="E17" s="7">
        <v>281715</v>
      </c>
      <c r="F17" s="8">
        <v>450.60314249999999</v>
      </c>
      <c r="G17" s="9">
        <v>2.8715841999999998E-2</v>
      </c>
      <c r="H17" s="167"/>
    </row>
    <row r="18" spans="1:8" x14ac:dyDescent="0.2">
      <c r="A18" s="5">
        <v>12</v>
      </c>
      <c r="B18" s="6" t="s">
        <v>313</v>
      </c>
      <c r="C18" s="6" t="s">
        <v>314</v>
      </c>
      <c r="D18" s="6" t="s">
        <v>23</v>
      </c>
      <c r="E18" s="7">
        <v>508830</v>
      </c>
      <c r="F18" s="8">
        <v>443.95417500000002</v>
      </c>
      <c r="G18" s="9">
        <v>2.8292119000000001E-2</v>
      </c>
      <c r="H18" s="167"/>
    </row>
    <row r="19" spans="1:8" ht="25.5" x14ac:dyDescent="0.2">
      <c r="A19" s="5">
        <v>13</v>
      </c>
      <c r="B19" s="6" t="s">
        <v>364</v>
      </c>
      <c r="C19" s="6" t="s">
        <v>365</v>
      </c>
      <c r="D19" s="6" t="s">
        <v>158</v>
      </c>
      <c r="E19" s="7">
        <v>229311</v>
      </c>
      <c r="F19" s="8">
        <v>373.77692999999999</v>
      </c>
      <c r="G19" s="9">
        <v>2.3819894000000001E-2</v>
      </c>
      <c r="H19" s="167"/>
    </row>
    <row r="20" spans="1:8" x14ac:dyDescent="0.2">
      <c r="A20" s="5">
        <v>14</v>
      </c>
      <c r="B20" s="6" t="s">
        <v>226</v>
      </c>
      <c r="C20" s="6" t="s">
        <v>227</v>
      </c>
      <c r="D20" s="6" t="s">
        <v>32</v>
      </c>
      <c r="E20" s="7">
        <v>44408</v>
      </c>
      <c r="F20" s="8">
        <v>351.35609599999998</v>
      </c>
      <c r="G20" s="9">
        <v>2.2391069E-2</v>
      </c>
      <c r="H20" s="167"/>
    </row>
    <row r="21" spans="1:8" ht="25.5" x14ac:dyDescent="0.2">
      <c r="A21" s="5">
        <v>15</v>
      </c>
      <c r="B21" s="6" t="s">
        <v>161</v>
      </c>
      <c r="C21" s="6" t="s">
        <v>162</v>
      </c>
      <c r="D21" s="6" t="s">
        <v>970</v>
      </c>
      <c r="E21" s="7">
        <v>190655</v>
      </c>
      <c r="F21" s="8">
        <v>347.46873749999997</v>
      </c>
      <c r="G21" s="9">
        <v>2.2143336999999999E-2</v>
      </c>
      <c r="H21" s="167"/>
    </row>
    <row r="22" spans="1:8" x14ac:dyDescent="0.2">
      <c r="A22" s="5">
        <v>16</v>
      </c>
      <c r="B22" s="6" t="s">
        <v>501</v>
      </c>
      <c r="C22" s="6" t="s">
        <v>396</v>
      </c>
      <c r="D22" s="6" t="s">
        <v>284</v>
      </c>
      <c r="E22" s="7">
        <v>169176</v>
      </c>
      <c r="F22" s="8">
        <v>330.14696400000003</v>
      </c>
      <c r="G22" s="9">
        <v>2.1039463000000001E-2</v>
      </c>
      <c r="H22" s="167"/>
    </row>
    <row r="23" spans="1:8" ht="25.5" x14ac:dyDescent="0.2">
      <c r="A23" s="5">
        <v>17</v>
      </c>
      <c r="B23" s="6" t="s">
        <v>63</v>
      </c>
      <c r="C23" s="6" t="s">
        <v>64</v>
      </c>
      <c r="D23" s="6" t="s">
        <v>37</v>
      </c>
      <c r="E23" s="7">
        <v>56690</v>
      </c>
      <c r="F23" s="8">
        <v>320.78036500000002</v>
      </c>
      <c r="G23" s="9">
        <v>2.0442551999999999E-2</v>
      </c>
      <c r="H23" s="167"/>
    </row>
    <row r="24" spans="1:8" ht="25.5" x14ac:dyDescent="0.2">
      <c r="A24" s="5">
        <v>18</v>
      </c>
      <c r="B24" s="6" t="s">
        <v>42</v>
      </c>
      <c r="C24" s="6" t="s">
        <v>43</v>
      </c>
      <c r="D24" s="6" t="s">
        <v>37</v>
      </c>
      <c r="E24" s="7">
        <v>94555</v>
      </c>
      <c r="F24" s="8">
        <v>319.45406750000001</v>
      </c>
      <c r="G24" s="9">
        <v>2.0358029999999999E-2</v>
      </c>
      <c r="H24" s="167"/>
    </row>
    <row r="25" spans="1:8" x14ac:dyDescent="0.2">
      <c r="A25" s="5">
        <v>19</v>
      </c>
      <c r="B25" s="6" t="s">
        <v>46</v>
      </c>
      <c r="C25" s="6" t="s">
        <v>47</v>
      </c>
      <c r="D25" s="6" t="s">
        <v>29</v>
      </c>
      <c r="E25" s="7">
        <v>32643</v>
      </c>
      <c r="F25" s="8">
        <v>318.80785950000001</v>
      </c>
      <c r="G25" s="9">
        <v>2.0316849000000001E-2</v>
      </c>
      <c r="H25" s="167"/>
    </row>
    <row r="26" spans="1:8" x14ac:dyDescent="0.2">
      <c r="A26" s="5">
        <v>20</v>
      </c>
      <c r="B26" s="6" t="s">
        <v>654</v>
      </c>
      <c r="C26" s="6" t="s">
        <v>655</v>
      </c>
      <c r="D26" s="6" t="s">
        <v>50</v>
      </c>
      <c r="E26" s="7">
        <v>280442</v>
      </c>
      <c r="F26" s="8">
        <v>309.88841000000002</v>
      </c>
      <c r="G26" s="9">
        <v>1.9748433999999999E-2</v>
      </c>
      <c r="H26" s="167"/>
    </row>
    <row r="27" spans="1:8" x14ac:dyDescent="0.2">
      <c r="A27" s="5">
        <v>21</v>
      </c>
      <c r="B27" s="6" t="s">
        <v>499</v>
      </c>
      <c r="C27" s="6" t="s">
        <v>500</v>
      </c>
      <c r="D27" s="6" t="s">
        <v>94</v>
      </c>
      <c r="E27" s="7">
        <v>96213</v>
      </c>
      <c r="F27" s="8">
        <v>306.67893750000002</v>
      </c>
      <c r="G27" s="9">
        <v>1.9543901999999998E-2</v>
      </c>
      <c r="H27" s="167"/>
    </row>
    <row r="28" spans="1:8" x14ac:dyDescent="0.2">
      <c r="A28" s="5">
        <v>22</v>
      </c>
      <c r="B28" s="6" t="s">
        <v>88</v>
      </c>
      <c r="C28" s="6" t="s">
        <v>89</v>
      </c>
      <c r="D28" s="6" t="s">
        <v>70</v>
      </c>
      <c r="E28" s="7">
        <v>122647</v>
      </c>
      <c r="F28" s="8">
        <v>296.13118150000003</v>
      </c>
      <c r="G28" s="9">
        <v>1.8871718999999999E-2</v>
      </c>
      <c r="H28" s="167"/>
    </row>
    <row r="29" spans="1:8" x14ac:dyDescent="0.2">
      <c r="A29" s="5">
        <v>23</v>
      </c>
      <c r="B29" s="6" t="s">
        <v>417</v>
      </c>
      <c r="C29" s="6" t="s">
        <v>418</v>
      </c>
      <c r="D29" s="6" t="s">
        <v>57</v>
      </c>
      <c r="E29" s="7">
        <v>24230</v>
      </c>
      <c r="F29" s="8">
        <v>272.74499500000002</v>
      </c>
      <c r="G29" s="9">
        <v>1.7381375000000001E-2</v>
      </c>
      <c r="H29" s="167"/>
    </row>
    <row r="30" spans="1:8" x14ac:dyDescent="0.2">
      <c r="A30" s="5">
        <v>24</v>
      </c>
      <c r="B30" s="6" t="s">
        <v>607</v>
      </c>
      <c r="C30" s="6" t="s">
        <v>608</v>
      </c>
      <c r="D30" s="6" t="s">
        <v>609</v>
      </c>
      <c r="E30" s="7">
        <v>146319</v>
      </c>
      <c r="F30" s="8">
        <v>266.5200585</v>
      </c>
      <c r="G30" s="9">
        <v>1.6984675000000001E-2</v>
      </c>
      <c r="H30" s="167"/>
    </row>
    <row r="31" spans="1:8" x14ac:dyDescent="0.2">
      <c r="A31" s="5">
        <v>25</v>
      </c>
      <c r="B31" s="6" t="s">
        <v>523</v>
      </c>
      <c r="C31" s="6" t="s">
        <v>524</v>
      </c>
      <c r="D31" s="6" t="s">
        <v>158</v>
      </c>
      <c r="E31" s="7">
        <v>289100</v>
      </c>
      <c r="F31" s="8">
        <v>254.55255</v>
      </c>
      <c r="G31" s="9">
        <v>1.6222014E-2</v>
      </c>
      <c r="H31" s="167"/>
    </row>
    <row r="32" spans="1:8" x14ac:dyDescent="0.2">
      <c r="A32" s="5">
        <v>26</v>
      </c>
      <c r="B32" s="6" t="s">
        <v>282</v>
      </c>
      <c r="C32" s="6" t="s">
        <v>283</v>
      </c>
      <c r="D32" s="6" t="s">
        <v>284</v>
      </c>
      <c r="E32" s="7">
        <v>173000</v>
      </c>
      <c r="F32" s="8">
        <v>250.85</v>
      </c>
      <c r="G32" s="9">
        <v>1.598606E-2</v>
      </c>
      <c r="H32" s="167"/>
    </row>
    <row r="33" spans="1:8" x14ac:dyDescent="0.2">
      <c r="A33" s="5">
        <v>27</v>
      </c>
      <c r="B33" s="6" t="s">
        <v>345</v>
      </c>
      <c r="C33" s="6" t="s">
        <v>346</v>
      </c>
      <c r="D33" s="6" t="s">
        <v>57</v>
      </c>
      <c r="E33" s="7">
        <v>58801</v>
      </c>
      <c r="F33" s="8">
        <v>239.43767199999999</v>
      </c>
      <c r="G33" s="9">
        <v>1.525878E-2</v>
      </c>
      <c r="H33" s="167"/>
    </row>
    <row r="34" spans="1:8" ht="25.5" x14ac:dyDescent="0.2">
      <c r="A34" s="5">
        <v>28</v>
      </c>
      <c r="B34" s="6" t="s">
        <v>425</v>
      </c>
      <c r="C34" s="6" t="s">
        <v>426</v>
      </c>
      <c r="D34" s="6" t="s">
        <v>78</v>
      </c>
      <c r="E34" s="7">
        <v>108679</v>
      </c>
      <c r="F34" s="8">
        <v>235.39871400000001</v>
      </c>
      <c r="G34" s="9">
        <v>1.5001387E-2</v>
      </c>
      <c r="H34" s="167"/>
    </row>
    <row r="35" spans="1:8" x14ac:dyDescent="0.2">
      <c r="A35" s="5">
        <v>29</v>
      </c>
      <c r="B35" s="6" t="s">
        <v>481</v>
      </c>
      <c r="C35" s="6" t="s">
        <v>482</v>
      </c>
      <c r="D35" s="6" t="s">
        <v>18</v>
      </c>
      <c r="E35" s="7">
        <v>173130</v>
      </c>
      <c r="F35" s="8">
        <v>232.51358999999999</v>
      </c>
      <c r="G35" s="9">
        <v>1.4817525E-2</v>
      </c>
      <c r="H35" s="167"/>
    </row>
    <row r="36" spans="1:8" x14ac:dyDescent="0.2">
      <c r="A36" s="5">
        <v>30</v>
      </c>
      <c r="B36" s="6" t="s">
        <v>662</v>
      </c>
      <c r="C36" s="6" t="s">
        <v>663</v>
      </c>
      <c r="D36" s="6" t="s">
        <v>23</v>
      </c>
      <c r="E36" s="7">
        <v>22455</v>
      </c>
      <c r="F36" s="8">
        <v>227.46915000000001</v>
      </c>
      <c r="G36" s="9">
        <v>1.4496055000000001E-2</v>
      </c>
      <c r="H36" s="167"/>
    </row>
    <row r="37" spans="1:8" x14ac:dyDescent="0.2">
      <c r="A37" s="5">
        <v>31</v>
      </c>
      <c r="B37" s="6" t="s">
        <v>333</v>
      </c>
      <c r="C37" s="6" t="s">
        <v>334</v>
      </c>
      <c r="D37" s="6" t="s">
        <v>67</v>
      </c>
      <c r="E37" s="7">
        <v>31182</v>
      </c>
      <c r="F37" s="8">
        <v>213.25369800000001</v>
      </c>
      <c r="G37" s="9">
        <v>1.3590138999999999E-2</v>
      </c>
      <c r="H37" s="167"/>
    </row>
    <row r="38" spans="1:8" ht="25.5" x14ac:dyDescent="0.2">
      <c r="A38" s="5">
        <v>32</v>
      </c>
      <c r="B38" s="6" t="s">
        <v>510</v>
      </c>
      <c r="C38" s="6" t="s">
        <v>511</v>
      </c>
      <c r="D38" s="6" t="s">
        <v>37</v>
      </c>
      <c r="E38" s="7">
        <v>10132</v>
      </c>
      <c r="F38" s="8">
        <v>211.383916</v>
      </c>
      <c r="G38" s="9">
        <v>1.3470981999999999E-2</v>
      </c>
      <c r="H38" s="167"/>
    </row>
    <row r="39" spans="1:8" x14ac:dyDescent="0.2">
      <c r="A39" s="5">
        <v>33</v>
      </c>
      <c r="B39" s="6" t="s">
        <v>729</v>
      </c>
      <c r="C39" s="6" t="s">
        <v>730</v>
      </c>
      <c r="D39" s="6" t="s">
        <v>197</v>
      </c>
      <c r="E39" s="7">
        <v>16170</v>
      </c>
      <c r="F39" s="8">
        <v>209.09426999999999</v>
      </c>
      <c r="G39" s="9">
        <v>1.3325069E-2</v>
      </c>
      <c r="H39" s="167"/>
    </row>
    <row r="40" spans="1:8" x14ac:dyDescent="0.2">
      <c r="A40" s="5">
        <v>34</v>
      </c>
      <c r="B40" s="6" t="s">
        <v>620</v>
      </c>
      <c r="C40" s="6" t="s">
        <v>621</v>
      </c>
      <c r="D40" s="6" t="s">
        <v>192</v>
      </c>
      <c r="E40" s="7">
        <v>16040</v>
      </c>
      <c r="F40" s="8">
        <v>195.6078</v>
      </c>
      <c r="G40" s="9">
        <v>1.2465609000000001E-2</v>
      </c>
      <c r="H40" s="167"/>
    </row>
    <row r="41" spans="1:8" x14ac:dyDescent="0.2">
      <c r="A41" s="5">
        <v>35</v>
      </c>
      <c r="B41" s="6" t="s">
        <v>86</v>
      </c>
      <c r="C41" s="6" t="s">
        <v>87</v>
      </c>
      <c r="D41" s="6" t="s">
        <v>29</v>
      </c>
      <c r="E41" s="7">
        <v>24242</v>
      </c>
      <c r="F41" s="8">
        <v>190.76029800000001</v>
      </c>
      <c r="G41" s="9">
        <v>1.215669E-2</v>
      </c>
      <c r="H41" s="167"/>
    </row>
    <row r="42" spans="1:8" x14ac:dyDescent="0.2">
      <c r="A42" s="5">
        <v>36</v>
      </c>
      <c r="B42" s="6" t="s">
        <v>238</v>
      </c>
      <c r="C42" s="6" t="s">
        <v>239</v>
      </c>
      <c r="D42" s="6" t="s">
        <v>240</v>
      </c>
      <c r="E42" s="7">
        <v>22774</v>
      </c>
      <c r="F42" s="8">
        <v>185.63087400000001</v>
      </c>
      <c r="G42" s="9">
        <v>1.1829803999999999E-2</v>
      </c>
      <c r="H42" s="167"/>
    </row>
    <row r="43" spans="1:8" ht="25.5" x14ac:dyDescent="0.2">
      <c r="A43" s="5">
        <v>37</v>
      </c>
      <c r="B43" s="6" t="s">
        <v>558</v>
      </c>
      <c r="C43" s="6" t="s">
        <v>559</v>
      </c>
      <c r="D43" s="6" t="s">
        <v>970</v>
      </c>
      <c r="E43" s="7">
        <v>63000</v>
      </c>
      <c r="F43" s="8">
        <v>170.0685</v>
      </c>
      <c r="G43" s="9">
        <v>1.0838052000000001E-2</v>
      </c>
      <c r="H43" s="167"/>
    </row>
    <row r="44" spans="1:8" x14ac:dyDescent="0.2">
      <c r="A44" s="5">
        <v>38</v>
      </c>
      <c r="B44" s="6" t="s">
        <v>292</v>
      </c>
      <c r="C44" s="6" t="s">
        <v>293</v>
      </c>
      <c r="D44" s="6" t="s">
        <v>971</v>
      </c>
      <c r="E44" s="7">
        <v>405195</v>
      </c>
      <c r="F44" s="8">
        <v>159.64682999999999</v>
      </c>
      <c r="G44" s="9">
        <v>1.0173903999999999E-2</v>
      </c>
      <c r="H44" s="167"/>
    </row>
    <row r="45" spans="1:8" x14ac:dyDescent="0.2">
      <c r="A45" s="5">
        <v>39</v>
      </c>
      <c r="B45" s="6" t="s">
        <v>670</v>
      </c>
      <c r="C45" s="6" t="s">
        <v>671</v>
      </c>
      <c r="D45" s="6" t="s">
        <v>50</v>
      </c>
      <c r="E45" s="7">
        <v>67783</v>
      </c>
      <c r="F45" s="8">
        <v>152.95233949999999</v>
      </c>
      <c r="G45" s="9">
        <v>9.7472800000000005E-3</v>
      </c>
      <c r="H45" s="167"/>
    </row>
    <row r="46" spans="1:8" x14ac:dyDescent="0.2">
      <c r="A46" s="5">
        <v>40</v>
      </c>
      <c r="B46" s="6" t="s">
        <v>415</v>
      </c>
      <c r="C46" s="6" t="s">
        <v>416</v>
      </c>
      <c r="D46" s="6" t="s">
        <v>192</v>
      </c>
      <c r="E46" s="7">
        <v>22605</v>
      </c>
      <c r="F46" s="8">
        <v>151.06921500000001</v>
      </c>
      <c r="G46" s="9">
        <v>9.6272730000000004E-3</v>
      </c>
      <c r="H46" s="167"/>
    </row>
    <row r="47" spans="1:8" x14ac:dyDescent="0.2">
      <c r="A47" s="5">
        <v>41</v>
      </c>
      <c r="B47" s="6" t="s">
        <v>626</v>
      </c>
      <c r="C47" s="6" t="s">
        <v>627</v>
      </c>
      <c r="D47" s="6" t="s">
        <v>23</v>
      </c>
      <c r="E47" s="7">
        <v>310000</v>
      </c>
      <c r="F47" s="8">
        <v>131.44</v>
      </c>
      <c r="G47" s="9">
        <v>8.3763510000000006E-3</v>
      </c>
      <c r="H47" s="167"/>
    </row>
    <row r="48" spans="1:8" x14ac:dyDescent="0.2">
      <c r="A48" s="5">
        <v>42</v>
      </c>
      <c r="B48" s="6" t="s">
        <v>731</v>
      </c>
      <c r="C48" s="6" t="s">
        <v>732</v>
      </c>
      <c r="D48" s="6" t="s">
        <v>23</v>
      </c>
      <c r="E48" s="7">
        <v>310000</v>
      </c>
      <c r="F48" s="8">
        <v>119.19499999999999</v>
      </c>
      <c r="G48" s="9">
        <v>7.5960070000000001E-3</v>
      </c>
      <c r="H48" s="167"/>
    </row>
    <row r="49" spans="1:8" x14ac:dyDescent="0.2">
      <c r="A49" s="5">
        <v>43</v>
      </c>
      <c r="B49" s="6" t="s">
        <v>733</v>
      </c>
      <c r="C49" s="6" t="s">
        <v>734</v>
      </c>
      <c r="D49" s="6" t="s">
        <v>158</v>
      </c>
      <c r="E49" s="7">
        <v>40386</v>
      </c>
      <c r="F49" s="8">
        <v>86.749127999999999</v>
      </c>
      <c r="G49" s="9">
        <v>5.5283110000000002E-3</v>
      </c>
      <c r="H49" s="167"/>
    </row>
    <row r="50" spans="1:8" x14ac:dyDescent="0.2">
      <c r="A50" s="3" t="s">
        <v>10</v>
      </c>
      <c r="B50" s="3" t="s">
        <v>10</v>
      </c>
      <c r="C50" s="4" t="s">
        <v>104</v>
      </c>
      <c r="D50" s="3" t="s">
        <v>10</v>
      </c>
      <c r="E50" s="3" t="s">
        <v>10</v>
      </c>
      <c r="F50" s="10">
        <v>15408.917619</v>
      </c>
      <c r="G50" s="11">
        <v>0.98197281700000005</v>
      </c>
      <c r="H50" s="167"/>
    </row>
    <row r="51" spans="1:8" x14ac:dyDescent="0.2">
      <c r="A51" s="3" t="s">
        <v>10</v>
      </c>
      <c r="B51" s="3" t="s">
        <v>10</v>
      </c>
      <c r="C51" s="12" t="s">
        <v>10</v>
      </c>
      <c r="D51" s="3" t="s">
        <v>10</v>
      </c>
      <c r="E51" s="3" t="s">
        <v>10</v>
      </c>
      <c r="F51" s="13" t="s">
        <v>10</v>
      </c>
      <c r="G51" s="13" t="s">
        <v>10</v>
      </c>
      <c r="H51" s="167"/>
    </row>
    <row r="52" spans="1:8" x14ac:dyDescent="0.2">
      <c r="A52" s="3" t="s">
        <v>10</v>
      </c>
      <c r="B52" s="3" t="s">
        <v>10</v>
      </c>
      <c r="C52" s="4" t="s">
        <v>105</v>
      </c>
      <c r="D52" s="3" t="s">
        <v>10</v>
      </c>
      <c r="E52" s="3" t="s">
        <v>10</v>
      </c>
      <c r="F52" s="3" t="s">
        <v>10</v>
      </c>
      <c r="G52" s="3" t="s">
        <v>10</v>
      </c>
      <c r="H52" s="167"/>
    </row>
    <row r="53" spans="1:8" x14ac:dyDescent="0.2">
      <c r="A53" s="3" t="s">
        <v>10</v>
      </c>
      <c r="B53" s="3" t="s">
        <v>10</v>
      </c>
      <c r="C53" s="4" t="s">
        <v>104</v>
      </c>
      <c r="D53" s="3" t="s">
        <v>10</v>
      </c>
      <c r="E53" s="3" t="s">
        <v>10</v>
      </c>
      <c r="F53" s="14">
        <v>0</v>
      </c>
      <c r="G53" s="15">
        <v>0</v>
      </c>
      <c r="H53" s="167"/>
    </row>
    <row r="54" spans="1:8" x14ac:dyDescent="0.2">
      <c r="A54" s="3" t="s">
        <v>10</v>
      </c>
      <c r="B54" s="3" t="s">
        <v>10</v>
      </c>
      <c r="C54" s="12" t="s">
        <v>10</v>
      </c>
      <c r="D54" s="3" t="s">
        <v>10</v>
      </c>
      <c r="E54" s="3" t="s">
        <v>10</v>
      </c>
      <c r="F54" s="13" t="s">
        <v>10</v>
      </c>
      <c r="G54" s="13" t="s">
        <v>10</v>
      </c>
      <c r="H54" s="167"/>
    </row>
    <row r="55" spans="1:8" x14ac:dyDescent="0.2">
      <c r="A55" s="3" t="s">
        <v>10</v>
      </c>
      <c r="B55" s="3" t="s">
        <v>10</v>
      </c>
      <c r="C55" s="4" t="s">
        <v>106</v>
      </c>
      <c r="D55" s="3" t="s">
        <v>10</v>
      </c>
      <c r="E55" s="3" t="s">
        <v>10</v>
      </c>
      <c r="F55" s="3" t="s">
        <v>10</v>
      </c>
      <c r="G55" s="3" t="s">
        <v>10</v>
      </c>
      <c r="H55" s="167"/>
    </row>
    <row r="56" spans="1:8" x14ac:dyDescent="0.2">
      <c r="A56" s="3" t="s">
        <v>10</v>
      </c>
      <c r="B56" s="3" t="s">
        <v>10</v>
      </c>
      <c r="C56" s="4" t="s">
        <v>104</v>
      </c>
      <c r="D56" s="3" t="s">
        <v>10</v>
      </c>
      <c r="E56" s="3" t="s">
        <v>10</v>
      </c>
      <c r="F56" s="14">
        <v>0</v>
      </c>
      <c r="G56" s="15">
        <v>0</v>
      </c>
      <c r="H56" s="167"/>
    </row>
    <row r="57" spans="1:8" x14ac:dyDescent="0.2">
      <c r="A57" s="3" t="s">
        <v>10</v>
      </c>
      <c r="B57" s="3" t="s">
        <v>10</v>
      </c>
      <c r="C57" s="12" t="s">
        <v>10</v>
      </c>
      <c r="D57" s="3" t="s">
        <v>10</v>
      </c>
      <c r="E57" s="3" t="s">
        <v>10</v>
      </c>
      <c r="F57" s="13" t="s">
        <v>10</v>
      </c>
      <c r="G57" s="13" t="s">
        <v>10</v>
      </c>
      <c r="H57" s="167"/>
    </row>
    <row r="58" spans="1:8" x14ac:dyDescent="0.2">
      <c r="A58" s="3" t="s">
        <v>10</v>
      </c>
      <c r="B58" s="3" t="s">
        <v>10</v>
      </c>
      <c r="C58" s="4" t="s">
        <v>110</v>
      </c>
      <c r="D58" s="3" t="s">
        <v>10</v>
      </c>
      <c r="E58" s="3" t="s">
        <v>10</v>
      </c>
      <c r="F58" s="3" t="s">
        <v>10</v>
      </c>
      <c r="G58" s="3" t="s">
        <v>10</v>
      </c>
      <c r="H58" s="167"/>
    </row>
    <row r="59" spans="1:8" x14ac:dyDescent="0.2">
      <c r="A59" s="3" t="s">
        <v>10</v>
      </c>
      <c r="B59" s="3" t="s">
        <v>10</v>
      </c>
      <c r="C59" s="4" t="s">
        <v>104</v>
      </c>
      <c r="D59" s="3" t="s">
        <v>10</v>
      </c>
      <c r="E59" s="3" t="s">
        <v>10</v>
      </c>
      <c r="F59" s="14">
        <v>0</v>
      </c>
      <c r="G59" s="15">
        <v>0</v>
      </c>
      <c r="H59" s="167"/>
    </row>
    <row r="60" spans="1:8" x14ac:dyDescent="0.2">
      <c r="A60" s="3" t="s">
        <v>10</v>
      </c>
      <c r="B60" s="3" t="s">
        <v>10</v>
      </c>
      <c r="C60" s="12" t="s">
        <v>10</v>
      </c>
      <c r="D60" s="3" t="s">
        <v>10</v>
      </c>
      <c r="E60" s="3" t="s">
        <v>10</v>
      </c>
      <c r="F60" s="13" t="s">
        <v>10</v>
      </c>
      <c r="G60" s="13" t="s">
        <v>10</v>
      </c>
      <c r="H60" s="167"/>
    </row>
    <row r="61" spans="1:8" x14ac:dyDescent="0.2">
      <c r="A61" s="3" t="s">
        <v>10</v>
      </c>
      <c r="B61" s="3" t="s">
        <v>10</v>
      </c>
      <c r="C61" s="4" t="s">
        <v>111</v>
      </c>
      <c r="D61" s="3" t="s">
        <v>10</v>
      </c>
      <c r="E61" s="3" t="s">
        <v>10</v>
      </c>
      <c r="F61" s="13" t="s">
        <v>10</v>
      </c>
      <c r="G61" s="13" t="s">
        <v>10</v>
      </c>
      <c r="H61" s="167"/>
    </row>
    <row r="62" spans="1:8" s="155" customFormat="1" ht="25.5" x14ac:dyDescent="0.2">
      <c r="A62" s="181">
        <v>1</v>
      </c>
      <c r="B62" s="139" t="s">
        <v>1000</v>
      </c>
      <c r="C62" s="139" t="s">
        <v>1001</v>
      </c>
      <c r="D62" s="139" t="s">
        <v>158</v>
      </c>
      <c r="E62" s="182">
        <v>21600</v>
      </c>
      <c r="F62" s="183">
        <v>173.232</v>
      </c>
      <c r="G62" s="184">
        <v>1.0999999999999999E-2</v>
      </c>
      <c r="H62" s="167"/>
    </row>
    <row r="63" spans="1:8" x14ac:dyDescent="0.2">
      <c r="A63" s="3" t="s">
        <v>10</v>
      </c>
      <c r="B63" s="3" t="s">
        <v>10</v>
      </c>
      <c r="C63" s="4" t="s">
        <v>104</v>
      </c>
      <c r="D63" s="3" t="s">
        <v>10</v>
      </c>
      <c r="E63" s="3" t="s">
        <v>10</v>
      </c>
      <c r="F63" s="14">
        <v>173.232</v>
      </c>
      <c r="G63" s="15">
        <v>1.0999999999999999E-2</v>
      </c>
      <c r="H63" s="167"/>
    </row>
    <row r="64" spans="1:8" x14ac:dyDescent="0.2">
      <c r="A64" s="3" t="s">
        <v>10</v>
      </c>
      <c r="B64" s="3" t="s">
        <v>10</v>
      </c>
      <c r="C64" s="12" t="s">
        <v>10</v>
      </c>
      <c r="D64" s="3" t="s">
        <v>10</v>
      </c>
      <c r="E64" s="3" t="s">
        <v>10</v>
      </c>
      <c r="F64" s="13" t="s">
        <v>10</v>
      </c>
      <c r="G64" s="13" t="s">
        <v>10</v>
      </c>
      <c r="H64" s="167"/>
    </row>
    <row r="65" spans="1:8" x14ac:dyDescent="0.2">
      <c r="A65" s="3" t="s">
        <v>10</v>
      </c>
      <c r="B65" s="3" t="s">
        <v>10</v>
      </c>
      <c r="C65" s="4" t="s">
        <v>112</v>
      </c>
      <c r="D65" s="3" t="s">
        <v>10</v>
      </c>
      <c r="E65" s="3" t="s">
        <v>10</v>
      </c>
      <c r="F65" s="13" t="s">
        <v>10</v>
      </c>
      <c r="G65" s="13" t="s">
        <v>10</v>
      </c>
      <c r="H65" s="167"/>
    </row>
    <row r="66" spans="1:8" x14ac:dyDescent="0.2">
      <c r="A66" s="3" t="s">
        <v>10</v>
      </c>
      <c r="B66" s="3" t="s">
        <v>10</v>
      </c>
      <c r="C66" s="4" t="s">
        <v>104</v>
      </c>
      <c r="D66" s="3" t="s">
        <v>10</v>
      </c>
      <c r="E66" s="3" t="s">
        <v>10</v>
      </c>
      <c r="F66" s="14">
        <v>0</v>
      </c>
      <c r="G66" s="15">
        <v>0</v>
      </c>
      <c r="H66" s="167"/>
    </row>
    <row r="67" spans="1:8" x14ac:dyDescent="0.2">
      <c r="A67" s="3" t="s">
        <v>10</v>
      </c>
      <c r="B67" s="3" t="s">
        <v>10</v>
      </c>
      <c r="C67" s="12" t="s">
        <v>10</v>
      </c>
      <c r="D67" s="3" t="s">
        <v>10</v>
      </c>
      <c r="E67" s="3" t="s">
        <v>10</v>
      </c>
      <c r="F67" s="13" t="s">
        <v>10</v>
      </c>
      <c r="G67" s="13" t="s">
        <v>10</v>
      </c>
      <c r="H67" s="167"/>
    </row>
    <row r="68" spans="1:8" x14ac:dyDescent="0.2">
      <c r="A68" s="3" t="s">
        <v>10</v>
      </c>
      <c r="B68" s="3" t="s">
        <v>10</v>
      </c>
      <c r="C68" s="4" t="s">
        <v>113</v>
      </c>
      <c r="D68" s="3" t="s">
        <v>10</v>
      </c>
      <c r="E68" s="3" t="s">
        <v>10</v>
      </c>
      <c r="F68" s="10">
        <v>15582.149619</v>
      </c>
      <c r="G68" s="11">
        <v>0.99297281700000006</v>
      </c>
      <c r="H68" s="167"/>
    </row>
    <row r="69" spans="1:8" x14ac:dyDescent="0.2">
      <c r="A69" s="3" t="s">
        <v>10</v>
      </c>
      <c r="B69" s="3" t="s">
        <v>10</v>
      </c>
      <c r="C69" s="12" t="s">
        <v>10</v>
      </c>
      <c r="D69" s="3" t="s">
        <v>10</v>
      </c>
      <c r="E69" s="3" t="s">
        <v>10</v>
      </c>
      <c r="F69" s="13" t="s">
        <v>10</v>
      </c>
      <c r="G69" s="13" t="s">
        <v>10</v>
      </c>
      <c r="H69" s="167"/>
    </row>
    <row r="70" spans="1:8" x14ac:dyDescent="0.2">
      <c r="A70" s="3" t="s">
        <v>10</v>
      </c>
      <c r="B70" s="3" t="s">
        <v>10</v>
      </c>
      <c r="C70" s="4" t="s">
        <v>114</v>
      </c>
      <c r="D70" s="3" t="s">
        <v>10</v>
      </c>
      <c r="E70" s="3" t="s">
        <v>10</v>
      </c>
      <c r="F70" s="13" t="s">
        <v>10</v>
      </c>
      <c r="G70" s="13" t="s">
        <v>10</v>
      </c>
      <c r="H70" s="167"/>
    </row>
    <row r="71" spans="1:8" ht="25.5" x14ac:dyDescent="0.2">
      <c r="A71" s="3" t="s">
        <v>10</v>
      </c>
      <c r="B71" s="3" t="s">
        <v>10</v>
      </c>
      <c r="C71" s="4" t="s">
        <v>12</v>
      </c>
      <c r="D71" s="3" t="s">
        <v>10</v>
      </c>
      <c r="E71" s="3" t="s">
        <v>10</v>
      </c>
      <c r="F71" s="13" t="s">
        <v>10</v>
      </c>
      <c r="G71" s="13" t="s">
        <v>10</v>
      </c>
      <c r="H71" s="167"/>
    </row>
    <row r="72" spans="1:8" x14ac:dyDescent="0.2">
      <c r="A72" s="3" t="s">
        <v>10</v>
      </c>
      <c r="B72" s="3" t="s">
        <v>10</v>
      </c>
      <c r="C72" s="4" t="s">
        <v>104</v>
      </c>
      <c r="D72" s="3" t="s">
        <v>10</v>
      </c>
      <c r="E72" s="3" t="s">
        <v>10</v>
      </c>
      <c r="F72" s="14">
        <v>0</v>
      </c>
      <c r="G72" s="15">
        <v>0</v>
      </c>
      <c r="H72" s="167"/>
    </row>
    <row r="73" spans="1:8" x14ac:dyDescent="0.2">
      <c r="A73" s="3" t="s">
        <v>10</v>
      </c>
      <c r="B73" s="3" t="s">
        <v>10</v>
      </c>
      <c r="C73" s="12" t="s">
        <v>10</v>
      </c>
      <c r="D73" s="3" t="s">
        <v>10</v>
      </c>
      <c r="E73" s="3" t="s">
        <v>10</v>
      </c>
      <c r="F73" s="13" t="s">
        <v>10</v>
      </c>
      <c r="G73" s="13" t="s">
        <v>10</v>
      </c>
      <c r="H73" s="167"/>
    </row>
    <row r="74" spans="1:8" x14ac:dyDescent="0.2">
      <c r="A74" s="3" t="s">
        <v>10</v>
      </c>
      <c r="B74" s="3" t="s">
        <v>10</v>
      </c>
      <c r="C74" s="4" t="s">
        <v>115</v>
      </c>
      <c r="D74" s="3" t="s">
        <v>10</v>
      </c>
      <c r="E74" s="3" t="s">
        <v>10</v>
      </c>
      <c r="F74" s="3" t="s">
        <v>10</v>
      </c>
      <c r="G74" s="3" t="s">
        <v>10</v>
      </c>
      <c r="H74" s="167"/>
    </row>
    <row r="75" spans="1:8" x14ac:dyDescent="0.2">
      <c r="A75" s="3" t="s">
        <v>10</v>
      </c>
      <c r="B75" s="3" t="s">
        <v>10</v>
      </c>
      <c r="C75" s="4" t="s">
        <v>104</v>
      </c>
      <c r="D75" s="3" t="s">
        <v>10</v>
      </c>
      <c r="E75" s="3" t="s">
        <v>10</v>
      </c>
      <c r="F75" s="14">
        <v>0</v>
      </c>
      <c r="G75" s="15">
        <v>0</v>
      </c>
      <c r="H75" s="167"/>
    </row>
    <row r="76" spans="1:8" x14ac:dyDescent="0.2">
      <c r="A76" s="3" t="s">
        <v>10</v>
      </c>
      <c r="B76" s="3" t="s">
        <v>10</v>
      </c>
      <c r="C76" s="12" t="s">
        <v>10</v>
      </c>
      <c r="D76" s="3" t="s">
        <v>10</v>
      </c>
      <c r="E76" s="3" t="s">
        <v>10</v>
      </c>
      <c r="F76" s="13" t="s">
        <v>10</v>
      </c>
      <c r="G76" s="13" t="s">
        <v>10</v>
      </c>
      <c r="H76" s="167"/>
    </row>
    <row r="77" spans="1:8" x14ac:dyDescent="0.2">
      <c r="A77" s="3" t="s">
        <v>10</v>
      </c>
      <c r="B77" s="3" t="s">
        <v>10</v>
      </c>
      <c r="C77" s="4" t="s">
        <v>116</v>
      </c>
      <c r="D77" s="3" t="s">
        <v>10</v>
      </c>
      <c r="E77" s="3" t="s">
        <v>10</v>
      </c>
      <c r="F77" s="3" t="s">
        <v>10</v>
      </c>
      <c r="G77" s="3" t="s">
        <v>10</v>
      </c>
      <c r="H77" s="167"/>
    </row>
    <row r="78" spans="1:8" x14ac:dyDescent="0.2">
      <c r="A78" s="3" t="s">
        <v>10</v>
      </c>
      <c r="B78" s="3" t="s">
        <v>10</v>
      </c>
      <c r="C78" s="4" t="s">
        <v>104</v>
      </c>
      <c r="D78" s="3" t="s">
        <v>10</v>
      </c>
      <c r="E78" s="3" t="s">
        <v>10</v>
      </c>
      <c r="F78" s="14">
        <v>0</v>
      </c>
      <c r="G78" s="15">
        <v>0</v>
      </c>
      <c r="H78" s="167"/>
    </row>
    <row r="79" spans="1:8" x14ac:dyDescent="0.2">
      <c r="A79" s="3" t="s">
        <v>10</v>
      </c>
      <c r="B79" s="3" t="s">
        <v>10</v>
      </c>
      <c r="C79" s="12" t="s">
        <v>10</v>
      </c>
      <c r="D79" s="3" t="s">
        <v>10</v>
      </c>
      <c r="E79" s="3" t="s">
        <v>10</v>
      </c>
      <c r="F79" s="13" t="s">
        <v>10</v>
      </c>
      <c r="G79" s="13" t="s">
        <v>10</v>
      </c>
      <c r="H79" s="167"/>
    </row>
    <row r="80" spans="1:8" x14ac:dyDescent="0.2">
      <c r="A80" s="3" t="s">
        <v>10</v>
      </c>
      <c r="B80" s="3" t="s">
        <v>10</v>
      </c>
      <c r="C80" s="4" t="s">
        <v>117</v>
      </c>
      <c r="D80" s="3" t="s">
        <v>10</v>
      </c>
      <c r="E80" s="3" t="s">
        <v>10</v>
      </c>
      <c r="F80" s="13" t="s">
        <v>10</v>
      </c>
      <c r="G80" s="13" t="s">
        <v>10</v>
      </c>
      <c r="H80" s="167"/>
    </row>
    <row r="81" spans="1:8" x14ac:dyDescent="0.2">
      <c r="A81" s="3" t="s">
        <v>10</v>
      </c>
      <c r="B81" s="3" t="s">
        <v>10</v>
      </c>
      <c r="C81" s="4" t="s">
        <v>104</v>
      </c>
      <c r="D81" s="3" t="s">
        <v>10</v>
      </c>
      <c r="E81" s="3" t="s">
        <v>10</v>
      </c>
      <c r="F81" s="14">
        <v>0</v>
      </c>
      <c r="G81" s="15">
        <v>0</v>
      </c>
      <c r="H81" s="167"/>
    </row>
    <row r="82" spans="1:8" x14ac:dyDescent="0.2">
      <c r="A82" s="3" t="s">
        <v>10</v>
      </c>
      <c r="B82" s="3" t="s">
        <v>10</v>
      </c>
      <c r="C82" s="12" t="s">
        <v>10</v>
      </c>
      <c r="D82" s="3" t="s">
        <v>10</v>
      </c>
      <c r="E82" s="3" t="s">
        <v>10</v>
      </c>
      <c r="F82" s="13" t="s">
        <v>10</v>
      </c>
      <c r="G82" s="13" t="s">
        <v>10</v>
      </c>
      <c r="H82" s="167"/>
    </row>
    <row r="83" spans="1:8" x14ac:dyDescent="0.2">
      <c r="A83" s="3" t="s">
        <v>10</v>
      </c>
      <c r="B83" s="3" t="s">
        <v>10</v>
      </c>
      <c r="C83" s="4" t="s">
        <v>118</v>
      </c>
      <c r="D83" s="3" t="s">
        <v>10</v>
      </c>
      <c r="E83" s="3" t="s">
        <v>10</v>
      </c>
      <c r="F83" s="10">
        <v>0</v>
      </c>
      <c r="G83" s="11">
        <v>0</v>
      </c>
      <c r="H83" s="167"/>
    </row>
    <row r="84" spans="1:8" x14ac:dyDescent="0.2">
      <c r="A84" s="3" t="s">
        <v>10</v>
      </c>
      <c r="B84" s="3" t="s">
        <v>10</v>
      </c>
      <c r="C84" s="12" t="s">
        <v>10</v>
      </c>
      <c r="D84" s="3" t="s">
        <v>10</v>
      </c>
      <c r="E84" s="3" t="s">
        <v>10</v>
      </c>
      <c r="F84" s="13" t="s">
        <v>10</v>
      </c>
      <c r="G84" s="13" t="s">
        <v>10</v>
      </c>
      <c r="H84" s="167"/>
    </row>
    <row r="85" spans="1:8" x14ac:dyDescent="0.2">
      <c r="A85" s="3" t="s">
        <v>10</v>
      </c>
      <c r="B85" s="3" t="s">
        <v>10</v>
      </c>
      <c r="C85" s="4" t="s">
        <v>119</v>
      </c>
      <c r="D85" s="3" t="s">
        <v>10</v>
      </c>
      <c r="E85" s="3" t="s">
        <v>10</v>
      </c>
      <c r="F85" s="13" t="s">
        <v>10</v>
      </c>
      <c r="G85" s="13" t="s">
        <v>10</v>
      </c>
      <c r="H85" s="167"/>
    </row>
    <row r="86" spans="1:8" x14ac:dyDescent="0.2">
      <c r="A86" s="3" t="s">
        <v>10</v>
      </c>
      <c r="B86" s="3" t="s">
        <v>10</v>
      </c>
      <c r="C86" s="4" t="s">
        <v>120</v>
      </c>
      <c r="D86" s="3" t="s">
        <v>10</v>
      </c>
      <c r="E86" s="3" t="s">
        <v>10</v>
      </c>
      <c r="F86" s="13" t="s">
        <v>10</v>
      </c>
      <c r="G86" s="13" t="s">
        <v>10</v>
      </c>
      <c r="H86" s="167"/>
    </row>
    <row r="87" spans="1:8" x14ac:dyDescent="0.2">
      <c r="A87" s="3" t="s">
        <v>10</v>
      </c>
      <c r="B87" s="3" t="s">
        <v>10</v>
      </c>
      <c r="C87" s="4" t="s">
        <v>104</v>
      </c>
      <c r="D87" s="3" t="s">
        <v>10</v>
      </c>
      <c r="E87" s="3" t="s">
        <v>10</v>
      </c>
      <c r="F87" s="14">
        <v>0</v>
      </c>
      <c r="G87" s="15">
        <v>0</v>
      </c>
      <c r="H87" s="167"/>
    </row>
    <row r="88" spans="1:8" x14ac:dyDescent="0.2">
      <c r="A88" s="3" t="s">
        <v>10</v>
      </c>
      <c r="B88" s="3" t="s">
        <v>10</v>
      </c>
      <c r="C88" s="12" t="s">
        <v>10</v>
      </c>
      <c r="D88" s="3" t="s">
        <v>10</v>
      </c>
      <c r="E88" s="3" t="s">
        <v>10</v>
      </c>
      <c r="F88" s="13" t="s">
        <v>10</v>
      </c>
      <c r="G88" s="13" t="s">
        <v>10</v>
      </c>
      <c r="H88" s="167"/>
    </row>
    <row r="89" spans="1:8" x14ac:dyDescent="0.2">
      <c r="A89" s="3" t="s">
        <v>10</v>
      </c>
      <c r="B89" s="3" t="s">
        <v>10</v>
      </c>
      <c r="C89" s="4" t="s">
        <v>121</v>
      </c>
      <c r="D89" s="3" t="s">
        <v>10</v>
      </c>
      <c r="E89" s="3" t="s">
        <v>10</v>
      </c>
      <c r="F89" s="13" t="s">
        <v>10</v>
      </c>
      <c r="G89" s="13" t="s">
        <v>10</v>
      </c>
      <c r="H89" s="167"/>
    </row>
    <row r="90" spans="1:8" x14ac:dyDescent="0.2">
      <c r="A90" s="3" t="s">
        <v>10</v>
      </c>
      <c r="B90" s="3" t="s">
        <v>10</v>
      </c>
      <c r="C90" s="4" t="s">
        <v>104</v>
      </c>
      <c r="D90" s="3" t="s">
        <v>10</v>
      </c>
      <c r="E90" s="3" t="s">
        <v>10</v>
      </c>
      <c r="F90" s="14">
        <v>0</v>
      </c>
      <c r="G90" s="15">
        <v>0</v>
      </c>
      <c r="H90" s="167"/>
    </row>
    <row r="91" spans="1:8" x14ac:dyDescent="0.2">
      <c r="A91" s="3" t="s">
        <v>10</v>
      </c>
      <c r="B91" s="3" t="s">
        <v>10</v>
      </c>
      <c r="C91" s="12" t="s">
        <v>10</v>
      </c>
      <c r="D91" s="3" t="s">
        <v>10</v>
      </c>
      <c r="E91" s="3" t="s">
        <v>10</v>
      </c>
      <c r="F91" s="13" t="s">
        <v>10</v>
      </c>
      <c r="G91" s="13" t="s">
        <v>10</v>
      </c>
      <c r="H91" s="167"/>
    </row>
    <row r="92" spans="1:8" x14ac:dyDescent="0.2">
      <c r="A92" s="3" t="s">
        <v>10</v>
      </c>
      <c r="B92" s="3" t="s">
        <v>10</v>
      </c>
      <c r="C92" s="4" t="s">
        <v>122</v>
      </c>
      <c r="D92" s="3" t="s">
        <v>10</v>
      </c>
      <c r="E92" s="3" t="s">
        <v>10</v>
      </c>
      <c r="F92" s="13" t="s">
        <v>10</v>
      </c>
      <c r="G92" s="13" t="s">
        <v>10</v>
      </c>
      <c r="H92" s="167"/>
    </row>
    <row r="93" spans="1:8" x14ac:dyDescent="0.2">
      <c r="A93" s="3" t="s">
        <v>10</v>
      </c>
      <c r="B93" s="3" t="s">
        <v>10</v>
      </c>
      <c r="C93" s="4" t="s">
        <v>104</v>
      </c>
      <c r="D93" s="3" t="s">
        <v>10</v>
      </c>
      <c r="E93" s="3" t="s">
        <v>10</v>
      </c>
      <c r="F93" s="14">
        <v>0</v>
      </c>
      <c r="G93" s="15">
        <v>0</v>
      </c>
      <c r="H93" s="167"/>
    </row>
    <row r="94" spans="1:8" x14ac:dyDescent="0.2">
      <c r="A94" s="3" t="s">
        <v>10</v>
      </c>
      <c r="B94" s="3" t="s">
        <v>10</v>
      </c>
      <c r="C94" s="12" t="s">
        <v>10</v>
      </c>
      <c r="D94" s="3" t="s">
        <v>10</v>
      </c>
      <c r="E94" s="3" t="s">
        <v>10</v>
      </c>
      <c r="F94" s="13" t="s">
        <v>10</v>
      </c>
      <c r="G94" s="13" t="s">
        <v>10</v>
      </c>
      <c r="H94" s="167"/>
    </row>
    <row r="95" spans="1:8" x14ac:dyDescent="0.2">
      <c r="A95" s="3" t="s">
        <v>10</v>
      </c>
      <c r="B95" s="3" t="s">
        <v>10</v>
      </c>
      <c r="C95" s="4" t="s">
        <v>123</v>
      </c>
      <c r="D95" s="3" t="s">
        <v>10</v>
      </c>
      <c r="E95" s="3" t="s">
        <v>10</v>
      </c>
      <c r="F95" s="13" t="s">
        <v>10</v>
      </c>
      <c r="G95" s="13" t="s">
        <v>10</v>
      </c>
      <c r="H95" s="167"/>
    </row>
    <row r="96" spans="1:8" x14ac:dyDescent="0.2">
      <c r="A96" s="5">
        <v>1</v>
      </c>
      <c r="B96" s="6"/>
      <c r="C96" s="6" t="s">
        <v>124</v>
      </c>
      <c r="D96" s="6"/>
      <c r="E96" s="16" t="s">
        <v>10</v>
      </c>
      <c r="F96" s="8">
        <v>113.9111108</v>
      </c>
      <c r="G96" s="9">
        <v>7.2592780000000001E-3</v>
      </c>
      <c r="H96" s="108">
        <v>3.23</v>
      </c>
    </row>
    <row r="97" spans="1:8" x14ac:dyDescent="0.2">
      <c r="A97" s="5">
        <v>2</v>
      </c>
      <c r="B97" s="6"/>
      <c r="C97" s="6" t="s">
        <v>125</v>
      </c>
      <c r="D97" s="6"/>
      <c r="E97" s="16" t="s">
        <v>10</v>
      </c>
      <c r="F97" s="8">
        <v>31.996446899999999</v>
      </c>
      <c r="G97" s="9">
        <v>2.039056E-3</v>
      </c>
      <c r="H97" s="108">
        <v>3.35</v>
      </c>
    </row>
    <row r="98" spans="1:8" x14ac:dyDescent="0.2">
      <c r="A98" s="3" t="s">
        <v>10</v>
      </c>
      <c r="B98" s="3" t="s">
        <v>10</v>
      </c>
      <c r="C98" s="4" t="s">
        <v>104</v>
      </c>
      <c r="D98" s="3" t="s">
        <v>10</v>
      </c>
      <c r="E98" s="3" t="s">
        <v>10</v>
      </c>
      <c r="F98" s="10">
        <v>145.90755770000001</v>
      </c>
      <c r="G98" s="11">
        <v>9.2983340000000001E-3</v>
      </c>
      <c r="H98" s="167"/>
    </row>
    <row r="99" spans="1:8" x14ac:dyDescent="0.2">
      <c r="A99" s="3" t="s">
        <v>10</v>
      </c>
      <c r="B99" s="3" t="s">
        <v>10</v>
      </c>
      <c r="C99" s="12" t="s">
        <v>10</v>
      </c>
      <c r="D99" s="3" t="s">
        <v>10</v>
      </c>
      <c r="E99" s="3" t="s">
        <v>10</v>
      </c>
      <c r="F99" s="13" t="s">
        <v>10</v>
      </c>
      <c r="G99" s="13" t="s">
        <v>10</v>
      </c>
      <c r="H99" s="167"/>
    </row>
    <row r="100" spans="1:8" x14ac:dyDescent="0.2">
      <c r="A100" s="3" t="s">
        <v>10</v>
      </c>
      <c r="B100" s="3" t="s">
        <v>10</v>
      </c>
      <c r="C100" s="4" t="s">
        <v>126</v>
      </c>
      <c r="D100" s="3" t="s">
        <v>10</v>
      </c>
      <c r="E100" s="3" t="s">
        <v>10</v>
      </c>
      <c r="F100" s="10">
        <v>145.90755770000001</v>
      </c>
      <c r="G100" s="11">
        <v>9.2983340000000001E-3</v>
      </c>
      <c r="H100" s="167"/>
    </row>
    <row r="101" spans="1:8" x14ac:dyDescent="0.2">
      <c r="A101" s="3" t="s">
        <v>10</v>
      </c>
      <c r="B101" s="3" t="s">
        <v>10</v>
      </c>
      <c r="C101" s="1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167"/>
    </row>
    <row r="102" spans="1:8" x14ac:dyDescent="0.2">
      <c r="A102" s="3" t="s">
        <v>10</v>
      </c>
      <c r="B102" s="3" t="s">
        <v>10</v>
      </c>
      <c r="C102" s="4" t="s">
        <v>127</v>
      </c>
      <c r="D102" s="3" t="s">
        <v>10</v>
      </c>
      <c r="E102" s="3" t="s">
        <v>10</v>
      </c>
      <c r="F102" s="3" t="s">
        <v>10</v>
      </c>
      <c r="G102" s="3" t="s">
        <v>10</v>
      </c>
      <c r="H102" s="167"/>
    </row>
    <row r="103" spans="1:8" x14ac:dyDescent="0.2">
      <c r="A103" s="3" t="s">
        <v>10</v>
      </c>
      <c r="B103" s="3" t="s">
        <v>10</v>
      </c>
      <c r="C103" s="4" t="s">
        <v>128</v>
      </c>
      <c r="D103" s="3" t="s">
        <v>10</v>
      </c>
      <c r="E103" s="3" t="s">
        <v>10</v>
      </c>
      <c r="F103" s="3" t="s">
        <v>10</v>
      </c>
      <c r="G103" s="3" t="s">
        <v>10</v>
      </c>
      <c r="H103" s="167"/>
    </row>
    <row r="104" spans="1:8" x14ac:dyDescent="0.2">
      <c r="A104" s="3" t="s">
        <v>10</v>
      </c>
      <c r="B104" s="3" t="s">
        <v>10</v>
      </c>
      <c r="C104" s="4" t="s">
        <v>104</v>
      </c>
      <c r="D104" s="3" t="s">
        <v>10</v>
      </c>
      <c r="E104" s="3" t="s">
        <v>10</v>
      </c>
      <c r="F104" s="14">
        <v>0</v>
      </c>
      <c r="G104" s="15">
        <v>0</v>
      </c>
      <c r="H104" s="167"/>
    </row>
    <row r="105" spans="1:8" x14ac:dyDescent="0.2">
      <c r="A105" s="3" t="s">
        <v>10</v>
      </c>
      <c r="B105" s="3" t="s">
        <v>10</v>
      </c>
      <c r="C105" s="12" t="s">
        <v>10</v>
      </c>
      <c r="D105" s="3" t="s">
        <v>10</v>
      </c>
      <c r="E105" s="3" t="s">
        <v>10</v>
      </c>
      <c r="F105" s="13" t="s">
        <v>10</v>
      </c>
      <c r="G105" s="13" t="s">
        <v>10</v>
      </c>
      <c r="H105" s="167"/>
    </row>
    <row r="106" spans="1:8" x14ac:dyDescent="0.2">
      <c r="A106" s="3" t="s">
        <v>10</v>
      </c>
      <c r="B106" s="3" t="s">
        <v>10</v>
      </c>
      <c r="C106" s="4" t="s">
        <v>129</v>
      </c>
      <c r="D106" s="3" t="s">
        <v>10</v>
      </c>
      <c r="E106" s="3" t="s">
        <v>10</v>
      </c>
      <c r="F106" s="3" t="s">
        <v>10</v>
      </c>
      <c r="G106" s="3" t="s">
        <v>10</v>
      </c>
      <c r="H106" s="167"/>
    </row>
    <row r="107" spans="1:8" x14ac:dyDescent="0.2">
      <c r="A107" s="3" t="s">
        <v>10</v>
      </c>
      <c r="B107" s="3" t="s">
        <v>10</v>
      </c>
      <c r="C107" s="4" t="s">
        <v>130</v>
      </c>
      <c r="D107" s="3" t="s">
        <v>10</v>
      </c>
      <c r="E107" s="3" t="s">
        <v>10</v>
      </c>
      <c r="F107" s="3" t="s">
        <v>10</v>
      </c>
      <c r="G107" s="3" t="s">
        <v>10</v>
      </c>
      <c r="H107" s="167"/>
    </row>
    <row r="108" spans="1:8" x14ac:dyDescent="0.2">
      <c r="A108" s="3" t="s">
        <v>10</v>
      </c>
      <c r="B108" s="3" t="s">
        <v>10</v>
      </c>
      <c r="C108" s="4" t="s">
        <v>104</v>
      </c>
      <c r="D108" s="3" t="s">
        <v>10</v>
      </c>
      <c r="E108" s="3" t="s">
        <v>10</v>
      </c>
      <c r="F108" s="14">
        <v>0</v>
      </c>
      <c r="G108" s="15">
        <v>0</v>
      </c>
      <c r="H108" s="167"/>
    </row>
    <row r="109" spans="1:8" x14ac:dyDescent="0.2">
      <c r="A109" s="3" t="s">
        <v>10</v>
      </c>
      <c r="B109" s="3" t="s">
        <v>10</v>
      </c>
      <c r="C109" s="12" t="s">
        <v>10</v>
      </c>
      <c r="D109" s="3" t="s">
        <v>10</v>
      </c>
      <c r="E109" s="3" t="s">
        <v>10</v>
      </c>
      <c r="F109" s="13" t="s">
        <v>10</v>
      </c>
      <c r="G109" s="13" t="s">
        <v>10</v>
      </c>
      <c r="H109" s="167"/>
    </row>
    <row r="110" spans="1:8" x14ac:dyDescent="0.2">
      <c r="A110" s="3" t="s">
        <v>10</v>
      </c>
      <c r="B110" s="3" t="s">
        <v>10</v>
      </c>
      <c r="C110" s="12" t="s">
        <v>10</v>
      </c>
      <c r="D110" s="3" t="s">
        <v>10</v>
      </c>
      <c r="E110" s="3" t="s">
        <v>10</v>
      </c>
      <c r="F110" s="13" t="s">
        <v>10</v>
      </c>
      <c r="G110" s="13" t="s">
        <v>10</v>
      </c>
      <c r="H110" s="167"/>
    </row>
    <row r="111" spans="1:8" ht="25.5" x14ac:dyDescent="0.2">
      <c r="A111" s="3" t="s">
        <v>10</v>
      </c>
      <c r="B111" s="3" t="s">
        <v>10</v>
      </c>
      <c r="C111" s="4" t="s">
        <v>131</v>
      </c>
      <c r="D111" s="3" t="s">
        <v>10</v>
      </c>
      <c r="E111" s="3" t="s">
        <v>10</v>
      </c>
      <c r="F111" s="13" t="s">
        <v>10</v>
      </c>
      <c r="G111" s="13" t="s">
        <v>10</v>
      </c>
      <c r="H111" s="167"/>
    </row>
    <row r="112" spans="1:8" x14ac:dyDescent="0.2">
      <c r="A112" s="3" t="s">
        <v>10</v>
      </c>
      <c r="B112" s="3" t="s">
        <v>10</v>
      </c>
      <c r="C112" s="4" t="s">
        <v>104</v>
      </c>
      <c r="D112" s="3" t="s">
        <v>10</v>
      </c>
      <c r="E112" s="3" t="s">
        <v>10</v>
      </c>
      <c r="F112" s="14">
        <v>0</v>
      </c>
      <c r="G112" s="15">
        <v>0</v>
      </c>
      <c r="H112" s="167"/>
    </row>
    <row r="113" spans="1:8" x14ac:dyDescent="0.2">
      <c r="A113" s="3" t="s">
        <v>10</v>
      </c>
      <c r="B113" s="3" t="s">
        <v>10</v>
      </c>
      <c r="C113" s="12" t="s">
        <v>10</v>
      </c>
      <c r="D113" s="3" t="s">
        <v>10</v>
      </c>
      <c r="E113" s="3" t="s">
        <v>10</v>
      </c>
      <c r="F113" s="13" t="s">
        <v>10</v>
      </c>
      <c r="G113" s="13" t="s">
        <v>10</v>
      </c>
      <c r="H113" s="167"/>
    </row>
    <row r="114" spans="1:8" x14ac:dyDescent="0.2">
      <c r="A114" s="3" t="s">
        <v>10</v>
      </c>
      <c r="B114" s="6" t="s">
        <v>10</v>
      </c>
      <c r="C114" s="6" t="s">
        <v>10</v>
      </c>
      <c r="D114" s="4" t="s">
        <v>10</v>
      </c>
      <c r="E114" s="3" t="s">
        <v>10</v>
      </c>
      <c r="F114" s="6" t="s">
        <v>10</v>
      </c>
      <c r="G114" s="16" t="s">
        <v>10</v>
      </c>
      <c r="H114" s="167"/>
    </row>
    <row r="115" spans="1:8" x14ac:dyDescent="0.2">
      <c r="A115" s="16" t="s">
        <v>10</v>
      </c>
      <c r="B115" s="6" t="s">
        <v>10</v>
      </c>
      <c r="C115" s="6" t="s">
        <v>132</v>
      </c>
      <c r="D115" s="6" t="s">
        <v>10</v>
      </c>
      <c r="E115" s="16" t="s">
        <v>10</v>
      </c>
      <c r="F115" s="8">
        <v>-36.260678499999997</v>
      </c>
      <c r="G115" s="9">
        <v>-2.310805E-3</v>
      </c>
      <c r="H115" s="167"/>
    </row>
    <row r="116" spans="1:8" x14ac:dyDescent="0.2">
      <c r="A116" s="12" t="s">
        <v>10</v>
      </c>
      <c r="B116" s="12" t="s">
        <v>10</v>
      </c>
      <c r="C116" s="4" t="s">
        <v>133</v>
      </c>
      <c r="D116" s="17" t="s">
        <v>10</v>
      </c>
      <c r="E116" s="17" t="s">
        <v>10</v>
      </c>
      <c r="F116" s="10">
        <v>15691.796498199999</v>
      </c>
      <c r="G116" s="11">
        <v>1</v>
      </c>
      <c r="H116" s="167"/>
    </row>
    <row r="117" spans="1:8" ht="14.1" customHeight="1" x14ac:dyDescent="0.2">
      <c r="A117" s="18" t="s">
        <v>10</v>
      </c>
      <c r="B117" s="18" t="s">
        <v>10</v>
      </c>
      <c r="C117" s="18" t="s">
        <v>10</v>
      </c>
      <c r="D117" s="19" t="s">
        <v>10</v>
      </c>
      <c r="E117" s="19" t="s">
        <v>10</v>
      </c>
      <c r="F117" s="19" t="s">
        <v>10</v>
      </c>
      <c r="G117" s="19" t="s">
        <v>10</v>
      </c>
    </row>
    <row r="118" spans="1:8" ht="14.1" customHeight="1" x14ac:dyDescent="0.2">
      <c r="A118" s="20" t="s">
        <v>10</v>
      </c>
      <c r="B118" s="208" t="s">
        <v>10</v>
      </c>
      <c r="C118" s="208"/>
      <c r="D118" s="208"/>
      <c r="E118" s="208"/>
      <c r="F118" s="208"/>
      <c r="G118" s="22" t="s">
        <v>10</v>
      </c>
    </row>
    <row r="119" spans="1:8" ht="14.1" customHeight="1" x14ac:dyDescent="0.2">
      <c r="A119" s="20" t="s">
        <v>10</v>
      </c>
      <c r="B119" s="208" t="s">
        <v>10</v>
      </c>
      <c r="C119" s="208"/>
      <c r="D119" s="208"/>
      <c r="E119" s="208"/>
      <c r="F119" s="208"/>
      <c r="G119" s="22" t="s">
        <v>10</v>
      </c>
    </row>
    <row r="120" spans="1:8" ht="14.1" customHeight="1" x14ac:dyDescent="0.2">
      <c r="A120" s="20" t="s">
        <v>10</v>
      </c>
      <c r="B120" s="20" t="s">
        <v>10</v>
      </c>
      <c r="C120" s="20" t="s">
        <v>10</v>
      </c>
      <c r="D120" s="22" t="s">
        <v>10</v>
      </c>
      <c r="E120" s="22" t="s">
        <v>10</v>
      </c>
      <c r="F120" s="22" t="s">
        <v>10</v>
      </c>
      <c r="G120" s="22" t="s">
        <v>10</v>
      </c>
    </row>
    <row r="121" spans="1:8" ht="14.1" customHeight="1" x14ac:dyDescent="0.2">
      <c r="A121" s="20" t="s">
        <v>10</v>
      </c>
      <c r="B121" s="206" t="s">
        <v>134</v>
      </c>
      <c r="C121" s="207"/>
      <c r="D121" s="13" t="s">
        <v>10</v>
      </c>
      <c r="E121" s="23" t="s">
        <v>10</v>
      </c>
      <c r="F121" s="22" t="s">
        <v>10</v>
      </c>
      <c r="G121" s="22" t="s">
        <v>10</v>
      </c>
    </row>
    <row r="122" spans="1:8" ht="29.1" customHeight="1" x14ac:dyDescent="0.2">
      <c r="A122" s="20" t="s">
        <v>10</v>
      </c>
      <c r="B122" s="213" t="s">
        <v>135</v>
      </c>
      <c r="C122" s="214"/>
      <c r="D122" s="4" t="s">
        <v>136</v>
      </c>
      <c r="E122" s="23" t="s">
        <v>10</v>
      </c>
      <c r="F122" s="22" t="s">
        <v>10</v>
      </c>
      <c r="G122" s="22" t="s">
        <v>10</v>
      </c>
    </row>
    <row r="123" spans="1:8" ht="17.100000000000001" customHeight="1" x14ac:dyDescent="0.2">
      <c r="A123" s="20" t="s">
        <v>10</v>
      </c>
      <c r="B123" s="213" t="s">
        <v>137</v>
      </c>
      <c r="C123" s="214"/>
      <c r="D123" s="4" t="s">
        <v>136</v>
      </c>
      <c r="E123" s="23" t="s">
        <v>10</v>
      </c>
      <c r="F123" s="22" t="s">
        <v>10</v>
      </c>
      <c r="G123" s="22" t="s">
        <v>10</v>
      </c>
    </row>
    <row r="124" spans="1:8" ht="17.100000000000001" customHeight="1" x14ac:dyDescent="0.2">
      <c r="A124" s="20" t="s">
        <v>10</v>
      </c>
      <c r="B124" s="213" t="s">
        <v>138</v>
      </c>
      <c r="C124" s="214"/>
      <c r="D124" s="13" t="s">
        <v>10</v>
      </c>
      <c r="E124" s="23" t="s">
        <v>10</v>
      </c>
      <c r="F124" s="22" t="s">
        <v>10</v>
      </c>
      <c r="G124" s="22" t="s">
        <v>10</v>
      </c>
    </row>
    <row r="125" spans="1:8" s="20" customFormat="1" ht="17.100000000000001" customHeight="1" x14ac:dyDescent="0.2"/>
    <row r="126" spans="1:8" x14ac:dyDescent="0.2">
      <c r="A126" s="24" t="s">
        <v>10</v>
      </c>
      <c r="B126" s="140" t="s">
        <v>10</v>
      </c>
      <c r="C126" s="140" t="s">
        <v>139</v>
      </c>
      <c r="D126" s="140" t="s">
        <v>140</v>
      </c>
      <c r="E126" s="24" t="s">
        <v>10</v>
      </c>
      <c r="F126" s="24" t="s">
        <v>10</v>
      </c>
      <c r="G126" s="24" t="s">
        <v>10</v>
      </c>
    </row>
    <row r="127" spans="1:8" ht="18" customHeight="1" x14ac:dyDescent="0.2">
      <c r="A127" s="24" t="s">
        <v>10</v>
      </c>
      <c r="B127" s="25" t="s">
        <v>141</v>
      </c>
      <c r="C127" s="25" t="s">
        <v>142</v>
      </c>
      <c r="D127" s="25" t="s">
        <v>143</v>
      </c>
      <c r="E127" s="24" t="s">
        <v>10</v>
      </c>
      <c r="F127" s="24" t="s">
        <v>10</v>
      </c>
      <c r="G127" s="24" t="s">
        <v>10</v>
      </c>
    </row>
    <row r="128" spans="1:8" ht="17.100000000000001" customHeight="1" x14ac:dyDescent="0.2">
      <c r="A128" s="24" t="s">
        <v>10</v>
      </c>
      <c r="B128" s="6" t="s">
        <v>144</v>
      </c>
      <c r="C128" s="26">
        <v>13.8203</v>
      </c>
      <c r="D128" s="26">
        <v>15.205299999999999</v>
      </c>
      <c r="E128" s="24" t="s">
        <v>10</v>
      </c>
      <c r="F128" s="21" t="s">
        <v>10</v>
      </c>
      <c r="G128" s="27" t="s">
        <v>10</v>
      </c>
    </row>
    <row r="129" spans="1:7" ht="17.100000000000001" customHeight="1" x14ac:dyDescent="0.2">
      <c r="A129" s="24" t="s">
        <v>10</v>
      </c>
      <c r="B129" s="6" t="s">
        <v>917</v>
      </c>
      <c r="C129" s="26">
        <v>13.8203</v>
      </c>
      <c r="D129" s="26">
        <v>15.205299999999999</v>
      </c>
      <c r="E129" s="24" t="s">
        <v>10</v>
      </c>
      <c r="F129" s="21" t="s">
        <v>10</v>
      </c>
      <c r="G129" s="27" t="s">
        <v>10</v>
      </c>
    </row>
    <row r="130" spans="1:7" ht="17.100000000000001" customHeight="1" x14ac:dyDescent="0.2">
      <c r="A130" s="24" t="s">
        <v>10</v>
      </c>
      <c r="B130" s="6" t="s">
        <v>145</v>
      </c>
      <c r="C130" s="26">
        <v>13.3042</v>
      </c>
      <c r="D130" s="26">
        <v>14.629799999999999</v>
      </c>
      <c r="E130" s="24" t="s">
        <v>10</v>
      </c>
      <c r="F130" s="21" t="s">
        <v>10</v>
      </c>
      <c r="G130" s="27" t="s">
        <v>10</v>
      </c>
    </row>
    <row r="131" spans="1:7" ht="17.100000000000001" customHeight="1" x14ac:dyDescent="0.2">
      <c r="A131" s="24" t="s">
        <v>10</v>
      </c>
      <c r="B131" s="6" t="s">
        <v>918</v>
      </c>
      <c r="C131" s="26">
        <v>13.3042</v>
      </c>
      <c r="D131" s="26">
        <v>14.629799999999999</v>
      </c>
      <c r="E131" s="24" t="s">
        <v>10</v>
      </c>
      <c r="F131" s="21" t="s">
        <v>10</v>
      </c>
      <c r="G131" s="27" t="s">
        <v>10</v>
      </c>
    </row>
    <row r="132" spans="1:7" ht="14.1" customHeight="1" x14ac:dyDescent="0.2">
      <c r="A132" s="24" t="s">
        <v>10</v>
      </c>
      <c r="B132" s="24" t="s">
        <v>10</v>
      </c>
      <c r="C132" s="24" t="s">
        <v>10</v>
      </c>
      <c r="D132" s="24" t="s">
        <v>10</v>
      </c>
      <c r="E132" s="24" t="s">
        <v>10</v>
      </c>
      <c r="F132" s="24" t="s">
        <v>10</v>
      </c>
      <c r="G132" s="24" t="s">
        <v>10</v>
      </c>
    </row>
    <row r="133" spans="1:7" ht="17.100000000000001" customHeight="1" x14ac:dyDescent="0.2">
      <c r="A133" s="24" t="s">
        <v>10</v>
      </c>
      <c r="B133" s="213" t="s">
        <v>999</v>
      </c>
      <c r="C133" s="214"/>
      <c r="D133" s="4" t="s">
        <v>136</v>
      </c>
      <c r="E133" s="24" t="s">
        <v>10</v>
      </c>
      <c r="F133" s="24" t="s">
        <v>10</v>
      </c>
      <c r="G133" s="24" t="s">
        <v>10</v>
      </c>
    </row>
    <row r="134" spans="1:7" ht="18" customHeight="1" x14ac:dyDescent="0.2">
      <c r="A134" s="24" t="s">
        <v>10</v>
      </c>
      <c r="B134" s="28"/>
      <c r="C134" s="28"/>
      <c r="D134" s="29" t="s">
        <v>10</v>
      </c>
      <c r="E134" s="24" t="s">
        <v>10</v>
      </c>
      <c r="F134" s="24" t="s">
        <v>10</v>
      </c>
      <c r="G134" s="24" t="s">
        <v>10</v>
      </c>
    </row>
    <row r="135" spans="1:7" s="175" customFormat="1" x14ac:dyDescent="0.2">
      <c r="B135" s="221" t="s">
        <v>919</v>
      </c>
      <c r="C135" s="221"/>
      <c r="D135" s="221"/>
      <c r="E135" s="221"/>
      <c r="F135" s="221"/>
    </row>
    <row r="136" spans="1:7" ht="14.1" customHeight="1" x14ac:dyDescent="0.2">
      <c r="A136" s="24" t="s">
        <v>10</v>
      </c>
      <c r="B136" s="21" t="s">
        <v>10</v>
      </c>
      <c r="C136" s="21" t="s">
        <v>10</v>
      </c>
      <c r="D136" s="24" t="s">
        <v>10</v>
      </c>
      <c r="E136" s="24" t="s">
        <v>10</v>
      </c>
      <c r="F136" s="24" t="s">
        <v>10</v>
      </c>
      <c r="G136" s="24" t="s">
        <v>10</v>
      </c>
    </row>
    <row r="137" spans="1:7" ht="29.1" customHeight="1" x14ac:dyDescent="0.2">
      <c r="A137" s="24" t="s">
        <v>10</v>
      </c>
      <c r="B137" s="213" t="s">
        <v>146</v>
      </c>
      <c r="C137" s="214"/>
      <c r="D137" s="4" t="s">
        <v>136</v>
      </c>
      <c r="E137" s="24" t="s">
        <v>10</v>
      </c>
      <c r="F137" s="24" t="s">
        <v>10</v>
      </c>
      <c r="G137" s="24" t="s">
        <v>10</v>
      </c>
    </row>
    <row r="138" spans="1:7" ht="29.1" customHeight="1" x14ac:dyDescent="0.2">
      <c r="A138" s="24" t="s">
        <v>10</v>
      </c>
      <c r="B138" s="213" t="s">
        <v>147</v>
      </c>
      <c r="C138" s="214"/>
      <c r="D138" s="4" t="s">
        <v>136</v>
      </c>
      <c r="E138" s="24" t="s">
        <v>10</v>
      </c>
      <c r="F138" s="24" t="s">
        <v>10</v>
      </c>
      <c r="G138" s="24" t="s">
        <v>10</v>
      </c>
    </row>
    <row r="139" spans="1:7" ht="17.100000000000001" customHeight="1" x14ac:dyDescent="0.2">
      <c r="A139" s="24" t="s">
        <v>10</v>
      </c>
      <c r="B139" s="213" t="s">
        <v>148</v>
      </c>
      <c r="C139" s="214"/>
      <c r="D139" s="30">
        <v>0.48017608113898458</v>
      </c>
      <c r="E139" s="24" t="s">
        <v>10</v>
      </c>
      <c r="F139" s="21" t="s">
        <v>10</v>
      </c>
      <c r="G139" s="27" t="s">
        <v>10</v>
      </c>
    </row>
    <row r="140" spans="1:7" ht="17.100000000000001" customHeight="1" x14ac:dyDescent="0.2">
      <c r="A140" s="24" t="s">
        <v>10</v>
      </c>
      <c r="B140" s="213" t="s">
        <v>149</v>
      </c>
      <c r="C140" s="214"/>
      <c r="D140" s="4" t="s">
        <v>136</v>
      </c>
      <c r="E140" s="24" t="s">
        <v>10</v>
      </c>
      <c r="F140" s="24" t="s">
        <v>10</v>
      </c>
      <c r="G140" s="24" t="s">
        <v>10</v>
      </c>
    </row>
  </sheetData>
  <mergeCells count="15">
    <mergeCell ref="B139:C139"/>
    <mergeCell ref="B140:C140"/>
    <mergeCell ref="B122:C122"/>
    <mergeCell ref="B123:C123"/>
    <mergeCell ref="B124:C124"/>
    <mergeCell ref="B133:C133"/>
    <mergeCell ref="B137:C137"/>
    <mergeCell ref="B138:C138"/>
    <mergeCell ref="B135:F135"/>
    <mergeCell ref="B121:C121"/>
    <mergeCell ref="B118:F118"/>
    <mergeCell ref="B119:F11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459E-0EAB-4368-AF9F-5FAD7236735F}">
  <dimension ref="A1:K37"/>
  <sheetViews>
    <sheetView workbookViewId="0">
      <selection activeCell="C14" sqref="C14"/>
    </sheetView>
  </sheetViews>
  <sheetFormatPr defaultRowHeight="15" x14ac:dyDescent="0.25"/>
  <cols>
    <col min="1" max="1" width="5.42578125" style="82" bestFit="1" customWidth="1"/>
    <col min="2" max="2" width="19.7109375" style="82" bestFit="1" customWidth="1"/>
    <col min="3" max="3" width="40.28515625" style="82" bestFit="1" customWidth="1"/>
    <col min="4" max="4" width="15.28515625" style="82" bestFit="1" customWidth="1"/>
    <col min="5" max="5" width="11.42578125" style="82" bestFit="1" customWidth="1"/>
    <col min="6" max="6" width="10.140625" style="82" bestFit="1" customWidth="1"/>
    <col min="7" max="7" width="8.5703125" style="82" bestFit="1" customWidth="1"/>
    <col min="8" max="8" width="8.42578125" style="82" bestFit="1" customWidth="1"/>
    <col min="9" max="10" width="9.140625" style="82"/>
    <col min="11" max="11" width="10.5703125" style="82" bestFit="1" customWidth="1"/>
    <col min="12" max="250" width="9.140625" style="82"/>
    <col min="251" max="251" width="5.42578125" style="82" bestFit="1" customWidth="1"/>
    <col min="252" max="252" width="20.42578125" style="82" bestFit="1" customWidth="1"/>
    <col min="253" max="253" width="41.42578125" style="82" customWidth="1"/>
    <col min="254" max="254" width="15.28515625" style="82" bestFit="1" customWidth="1"/>
    <col min="255" max="255" width="16.7109375" style="82" bestFit="1" customWidth="1"/>
    <col min="256" max="256" width="11.28515625" style="82" bestFit="1" customWidth="1"/>
    <col min="257" max="257" width="14" style="82" bestFit="1" customWidth="1"/>
    <col min="258" max="258" width="11.85546875" style="82" bestFit="1" customWidth="1"/>
    <col min="259" max="259" width="14.85546875" style="82" bestFit="1" customWidth="1"/>
    <col min="260" max="260" width="9.7109375" style="82" customWidth="1"/>
    <col min="261" max="261" width="4.85546875" style="82" customWidth="1"/>
    <col min="262" max="506" width="9.140625" style="82"/>
    <col min="507" max="507" width="5.42578125" style="82" bestFit="1" customWidth="1"/>
    <col min="508" max="508" width="20.42578125" style="82" bestFit="1" customWidth="1"/>
    <col min="509" max="509" width="41.42578125" style="82" customWidth="1"/>
    <col min="510" max="510" width="15.28515625" style="82" bestFit="1" customWidth="1"/>
    <col min="511" max="511" width="16.7109375" style="82" bestFit="1" customWidth="1"/>
    <col min="512" max="512" width="11.28515625" style="82" bestFit="1" customWidth="1"/>
    <col min="513" max="513" width="14" style="82" bestFit="1" customWidth="1"/>
    <col min="514" max="514" width="11.85546875" style="82" bestFit="1" customWidth="1"/>
    <col min="515" max="515" width="14.85546875" style="82" bestFit="1" customWidth="1"/>
    <col min="516" max="516" width="9.7109375" style="82" customWidth="1"/>
    <col min="517" max="517" width="4.85546875" style="82" customWidth="1"/>
    <col min="518" max="762" width="9.140625" style="82"/>
    <col min="763" max="763" width="5.42578125" style="82" bestFit="1" customWidth="1"/>
    <col min="764" max="764" width="20.42578125" style="82" bestFit="1" customWidth="1"/>
    <col min="765" max="765" width="41.42578125" style="82" customWidth="1"/>
    <col min="766" max="766" width="15.28515625" style="82" bestFit="1" customWidth="1"/>
    <col min="767" max="767" width="16.7109375" style="82" bestFit="1" customWidth="1"/>
    <col min="768" max="768" width="11.28515625" style="82" bestFit="1" customWidth="1"/>
    <col min="769" max="769" width="14" style="82" bestFit="1" customWidth="1"/>
    <col min="770" max="770" width="11.85546875" style="82" bestFit="1" customWidth="1"/>
    <col min="771" max="771" width="14.85546875" style="82" bestFit="1" customWidth="1"/>
    <col min="772" max="772" width="9.7109375" style="82" customWidth="1"/>
    <col min="773" max="773" width="4.85546875" style="82" customWidth="1"/>
    <col min="774" max="1018" width="9.140625" style="82"/>
    <col min="1019" max="1019" width="5.42578125" style="82" bestFit="1" customWidth="1"/>
    <col min="1020" max="1020" width="20.42578125" style="82" bestFit="1" customWidth="1"/>
    <col min="1021" max="1021" width="41.42578125" style="82" customWidth="1"/>
    <col min="1022" max="1022" width="15.28515625" style="82" bestFit="1" customWidth="1"/>
    <col min="1023" max="1023" width="16.7109375" style="82" bestFit="1" customWidth="1"/>
    <col min="1024" max="1024" width="11.28515625" style="82" bestFit="1" customWidth="1"/>
    <col min="1025" max="1025" width="14" style="82" bestFit="1" customWidth="1"/>
    <col min="1026" max="1026" width="11.85546875" style="82" bestFit="1" customWidth="1"/>
    <col min="1027" max="1027" width="14.85546875" style="82" bestFit="1" customWidth="1"/>
    <col min="1028" max="1028" width="9.7109375" style="82" customWidth="1"/>
    <col min="1029" max="1029" width="4.85546875" style="82" customWidth="1"/>
    <col min="1030" max="1274" width="9.140625" style="82"/>
    <col min="1275" max="1275" width="5.42578125" style="82" bestFit="1" customWidth="1"/>
    <col min="1276" max="1276" width="20.42578125" style="82" bestFit="1" customWidth="1"/>
    <col min="1277" max="1277" width="41.42578125" style="82" customWidth="1"/>
    <col min="1278" max="1278" width="15.28515625" style="82" bestFit="1" customWidth="1"/>
    <col min="1279" max="1279" width="16.7109375" style="82" bestFit="1" customWidth="1"/>
    <col min="1280" max="1280" width="11.28515625" style="82" bestFit="1" customWidth="1"/>
    <col min="1281" max="1281" width="14" style="82" bestFit="1" customWidth="1"/>
    <col min="1282" max="1282" width="11.85546875" style="82" bestFit="1" customWidth="1"/>
    <col min="1283" max="1283" width="14.85546875" style="82" bestFit="1" customWidth="1"/>
    <col min="1284" max="1284" width="9.7109375" style="82" customWidth="1"/>
    <col min="1285" max="1285" width="4.85546875" style="82" customWidth="1"/>
    <col min="1286" max="1530" width="9.140625" style="82"/>
    <col min="1531" max="1531" width="5.42578125" style="82" bestFit="1" customWidth="1"/>
    <col min="1532" max="1532" width="20.42578125" style="82" bestFit="1" customWidth="1"/>
    <col min="1533" max="1533" width="41.42578125" style="82" customWidth="1"/>
    <col min="1534" max="1534" width="15.28515625" style="82" bestFit="1" customWidth="1"/>
    <col min="1535" max="1535" width="16.7109375" style="82" bestFit="1" customWidth="1"/>
    <col min="1536" max="1536" width="11.28515625" style="82" bestFit="1" customWidth="1"/>
    <col min="1537" max="1537" width="14" style="82" bestFit="1" customWidth="1"/>
    <col min="1538" max="1538" width="11.85546875" style="82" bestFit="1" customWidth="1"/>
    <col min="1539" max="1539" width="14.85546875" style="82" bestFit="1" customWidth="1"/>
    <col min="1540" max="1540" width="9.7109375" style="82" customWidth="1"/>
    <col min="1541" max="1541" width="4.85546875" style="82" customWidth="1"/>
    <col min="1542" max="1786" width="9.140625" style="82"/>
    <col min="1787" max="1787" width="5.42578125" style="82" bestFit="1" customWidth="1"/>
    <col min="1788" max="1788" width="20.42578125" style="82" bestFit="1" customWidth="1"/>
    <col min="1789" max="1789" width="41.42578125" style="82" customWidth="1"/>
    <col min="1790" max="1790" width="15.28515625" style="82" bestFit="1" customWidth="1"/>
    <col min="1791" max="1791" width="16.7109375" style="82" bestFit="1" customWidth="1"/>
    <col min="1792" max="1792" width="11.28515625" style="82" bestFit="1" customWidth="1"/>
    <col min="1793" max="1793" width="14" style="82" bestFit="1" customWidth="1"/>
    <col min="1794" max="1794" width="11.85546875" style="82" bestFit="1" customWidth="1"/>
    <col min="1795" max="1795" width="14.85546875" style="82" bestFit="1" customWidth="1"/>
    <col min="1796" max="1796" width="9.7109375" style="82" customWidth="1"/>
    <col min="1797" max="1797" width="4.85546875" style="82" customWidth="1"/>
    <col min="1798" max="2042" width="9.140625" style="82"/>
    <col min="2043" max="2043" width="5.42578125" style="82" bestFit="1" customWidth="1"/>
    <col min="2044" max="2044" width="20.42578125" style="82" bestFit="1" customWidth="1"/>
    <col min="2045" max="2045" width="41.42578125" style="82" customWidth="1"/>
    <col min="2046" max="2046" width="15.28515625" style="82" bestFit="1" customWidth="1"/>
    <col min="2047" max="2047" width="16.7109375" style="82" bestFit="1" customWidth="1"/>
    <col min="2048" max="2048" width="11.28515625" style="82" bestFit="1" customWidth="1"/>
    <col min="2049" max="2049" width="14" style="82" bestFit="1" customWidth="1"/>
    <col min="2050" max="2050" width="11.85546875" style="82" bestFit="1" customWidth="1"/>
    <col min="2051" max="2051" width="14.85546875" style="82" bestFit="1" customWidth="1"/>
    <col min="2052" max="2052" width="9.7109375" style="82" customWidth="1"/>
    <col min="2053" max="2053" width="4.85546875" style="82" customWidth="1"/>
    <col min="2054" max="2298" width="9.140625" style="82"/>
    <col min="2299" max="2299" width="5.42578125" style="82" bestFit="1" customWidth="1"/>
    <col min="2300" max="2300" width="20.42578125" style="82" bestFit="1" customWidth="1"/>
    <col min="2301" max="2301" width="41.42578125" style="82" customWidth="1"/>
    <col min="2302" max="2302" width="15.28515625" style="82" bestFit="1" customWidth="1"/>
    <col min="2303" max="2303" width="16.7109375" style="82" bestFit="1" customWidth="1"/>
    <col min="2304" max="2304" width="11.28515625" style="82" bestFit="1" customWidth="1"/>
    <col min="2305" max="2305" width="14" style="82" bestFit="1" customWidth="1"/>
    <col min="2306" max="2306" width="11.85546875" style="82" bestFit="1" customWidth="1"/>
    <col min="2307" max="2307" width="14.85546875" style="82" bestFit="1" customWidth="1"/>
    <col min="2308" max="2308" width="9.7109375" style="82" customWidth="1"/>
    <col min="2309" max="2309" width="4.85546875" style="82" customWidth="1"/>
    <col min="2310" max="2554" width="9.140625" style="82"/>
    <col min="2555" max="2555" width="5.42578125" style="82" bestFit="1" customWidth="1"/>
    <col min="2556" max="2556" width="20.42578125" style="82" bestFit="1" customWidth="1"/>
    <col min="2557" max="2557" width="41.42578125" style="82" customWidth="1"/>
    <col min="2558" max="2558" width="15.28515625" style="82" bestFit="1" customWidth="1"/>
    <col min="2559" max="2559" width="16.7109375" style="82" bestFit="1" customWidth="1"/>
    <col min="2560" max="2560" width="11.28515625" style="82" bestFit="1" customWidth="1"/>
    <col min="2561" max="2561" width="14" style="82" bestFit="1" customWidth="1"/>
    <col min="2562" max="2562" width="11.85546875" style="82" bestFit="1" customWidth="1"/>
    <col min="2563" max="2563" width="14.85546875" style="82" bestFit="1" customWidth="1"/>
    <col min="2564" max="2564" width="9.7109375" style="82" customWidth="1"/>
    <col min="2565" max="2565" width="4.85546875" style="82" customWidth="1"/>
    <col min="2566" max="2810" width="9.140625" style="82"/>
    <col min="2811" max="2811" width="5.42578125" style="82" bestFit="1" customWidth="1"/>
    <col min="2812" max="2812" width="20.42578125" style="82" bestFit="1" customWidth="1"/>
    <col min="2813" max="2813" width="41.42578125" style="82" customWidth="1"/>
    <col min="2814" max="2814" width="15.28515625" style="82" bestFit="1" customWidth="1"/>
    <col min="2815" max="2815" width="16.7109375" style="82" bestFit="1" customWidth="1"/>
    <col min="2816" max="2816" width="11.28515625" style="82" bestFit="1" customWidth="1"/>
    <col min="2817" max="2817" width="14" style="82" bestFit="1" customWidth="1"/>
    <col min="2818" max="2818" width="11.85546875" style="82" bestFit="1" customWidth="1"/>
    <col min="2819" max="2819" width="14.85546875" style="82" bestFit="1" customWidth="1"/>
    <col min="2820" max="2820" width="9.7109375" style="82" customWidth="1"/>
    <col min="2821" max="2821" width="4.85546875" style="82" customWidth="1"/>
    <col min="2822" max="3066" width="9.140625" style="82"/>
    <col min="3067" max="3067" width="5.42578125" style="82" bestFit="1" customWidth="1"/>
    <col min="3068" max="3068" width="20.42578125" style="82" bestFit="1" customWidth="1"/>
    <col min="3069" max="3069" width="41.42578125" style="82" customWidth="1"/>
    <col min="3070" max="3070" width="15.28515625" style="82" bestFit="1" customWidth="1"/>
    <col min="3071" max="3071" width="16.7109375" style="82" bestFit="1" customWidth="1"/>
    <col min="3072" max="3072" width="11.28515625" style="82" bestFit="1" customWidth="1"/>
    <col min="3073" max="3073" width="14" style="82" bestFit="1" customWidth="1"/>
    <col min="3074" max="3074" width="11.85546875" style="82" bestFit="1" customWidth="1"/>
    <col min="3075" max="3075" width="14.85546875" style="82" bestFit="1" customWidth="1"/>
    <col min="3076" max="3076" width="9.7109375" style="82" customWidth="1"/>
    <col min="3077" max="3077" width="4.85546875" style="82" customWidth="1"/>
    <col min="3078" max="3322" width="9.140625" style="82"/>
    <col min="3323" max="3323" width="5.42578125" style="82" bestFit="1" customWidth="1"/>
    <col min="3324" max="3324" width="20.42578125" style="82" bestFit="1" customWidth="1"/>
    <col min="3325" max="3325" width="41.42578125" style="82" customWidth="1"/>
    <col min="3326" max="3326" width="15.28515625" style="82" bestFit="1" customWidth="1"/>
    <col min="3327" max="3327" width="16.7109375" style="82" bestFit="1" customWidth="1"/>
    <col min="3328" max="3328" width="11.28515625" style="82" bestFit="1" customWidth="1"/>
    <col min="3329" max="3329" width="14" style="82" bestFit="1" customWidth="1"/>
    <col min="3330" max="3330" width="11.85546875" style="82" bestFit="1" customWidth="1"/>
    <col min="3331" max="3331" width="14.85546875" style="82" bestFit="1" customWidth="1"/>
    <col min="3332" max="3332" width="9.7109375" style="82" customWidth="1"/>
    <col min="3333" max="3333" width="4.85546875" style="82" customWidth="1"/>
    <col min="3334" max="3578" width="9.140625" style="82"/>
    <col min="3579" max="3579" width="5.42578125" style="82" bestFit="1" customWidth="1"/>
    <col min="3580" max="3580" width="20.42578125" style="82" bestFit="1" customWidth="1"/>
    <col min="3581" max="3581" width="41.42578125" style="82" customWidth="1"/>
    <col min="3582" max="3582" width="15.28515625" style="82" bestFit="1" customWidth="1"/>
    <col min="3583" max="3583" width="16.7109375" style="82" bestFit="1" customWidth="1"/>
    <col min="3584" max="3584" width="11.28515625" style="82" bestFit="1" customWidth="1"/>
    <col min="3585" max="3585" width="14" style="82" bestFit="1" customWidth="1"/>
    <col min="3586" max="3586" width="11.85546875" style="82" bestFit="1" customWidth="1"/>
    <col min="3587" max="3587" width="14.85546875" style="82" bestFit="1" customWidth="1"/>
    <col min="3588" max="3588" width="9.7109375" style="82" customWidth="1"/>
    <col min="3589" max="3589" width="4.85546875" style="82" customWidth="1"/>
    <col min="3590" max="3834" width="9.140625" style="82"/>
    <col min="3835" max="3835" width="5.42578125" style="82" bestFit="1" customWidth="1"/>
    <col min="3836" max="3836" width="20.42578125" style="82" bestFit="1" customWidth="1"/>
    <col min="3837" max="3837" width="41.42578125" style="82" customWidth="1"/>
    <col min="3838" max="3838" width="15.28515625" style="82" bestFit="1" customWidth="1"/>
    <col min="3839" max="3839" width="16.7109375" style="82" bestFit="1" customWidth="1"/>
    <col min="3840" max="3840" width="11.28515625" style="82" bestFit="1" customWidth="1"/>
    <col min="3841" max="3841" width="14" style="82" bestFit="1" customWidth="1"/>
    <col min="3842" max="3842" width="11.85546875" style="82" bestFit="1" customWidth="1"/>
    <col min="3843" max="3843" width="14.85546875" style="82" bestFit="1" customWidth="1"/>
    <col min="3844" max="3844" width="9.7109375" style="82" customWidth="1"/>
    <col min="3845" max="3845" width="4.85546875" style="82" customWidth="1"/>
    <col min="3846" max="4090" width="9.140625" style="82"/>
    <col min="4091" max="4091" width="5.42578125" style="82" bestFit="1" customWidth="1"/>
    <col min="4092" max="4092" width="20.42578125" style="82" bestFit="1" customWidth="1"/>
    <col min="4093" max="4093" width="41.42578125" style="82" customWidth="1"/>
    <col min="4094" max="4094" width="15.28515625" style="82" bestFit="1" customWidth="1"/>
    <col min="4095" max="4095" width="16.7109375" style="82" bestFit="1" customWidth="1"/>
    <col min="4096" max="4096" width="11.28515625" style="82" bestFit="1" customWidth="1"/>
    <col min="4097" max="4097" width="14" style="82" bestFit="1" customWidth="1"/>
    <col min="4098" max="4098" width="11.85546875" style="82" bestFit="1" customWidth="1"/>
    <col min="4099" max="4099" width="14.85546875" style="82" bestFit="1" customWidth="1"/>
    <col min="4100" max="4100" width="9.7109375" style="82" customWidth="1"/>
    <col min="4101" max="4101" width="4.85546875" style="82" customWidth="1"/>
    <col min="4102" max="4346" width="9.140625" style="82"/>
    <col min="4347" max="4347" width="5.42578125" style="82" bestFit="1" customWidth="1"/>
    <col min="4348" max="4348" width="20.42578125" style="82" bestFit="1" customWidth="1"/>
    <col min="4349" max="4349" width="41.42578125" style="82" customWidth="1"/>
    <col min="4350" max="4350" width="15.28515625" style="82" bestFit="1" customWidth="1"/>
    <col min="4351" max="4351" width="16.7109375" style="82" bestFit="1" customWidth="1"/>
    <col min="4352" max="4352" width="11.28515625" style="82" bestFit="1" customWidth="1"/>
    <col min="4353" max="4353" width="14" style="82" bestFit="1" customWidth="1"/>
    <col min="4354" max="4354" width="11.85546875" style="82" bestFit="1" customWidth="1"/>
    <col min="4355" max="4355" width="14.85546875" style="82" bestFit="1" customWidth="1"/>
    <col min="4356" max="4356" width="9.7109375" style="82" customWidth="1"/>
    <col min="4357" max="4357" width="4.85546875" style="82" customWidth="1"/>
    <col min="4358" max="4602" width="9.140625" style="82"/>
    <col min="4603" max="4603" width="5.42578125" style="82" bestFit="1" customWidth="1"/>
    <col min="4604" max="4604" width="20.42578125" style="82" bestFit="1" customWidth="1"/>
    <col min="4605" max="4605" width="41.42578125" style="82" customWidth="1"/>
    <col min="4606" max="4606" width="15.28515625" style="82" bestFit="1" customWidth="1"/>
    <col min="4607" max="4607" width="16.7109375" style="82" bestFit="1" customWidth="1"/>
    <col min="4608" max="4608" width="11.28515625" style="82" bestFit="1" customWidth="1"/>
    <col min="4609" max="4609" width="14" style="82" bestFit="1" customWidth="1"/>
    <col min="4610" max="4610" width="11.85546875" style="82" bestFit="1" customWidth="1"/>
    <col min="4611" max="4611" width="14.85546875" style="82" bestFit="1" customWidth="1"/>
    <col min="4612" max="4612" width="9.7109375" style="82" customWidth="1"/>
    <col min="4613" max="4613" width="4.85546875" style="82" customWidth="1"/>
    <col min="4614" max="4858" width="9.140625" style="82"/>
    <col min="4859" max="4859" width="5.42578125" style="82" bestFit="1" customWidth="1"/>
    <col min="4860" max="4860" width="20.42578125" style="82" bestFit="1" customWidth="1"/>
    <col min="4861" max="4861" width="41.42578125" style="82" customWidth="1"/>
    <col min="4862" max="4862" width="15.28515625" style="82" bestFit="1" customWidth="1"/>
    <col min="4863" max="4863" width="16.7109375" style="82" bestFit="1" customWidth="1"/>
    <col min="4864" max="4864" width="11.28515625" style="82" bestFit="1" customWidth="1"/>
    <col min="4865" max="4865" width="14" style="82" bestFit="1" customWidth="1"/>
    <col min="4866" max="4866" width="11.85546875" style="82" bestFit="1" customWidth="1"/>
    <col min="4867" max="4867" width="14.85546875" style="82" bestFit="1" customWidth="1"/>
    <col min="4868" max="4868" width="9.7109375" style="82" customWidth="1"/>
    <col min="4869" max="4869" width="4.85546875" style="82" customWidth="1"/>
    <col min="4870" max="5114" width="9.140625" style="82"/>
    <col min="5115" max="5115" width="5.42578125" style="82" bestFit="1" customWidth="1"/>
    <col min="5116" max="5116" width="20.42578125" style="82" bestFit="1" customWidth="1"/>
    <col min="5117" max="5117" width="41.42578125" style="82" customWidth="1"/>
    <col min="5118" max="5118" width="15.28515625" style="82" bestFit="1" customWidth="1"/>
    <col min="5119" max="5119" width="16.7109375" style="82" bestFit="1" customWidth="1"/>
    <col min="5120" max="5120" width="11.28515625" style="82" bestFit="1" customWidth="1"/>
    <col min="5121" max="5121" width="14" style="82" bestFit="1" customWidth="1"/>
    <col min="5122" max="5122" width="11.85546875" style="82" bestFit="1" customWidth="1"/>
    <col min="5123" max="5123" width="14.85546875" style="82" bestFit="1" customWidth="1"/>
    <col min="5124" max="5124" width="9.7109375" style="82" customWidth="1"/>
    <col min="5125" max="5125" width="4.85546875" style="82" customWidth="1"/>
    <col min="5126" max="5370" width="9.140625" style="82"/>
    <col min="5371" max="5371" width="5.42578125" style="82" bestFit="1" customWidth="1"/>
    <col min="5372" max="5372" width="20.42578125" style="82" bestFit="1" customWidth="1"/>
    <col min="5373" max="5373" width="41.42578125" style="82" customWidth="1"/>
    <col min="5374" max="5374" width="15.28515625" style="82" bestFit="1" customWidth="1"/>
    <col min="5375" max="5375" width="16.7109375" style="82" bestFit="1" customWidth="1"/>
    <col min="5376" max="5376" width="11.28515625" style="82" bestFit="1" customWidth="1"/>
    <col min="5377" max="5377" width="14" style="82" bestFit="1" customWidth="1"/>
    <col min="5378" max="5378" width="11.85546875" style="82" bestFit="1" customWidth="1"/>
    <col min="5379" max="5379" width="14.85546875" style="82" bestFit="1" customWidth="1"/>
    <col min="5380" max="5380" width="9.7109375" style="82" customWidth="1"/>
    <col min="5381" max="5381" width="4.85546875" style="82" customWidth="1"/>
    <col min="5382" max="5626" width="9.140625" style="82"/>
    <col min="5627" max="5627" width="5.42578125" style="82" bestFit="1" customWidth="1"/>
    <col min="5628" max="5628" width="20.42578125" style="82" bestFit="1" customWidth="1"/>
    <col min="5629" max="5629" width="41.42578125" style="82" customWidth="1"/>
    <col min="5630" max="5630" width="15.28515625" style="82" bestFit="1" customWidth="1"/>
    <col min="5631" max="5631" width="16.7109375" style="82" bestFit="1" customWidth="1"/>
    <col min="5632" max="5632" width="11.28515625" style="82" bestFit="1" customWidth="1"/>
    <col min="5633" max="5633" width="14" style="82" bestFit="1" customWidth="1"/>
    <col min="5634" max="5634" width="11.85546875" style="82" bestFit="1" customWidth="1"/>
    <col min="5635" max="5635" width="14.85546875" style="82" bestFit="1" customWidth="1"/>
    <col min="5636" max="5636" width="9.7109375" style="82" customWidth="1"/>
    <col min="5637" max="5637" width="4.85546875" style="82" customWidth="1"/>
    <col min="5638" max="5882" width="9.140625" style="82"/>
    <col min="5883" max="5883" width="5.42578125" style="82" bestFit="1" customWidth="1"/>
    <col min="5884" max="5884" width="20.42578125" style="82" bestFit="1" customWidth="1"/>
    <col min="5885" max="5885" width="41.42578125" style="82" customWidth="1"/>
    <col min="5886" max="5886" width="15.28515625" style="82" bestFit="1" customWidth="1"/>
    <col min="5887" max="5887" width="16.7109375" style="82" bestFit="1" customWidth="1"/>
    <col min="5888" max="5888" width="11.28515625" style="82" bestFit="1" customWidth="1"/>
    <col min="5889" max="5889" width="14" style="82" bestFit="1" customWidth="1"/>
    <col min="5890" max="5890" width="11.85546875" style="82" bestFit="1" customWidth="1"/>
    <col min="5891" max="5891" width="14.85546875" style="82" bestFit="1" customWidth="1"/>
    <col min="5892" max="5892" width="9.7109375" style="82" customWidth="1"/>
    <col min="5893" max="5893" width="4.85546875" style="82" customWidth="1"/>
    <col min="5894" max="6138" width="9.140625" style="82"/>
    <col min="6139" max="6139" width="5.42578125" style="82" bestFit="1" customWidth="1"/>
    <col min="6140" max="6140" width="20.42578125" style="82" bestFit="1" customWidth="1"/>
    <col min="6141" max="6141" width="41.42578125" style="82" customWidth="1"/>
    <col min="6142" max="6142" width="15.28515625" style="82" bestFit="1" customWidth="1"/>
    <col min="6143" max="6143" width="16.7109375" style="82" bestFit="1" customWidth="1"/>
    <col min="6144" max="6144" width="11.28515625" style="82" bestFit="1" customWidth="1"/>
    <col min="6145" max="6145" width="14" style="82" bestFit="1" customWidth="1"/>
    <col min="6146" max="6146" width="11.85546875" style="82" bestFit="1" customWidth="1"/>
    <col min="6147" max="6147" width="14.85546875" style="82" bestFit="1" customWidth="1"/>
    <col min="6148" max="6148" width="9.7109375" style="82" customWidth="1"/>
    <col min="6149" max="6149" width="4.85546875" style="82" customWidth="1"/>
    <col min="6150" max="6394" width="9.140625" style="82"/>
    <col min="6395" max="6395" width="5.42578125" style="82" bestFit="1" customWidth="1"/>
    <col min="6396" max="6396" width="20.42578125" style="82" bestFit="1" customWidth="1"/>
    <col min="6397" max="6397" width="41.42578125" style="82" customWidth="1"/>
    <col min="6398" max="6398" width="15.28515625" style="82" bestFit="1" customWidth="1"/>
    <col min="6399" max="6399" width="16.7109375" style="82" bestFit="1" customWidth="1"/>
    <col min="6400" max="6400" width="11.28515625" style="82" bestFit="1" customWidth="1"/>
    <col min="6401" max="6401" width="14" style="82" bestFit="1" customWidth="1"/>
    <col min="6402" max="6402" width="11.85546875" style="82" bestFit="1" customWidth="1"/>
    <col min="6403" max="6403" width="14.85546875" style="82" bestFit="1" customWidth="1"/>
    <col min="6404" max="6404" width="9.7109375" style="82" customWidth="1"/>
    <col min="6405" max="6405" width="4.85546875" style="82" customWidth="1"/>
    <col min="6406" max="6650" width="9.140625" style="82"/>
    <col min="6651" max="6651" width="5.42578125" style="82" bestFit="1" customWidth="1"/>
    <col min="6652" max="6652" width="20.42578125" style="82" bestFit="1" customWidth="1"/>
    <col min="6653" max="6653" width="41.42578125" style="82" customWidth="1"/>
    <col min="6654" max="6654" width="15.28515625" style="82" bestFit="1" customWidth="1"/>
    <col min="6655" max="6655" width="16.7109375" style="82" bestFit="1" customWidth="1"/>
    <col min="6656" max="6656" width="11.28515625" style="82" bestFit="1" customWidth="1"/>
    <col min="6657" max="6657" width="14" style="82" bestFit="1" customWidth="1"/>
    <col min="6658" max="6658" width="11.85546875" style="82" bestFit="1" customWidth="1"/>
    <col min="6659" max="6659" width="14.85546875" style="82" bestFit="1" customWidth="1"/>
    <col min="6660" max="6660" width="9.7109375" style="82" customWidth="1"/>
    <col min="6661" max="6661" width="4.85546875" style="82" customWidth="1"/>
    <col min="6662" max="6906" width="9.140625" style="82"/>
    <col min="6907" max="6907" width="5.42578125" style="82" bestFit="1" customWidth="1"/>
    <col min="6908" max="6908" width="20.42578125" style="82" bestFit="1" customWidth="1"/>
    <col min="6909" max="6909" width="41.42578125" style="82" customWidth="1"/>
    <col min="6910" max="6910" width="15.28515625" style="82" bestFit="1" customWidth="1"/>
    <col min="6911" max="6911" width="16.7109375" style="82" bestFit="1" customWidth="1"/>
    <col min="6912" max="6912" width="11.28515625" style="82" bestFit="1" customWidth="1"/>
    <col min="6913" max="6913" width="14" style="82" bestFit="1" customWidth="1"/>
    <col min="6914" max="6914" width="11.85546875" style="82" bestFit="1" customWidth="1"/>
    <col min="6915" max="6915" width="14.85546875" style="82" bestFit="1" customWidth="1"/>
    <col min="6916" max="6916" width="9.7109375" style="82" customWidth="1"/>
    <col min="6917" max="6917" width="4.85546875" style="82" customWidth="1"/>
    <col min="6918" max="7162" width="9.140625" style="82"/>
    <col min="7163" max="7163" width="5.42578125" style="82" bestFit="1" customWidth="1"/>
    <col min="7164" max="7164" width="20.42578125" style="82" bestFit="1" customWidth="1"/>
    <col min="7165" max="7165" width="41.42578125" style="82" customWidth="1"/>
    <col min="7166" max="7166" width="15.28515625" style="82" bestFit="1" customWidth="1"/>
    <col min="7167" max="7167" width="16.7109375" style="82" bestFit="1" customWidth="1"/>
    <col min="7168" max="7168" width="11.28515625" style="82" bestFit="1" customWidth="1"/>
    <col min="7169" max="7169" width="14" style="82" bestFit="1" customWidth="1"/>
    <col min="7170" max="7170" width="11.85546875" style="82" bestFit="1" customWidth="1"/>
    <col min="7171" max="7171" width="14.85546875" style="82" bestFit="1" customWidth="1"/>
    <col min="7172" max="7172" width="9.7109375" style="82" customWidth="1"/>
    <col min="7173" max="7173" width="4.85546875" style="82" customWidth="1"/>
    <col min="7174" max="7418" width="9.140625" style="82"/>
    <col min="7419" max="7419" width="5.42578125" style="82" bestFit="1" customWidth="1"/>
    <col min="7420" max="7420" width="20.42578125" style="82" bestFit="1" customWidth="1"/>
    <col min="7421" max="7421" width="41.42578125" style="82" customWidth="1"/>
    <col min="7422" max="7422" width="15.28515625" style="82" bestFit="1" customWidth="1"/>
    <col min="7423" max="7423" width="16.7109375" style="82" bestFit="1" customWidth="1"/>
    <col min="7424" max="7424" width="11.28515625" style="82" bestFit="1" customWidth="1"/>
    <col min="7425" max="7425" width="14" style="82" bestFit="1" customWidth="1"/>
    <col min="7426" max="7426" width="11.85546875" style="82" bestFit="1" customWidth="1"/>
    <col min="7427" max="7427" width="14.85546875" style="82" bestFit="1" customWidth="1"/>
    <col min="7428" max="7428" width="9.7109375" style="82" customWidth="1"/>
    <col min="7429" max="7429" width="4.85546875" style="82" customWidth="1"/>
    <col min="7430" max="7674" width="9.140625" style="82"/>
    <col min="7675" max="7675" width="5.42578125" style="82" bestFit="1" customWidth="1"/>
    <col min="7676" max="7676" width="20.42578125" style="82" bestFit="1" customWidth="1"/>
    <col min="7677" max="7677" width="41.42578125" style="82" customWidth="1"/>
    <col min="7678" max="7678" width="15.28515625" style="82" bestFit="1" customWidth="1"/>
    <col min="7679" max="7679" width="16.7109375" style="82" bestFit="1" customWidth="1"/>
    <col min="7680" max="7680" width="11.28515625" style="82" bestFit="1" customWidth="1"/>
    <col min="7681" max="7681" width="14" style="82" bestFit="1" customWidth="1"/>
    <col min="7682" max="7682" width="11.85546875" style="82" bestFit="1" customWidth="1"/>
    <col min="7683" max="7683" width="14.85546875" style="82" bestFit="1" customWidth="1"/>
    <col min="7684" max="7684" width="9.7109375" style="82" customWidth="1"/>
    <col min="7685" max="7685" width="4.85546875" style="82" customWidth="1"/>
    <col min="7686" max="7930" width="9.140625" style="82"/>
    <col min="7931" max="7931" width="5.42578125" style="82" bestFit="1" customWidth="1"/>
    <col min="7932" max="7932" width="20.42578125" style="82" bestFit="1" customWidth="1"/>
    <col min="7933" max="7933" width="41.42578125" style="82" customWidth="1"/>
    <col min="7934" max="7934" width="15.28515625" style="82" bestFit="1" customWidth="1"/>
    <col min="7935" max="7935" width="16.7109375" style="82" bestFit="1" customWidth="1"/>
    <col min="7936" max="7936" width="11.28515625" style="82" bestFit="1" customWidth="1"/>
    <col min="7937" max="7937" width="14" style="82" bestFit="1" customWidth="1"/>
    <col min="7938" max="7938" width="11.85546875" style="82" bestFit="1" customWidth="1"/>
    <col min="7939" max="7939" width="14.85546875" style="82" bestFit="1" customWidth="1"/>
    <col min="7940" max="7940" width="9.7109375" style="82" customWidth="1"/>
    <col min="7941" max="7941" width="4.85546875" style="82" customWidth="1"/>
    <col min="7942" max="8186" width="9.140625" style="82"/>
    <col min="8187" max="8187" width="5.42578125" style="82" bestFit="1" customWidth="1"/>
    <col min="8188" max="8188" width="20.42578125" style="82" bestFit="1" customWidth="1"/>
    <col min="8189" max="8189" width="41.42578125" style="82" customWidth="1"/>
    <col min="8190" max="8190" width="15.28515625" style="82" bestFit="1" customWidth="1"/>
    <col min="8191" max="8191" width="16.7109375" style="82" bestFit="1" customWidth="1"/>
    <col min="8192" max="8192" width="11.28515625" style="82" bestFit="1" customWidth="1"/>
    <col min="8193" max="8193" width="14" style="82" bestFit="1" customWidth="1"/>
    <col min="8194" max="8194" width="11.85546875" style="82" bestFit="1" customWidth="1"/>
    <col min="8195" max="8195" width="14.85546875" style="82" bestFit="1" customWidth="1"/>
    <col min="8196" max="8196" width="9.7109375" style="82" customWidth="1"/>
    <col min="8197" max="8197" width="4.85546875" style="82" customWidth="1"/>
    <col min="8198" max="8442" width="9.140625" style="82"/>
    <col min="8443" max="8443" width="5.42578125" style="82" bestFit="1" customWidth="1"/>
    <col min="8444" max="8444" width="20.42578125" style="82" bestFit="1" customWidth="1"/>
    <col min="8445" max="8445" width="41.42578125" style="82" customWidth="1"/>
    <col min="8446" max="8446" width="15.28515625" style="82" bestFit="1" customWidth="1"/>
    <col min="8447" max="8447" width="16.7109375" style="82" bestFit="1" customWidth="1"/>
    <col min="8448" max="8448" width="11.28515625" style="82" bestFit="1" customWidth="1"/>
    <col min="8449" max="8449" width="14" style="82" bestFit="1" customWidth="1"/>
    <col min="8450" max="8450" width="11.85546875" style="82" bestFit="1" customWidth="1"/>
    <col min="8451" max="8451" width="14.85546875" style="82" bestFit="1" customWidth="1"/>
    <col min="8452" max="8452" width="9.7109375" style="82" customWidth="1"/>
    <col min="8453" max="8453" width="4.85546875" style="82" customWidth="1"/>
    <col min="8454" max="8698" width="9.140625" style="82"/>
    <col min="8699" max="8699" width="5.42578125" style="82" bestFit="1" customWidth="1"/>
    <col min="8700" max="8700" width="20.42578125" style="82" bestFit="1" customWidth="1"/>
    <col min="8701" max="8701" width="41.42578125" style="82" customWidth="1"/>
    <col min="8702" max="8702" width="15.28515625" style="82" bestFit="1" customWidth="1"/>
    <col min="8703" max="8703" width="16.7109375" style="82" bestFit="1" customWidth="1"/>
    <col min="8704" max="8704" width="11.28515625" style="82" bestFit="1" customWidth="1"/>
    <col min="8705" max="8705" width="14" style="82" bestFit="1" customWidth="1"/>
    <col min="8706" max="8706" width="11.85546875" style="82" bestFit="1" customWidth="1"/>
    <col min="8707" max="8707" width="14.85546875" style="82" bestFit="1" customWidth="1"/>
    <col min="8708" max="8708" width="9.7109375" style="82" customWidth="1"/>
    <col min="8709" max="8709" width="4.85546875" style="82" customWidth="1"/>
    <col min="8710" max="8954" width="9.140625" style="82"/>
    <col min="8955" max="8955" width="5.42578125" style="82" bestFit="1" customWidth="1"/>
    <col min="8956" max="8956" width="20.42578125" style="82" bestFit="1" customWidth="1"/>
    <col min="8957" max="8957" width="41.42578125" style="82" customWidth="1"/>
    <col min="8958" max="8958" width="15.28515625" style="82" bestFit="1" customWidth="1"/>
    <col min="8959" max="8959" width="16.7109375" style="82" bestFit="1" customWidth="1"/>
    <col min="8960" max="8960" width="11.28515625" style="82" bestFit="1" customWidth="1"/>
    <col min="8961" max="8961" width="14" style="82" bestFit="1" customWidth="1"/>
    <col min="8962" max="8962" width="11.85546875" style="82" bestFit="1" customWidth="1"/>
    <col min="8963" max="8963" width="14.85546875" style="82" bestFit="1" customWidth="1"/>
    <col min="8964" max="8964" width="9.7109375" style="82" customWidth="1"/>
    <col min="8965" max="8965" width="4.85546875" style="82" customWidth="1"/>
    <col min="8966" max="9210" width="9.140625" style="82"/>
    <col min="9211" max="9211" width="5.42578125" style="82" bestFit="1" customWidth="1"/>
    <col min="9212" max="9212" width="20.42578125" style="82" bestFit="1" customWidth="1"/>
    <col min="9213" max="9213" width="41.42578125" style="82" customWidth="1"/>
    <col min="9214" max="9214" width="15.28515625" style="82" bestFit="1" customWidth="1"/>
    <col min="9215" max="9215" width="16.7109375" style="82" bestFit="1" customWidth="1"/>
    <col min="9216" max="9216" width="11.28515625" style="82" bestFit="1" customWidth="1"/>
    <col min="9217" max="9217" width="14" style="82" bestFit="1" customWidth="1"/>
    <col min="9218" max="9218" width="11.85546875" style="82" bestFit="1" customWidth="1"/>
    <col min="9219" max="9219" width="14.85546875" style="82" bestFit="1" customWidth="1"/>
    <col min="9220" max="9220" width="9.7109375" style="82" customWidth="1"/>
    <col min="9221" max="9221" width="4.85546875" style="82" customWidth="1"/>
    <col min="9222" max="9466" width="9.140625" style="82"/>
    <col min="9467" max="9467" width="5.42578125" style="82" bestFit="1" customWidth="1"/>
    <col min="9468" max="9468" width="20.42578125" style="82" bestFit="1" customWidth="1"/>
    <col min="9469" max="9469" width="41.42578125" style="82" customWidth="1"/>
    <col min="9470" max="9470" width="15.28515625" style="82" bestFit="1" customWidth="1"/>
    <col min="9471" max="9471" width="16.7109375" style="82" bestFit="1" customWidth="1"/>
    <col min="9472" max="9472" width="11.28515625" style="82" bestFit="1" customWidth="1"/>
    <col min="9473" max="9473" width="14" style="82" bestFit="1" customWidth="1"/>
    <col min="9474" max="9474" width="11.85546875" style="82" bestFit="1" customWidth="1"/>
    <col min="9475" max="9475" width="14.85546875" style="82" bestFit="1" customWidth="1"/>
    <col min="9476" max="9476" width="9.7109375" style="82" customWidth="1"/>
    <col min="9477" max="9477" width="4.85546875" style="82" customWidth="1"/>
    <col min="9478" max="9722" width="9.140625" style="82"/>
    <col min="9723" max="9723" width="5.42578125" style="82" bestFit="1" customWidth="1"/>
    <col min="9724" max="9724" width="20.42578125" style="82" bestFit="1" customWidth="1"/>
    <col min="9725" max="9725" width="41.42578125" style="82" customWidth="1"/>
    <col min="9726" max="9726" width="15.28515625" style="82" bestFit="1" customWidth="1"/>
    <col min="9727" max="9727" width="16.7109375" style="82" bestFit="1" customWidth="1"/>
    <col min="9728" max="9728" width="11.28515625" style="82" bestFit="1" customWidth="1"/>
    <col min="9729" max="9729" width="14" style="82" bestFit="1" customWidth="1"/>
    <col min="9730" max="9730" width="11.85546875" style="82" bestFit="1" customWidth="1"/>
    <col min="9731" max="9731" width="14.85546875" style="82" bestFit="1" customWidth="1"/>
    <col min="9732" max="9732" width="9.7109375" style="82" customWidth="1"/>
    <col min="9733" max="9733" width="4.85546875" style="82" customWidth="1"/>
    <col min="9734" max="9978" width="9.140625" style="82"/>
    <col min="9979" max="9979" width="5.42578125" style="82" bestFit="1" customWidth="1"/>
    <col min="9980" max="9980" width="20.42578125" style="82" bestFit="1" customWidth="1"/>
    <col min="9981" max="9981" width="41.42578125" style="82" customWidth="1"/>
    <col min="9982" max="9982" width="15.28515625" style="82" bestFit="1" customWidth="1"/>
    <col min="9983" max="9983" width="16.7109375" style="82" bestFit="1" customWidth="1"/>
    <col min="9984" max="9984" width="11.28515625" style="82" bestFit="1" customWidth="1"/>
    <col min="9985" max="9985" width="14" style="82" bestFit="1" customWidth="1"/>
    <col min="9986" max="9986" width="11.85546875" style="82" bestFit="1" customWidth="1"/>
    <col min="9987" max="9987" width="14.85546875" style="82" bestFit="1" customWidth="1"/>
    <col min="9988" max="9988" width="9.7109375" style="82" customWidth="1"/>
    <col min="9989" max="9989" width="4.85546875" style="82" customWidth="1"/>
    <col min="9990" max="10234" width="9.140625" style="82"/>
    <col min="10235" max="10235" width="5.42578125" style="82" bestFit="1" customWidth="1"/>
    <col min="10236" max="10236" width="20.42578125" style="82" bestFit="1" customWidth="1"/>
    <col min="10237" max="10237" width="41.42578125" style="82" customWidth="1"/>
    <col min="10238" max="10238" width="15.28515625" style="82" bestFit="1" customWidth="1"/>
    <col min="10239" max="10239" width="16.7109375" style="82" bestFit="1" customWidth="1"/>
    <col min="10240" max="10240" width="11.28515625" style="82" bestFit="1" customWidth="1"/>
    <col min="10241" max="10241" width="14" style="82" bestFit="1" customWidth="1"/>
    <col min="10242" max="10242" width="11.85546875" style="82" bestFit="1" customWidth="1"/>
    <col min="10243" max="10243" width="14.85546875" style="82" bestFit="1" customWidth="1"/>
    <col min="10244" max="10244" width="9.7109375" style="82" customWidth="1"/>
    <col min="10245" max="10245" width="4.85546875" style="82" customWidth="1"/>
    <col min="10246" max="10490" width="9.140625" style="82"/>
    <col min="10491" max="10491" width="5.42578125" style="82" bestFit="1" customWidth="1"/>
    <col min="10492" max="10492" width="20.42578125" style="82" bestFit="1" customWidth="1"/>
    <col min="10493" max="10493" width="41.42578125" style="82" customWidth="1"/>
    <col min="10494" max="10494" width="15.28515625" style="82" bestFit="1" customWidth="1"/>
    <col min="10495" max="10495" width="16.7109375" style="82" bestFit="1" customWidth="1"/>
    <col min="10496" max="10496" width="11.28515625" style="82" bestFit="1" customWidth="1"/>
    <col min="10497" max="10497" width="14" style="82" bestFit="1" customWidth="1"/>
    <col min="10498" max="10498" width="11.85546875" style="82" bestFit="1" customWidth="1"/>
    <col min="10499" max="10499" width="14.85546875" style="82" bestFit="1" customWidth="1"/>
    <col min="10500" max="10500" width="9.7109375" style="82" customWidth="1"/>
    <col min="10501" max="10501" width="4.85546875" style="82" customWidth="1"/>
    <col min="10502" max="10746" width="9.140625" style="82"/>
    <col min="10747" max="10747" width="5.42578125" style="82" bestFit="1" customWidth="1"/>
    <col min="10748" max="10748" width="20.42578125" style="82" bestFit="1" customWidth="1"/>
    <col min="10749" max="10749" width="41.42578125" style="82" customWidth="1"/>
    <col min="10750" max="10750" width="15.28515625" style="82" bestFit="1" customWidth="1"/>
    <col min="10751" max="10751" width="16.7109375" style="82" bestFit="1" customWidth="1"/>
    <col min="10752" max="10752" width="11.28515625" style="82" bestFit="1" customWidth="1"/>
    <col min="10753" max="10753" width="14" style="82" bestFit="1" customWidth="1"/>
    <col min="10754" max="10754" width="11.85546875" style="82" bestFit="1" customWidth="1"/>
    <col min="10755" max="10755" width="14.85546875" style="82" bestFit="1" customWidth="1"/>
    <col min="10756" max="10756" width="9.7109375" style="82" customWidth="1"/>
    <col min="10757" max="10757" width="4.85546875" style="82" customWidth="1"/>
    <col min="10758" max="11002" width="9.140625" style="82"/>
    <col min="11003" max="11003" width="5.42578125" style="82" bestFit="1" customWidth="1"/>
    <col min="11004" max="11004" width="20.42578125" style="82" bestFit="1" customWidth="1"/>
    <col min="11005" max="11005" width="41.42578125" style="82" customWidth="1"/>
    <col min="11006" max="11006" width="15.28515625" style="82" bestFit="1" customWidth="1"/>
    <col min="11007" max="11007" width="16.7109375" style="82" bestFit="1" customWidth="1"/>
    <col min="11008" max="11008" width="11.28515625" style="82" bestFit="1" customWidth="1"/>
    <col min="11009" max="11009" width="14" style="82" bestFit="1" customWidth="1"/>
    <col min="11010" max="11010" width="11.85546875" style="82" bestFit="1" customWidth="1"/>
    <col min="11011" max="11011" width="14.85546875" style="82" bestFit="1" customWidth="1"/>
    <col min="11012" max="11012" width="9.7109375" style="82" customWidth="1"/>
    <col min="11013" max="11013" width="4.85546875" style="82" customWidth="1"/>
    <col min="11014" max="11258" width="9.140625" style="82"/>
    <col min="11259" max="11259" width="5.42578125" style="82" bestFit="1" customWidth="1"/>
    <col min="11260" max="11260" width="20.42578125" style="82" bestFit="1" customWidth="1"/>
    <col min="11261" max="11261" width="41.42578125" style="82" customWidth="1"/>
    <col min="11262" max="11262" width="15.28515625" style="82" bestFit="1" customWidth="1"/>
    <col min="11263" max="11263" width="16.7109375" style="82" bestFit="1" customWidth="1"/>
    <col min="11264" max="11264" width="11.28515625" style="82" bestFit="1" customWidth="1"/>
    <col min="11265" max="11265" width="14" style="82" bestFit="1" customWidth="1"/>
    <col min="11266" max="11266" width="11.85546875" style="82" bestFit="1" customWidth="1"/>
    <col min="11267" max="11267" width="14.85546875" style="82" bestFit="1" customWidth="1"/>
    <col min="11268" max="11268" width="9.7109375" style="82" customWidth="1"/>
    <col min="11269" max="11269" width="4.85546875" style="82" customWidth="1"/>
    <col min="11270" max="11514" width="9.140625" style="82"/>
    <col min="11515" max="11515" width="5.42578125" style="82" bestFit="1" customWidth="1"/>
    <col min="11516" max="11516" width="20.42578125" style="82" bestFit="1" customWidth="1"/>
    <col min="11517" max="11517" width="41.42578125" style="82" customWidth="1"/>
    <col min="11518" max="11518" width="15.28515625" style="82" bestFit="1" customWidth="1"/>
    <col min="11519" max="11519" width="16.7109375" style="82" bestFit="1" customWidth="1"/>
    <col min="11520" max="11520" width="11.28515625" style="82" bestFit="1" customWidth="1"/>
    <col min="11521" max="11521" width="14" style="82" bestFit="1" customWidth="1"/>
    <col min="11522" max="11522" width="11.85546875" style="82" bestFit="1" customWidth="1"/>
    <col min="11523" max="11523" width="14.85546875" style="82" bestFit="1" customWidth="1"/>
    <col min="11524" max="11524" width="9.7109375" style="82" customWidth="1"/>
    <col min="11525" max="11525" width="4.85546875" style="82" customWidth="1"/>
    <col min="11526" max="11770" width="9.140625" style="82"/>
    <col min="11771" max="11771" width="5.42578125" style="82" bestFit="1" customWidth="1"/>
    <col min="11772" max="11772" width="20.42578125" style="82" bestFit="1" customWidth="1"/>
    <col min="11773" max="11773" width="41.42578125" style="82" customWidth="1"/>
    <col min="11774" max="11774" width="15.28515625" style="82" bestFit="1" customWidth="1"/>
    <col min="11775" max="11775" width="16.7109375" style="82" bestFit="1" customWidth="1"/>
    <col min="11776" max="11776" width="11.28515625" style="82" bestFit="1" customWidth="1"/>
    <col min="11777" max="11777" width="14" style="82" bestFit="1" customWidth="1"/>
    <col min="11778" max="11778" width="11.85546875" style="82" bestFit="1" customWidth="1"/>
    <col min="11779" max="11779" width="14.85546875" style="82" bestFit="1" customWidth="1"/>
    <col min="11780" max="11780" width="9.7109375" style="82" customWidth="1"/>
    <col min="11781" max="11781" width="4.85546875" style="82" customWidth="1"/>
    <col min="11782" max="12026" width="9.140625" style="82"/>
    <col min="12027" max="12027" width="5.42578125" style="82" bestFit="1" customWidth="1"/>
    <col min="12028" max="12028" width="20.42578125" style="82" bestFit="1" customWidth="1"/>
    <col min="12029" max="12029" width="41.42578125" style="82" customWidth="1"/>
    <col min="12030" max="12030" width="15.28515625" style="82" bestFit="1" customWidth="1"/>
    <col min="12031" max="12031" width="16.7109375" style="82" bestFit="1" customWidth="1"/>
    <col min="12032" max="12032" width="11.28515625" style="82" bestFit="1" customWidth="1"/>
    <col min="12033" max="12033" width="14" style="82" bestFit="1" customWidth="1"/>
    <col min="12034" max="12034" width="11.85546875" style="82" bestFit="1" customWidth="1"/>
    <col min="12035" max="12035" width="14.85546875" style="82" bestFit="1" customWidth="1"/>
    <col min="12036" max="12036" width="9.7109375" style="82" customWidth="1"/>
    <col min="12037" max="12037" width="4.85546875" style="82" customWidth="1"/>
    <col min="12038" max="12282" width="9.140625" style="82"/>
    <col min="12283" max="12283" width="5.42578125" style="82" bestFit="1" customWidth="1"/>
    <col min="12284" max="12284" width="20.42578125" style="82" bestFit="1" customWidth="1"/>
    <col min="12285" max="12285" width="41.42578125" style="82" customWidth="1"/>
    <col min="12286" max="12286" width="15.28515625" style="82" bestFit="1" customWidth="1"/>
    <col min="12287" max="12287" width="16.7109375" style="82" bestFit="1" customWidth="1"/>
    <col min="12288" max="12288" width="11.28515625" style="82" bestFit="1" customWidth="1"/>
    <col min="12289" max="12289" width="14" style="82" bestFit="1" customWidth="1"/>
    <col min="12290" max="12290" width="11.85546875" style="82" bestFit="1" customWidth="1"/>
    <col min="12291" max="12291" width="14.85546875" style="82" bestFit="1" customWidth="1"/>
    <col min="12292" max="12292" width="9.7109375" style="82" customWidth="1"/>
    <col min="12293" max="12293" width="4.85546875" style="82" customWidth="1"/>
    <col min="12294" max="12538" width="9.140625" style="82"/>
    <col min="12539" max="12539" width="5.42578125" style="82" bestFit="1" customWidth="1"/>
    <col min="12540" max="12540" width="20.42578125" style="82" bestFit="1" customWidth="1"/>
    <col min="12541" max="12541" width="41.42578125" style="82" customWidth="1"/>
    <col min="12542" max="12542" width="15.28515625" style="82" bestFit="1" customWidth="1"/>
    <col min="12543" max="12543" width="16.7109375" style="82" bestFit="1" customWidth="1"/>
    <col min="12544" max="12544" width="11.28515625" style="82" bestFit="1" customWidth="1"/>
    <col min="12545" max="12545" width="14" style="82" bestFit="1" customWidth="1"/>
    <col min="12546" max="12546" width="11.85546875" style="82" bestFit="1" customWidth="1"/>
    <col min="12547" max="12547" width="14.85546875" style="82" bestFit="1" customWidth="1"/>
    <col min="12548" max="12548" width="9.7109375" style="82" customWidth="1"/>
    <col min="12549" max="12549" width="4.85546875" style="82" customWidth="1"/>
    <col min="12550" max="12794" width="9.140625" style="82"/>
    <col min="12795" max="12795" width="5.42578125" style="82" bestFit="1" customWidth="1"/>
    <col min="12796" max="12796" width="20.42578125" style="82" bestFit="1" customWidth="1"/>
    <col min="12797" max="12797" width="41.42578125" style="82" customWidth="1"/>
    <col min="12798" max="12798" width="15.28515625" style="82" bestFit="1" customWidth="1"/>
    <col min="12799" max="12799" width="16.7109375" style="82" bestFit="1" customWidth="1"/>
    <col min="12800" max="12800" width="11.28515625" style="82" bestFit="1" customWidth="1"/>
    <col min="12801" max="12801" width="14" style="82" bestFit="1" customWidth="1"/>
    <col min="12802" max="12802" width="11.85546875" style="82" bestFit="1" customWidth="1"/>
    <col min="12803" max="12803" width="14.85546875" style="82" bestFit="1" customWidth="1"/>
    <col min="12804" max="12804" width="9.7109375" style="82" customWidth="1"/>
    <col min="12805" max="12805" width="4.85546875" style="82" customWidth="1"/>
    <col min="12806" max="13050" width="9.140625" style="82"/>
    <col min="13051" max="13051" width="5.42578125" style="82" bestFit="1" customWidth="1"/>
    <col min="13052" max="13052" width="20.42578125" style="82" bestFit="1" customWidth="1"/>
    <col min="13053" max="13053" width="41.42578125" style="82" customWidth="1"/>
    <col min="13054" max="13054" width="15.28515625" style="82" bestFit="1" customWidth="1"/>
    <col min="13055" max="13055" width="16.7109375" style="82" bestFit="1" customWidth="1"/>
    <col min="13056" max="13056" width="11.28515625" style="82" bestFit="1" customWidth="1"/>
    <col min="13057" max="13057" width="14" style="82" bestFit="1" customWidth="1"/>
    <col min="13058" max="13058" width="11.85546875" style="82" bestFit="1" customWidth="1"/>
    <col min="13059" max="13059" width="14.85546875" style="82" bestFit="1" customWidth="1"/>
    <col min="13060" max="13060" width="9.7109375" style="82" customWidth="1"/>
    <col min="13061" max="13061" width="4.85546875" style="82" customWidth="1"/>
    <col min="13062" max="13306" width="9.140625" style="82"/>
    <col min="13307" max="13307" width="5.42578125" style="82" bestFit="1" customWidth="1"/>
    <col min="13308" max="13308" width="20.42578125" style="82" bestFit="1" customWidth="1"/>
    <col min="13309" max="13309" width="41.42578125" style="82" customWidth="1"/>
    <col min="13310" max="13310" width="15.28515625" style="82" bestFit="1" customWidth="1"/>
    <col min="13311" max="13311" width="16.7109375" style="82" bestFit="1" customWidth="1"/>
    <col min="13312" max="13312" width="11.28515625" style="82" bestFit="1" customWidth="1"/>
    <col min="13313" max="13313" width="14" style="82" bestFit="1" customWidth="1"/>
    <col min="13314" max="13314" width="11.85546875" style="82" bestFit="1" customWidth="1"/>
    <col min="13315" max="13315" width="14.85546875" style="82" bestFit="1" customWidth="1"/>
    <col min="13316" max="13316" width="9.7109375" style="82" customWidth="1"/>
    <col min="13317" max="13317" width="4.85546875" style="82" customWidth="1"/>
    <col min="13318" max="13562" width="9.140625" style="82"/>
    <col min="13563" max="13563" width="5.42578125" style="82" bestFit="1" customWidth="1"/>
    <col min="13564" max="13564" width="20.42578125" style="82" bestFit="1" customWidth="1"/>
    <col min="13565" max="13565" width="41.42578125" style="82" customWidth="1"/>
    <col min="13566" max="13566" width="15.28515625" style="82" bestFit="1" customWidth="1"/>
    <col min="13567" max="13567" width="16.7109375" style="82" bestFit="1" customWidth="1"/>
    <col min="13568" max="13568" width="11.28515625" style="82" bestFit="1" customWidth="1"/>
    <col min="13569" max="13569" width="14" style="82" bestFit="1" customWidth="1"/>
    <col min="13570" max="13570" width="11.85546875" style="82" bestFit="1" customWidth="1"/>
    <col min="13571" max="13571" width="14.85546875" style="82" bestFit="1" customWidth="1"/>
    <col min="13572" max="13572" width="9.7109375" style="82" customWidth="1"/>
    <col min="13573" max="13573" width="4.85546875" style="82" customWidth="1"/>
    <col min="13574" max="13818" width="9.140625" style="82"/>
    <col min="13819" max="13819" width="5.42578125" style="82" bestFit="1" customWidth="1"/>
    <col min="13820" max="13820" width="20.42578125" style="82" bestFit="1" customWidth="1"/>
    <col min="13821" max="13821" width="41.42578125" style="82" customWidth="1"/>
    <col min="13822" max="13822" width="15.28515625" style="82" bestFit="1" customWidth="1"/>
    <col min="13823" max="13823" width="16.7109375" style="82" bestFit="1" customWidth="1"/>
    <col min="13824" max="13824" width="11.28515625" style="82" bestFit="1" customWidth="1"/>
    <col min="13825" max="13825" width="14" style="82" bestFit="1" customWidth="1"/>
    <col min="13826" max="13826" width="11.85546875" style="82" bestFit="1" customWidth="1"/>
    <col min="13827" max="13827" width="14.85546875" style="82" bestFit="1" customWidth="1"/>
    <col min="13828" max="13828" width="9.7109375" style="82" customWidth="1"/>
    <col min="13829" max="13829" width="4.85546875" style="82" customWidth="1"/>
    <col min="13830" max="14074" width="9.140625" style="82"/>
    <col min="14075" max="14075" width="5.42578125" style="82" bestFit="1" customWidth="1"/>
    <col min="14076" max="14076" width="20.42578125" style="82" bestFit="1" customWidth="1"/>
    <col min="14077" max="14077" width="41.42578125" style="82" customWidth="1"/>
    <col min="14078" max="14078" width="15.28515625" style="82" bestFit="1" customWidth="1"/>
    <col min="14079" max="14079" width="16.7109375" style="82" bestFit="1" customWidth="1"/>
    <col min="14080" max="14080" width="11.28515625" style="82" bestFit="1" customWidth="1"/>
    <col min="14081" max="14081" width="14" style="82" bestFit="1" customWidth="1"/>
    <col min="14082" max="14082" width="11.85546875" style="82" bestFit="1" customWidth="1"/>
    <col min="14083" max="14083" width="14.85546875" style="82" bestFit="1" customWidth="1"/>
    <col min="14084" max="14084" width="9.7109375" style="82" customWidth="1"/>
    <col min="14085" max="14085" width="4.85546875" style="82" customWidth="1"/>
    <col min="14086" max="14330" width="9.140625" style="82"/>
    <col min="14331" max="14331" width="5.42578125" style="82" bestFit="1" customWidth="1"/>
    <col min="14332" max="14332" width="20.42578125" style="82" bestFit="1" customWidth="1"/>
    <col min="14333" max="14333" width="41.42578125" style="82" customWidth="1"/>
    <col min="14334" max="14334" width="15.28515625" style="82" bestFit="1" customWidth="1"/>
    <col min="14335" max="14335" width="16.7109375" style="82" bestFit="1" customWidth="1"/>
    <col min="14336" max="14336" width="11.28515625" style="82" bestFit="1" customWidth="1"/>
    <col min="14337" max="14337" width="14" style="82" bestFit="1" customWidth="1"/>
    <col min="14338" max="14338" width="11.85546875" style="82" bestFit="1" customWidth="1"/>
    <col min="14339" max="14339" width="14.85546875" style="82" bestFit="1" customWidth="1"/>
    <col min="14340" max="14340" width="9.7109375" style="82" customWidth="1"/>
    <col min="14341" max="14341" width="4.85546875" style="82" customWidth="1"/>
    <col min="14342" max="14586" width="9.140625" style="82"/>
    <col min="14587" max="14587" width="5.42578125" style="82" bestFit="1" customWidth="1"/>
    <col min="14588" max="14588" width="20.42578125" style="82" bestFit="1" customWidth="1"/>
    <col min="14589" max="14589" width="41.42578125" style="82" customWidth="1"/>
    <col min="14590" max="14590" width="15.28515625" style="82" bestFit="1" customWidth="1"/>
    <col min="14591" max="14591" width="16.7109375" style="82" bestFit="1" customWidth="1"/>
    <col min="14592" max="14592" width="11.28515625" style="82" bestFit="1" customWidth="1"/>
    <col min="14593" max="14593" width="14" style="82" bestFit="1" customWidth="1"/>
    <col min="14594" max="14594" width="11.85546875" style="82" bestFit="1" customWidth="1"/>
    <col min="14595" max="14595" width="14.85546875" style="82" bestFit="1" customWidth="1"/>
    <col min="14596" max="14596" width="9.7109375" style="82" customWidth="1"/>
    <col min="14597" max="14597" width="4.85546875" style="82" customWidth="1"/>
    <col min="14598" max="14842" width="9.140625" style="82"/>
    <col min="14843" max="14843" width="5.42578125" style="82" bestFit="1" customWidth="1"/>
    <col min="14844" max="14844" width="20.42578125" style="82" bestFit="1" customWidth="1"/>
    <col min="14845" max="14845" width="41.42578125" style="82" customWidth="1"/>
    <col min="14846" max="14846" width="15.28515625" style="82" bestFit="1" customWidth="1"/>
    <col min="14847" max="14847" width="16.7109375" style="82" bestFit="1" customWidth="1"/>
    <col min="14848" max="14848" width="11.28515625" style="82" bestFit="1" customWidth="1"/>
    <col min="14849" max="14849" width="14" style="82" bestFit="1" customWidth="1"/>
    <col min="14850" max="14850" width="11.85546875" style="82" bestFit="1" customWidth="1"/>
    <col min="14851" max="14851" width="14.85546875" style="82" bestFit="1" customWidth="1"/>
    <col min="14852" max="14852" width="9.7109375" style="82" customWidth="1"/>
    <col min="14853" max="14853" width="4.85546875" style="82" customWidth="1"/>
    <col min="14854" max="15098" width="9.140625" style="82"/>
    <col min="15099" max="15099" width="5.42578125" style="82" bestFit="1" customWidth="1"/>
    <col min="15100" max="15100" width="20.42578125" style="82" bestFit="1" customWidth="1"/>
    <col min="15101" max="15101" width="41.42578125" style="82" customWidth="1"/>
    <col min="15102" max="15102" width="15.28515625" style="82" bestFit="1" customWidth="1"/>
    <col min="15103" max="15103" width="16.7109375" style="82" bestFit="1" customWidth="1"/>
    <col min="15104" max="15104" width="11.28515625" style="82" bestFit="1" customWidth="1"/>
    <col min="15105" max="15105" width="14" style="82" bestFit="1" customWidth="1"/>
    <col min="15106" max="15106" width="11.85546875" style="82" bestFit="1" customWidth="1"/>
    <col min="15107" max="15107" width="14.85546875" style="82" bestFit="1" customWidth="1"/>
    <col min="15108" max="15108" width="9.7109375" style="82" customWidth="1"/>
    <col min="15109" max="15109" width="4.85546875" style="82" customWidth="1"/>
    <col min="15110" max="15354" width="9.140625" style="82"/>
    <col min="15355" max="15355" width="5.42578125" style="82" bestFit="1" customWidth="1"/>
    <col min="15356" max="15356" width="20.42578125" style="82" bestFit="1" customWidth="1"/>
    <col min="15357" max="15357" width="41.42578125" style="82" customWidth="1"/>
    <col min="15358" max="15358" width="15.28515625" style="82" bestFit="1" customWidth="1"/>
    <col min="15359" max="15359" width="16.7109375" style="82" bestFit="1" customWidth="1"/>
    <col min="15360" max="15360" width="11.28515625" style="82" bestFit="1" customWidth="1"/>
    <col min="15361" max="15361" width="14" style="82" bestFit="1" customWidth="1"/>
    <col min="15362" max="15362" width="11.85546875" style="82" bestFit="1" customWidth="1"/>
    <col min="15363" max="15363" width="14.85546875" style="82" bestFit="1" customWidth="1"/>
    <col min="15364" max="15364" width="9.7109375" style="82" customWidth="1"/>
    <col min="15365" max="15365" width="4.85546875" style="82" customWidth="1"/>
    <col min="15366" max="15610" width="9.140625" style="82"/>
    <col min="15611" max="15611" width="5.42578125" style="82" bestFit="1" customWidth="1"/>
    <col min="15612" max="15612" width="20.42578125" style="82" bestFit="1" customWidth="1"/>
    <col min="15613" max="15613" width="41.42578125" style="82" customWidth="1"/>
    <col min="15614" max="15614" width="15.28515625" style="82" bestFit="1" customWidth="1"/>
    <col min="15615" max="15615" width="16.7109375" style="82" bestFit="1" customWidth="1"/>
    <col min="15616" max="15616" width="11.28515625" style="82" bestFit="1" customWidth="1"/>
    <col min="15617" max="15617" width="14" style="82" bestFit="1" customWidth="1"/>
    <col min="15618" max="15618" width="11.85546875" style="82" bestFit="1" customWidth="1"/>
    <col min="15619" max="15619" width="14.85546875" style="82" bestFit="1" customWidth="1"/>
    <col min="15620" max="15620" width="9.7109375" style="82" customWidth="1"/>
    <col min="15621" max="15621" width="4.85546875" style="82" customWidth="1"/>
    <col min="15622" max="15866" width="9.140625" style="82"/>
    <col min="15867" max="15867" width="5.42578125" style="82" bestFit="1" customWidth="1"/>
    <col min="15868" max="15868" width="20.42578125" style="82" bestFit="1" customWidth="1"/>
    <col min="15869" max="15869" width="41.42578125" style="82" customWidth="1"/>
    <col min="15870" max="15870" width="15.28515625" style="82" bestFit="1" customWidth="1"/>
    <col min="15871" max="15871" width="16.7109375" style="82" bestFit="1" customWidth="1"/>
    <col min="15872" max="15872" width="11.28515625" style="82" bestFit="1" customWidth="1"/>
    <col min="15873" max="15873" width="14" style="82" bestFit="1" customWidth="1"/>
    <col min="15874" max="15874" width="11.85546875" style="82" bestFit="1" customWidth="1"/>
    <col min="15875" max="15875" width="14.85546875" style="82" bestFit="1" customWidth="1"/>
    <col min="15876" max="15876" width="9.7109375" style="82" customWidth="1"/>
    <col min="15877" max="15877" width="4.85546875" style="82" customWidth="1"/>
    <col min="15878" max="16122" width="9.140625" style="82"/>
    <col min="16123" max="16123" width="5.42578125" style="82" bestFit="1" customWidth="1"/>
    <col min="16124" max="16124" width="20.42578125" style="82" bestFit="1" customWidth="1"/>
    <col min="16125" max="16125" width="41.42578125" style="82" customWidth="1"/>
    <col min="16126" max="16126" width="15.28515625" style="82" bestFit="1" customWidth="1"/>
    <col min="16127" max="16127" width="16.7109375" style="82" bestFit="1" customWidth="1"/>
    <col min="16128" max="16128" width="11.28515625" style="82" bestFit="1" customWidth="1"/>
    <col min="16129" max="16129" width="14" style="82" bestFit="1" customWidth="1"/>
    <col min="16130" max="16130" width="11.85546875" style="82" bestFit="1" customWidth="1"/>
    <col min="16131" max="16131" width="14.85546875" style="82" bestFit="1" customWidth="1"/>
    <col min="16132" max="16132" width="9.7109375" style="82" customWidth="1"/>
    <col min="16133" max="16133" width="4.85546875" style="82" customWidth="1"/>
    <col min="16134" max="16384" width="9.140625" style="82"/>
  </cols>
  <sheetData>
    <row r="1" spans="1:11" x14ac:dyDescent="0.25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1" x14ac:dyDescent="0.25">
      <c r="A2" s="228" t="s">
        <v>899</v>
      </c>
      <c r="B2" s="228"/>
      <c r="C2" s="228"/>
      <c r="D2" s="228"/>
      <c r="E2" s="228"/>
      <c r="F2" s="228"/>
      <c r="G2" s="228"/>
      <c r="H2" s="228"/>
    </row>
    <row r="3" spans="1:11" ht="15" customHeight="1" x14ac:dyDescent="0.25">
      <c r="A3" s="229" t="s">
        <v>900</v>
      </c>
      <c r="B3" s="229"/>
      <c r="C3" s="229"/>
      <c r="D3" s="229"/>
      <c r="E3" s="229"/>
      <c r="F3" s="229"/>
      <c r="G3" s="229"/>
      <c r="H3" s="229"/>
    </row>
    <row r="4" spans="1:11" ht="30" x14ac:dyDescent="0.25">
      <c r="A4" s="83" t="s">
        <v>901</v>
      </c>
      <c r="B4" s="83" t="s">
        <v>902</v>
      </c>
      <c r="C4" s="83" t="s">
        <v>903</v>
      </c>
      <c r="D4" s="83" t="s">
        <v>904</v>
      </c>
      <c r="E4" s="83" t="s">
        <v>7</v>
      </c>
      <c r="F4" s="83" t="s">
        <v>8</v>
      </c>
      <c r="G4" s="83" t="s">
        <v>9</v>
      </c>
      <c r="H4" s="84" t="s">
        <v>905</v>
      </c>
    </row>
    <row r="5" spans="1:11" ht="26.25" x14ac:dyDescent="0.25">
      <c r="A5" s="85"/>
      <c r="B5" s="85"/>
      <c r="C5" s="86" t="s">
        <v>906</v>
      </c>
      <c r="D5" s="85"/>
      <c r="E5" s="85"/>
      <c r="F5" s="87"/>
      <c r="G5" s="87"/>
      <c r="H5" s="88"/>
    </row>
    <row r="6" spans="1:11" ht="26.25" x14ac:dyDescent="0.25">
      <c r="A6" s="85">
        <v>1</v>
      </c>
      <c r="B6" s="85" t="s">
        <v>907</v>
      </c>
      <c r="C6" s="89" t="s">
        <v>908</v>
      </c>
      <c r="D6" s="85" t="s">
        <v>909</v>
      </c>
      <c r="E6" s="90">
        <v>7196594.3119999999</v>
      </c>
      <c r="F6" s="91">
        <v>6722.1355697999998</v>
      </c>
      <c r="G6" s="92">
        <f>F6/$F$18*100</f>
        <v>96.933795064807398</v>
      </c>
      <c r="H6" s="88"/>
      <c r="I6" s="93"/>
      <c r="K6" s="94"/>
    </row>
    <row r="7" spans="1:11" x14ac:dyDescent="0.25">
      <c r="A7" s="95"/>
      <c r="B7" s="88"/>
      <c r="C7" s="88"/>
      <c r="D7" s="88"/>
      <c r="E7" s="88"/>
      <c r="F7" s="88"/>
      <c r="G7" s="88"/>
      <c r="H7" s="96"/>
    </row>
    <row r="8" spans="1:11" ht="25.5" x14ac:dyDescent="0.25">
      <c r="A8" s="97"/>
      <c r="B8" s="97"/>
      <c r="C8" s="98" t="s">
        <v>910</v>
      </c>
      <c r="D8" s="98"/>
      <c r="E8" s="99"/>
      <c r="F8" s="100">
        <f>F6</f>
        <v>6722.1355697999998</v>
      </c>
      <c r="G8" s="101">
        <f>G6</f>
        <v>96.933795064807398</v>
      </c>
      <c r="H8" s="102"/>
    </row>
    <row r="9" spans="1:11" x14ac:dyDescent="0.25">
      <c r="A9" s="97"/>
      <c r="B9" s="97"/>
      <c r="C9" s="97"/>
      <c r="D9" s="97"/>
      <c r="E9" s="97"/>
      <c r="F9" s="103"/>
      <c r="G9" s="97"/>
      <c r="H9" s="88"/>
    </row>
    <row r="10" spans="1:11" x14ac:dyDescent="0.25">
      <c r="A10" s="85"/>
      <c r="B10" s="85"/>
      <c r="C10" s="104" t="s">
        <v>911</v>
      </c>
      <c r="D10" s="104"/>
      <c r="E10" s="104"/>
      <c r="F10" s="105"/>
      <c r="G10" s="97"/>
      <c r="H10" s="88"/>
    </row>
    <row r="11" spans="1:11" x14ac:dyDescent="0.25">
      <c r="A11" s="97"/>
      <c r="B11" s="97"/>
      <c r="C11" s="106" t="s">
        <v>124</v>
      </c>
      <c r="D11" s="104"/>
      <c r="E11" s="104"/>
      <c r="F11" s="107">
        <v>168.37658411800004</v>
      </c>
      <c r="G11" s="92">
        <f>F11/$F$18*100</f>
        <v>2.4280053755434925</v>
      </c>
      <c r="H11" s="108">
        <v>3.23</v>
      </c>
    </row>
    <row r="12" spans="1:11" x14ac:dyDescent="0.25">
      <c r="A12" s="97"/>
      <c r="B12" s="97"/>
      <c r="C12" s="106" t="s">
        <v>125</v>
      </c>
      <c r="D12" s="104"/>
      <c r="E12" s="104"/>
      <c r="F12" s="107">
        <v>47.295276890000004</v>
      </c>
      <c r="G12" s="92">
        <f>F12/$F$18*100</f>
        <v>0.68200211524817289</v>
      </c>
      <c r="H12" s="108">
        <v>3.35</v>
      </c>
    </row>
    <row r="13" spans="1:11" x14ac:dyDescent="0.25">
      <c r="A13" s="97"/>
      <c r="B13" s="97"/>
      <c r="C13" s="106"/>
      <c r="D13" s="104"/>
      <c r="E13" s="104"/>
      <c r="F13" s="107"/>
      <c r="G13" s="92"/>
      <c r="H13" s="88"/>
    </row>
    <row r="14" spans="1:11" x14ac:dyDescent="0.25">
      <c r="A14" s="97"/>
      <c r="B14" s="97"/>
      <c r="C14" s="109" t="s">
        <v>126</v>
      </c>
      <c r="D14" s="97"/>
      <c r="E14" s="97"/>
      <c r="F14" s="110">
        <f>SUM(F11:F12)</f>
        <v>215.67186100800004</v>
      </c>
      <c r="G14" s="101">
        <f>SUM(G11:G13)</f>
        <v>3.1100074907916655</v>
      </c>
      <c r="H14" s="88"/>
    </row>
    <row r="15" spans="1:11" x14ac:dyDescent="0.25">
      <c r="A15" s="97"/>
      <c r="B15" s="97"/>
      <c r="C15" s="97"/>
      <c r="D15" s="97"/>
      <c r="E15" s="97"/>
      <c r="F15" s="103"/>
      <c r="G15" s="97"/>
      <c r="H15" s="88"/>
    </row>
    <row r="16" spans="1:11" x14ac:dyDescent="0.25">
      <c r="A16" s="97"/>
      <c r="B16" s="97"/>
      <c r="C16" s="106" t="s">
        <v>912</v>
      </c>
      <c r="D16" s="104"/>
      <c r="E16" s="104"/>
      <c r="F16" s="107">
        <f>F18-F14-F8</f>
        <v>-3.037606407999192</v>
      </c>
      <c r="G16" s="92">
        <f>F16/$F$18*100</f>
        <v>-4.380255559905346E-2</v>
      </c>
      <c r="H16" s="111"/>
    </row>
    <row r="17" spans="1:9" x14ac:dyDescent="0.25">
      <c r="A17" s="97"/>
      <c r="B17" s="97"/>
      <c r="C17" s="97"/>
      <c r="D17" s="97"/>
      <c r="E17" s="97"/>
      <c r="F17" s="103"/>
      <c r="G17" s="97"/>
      <c r="H17" s="88"/>
    </row>
    <row r="18" spans="1:9" x14ac:dyDescent="0.25">
      <c r="A18" s="97"/>
      <c r="B18" s="97"/>
      <c r="C18" s="109" t="s">
        <v>133</v>
      </c>
      <c r="D18" s="97"/>
      <c r="E18" s="97"/>
      <c r="F18" s="110">
        <v>6934.7698244000003</v>
      </c>
      <c r="G18" s="112">
        <f>G16+G14+G8</f>
        <v>100.00000000000001</v>
      </c>
      <c r="H18" s="113"/>
      <c r="I18" s="93"/>
    </row>
    <row r="19" spans="1:9" x14ac:dyDescent="0.25">
      <c r="F19" s="114"/>
      <c r="H19" s="115"/>
    </row>
    <row r="20" spans="1:9" x14ac:dyDescent="0.25">
      <c r="B20" s="116" t="s">
        <v>134</v>
      </c>
      <c r="C20" s="117"/>
      <c r="D20" s="117"/>
      <c r="E20" s="117"/>
      <c r="F20" s="118"/>
      <c r="G20" s="117"/>
    </row>
    <row r="21" spans="1:9" x14ac:dyDescent="0.25">
      <c r="B21" s="117" t="s">
        <v>913</v>
      </c>
      <c r="C21" s="117"/>
      <c r="D21" s="117"/>
      <c r="E21" s="117"/>
      <c r="F21" s="119"/>
      <c r="G21" s="119"/>
    </row>
    <row r="22" spans="1:9" x14ac:dyDescent="0.25">
      <c r="B22" s="225" t="s">
        <v>914</v>
      </c>
      <c r="C22" s="225"/>
      <c r="D22" s="117"/>
      <c r="E22" s="117"/>
      <c r="F22" s="120"/>
      <c r="G22" s="120"/>
    </row>
    <row r="23" spans="1:9" x14ac:dyDescent="0.25">
      <c r="B23" s="225" t="s">
        <v>138</v>
      </c>
      <c r="C23" s="225"/>
      <c r="D23" s="121"/>
      <c r="E23" s="121"/>
      <c r="F23" s="117" t="s">
        <v>915</v>
      </c>
      <c r="G23" s="117"/>
    </row>
    <row r="24" spans="1:9" x14ac:dyDescent="0.25">
      <c r="B24" s="122"/>
      <c r="C24" s="122"/>
      <c r="D24" s="121"/>
      <c r="E24" s="121"/>
      <c r="F24" s="117"/>
      <c r="G24" s="117"/>
    </row>
    <row r="25" spans="1:9" x14ac:dyDescent="0.25">
      <c r="B25" s="123"/>
      <c r="C25" s="124" t="s">
        <v>139</v>
      </c>
      <c r="D25" s="124" t="s">
        <v>140</v>
      </c>
      <c r="E25" s="125"/>
      <c r="F25" s="125"/>
      <c r="G25" s="117"/>
    </row>
    <row r="26" spans="1:9" x14ac:dyDescent="0.25">
      <c r="B26" s="126" t="s">
        <v>916</v>
      </c>
      <c r="C26" s="127">
        <v>44316</v>
      </c>
      <c r="D26" s="127">
        <v>44347</v>
      </c>
      <c r="E26" s="128"/>
      <c r="F26" s="128"/>
      <c r="G26" s="129"/>
    </row>
    <row r="27" spans="1:9" x14ac:dyDescent="0.25">
      <c r="B27" s="130" t="s">
        <v>144</v>
      </c>
      <c r="C27" s="131">
        <v>25.368300000000001</v>
      </c>
      <c r="D27" s="131">
        <v>25.3779</v>
      </c>
      <c r="E27" s="132"/>
      <c r="F27" s="129"/>
      <c r="G27" s="129"/>
    </row>
    <row r="28" spans="1:9" x14ac:dyDescent="0.25">
      <c r="B28" s="133" t="s">
        <v>917</v>
      </c>
      <c r="C28" s="131">
        <v>22.569400000000002</v>
      </c>
      <c r="D28" s="131">
        <v>22.5776</v>
      </c>
      <c r="E28" s="132"/>
      <c r="F28" s="129"/>
      <c r="G28" s="129"/>
    </row>
    <row r="29" spans="1:9" x14ac:dyDescent="0.25">
      <c r="B29" s="130" t="s">
        <v>145</v>
      </c>
      <c r="C29" s="131">
        <v>24.199400000000001</v>
      </c>
      <c r="D29" s="131">
        <v>24.201000000000001</v>
      </c>
      <c r="E29" s="132"/>
      <c r="F29" s="129"/>
      <c r="G29" s="129"/>
    </row>
    <row r="30" spans="1:9" x14ac:dyDescent="0.25">
      <c r="B30" s="133" t="s">
        <v>918</v>
      </c>
      <c r="C30" s="131">
        <v>20.746500000000001</v>
      </c>
      <c r="D30" s="131">
        <v>20.739799999999999</v>
      </c>
      <c r="E30" s="132"/>
      <c r="F30" s="129"/>
      <c r="G30" s="129"/>
    </row>
    <row r="31" spans="1:9" x14ac:dyDescent="0.25">
      <c r="B31" s="179"/>
      <c r="C31" s="180"/>
      <c r="D31" s="180"/>
      <c r="E31" s="132"/>
      <c r="F31" s="129"/>
      <c r="G31" s="129"/>
    </row>
    <row r="32" spans="1:9" s="175" customFormat="1" ht="12.75" x14ac:dyDescent="0.2">
      <c r="B32" s="221" t="s">
        <v>919</v>
      </c>
      <c r="C32" s="221"/>
      <c r="D32" s="221"/>
      <c r="E32" s="221"/>
      <c r="F32" s="221"/>
    </row>
    <row r="33" spans="2:7" ht="15" customHeight="1" x14ac:dyDescent="0.25">
      <c r="B33" s="134"/>
      <c r="C33" s="135"/>
      <c r="D33" s="135"/>
      <c r="E33" s="135"/>
      <c r="F33" s="135"/>
      <c r="G33" s="117"/>
    </row>
    <row r="34" spans="2:7" x14ac:dyDescent="0.25">
      <c r="B34" s="230" t="s">
        <v>920</v>
      </c>
      <c r="C34" s="230"/>
      <c r="D34" s="230"/>
      <c r="E34" s="136"/>
      <c r="F34" s="136"/>
      <c r="G34" s="129"/>
    </row>
    <row r="35" spans="2:7" x14ac:dyDescent="0.25">
      <c r="B35" s="225" t="s">
        <v>921</v>
      </c>
      <c r="C35" s="225"/>
      <c r="D35" s="225"/>
      <c r="E35" s="117"/>
      <c r="F35" s="117"/>
      <c r="G35" s="117"/>
    </row>
    <row r="36" spans="2:7" ht="15" customHeight="1" x14ac:dyDescent="0.25">
      <c r="B36" s="137" t="s">
        <v>922</v>
      </c>
      <c r="C36" s="137"/>
      <c r="D36" s="137"/>
      <c r="E36" s="138"/>
      <c r="F36" s="138"/>
      <c r="G36" s="117"/>
    </row>
    <row r="37" spans="2:7" x14ac:dyDescent="0.25">
      <c r="B37" s="226" t="s">
        <v>923</v>
      </c>
      <c r="C37" s="226"/>
      <c r="D37" s="226"/>
      <c r="E37" s="129"/>
      <c r="F37" s="129"/>
      <c r="G37" s="129"/>
    </row>
  </sheetData>
  <mergeCells count="9">
    <mergeCell ref="B35:D35"/>
    <mergeCell ref="B37:D37"/>
    <mergeCell ref="A1:H1"/>
    <mergeCell ref="A2:H2"/>
    <mergeCell ref="A3:H3"/>
    <mergeCell ref="B22:C22"/>
    <mergeCell ref="B23:C23"/>
    <mergeCell ref="B34:D34"/>
    <mergeCell ref="B32:F32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B34D-4B1A-46FE-AA37-40AD5CD9F30F}">
  <dimension ref="B1:L210"/>
  <sheetViews>
    <sheetView workbookViewId="0"/>
  </sheetViews>
  <sheetFormatPr defaultRowHeight="12.75" x14ac:dyDescent="0.2"/>
  <cols>
    <col min="1" max="1" width="6.42578125" style="258" customWidth="1"/>
    <col min="2" max="2" width="41.140625" style="258" customWidth="1"/>
    <col min="3" max="3" width="44.85546875" style="258" bestFit="1" customWidth="1"/>
    <col min="4" max="4" width="18.7109375" style="258" customWidth="1"/>
    <col min="5" max="5" width="21.28515625" style="258" customWidth="1"/>
    <col min="6" max="6" width="16.5703125" style="258" customWidth="1"/>
    <col min="7" max="7" width="19" style="258" customWidth="1"/>
    <col min="8" max="8" width="17.5703125" style="258" customWidth="1"/>
    <col min="9" max="9" width="15.5703125" style="258" bestFit="1" customWidth="1"/>
    <col min="10" max="10" width="13.5703125" style="258" customWidth="1"/>
    <col min="11" max="11" width="20.5703125" style="258" customWidth="1"/>
    <col min="12" max="12" width="12.42578125" style="258" bestFit="1" customWidth="1"/>
    <col min="13" max="256" width="9.140625" style="258"/>
    <col min="257" max="257" width="23" style="258" customWidth="1"/>
    <col min="258" max="258" width="41.140625" style="258" customWidth="1"/>
    <col min="259" max="259" width="44.85546875" style="258" bestFit="1" customWidth="1"/>
    <col min="260" max="260" width="18.7109375" style="258" customWidth="1"/>
    <col min="261" max="261" width="21.28515625" style="258" customWidth="1"/>
    <col min="262" max="262" width="16.5703125" style="258" customWidth="1"/>
    <col min="263" max="263" width="19" style="258" customWidth="1"/>
    <col min="264" max="264" width="17.5703125" style="258" customWidth="1"/>
    <col min="265" max="265" width="15.5703125" style="258" bestFit="1" customWidth="1"/>
    <col min="266" max="266" width="13.5703125" style="258" customWidth="1"/>
    <col min="267" max="267" width="20.5703125" style="258" customWidth="1"/>
    <col min="268" max="268" width="12.42578125" style="258" bestFit="1" customWidth="1"/>
    <col min="269" max="512" width="9.140625" style="258"/>
    <col min="513" max="513" width="23" style="258" customWidth="1"/>
    <col min="514" max="514" width="41.140625" style="258" customWidth="1"/>
    <col min="515" max="515" width="44.85546875" style="258" bestFit="1" customWidth="1"/>
    <col min="516" max="516" width="18.7109375" style="258" customWidth="1"/>
    <col min="517" max="517" width="21.28515625" style="258" customWidth="1"/>
    <col min="518" max="518" width="16.5703125" style="258" customWidth="1"/>
    <col min="519" max="519" width="19" style="258" customWidth="1"/>
    <col min="520" max="520" width="17.5703125" style="258" customWidth="1"/>
    <col min="521" max="521" width="15.5703125" style="258" bestFit="1" customWidth="1"/>
    <col min="522" max="522" width="13.5703125" style="258" customWidth="1"/>
    <col min="523" max="523" width="20.5703125" style="258" customWidth="1"/>
    <col min="524" max="524" width="12.42578125" style="258" bestFit="1" customWidth="1"/>
    <col min="525" max="768" width="9.140625" style="258"/>
    <col min="769" max="769" width="23" style="258" customWidth="1"/>
    <col min="770" max="770" width="41.140625" style="258" customWidth="1"/>
    <col min="771" max="771" width="44.85546875" style="258" bestFit="1" customWidth="1"/>
    <col min="772" max="772" width="18.7109375" style="258" customWidth="1"/>
    <col min="773" max="773" width="21.28515625" style="258" customWidth="1"/>
    <col min="774" max="774" width="16.5703125" style="258" customWidth="1"/>
    <col min="775" max="775" width="19" style="258" customWidth="1"/>
    <col min="776" max="776" width="17.5703125" style="258" customWidth="1"/>
    <col min="777" max="777" width="15.5703125" style="258" bestFit="1" customWidth="1"/>
    <col min="778" max="778" width="13.5703125" style="258" customWidth="1"/>
    <col min="779" max="779" width="20.5703125" style="258" customWidth="1"/>
    <col min="780" max="780" width="12.42578125" style="258" bestFit="1" customWidth="1"/>
    <col min="781" max="1024" width="9.140625" style="258"/>
    <col min="1025" max="1025" width="23" style="258" customWidth="1"/>
    <col min="1026" max="1026" width="41.140625" style="258" customWidth="1"/>
    <col min="1027" max="1027" width="44.85546875" style="258" bestFit="1" customWidth="1"/>
    <col min="1028" max="1028" width="18.7109375" style="258" customWidth="1"/>
    <col min="1029" max="1029" width="21.28515625" style="258" customWidth="1"/>
    <col min="1030" max="1030" width="16.5703125" style="258" customWidth="1"/>
    <col min="1031" max="1031" width="19" style="258" customWidth="1"/>
    <col min="1032" max="1032" width="17.5703125" style="258" customWidth="1"/>
    <col min="1033" max="1033" width="15.5703125" style="258" bestFit="1" customWidth="1"/>
    <col min="1034" max="1034" width="13.5703125" style="258" customWidth="1"/>
    <col min="1035" max="1035" width="20.5703125" style="258" customWidth="1"/>
    <col min="1036" max="1036" width="12.42578125" style="258" bestFit="1" customWidth="1"/>
    <col min="1037" max="1280" width="9.140625" style="258"/>
    <col min="1281" max="1281" width="23" style="258" customWidth="1"/>
    <col min="1282" max="1282" width="41.140625" style="258" customWidth="1"/>
    <col min="1283" max="1283" width="44.85546875" style="258" bestFit="1" customWidth="1"/>
    <col min="1284" max="1284" width="18.7109375" style="258" customWidth="1"/>
    <col min="1285" max="1285" width="21.28515625" style="258" customWidth="1"/>
    <col min="1286" max="1286" width="16.5703125" style="258" customWidth="1"/>
    <col min="1287" max="1287" width="19" style="258" customWidth="1"/>
    <col min="1288" max="1288" width="17.5703125" style="258" customWidth="1"/>
    <col min="1289" max="1289" width="15.5703125" style="258" bestFit="1" customWidth="1"/>
    <col min="1290" max="1290" width="13.5703125" style="258" customWidth="1"/>
    <col min="1291" max="1291" width="20.5703125" style="258" customWidth="1"/>
    <col min="1292" max="1292" width="12.42578125" style="258" bestFit="1" customWidth="1"/>
    <col min="1293" max="1536" width="9.140625" style="258"/>
    <col min="1537" max="1537" width="23" style="258" customWidth="1"/>
    <col min="1538" max="1538" width="41.140625" style="258" customWidth="1"/>
    <col min="1539" max="1539" width="44.85546875" style="258" bestFit="1" customWidth="1"/>
    <col min="1540" max="1540" width="18.7109375" style="258" customWidth="1"/>
    <col min="1541" max="1541" width="21.28515625" style="258" customWidth="1"/>
    <col min="1542" max="1542" width="16.5703125" style="258" customWidth="1"/>
    <col min="1543" max="1543" width="19" style="258" customWidth="1"/>
    <col min="1544" max="1544" width="17.5703125" style="258" customWidth="1"/>
    <col min="1545" max="1545" width="15.5703125" style="258" bestFit="1" customWidth="1"/>
    <col min="1546" max="1546" width="13.5703125" style="258" customWidth="1"/>
    <col min="1547" max="1547" width="20.5703125" style="258" customWidth="1"/>
    <col min="1548" max="1548" width="12.42578125" style="258" bestFit="1" customWidth="1"/>
    <col min="1549" max="1792" width="9.140625" style="258"/>
    <col min="1793" max="1793" width="23" style="258" customWidth="1"/>
    <col min="1794" max="1794" width="41.140625" style="258" customWidth="1"/>
    <col min="1795" max="1795" width="44.85546875" style="258" bestFit="1" customWidth="1"/>
    <col min="1796" max="1796" width="18.7109375" style="258" customWidth="1"/>
    <col min="1797" max="1797" width="21.28515625" style="258" customWidth="1"/>
    <col min="1798" max="1798" width="16.5703125" style="258" customWidth="1"/>
    <col min="1799" max="1799" width="19" style="258" customWidth="1"/>
    <col min="1800" max="1800" width="17.5703125" style="258" customWidth="1"/>
    <col min="1801" max="1801" width="15.5703125" style="258" bestFit="1" customWidth="1"/>
    <col min="1802" max="1802" width="13.5703125" style="258" customWidth="1"/>
    <col min="1803" max="1803" width="20.5703125" style="258" customWidth="1"/>
    <col min="1804" max="1804" width="12.42578125" style="258" bestFit="1" customWidth="1"/>
    <col min="1805" max="2048" width="9.140625" style="258"/>
    <col min="2049" max="2049" width="23" style="258" customWidth="1"/>
    <col min="2050" max="2050" width="41.140625" style="258" customWidth="1"/>
    <col min="2051" max="2051" width="44.85546875" style="258" bestFit="1" customWidth="1"/>
    <col min="2052" max="2052" width="18.7109375" style="258" customWidth="1"/>
    <col min="2053" max="2053" width="21.28515625" style="258" customWidth="1"/>
    <col min="2054" max="2054" width="16.5703125" style="258" customWidth="1"/>
    <col min="2055" max="2055" width="19" style="258" customWidth="1"/>
    <col min="2056" max="2056" width="17.5703125" style="258" customWidth="1"/>
    <col min="2057" max="2057" width="15.5703125" style="258" bestFit="1" customWidth="1"/>
    <col min="2058" max="2058" width="13.5703125" style="258" customWidth="1"/>
    <col min="2059" max="2059" width="20.5703125" style="258" customWidth="1"/>
    <col min="2060" max="2060" width="12.42578125" style="258" bestFit="1" customWidth="1"/>
    <col min="2061" max="2304" width="9.140625" style="258"/>
    <col min="2305" max="2305" width="23" style="258" customWidth="1"/>
    <col min="2306" max="2306" width="41.140625" style="258" customWidth="1"/>
    <col min="2307" max="2307" width="44.85546875" style="258" bestFit="1" customWidth="1"/>
    <col min="2308" max="2308" width="18.7109375" style="258" customWidth="1"/>
    <col min="2309" max="2309" width="21.28515625" style="258" customWidth="1"/>
    <col min="2310" max="2310" width="16.5703125" style="258" customWidth="1"/>
    <col min="2311" max="2311" width="19" style="258" customWidth="1"/>
    <col min="2312" max="2312" width="17.5703125" style="258" customWidth="1"/>
    <col min="2313" max="2313" width="15.5703125" style="258" bestFit="1" customWidth="1"/>
    <col min="2314" max="2314" width="13.5703125" style="258" customWidth="1"/>
    <col min="2315" max="2315" width="20.5703125" style="258" customWidth="1"/>
    <col min="2316" max="2316" width="12.42578125" style="258" bestFit="1" customWidth="1"/>
    <col min="2317" max="2560" width="9.140625" style="258"/>
    <col min="2561" max="2561" width="23" style="258" customWidth="1"/>
    <col min="2562" max="2562" width="41.140625" style="258" customWidth="1"/>
    <col min="2563" max="2563" width="44.85546875" style="258" bestFit="1" customWidth="1"/>
    <col min="2564" max="2564" width="18.7109375" style="258" customWidth="1"/>
    <col min="2565" max="2565" width="21.28515625" style="258" customWidth="1"/>
    <col min="2566" max="2566" width="16.5703125" style="258" customWidth="1"/>
    <col min="2567" max="2567" width="19" style="258" customWidth="1"/>
    <col min="2568" max="2568" width="17.5703125" style="258" customWidth="1"/>
    <col min="2569" max="2569" width="15.5703125" style="258" bestFit="1" customWidth="1"/>
    <col min="2570" max="2570" width="13.5703125" style="258" customWidth="1"/>
    <col min="2571" max="2571" width="20.5703125" style="258" customWidth="1"/>
    <col min="2572" max="2572" width="12.42578125" style="258" bestFit="1" customWidth="1"/>
    <col min="2573" max="2816" width="9.140625" style="258"/>
    <col min="2817" max="2817" width="23" style="258" customWidth="1"/>
    <col min="2818" max="2818" width="41.140625" style="258" customWidth="1"/>
    <col min="2819" max="2819" width="44.85546875" style="258" bestFit="1" customWidth="1"/>
    <col min="2820" max="2820" width="18.7109375" style="258" customWidth="1"/>
    <col min="2821" max="2821" width="21.28515625" style="258" customWidth="1"/>
    <col min="2822" max="2822" width="16.5703125" style="258" customWidth="1"/>
    <col min="2823" max="2823" width="19" style="258" customWidth="1"/>
    <col min="2824" max="2824" width="17.5703125" style="258" customWidth="1"/>
    <col min="2825" max="2825" width="15.5703125" style="258" bestFit="1" customWidth="1"/>
    <col min="2826" max="2826" width="13.5703125" style="258" customWidth="1"/>
    <col min="2827" max="2827" width="20.5703125" style="258" customWidth="1"/>
    <col min="2828" max="2828" width="12.42578125" style="258" bestFit="1" customWidth="1"/>
    <col min="2829" max="3072" width="9.140625" style="258"/>
    <col min="3073" max="3073" width="23" style="258" customWidth="1"/>
    <col min="3074" max="3074" width="41.140625" style="258" customWidth="1"/>
    <col min="3075" max="3075" width="44.85546875" style="258" bestFit="1" customWidth="1"/>
    <col min="3076" max="3076" width="18.7109375" style="258" customWidth="1"/>
    <col min="3077" max="3077" width="21.28515625" style="258" customWidth="1"/>
    <col min="3078" max="3078" width="16.5703125" style="258" customWidth="1"/>
    <col min="3079" max="3079" width="19" style="258" customWidth="1"/>
    <col min="3080" max="3080" width="17.5703125" style="258" customWidth="1"/>
    <col min="3081" max="3081" width="15.5703125" style="258" bestFit="1" customWidth="1"/>
    <col min="3082" max="3082" width="13.5703125" style="258" customWidth="1"/>
    <col min="3083" max="3083" width="20.5703125" style="258" customWidth="1"/>
    <col min="3084" max="3084" width="12.42578125" style="258" bestFit="1" customWidth="1"/>
    <col min="3085" max="3328" width="9.140625" style="258"/>
    <col min="3329" max="3329" width="23" style="258" customWidth="1"/>
    <col min="3330" max="3330" width="41.140625" style="258" customWidth="1"/>
    <col min="3331" max="3331" width="44.85546875" style="258" bestFit="1" customWidth="1"/>
    <col min="3332" max="3332" width="18.7109375" style="258" customWidth="1"/>
    <col min="3333" max="3333" width="21.28515625" style="258" customWidth="1"/>
    <col min="3334" max="3334" width="16.5703125" style="258" customWidth="1"/>
    <col min="3335" max="3335" width="19" style="258" customWidth="1"/>
    <col min="3336" max="3336" width="17.5703125" style="258" customWidth="1"/>
    <col min="3337" max="3337" width="15.5703125" style="258" bestFit="1" customWidth="1"/>
    <col min="3338" max="3338" width="13.5703125" style="258" customWidth="1"/>
    <col min="3339" max="3339" width="20.5703125" style="258" customWidth="1"/>
    <col min="3340" max="3340" width="12.42578125" style="258" bestFit="1" customWidth="1"/>
    <col min="3341" max="3584" width="9.140625" style="258"/>
    <col min="3585" max="3585" width="23" style="258" customWidth="1"/>
    <col min="3586" max="3586" width="41.140625" style="258" customWidth="1"/>
    <col min="3587" max="3587" width="44.85546875" style="258" bestFit="1" customWidth="1"/>
    <col min="3588" max="3588" width="18.7109375" style="258" customWidth="1"/>
    <col min="3589" max="3589" width="21.28515625" style="258" customWidth="1"/>
    <col min="3590" max="3590" width="16.5703125" style="258" customWidth="1"/>
    <col min="3591" max="3591" width="19" style="258" customWidth="1"/>
    <col min="3592" max="3592" width="17.5703125" style="258" customWidth="1"/>
    <col min="3593" max="3593" width="15.5703125" style="258" bestFit="1" customWidth="1"/>
    <col min="3594" max="3594" width="13.5703125" style="258" customWidth="1"/>
    <col min="3595" max="3595" width="20.5703125" style="258" customWidth="1"/>
    <col min="3596" max="3596" width="12.42578125" style="258" bestFit="1" customWidth="1"/>
    <col min="3597" max="3840" width="9.140625" style="258"/>
    <col min="3841" max="3841" width="23" style="258" customWidth="1"/>
    <col min="3842" max="3842" width="41.140625" style="258" customWidth="1"/>
    <col min="3843" max="3843" width="44.85546875" style="258" bestFit="1" customWidth="1"/>
    <col min="3844" max="3844" width="18.7109375" style="258" customWidth="1"/>
    <col min="3845" max="3845" width="21.28515625" style="258" customWidth="1"/>
    <col min="3846" max="3846" width="16.5703125" style="258" customWidth="1"/>
    <col min="3847" max="3847" width="19" style="258" customWidth="1"/>
    <col min="3848" max="3848" width="17.5703125" style="258" customWidth="1"/>
    <col min="3849" max="3849" width="15.5703125" style="258" bestFit="1" customWidth="1"/>
    <col min="3850" max="3850" width="13.5703125" style="258" customWidth="1"/>
    <col min="3851" max="3851" width="20.5703125" style="258" customWidth="1"/>
    <col min="3852" max="3852" width="12.42578125" style="258" bestFit="1" customWidth="1"/>
    <col min="3853" max="4096" width="9.140625" style="258"/>
    <col min="4097" max="4097" width="23" style="258" customWidth="1"/>
    <col min="4098" max="4098" width="41.140625" style="258" customWidth="1"/>
    <col min="4099" max="4099" width="44.85546875" style="258" bestFit="1" customWidth="1"/>
    <col min="4100" max="4100" width="18.7109375" style="258" customWidth="1"/>
    <col min="4101" max="4101" width="21.28515625" style="258" customWidth="1"/>
    <col min="4102" max="4102" width="16.5703125" style="258" customWidth="1"/>
    <col min="4103" max="4103" width="19" style="258" customWidth="1"/>
    <col min="4104" max="4104" width="17.5703125" style="258" customWidth="1"/>
    <col min="4105" max="4105" width="15.5703125" style="258" bestFit="1" customWidth="1"/>
    <col min="4106" max="4106" width="13.5703125" style="258" customWidth="1"/>
    <col min="4107" max="4107" width="20.5703125" style="258" customWidth="1"/>
    <col min="4108" max="4108" width="12.42578125" style="258" bestFit="1" customWidth="1"/>
    <col min="4109" max="4352" width="9.140625" style="258"/>
    <col min="4353" max="4353" width="23" style="258" customWidth="1"/>
    <col min="4354" max="4354" width="41.140625" style="258" customWidth="1"/>
    <col min="4355" max="4355" width="44.85546875" style="258" bestFit="1" customWidth="1"/>
    <col min="4356" max="4356" width="18.7109375" style="258" customWidth="1"/>
    <col min="4357" max="4357" width="21.28515625" style="258" customWidth="1"/>
    <col min="4358" max="4358" width="16.5703125" style="258" customWidth="1"/>
    <col min="4359" max="4359" width="19" style="258" customWidth="1"/>
    <col min="4360" max="4360" width="17.5703125" style="258" customWidth="1"/>
    <col min="4361" max="4361" width="15.5703125" style="258" bestFit="1" customWidth="1"/>
    <col min="4362" max="4362" width="13.5703125" style="258" customWidth="1"/>
    <col min="4363" max="4363" width="20.5703125" style="258" customWidth="1"/>
    <col min="4364" max="4364" width="12.42578125" style="258" bestFit="1" customWidth="1"/>
    <col min="4365" max="4608" width="9.140625" style="258"/>
    <col min="4609" max="4609" width="23" style="258" customWidth="1"/>
    <col min="4610" max="4610" width="41.140625" style="258" customWidth="1"/>
    <col min="4611" max="4611" width="44.85546875" style="258" bestFit="1" customWidth="1"/>
    <col min="4612" max="4612" width="18.7109375" style="258" customWidth="1"/>
    <col min="4613" max="4613" width="21.28515625" style="258" customWidth="1"/>
    <col min="4614" max="4614" width="16.5703125" style="258" customWidth="1"/>
    <col min="4615" max="4615" width="19" style="258" customWidth="1"/>
    <col min="4616" max="4616" width="17.5703125" style="258" customWidth="1"/>
    <col min="4617" max="4617" width="15.5703125" style="258" bestFit="1" customWidth="1"/>
    <col min="4618" max="4618" width="13.5703125" style="258" customWidth="1"/>
    <col min="4619" max="4619" width="20.5703125" style="258" customWidth="1"/>
    <col min="4620" max="4620" width="12.42578125" style="258" bestFit="1" customWidth="1"/>
    <col min="4621" max="4864" width="9.140625" style="258"/>
    <col min="4865" max="4865" width="23" style="258" customWidth="1"/>
    <col min="4866" max="4866" width="41.140625" style="258" customWidth="1"/>
    <col min="4867" max="4867" width="44.85546875" style="258" bestFit="1" customWidth="1"/>
    <col min="4868" max="4868" width="18.7109375" style="258" customWidth="1"/>
    <col min="4869" max="4869" width="21.28515625" style="258" customWidth="1"/>
    <col min="4870" max="4870" width="16.5703125" style="258" customWidth="1"/>
    <col min="4871" max="4871" width="19" style="258" customWidth="1"/>
    <col min="4872" max="4872" width="17.5703125" style="258" customWidth="1"/>
    <col min="4873" max="4873" width="15.5703125" style="258" bestFit="1" customWidth="1"/>
    <col min="4874" max="4874" width="13.5703125" style="258" customWidth="1"/>
    <col min="4875" max="4875" width="20.5703125" style="258" customWidth="1"/>
    <col min="4876" max="4876" width="12.42578125" style="258" bestFit="1" customWidth="1"/>
    <col min="4877" max="5120" width="9.140625" style="258"/>
    <col min="5121" max="5121" width="23" style="258" customWidth="1"/>
    <col min="5122" max="5122" width="41.140625" style="258" customWidth="1"/>
    <col min="5123" max="5123" width="44.85546875" style="258" bestFit="1" customWidth="1"/>
    <col min="5124" max="5124" width="18.7109375" style="258" customWidth="1"/>
    <col min="5125" max="5125" width="21.28515625" style="258" customWidth="1"/>
    <col min="5126" max="5126" width="16.5703125" style="258" customWidth="1"/>
    <col min="5127" max="5127" width="19" style="258" customWidth="1"/>
    <col min="5128" max="5128" width="17.5703125" style="258" customWidth="1"/>
    <col min="5129" max="5129" width="15.5703125" style="258" bestFit="1" customWidth="1"/>
    <col min="5130" max="5130" width="13.5703125" style="258" customWidth="1"/>
    <col min="5131" max="5131" width="20.5703125" style="258" customWidth="1"/>
    <col min="5132" max="5132" width="12.42578125" style="258" bestFit="1" customWidth="1"/>
    <col min="5133" max="5376" width="9.140625" style="258"/>
    <col min="5377" max="5377" width="23" style="258" customWidth="1"/>
    <col min="5378" max="5378" width="41.140625" style="258" customWidth="1"/>
    <col min="5379" max="5379" width="44.85546875" style="258" bestFit="1" customWidth="1"/>
    <col min="5380" max="5380" width="18.7109375" style="258" customWidth="1"/>
    <col min="5381" max="5381" width="21.28515625" style="258" customWidth="1"/>
    <col min="5382" max="5382" width="16.5703125" style="258" customWidth="1"/>
    <col min="5383" max="5383" width="19" style="258" customWidth="1"/>
    <col min="5384" max="5384" width="17.5703125" style="258" customWidth="1"/>
    <col min="5385" max="5385" width="15.5703125" style="258" bestFit="1" customWidth="1"/>
    <col min="5386" max="5386" width="13.5703125" style="258" customWidth="1"/>
    <col min="5387" max="5387" width="20.5703125" style="258" customWidth="1"/>
    <col min="5388" max="5388" width="12.42578125" style="258" bestFit="1" customWidth="1"/>
    <col min="5389" max="5632" width="9.140625" style="258"/>
    <col min="5633" max="5633" width="23" style="258" customWidth="1"/>
    <col min="5634" max="5634" width="41.140625" style="258" customWidth="1"/>
    <col min="5635" max="5635" width="44.85546875" style="258" bestFit="1" customWidth="1"/>
    <col min="5636" max="5636" width="18.7109375" style="258" customWidth="1"/>
    <col min="5637" max="5637" width="21.28515625" style="258" customWidth="1"/>
    <col min="5638" max="5638" width="16.5703125" style="258" customWidth="1"/>
    <col min="5639" max="5639" width="19" style="258" customWidth="1"/>
    <col min="5640" max="5640" width="17.5703125" style="258" customWidth="1"/>
    <col min="5641" max="5641" width="15.5703125" style="258" bestFit="1" customWidth="1"/>
    <col min="5642" max="5642" width="13.5703125" style="258" customWidth="1"/>
    <col min="5643" max="5643" width="20.5703125" style="258" customWidth="1"/>
    <col min="5644" max="5644" width="12.42578125" style="258" bestFit="1" customWidth="1"/>
    <col min="5645" max="5888" width="9.140625" style="258"/>
    <col min="5889" max="5889" width="23" style="258" customWidth="1"/>
    <col min="5890" max="5890" width="41.140625" style="258" customWidth="1"/>
    <col min="5891" max="5891" width="44.85546875" style="258" bestFit="1" customWidth="1"/>
    <col min="5892" max="5892" width="18.7109375" style="258" customWidth="1"/>
    <col min="5893" max="5893" width="21.28515625" style="258" customWidth="1"/>
    <col min="5894" max="5894" width="16.5703125" style="258" customWidth="1"/>
    <col min="5895" max="5895" width="19" style="258" customWidth="1"/>
    <col min="5896" max="5896" width="17.5703125" style="258" customWidth="1"/>
    <col min="5897" max="5897" width="15.5703125" style="258" bestFit="1" customWidth="1"/>
    <col min="5898" max="5898" width="13.5703125" style="258" customWidth="1"/>
    <col min="5899" max="5899" width="20.5703125" style="258" customWidth="1"/>
    <col min="5900" max="5900" width="12.42578125" style="258" bestFit="1" customWidth="1"/>
    <col min="5901" max="6144" width="9.140625" style="258"/>
    <col min="6145" max="6145" width="23" style="258" customWidth="1"/>
    <col min="6146" max="6146" width="41.140625" style="258" customWidth="1"/>
    <col min="6147" max="6147" width="44.85546875" style="258" bestFit="1" customWidth="1"/>
    <col min="6148" max="6148" width="18.7109375" style="258" customWidth="1"/>
    <col min="6149" max="6149" width="21.28515625" style="258" customWidth="1"/>
    <col min="6150" max="6150" width="16.5703125" style="258" customWidth="1"/>
    <col min="6151" max="6151" width="19" style="258" customWidth="1"/>
    <col min="6152" max="6152" width="17.5703125" style="258" customWidth="1"/>
    <col min="6153" max="6153" width="15.5703125" style="258" bestFit="1" customWidth="1"/>
    <col min="6154" max="6154" width="13.5703125" style="258" customWidth="1"/>
    <col min="6155" max="6155" width="20.5703125" style="258" customWidth="1"/>
    <col min="6156" max="6156" width="12.42578125" style="258" bestFit="1" customWidth="1"/>
    <col min="6157" max="6400" width="9.140625" style="258"/>
    <col min="6401" max="6401" width="23" style="258" customWidth="1"/>
    <col min="6402" max="6402" width="41.140625" style="258" customWidth="1"/>
    <col min="6403" max="6403" width="44.85546875" style="258" bestFit="1" customWidth="1"/>
    <col min="6404" max="6404" width="18.7109375" style="258" customWidth="1"/>
    <col min="6405" max="6405" width="21.28515625" style="258" customWidth="1"/>
    <col min="6406" max="6406" width="16.5703125" style="258" customWidth="1"/>
    <col min="6407" max="6407" width="19" style="258" customWidth="1"/>
    <col min="6408" max="6408" width="17.5703125" style="258" customWidth="1"/>
    <col min="6409" max="6409" width="15.5703125" style="258" bestFit="1" customWidth="1"/>
    <col min="6410" max="6410" width="13.5703125" style="258" customWidth="1"/>
    <col min="6411" max="6411" width="20.5703125" style="258" customWidth="1"/>
    <col min="6412" max="6412" width="12.42578125" style="258" bestFit="1" customWidth="1"/>
    <col min="6413" max="6656" width="9.140625" style="258"/>
    <col min="6657" max="6657" width="23" style="258" customWidth="1"/>
    <col min="6658" max="6658" width="41.140625" style="258" customWidth="1"/>
    <col min="6659" max="6659" width="44.85546875" style="258" bestFit="1" customWidth="1"/>
    <col min="6660" max="6660" width="18.7109375" style="258" customWidth="1"/>
    <col min="6661" max="6661" width="21.28515625" style="258" customWidth="1"/>
    <col min="6662" max="6662" width="16.5703125" style="258" customWidth="1"/>
    <col min="6663" max="6663" width="19" style="258" customWidth="1"/>
    <col min="6664" max="6664" width="17.5703125" style="258" customWidth="1"/>
    <col min="6665" max="6665" width="15.5703125" style="258" bestFit="1" customWidth="1"/>
    <col min="6666" max="6666" width="13.5703125" style="258" customWidth="1"/>
    <col min="6667" max="6667" width="20.5703125" style="258" customWidth="1"/>
    <col min="6668" max="6668" width="12.42578125" style="258" bestFit="1" customWidth="1"/>
    <col min="6669" max="6912" width="9.140625" style="258"/>
    <col min="6913" max="6913" width="23" style="258" customWidth="1"/>
    <col min="6914" max="6914" width="41.140625" style="258" customWidth="1"/>
    <col min="6915" max="6915" width="44.85546875" style="258" bestFit="1" customWidth="1"/>
    <col min="6916" max="6916" width="18.7109375" style="258" customWidth="1"/>
    <col min="6917" max="6917" width="21.28515625" style="258" customWidth="1"/>
    <col min="6918" max="6918" width="16.5703125" style="258" customWidth="1"/>
    <col min="6919" max="6919" width="19" style="258" customWidth="1"/>
    <col min="6920" max="6920" width="17.5703125" style="258" customWidth="1"/>
    <col min="6921" max="6921" width="15.5703125" style="258" bestFit="1" customWidth="1"/>
    <col min="6922" max="6922" width="13.5703125" style="258" customWidth="1"/>
    <col min="6923" max="6923" width="20.5703125" style="258" customWidth="1"/>
    <col min="6924" max="6924" width="12.42578125" style="258" bestFit="1" customWidth="1"/>
    <col min="6925" max="7168" width="9.140625" style="258"/>
    <col min="7169" max="7169" width="23" style="258" customWidth="1"/>
    <col min="7170" max="7170" width="41.140625" style="258" customWidth="1"/>
    <col min="7171" max="7171" width="44.85546875" style="258" bestFit="1" customWidth="1"/>
    <col min="7172" max="7172" width="18.7109375" style="258" customWidth="1"/>
    <col min="7173" max="7173" width="21.28515625" style="258" customWidth="1"/>
    <col min="7174" max="7174" width="16.5703125" style="258" customWidth="1"/>
    <col min="7175" max="7175" width="19" style="258" customWidth="1"/>
    <col min="7176" max="7176" width="17.5703125" style="258" customWidth="1"/>
    <col min="7177" max="7177" width="15.5703125" style="258" bestFit="1" customWidth="1"/>
    <col min="7178" max="7178" width="13.5703125" style="258" customWidth="1"/>
    <col min="7179" max="7179" width="20.5703125" style="258" customWidth="1"/>
    <col min="7180" max="7180" width="12.42578125" style="258" bestFit="1" customWidth="1"/>
    <col min="7181" max="7424" width="9.140625" style="258"/>
    <col min="7425" max="7425" width="23" style="258" customWidth="1"/>
    <col min="7426" max="7426" width="41.140625" style="258" customWidth="1"/>
    <col min="7427" max="7427" width="44.85546875" style="258" bestFit="1" customWidth="1"/>
    <col min="7428" max="7428" width="18.7109375" style="258" customWidth="1"/>
    <col min="7429" max="7429" width="21.28515625" style="258" customWidth="1"/>
    <col min="7430" max="7430" width="16.5703125" style="258" customWidth="1"/>
    <col min="7431" max="7431" width="19" style="258" customWidth="1"/>
    <col min="7432" max="7432" width="17.5703125" style="258" customWidth="1"/>
    <col min="7433" max="7433" width="15.5703125" style="258" bestFit="1" customWidth="1"/>
    <col min="7434" max="7434" width="13.5703125" style="258" customWidth="1"/>
    <col min="7435" max="7435" width="20.5703125" style="258" customWidth="1"/>
    <col min="7436" max="7436" width="12.42578125" style="258" bestFit="1" customWidth="1"/>
    <col min="7437" max="7680" width="9.140625" style="258"/>
    <col min="7681" max="7681" width="23" style="258" customWidth="1"/>
    <col min="7682" max="7682" width="41.140625" style="258" customWidth="1"/>
    <col min="7683" max="7683" width="44.85546875" style="258" bestFit="1" customWidth="1"/>
    <col min="7684" max="7684" width="18.7109375" style="258" customWidth="1"/>
    <col min="7685" max="7685" width="21.28515625" style="258" customWidth="1"/>
    <col min="7686" max="7686" width="16.5703125" style="258" customWidth="1"/>
    <col min="7687" max="7687" width="19" style="258" customWidth="1"/>
    <col min="7688" max="7688" width="17.5703125" style="258" customWidth="1"/>
    <col min="7689" max="7689" width="15.5703125" style="258" bestFit="1" customWidth="1"/>
    <col min="7690" max="7690" width="13.5703125" style="258" customWidth="1"/>
    <col min="7691" max="7691" width="20.5703125" style="258" customWidth="1"/>
    <col min="7692" max="7692" width="12.42578125" style="258" bestFit="1" customWidth="1"/>
    <col min="7693" max="7936" width="9.140625" style="258"/>
    <col min="7937" max="7937" width="23" style="258" customWidth="1"/>
    <col min="7938" max="7938" width="41.140625" style="258" customWidth="1"/>
    <col min="7939" max="7939" width="44.85546875" style="258" bestFit="1" customWidth="1"/>
    <col min="7940" max="7940" width="18.7109375" style="258" customWidth="1"/>
    <col min="7941" max="7941" width="21.28515625" style="258" customWidth="1"/>
    <col min="7942" max="7942" width="16.5703125" style="258" customWidth="1"/>
    <col min="7943" max="7943" width="19" style="258" customWidth="1"/>
    <col min="7944" max="7944" width="17.5703125" style="258" customWidth="1"/>
    <col min="7945" max="7945" width="15.5703125" style="258" bestFit="1" customWidth="1"/>
    <col min="7946" max="7946" width="13.5703125" style="258" customWidth="1"/>
    <col min="7947" max="7947" width="20.5703125" style="258" customWidth="1"/>
    <col min="7948" max="7948" width="12.42578125" style="258" bestFit="1" customWidth="1"/>
    <col min="7949" max="8192" width="9.140625" style="258"/>
    <col min="8193" max="8193" width="23" style="258" customWidth="1"/>
    <col min="8194" max="8194" width="41.140625" style="258" customWidth="1"/>
    <col min="8195" max="8195" width="44.85546875" style="258" bestFit="1" customWidth="1"/>
    <col min="8196" max="8196" width="18.7109375" style="258" customWidth="1"/>
    <col min="8197" max="8197" width="21.28515625" style="258" customWidth="1"/>
    <col min="8198" max="8198" width="16.5703125" style="258" customWidth="1"/>
    <col min="8199" max="8199" width="19" style="258" customWidth="1"/>
    <col min="8200" max="8200" width="17.5703125" style="258" customWidth="1"/>
    <col min="8201" max="8201" width="15.5703125" style="258" bestFit="1" customWidth="1"/>
    <col min="8202" max="8202" width="13.5703125" style="258" customWidth="1"/>
    <col min="8203" max="8203" width="20.5703125" style="258" customWidth="1"/>
    <col min="8204" max="8204" width="12.42578125" style="258" bestFit="1" customWidth="1"/>
    <col min="8205" max="8448" width="9.140625" style="258"/>
    <col min="8449" max="8449" width="23" style="258" customWidth="1"/>
    <col min="8450" max="8450" width="41.140625" style="258" customWidth="1"/>
    <col min="8451" max="8451" width="44.85546875" style="258" bestFit="1" customWidth="1"/>
    <col min="8452" max="8452" width="18.7109375" style="258" customWidth="1"/>
    <col min="8453" max="8453" width="21.28515625" style="258" customWidth="1"/>
    <col min="8454" max="8454" width="16.5703125" style="258" customWidth="1"/>
    <col min="8455" max="8455" width="19" style="258" customWidth="1"/>
    <col min="8456" max="8456" width="17.5703125" style="258" customWidth="1"/>
    <col min="8457" max="8457" width="15.5703125" style="258" bestFit="1" customWidth="1"/>
    <col min="8458" max="8458" width="13.5703125" style="258" customWidth="1"/>
    <col min="8459" max="8459" width="20.5703125" style="258" customWidth="1"/>
    <col min="8460" max="8460" width="12.42578125" style="258" bestFit="1" customWidth="1"/>
    <col min="8461" max="8704" width="9.140625" style="258"/>
    <col min="8705" max="8705" width="23" style="258" customWidth="1"/>
    <col min="8706" max="8706" width="41.140625" style="258" customWidth="1"/>
    <col min="8707" max="8707" width="44.85546875" style="258" bestFit="1" customWidth="1"/>
    <col min="8708" max="8708" width="18.7109375" style="258" customWidth="1"/>
    <col min="8709" max="8709" width="21.28515625" style="258" customWidth="1"/>
    <col min="8710" max="8710" width="16.5703125" style="258" customWidth="1"/>
    <col min="8711" max="8711" width="19" style="258" customWidth="1"/>
    <col min="8712" max="8712" width="17.5703125" style="258" customWidth="1"/>
    <col min="8713" max="8713" width="15.5703125" style="258" bestFit="1" customWidth="1"/>
    <col min="8714" max="8714" width="13.5703125" style="258" customWidth="1"/>
    <col min="8715" max="8715" width="20.5703125" style="258" customWidth="1"/>
    <col min="8716" max="8716" width="12.42578125" style="258" bestFit="1" customWidth="1"/>
    <col min="8717" max="8960" width="9.140625" style="258"/>
    <col min="8961" max="8961" width="23" style="258" customWidth="1"/>
    <col min="8962" max="8962" width="41.140625" style="258" customWidth="1"/>
    <col min="8963" max="8963" width="44.85546875" style="258" bestFit="1" customWidth="1"/>
    <col min="8964" max="8964" width="18.7109375" style="258" customWidth="1"/>
    <col min="8965" max="8965" width="21.28515625" style="258" customWidth="1"/>
    <col min="8966" max="8966" width="16.5703125" style="258" customWidth="1"/>
    <col min="8967" max="8967" width="19" style="258" customWidth="1"/>
    <col min="8968" max="8968" width="17.5703125" style="258" customWidth="1"/>
    <col min="8969" max="8969" width="15.5703125" style="258" bestFit="1" customWidth="1"/>
    <col min="8970" max="8970" width="13.5703125" style="258" customWidth="1"/>
    <col min="8971" max="8971" width="20.5703125" style="258" customWidth="1"/>
    <col min="8972" max="8972" width="12.42578125" style="258" bestFit="1" customWidth="1"/>
    <col min="8973" max="9216" width="9.140625" style="258"/>
    <col min="9217" max="9217" width="23" style="258" customWidth="1"/>
    <col min="9218" max="9218" width="41.140625" style="258" customWidth="1"/>
    <col min="9219" max="9219" width="44.85546875" style="258" bestFit="1" customWidth="1"/>
    <col min="9220" max="9220" width="18.7109375" style="258" customWidth="1"/>
    <col min="9221" max="9221" width="21.28515625" style="258" customWidth="1"/>
    <col min="9222" max="9222" width="16.5703125" style="258" customWidth="1"/>
    <col min="9223" max="9223" width="19" style="258" customWidth="1"/>
    <col min="9224" max="9224" width="17.5703125" style="258" customWidth="1"/>
    <col min="9225" max="9225" width="15.5703125" style="258" bestFit="1" customWidth="1"/>
    <col min="9226" max="9226" width="13.5703125" style="258" customWidth="1"/>
    <col min="9227" max="9227" width="20.5703125" style="258" customWidth="1"/>
    <col min="9228" max="9228" width="12.42578125" style="258" bestFit="1" customWidth="1"/>
    <col min="9229" max="9472" width="9.140625" style="258"/>
    <col min="9473" max="9473" width="23" style="258" customWidth="1"/>
    <col min="9474" max="9474" width="41.140625" style="258" customWidth="1"/>
    <col min="9475" max="9475" width="44.85546875" style="258" bestFit="1" customWidth="1"/>
    <col min="9476" max="9476" width="18.7109375" style="258" customWidth="1"/>
    <col min="9477" max="9477" width="21.28515625" style="258" customWidth="1"/>
    <col min="9478" max="9478" width="16.5703125" style="258" customWidth="1"/>
    <col min="9479" max="9479" width="19" style="258" customWidth="1"/>
    <col min="9480" max="9480" width="17.5703125" style="258" customWidth="1"/>
    <col min="9481" max="9481" width="15.5703125" style="258" bestFit="1" customWidth="1"/>
    <col min="9482" max="9482" width="13.5703125" style="258" customWidth="1"/>
    <col min="9483" max="9483" width="20.5703125" style="258" customWidth="1"/>
    <col min="9484" max="9484" width="12.42578125" style="258" bestFit="1" customWidth="1"/>
    <col min="9485" max="9728" width="9.140625" style="258"/>
    <col min="9729" max="9729" width="23" style="258" customWidth="1"/>
    <col min="9730" max="9730" width="41.140625" style="258" customWidth="1"/>
    <col min="9731" max="9731" width="44.85546875" style="258" bestFit="1" customWidth="1"/>
    <col min="9732" max="9732" width="18.7109375" style="258" customWidth="1"/>
    <col min="9733" max="9733" width="21.28515625" style="258" customWidth="1"/>
    <col min="9734" max="9734" width="16.5703125" style="258" customWidth="1"/>
    <col min="9735" max="9735" width="19" style="258" customWidth="1"/>
    <col min="9736" max="9736" width="17.5703125" style="258" customWidth="1"/>
    <col min="9737" max="9737" width="15.5703125" style="258" bestFit="1" customWidth="1"/>
    <col min="9738" max="9738" width="13.5703125" style="258" customWidth="1"/>
    <col min="9739" max="9739" width="20.5703125" style="258" customWidth="1"/>
    <col min="9740" max="9740" width="12.42578125" style="258" bestFit="1" customWidth="1"/>
    <col min="9741" max="9984" width="9.140625" style="258"/>
    <col min="9985" max="9985" width="23" style="258" customWidth="1"/>
    <col min="9986" max="9986" width="41.140625" style="258" customWidth="1"/>
    <col min="9987" max="9987" width="44.85546875" style="258" bestFit="1" customWidth="1"/>
    <col min="9988" max="9988" width="18.7109375" style="258" customWidth="1"/>
    <col min="9989" max="9989" width="21.28515625" style="258" customWidth="1"/>
    <col min="9990" max="9990" width="16.5703125" style="258" customWidth="1"/>
    <col min="9991" max="9991" width="19" style="258" customWidth="1"/>
    <col min="9992" max="9992" width="17.5703125" style="258" customWidth="1"/>
    <col min="9993" max="9993" width="15.5703125" style="258" bestFit="1" customWidth="1"/>
    <col min="9994" max="9994" width="13.5703125" style="258" customWidth="1"/>
    <col min="9995" max="9995" width="20.5703125" style="258" customWidth="1"/>
    <col min="9996" max="9996" width="12.42578125" style="258" bestFit="1" customWidth="1"/>
    <col min="9997" max="10240" width="9.140625" style="258"/>
    <col min="10241" max="10241" width="23" style="258" customWidth="1"/>
    <col min="10242" max="10242" width="41.140625" style="258" customWidth="1"/>
    <col min="10243" max="10243" width="44.85546875" style="258" bestFit="1" customWidth="1"/>
    <col min="10244" max="10244" width="18.7109375" style="258" customWidth="1"/>
    <col min="10245" max="10245" width="21.28515625" style="258" customWidth="1"/>
    <col min="10246" max="10246" width="16.5703125" style="258" customWidth="1"/>
    <col min="10247" max="10247" width="19" style="258" customWidth="1"/>
    <col min="10248" max="10248" width="17.5703125" style="258" customWidth="1"/>
    <col min="10249" max="10249" width="15.5703125" style="258" bestFit="1" customWidth="1"/>
    <col min="10250" max="10250" width="13.5703125" style="258" customWidth="1"/>
    <col min="10251" max="10251" width="20.5703125" style="258" customWidth="1"/>
    <col min="10252" max="10252" width="12.42578125" style="258" bestFit="1" customWidth="1"/>
    <col min="10253" max="10496" width="9.140625" style="258"/>
    <col min="10497" max="10497" width="23" style="258" customWidth="1"/>
    <col min="10498" max="10498" width="41.140625" style="258" customWidth="1"/>
    <col min="10499" max="10499" width="44.85546875" style="258" bestFit="1" customWidth="1"/>
    <col min="10500" max="10500" width="18.7109375" style="258" customWidth="1"/>
    <col min="10501" max="10501" width="21.28515625" style="258" customWidth="1"/>
    <col min="10502" max="10502" width="16.5703125" style="258" customWidth="1"/>
    <col min="10503" max="10503" width="19" style="258" customWidth="1"/>
    <col min="10504" max="10504" width="17.5703125" style="258" customWidth="1"/>
    <col min="10505" max="10505" width="15.5703125" style="258" bestFit="1" customWidth="1"/>
    <col min="10506" max="10506" width="13.5703125" style="258" customWidth="1"/>
    <col min="10507" max="10507" width="20.5703125" style="258" customWidth="1"/>
    <col min="10508" max="10508" width="12.42578125" style="258" bestFit="1" customWidth="1"/>
    <col min="10509" max="10752" width="9.140625" style="258"/>
    <col min="10753" max="10753" width="23" style="258" customWidth="1"/>
    <col min="10754" max="10754" width="41.140625" style="258" customWidth="1"/>
    <col min="10755" max="10755" width="44.85546875" style="258" bestFit="1" customWidth="1"/>
    <col min="10756" max="10756" width="18.7109375" style="258" customWidth="1"/>
    <col min="10757" max="10757" width="21.28515625" style="258" customWidth="1"/>
    <col min="10758" max="10758" width="16.5703125" style="258" customWidth="1"/>
    <col min="10759" max="10759" width="19" style="258" customWidth="1"/>
    <col min="10760" max="10760" width="17.5703125" style="258" customWidth="1"/>
    <col min="10761" max="10761" width="15.5703125" style="258" bestFit="1" customWidth="1"/>
    <col min="10762" max="10762" width="13.5703125" style="258" customWidth="1"/>
    <col min="10763" max="10763" width="20.5703125" style="258" customWidth="1"/>
    <col min="10764" max="10764" width="12.42578125" style="258" bestFit="1" customWidth="1"/>
    <col min="10765" max="11008" width="9.140625" style="258"/>
    <col min="11009" max="11009" width="23" style="258" customWidth="1"/>
    <col min="11010" max="11010" width="41.140625" style="258" customWidth="1"/>
    <col min="11011" max="11011" width="44.85546875" style="258" bestFit="1" customWidth="1"/>
    <col min="11012" max="11012" width="18.7109375" style="258" customWidth="1"/>
    <col min="11013" max="11013" width="21.28515625" style="258" customWidth="1"/>
    <col min="11014" max="11014" width="16.5703125" style="258" customWidth="1"/>
    <col min="11015" max="11015" width="19" style="258" customWidth="1"/>
    <col min="11016" max="11016" width="17.5703125" style="258" customWidth="1"/>
    <col min="11017" max="11017" width="15.5703125" style="258" bestFit="1" customWidth="1"/>
    <col min="11018" max="11018" width="13.5703125" style="258" customWidth="1"/>
    <col min="11019" max="11019" width="20.5703125" style="258" customWidth="1"/>
    <col min="11020" max="11020" width="12.42578125" style="258" bestFit="1" customWidth="1"/>
    <col min="11021" max="11264" width="9.140625" style="258"/>
    <col min="11265" max="11265" width="23" style="258" customWidth="1"/>
    <col min="11266" max="11266" width="41.140625" style="258" customWidth="1"/>
    <col min="11267" max="11267" width="44.85546875" style="258" bestFit="1" customWidth="1"/>
    <col min="11268" max="11268" width="18.7109375" style="258" customWidth="1"/>
    <col min="11269" max="11269" width="21.28515625" style="258" customWidth="1"/>
    <col min="11270" max="11270" width="16.5703125" style="258" customWidth="1"/>
    <col min="11271" max="11271" width="19" style="258" customWidth="1"/>
    <col min="11272" max="11272" width="17.5703125" style="258" customWidth="1"/>
    <col min="11273" max="11273" width="15.5703125" style="258" bestFit="1" customWidth="1"/>
    <col min="11274" max="11274" width="13.5703125" style="258" customWidth="1"/>
    <col min="11275" max="11275" width="20.5703125" style="258" customWidth="1"/>
    <col min="11276" max="11276" width="12.42578125" style="258" bestFit="1" customWidth="1"/>
    <col min="11277" max="11520" width="9.140625" style="258"/>
    <col min="11521" max="11521" width="23" style="258" customWidth="1"/>
    <col min="11522" max="11522" width="41.140625" style="258" customWidth="1"/>
    <col min="11523" max="11523" width="44.85546875" style="258" bestFit="1" customWidth="1"/>
    <col min="11524" max="11524" width="18.7109375" style="258" customWidth="1"/>
    <col min="11525" max="11525" width="21.28515625" style="258" customWidth="1"/>
    <col min="11526" max="11526" width="16.5703125" style="258" customWidth="1"/>
    <col min="11527" max="11527" width="19" style="258" customWidth="1"/>
    <col min="11528" max="11528" width="17.5703125" style="258" customWidth="1"/>
    <col min="11529" max="11529" width="15.5703125" style="258" bestFit="1" customWidth="1"/>
    <col min="11530" max="11530" width="13.5703125" style="258" customWidth="1"/>
    <col min="11531" max="11531" width="20.5703125" style="258" customWidth="1"/>
    <col min="11532" max="11532" width="12.42578125" style="258" bestFit="1" customWidth="1"/>
    <col min="11533" max="11776" width="9.140625" style="258"/>
    <col min="11777" max="11777" width="23" style="258" customWidth="1"/>
    <col min="11778" max="11778" width="41.140625" style="258" customWidth="1"/>
    <col min="11779" max="11779" width="44.85546875" style="258" bestFit="1" customWidth="1"/>
    <col min="11780" max="11780" width="18.7109375" style="258" customWidth="1"/>
    <col min="11781" max="11781" width="21.28515625" style="258" customWidth="1"/>
    <col min="11782" max="11782" width="16.5703125" style="258" customWidth="1"/>
    <col min="11783" max="11783" width="19" style="258" customWidth="1"/>
    <col min="11784" max="11784" width="17.5703125" style="258" customWidth="1"/>
    <col min="11785" max="11785" width="15.5703125" style="258" bestFit="1" customWidth="1"/>
    <col min="11786" max="11786" width="13.5703125" style="258" customWidth="1"/>
    <col min="11787" max="11787" width="20.5703125" style="258" customWidth="1"/>
    <col min="11788" max="11788" width="12.42578125" style="258" bestFit="1" customWidth="1"/>
    <col min="11789" max="12032" width="9.140625" style="258"/>
    <col min="12033" max="12033" width="23" style="258" customWidth="1"/>
    <col min="12034" max="12034" width="41.140625" style="258" customWidth="1"/>
    <col min="12035" max="12035" width="44.85546875" style="258" bestFit="1" customWidth="1"/>
    <col min="12036" max="12036" width="18.7109375" style="258" customWidth="1"/>
    <col min="12037" max="12037" width="21.28515625" style="258" customWidth="1"/>
    <col min="12038" max="12038" width="16.5703125" style="258" customWidth="1"/>
    <col min="12039" max="12039" width="19" style="258" customWidth="1"/>
    <col min="12040" max="12040" width="17.5703125" style="258" customWidth="1"/>
    <col min="12041" max="12041" width="15.5703125" style="258" bestFit="1" customWidth="1"/>
    <col min="12042" max="12042" width="13.5703125" style="258" customWidth="1"/>
    <col min="12043" max="12043" width="20.5703125" style="258" customWidth="1"/>
    <col min="12044" max="12044" width="12.42578125" style="258" bestFit="1" customWidth="1"/>
    <col min="12045" max="12288" width="9.140625" style="258"/>
    <col min="12289" max="12289" width="23" style="258" customWidth="1"/>
    <col min="12290" max="12290" width="41.140625" style="258" customWidth="1"/>
    <col min="12291" max="12291" width="44.85546875" style="258" bestFit="1" customWidth="1"/>
    <col min="12292" max="12292" width="18.7109375" style="258" customWidth="1"/>
    <col min="12293" max="12293" width="21.28515625" style="258" customWidth="1"/>
    <col min="12294" max="12294" width="16.5703125" style="258" customWidth="1"/>
    <col min="12295" max="12295" width="19" style="258" customWidth="1"/>
    <col min="12296" max="12296" width="17.5703125" style="258" customWidth="1"/>
    <col min="12297" max="12297" width="15.5703125" style="258" bestFit="1" customWidth="1"/>
    <col min="12298" max="12298" width="13.5703125" style="258" customWidth="1"/>
    <col min="12299" max="12299" width="20.5703125" style="258" customWidth="1"/>
    <col min="12300" max="12300" width="12.42578125" style="258" bestFit="1" customWidth="1"/>
    <col min="12301" max="12544" width="9.140625" style="258"/>
    <col min="12545" max="12545" width="23" style="258" customWidth="1"/>
    <col min="12546" max="12546" width="41.140625" style="258" customWidth="1"/>
    <col min="12547" max="12547" width="44.85546875" style="258" bestFit="1" customWidth="1"/>
    <col min="12548" max="12548" width="18.7109375" style="258" customWidth="1"/>
    <col min="12549" max="12549" width="21.28515625" style="258" customWidth="1"/>
    <col min="12550" max="12550" width="16.5703125" style="258" customWidth="1"/>
    <col min="12551" max="12551" width="19" style="258" customWidth="1"/>
    <col min="12552" max="12552" width="17.5703125" style="258" customWidth="1"/>
    <col min="12553" max="12553" width="15.5703125" style="258" bestFit="1" customWidth="1"/>
    <col min="12554" max="12554" width="13.5703125" style="258" customWidth="1"/>
    <col min="12555" max="12555" width="20.5703125" style="258" customWidth="1"/>
    <col min="12556" max="12556" width="12.42578125" style="258" bestFit="1" customWidth="1"/>
    <col min="12557" max="12800" width="9.140625" style="258"/>
    <col min="12801" max="12801" width="23" style="258" customWidth="1"/>
    <col min="12802" max="12802" width="41.140625" style="258" customWidth="1"/>
    <col min="12803" max="12803" width="44.85546875" style="258" bestFit="1" customWidth="1"/>
    <col min="12804" max="12804" width="18.7109375" style="258" customWidth="1"/>
    <col min="12805" max="12805" width="21.28515625" style="258" customWidth="1"/>
    <col min="12806" max="12806" width="16.5703125" style="258" customWidth="1"/>
    <col min="12807" max="12807" width="19" style="258" customWidth="1"/>
    <col min="12808" max="12808" width="17.5703125" style="258" customWidth="1"/>
    <col min="12809" max="12809" width="15.5703125" style="258" bestFit="1" customWidth="1"/>
    <col min="12810" max="12810" width="13.5703125" style="258" customWidth="1"/>
    <col min="12811" max="12811" width="20.5703125" style="258" customWidth="1"/>
    <col min="12812" max="12812" width="12.42578125" style="258" bestFit="1" customWidth="1"/>
    <col min="12813" max="13056" width="9.140625" style="258"/>
    <col min="13057" max="13057" width="23" style="258" customWidth="1"/>
    <col min="13058" max="13058" width="41.140625" style="258" customWidth="1"/>
    <col min="13059" max="13059" width="44.85546875" style="258" bestFit="1" customWidth="1"/>
    <col min="13060" max="13060" width="18.7109375" style="258" customWidth="1"/>
    <col min="13061" max="13061" width="21.28515625" style="258" customWidth="1"/>
    <col min="13062" max="13062" width="16.5703125" style="258" customWidth="1"/>
    <col min="13063" max="13063" width="19" style="258" customWidth="1"/>
    <col min="13064" max="13064" width="17.5703125" style="258" customWidth="1"/>
    <col min="13065" max="13065" width="15.5703125" style="258" bestFit="1" customWidth="1"/>
    <col min="13066" max="13066" width="13.5703125" style="258" customWidth="1"/>
    <col min="13067" max="13067" width="20.5703125" style="258" customWidth="1"/>
    <col min="13068" max="13068" width="12.42578125" style="258" bestFit="1" customWidth="1"/>
    <col min="13069" max="13312" width="9.140625" style="258"/>
    <col min="13313" max="13313" width="23" style="258" customWidth="1"/>
    <col min="13314" max="13314" width="41.140625" style="258" customWidth="1"/>
    <col min="13315" max="13315" width="44.85546875" style="258" bestFit="1" customWidth="1"/>
    <col min="13316" max="13316" width="18.7109375" style="258" customWidth="1"/>
    <col min="13317" max="13317" width="21.28515625" style="258" customWidth="1"/>
    <col min="13318" max="13318" width="16.5703125" style="258" customWidth="1"/>
    <col min="13319" max="13319" width="19" style="258" customWidth="1"/>
    <col min="13320" max="13320" width="17.5703125" style="258" customWidth="1"/>
    <col min="13321" max="13321" width="15.5703125" style="258" bestFit="1" customWidth="1"/>
    <col min="13322" max="13322" width="13.5703125" style="258" customWidth="1"/>
    <col min="13323" max="13323" width="20.5703125" style="258" customWidth="1"/>
    <col min="13324" max="13324" width="12.42578125" style="258" bestFit="1" customWidth="1"/>
    <col min="13325" max="13568" width="9.140625" style="258"/>
    <col min="13569" max="13569" width="23" style="258" customWidth="1"/>
    <col min="13570" max="13570" width="41.140625" style="258" customWidth="1"/>
    <col min="13571" max="13571" width="44.85546875" style="258" bestFit="1" customWidth="1"/>
    <col min="13572" max="13572" width="18.7109375" style="258" customWidth="1"/>
    <col min="13573" max="13573" width="21.28515625" style="258" customWidth="1"/>
    <col min="13574" max="13574" width="16.5703125" style="258" customWidth="1"/>
    <col min="13575" max="13575" width="19" style="258" customWidth="1"/>
    <col min="13576" max="13576" width="17.5703125" style="258" customWidth="1"/>
    <col min="13577" max="13577" width="15.5703125" style="258" bestFit="1" customWidth="1"/>
    <col min="13578" max="13578" width="13.5703125" style="258" customWidth="1"/>
    <col min="13579" max="13579" width="20.5703125" style="258" customWidth="1"/>
    <col min="13580" max="13580" width="12.42578125" style="258" bestFit="1" customWidth="1"/>
    <col min="13581" max="13824" width="9.140625" style="258"/>
    <col min="13825" max="13825" width="23" style="258" customWidth="1"/>
    <col min="13826" max="13826" width="41.140625" style="258" customWidth="1"/>
    <col min="13827" max="13827" width="44.85546875" style="258" bestFit="1" customWidth="1"/>
    <col min="13828" max="13828" width="18.7109375" style="258" customWidth="1"/>
    <col min="13829" max="13829" width="21.28515625" style="258" customWidth="1"/>
    <col min="13830" max="13830" width="16.5703125" style="258" customWidth="1"/>
    <col min="13831" max="13831" width="19" style="258" customWidth="1"/>
    <col min="13832" max="13832" width="17.5703125" style="258" customWidth="1"/>
    <col min="13833" max="13833" width="15.5703125" style="258" bestFit="1" customWidth="1"/>
    <col min="13834" max="13834" width="13.5703125" style="258" customWidth="1"/>
    <col min="13835" max="13835" width="20.5703125" style="258" customWidth="1"/>
    <col min="13836" max="13836" width="12.42578125" style="258" bestFit="1" customWidth="1"/>
    <col min="13837" max="14080" width="9.140625" style="258"/>
    <col min="14081" max="14081" width="23" style="258" customWidth="1"/>
    <col min="14082" max="14082" width="41.140625" style="258" customWidth="1"/>
    <col min="14083" max="14083" width="44.85546875" style="258" bestFit="1" customWidth="1"/>
    <col min="14084" max="14084" width="18.7109375" style="258" customWidth="1"/>
    <col min="14085" max="14085" width="21.28515625" style="258" customWidth="1"/>
    <col min="14086" max="14086" width="16.5703125" style="258" customWidth="1"/>
    <col min="14087" max="14087" width="19" style="258" customWidth="1"/>
    <col min="14088" max="14088" width="17.5703125" style="258" customWidth="1"/>
    <col min="14089" max="14089" width="15.5703125" style="258" bestFit="1" customWidth="1"/>
    <col min="14090" max="14090" width="13.5703125" style="258" customWidth="1"/>
    <col min="14091" max="14091" width="20.5703125" style="258" customWidth="1"/>
    <col min="14092" max="14092" width="12.42578125" style="258" bestFit="1" customWidth="1"/>
    <col min="14093" max="14336" width="9.140625" style="258"/>
    <col min="14337" max="14337" width="23" style="258" customWidth="1"/>
    <col min="14338" max="14338" width="41.140625" style="258" customWidth="1"/>
    <col min="14339" max="14339" width="44.85546875" style="258" bestFit="1" customWidth="1"/>
    <col min="14340" max="14340" width="18.7109375" style="258" customWidth="1"/>
    <col min="14341" max="14341" width="21.28515625" style="258" customWidth="1"/>
    <col min="14342" max="14342" width="16.5703125" style="258" customWidth="1"/>
    <col min="14343" max="14343" width="19" style="258" customWidth="1"/>
    <col min="14344" max="14344" width="17.5703125" style="258" customWidth="1"/>
    <col min="14345" max="14345" width="15.5703125" style="258" bestFit="1" customWidth="1"/>
    <col min="14346" max="14346" width="13.5703125" style="258" customWidth="1"/>
    <col min="14347" max="14347" width="20.5703125" style="258" customWidth="1"/>
    <col min="14348" max="14348" width="12.42578125" style="258" bestFit="1" customWidth="1"/>
    <col min="14349" max="14592" width="9.140625" style="258"/>
    <col min="14593" max="14593" width="23" style="258" customWidth="1"/>
    <col min="14594" max="14594" width="41.140625" style="258" customWidth="1"/>
    <col min="14595" max="14595" width="44.85546875" style="258" bestFit="1" customWidth="1"/>
    <col min="14596" max="14596" width="18.7109375" style="258" customWidth="1"/>
    <col min="14597" max="14597" width="21.28515625" style="258" customWidth="1"/>
    <col min="14598" max="14598" width="16.5703125" style="258" customWidth="1"/>
    <col min="14599" max="14599" width="19" style="258" customWidth="1"/>
    <col min="14600" max="14600" width="17.5703125" style="258" customWidth="1"/>
    <col min="14601" max="14601" width="15.5703125" style="258" bestFit="1" customWidth="1"/>
    <col min="14602" max="14602" width="13.5703125" style="258" customWidth="1"/>
    <col min="14603" max="14603" width="20.5703125" style="258" customWidth="1"/>
    <col min="14604" max="14604" width="12.42578125" style="258" bestFit="1" customWidth="1"/>
    <col min="14605" max="14848" width="9.140625" style="258"/>
    <col min="14849" max="14849" width="23" style="258" customWidth="1"/>
    <col min="14850" max="14850" width="41.140625" style="258" customWidth="1"/>
    <col min="14851" max="14851" width="44.85546875" style="258" bestFit="1" customWidth="1"/>
    <col min="14852" max="14852" width="18.7109375" style="258" customWidth="1"/>
    <col min="14853" max="14853" width="21.28515625" style="258" customWidth="1"/>
    <col min="14854" max="14854" width="16.5703125" style="258" customWidth="1"/>
    <col min="14855" max="14855" width="19" style="258" customWidth="1"/>
    <col min="14856" max="14856" width="17.5703125" style="258" customWidth="1"/>
    <col min="14857" max="14857" width="15.5703125" style="258" bestFit="1" customWidth="1"/>
    <col min="14858" max="14858" width="13.5703125" style="258" customWidth="1"/>
    <col min="14859" max="14859" width="20.5703125" style="258" customWidth="1"/>
    <col min="14860" max="14860" width="12.42578125" style="258" bestFit="1" customWidth="1"/>
    <col min="14861" max="15104" width="9.140625" style="258"/>
    <col min="15105" max="15105" width="23" style="258" customWidth="1"/>
    <col min="15106" max="15106" width="41.140625" style="258" customWidth="1"/>
    <col min="15107" max="15107" width="44.85546875" style="258" bestFit="1" customWidth="1"/>
    <col min="15108" max="15108" width="18.7109375" style="258" customWidth="1"/>
    <col min="15109" max="15109" width="21.28515625" style="258" customWidth="1"/>
    <col min="15110" max="15110" width="16.5703125" style="258" customWidth="1"/>
    <col min="15111" max="15111" width="19" style="258" customWidth="1"/>
    <col min="15112" max="15112" width="17.5703125" style="258" customWidth="1"/>
    <col min="15113" max="15113" width="15.5703125" style="258" bestFit="1" customWidth="1"/>
    <col min="15114" max="15114" width="13.5703125" style="258" customWidth="1"/>
    <col min="15115" max="15115" width="20.5703125" style="258" customWidth="1"/>
    <col min="15116" max="15116" width="12.42578125" style="258" bestFit="1" customWidth="1"/>
    <col min="15117" max="15360" width="9.140625" style="258"/>
    <col min="15361" max="15361" width="23" style="258" customWidth="1"/>
    <col min="15362" max="15362" width="41.140625" style="258" customWidth="1"/>
    <col min="15363" max="15363" width="44.85546875" style="258" bestFit="1" customWidth="1"/>
    <col min="15364" max="15364" width="18.7109375" style="258" customWidth="1"/>
    <col min="15365" max="15365" width="21.28515625" style="258" customWidth="1"/>
    <col min="15366" max="15366" width="16.5703125" style="258" customWidth="1"/>
    <col min="15367" max="15367" width="19" style="258" customWidth="1"/>
    <col min="15368" max="15368" width="17.5703125" style="258" customWidth="1"/>
    <col min="15369" max="15369" width="15.5703125" style="258" bestFit="1" customWidth="1"/>
    <col min="15370" max="15370" width="13.5703125" style="258" customWidth="1"/>
    <col min="15371" max="15371" width="20.5703125" style="258" customWidth="1"/>
    <col min="15372" max="15372" width="12.42578125" style="258" bestFit="1" customWidth="1"/>
    <col min="15373" max="15616" width="9.140625" style="258"/>
    <col min="15617" max="15617" width="23" style="258" customWidth="1"/>
    <col min="15618" max="15618" width="41.140625" style="258" customWidth="1"/>
    <col min="15619" max="15619" width="44.85546875" style="258" bestFit="1" customWidth="1"/>
    <col min="15620" max="15620" width="18.7109375" style="258" customWidth="1"/>
    <col min="15621" max="15621" width="21.28515625" style="258" customWidth="1"/>
    <col min="15622" max="15622" width="16.5703125" style="258" customWidth="1"/>
    <col min="15623" max="15623" width="19" style="258" customWidth="1"/>
    <col min="15624" max="15624" width="17.5703125" style="258" customWidth="1"/>
    <col min="15625" max="15625" width="15.5703125" style="258" bestFit="1" customWidth="1"/>
    <col min="15626" max="15626" width="13.5703125" style="258" customWidth="1"/>
    <col min="15627" max="15627" width="20.5703125" style="258" customWidth="1"/>
    <col min="15628" max="15628" width="12.42578125" style="258" bestFit="1" customWidth="1"/>
    <col min="15629" max="15872" width="9.140625" style="258"/>
    <col min="15873" max="15873" width="23" style="258" customWidth="1"/>
    <col min="15874" max="15874" width="41.140625" style="258" customWidth="1"/>
    <col min="15875" max="15875" width="44.85546875" style="258" bestFit="1" customWidth="1"/>
    <col min="15876" max="15876" width="18.7109375" style="258" customWidth="1"/>
    <col min="15877" max="15877" width="21.28515625" style="258" customWidth="1"/>
    <col min="15878" max="15878" width="16.5703125" style="258" customWidth="1"/>
    <col min="15879" max="15879" width="19" style="258" customWidth="1"/>
    <col min="15880" max="15880" width="17.5703125" style="258" customWidth="1"/>
    <col min="15881" max="15881" width="15.5703125" style="258" bestFit="1" customWidth="1"/>
    <col min="15882" max="15882" width="13.5703125" style="258" customWidth="1"/>
    <col min="15883" max="15883" width="20.5703125" style="258" customWidth="1"/>
    <col min="15884" max="15884" width="12.42578125" style="258" bestFit="1" customWidth="1"/>
    <col min="15885" max="16128" width="9.140625" style="258"/>
    <col min="16129" max="16129" width="23" style="258" customWidth="1"/>
    <col min="16130" max="16130" width="41.140625" style="258" customWidth="1"/>
    <col min="16131" max="16131" width="44.85546875" style="258" bestFit="1" customWidth="1"/>
    <col min="16132" max="16132" width="18.7109375" style="258" customWidth="1"/>
    <col min="16133" max="16133" width="21.28515625" style="258" customWidth="1"/>
    <col min="16134" max="16134" width="16.5703125" style="258" customWidth="1"/>
    <col min="16135" max="16135" width="19" style="258" customWidth="1"/>
    <col min="16136" max="16136" width="17.5703125" style="258" customWidth="1"/>
    <col min="16137" max="16137" width="15.5703125" style="258" bestFit="1" customWidth="1"/>
    <col min="16138" max="16138" width="13.5703125" style="258" customWidth="1"/>
    <col min="16139" max="16139" width="20.5703125" style="258" customWidth="1"/>
    <col min="16140" max="16140" width="12.42578125" style="258" bestFit="1" customWidth="1"/>
    <col min="16141" max="16384" width="9.140625" style="258"/>
  </cols>
  <sheetData>
    <row r="1" spans="2:7" x14ac:dyDescent="0.2">
      <c r="G1" s="259" t="s">
        <v>1011</v>
      </c>
    </row>
    <row r="2" spans="2:7" x14ac:dyDescent="0.2">
      <c r="B2" s="260" t="s">
        <v>1012</v>
      </c>
      <c r="C2" s="260"/>
      <c r="D2" s="260"/>
      <c r="E2" s="260"/>
      <c r="F2" s="260"/>
      <c r="G2" s="260"/>
    </row>
    <row r="3" spans="2:7" x14ac:dyDescent="0.2">
      <c r="B3" s="260" t="s">
        <v>1013</v>
      </c>
      <c r="C3" s="260"/>
      <c r="D3" s="260"/>
      <c r="E3" s="260"/>
      <c r="F3" s="260"/>
      <c r="G3" s="260"/>
    </row>
    <row r="4" spans="2:7" x14ac:dyDescent="0.2">
      <c r="B4" s="259"/>
      <c r="C4" s="259"/>
      <c r="D4" s="259"/>
      <c r="E4" s="259"/>
      <c r="F4" s="259"/>
      <c r="G4" s="259"/>
    </row>
    <row r="5" spans="2:7" x14ac:dyDescent="0.2">
      <c r="B5" s="260" t="s">
        <v>1014</v>
      </c>
      <c r="C5" s="260"/>
      <c r="D5" s="260"/>
      <c r="E5" s="260"/>
      <c r="F5" s="260"/>
      <c r="G5" s="260"/>
    </row>
    <row r="6" spans="2:7" x14ac:dyDescent="0.2">
      <c r="B6" s="259" t="s">
        <v>1015</v>
      </c>
    </row>
    <row r="8" spans="2:7" ht="25.5" x14ac:dyDescent="0.2">
      <c r="B8" s="261" t="s">
        <v>1016</v>
      </c>
      <c r="C8" s="261" t="s">
        <v>1017</v>
      </c>
      <c r="D8" s="261" t="s">
        <v>1018</v>
      </c>
      <c r="E8" s="262" t="s">
        <v>1019</v>
      </c>
      <c r="F8" s="262" t="s">
        <v>1020</v>
      </c>
      <c r="G8" s="262" t="s">
        <v>1021</v>
      </c>
    </row>
    <row r="9" spans="2:7" ht="15" x14ac:dyDescent="0.2">
      <c r="B9" s="263" t="s">
        <v>697</v>
      </c>
      <c r="C9" s="264" t="s">
        <v>943</v>
      </c>
      <c r="D9" s="265" t="s">
        <v>1022</v>
      </c>
      <c r="E9" s="266">
        <v>767.4</v>
      </c>
      <c r="F9" s="267">
        <v>772.75</v>
      </c>
      <c r="G9" s="268">
        <v>59.362874399999995</v>
      </c>
    </row>
    <row r="10" spans="2:7" ht="15" x14ac:dyDescent="0.2">
      <c r="B10" s="263" t="s">
        <v>697</v>
      </c>
      <c r="C10" s="264" t="s">
        <v>961</v>
      </c>
      <c r="D10" s="265" t="s">
        <v>1022</v>
      </c>
      <c r="E10" s="266">
        <v>127.25</v>
      </c>
      <c r="F10" s="267">
        <v>124.2</v>
      </c>
      <c r="G10" s="268">
        <v>114.90336000000001</v>
      </c>
    </row>
    <row r="11" spans="2:7" ht="15" x14ac:dyDescent="0.2">
      <c r="B11" s="263" t="s">
        <v>697</v>
      </c>
      <c r="C11" s="264" t="s">
        <v>927</v>
      </c>
      <c r="D11" s="265" t="s">
        <v>1022</v>
      </c>
      <c r="E11" s="266">
        <v>742.88</v>
      </c>
      <c r="F11" s="267">
        <v>752.95</v>
      </c>
      <c r="G11" s="268">
        <v>80.749170000000007</v>
      </c>
    </row>
    <row r="12" spans="2:7" ht="15" x14ac:dyDescent="0.2">
      <c r="B12" s="263" t="s">
        <v>697</v>
      </c>
      <c r="C12" s="264" t="s">
        <v>955</v>
      </c>
      <c r="D12" s="265" t="s">
        <v>1022</v>
      </c>
      <c r="E12" s="266">
        <v>82.05</v>
      </c>
      <c r="F12" s="267">
        <v>81.05</v>
      </c>
      <c r="G12" s="268">
        <v>48.4827528</v>
      </c>
    </row>
    <row r="13" spans="2:7" ht="15" x14ac:dyDescent="0.2">
      <c r="B13" s="263" t="s">
        <v>697</v>
      </c>
      <c r="C13" s="264" t="s">
        <v>962</v>
      </c>
      <c r="D13" s="265" t="s">
        <v>1022</v>
      </c>
      <c r="E13" s="266">
        <v>659.78</v>
      </c>
      <c r="F13" s="267">
        <v>681.45</v>
      </c>
      <c r="G13" s="268">
        <v>111.52844800000001</v>
      </c>
    </row>
    <row r="14" spans="2:7" ht="15" x14ac:dyDescent="0.2">
      <c r="B14" s="263" t="s">
        <v>697</v>
      </c>
      <c r="C14" s="264" t="s">
        <v>953</v>
      </c>
      <c r="D14" s="265" t="s">
        <v>1022</v>
      </c>
      <c r="E14" s="266">
        <v>475.68</v>
      </c>
      <c r="F14" s="267">
        <v>473.45</v>
      </c>
      <c r="G14" s="268">
        <v>41.215828499999994</v>
      </c>
    </row>
    <row r="15" spans="2:7" ht="15" x14ac:dyDescent="0.2">
      <c r="B15" s="263" t="s">
        <v>697</v>
      </c>
      <c r="C15" s="264" t="s">
        <v>956</v>
      </c>
      <c r="D15" s="265" t="s">
        <v>1022</v>
      </c>
      <c r="E15" s="266">
        <v>158.38999999999999</v>
      </c>
      <c r="F15" s="267">
        <v>161.6</v>
      </c>
      <c r="G15" s="268">
        <v>40.698503999999993</v>
      </c>
    </row>
    <row r="16" spans="2:7" ht="15" x14ac:dyDescent="0.2">
      <c r="B16" s="263" t="s">
        <v>697</v>
      </c>
      <c r="C16" s="264" t="s">
        <v>938</v>
      </c>
      <c r="D16" s="265" t="s">
        <v>1022</v>
      </c>
      <c r="E16" s="266">
        <v>646.49</v>
      </c>
      <c r="F16" s="267">
        <v>664.1</v>
      </c>
      <c r="G16" s="268">
        <v>29.263327199999999</v>
      </c>
    </row>
    <row r="17" spans="2:8" ht="15" x14ac:dyDescent="0.2">
      <c r="B17" s="263" t="s">
        <v>697</v>
      </c>
      <c r="C17" s="264" t="s">
        <v>957</v>
      </c>
      <c r="D17" s="265" t="s">
        <v>1022</v>
      </c>
      <c r="E17" s="266">
        <v>509.32</v>
      </c>
      <c r="F17" s="267">
        <v>531.85</v>
      </c>
      <c r="G17" s="268">
        <v>41.801632499999997</v>
      </c>
    </row>
    <row r="18" spans="2:8" ht="15" x14ac:dyDescent="0.2">
      <c r="B18" s="263" t="s">
        <v>697</v>
      </c>
      <c r="C18" s="264" t="s">
        <v>954</v>
      </c>
      <c r="D18" s="265" t="s">
        <v>1022</v>
      </c>
      <c r="E18" s="266">
        <v>212.44</v>
      </c>
      <c r="F18" s="267">
        <v>214.4</v>
      </c>
      <c r="G18" s="268">
        <v>22.691520000000001</v>
      </c>
    </row>
    <row r="19" spans="2:8" ht="15" x14ac:dyDescent="0.2">
      <c r="B19" s="263" t="s">
        <v>697</v>
      </c>
      <c r="C19" s="264" t="s">
        <v>935</v>
      </c>
      <c r="D19" s="265" t="s">
        <v>1022</v>
      </c>
      <c r="E19" s="266">
        <v>408.91</v>
      </c>
      <c r="F19" s="267">
        <v>409.45</v>
      </c>
      <c r="G19" s="268">
        <v>92.976488800000013</v>
      </c>
    </row>
    <row r="20" spans="2:8" ht="15" x14ac:dyDescent="0.2">
      <c r="B20" s="263" t="s">
        <v>697</v>
      </c>
      <c r="C20" s="264" t="s">
        <v>959</v>
      </c>
      <c r="D20" s="265" t="s">
        <v>1022</v>
      </c>
      <c r="E20" s="266">
        <v>454.56</v>
      </c>
      <c r="F20" s="267">
        <v>468.9</v>
      </c>
      <c r="G20" s="268">
        <v>102.69468000000001</v>
      </c>
    </row>
    <row r="21" spans="2:8" ht="15" x14ac:dyDescent="0.2">
      <c r="B21" s="263" t="s">
        <v>697</v>
      </c>
      <c r="C21" s="264" t="s">
        <v>958</v>
      </c>
      <c r="D21" s="265" t="s">
        <v>1022</v>
      </c>
      <c r="E21" s="266">
        <v>31462.51</v>
      </c>
      <c r="F21" s="267">
        <v>30832.9</v>
      </c>
      <c r="G21" s="268">
        <v>67.205997400000001</v>
      </c>
    </row>
    <row r="22" spans="2:8" ht="15" x14ac:dyDescent="0.2">
      <c r="B22" s="269" t="s">
        <v>697</v>
      </c>
      <c r="C22" s="270" t="s">
        <v>931</v>
      </c>
      <c r="D22" s="265" t="s">
        <v>1022</v>
      </c>
      <c r="E22" s="266">
        <v>2023.41</v>
      </c>
      <c r="F22" s="267">
        <v>2161.15</v>
      </c>
      <c r="G22" s="268">
        <v>91.849845600000009</v>
      </c>
    </row>
    <row r="23" spans="2:8" ht="15" x14ac:dyDescent="0.2">
      <c r="B23" s="263" t="s">
        <v>697</v>
      </c>
      <c r="C23" s="271" t="s">
        <v>949</v>
      </c>
      <c r="D23" s="265" t="s">
        <v>1022</v>
      </c>
      <c r="E23" s="266">
        <v>419.98</v>
      </c>
      <c r="F23" s="267">
        <v>422.35</v>
      </c>
      <c r="G23" s="268">
        <v>152.1658984</v>
      </c>
    </row>
    <row r="24" spans="2:8" ht="15" x14ac:dyDescent="0.2">
      <c r="B24" s="263" t="s">
        <v>697</v>
      </c>
      <c r="C24" s="271" t="s">
        <v>960</v>
      </c>
      <c r="D24" s="265" t="s">
        <v>1022</v>
      </c>
      <c r="E24" s="266">
        <v>785.38</v>
      </c>
      <c r="F24" s="267">
        <v>819.45</v>
      </c>
      <c r="G24" s="268">
        <v>99.172253400000002</v>
      </c>
    </row>
    <row r="25" spans="2:8" ht="15" x14ac:dyDescent="0.2">
      <c r="B25" s="263" t="s">
        <v>697</v>
      </c>
      <c r="C25" s="272" t="s">
        <v>941</v>
      </c>
      <c r="D25" s="265" t="s">
        <v>1022</v>
      </c>
      <c r="E25" s="266">
        <v>277.35000000000002</v>
      </c>
      <c r="F25" s="267">
        <v>275.8</v>
      </c>
      <c r="G25" s="268">
        <v>59.62106</v>
      </c>
    </row>
    <row r="26" spans="2:8" ht="15" x14ac:dyDescent="0.2">
      <c r="B26" s="263" t="s">
        <v>747</v>
      </c>
      <c r="C26" s="273" t="s">
        <v>943</v>
      </c>
      <c r="D26" s="265" t="s">
        <v>1022</v>
      </c>
      <c r="E26" s="266">
        <v>779.55</v>
      </c>
      <c r="F26" s="267">
        <v>772.75</v>
      </c>
      <c r="G26" s="268">
        <v>59.362874399999995</v>
      </c>
    </row>
    <row r="27" spans="2:8" ht="15" x14ac:dyDescent="0.2">
      <c r="B27" s="263" t="s">
        <v>747</v>
      </c>
      <c r="C27" s="273" t="s">
        <v>927</v>
      </c>
      <c r="D27" s="265" t="s">
        <v>1022</v>
      </c>
      <c r="E27" s="266">
        <v>751.82</v>
      </c>
      <c r="F27" s="267">
        <v>752.95</v>
      </c>
      <c r="G27" s="268">
        <v>153.42342300000001</v>
      </c>
    </row>
    <row r="28" spans="2:8" ht="15" x14ac:dyDescent="0.2">
      <c r="B28" s="263" t="s">
        <v>747</v>
      </c>
      <c r="C28" s="273" t="s">
        <v>930</v>
      </c>
      <c r="D28" s="265" t="s">
        <v>1022</v>
      </c>
      <c r="E28" s="266">
        <v>4242.25</v>
      </c>
      <c r="F28" s="267">
        <v>4216.1499999999996</v>
      </c>
      <c r="G28" s="268">
        <v>101.24545259999999</v>
      </c>
    </row>
    <row r="29" spans="2:8" ht="15" x14ac:dyDescent="0.2">
      <c r="B29" s="263" t="s">
        <v>747</v>
      </c>
      <c r="C29" s="273" t="s">
        <v>934</v>
      </c>
      <c r="D29" s="265" t="s">
        <v>1022</v>
      </c>
      <c r="E29" s="266">
        <v>534.5</v>
      </c>
      <c r="F29" s="267">
        <v>536.9</v>
      </c>
      <c r="G29" s="268">
        <v>327.77174360000004</v>
      </c>
    </row>
    <row r="30" spans="2:8" ht="15" x14ac:dyDescent="0.2">
      <c r="B30" s="263" t="s">
        <v>747</v>
      </c>
      <c r="C30" s="273" t="s">
        <v>947</v>
      </c>
      <c r="D30" s="265" t="s">
        <v>1022</v>
      </c>
      <c r="E30" s="266">
        <v>5282.71</v>
      </c>
      <c r="F30" s="267">
        <v>5321.85</v>
      </c>
      <c r="G30" s="268">
        <v>143.0890608</v>
      </c>
    </row>
    <row r="31" spans="2:8" ht="15" x14ac:dyDescent="0.2">
      <c r="B31" s="263" t="s">
        <v>747</v>
      </c>
      <c r="C31" s="273" t="s">
        <v>939</v>
      </c>
      <c r="D31" s="265" t="s">
        <v>1022</v>
      </c>
      <c r="E31" s="266">
        <v>2512.44</v>
      </c>
      <c r="F31" s="267">
        <v>2558.3000000000002</v>
      </c>
      <c r="G31" s="268">
        <v>198.41415000000001</v>
      </c>
      <c r="H31" s="274"/>
    </row>
    <row r="32" spans="2:8" ht="18" customHeight="1" x14ac:dyDescent="0.2">
      <c r="B32" s="263" t="s">
        <v>747</v>
      </c>
      <c r="C32" s="273" t="s">
        <v>946</v>
      </c>
      <c r="D32" s="265" t="s">
        <v>1022</v>
      </c>
      <c r="E32" s="266">
        <v>663.53</v>
      </c>
      <c r="F32" s="267">
        <v>669.75</v>
      </c>
      <c r="G32" s="268">
        <v>150.3414458</v>
      </c>
      <c r="H32" s="274"/>
    </row>
    <row r="33" spans="2:8" ht="15" x14ac:dyDescent="0.2">
      <c r="B33" s="263" t="s">
        <v>747</v>
      </c>
      <c r="C33" s="273" t="s">
        <v>940</v>
      </c>
      <c r="D33" s="265" t="s">
        <v>1022</v>
      </c>
      <c r="E33" s="266">
        <v>2351.84</v>
      </c>
      <c r="F33" s="267">
        <v>2335.4499999999998</v>
      </c>
      <c r="G33" s="268">
        <v>129.26182880000002</v>
      </c>
      <c r="H33" s="274"/>
    </row>
    <row r="34" spans="2:8" ht="15" x14ac:dyDescent="0.2">
      <c r="B34" s="263" t="s">
        <v>747</v>
      </c>
      <c r="C34" s="273" t="s">
        <v>938</v>
      </c>
      <c r="D34" s="265" t="s">
        <v>1022</v>
      </c>
      <c r="E34" s="266">
        <v>655.56</v>
      </c>
      <c r="F34" s="267">
        <v>664.1</v>
      </c>
      <c r="G34" s="268">
        <v>943.74230220000004</v>
      </c>
      <c r="H34" s="274"/>
    </row>
    <row r="35" spans="2:8" ht="15" x14ac:dyDescent="0.2">
      <c r="B35" s="263" t="s">
        <v>747</v>
      </c>
      <c r="C35" s="273" t="s">
        <v>942</v>
      </c>
      <c r="D35" s="265" t="s">
        <v>1022</v>
      </c>
      <c r="E35" s="266">
        <v>1767.58</v>
      </c>
      <c r="F35" s="267">
        <v>1811.75</v>
      </c>
      <c r="G35" s="268">
        <v>51.436124999999997</v>
      </c>
      <c r="H35" s="274"/>
    </row>
    <row r="36" spans="2:8" ht="15" x14ac:dyDescent="0.2">
      <c r="B36" s="263" t="s">
        <v>747</v>
      </c>
      <c r="C36" s="273" t="s">
        <v>944</v>
      </c>
      <c r="D36" s="265" t="s">
        <v>1022</v>
      </c>
      <c r="E36" s="266">
        <v>1456.04</v>
      </c>
      <c r="F36" s="267">
        <v>1473.85</v>
      </c>
      <c r="G36" s="268">
        <v>71.107892000000007</v>
      </c>
      <c r="H36" s="274"/>
    </row>
    <row r="37" spans="2:8" ht="15" x14ac:dyDescent="0.2">
      <c r="B37" s="263" t="s">
        <v>747</v>
      </c>
      <c r="C37" s="273" t="s">
        <v>951</v>
      </c>
      <c r="D37" s="265" t="s">
        <v>1022</v>
      </c>
      <c r="E37" s="266">
        <v>466.82</v>
      </c>
      <c r="F37" s="267">
        <v>476.8</v>
      </c>
      <c r="G37" s="268">
        <v>323.39711999999997</v>
      </c>
      <c r="H37" s="274"/>
    </row>
    <row r="38" spans="2:8" ht="15" x14ac:dyDescent="0.2">
      <c r="B38" s="263" t="s">
        <v>747</v>
      </c>
      <c r="C38" s="273" t="s">
        <v>936</v>
      </c>
      <c r="D38" s="265" t="s">
        <v>1022</v>
      </c>
      <c r="E38" s="266">
        <v>592.04999999999995</v>
      </c>
      <c r="F38" s="267">
        <v>615.29999999999995</v>
      </c>
      <c r="G38" s="275">
        <v>377.83651200000003</v>
      </c>
      <c r="H38" s="274"/>
    </row>
    <row r="39" spans="2:8" ht="15" x14ac:dyDescent="0.2">
      <c r="B39" s="263" t="s">
        <v>747</v>
      </c>
      <c r="C39" s="273" t="s">
        <v>952</v>
      </c>
      <c r="D39" s="265" t="s">
        <v>1022</v>
      </c>
      <c r="E39" s="266">
        <v>15345.04</v>
      </c>
      <c r="F39" s="267">
        <v>15583.2</v>
      </c>
      <c r="G39" s="275">
        <v>439.06736999999998</v>
      </c>
      <c r="H39" s="274"/>
    </row>
    <row r="40" spans="2:8" ht="15" x14ac:dyDescent="0.2">
      <c r="B40" s="263" t="s">
        <v>747</v>
      </c>
      <c r="C40" s="273" t="s">
        <v>928</v>
      </c>
      <c r="D40" s="265" t="s">
        <v>1022</v>
      </c>
      <c r="E40" s="266">
        <v>2094.87</v>
      </c>
      <c r="F40" s="267">
        <v>2101.1</v>
      </c>
      <c r="G40" s="275">
        <v>600.0160075</v>
      </c>
      <c r="H40" s="274"/>
    </row>
    <row r="41" spans="2:8" ht="15" x14ac:dyDescent="0.2">
      <c r="B41" s="263" t="s">
        <v>747</v>
      </c>
      <c r="C41" s="273" t="s">
        <v>945</v>
      </c>
      <c r="D41" s="265" t="s">
        <v>1022</v>
      </c>
      <c r="E41" s="266">
        <v>37.81</v>
      </c>
      <c r="F41" s="267">
        <v>42.65</v>
      </c>
      <c r="G41" s="275">
        <v>196.22752</v>
      </c>
      <c r="H41" s="274"/>
    </row>
    <row r="42" spans="2:8" ht="15" x14ac:dyDescent="0.2">
      <c r="B42" s="263" t="s">
        <v>747</v>
      </c>
      <c r="C42" s="273" t="s">
        <v>931</v>
      </c>
      <c r="D42" s="265" t="s">
        <v>1022</v>
      </c>
      <c r="E42" s="266">
        <v>1992.6</v>
      </c>
      <c r="F42" s="267">
        <v>2161.15</v>
      </c>
      <c r="G42" s="275">
        <v>193.36809600000001</v>
      </c>
      <c r="H42" s="276"/>
    </row>
    <row r="43" spans="2:8" ht="15" x14ac:dyDescent="0.2">
      <c r="B43" s="263" t="s">
        <v>747</v>
      </c>
      <c r="C43" s="273" t="s">
        <v>950</v>
      </c>
      <c r="D43" s="265" t="s">
        <v>1022</v>
      </c>
      <c r="E43" s="266">
        <v>124.77</v>
      </c>
      <c r="F43" s="267">
        <v>127.5</v>
      </c>
      <c r="G43" s="275">
        <v>681.99075000000005</v>
      </c>
      <c r="H43" s="274"/>
    </row>
    <row r="44" spans="2:8" ht="15" x14ac:dyDescent="0.2">
      <c r="B44" s="263" t="s">
        <v>747</v>
      </c>
      <c r="C44" s="264" t="s">
        <v>949</v>
      </c>
      <c r="D44" s="265" t="s">
        <v>1022</v>
      </c>
      <c r="E44" s="266">
        <v>412.24</v>
      </c>
      <c r="F44" s="267">
        <v>422.35</v>
      </c>
      <c r="G44" s="275">
        <v>389.36568119999998</v>
      </c>
      <c r="H44" s="277"/>
    </row>
    <row r="45" spans="2:8" ht="15" x14ac:dyDescent="0.2">
      <c r="B45" s="263" t="s">
        <v>747</v>
      </c>
      <c r="C45" s="273" t="s">
        <v>948</v>
      </c>
      <c r="D45" s="265" t="s">
        <v>1022</v>
      </c>
      <c r="E45" s="266">
        <v>3088.45</v>
      </c>
      <c r="F45" s="267">
        <v>3167.45</v>
      </c>
      <c r="G45" s="275">
        <v>207.06838879999998</v>
      </c>
      <c r="H45" s="277"/>
    </row>
    <row r="46" spans="2:8" ht="15" x14ac:dyDescent="0.2">
      <c r="B46" s="263" t="s">
        <v>747</v>
      </c>
      <c r="C46" s="273" t="s">
        <v>937</v>
      </c>
      <c r="D46" s="265" t="s">
        <v>1022</v>
      </c>
      <c r="E46" s="266">
        <v>992.22</v>
      </c>
      <c r="F46" s="267">
        <v>1026.5</v>
      </c>
      <c r="G46" s="275">
        <v>75.306839999999994</v>
      </c>
      <c r="H46" s="277"/>
    </row>
    <row r="47" spans="2:8" ht="15" x14ac:dyDescent="0.2">
      <c r="B47" s="263" t="s">
        <v>747</v>
      </c>
      <c r="C47" s="273" t="s">
        <v>941</v>
      </c>
      <c r="D47" s="265" t="s">
        <v>1022</v>
      </c>
      <c r="E47" s="266">
        <v>281.87</v>
      </c>
      <c r="F47" s="267">
        <v>275.8</v>
      </c>
      <c r="G47" s="275">
        <v>50.677900999999999</v>
      </c>
      <c r="H47" s="277"/>
    </row>
    <row r="48" spans="2:8" x14ac:dyDescent="0.2">
      <c r="B48" s="263" t="s">
        <v>713</v>
      </c>
      <c r="C48" s="273" t="s">
        <v>927</v>
      </c>
      <c r="D48" s="265" t="s">
        <v>1022</v>
      </c>
      <c r="E48" s="266">
        <v>752.05</v>
      </c>
      <c r="F48" s="278">
        <v>752.95</v>
      </c>
      <c r="G48" s="275">
        <v>8.074917000000001</v>
      </c>
      <c r="H48" s="277"/>
    </row>
    <row r="49" spans="2:8" x14ac:dyDescent="0.2">
      <c r="B49" s="263" t="s">
        <v>713</v>
      </c>
      <c r="C49" s="273" t="s">
        <v>930</v>
      </c>
      <c r="D49" s="265" t="s">
        <v>1022</v>
      </c>
      <c r="E49" s="266">
        <v>4177</v>
      </c>
      <c r="F49" s="278">
        <v>4216.1499999999996</v>
      </c>
      <c r="G49" s="275">
        <v>28.612845299999996</v>
      </c>
      <c r="H49" s="277"/>
    </row>
    <row r="50" spans="2:8" x14ac:dyDescent="0.2">
      <c r="B50" s="263" t="s">
        <v>713</v>
      </c>
      <c r="C50" s="273" t="s">
        <v>934</v>
      </c>
      <c r="D50" s="265" t="s">
        <v>1022</v>
      </c>
      <c r="E50" s="266">
        <v>534.5</v>
      </c>
      <c r="F50" s="278">
        <v>536.9</v>
      </c>
      <c r="G50" s="268">
        <v>51.753433200000003</v>
      </c>
    </row>
    <row r="51" spans="2:8" x14ac:dyDescent="0.2">
      <c r="B51" s="263" t="s">
        <v>713</v>
      </c>
      <c r="C51" s="273" t="s">
        <v>929</v>
      </c>
      <c r="D51" s="265" t="s">
        <v>1022</v>
      </c>
      <c r="E51" s="266">
        <v>88.38</v>
      </c>
      <c r="F51" s="278">
        <v>87.75</v>
      </c>
      <c r="G51" s="268">
        <v>38.551875000000003</v>
      </c>
    </row>
    <row r="52" spans="2:8" x14ac:dyDescent="0.2">
      <c r="B52" s="263" t="s">
        <v>713</v>
      </c>
      <c r="C52" s="273" t="s">
        <v>939</v>
      </c>
      <c r="D52" s="265" t="s">
        <v>1022</v>
      </c>
      <c r="E52" s="266">
        <v>2507.3000000000002</v>
      </c>
      <c r="F52" s="278">
        <v>2558.3000000000002</v>
      </c>
      <c r="G52" s="268">
        <v>152.77889549999998</v>
      </c>
    </row>
    <row r="53" spans="2:8" x14ac:dyDescent="0.2">
      <c r="B53" s="263" t="s">
        <v>713</v>
      </c>
      <c r="C53" s="273" t="s">
        <v>940</v>
      </c>
      <c r="D53" s="265" t="s">
        <v>1022</v>
      </c>
      <c r="E53" s="266">
        <v>2336.41</v>
      </c>
      <c r="F53" s="278">
        <v>2335.4499999999998</v>
      </c>
      <c r="G53" s="268">
        <v>124.29022000000001</v>
      </c>
    </row>
    <row r="54" spans="2:8" x14ac:dyDescent="0.2">
      <c r="B54" s="263" t="s">
        <v>713</v>
      </c>
      <c r="C54" s="273" t="s">
        <v>938</v>
      </c>
      <c r="D54" s="265" t="s">
        <v>1022</v>
      </c>
      <c r="E54" s="266">
        <v>655.24</v>
      </c>
      <c r="F54" s="278">
        <v>664.1</v>
      </c>
      <c r="G54" s="268">
        <v>109.737477</v>
      </c>
    </row>
    <row r="55" spans="2:8" x14ac:dyDescent="0.2">
      <c r="B55" s="263" t="s">
        <v>713</v>
      </c>
      <c r="C55" s="273" t="s">
        <v>935</v>
      </c>
      <c r="D55" s="265" t="s">
        <v>1022</v>
      </c>
      <c r="E55" s="266">
        <v>409.16</v>
      </c>
      <c r="F55" s="278">
        <v>409.45</v>
      </c>
      <c r="G55" s="268">
        <v>85.824451200000013</v>
      </c>
    </row>
    <row r="56" spans="2:8" x14ac:dyDescent="0.2">
      <c r="B56" s="263" t="s">
        <v>713</v>
      </c>
      <c r="C56" s="273" t="s">
        <v>936</v>
      </c>
      <c r="D56" s="265" t="s">
        <v>1022</v>
      </c>
      <c r="E56" s="266">
        <v>592.04</v>
      </c>
      <c r="F56" s="278">
        <v>615.29999999999995</v>
      </c>
      <c r="G56" s="268">
        <v>50.378201600000004</v>
      </c>
    </row>
    <row r="57" spans="2:8" x14ac:dyDescent="0.2">
      <c r="B57" s="263" t="s">
        <v>713</v>
      </c>
      <c r="C57" s="273" t="s">
        <v>928</v>
      </c>
      <c r="D57" s="265" t="s">
        <v>1022</v>
      </c>
      <c r="E57" s="266">
        <v>2052.6799999999998</v>
      </c>
      <c r="F57" s="278">
        <v>2101.1</v>
      </c>
      <c r="G57" s="268">
        <v>14.047197499999999</v>
      </c>
    </row>
    <row r="58" spans="2:8" x14ac:dyDescent="0.2">
      <c r="B58" s="263" t="s">
        <v>713</v>
      </c>
      <c r="C58" s="273" t="s">
        <v>931</v>
      </c>
      <c r="D58" s="265" t="s">
        <v>1022</v>
      </c>
      <c r="E58" s="266">
        <v>1978.29</v>
      </c>
      <c r="F58" s="278">
        <v>2161.15</v>
      </c>
      <c r="G58" s="268">
        <v>36.256518</v>
      </c>
    </row>
    <row r="59" spans="2:8" x14ac:dyDescent="0.2">
      <c r="B59" s="263" t="s">
        <v>713</v>
      </c>
      <c r="C59" s="264" t="s">
        <v>932</v>
      </c>
      <c r="D59" s="265" t="s">
        <v>1022</v>
      </c>
      <c r="E59" s="266">
        <v>651.54999999999995</v>
      </c>
      <c r="F59" s="278">
        <v>663.65</v>
      </c>
      <c r="G59" s="268">
        <v>48.539992000000005</v>
      </c>
    </row>
    <row r="60" spans="2:8" x14ac:dyDescent="0.2">
      <c r="B60" s="263" t="s">
        <v>713</v>
      </c>
      <c r="C60" s="273" t="s">
        <v>933</v>
      </c>
      <c r="D60" s="265" t="s">
        <v>1022</v>
      </c>
      <c r="E60" s="266">
        <v>319.01</v>
      </c>
      <c r="F60" s="278">
        <v>319.35000000000002</v>
      </c>
      <c r="G60" s="268">
        <v>65.914785199999997</v>
      </c>
    </row>
    <row r="61" spans="2:8" x14ac:dyDescent="0.2">
      <c r="B61" s="263" t="s">
        <v>713</v>
      </c>
      <c r="C61" s="273" t="s">
        <v>937</v>
      </c>
      <c r="D61" s="265" t="s">
        <v>1022</v>
      </c>
      <c r="E61" s="266">
        <v>994.1</v>
      </c>
      <c r="F61" s="278">
        <v>1026.5</v>
      </c>
      <c r="G61" s="268">
        <v>80.685900000000004</v>
      </c>
    </row>
    <row r="62" spans="2:8" x14ac:dyDescent="0.2">
      <c r="B62" s="279"/>
      <c r="C62" s="280"/>
      <c r="E62" s="281"/>
      <c r="F62" s="281"/>
      <c r="G62" s="281"/>
    </row>
    <row r="64" spans="2:8" x14ac:dyDescent="0.2">
      <c r="B64" s="259" t="s">
        <v>1023</v>
      </c>
    </row>
    <row r="66" spans="2:11" x14ac:dyDescent="0.2">
      <c r="B66" s="282" t="s">
        <v>1016</v>
      </c>
      <c r="C66" s="282" t="s">
        <v>1024</v>
      </c>
    </row>
    <row r="67" spans="2:11" x14ac:dyDescent="0.2">
      <c r="B67" s="263" t="s">
        <v>697</v>
      </c>
      <c r="C67" s="283">
        <v>68.465000000000003</v>
      </c>
    </row>
    <row r="68" spans="2:11" x14ac:dyDescent="0.2">
      <c r="B68" s="263" t="s">
        <v>747</v>
      </c>
      <c r="C68" s="283">
        <v>25.7</v>
      </c>
    </row>
    <row r="69" spans="2:11" x14ac:dyDescent="0.2">
      <c r="B69" s="285" t="s">
        <v>713</v>
      </c>
      <c r="C69" s="283">
        <v>34.869999999999997</v>
      </c>
    </row>
    <row r="71" spans="2:11" x14ac:dyDescent="0.2">
      <c r="B71" s="259" t="s">
        <v>1025</v>
      </c>
    </row>
    <row r="72" spans="2:11" x14ac:dyDescent="0.2">
      <c r="B72" s="259"/>
    </row>
    <row r="73" spans="2:11" ht="63.75" x14ac:dyDescent="0.2">
      <c r="B73" s="261" t="s">
        <v>1016</v>
      </c>
      <c r="C73" s="262" t="s">
        <v>1026</v>
      </c>
      <c r="D73" s="262" t="s">
        <v>1027</v>
      </c>
      <c r="E73" s="262" t="s">
        <v>1028</v>
      </c>
      <c r="F73" s="262" t="s">
        <v>1029</v>
      </c>
      <c r="G73" s="262" t="s">
        <v>1030</v>
      </c>
    </row>
    <row r="74" spans="2:11" ht="15" customHeight="1" x14ac:dyDescent="0.2">
      <c r="B74" s="285" t="s">
        <v>842</v>
      </c>
      <c r="C74" s="286">
        <v>500</v>
      </c>
      <c r="D74" s="286">
        <v>500</v>
      </c>
      <c r="E74" s="275">
        <v>3653.5999000000002</v>
      </c>
      <c r="F74" s="275">
        <v>3563.7611000000002</v>
      </c>
      <c r="G74" s="287">
        <v>-89.838799999999992</v>
      </c>
      <c r="H74" s="288"/>
      <c r="I74" s="289"/>
      <c r="J74" s="290"/>
    </row>
    <row r="75" spans="2:11" ht="15" customHeight="1" x14ac:dyDescent="0.2">
      <c r="B75" s="291" t="s">
        <v>489</v>
      </c>
      <c r="C75" s="292">
        <v>150</v>
      </c>
      <c r="D75" s="292">
        <v>150</v>
      </c>
      <c r="E75" s="293">
        <v>1264.2937999999999</v>
      </c>
      <c r="F75" s="293">
        <v>1229.8857</v>
      </c>
      <c r="G75" s="287">
        <v>-34.408099999999877</v>
      </c>
      <c r="H75" s="288"/>
      <c r="I75" s="289"/>
      <c r="J75" s="290"/>
    </row>
    <row r="76" spans="2:11" ht="15" customHeight="1" x14ac:dyDescent="0.2">
      <c r="B76" s="263" t="s">
        <v>697</v>
      </c>
      <c r="C76" s="286">
        <v>1030</v>
      </c>
      <c r="D76" s="286">
        <v>1030</v>
      </c>
      <c r="E76" s="275">
        <v>8697.4632999999994</v>
      </c>
      <c r="F76" s="275">
        <v>8376.4598000000005</v>
      </c>
      <c r="G76" s="287">
        <v>-321.00349999999889</v>
      </c>
      <c r="H76" s="288"/>
      <c r="I76" s="289"/>
      <c r="J76" s="290"/>
    </row>
    <row r="77" spans="2:11" ht="15" customHeight="1" x14ac:dyDescent="0.2">
      <c r="B77" s="263" t="s">
        <v>747</v>
      </c>
      <c r="C77" s="292">
        <v>5980</v>
      </c>
      <c r="D77" s="292">
        <v>5980</v>
      </c>
      <c r="E77" s="293">
        <v>51820.566099999996</v>
      </c>
      <c r="F77" s="293">
        <v>49516.515499999994</v>
      </c>
      <c r="G77" s="287">
        <v>-2304.0506000000023</v>
      </c>
      <c r="H77" s="288"/>
      <c r="I77" s="293"/>
      <c r="J77" s="293"/>
      <c r="K77" s="290"/>
    </row>
    <row r="78" spans="2:11" ht="15" customHeight="1" x14ac:dyDescent="0.2">
      <c r="B78" s="285" t="s">
        <v>703</v>
      </c>
      <c r="C78" s="286">
        <v>125</v>
      </c>
      <c r="D78" s="286">
        <v>125</v>
      </c>
      <c r="E78" s="275">
        <v>1028.5071</v>
      </c>
      <c r="F78" s="275">
        <v>1031.2494999999999</v>
      </c>
      <c r="G78" s="287">
        <v>2.7423999999998614</v>
      </c>
      <c r="H78" s="288"/>
      <c r="I78" s="289"/>
      <c r="J78" s="290"/>
    </row>
    <row r="79" spans="2:11" ht="15" customHeight="1" x14ac:dyDescent="0.2">
      <c r="B79" s="263" t="s">
        <v>713</v>
      </c>
      <c r="C79" s="292">
        <v>855</v>
      </c>
      <c r="D79" s="292">
        <v>855</v>
      </c>
      <c r="E79" s="293">
        <v>7145.6722</v>
      </c>
      <c r="F79" s="293">
        <v>6983.1900999999998</v>
      </c>
      <c r="G79" s="287">
        <v>-162.48210000000017</v>
      </c>
      <c r="H79" s="288"/>
      <c r="I79" s="294"/>
      <c r="J79" s="294"/>
    </row>
    <row r="80" spans="2:11" ht="15" hidden="1" customHeight="1" x14ac:dyDescent="0.2">
      <c r="B80" s="291" t="s">
        <v>568</v>
      </c>
      <c r="C80" s="292"/>
      <c r="D80" s="292"/>
      <c r="E80" s="293"/>
      <c r="F80" s="293"/>
      <c r="G80" s="287">
        <v>0</v>
      </c>
      <c r="H80" s="288"/>
      <c r="I80" s="289"/>
      <c r="J80" s="290"/>
    </row>
    <row r="81" spans="2:10" ht="15" hidden="1" customHeight="1" x14ac:dyDescent="0.2">
      <c r="B81" s="285" t="s">
        <v>785</v>
      </c>
      <c r="C81" s="292"/>
      <c r="D81" s="292"/>
      <c r="E81" s="293"/>
      <c r="F81" s="293"/>
      <c r="G81" s="287">
        <v>0</v>
      </c>
      <c r="H81" s="288"/>
      <c r="I81" s="289"/>
      <c r="J81" s="290"/>
    </row>
    <row r="82" spans="2:10" ht="15" hidden="1" customHeight="1" x14ac:dyDescent="0.2">
      <c r="B82" s="285" t="s">
        <v>294</v>
      </c>
      <c r="C82" s="286"/>
      <c r="D82" s="286"/>
      <c r="E82" s="275"/>
      <c r="F82" s="275"/>
      <c r="G82" s="287">
        <v>0</v>
      </c>
      <c r="H82" s="288"/>
      <c r="I82" s="289"/>
      <c r="J82" s="290"/>
    </row>
    <row r="83" spans="2:10" ht="15" hidden="1" customHeight="1" x14ac:dyDescent="0.2">
      <c r="B83" s="285" t="s">
        <v>706</v>
      </c>
      <c r="C83" s="286"/>
      <c r="D83" s="286"/>
      <c r="E83" s="275"/>
      <c r="F83" s="275"/>
      <c r="G83" s="287">
        <v>0</v>
      </c>
      <c r="H83" s="288"/>
      <c r="I83" s="289"/>
      <c r="J83" s="290"/>
    </row>
    <row r="84" spans="2:10" ht="15" hidden="1" customHeight="1" x14ac:dyDescent="0.2">
      <c r="B84" s="285" t="s">
        <v>525</v>
      </c>
      <c r="C84" s="286"/>
      <c r="D84" s="286"/>
      <c r="E84" s="275"/>
      <c r="F84" s="275"/>
      <c r="G84" s="287">
        <v>0</v>
      </c>
      <c r="H84" s="288"/>
      <c r="I84" s="289"/>
      <c r="J84" s="290"/>
    </row>
    <row r="85" spans="2:10" ht="15" hidden="1" customHeight="1" x14ac:dyDescent="0.2">
      <c r="B85" s="263" t="s">
        <v>1031</v>
      </c>
      <c r="C85" s="292"/>
      <c r="D85" s="292"/>
      <c r="E85" s="293"/>
      <c r="F85" s="293"/>
      <c r="G85" s="287">
        <v>0</v>
      </c>
      <c r="H85" s="288"/>
      <c r="I85" s="289"/>
      <c r="J85" s="290"/>
    </row>
    <row r="86" spans="2:10" ht="15" hidden="1" customHeight="1" x14ac:dyDescent="0.2">
      <c r="B86" s="263" t="s">
        <v>1032</v>
      </c>
      <c r="C86" s="292"/>
      <c r="D86" s="292"/>
      <c r="E86" s="293"/>
      <c r="F86" s="293"/>
      <c r="G86" s="287">
        <v>0</v>
      </c>
      <c r="H86" s="288"/>
      <c r="I86" s="289"/>
      <c r="J86" s="290"/>
    </row>
    <row r="87" spans="2:10" ht="15" hidden="1" customHeight="1" x14ac:dyDescent="0.2">
      <c r="B87" s="263" t="s">
        <v>1033</v>
      </c>
      <c r="C87" s="292"/>
      <c r="D87" s="292"/>
      <c r="E87" s="293"/>
      <c r="F87" s="293"/>
      <c r="G87" s="287">
        <v>0</v>
      </c>
      <c r="H87" s="288"/>
      <c r="I87" s="289"/>
      <c r="J87" s="290"/>
    </row>
    <row r="88" spans="2:10" ht="15" hidden="1" customHeight="1" x14ac:dyDescent="0.2">
      <c r="B88" s="263" t="s">
        <v>1034</v>
      </c>
      <c r="C88" s="292"/>
      <c r="D88" s="292"/>
      <c r="E88" s="293"/>
      <c r="F88" s="293"/>
      <c r="G88" s="287">
        <v>0</v>
      </c>
      <c r="H88" s="288"/>
      <c r="I88" s="289"/>
      <c r="J88" s="290"/>
    </row>
    <row r="89" spans="2:10" ht="15" hidden="1" customHeight="1" x14ac:dyDescent="0.2">
      <c r="B89" s="263" t="s">
        <v>446</v>
      </c>
      <c r="C89" s="292"/>
      <c r="D89" s="292"/>
      <c r="E89" s="293"/>
      <c r="F89" s="293"/>
      <c r="G89" s="287">
        <v>0</v>
      </c>
      <c r="H89" s="288"/>
      <c r="I89" s="289"/>
      <c r="J89" s="290"/>
    </row>
    <row r="90" spans="2:10" ht="15" hidden="1" customHeight="1" x14ac:dyDescent="0.2">
      <c r="B90" s="263" t="s">
        <v>465</v>
      </c>
      <c r="C90" s="292"/>
      <c r="D90" s="292"/>
      <c r="E90" s="293"/>
      <c r="F90" s="293"/>
      <c r="G90" s="287">
        <v>0</v>
      </c>
      <c r="H90" s="288"/>
      <c r="I90" s="289"/>
      <c r="J90" s="290"/>
    </row>
    <row r="91" spans="2:10" ht="15" hidden="1" customHeight="1" x14ac:dyDescent="0.2">
      <c r="B91" s="263" t="s">
        <v>466</v>
      </c>
      <c r="C91" s="292"/>
      <c r="D91" s="292"/>
      <c r="E91" s="293"/>
      <c r="F91" s="293"/>
      <c r="G91" s="287">
        <v>0</v>
      </c>
      <c r="H91" s="288"/>
      <c r="I91" s="289"/>
      <c r="J91" s="290"/>
    </row>
    <row r="92" spans="2:10" ht="15" hidden="1" customHeight="1" x14ac:dyDescent="0.2">
      <c r="B92" s="263" t="s">
        <v>469</v>
      </c>
      <c r="C92" s="292"/>
      <c r="D92" s="292"/>
      <c r="E92" s="293"/>
      <c r="F92" s="293"/>
      <c r="G92" s="287">
        <v>0</v>
      </c>
      <c r="H92" s="288"/>
      <c r="I92" s="289"/>
      <c r="J92" s="290"/>
    </row>
    <row r="93" spans="2:10" ht="15" hidden="1" customHeight="1" x14ac:dyDescent="0.2">
      <c r="B93" s="263" t="s">
        <v>472</v>
      </c>
      <c r="C93" s="292"/>
      <c r="D93" s="292"/>
      <c r="E93" s="293"/>
      <c r="F93" s="293"/>
      <c r="G93" s="287">
        <v>0</v>
      </c>
      <c r="H93" s="288"/>
      <c r="I93" s="289"/>
      <c r="J93" s="290"/>
    </row>
    <row r="94" spans="2:10" ht="15" hidden="1" customHeight="1" x14ac:dyDescent="0.2">
      <c r="B94" s="263" t="s">
        <v>470</v>
      </c>
      <c r="C94" s="292"/>
      <c r="D94" s="292"/>
      <c r="E94" s="293"/>
      <c r="F94" s="293"/>
      <c r="G94" s="287">
        <v>0</v>
      </c>
      <c r="H94" s="288"/>
      <c r="I94" s="289"/>
      <c r="J94" s="290"/>
    </row>
    <row r="95" spans="2:10" ht="15" hidden="1" customHeight="1" x14ac:dyDescent="0.2">
      <c r="B95" s="263" t="s">
        <v>471</v>
      </c>
      <c r="C95" s="292"/>
      <c r="D95" s="292"/>
      <c r="E95" s="293"/>
      <c r="F95" s="293"/>
      <c r="G95" s="287">
        <v>0</v>
      </c>
      <c r="H95" s="288"/>
      <c r="I95" s="289"/>
      <c r="J95" s="290"/>
    </row>
    <row r="96" spans="2:10" ht="15" hidden="1" customHeight="1" x14ac:dyDescent="0.2">
      <c r="B96" s="263" t="s">
        <v>289</v>
      </c>
      <c r="C96" s="292"/>
      <c r="D96" s="292"/>
      <c r="E96" s="293"/>
      <c r="F96" s="293"/>
      <c r="G96" s="287">
        <v>0</v>
      </c>
      <c r="H96" s="288"/>
      <c r="I96" s="289"/>
      <c r="J96" s="290"/>
    </row>
    <row r="97" spans="2:12" ht="15" hidden="1" customHeight="1" x14ac:dyDescent="0.2">
      <c r="B97" s="263" t="s">
        <v>288</v>
      </c>
      <c r="C97" s="292"/>
      <c r="D97" s="292"/>
      <c r="E97" s="293"/>
      <c r="F97" s="293"/>
      <c r="G97" s="287">
        <v>0</v>
      </c>
      <c r="H97" s="288"/>
      <c r="I97" s="289"/>
      <c r="J97" s="290"/>
    </row>
    <row r="98" spans="2:12" ht="15" hidden="1" customHeight="1" x14ac:dyDescent="0.2">
      <c r="B98" s="263" t="s">
        <v>150</v>
      </c>
      <c r="C98" s="292"/>
      <c r="D98" s="292"/>
      <c r="E98" s="293"/>
      <c r="F98" s="293"/>
      <c r="G98" s="287">
        <v>0</v>
      </c>
      <c r="H98" s="288"/>
      <c r="I98" s="289"/>
      <c r="J98" s="290"/>
    </row>
    <row r="99" spans="2:12" ht="15" hidden="1" customHeight="1" x14ac:dyDescent="0.2">
      <c r="B99" s="263" t="s">
        <v>285</v>
      </c>
      <c r="C99" s="292"/>
      <c r="D99" s="292"/>
      <c r="E99" s="293"/>
      <c r="F99" s="293"/>
      <c r="G99" s="287">
        <v>0</v>
      </c>
      <c r="H99" s="288"/>
      <c r="I99" s="289"/>
      <c r="J99" s="290"/>
    </row>
    <row r="100" spans="2:12" ht="15" hidden="1" customHeight="1" x14ac:dyDescent="0.2">
      <c r="B100" s="263" t="s">
        <v>1035</v>
      </c>
      <c r="C100" s="292"/>
      <c r="D100" s="292"/>
      <c r="E100" s="293"/>
      <c r="F100" s="293"/>
      <c r="G100" s="287">
        <v>0</v>
      </c>
      <c r="H100" s="288"/>
      <c r="I100" s="289"/>
      <c r="J100" s="290"/>
    </row>
    <row r="101" spans="2:12" ht="15" customHeight="1" x14ac:dyDescent="0.2">
      <c r="H101" s="288"/>
      <c r="I101" s="289"/>
      <c r="J101" s="290"/>
    </row>
    <row r="102" spans="2:12" ht="15" customHeight="1" x14ac:dyDescent="0.2">
      <c r="E102" s="290"/>
      <c r="F102" s="290"/>
      <c r="H102" s="288"/>
      <c r="I102" s="289"/>
      <c r="J102" s="290"/>
    </row>
    <row r="103" spans="2:12" x14ac:dyDescent="0.2">
      <c r="B103" s="259" t="s">
        <v>1036</v>
      </c>
      <c r="F103" s="290"/>
      <c r="G103" s="289"/>
      <c r="H103" s="288"/>
      <c r="I103" s="289"/>
      <c r="L103" s="288"/>
    </row>
    <row r="104" spans="2:12" x14ac:dyDescent="0.2">
      <c r="H104" s="295"/>
      <c r="L104" s="289"/>
    </row>
    <row r="105" spans="2:12" ht="25.5" x14ac:dyDescent="0.2">
      <c r="B105" s="261" t="s">
        <v>1016</v>
      </c>
      <c r="C105" s="261" t="s">
        <v>1017</v>
      </c>
      <c r="D105" s="261" t="s">
        <v>1018</v>
      </c>
      <c r="E105" s="262" t="s">
        <v>1019</v>
      </c>
      <c r="F105" s="262" t="s">
        <v>1020</v>
      </c>
      <c r="G105" s="262" t="s">
        <v>1037</v>
      </c>
    </row>
    <row r="106" spans="2:12" x14ac:dyDescent="0.2">
      <c r="B106" s="265" t="s">
        <v>782</v>
      </c>
      <c r="C106" s="265" t="s">
        <v>782</v>
      </c>
      <c r="D106" s="265" t="s">
        <v>1038</v>
      </c>
      <c r="E106" s="265" t="s">
        <v>782</v>
      </c>
      <c r="F106" s="265" t="s">
        <v>782</v>
      </c>
      <c r="G106" s="265" t="s">
        <v>782</v>
      </c>
    </row>
    <row r="107" spans="2:12" x14ac:dyDescent="0.2">
      <c r="D107" s="296"/>
      <c r="E107" s="297"/>
      <c r="F107" s="297"/>
      <c r="G107" s="297"/>
      <c r="I107" s="289"/>
    </row>
    <row r="108" spans="2:12" x14ac:dyDescent="0.2">
      <c r="C108" s="298"/>
      <c r="D108" s="299"/>
      <c r="E108" s="300"/>
      <c r="F108" s="301"/>
      <c r="G108" s="301"/>
      <c r="I108" s="289"/>
    </row>
    <row r="109" spans="2:12" x14ac:dyDescent="0.2">
      <c r="B109" s="259" t="s">
        <v>1039</v>
      </c>
      <c r="I109" s="289"/>
    </row>
    <row r="110" spans="2:12" x14ac:dyDescent="0.2">
      <c r="I110" s="289"/>
      <c r="L110" s="290"/>
    </row>
    <row r="111" spans="2:12" x14ac:dyDescent="0.2">
      <c r="B111" s="282" t="s">
        <v>1016</v>
      </c>
      <c r="C111" s="282" t="s">
        <v>1024</v>
      </c>
    </row>
    <row r="112" spans="2:12" x14ac:dyDescent="0.2">
      <c r="B112" s="265" t="s">
        <v>782</v>
      </c>
      <c r="C112" s="265" t="s">
        <v>782</v>
      </c>
    </row>
    <row r="113" spans="2:9" x14ac:dyDescent="0.2">
      <c r="B113" s="302"/>
      <c r="C113" s="303"/>
    </row>
    <row r="114" spans="2:9" x14ac:dyDescent="0.2">
      <c r="B114" s="302"/>
      <c r="C114" s="303"/>
    </row>
    <row r="115" spans="2:9" x14ac:dyDescent="0.2">
      <c r="B115" s="259" t="s">
        <v>1040</v>
      </c>
    </row>
    <row r="116" spans="2:9" x14ac:dyDescent="0.2">
      <c r="B116" s="259"/>
    </row>
    <row r="117" spans="2:9" ht="63.75" x14ac:dyDescent="0.2">
      <c r="B117" s="261" t="s">
        <v>1016</v>
      </c>
      <c r="C117" s="262" t="s">
        <v>1026</v>
      </c>
      <c r="D117" s="262" t="s">
        <v>1027</v>
      </c>
      <c r="E117" s="262" t="s">
        <v>1028</v>
      </c>
      <c r="F117" s="262" t="s">
        <v>1041</v>
      </c>
      <c r="G117" s="262" t="s">
        <v>1042</v>
      </c>
    </row>
    <row r="118" spans="2:9" ht="15" customHeight="1" x14ac:dyDescent="0.2">
      <c r="B118" s="263" t="s">
        <v>1</v>
      </c>
      <c r="C118" s="292">
        <v>186</v>
      </c>
      <c r="D118" s="292">
        <v>186</v>
      </c>
      <c r="E118" s="293">
        <v>1514.4937</v>
      </c>
      <c r="F118" s="293">
        <v>1546.2087999999999</v>
      </c>
      <c r="G118" s="304">
        <v>31.715099999999893</v>
      </c>
      <c r="H118" s="288"/>
      <c r="I118" s="289"/>
    </row>
    <row r="119" spans="2:9" hidden="1" x14ac:dyDescent="0.2">
      <c r="B119" s="285" t="s">
        <v>842</v>
      </c>
      <c r="C119" s="284"/>
      <c r="D119" s="284"/>
      <c r="E119" s="305"/>
      <c r="F119" s="305"/>
      <c r="G119" s="304">
        <v>0</v>
      </c>
    </row>
    <row r="120" spans="2:9" hidden="1" x14ac:dyDescent="0.2">
      <c r="B120" s="285" t="s">
        <v>489</v>
      </c>
      <c r="C120" s="284"/>
      <c r="D120" s="284"/>
      <c r="E120" s="305"/>
      <c r="F120" s="305"/>
      <c r="G120" s="304">
        <v>0</v>
      </c>
    </row>
    <row r="121" spans="2:9" ht="15" hidden="1" customHeight="1" x14ac:dyDescent="0.2">
      <c r="B121" s="263" t="s">
        <v>697</v>
      </c>
      <c r="C121" s="306"/>
      <c r="D121" s="306"/>
      <c r="E121" s="305"/>
      <c r="F121" s="305"/>
      <c r="G121" s="304">
        <v>0</v>
      </c>
      <c r="H121" s="307"/>
      <c r="I121" s="308"/>
    </row>
    <row r="122" spans="2:9" x14ac:dyDescent="0.2">
      <c r="B122" s="263" t="s">
        <v>747</v>
      </c>
      <c r="C122" s="306">
        <v>50</v>
      </c>
      <c r="D122" s="306">
        <v>50</v>
      </c>
      <c r="E122" s="305">
        <v>458.80309999999997</v>
      </c>
      <c r="F122" s="305">
        <v>435.53</v>
      </c>
      <c r="G122" s="304">
        <v>-23.273099999999999</v>
      </c>
      <c r="H122" s="307"/>
      <c r="I122" s="289"/>
    </row>
    <row r="123" spans="2:9" x14ac:dyDescent="0.2">
      <c r="B123" s="285" t="s">
        <v>842</v>
      </c>
      <c r="C123" s="306">
        <v>510</v>
      </c>
      <c r="D123" s="306">
        <v>510</v>
      </c>
      <c r="E123" s="305">
        <v>3760.6437332</v>
      </c>
      <c r="F123" s="305">
        <v>3739.1744343999999</v>
      </c>
      <c r="G123" s="304">
        <v>-21.469298800000161</v>
      </c>
      <c r="H123" s="307"/>
      <c r="I123" s="289"/>
    </row>
    <row r="124" spans="2:9" x14ac:dyDescent="0.2">
      <c r="B124" s="291" t="s">
        <v>489</v>
      </c>
      <c r="C124" s="284">
        <v>250</v>
      </c>
      <c r="D124" s="284">
        <v>250</v>
      </c>
      <c r="E124" s="305">
        <v>1517.3780769</v>
      </c>
      <c r="F124" s="305">
        <v>1594.5</v>
      </c>
      <c r="G124" s="304">
        <v>77.121923100000004</v>
      </c>
    </row>
    <row r="125" spans="2:9" s="259" customFormat="1" x14ac:dyDescent="0.2">
      <c r="B125" s="291" t="s">
        <v>568</v>
      </c>
      <c r="C125" s="292">
        <v>50</v>
      </c>
      <c r="D125" s="292">
        <v>50</v>
      </c>
      <c r="E125" s="293">
        <v>495.94999039999999</v>
      </c>
      <c r="F125" s="293">
        <v>530.76250000000005</v>
      </c>
      <c r="G125" s="304">
        <v>34.812509600000055</v>
      </c>
      <c r="H125" s="307"/>
      <c r="I125" s="309"/>
    </row>
    <row r="126" spans="2:9" x14ac:dyDescent="0.2">
      <c r="B126" s="285" t="s">
        <v>785</v>
      </c>
      <c r="C126" s="284">
        <v>1450</v>
      </c>
      <c r="D126" s="284">
        <v>1450</v>
      </c>
      <c r="E126" s="305">
        <v>10487.8912442</v>
      </c>
      <c r="F126" s="305">
        <v>10953.192695900001</v>
      </c>
      <c r="G126" s="304">
        <v>465.30145170000105</v>
      </c>
      <c r="H126" s="310"/>
    </row>
    <row r="127" spans="2:9" x14ac:dyDescent="0.2">
      <c r="B127" s="291" t="s">
        <v>703</v>
      </c>
      <c r="C127" s="306">
        <v>200</v>
      </c>
      <c r="D127" s="306">
        <v>200</v>
      </c>
      <c r="E127" s="305">
        <v>1212.3756036</v>
      </c>
      <c r="F127" s="305">
        <v>1275.5999999999999</v>
      </c>
      <c r="G127" s="304">
        <v>63.224396399999932</v>
      </c>
      <c r="H127" s="307"/>
      <c r="I127" s="310"/>
    </row>
    <row r="128" spans="2:9" hidden="1" x14ac:dyDescent="0.2">
      <c r="B128" s="311" t="s">
        <v>583</v>
      </c>
      <c r="C128" s="306"/>
      <c r="D128" s="306"/>
      <c r="E128" s="305"/>
      <c r="F128" s="305"/>
      <c r="G128" s="304">
        <v>0</v>
      </c>
      <c r="H128" s="307"/>
    </row>
    <row r="129" spans="2:9" hidden="1" x14ac:dyDescent="0.2">
      <c r="B129" s="285" t="s">
        <v>785</v>
      </c>
      <c r="C129" s="306"/>
      <c r="D129" s="306"/>
      <c r="E129" s="305"/>
      <c r="F129" s="305"/>
      <c r="G129" s="304">
        <v>0</v>
      </c>
      <c r="H129" s="307"/>
      <c r="I129" s="289"/>
    </row>
    <row r="130" spans="2:9" s="259" customFormat="1" hidden="1" x14ac:dyDescent="0.2">
      <c r="B130" s="263" t="s">
        <v>706</v>
      </c>
      <c r="C130" s="292"/>
      <c r="D130" s="292"/>
      <c r="E130" s="293"/>
      <c r="F130" s="293"/>
      <c r="G130" s="304">
        <v>0</v>
      </c>
      <c r="H130" s="307"/>
      <c r="I130" s="309"/>
    </row>
    <row r="131" spans="2:9" s="259" customFormat="1" hidden="1" x14ac:dyDescent="0.2">
      <c r="B131" s="263" t="s">
        <v>725</v>
      </c>
      <c r="C131" s="292"/>
      <c r="D131" s="292"/>
      <c r="E131" s="293"/>
      <c r="F131" s="293"/>
      <c r="G131" s="304">
        <v>0</v>
      </c>
      <c r="H131" s="307"/>
      <c r="I131" s="309"/>
    </row>
    <row r="132" spans="2:9" hidden="1" x14ac:dyDescent="0.2">
      <c r="B132" s="263" t="s">
        <v>471</v>
      </c>
      <c r="C132" s="292"/>
      <c r="D132" s="292"/>
      <c r="E132" s="293"/>
      <c r="F132" s="293"/>
      <c r="G132" s="304">
        <v>0</v>
      </c>
      <c r="H132" s="288"/>
      <c r="I132" s="289"/>
    </row>
    <row r="133" spans="2:9" hidden="1" x14ac:dyDescent="0.2">
      <c r="B133" s="263" t="s">
        <v>470</v>
      </c>
      <c r="C133" s="292"/>
      <c r="D133" s="292"/>
      <c r="E133" s="293"/>
      <c r="F133" s="293"/>
      <c r="G133" s="304">
        <v>0</v>
      </c>
      <c r="H133" s="288"/>
      <c r="I133" s="289"/>
    </row>
    <row r="134" spans="2:9" hidden="1" x14ac:dyDescent="0.2">
      <c r="B134" s="263" t="s">
        <v>469</v>
      </c>
      <c r="C134" s="292"/>
      <c r="D134" s="292"/>
      <c r="E134" s="293"/>
      <c r="F134" s="293"/>
      <c r="G134" s="304">
        <v>0</v>
      </c>
      <c r="H134" s="288"/>
      <c r="I134" s="289"/>
    </row>
    <row r="135" spans="2:9" hidden="1" x14ac:dyDescent="0.2">
      <c r="B135" s="263" t="s">
        <v>466</v>
      </c>
      <c r="C135" s="292"/>
      <c r="D135" s="292"/>
      <c r="E135" s="293"/>
      <c r="F135" s="293"/>
      <c r="G135" s="304">
        <v>0</v>
      </c>
      <c r="H135" s="288"/>
      <c r="I135" s="289"/>
    </row>
    <row r="136" spans="2:9" hidden="1" x14ac:dyDescent="0.2">
      <c r="B136" s="263" t="s">
        <v>465</v>
      </c>
      <c r="C136" s="292"/>
      <c r="D136" s="292"/>
      <c r="E136" s="293"/>
      <c r="F136" s="293"/>
      <c r="G136" s="304">
        <v>0</v>
      </c>
      <c r="H136" s="288"/>
      <c r="I136" s="289"/>
    </row>
    <row r="137" spans="2:9" hidden="1" x14ac:dyDescent="0.2">
      <c r="B137" s="263" t="s">
        <v>446</v>
      </c>
      <c r="C137" s="292"/>
      <c r="D137" s="292"/>
      <c r="E137" s="293"/>
      <c r="F137" s="293"/>
      <c r="G137" s="304">
        <v>0</v>
      </c>
      <c r="H137" s="288"/>
      <c r="I137" s="289"/>
    </row>
    <row r="138" spans="2:9" hidden="1" x14ac:dyDescent="0.2">
      <c r="B138" s="263" t="s">
        <v>398</v>
      </c>
      <c r="C138" s="292"/>
      <c r="D138" s="292"/>
      <c r="E138" s="293"/>
      <c r="F138" s="293"/>
      <c r="G138" s="304">
        <v>0</v>
      </c>
      <c r="H138" s="288"/>
      <c r="I138" s="289"/>
    </row>
    <row r="139" spans="2:9" hidden="1" x14ac:dyDescent="0.2">
      <c r="B139" s="263" t="s">
        <v>840</v>
      </c>
      <c r="C139" s="292"/>
      <c r="D139" s="292"/>
      <c r="E139" s="293"/>
      <c r="F139" s="293"/>
      <c r="G139" s="304">
        <v>0</v>
      </c>
      <c r="H139" s="288"/>
      <c r="I139" s="289"/>
    </row>
    <row r="140" spans="2:9" hidden="1" x14ac:dyDescent="0.2">
      <c r="B140" s="263" t="s">
        <v>1032</v>
      </c>
      <c r="C140" s="292"/>
      <c r="D140" s="292"/>
      <c r="E140" s="293"/>
      <c r="F140" s="293"/>
      <c r="G140" s="304">
        <v>0</v>
      </c>
      <c r="H140" s="288"/>
      <c r="I140" s="289"/>
    </row>
    <row r="141" spans="2:9" hidden="1" x14ac:dyDescent="0.2">
      <c r="B141" s="263" t="s">
        <v>1031</v>
      </c>
      <c r="C141" s="292"/>
      <c r="D141" s="292"/>
      <c r="E141" s="293"/>
      <c r="F141" s="293"/>
      <c r="G141" s="304">
        <v>0</v>
      </c>
      <c r="H141" s="288"/>
      <c r="I141" s="289"/>
    </row>
    <row r="142" spans="2:9" hidden="1" x14ac:dyDescent="0.2">
      <c r="B142" s="263" t="s">
        <v>289</v>
      </c>
      <c r="C142" s="292"/>
      <c r="D142" s="292"/>
      <c r="E142" s="293"/>
      <c r="F142" s="293"/>
      <c r="G142" s="304">
        <v>0</v>
      </c>
      <c r="H142" s="288"/>
      <c r="I142" s="289"/>
    </row>
    <row r="143" spans="2:9" hidden="1" x14ac:dyDescent="0.2">
      <c r="B143" s="263" t="s">
        <v>288</v>
      </c>
      <c r="C143" s="292"/>
      <c r="D143" s="292"/>
      <c r="E143" s="293"/>
      <c r="F143" s="293"/>
      <c r="G143" s="304">
        <v>0</v>
      </c>
      <c r="H143" s="288"/>
      <c r="I143" s="289"/>
    </row>
    <row r="144" spans="2:9" hidden="1" x14ac:dyDescent="0.2">
      <c r="B144" s="263" t="s">
        <v>1033</v>
      </c>
      <c r="C144" s="292"/>
      <c r="D144" s="292"/>
      <c r="E144" s="293"/>
      <c r="F144" s="293"/>
      <c r="G144" s="304">
        <v>0</v>
      </c>
      <c r="H144" s="288"/>
      <c r="I144" s="289"/>
    </row>
    <row r="145" spans="2:9" hidden="1" x14ac:dyDescent="0.2">
      <c r="B145" s="263" t="s">
        <v>1034</v>
      </c>
      <c r="C145" s="292"/>
      <c r="D145" s="292"/>
      <c r="E145" s="293"/>
      <c r="F145" s="293"/>
      <c r="G145" s="304">
        <v>0</v>
      </c>
      <c r="H145" s="288"/>
      <c r="I145" s="289"/>
    </row>
    <row r="146" spans="2:9" hidden="1" x14ac:dyDescent="0.2">
      <c r="B146" s="263" t="s">
        <v>1035</v>
      </c>
      <c r="C146" s="292"/>
      <c r="D146" s="292"/>
      <c r="E146" s="293"/>
      <c r="F146" s="293"/>
      <c r="G146" s="304">
        <v>0</v>
      </c>
      <c r="H146" s="288"/>
      <c r="I146" s="289"/>
    </row>
    <row r="147" spans="2:9" hidden="1" x14ac:dyDescent="0.2">
      <c r="B147" s="263" t="s">
        <v>525</v>
      </c>
      <c r="C147" s="292"/>
      <c r="D147" s="292"/>
      <c r="E147" s="293"/>
      <c r="F147" s="293"/>
      <c r="G147" s="304">
        <v>0</v>
      </c>
      <c r="H147" s="288"/>
      <c r="I147" s="289"/>
    </row>
    <row r="148" spans="2:9" ht="15" customHeight="1" x14ac:dyDescent="0.2">
      <c r="H148" s="288"/>
      <c r="I148" s="289"/>
    </row>
    <row r="149" spans="2:9" x14ac:dyDescent="0.2">
      <c r="B149" s="312"/>
      <c r="C149" s="313"/>
      <c r="D149" s="313"/>
      <c r="E149" s="314"/>
      <c r="F149" s="314"/>
      <c r="G149" s="314"/>
      <c r="H149" s="289"/>
    </row>
    <row r="150" spans="2:9" x14ac:dyDescent="0.2">
      <c r="B150" s="259" t="s">
        <v>1043</v>
      </c>
      <c r="D150" s="315"/>
    </row>
    <row r="152" spans="2:9" ht="25.5" x14ac:dyDescent="0.2">
      <c r="B152" s="262" t="s">
        <v>1016</v>
      </c>
      <c r="C152" s="262" t="s">
        <v>1017</v>
      </c>
      <c r="D152" s="262" t="s">
        <v>1044</v>
      </c>
      <c r="E152" s="262" t="s">
        <v>1045</v>
      </c>
      <c r="F152" s="262" t="s">
        <v>1046</v>
      </c>
      <c r="G152" s="262" t="s">
        <v>1047</v>
      </c>
    </row>
    <row r="153" spans="2:9" x14ac:dyDescent="0.2">
      <c r="B153" s="316" t="s">
        <v>782</v>
      </c>
      <c r="C153" s="316" t="s">
        <v>782</v>
      </c>
      <c r="D153" s="316" t="s">
        <v>782</v>
      </c>
      <c r="E153" s="316" t="s">
        <v>782</v>
      </c>
      <c r="F153" s="316" t="s">
        <v>782</v>
      </c>
      <c r="G153" s="316" t="s">
        <v>782</v>
      </c>
    </row>
    <row r="154" spans="2:9" x14ac:dyDescent="0.2">
      <c r="D154" s="315"/>
      <c r="E154" s="315"/>
      <c r="F154" s="317"/>
      <c r="G154" s="317"/>
    </row>
    <row r="155" spans="2:9" x14ac:dyDescent="0.2">
      <c r="D155" s="315"/>
      <c r="E155" s="315"/>
      <c r="F155" s="317"/>
      <c r="G155" s="317"/>
    </row>
    <row r="156" spans="2:9" x14ac:dyDescent="0.2">
      <c r="B156" s="259" t="s">
        <v>1048</v>
      </c>
      <c r="G156" s="258" t="s">
        <v>915</v>
      </c>
    </row>
    <row r="157" spans="2:9" x14ac:dyDescent="0.2">
      <c r="B157" s="259"/>
    </row>
    <row r="158" spans="2:9" x14ac:dyDescent="0.2">
      <c r="B158" s="282" t="s">
        <v>1016</v>
      </c>
      <c r="C158" s="282" t="s">
        <v>1024</v>
      </c>
    </row>
    <row r="159" spans="2:9" x14ac:dyDescent="0.2">
      <c r="B159" s="316" t="s">
        <v>782</v>
      </c>
      <c r="C159" s="316" t="s">
        <v>782</v>
      </c>
    </row>
    <row r="160" spans="2:9" x14ac:dyDescent="0.2">
      <c r="C160" s="318"/>
      <c r="D160" s="303"/>
    </row>
    <row r="161" spans="2:7" x14ac:dyDescent="0.2">
      <c r="B161" s="259" t="s">
        <v>1049</v>
      </c>
    </row>
    <row r="163" spans="2:7" ht="38.25" x14ac:dyDescent="0.2">
      <c r="B163" s="261" t="s">
        <v>1016</v>
      </c>
      <c r="C163" s="262" t="s">
        <v>1050</v>
      </c>
      <c r="D163" s="262" t="s">
        <v>1051</v>
      </c>
      <c r="E163" s="262" t="s">
        <v>1052</v>
      </c>
      <c r="F163" s="262" t="s">
        <v>1053</v>
      </c>
    </row>
    <row r="164" spans="2:7" x14ac:dyDescent="0.2">
      <c r="B164" s="311"/>
      <c r="C164" s="316"/>
      <c r="D164" s="319"/>
      <c r="E164" s="304"/>
      <c r="F164" s="304">
        <v>0</v>
      </c>
    </row>
    <row r="165" spans="2:7" x14ac:dyDescent="0.2">
      <c r="B165" s="320"/>
      <c r="C165" s="321"/>
      <c r="D165" s="322"/>
      <c r="E165" s="322"/>
      <c r="F165" s="323"/>
    </row>
    <row r="166" spans="2:7" x14ac:dyDescent="0.2">
      <c r="B166" s="320"/>
      <c r="C166" s="321"/>
      <c r="D166" s="322"/>
      <c r="E166" s="322"/>
      <c r="F166" s="323"/>
    </row>
    <row r="168" spans="2:7" x14ac:dyDescent="0.2">
      <c r="B168" s="259" t="s">
        <v>1054</v>
      </c>
    </row>
    <row r="170" spans="2:7" ht="25.5" x14ac:dyDescent="0.2">
      <c r="B170" s="262" t="s">
        <v>1016</v>
      </c>
      <c r="C170" s="262" t="s">
        <v>1017</v>
      </c>
      <c r="D170" s="262" t="s">
        <v>1044</v>
      </c>
      <c r="E170" s="262" t="s">
        <v>1045</v>
      </c>
      <c r="F170" s="262" t="s">
        <v>1046</v>
      </c>
      <c r="G170" s="262" t="s">
        <v>1047</v>
      </c>
    </row>
    <row r="171" spans="2:7" x14ac:dyDescent="0.2">
      <c r="B171" s="263" t="s">
        <v>782</v>
      </c>
      <c r="C171" s="263" t="s">
        <v>782</v>
      </c>
      <c r="D171" s="263" t="s">
        <v>782</v>
      </c>
      <c r="E171" s="263" t="s">
        <v>782</v>
      </c>
      <c r="F171" s="263" t="s">
        <v>782</v>
      </c>
      <c r="G171" s="263" t="s">
        <v>782</v>
      </c>
    </row>
    <row r="172" spans="2:7" x14ac:dyDescent="0.2">
      <c r="C172" s="298"/>
      <c r="D172" s="324"/>
      <c r="E172" s="325"/>
      <c r="F172" s="317"/>
      <c r="G172" s="317"/>
    </row>
    <row r="173" spans="2:7" x14ac:dyDescent="0.2">
      <c r="B173" s="259" t="s">
        <v>1055</v>
      </c>
    </row>
    <row r="174" spans="2:7" x14ac:dyDescent="0.2">
      <c r="B174" s="259"/>
    </row>
    <row r="175" spans="2:7" x14ac:dyDescent="0.2">
      <c r="B175" s="282" t="s">
        <v>1016</v>
      </c>
      <c r="C175" s="282" t="s">
        <v>1024</v>
      </c>
    </row>
    <row r="176" spans="2:7" x14ac:dyDescent="0.2">
      <c r="B176" s="263" t="s">
        <v>782</v>
      </c>
      <c r="C176" s="263" t="s">
        <v>782</v>
      </c>
    </row>
    <row r="177" spans="2:7" x14ac:dyDescent="0.2">
      <c r="B177" s="302"/>
      <c r="C177" s="303"/>
    </row>
    <row r="178" spans="2:7" x14ac:dyDescent="0.2">
      <c r="B178" s="259" t="s">
        <v>1056</v>
      </c>
    </row>
    <row r="180" spans="2:7" ht="38.25" x14ac:dyDescent="0.2">
      <c r="B180" s="261" t="s">
        <v>1016</v>
      </c>
      <c r="C180" s="262" t="s">
        <v>1050</v>
      </c>
      <c r="D180" s="262" t="s">
        <v>1057</v>
      </c>
      <c r="E180" s="262" t="s">
        <v>1058</v>
      </c>
      <c r="F180" s="262" t="s">
        <v>1053</v>
      </c>
    </row>
    <row r="181" spans="2:7" x14ac:dyDescent="0.2">
      <c r="B181" s="263"/>
      <c r="C181" s="316"/>
      <c r="D181" s="319"/>
      <c r="E181" s="316"/>
      <c r="F181" s="316"/>
    </row>
    <row r="182" spans="2:7" x14ac:dyDescent="0.2">
      <c r="G182" s="326"/>
    </row>
    <row r="183" spans="2:7" x14ac:dyDescent="0.2">
      <c r="F183" s="294"/>
      <c r="G183" s="290"/>
    </row>
    <row r="184" spans="2:7" x14ac:dyDescent="0.2">
      <c r="B184" s="259" t="s">
        <v>1059</v>
      </c>
    </row>
    <row r="185" spans="2:7" x14ac:dyDescent="0.2">
      <c r="B185" s="259"/>
    </row>
    <row r="186" spans="2:7" x14ac:dyDescent="0.2">
      <c r="E186" s="290"/>
    </row>
    <row r="187" spans="2:7" x14ac:dyDescent="0.2">
      <c r="B187" s="259" t="s">
        <v>1060</v>
      </c>
      <c r="E187" s="290"/>
    </row>
    <row r="188" spans="2:7" x14ac:dyDescent="0.2">
      <c r="E188" s="290"/>
    </row>
    <row r="189" spans="2:7" ht="25.5" x14ac:dyDescent="0.2">
      <c r="B189" s="261" t="s">
        <v>1016</v>
      </c>
      <c r="C189" s="262" t="s">
        <v>1017</v>
      </c>
      <c r="D189" s="262" t="s">
        <v>1018</v>
      </c>
      <c r="E189" s="262" t="s">
        <v>1061</v>
      </c>
      <c r="F189" s="262" t="s">
        <v>1062</v>
      </c>
      <c r="G189" s="262" t="s">
        <v>1063</v>
      </c>
    </row>
    <row r="190" spans="2:7" x14ac:dyDescent="0.2">
      <c r="B190" s="285" t="s">
        <v>782</v>
      </c>
      <c r="C190" s="291" t="s">
        <v>782</v>
      </c>
      <c r="D190" s="327" t="s">
        <v>782</v>
      </c>
      <c r="E190" s="328" t="s">
        <v>782</v>
      </c>
      <c r="F190" s="328" t="s">
        <v>782</v>
      </c>
      <c r="G190" s="328" t="s">
        <v>782</v>
      </c>
    </row>
    <row r="191" spans="2:7" x14ac:dyDescent="0.2">
      <c r="E191" s="290"/>
    </row>
    <row r="192" spans="2:7" x14ac:dyDescent="0.2">
      <c r="B192" s="259" t="s">
        <v>1064</v>
      </c>
      <c r="E192" s="290"/>
    </row>
    <row r="193" spans="2:10" x14ac:dyDescent="0.2">
      <c r="B193" s="259"/>
      <c r="E193" s="290"/>
    </row>
    <row r="194" spans="2:10" x14ac:dyDescent="0.2">
      <c r="B194" s="282" t="s">
        <v>1016</v>
      </c>
      <c r="C194" s="282" t="s">
        <v>1024</v>
      </c>
      <c r="E194" s="290"/>
    </row>
    <row r="195" spans="2:10" x14ac:dyDescent="0.2">
      <c r="B195" s="316" t="s">
        <v>782</v>
      </c>
      <c r="C195" s="284" t="s">
        <v>782</v>
      </c>
      <c r="E195" s="290"/>
    </row>
    <row r="196" spans="2:10" x14ac:dyDescent="0.2">
      <c r="E196" s="290"/>
    </row>
    <row r="197" spans="2:10" x14ac:dyDescent="0.2">
      <c r="B197" s="259" t="s">
        <v>1065</v>
      </c>
      <c r="E197" s="290"/>
    </row>
    <row r="198" spans="2:10" x14ac:dyDescent="0.2">
      <c r="E198" s="290"/>
    </row>
    <row r="199" spans="2:10" ht="63.75" x14ac:dyDescent="0.2">
      <c r="B199" s="261" t="s">
        <v>1016</v>
      </c>
      <c r="C199" s="262" t="s">
        <v>1026</v>
      </c>
      <c r="D199" s="262" t="s">
        <v>1027</v>
      </c>
      <c r="E199" s="262" t="s">
        <v>1028</v>
      </c>
      <c r="F199" s="262" t="s">
        <v>1029</v>
      </c>
      <c r="G199" s="262" t="s">
        <v>1030</v>
      </c>
    </row>
    <row r="200" spans="2:10" x14ac:dyDescent="0.2">
      <c r="B200" s="284"/>
      <c r="C200" s="284"/>
      <c r="D200" s="286"/>
      <c r="E200" s="329"/>
      <c r="F200" s="330"/>
      <c r="G200" s="331"/>
      <c r="I200" s="289"/>
      <c r="J200" s="290"/>
    </row>
    <row r="201" spans="2:10" x14ac:dyDescent="0.2">
      <c r="E201" s="290"/>
    </row>
    <row r="202" spans="2:10" x14ac:dyDescent="0.2">
      <c r="E202" s="290"/>
    </row>
    <row r="203" spans="2:10" x14ac:dyDescent="0.2">
      <c r="B203" s="259" t="s">
        <v>1066</v>
      </c>
      <c r="E203" s="290"/>
    </row>
    <row r="204" spans="2:10" x14ac:dyDescent="0.2">
      <c r="E204" s="290"/>
    </row>
    <row r="205" spans="2:10" ht="63.75" x14ac:dyDescent="0.2">
      <c r="B205" s="261" t="s">
        <v>1016</v>
      </c>
      <c r="C205" s="262" t="s">
        <v>1026</v>
      </c>
      <c r="D205" s="262" t="s">
        <v>1027</v>
      </c>
      <c r="E205" s="262" t="s">
        <v>1028</v>
      </c>
      <c r="F205" s="262" t="s">
        <v>1029</v>
      </c>
      <c r="G205" s="262" t="s">
        <v>1030</v>
      </c>
    </row>
    <row r="206" spans="2:10" x14ac:dyDescent="0.2">
      <c r="B206" s="265"/>
      <c r="C206" s="316"/>
      <c r="D206" s="316"/>
      <c r="E206" s="332"/>
      <c r="F206" s="332"/>
      <c r="G206" s="332"/>
    </row>
    <row r="207" spans="2:10" x14ac:dyDescent="0.2">
      <c r="E207" s="290"/>
    </row>
    <row r="208" spans="2:10" x14ac:dyDescent="0.2">
      <c r="E208" s="290"/>
    </row>
    <row r="209" spans="2:5" x14ac:dyDescent="0.2">
      <c r="E209" s="290"/>
    </row>
    <row r="210" spans="2:5" x14ac:dyDescent="0.2">
      <c r="B210" s="258" t="s">
        <v>1067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6B97-B251-4CA5-AAB7-C7F5F400AE1C}">
  <dimension ref="B1:H23"/>
  <sheetViews>
    <sheetView workbookViewId="0">
      <selection activeCell="B2" sqref="B2:H2"/>
    </sheetView>
  </sheetViews>
  <sheetFormatPr defaultColWidth="8.85546875" defaultRowHeight="15" x14ac:dyDescent="0.25"/>
  <cols>
    <col min="1" max="1" width="2.5703125" style="55" customWidth="1"/>
    <col min="2" max="2" width="13.42578125" style="55" bestFit="1" customWidth="1"/>
    <col min="3" max="3" width="56.140625" style="55" bestFit="1" customWidth="1"/>
    <col min="4" max="4" width="14.140625" style="55" bestFit="1" customWidth="1"/>
    <col min="5" max="5" width="18.7109375" style="55" bestFit="1" customWidth="1"/>
    <col min="6" max="6" width="26.28515625" style="55" bestFit="1" customWidth="1"/>
    <col min="7" max="7" width="11.140625" style="55" bestFit="1" customWidth="1"/>
    <col min="8" max="8" width="15" style="55" bestFit="1" customWidth="1"/>
    <col min="9" max="250" width="8.85546875" style="55"/>
    <col min="251" max="251" width="2.5703125" style="55" customWidth="1"/>
    <col min="252" max="252" width="14" style="55" bestFit="1" customWidth="1"/>
    <col min="253" max="253" width="61.140625" style="55" bestFit="1" customWidth="1"/>
    <col min="254" max="254" width="14.140625" style="55" bestFit="1" customWidth="1"/>
    <col min="255" max="255" width="18.7109375" style="55" bestFit="1" customWidth="1"/>
    <col min="256" max="256" width="29.42578125" style="55" bestFit="1" customWidth="1"/>
    <col min="257" max="257" width="11.140625" style="55" bestFit="1" customWidth="1"/>
    <col min="258" max="258" width="15" style="55" bestFit="1" customWidth="1"/>
    <col min="259" max="259" width="9.5703125" style="55" bestFit="1" customWidth="1"/>
    <col min="260" max="261" width="12" style="55" bestFit="1" customWidth="1"/>
    <col min="262" max="506" width="8.85546875" style="55"/>
    <col min="507" max="507" width="2.5703125" style="55" customWidth="1"/>
    <col min="508" max="508" width="14" style="55" bestFit="1" customWidth="1"/>
    <col min="509" max="509" width="61.140625" style="55" bestFit="1" customWidth="1"/>
    <col min="510" max="510" width="14.140625" style="55" bestFit="1" customWidth="1"/>
    <col min="511" max="511" width="18.7109375" style="55" bestFit="1" customWidth="1"/>
    <col min="512" max="512" width="29.42578125" style="55" bestFit="1" customWidth="1"/>
    <col min="513" max="513" width="11.140625" style="55" bestFit="1" customWidth="1"/>
    <col min="514" max="514" width="15" style="55" bestFit="1" customWidth="1"/>
    <col min="515" max="515" width="9.5703125" style="55" bestFit="1" customWidth="1"/>
    <col min="516" max="517" width="12" style="55" bestFit="1" customWidth="1"/>
    <col min="518" max="762" width="8.85546875" style="55"/>
    <col min="763" max="763" width="2.5703125" style="55" customWidth="1"/>
    <col min="764" max="764" width="14" style="55" bestFit="1" customWidth="1"/>
    <col min="765" max="765" width="61.140625" style="55" bestFit="1" customWidth="1"/>
    <col min="766" max="766" width="14.140625" style="55" bestFit="1" customWidth="1"/>
    <col min="767" max="767" width="18.7109375" style="55" bestFit="1" customWidth="1"/>
    <col min="768" max="768" width="29.42578125" style="55" bestFit="1" customWidth="1"/>
    <col min="769" max="769" width="11.140625" style="55" bestFit="1" customWidth="1"/>
    <col min="770" max="770" width="15" style="55" bestFit="1" customWidth="1"/>
    <col min="771" max="771" width="9.5703125" style="55" bestFit="1" customWidth="1"/>
    <col min="772" max="773" width="12" style="55" bestFit="1" customWidth="1"/>
    <col min="774" max="1018" width="8.85546875" style="55"/>
    <col min="1019" max="1019" width="2.5703125" style="55" customWidth="1"/>
    <col min="1020" max="1020" width="14" style="55" bestFit="1" customWidth="1"/>
    <col min="1021" max="1021" width="61.140625" style="55" bestFit="1" customWidth="1"/>
    <col min="1022" max="1022" width="14.140625" style="55" bestFit="1" customWidth="1"/>
    <col min="1023" max="1023" width="18.7109375" style="55" bestFit="1" customWidth="1"/>
    <col min="1024" max="1024" width="29.42578125" style="55" bestFit="1" customWidth="1"/>
    <col min="1025" max="1025" width="11.140625" style="55" bestFit="1" customWidth="1"/>
    <col min="1026" max="1026" width="15" style="55" bestFit="1" customWidth="1"/>
    <col min="1027" max="1027" width="9.5703125" style="55" bestFit="1" customWidth="1"/>
    <col min="1028" max="1029" width="12" style="55" bestFit="1" customWidth="1"/>
    <col min="1030" max="1274" width="8.85546875" style="55"/>
    <col min="1275" max="1275" width="2.5703125" style="55" customWidth="1"/>
    <col min="1276" max="1276" width="14" style="55" bestFit="1" customWidth="1"/>
    <col min="1277" max="1277" width="61.140625" style="55" bestFit="1" customWidth="1"/>
    <col min="1278" max="1278" width="14.140625" style="55" bestFit="1" customWidth="1"/>
    <col min="1279" max="1279" width="18.7109375" style="55" bestFit="1" customWidth="1"/>
    <col min="1280" max="1280" width="29.42578125" style="55" bestFit="1" customWidth="1"/>
    <col min="1281" max="1281" width="11.140625" style="55" bestFit="1" customWidth="1"/>
    <col min="1282" max="1282" width="15" style="55" bestFit="1" customWidth="1"/>
    <col min="1283" max="1283" width="9.5703125" style="55" bestFit="1" customWidth="1"/>
    <col min="1284" max="1285" width="12" style="55" bestFit="1" customWidth="1"/>
    <col min="1286" max="1530" width="8.85546875" style="55"/>
    <col min="1531" max="1531" width="2.5703125" style="55" customWidth="1"/>
    <col min="1532" max="1532" width="14" style="55" bestFit="1" customWidth="1"/>
    <col min="1533" max="1533" width="61.140625" style="55" bestFit="1" customWidth="1"/>
    <col min="1534" max="1534" width="14.140625" style="55" bestFit="1" customWidth="1"/>
    <col min="1535" max="1535" width="18.7109375" style="55" bestFit="1" customWidth="1"/>
    <col min="1536" max="1536" width="29.42578125" style="55" bestFit="1" customWidth="1"/>
    <col min="1537" max="1537" width="11.140625" style="55" bestFit="1" customWidth="1"/>
    <col min="1538" max="1538" width="15" style="55" bestFit="1" customWidth="1"/>
    <col min="1539" max="1539" width="9.5703125" style="55" bestFit="1" customWidth="1"/>
    <col min="1540" max="1541" width="12" style="55" bestFit="1" customWidth="1"/>
    <col min="1542" max="1786" width="8.85546875" style="55"/>
    <col min="1787" max="1787" width="2.5703125" style="55" customWidth="1"/>
    <col min="1788" max="1788" width="14" style="55" bestFit="1" customWidth="1"/>
    <col min="1789" max="1789" width="61.140625" style="55" bestFit="1" customWidth="1"/>
    <col min="1790" max="1790" width="14.140625" style="55" bestFit="1" customWidth="1"/>
    <col min="1791" max="1791" width="18.7109375" style="55" bestFit="1" customWidth="1"/>
    <col min="1792" max="1792" width="29.42578125" style="55" bestFit="1" customWidth="1"/>
    <col min="1793" max="1793" width="11.140625" style="55" bestFit="1" customWidth="1"/>
    <col min="1794" max="1794" width="15" style="55" bestFit="1" customWidth="1"/>
    <col min="1795" max="1795" width="9.5703125" style="55" bestFit="1" customWidth="1"/>
    <col min="1796" max="1797" width="12" style="55" bestFit="1" customWidth="1"/>
    <col min="1798" max="2042" width="8.85546875" style="55"/>
    <col min="2043" max="2043" width="2.5703125" style="55" customWidth="1"/>
    <col min="2044" max="2044" width="14" style="55" bestFit="1" customWidth="1"/>
    <col min="2045" max="2045" width="61.140625" style="55" bestFit="1" customWidth="1"/>
    <col min="2046" max="2046" width="14.140625" style="55" bestFit="1" customWidth="1"/>
    <col min="2047" max="2047" width="18.7109375" style="55" bestFit="1" customWidth="1"/>
    <col min="2048" max="2048" width="29.42578125" style="55" bestFit="1" customWidth="1"/>
    <col min="2049" max="2049" width="11.140625" style="55" bestFit="1" customWidth="1"/>
    <col min="2050" max="2050" width="15" style="55" bestFit="1" customWidth="1"/>
    <col min="2051" max="2051" width="9.5703125" style="55" bestFit="1" customWidth="1"/>
    <col min="2052" max="2053" width="12" style="55" bestFit="1" customWidth="1"/>
    <col min="2054" max="2298" width="8.85546875" style="55"/>
    <col min="2299" max="2299" width="2.5703125" style="55" customWidth="1"/>
    <col min="2300" max="2300" width="14" style="55" bestFit="1" customWidth="1"/>
    <col min="2301" max="2301" width="61.140625" style="55" bestFit="1" customWidth="1"/>
    <col min="2302" max="2302" width="14.140625" style="55" bestFit="1" customWidth="1"/>
    <col min="2303" max="2303" width="18.7109375" style="55" bestFit="1" customWidth="1"/>
    <col min="2304" max="2304" width="29.42578125" style="55" bestFit="1" customWidth="1"/>
    <col min="2305" max="2305" width="11.140625" style="55" bestFit="1" customWidth="1"/>
    <col min="2306" max="2306" width="15" style="55" bestFit="1" customWidth="1"/>
    <col min="2307" max="2307" width="9.5703125" style="55" bestFit="1" customWidth="1"/>
    <col min="2308" max="2309" width="12" style="55" bestFit="1" customWidth="1"/>
    <col min="2310" max="2554" width="8.85546875" style="55"/>
    <col min="2555" max="2555" width="2.5703125" style="55" customWidth="1"/>
    <col min="2556" max="2556" width="14" style="55" bestFit="1" customWidth="1"/>
    <col min="2557" max="2557" width="61.140625" style="55" bestFit="1" customWidth="1"/>
    <col min="2558" max="2558" width="14.140625" style="55" bestFit="1" customWidth="1"/>
    <col min="2559" max="2559" width="18.7109375" style="55" bestFit="1" customWidth="1"/>
    <col min="2560" max="2560" width="29.42578125" style="55" bestFit="1" customWidth="1"/>
    <col min="2561" max="2561" width="11.140625" style="55" bestFit="1" customWidth="1"/>
    <col min="2562" max="2562" width="15" style="55" bestFit="1" customWidth="1"/>
    <col min="2563" max="2563" width="9.5703125" style="55" bestFit="1" customWidth="1"/>
    <col min="2564" max="2565" width="12" style="55" bestFit="1" customWidth="1"/>
    <col min="2566" max="2810" width="8.85546875" style="55"/>
    <col min="2811" max="2811" width="2.5703125" style="55" customWidth="1"/>
    <col min="2812" max="2812" width="14" style="55" bestFit="1" customWidth="1"/>
    <col min="2813" max="2813" width="61.140625" style="55" bestFit="1" customWidth="1"/>
    <col min="2814" max="2814" width="14.140625" style="55" bestFit="1" customWidth="1"/>
    <col min="2815" max="2815" width="18.7109375" style="55" bestFit="1" customWidth="1"/>
    <col min="2816" max="2816" width="29.42578125" style="55" bestFit="1" customWidth="1"/>
    <col min="2817" max="2817" width="11.140625" style="55" bestFit="1" customWidth="1"/>
    <col min="2818" max="2818" width="15" style="55" bestFit="1" customWidth="1"/>
    <col min="2819" max="2819" width="9.5703125" style="55" bestFit="1" customWidth="1"/>
    <col min="2820" max="2821" width="12" style="55" bestFit="1" customWidth="1"/>
    <col min="2822" max="3066" width="8.85546875" style="55"/>
    <col min="3067" max="3067" width="2.5703125" style="55" customWidth="1"/>
    <col min="3068" max="3068" width="14" style="55" bestFit="1" customWidth="1"/>
    <col min="3069" max="3069" width="61.140625" style="55" bestFit="1" customWidth="1"/>
    <col min="3070" max="3070" width="14.140625" style="55" bestFit="1" customWidth="1"/>
    <col min="3071" max="3071" width="18.7109375" style="55" bestFit="1" customWidth="1"/>
    <col min="3072" max="3072" width="29.42578125" style="55" bestFit="1" customWidth="1"/>
    <col min="3073" max="3073" width="11.140625" style="55" bestFit="1" customWidth="1"/>
    <col min="3074" max="3074" width="15" style="55" bestFit="1" customWidth="1"/>
    <col min="3075" max="3075" width="9.5703125" style="55" bestFit="1" customWidth="1"/>
    <col min="3076" max="3077" width="12" style="55" bestFit="1" customWidth="1"/>
    <col min="3078" max="3322" width="8.85546875" style="55"/>
    <col min="3323" max="3323" width="2.5703125" style="55" customWidth="1"/>
    <col min="3324" max="3324" width="14" style="55" bestFit="1" customWidth="1"/>
    <col min="3325" max="3325" width="61.140625" style="55" bestFit="1" customWidth="1"/>
    <col min="3326" max="3326" width="14.140625" style="55" bestFit="1" customWidth="1"/>
    <col min="3327" max="3327" width="18.7109375" style="55" bestFit="1" customWidth="1"/>
    <col min="3328" max="3328" width="29.42578125" style="55" bestFit="1" customWidth="1"/>
    <col min="3329" max="3329" width="11.140625" style="55" bestFit="1" customWidth="1"/>
    <col min="3330" max="3330" width="15" style="55" bestFit="1" customWidth="1"/>
    <col min="3331" max="3331" width="9.5703125" style="55" bestFit="1" customWidth="1"/>
    <col min="3332" max="3333" width="12" style="55" bestFit="1" customWidth="1"/>
    <col min="3334" max="3578" width="8.85546875" style="55"/>
    <col min="3579" max="3579" width="2.5703125" style="55" customWidth="1"/>
    <col min="3580" max="3580" width="14" style="55" bestFit="1" customWidth="1"/>
    <col min="3581" max="3581" width="61.140625" style="55" bestFit="1" customWidth="1"/>
    <col min="3582" max="3582" width="14.140625" style="55" bestFit="1" customWidth="1"/>
    <col min="3583" max="3583" width="18.7109375" style="55" bestFit="1" customWidth="1"/>
    <col min="3584" max="3584" width="29.42578125" style="55" bestFit="1" customWidth="1"/>
    <col min="3585" max="3585" width="11.140625" style="55" bestFit="1" customWidth="1"/>
    <col min="3586" max="3586" width="15" style="55" bestFit="1" customWidth="1"/>
    <col min="3587" max="3587" width="9.5703125" style="55" bestFit="1" customWidth="1"/>
    <col min="3588" max="3589" width="12" style="55" bestFit="1" customWidth="1"/>
    <col min="3590" max="3834" width="8.85546875" style="55"/>
    <col min="3835" max="3835" width="2.5703125" style="55" customWidth="1"/>
    <col min="3836" max="3836" width="14" style="55" bestFit="1" customWidth="1"/>
    <col min="3837" max="3837" width="61.140625" style="55" bestFit="1" customWidth="1"/>
    <col min="3838" max="3838" width="14.140625" style="55" bestFit="1" customWidth="1"/>
    <col min="3839" max="3839" width="18.7109375" style="55" bestFit="1" customWidth="1"/>
    <col min="3840" max="3840" width="29.42578125" style="55" bestFit="1" customWidth="1"/>
    <col min="3841" max="3841" width="11.140625" style="55" bestFit="1" customWidth="1"/>
    <col min="3842" max="3842" width="15" style="55" bestFit="1" customWidth="1"/>
    <col min="3843" max="3843" width="9.5703125" style="55" bestFit="1" customWidth="1"/>
    <col min="3844" max="3845" width="12" style="55" bestFit="1" customWidth="1"/>
    <col min="3846" max="4090" width="8.85546875" style="55"/>
    <col min="4091" max="4091" width="2.5703125" style="55" customWidth="1"/>
    <col min="4092" max="4092" width="14" style="55" bestFit="1" customWidth="1"/>
    <col min="4093" max="4093" width="61.140625" style="55" bestFit="1" customWidth="1"/>
    <col min="4094" max="4094" width="14.140625" style="55" bestFit="1" customWidth="1"/>
    <col min="4095" max="4095" width="18.7109375" style="55" bestFit="1" customWidth="1"/>
    <col min="4096" max="4096" width="29.42578125" style="55" bestFit="1" customWidth="1"/>
    <col min="4097" max="4097" width="11.140625" style="55" bestFit="1" customWidth="1"/>
    <col min="4098" max="4098" width="15" style="55" bestFit="1" customWidth="1"/>
    <col min="4099" max="4099" width="9.5703125" style="55" bestFit="1" customWidth="1"/>
    <col min="4100" max="4101" width="12" style="55" bestFit="1" customWidth="1"/>
    <col min="4102" max="4346" width="8.85546875" style="55"/>
    <col min="4347" max="4347" width="2.5703125" style="55" customWidth="1"/>
    <col min="4348" max="4348" width="14" style="55" bestFit="1" customWidth="1"/>
    <col min="4349" max="4349" width="61.140625" style="55" bestFit="1" customWidth="1"/>
    <col min="4350" max="4350" width="14.140625" style="55" bestFit="1" customWidth="1"/>
    <col min="4351" max="4351" width="18.7109375" style="55" bestFit="1" customWidth="1"/>
    <col min="4352" max="4352" width="29.42578125" style="55" bestFit="1" customWidth="1"/>
    <col min="4353" max="4353" width="11.140625" style="55" bestFit="1" customWidth="1"/>
    <col min="4354" max="4354" width="15" style="55" bestFit="1" customWidth="1"/>
    <col min="4355" max="4355" width="9.5703125" style="55" bestFit="1" customWidth="1"/>
    <col min="4356" max="4357" width="12" style="55" bestFit="1" customWidth="1"/>
    <col min="4358" max="4602" width="8.85546875" style="55"/>
    <col min="4603" max="4603" width="2.5703125" style="55" customWidth="1"/>
    <col min="4604" max="4604" width="14" style="55" bestFit="1" customWidth="1"/>
    <col min="4605" max="4605" width="61.140625" style="55" bestFit="1" customWidth="1"/>
    <col min="4606" max="4606" width="14.140625" style="55" bestFit="1" customWidth="1"/>
    <col min="4607" max="4607" width="18.7109375" style="55" bestFit="1" customWidth="1"/>
    <col min="4608" max="4608" width="29.42578125" style="55" bestFit="1" customWidth="1"/>
    <col min="4609" max="4609" width="11.140625" style="55" bestFit="1" customWidth="1"/>
    <col min="4610" max="4610" width="15" style="55" bestFit="1" customWidth="1"/>
    <col min="4611" max="4611" width="9.5703125" style="55" bestFit="1" customWidth="1"/>
    <col min="4612" max="4613" width="12" style="55" bestFit="1" customWidth="1"/>
    <col min="4614" max="4858" width="8.85546875" style="55"/>
    <col min="4859" max="4859" width="2.5703125" style="55" customWidth="1"/>
    <col min="4860" max="4860" width="14" style="55" bestFit="1" customWidth="1"/>
    <col min="4861" max="4861" width="61.140625" style="55" bestFit="1" customWidth="1"/>
    <col min="4862" max="4862" width="14.140625" style="55" bestFit="1" customWidth="1"/>
    <col min="4863" max="4863" width="18.7109375" style="55" bestFit="1" customWidth="1"/>
    <col min="4864" max="4864" width="29.42578125" style="55" bestFit="1" customWidth="1"/>
    <col min="4865" max="4865" width="11.140625" style="55" bestFit="1" customWidth="1"/>
    <col min="4866" max="4866" width="15" style="55" bestFit="1" customWidth="1"/>
    <col min="4867" max="4867" width="9.5703125" style="55" bestFit="1" customWidth="1"/>
    <col min="4868" max="4869" width="12" style="55" bestFit="1" customWidth="1"/>
    <col min="4870" max="5114" width="8.85546875" style="55"/>
    <col min="5115" max="5115" width="2.5703125" style="55" customWidth="1"/>
    <col min="5116" max="5116" width="14" style="55" bestFit="1" customWidth="1"/>
    <col min="5117" max="5117" width="61.140625" style="55" bestFit="1" customWidth="1"/>
    <col min="5118" max="5118" width="14.140625" style="55" bestFit="1" customWidth="1"/>
    <col min="5119" max="5119" width="18.7109375" style="55" bestFit="1" customWidth="1"/>
    <col min="5120" max="5120" width="29.42578125" style="55" bestFit="1" customWidth="1"/>
    <col min="5121" max="5121" width="11.140625" style="55" bestFit="1" customWidth="1"/>
    <col min="5122" max="5122" width="15" style="55" bestFit="1" customWidth="1"/>
    <col min="5123" max="5123" width="9.5703125" style="55" bestFit="1" customWidth="1"/>
    <col min="5124" max="5125" width="12" style="55" bestFit="1" customWidth="1"/>
    <col min="5126" max="5370" width="8.85546875" style="55"/>
    <col min="5371" max="5371" width="2.5703125" style="55" customWidth="1"/>
    <col min="5372" max="5372" width="14" style="55" bestFit="1" customWidth="1"/>
    <col min="5373" max="5373" width="61.140625" style="55" bestFit="1" customWidth="1"/>
    <col min="5374" max="5374" width="14.140625" style="55" bestFit="1" customWidth="1"/>
    <col min="5375" max="5375" width="18.7109375" style="55" bestFit="1" customWidth="1"/>
    <col min="5376" max="5376" width="29.42578125" style="55" bestFit="1" customWidth="1"/>
    <col min="5377" max="5377" width="11.140625" style="55" bestFit="1" customWidth="1"/>
    <col min="5378" max="5378" width="15" style="55" bestFit="1" customWidth="1"/>
    <col min="5379" max="5379" width="9.5703125" style="55" bestFit="1" customWidth="1"/>
    <col min="5380" max="5381" width="12" style="55" bestFit="1" customWidth="1"/>
    <col min="5382" max="5626" width="8.85546875" style="55"/>
    <col min="5627" max="5627" width="2.5703125" style="55" customWidth="1"/>
    <col min="5628" max="5628" width="14" style="55" bestFit="1" customWidth="1"/>
    <col min="5629" max="5629" width="61.140625" style="55" bestFit="1" customWidth="1"/>
    <col min="5630" max="5630" width="14.140625" style="55" bestFit="1" customWidth="1"/>
    <col min="5631" max="5631" width="18.7109375" style="55" bestFit="1" customWidth="1"/>
    <col min="5632" max="5632" width="29.42578125" style="55" bestFit="1" customWidth="1"/>
    <col min="5633" max="5633" width="11.140625" style="55" bestFit="1" customWidth="1"/>
    <col min="5634" max="5634" width="15" style="55" bestFit="1" customWidth="1"/>
    <col min="5635" max="5635" width="9.5703125" style="55" bestFit="1" customWidth="1"/>
    <col min="5636" max="5637" width="12" style="55" bestFit="1" customWidth="1"/>
    <col min="5638" max="5882" width="8.85546875" style="55"/>
    <col min="5883" max="5883" width="2.5703125" style="55" customWidth="1"/>
    <col min="5884" max="5884" width="14" style="55" bestFit="1" customWidth="1"/>
    <col min="5885" max="5885" width="61.140625" style="55" bestFit="1" customWidth="1"/>
    <col min="5886" max="5886" width="14.140625" style="55" bestFit="1" customWidth="1"/>
    <col min="5887" max="5887" width="18.7109375" style="55" bestFit="1" customWidth="1"/>
    <col min="5888" max="5888" width="29.42578125" style="55" bestFit="1" customWidth="1"/>
    <col min="5889" max="5889" width="11.140625" style="55" bestFit="1" customWidth="1"/>
    <col min="5890" max="5890" width="15" style="55" bestFit="1" customWidth="1"/>
    <col min="5891" max="5891" width="9.5703125" style="55" bestFit="1" customWidth="1"/>
    <col min="5892" max="5893" width="12" style="55" bestFit="1" customWidth="1"/>
    <col min="5894" max="6138" width="8.85546875" style="55"/>
    <col min="6139" max="6139" width="2.5703125" style="55" customWidth="1"/>
    <col min="6140" max="6140" width="14" style="55" bestFit="1" customWidth="1"/>
    <col min="6141" max="6141" width="61.140625" style="55" bestFit="1" customWidth="1"/>
    <col min="6142" max="6142" width="14.140625" style="55" bestFit="1" customWidth="1"/>
    <col min="6143" max="6143" width="18.7109375" style="55" bestFit="1" customWidth="1"/>
    <col min="6144" max="6144" width="29.42578125" style="55" bestFit="1" customWidth="1"/>
    <col min="6145" max="6145" width="11.140625" style="55" bestFit="1" customWidth="1"/>
    <col min="6146" max="6146" width="15" style="55" bestFit="1" customWidth="1"/>
    <col min="6147" max="6147" width="9.5703125" style="55" bestFit="1" customWidth="1"/>
    <col min="6148" max="6149" width="12" style="55" bestFit="1" customWidth="1"/>
    <col min="6150" max="6394" width="8.85546875" style="55"/>
    <col min="6395" max="6395" width="2.5703125" style="55" customWidth="1"/>
    <col min="6396" max="6396" width="14" style="55" bestFit="1" customWidth="1"/>
    <col min="6397" max="6397" width="61.140625" style="55" bestFit="1" customWidth="1"/>
    <col min="6398" max="6398" width="14.140625" style="55" bestFit="1" customWidth="1"/>
    <col min="6399" max="6399" width="18.7109375" style="55" bestFit="1" customWidth="1"/>
    <col min="6400" max="6400" width="29.42578125" style="55" bestFit="1" customWidth="1"/>
    <col min="6401" max="6401" width="11.140625" style="55" bestFit="1" customWidth="1"/>
    <col min="6402" max="6402" width="15" style="55" bestFit="1" customWidth="1"/>
    <col min="6403" max="6403" width="9.5703125" style="55" bestFit="1" customWidth="1"/>
    <col min="6404" max="6405" width="12" style="55" bestFit="1" customWidth="1"/>
    <col min="6406" max="6650" width="8.85546875" style="55"/>
    <col min="6651" max="6651" width="2.5703125" style="55" customWidth="1"/>
    <col min="6652" max="6652" width="14" style="55" bestFit="1" customWidth="1"/>
    <col min="6653" max="6653" width="61.140625" style="55" bestFit="1" customWidth="1"/>
    <col min="6654" max="6654" width="14.140625" style="55" bestFit="1" customWidth="1"/>
    <col min="6655" max="6655" width="18.7109375" style="55" bestFit="1" customWidth="1"/>
    <col min="6656" max="6656" width="29.42578125" style="55" bestFit="1" customWidth="1"/>
    <col min="6657" max="6657" width="11.140625" style="55" bestFit="1" customWidth="1"/>
    <col min="6658" max="6658" width="15" style="55" bestFit="1" customWidth="1"/>
    <col min="6659" max="6659" width="9.5703125" style="55" bestFit="1" customWidth="1"/>
    <col min="6660" max="6661" width="12" style="55" bestFit="1" customWidth="1"/>
    <col min="6662" max="6906" width="8.85546875" style="55"/>
    <col min="6907" max="6907" width="2.5703125" style="55" customWidth="1"/>
    <col min="6908" max="6908" width="14" style="55" bestFit="1" customWidth="1"/>
    <col min="6909" max="6909" width="61.140625" style="55" bestFit="1" customWidth="1"/>
    <col min="6910" max="6910" width="14.140625" style="55" bestFit="1" customWidth="1"/>
    <col min="6911" max="6911" width="18.7109375" style="55" bestFit="1" customWidth="1"/>
    <col min="6912" max="6912" width="29.42578125" style="55" bestFit="1" customWidth="1"/>
    <col min="6913" max="6913" width="11.140625" style="55" bestFit="1" customWidth="1"/>
    <col min="6914" max="6914" width="15" style="55" bestFit="1" customWidth="1"/>
    <col min="6915" max="6915" width="9.5703125" style="55" bestFit="1" customWidth="1"/>
    <col min="6916" max="6917" width="12" style="55" bestFit="1" customWidth="1"/>
    <col min="6918" max="7162" width="8.85546875" style="55"/>
    <col min="7163" max="7163" width="2.5703125" style="55" customWidth="1"/>
    <col min="7164" max="7164" width="14" style="55" bestFit="1" customWidth="1"/>
    <col min="7165" max="7165" width="61.140625" style="55" bestFit="1" customWidth="1"/>
    <col min="7166" max="7166" width="14.140625" style="55" bestFit="1" customWidth="1"/>
    <col min="7167" max="7167" width="18.7109375" style="55" bestFit="1" customWidth="1"/>
    <col min="7168" max="7168" width="29.42578125" style="55" bestFit="1" customWidth="1"/>
    <col min="7169" max="7169" width="11.140625" style="55" bestFit="1" customWidth="1"/>
    <col min="7170" max="7170" width="15" style="55" bestFit="1" customWidth="1"/>
    <col min="7171" max="7171" width="9.5703125" style="55" bestFit="1" customWidth="1"/>
    <col min="7172" max="7173" width="12" style="55" bestFit="1" customWidth="1"/>
    <col min="7174" max="7418" width="8.85546875" style="55"/>
    <col min="7419" max="7419" width="2.5703125" style="55" customWidth="1"/>
    <col min="7420" max="7420" width="14" style="55" bestFit="1" customWidth="1"/>
    <col min="7421" max="7421" width="61.140625" style="55" bestFit="1" customWidth="1"/>
    <col min="7422" max="7422" width="14.140625" style="55" bestFit="1" customWidth="1"/>
    <col min="7423" max="7423" width="18.7109375" style="55" bestFit="1" customWidth="1"/>
    <col min="7424" max="7424" width="29.42578125" style="55" bestFit="1" customWidth="1"/>
    <col min="7425" max="7425" width="11.140625" style="55" bestFit="1" customWidth="1"/>
    <col min="7426" max="7426" width="15" style="55" bestFit="1" customWidth="1"/>
    <col min="7427" max="7427" width="9.5703125" style="55" bestFit="1" customWidth="1"/>
    <col min="7428" max="7429" width="12" style="55" bestFit="1" customWidth="1"/>
    <col min="7430" max="7674" width="8.85546875" style="55"/>
    <col min="7675" max="7675" width="2.5703125" style="55" customWidth="1"/>
    <col min="7676" max="7676" width="14" style="55" bestFit="1" customWidth="1"/>
    <col min="7677" max="7677" width="61.140625" style="55" bestFit="1" customWidth="1"/>
    <col min="7678" max="7678" width="14.140625" style="55" bestFit="1" customWidth="1"/>
    <col min="7679" max="7679" width="18.7109375" style="55" bestFit="1" customWidth="1"/>
    <col min="7680" max="7680" width="29.42578125" style="55" bestFit="1" customWidth="1"/>
    <col min="7681" max="7681" width="11.140625" style="55" bestFit="1" customWidth="1"/>
    <col min="7682" max="7682" width="15" style="55" bestFit="1" customWidth="1"/>
    <col min="7683" max="7683" width="9.5703125" style="55" bestFit="1" customWidth="1"/>
    <col min="7684" max="7685" width="12" style="55" bestFit="1" customWidth="1"/>
    <col min="7686" max="7930" width="8.85546875" style="55"/>
    <col min="7931" max="7931" width="2.5703125" style="55" customWidth="1"/>
    <col min="7932" max="7932" width="14" style="55" bestFit="1" customWidth="1"/>
    <col min="7933" max="7933" width="61.140625" style="55" bestFit="1" customWidth="1"/>
    <col min="7934" max="7934" width="14.140625" style="55" bestFit="1" customWidth="1"/>
    <col min="7935" max="7935" width="18.7109375" style="55" bestFit="1" customWidth="1"/>
    <col min="7936" max="7936" width="29.42578125" style="55" bestFit="1" customWidth="1"/>
    <col min="7937" max="7937" width="11.140625" style="55" bestFit="1" customWidth="1"/>
    <col min="7938" max="7938" width="15" style="55" bestFit="1" customWidth="1"/>
    <col min="7939" max="7939" width="9.5703125" style="55" bestFit="1" customWidth="1"/>
    <col min="7940" max="7941" width="12" style="55" bestFit="1" customWidth="1"/>
    <col min="7942" max="8186" width="8.85546875" style="55"/>
    <col min="8187" max="8187" width="2.5703125" style="55" customWidth="1"/>
    <col min="8188" max="8188" width="14" style="55" bestFit="1" customWidth="1"/>
    <col min="8189" max="8189" width="61.140625" style="55" bestFit="1" customWidth="1"/>
    <col min="8190" max="8190" width="14.140625" style="55" bestFit="1" customWidth="1"/>
    <col min="8191" max="8191" width="18.7109375" style="55" bestFit="1" customWidth="1"/>
    <col min="8192" max="8192" width="29.42578125" style="55" bestFit="1" customWidth="1"/>
    <col min="8193" max="8193" width="11.140625" style="55" bestFit="1" customWidth="1"/>
    <col min="8194" max="8194" width="15" style="55" bestFit="1" customWidth="1"/>
    <col min="8195" max="8195" width="9.5703125" style="55" bestFit="1" customWidth="1"/>
    <col min="8196" max="8197" width="12" style="55" bestFit="1" customWidth="1"/>
    <col min="8198" max="8442" width="8.85546875" style="55"/>
    <col min="8443" max="8443" width="2.5703125" style="55" customWidth="1"/>
    <col min="8444" max="8444" width="14" style="55" bestFit="1" customWidth="1"/>
    <col min="8445" max="8445" width="61.140625" style="55" bestFit="1" customWidth="1"/>
    <col min="8446" max="8446" width="14.140625" style="55" bestFit="1" customWidth="1"/>
    <col min="8447" max="8447" width="18.7109375" style="55" bestFit="1" customWidth="1"/>
    <col min="8448" max="8448" width="29.42578125" style="55" bestFit="1" customWidth="1"/>
    <col min="8449" max="8449" width="11.140625" style="55" bestFit="1" customWidth="1"/>
    <col min="8450" max="8450" width="15" style="55" bestFit="1" customWidth="1"/>
    <col min="8451" max="8451" width="9.5703125" style="55" bestFit="1" customWidth="1"/>
    <col min="8452" max="8453" width="12" style="55" bestFit="1" customWidth="1"/>
    <col min="8454" max="8698" width="8.85546875" style="55"/>
    <col min="8699" max="8699" width="2.5703125" style="55" customWidth="1"/>
    <col min="8700" max="8700" width="14" style="55" bestFit="1" customWidth="1"/>
    <col min="8701" max="8701" width="61.140625" style="55" bestFit="1" customWidth="1"/>
    <col min="8702" max="8702" width="14.140625" style="55" bestFit="1" customWidth="1"/>
    <col min="8703" max="8703" width="18.7109375" style="55" bestFit="1" customWidth="1"/>
    <col min="8704" max="8704" width="29.42578125" style="55" bestFit="1" customWidth="1"/>
    <col min="8705" max="8705" width="11.140625" style="55" bestFit="1" customWidth="1"/>
    <col min="8706" max="8706" width="15" style="55" bestFit="1" customWidth="1"/>
    <col min="8707" max="8707" width="9.5703125" style="55" bestFit="1" customWidth="1"/>
    <col min="8708" max="8709" width="12" style="55" bestFit="1" customWidth="1"/>
    <col min="8710" max="8954" width="8.85546875" style="55"/>
    <col min="8955" max="8955" width="2.5703125" style="55" customWidth="1"/>
    <col min="8956" max="8956" width="14" style="55" bestFit="1" customWidth="1"/>
    <col min="8957" max="8957" width="61.140625" style="55" bestFit="1" customWidth="1"/>
    <col min="8958" max="8958" width="14.140625" style="55" bestFit="1" customWidth="1"/>
    <col min="8959" max="8959" width="18.7109375" style="55" bestFit="1" customWidth="1"/>
    <col min="8960" max="8960" width="29.42578125" style="55" bestFit="1" customWidth="1"/>
    <col min="8961" max="8961" width="11.140625" style="55" bestFit="1" customWidth="1"/>
    <col min="8962" max="8962" width="15" style="55" bestFit="1" customWidth="1"/>
    <col min="8963" max="8963" width="9.5703125" style="55" bestFit="1" customWidth="1"/>
    <col min="8964" max="8965" width="12" style="55" bestFit="1" customWidth="1"/>
    <col min="8966" max="9210" width="8.85546875" style="55"/>
    <col min="9211" max="9211" width="2.5703125" style="55" customWidth="1"/>
    <col min="9212" max="9212" width="14" style="55" bestFit="1" customWidth="1"/>
    <col min="9213" max="9213" width="61.140625" style="55" bestFit="1" customWidth="1"/>
    <col min="9214" max="9214" width="14.140625" style="55" bestFit="1" customWidth="1"/>
    <col min="9215" max="9215" width="18.7109375" style="55" bestFit="1" customWidth="1"/>
    <col min="9216" max="9216" width="29.42578125" style="55" bestFit="1" customWidth="1"/>
    <col min="9217" max="9217" width="11.140625" style="55" bestFit="1" customWidth="1"/>
    <col min="9218" max="9218" width="15" style="55" bestFit="1" customWidth="1"/>
    <col min="9219" max="9219" width="9.5703125" style="55" bestFit="1" customWidth="1"/>
    <col min="9220" max="9221" width="12" style="55" bestFit="1" customWidth="1"/>
    <col min="9222" max="9466" width="8.85546875" style="55"/>
    <col min="9467" max="9467" width="2.5703125" style="55" customWidth="1"/>
    <col min="9468" max="9468" width="14" style="55" bestFit="1" customWidth="1"/>
    <col min="9469" max="9469" width="61.140625" style="55" bestFit="1" customWidth="1"/>
    <col min="9470" max="9470" width="14.140625" style="55" bestFit="1" customWidth="1"/>
    <col min="9471" max="9471" width="18.7109375" style="55" bestFit="1" customWidth="1"/>
    <col min="9472" max="9472" width="29.42578125" style="55" bestFit="1" customWidth="1"/>
    <col min="9473" max="9473" width="11.140625" style="55" bestFit="1" customWidth="1"/>
    <col min="9474" max="9474" width="15" style="55" bestFit="1" customWidth="1"/>
    <col min="9475" max="9475" width="9.5703125" style="55" bestFit="1" customWidth="1"/>
    <col min="9476" max="9477" width="12" style="55" bestFit="1" customWidth="1"/>
    <col min="9478" max="9722" width="8.85546875" style="55"/>
    <col min="9723" max="9723" width="2.5703125" style="55" customWidth="1"/>
    <col min="9724" max="9724" width="14" style="55" bestFit="1" customWidth="1"/>
    <col min="9725" max="9725" width="61.140625" style="55" bestFit="1" customWidth="1"/>
    <col min="9726" max="9726" width="14.140625" style="55" bestFit="1" customWidth="1"/>
    <col min="9727" max="9727" width="18.7109375" style="55" bestFit="1" customWidth="1"/>
    <col min="9728" max="9728" width="29.42578125" style="55" bestFit="1" customWidth="1"/>
    <col min="9729" max="9729" width="11.140625" style="55" bestFit="1" customWidth="1"/>
    <col min="9730" max="9730" width="15" style="55" bestFit="1" customWidth="1"/>
    <col min="9731" max="9731" width="9.5703125" style="55" bestFit="1" customWidth="1"/>
    <col min="9732" max="9733" width="12" style="55" bestFit="1" customWidth="1"/>
    <col min="9734" max="9978" width="8.85546875" style="55"/>
    <col min="9979" max="9979" width="2.5703125" style="55" customWidth="1"/>
    <col min="9980" max="9980" width="14" style="55" bestFit="1" customWidth="1"/>
    <col min="9981" max="9981" width="61.140625" style="55" bestFit="1" customWidth="1"/>
    <col min="9982" max="9982" width="14.140625" style="55" bestFit="1" customWidth="1"/>
    <col min="9983" max="9983" width="18.7109375" style="55" bestFit="1" customWidth="1"/>
    <col min="9984" max="9984" width="29.42578125" style="55" bestFit="1" customWidth="1"/>
    <col min="9985" max="9985" width="11.140625" style="55" bestFit="1" customWidth="1"/>
    <col min="9986" max="9986" width="15" style="55" bestFit="1" customWidth="1"/>
    <col min="9987" max="9987" width="9.5703125" style="55" bestFit="1" customWidth="1"/>
    <col min="9988" max="9989" width="12" style="55" bestFit="1" customWidth="1"/>
    <col min="9990" max="10234" width="8.85546875" style="55"/>
    <col min="10235" max="10235" width="2.5703125" style="55" customWidth="1"/>
    <col min="10236" max="10236" width="14" style="55" bestFit="1" customWidth="1"/>
    <col min="10237" max="10237" width="61.140625" style="55" bestFit="1" customWidth="1"/>
    <col min="10238" max="10238" width="14.140625" style="55" bestFit="1" customWidth="1"/>
    <col min="10239" max="10239" width="18.7109375" style="55" bestFit="1" customWidth="1"/>
    <col min="10240" max="10240" width="29.42578125" style="55" bestFit="1" customWidth="1"/>
    <col min="10241" max="10241" width="11.140625" style="55" bestFit="1" customWidth="1"/>
    <col min="10242" max="10242" width="15" style="55" bestFit="1" customWidth="1"/>
    <col min="10243" max="10243" width="9.5703125" style="55" bestFit="1" customWidth="1"/>
    <col min="10244" max="10245" width="12" style="55" bestFit="1" customWidth="1"/>
    <col min="10246" max="10490" width="8.85546875" style="55"/>
    <col min="10491" max="10491" width="2.5703125" style="55" customWidth="1"/>
    <col min="10492" max="10492" width="14" style="55" bestFit="1" customWidth="1"/>
    <col min="10493" max="10493" width="61.140625" style="55" bestFit="1" customWidth="1"/>
    <col min="10494" max="10494" width="14.140625" style="55" bestFit="1" customWidth="1"/>
    <col min="10495" max="10495" width="18.7109375" style="55" bestFit="1" customWidth="1"/>
    <col min="10496" max="10496" width="29.42578125" style="55" bestFit="1" customWidth="1"/>
    <col min="10497" max="10497" width="11.140625" style="55" bestFit="1" customWidth="1"/>
    <col min="10498" max="10498" width="15" style="55" bestFit="1" customWidth="1"/>
    <col min="10499" max="10499" width="9.5703125" style="55" bestFit="1" customWidth="1"/>
    <col min="10500" max="10501" width="12" style="55" bestFit="1" customWidth="1"/>
    <col min="10502" max="10746" width="8.85546875" style="55"/>
    <col min="10747" max="10747" width="2.5703125" style="55" customWidth="1"/>
    <col min="10748" max="10748" width="14" style="55" bestFit="1" customWidth="1"/>
    <col min="10749" max="10749" width="61.140625" style="55" bestFit="1" customWidth="1"/>
    <col min="10750" max="10750" width="14.140625" style="55" bestFit="1" customWidth="1"/>
    <col min="10751" max="10751" width="18.7109375" style="55" bestFit="1" customWidth="1"/>
    <col min="10752" max="10752" width="29.42578125" style="55" bestFit="1" customWidth="1"/>
    <col min="10753" max="10753" width="11.140625" style="55" bestFit="1" customWidth="1"/>
    <col min="10754" max="10754" width="15" style="55" bestFit="1" customWidth="1"/>
    <col min="10755" max="10755" width="9.5703125" style="55" bestFit="1" customWidth="1"/>
    <col min="10756" max="10757" width="12" style="55" bestFit="1" customWidth="1"/>
    <col min="10758" max="11002" width="8.85546875" style="55"/>
    <col min="11003" max="11003" width="2.5703125" style="55" customWidth="1"/>
    <col min="11004" max="11004" width="14" style="55" bestFit="1" customWidth="1"/>
    <col min="11005" max="11005" width="61.140625" style="55" bestFit="1" customWidth="1"/>
    <col min="11006" max="11006" width="14.140625" style="55" bestFit="1" customWidth="1"/>
    <col min="11007" max="11007" width="18.7109375" style="55" bestFit="1" customWidth="1"/>
    <col min="11008" max="11008" width="29.42578125" style="55" bestFit="1" customWidth="1"/>
    <col min="11009" max="11009" width="11.140625" style="55" bestFit="1" customWidth="1"/>
    <col min="11010" max="11010" width="15" style="55" bestFit="1" customWidth="1"/>
    <col min="11011" max="11011" width="9.5703125" style="55" bestFit="1" customWidth="1"/>
    <col min="11012" max="11013" width="12" style="55" bestFit="1" customWidth="1"/>
    <col min="11014" max="11258" width="8.85546875" style="55"/>
    <col min="11259" max="11259" width="2.5703125" style="55" customWidth="1"/>
    <col min="11260" max="11260" width="14" style="55" bestFit="1" customWidth="1"/>
    <col min="11261" max="11261" width="61.140625" style="55" bestFit="1" customWidth="1"/>
    <col min="11262" max="11262" width="14.140625" style="55" bestFit="1" customWidth="1"/>
    <col min="11263" max="11263" width="18.7109375" style="55" bestFit="1" customWidth="1"/>
    <col min="11264" max="11264" width="29.42578125" style="55" bestFit="1" customWidth="1"/>
    <col min="11265" max="11265" width="11.140625" style="55" bestFit="1" customWidth="1"/>
    <col min="11266" max="11266" width="15" style="55" bestFit="1" customWidth="1"/>
    <col min="11267" max="11267" width="9.5703125" style="55" bestFit="1" customWidth="1"/>
    <col min="11268" max="11269" width="12" style="55" bestFit="1" customWidth="1"/>
    <col min="11270" max="11514" width="8.85546875" style="55"/>
    <col min="11515" max="11515" width="2.5703125" style="55" customWidth="1"/>
    <col min="11516" max="11516" width="14" style="55" bestFit="1" customWidth="1"/>
    <col min="11517" max="11517" width="61.140625" style="55" bestFit="1" customWidth="1"/>
    <col min="11518" max="11518" width="14.140625" style="55" bestFit="1" customWidth="1"/>
    <col min="11519" max="11519" width="18.7109375" style="55" bestFit="1" customWidth="1"/>
    <col min="11520" max="11520" width="29.42578125" style="55" bestFit="1" customWidth="1"/>
    <col min="11521" max="11521" width="11.140625" style="55" bestFit="1" customWidth="1"/>
    <col min="11522" max="11522" width="15" style="55" bestFit="1" customWidth="1"/>
    <col min="11523" max="11523" width="9.5703125" style="55" bestFit="1" customWidth="1"/>
    <col min="11524" max="11525" width="12" style="55" bestFit="1" customWidth="1"/>
    <col min="11526" max="11770" width="8.85546875" style="55"/>
    <col min="11771" max="11771" width="2.5703125" style="55" customWidth="1"/>
    <col min="11772" max="11772" width="14" style="55" bestFit="1" customWidth="1"/>
    <col min="11773" max="11773" width="61.140625" style="55" bestFit="1" customWidth="1"/>
    <col min="11774" max="11774" width="14.140625" style="55" bestFit="1" customWidth="1"/>
    <col min="11775" max="11775" width="18.7109375" style="55" bestFit="1" customWidth="1"/>
    <col min="11776" max="11776" width="29.42578125" style="55" bestFit="1" customWidth="1"/>
    <col min="11777" max="11777" width="11.140625" style="55" bestFit="1" customWidth="1"/>
    <col min="11778" max="11778" width="15" style="55" bestFit="1" customWidth="1"/>
    <col min="11779" max="11779" width="9.5703125" style="55" bestFit="1" customWidth="1"/>
    <col min="11780" max="11781" width="12" style="55" bestFit="1" customWidth="1"/>
    <col min="11782" max="12026" width="8.85546875" style="55"/>
    <col min="12027" max="12027" width="2.5703125" style="55" customWidth="1"/>
    <col min="12028" max="12028" width="14" style="55" bestFit="1" customWidth="1"/>
    <col min="12029" max="12029" width="61.140625" style="55" bestFit="1" customWidth="1"/>
    <col min="12030" max="12030" width="14.140625" style="55" bestFit="1" customWidth="1"/>
    <col min="12031" max="12031" width="18.7109375" style="55" bestFit="1" customWidth="1"/>
    <col min="12032" max="12032" width="29.42578125" style="55" bestFit="1" customWidth="1"/>
    <col min="12033" max="12033" width="11.140625" style="55" bestFit="1" customWidth="1"/>
    <col min="12034" max="12034" width="15" style="55" bestFit="1" customWidth="1"/>
    <col min="12035" max="12035" width="9.5703125" style="55" bestFit="1" customWidth="1"/>
    <col min="12036" max="12037" width="12" style="55" bestFit="1" customWidth="1"/>
    <col min="12038" max="12282" width="8.85546875" style="55"/>
    <col min="12283" max="12283" width="2.5703125" style="55" customWidth="1"/>
    <col min="12284" max="12284" width="14" style="55" bestFit="1" customWidth="1"/>
    <col min="12285" max="12285" width="61.140625" style="55" bestFit="1" customWidth="1"/>
    <col min="12286" max="12286" width="14.140625" style="55" bestFit="1" customWidth="1"/>
    <col min="12287" max="12287" width="18.7109375" style="55" bestFit="1" customWidth="1"/>
    <col min="12288" max="12288" width="29.42578125" style="55" bestFit="1" customWidth="1"/>
    <col min="12289" max="12289" width="11.140625" style="55" bestFit="1" customWidth="1"/>
    <col min="12290" max="12290" width="15" style="55" bestFit="1" customWidth="1"/>
    <col min="12291" max="12291" width="9.5703125" style="55" bestFit="1" customWidth="1"/>
    <col min="12292" max="12293" width="12" style="55" bestFit="1" customWidth="1"/>
    <col min="12294" max="12538" width="8.85546875" style="55"/>
    <col min="12539" max="12539" width="2.5703125" style="55" customWidth="1"/>
    <col min="12540" max="12540" width="14" style="55" bestFit="1" customWidth="1"/>
    <col min="12541" max="12541" width="61.140625" style="55" bestFit="1" customWidth="1"/>
    <col min="12542" max="12542" width="14.140625" style="55" bestFit="1" customWidth="1"/>
    <col min="12543" max="12543" width="18.7109375" style="55" bestFit="1" customWidth="1"/>
    <col min="12544" max="12544" width="29.42578125" style="55" bestFit="1" customWidth="1"/>
    <col min="12545" max="12545" width="11.140625" style="55" bestFit="1" customWidth="1"/>
    <col min="12546" max="12546" width="15" style="55" bestFit="1" customWidth="1"/>
    <col min="12547" max="12547" width="9.5703125" style="55" bestFit="1" customWidth="1"/>
    <col min="12548" max="12549" width="12" style="55" bestFit="1" customWidth="1"/>
    <col min="12550" max="12794" width="8.85546875" style="55"/>
    <col min="12795" max="12795" width="2.5703125" style="55" customWidth="1"/>
    <col min="12796" max="12796" width="14" style="55" bestFit="1" customWidth="1"/>
    <col min="12797" max="12797" width="61.140625" style="55" bestFit="1" customWidth="1"/>
    <col min="12798" max="12798" width="14.140625" style="55" bestFit="1" customWidth="1"/>
    <col min="12799" max="12799" width="18.7109375" style="55" bestFit="1" customWidth="1"/>
    <col min="12800" max="12800" width="29.42578125" style="55" bestFit="1" customWidth="1"/>
    <col min="12801" max="12801" width="11.140625" style="55" bestFit="1" customWidth="1"/>
    <col min="12802" max="12802" width="15" style="55" bestFit="1" customWidth="1"/>
    <col min="12803" max="12803" width="9.5703125" style="55" bestFit="1" customWidth="1"/>
    <col min="12804" max="12805" width="12" style="55" bestFit="1" customWidth="1"/>
    <col min="12806" max="13050" width="8.85546875" style="55"/>
    <col min="13051" max="13051" width="2.5703125" style="55" customWidth="1"/>
    <col min="13052" max="13052" width="14" style="55" bestFit="1" customWidth="1"/>
    <col min="13053" max="13053" width="61.140625" style="55" bestFit="1" customWidth="1"/>
    <col min="13054" max="13054" width="14.140625" style="55" bestFit="1" customWidth="1"/>
    <col min="13055" max="13055" width="18.7109375" style="55" bestFit="1" customWidth="1"/>
    <col min="13056" max="13056" width="29.42578125" style="55" bestFit="1" customWidth="1"/>
    <col min="13057" max="13057" width="11.140625" style="55" bestFit="1" customWidth="1"/>
    <col min="13058" max="13058" width="15" style="55" bestFit="1" customWidth="1"/>
    <col min="13059" max="13059" width="9.5703125" style="55" bestFit="1" customWidth="1"/>
    <col min="13060" max="13061" width="12" style="55" bestFit="1" customWidth="1"/>
    <col min="13062" max="13306" width="8.85546875" style="55"/>
    <col min="13307" max="13307" width="2.5703125" style="55" customWidth="1"/>
    <col min="13308" max="13308" width="14" style="55" bestFit="1" customWidth="1"/>
    <col min="13309" max="13309" width="61.140625" style="55" bestFit="1" customWidth="1"/>
    <col min="13310" max="13310" width="14.140625" style="55" bestFit="1" customWidth="1"/>
    <col min="13311" max="13311" width="18.7109375" style="55" bestFit="1" customWidth="1"/>
    <col min="13312" max="13312" width="29.42578125" style="55" bestFit="1" customWidth="1"/>
    <col min="13313" max="13313" width="11.140625" style="55" bestFit="1" customWidth="1"/>
    <col min="13314" max="13314" width="15" style="55" bestFit="1" customWidth="1"/>
    <col min="13315" max="13315" width="9.5703125" style="55" bestFit="1" customWidth="1"/>
    <col min="13316" max="13317" width="12" style="55" bestFit="1" customWidth="1"/>
    <col min="13318" max="13562" width="8.85546875" style="55"/>
    <col min="13563" max="13563" width="2.5703125" style="55" customWidth="1"/>
    <col min="13564" max="13564" width="14" style="55" bestFit="1" customWidth="1"/>
    <col min="13565" max="13565" width="61.140625" style="55" bestFit="1" customWidth="1"/>
    <col min="13566" max="13566" width="14.140625" style="55" bestFit="1" customWidth="1"/>
    <col min="13567" max="13567" width="18.7109375" style="55" bestFit="1" customWidth="1"/>
    <col min="13568" max="13568" width="29.42578125" style="55" bestFit="1" customWidth="1"/>
    <col min="13569" max="13569" width="11.140625" style="55" bestFit="1" customWidth="1"/>
    <col min="13570" max="13570" width="15" style="55" bestFit="1" customWidth="1"/>
    <col min="13571" max="13571" width="9.5703125" style="55" bestFit="1" customWidth="1"/>
    <col min="13572" max="13573" width="12" style="55" bestFit="1" customWidth="1"/>
    <col min="13574" max="13818" width="8.85546875" style="55"/>
    <col min="13819" max="13819" width="2.5703125" style="55" customWidth="1"/>
    <col min="13820" max="13820" width="14" style="55" bestFit="1" customWidth="1"/>
    <col min="13821" max="13821" width="61.140625" style="55" bestFit="1" customWidth="1"/>
    <col min="13822" max="13822" width="14.140625" style="55" bestFit="1" customWidth="1"/>
    <col min="13823" max="13823" width="18.7109375" style="55" bestFit="1" customWidth="1"/>
    <col min="13824" max="13824" width="29.42578125" style="55" bestFit="1" customWidth="1"/>
    <col min="13825" max="13825" width="11.140625" style="55" bestFit="1" customWidth="1"/>
    <col min="13826" max="13826" width="15" style="55" bestFit="1" customWidth="1"/>
    <col min="13827" max="13827" width="9.5703125" style="55" bestFit="1" customWidth="1"/>
    <col min="13828" max="13829" width="12" style="55" bestFit="1" customWidth="1"/>
    <col min="13830" max="14074" width="8.85546875" style="55"/>
    <col min="14075" max="14075" width="2.5703125" style="55" customWidth="1"/>
    <col min="14076" max="14076" width="14" style="55" bestFit="1" customWidth="1"/>
    <col min="14077" max="14077" width="61.140625" style="55" bestFit="1" customWidth="1"/>
    <col min="14078" max="14078" width="14.140625" style="55" bestFit="1" customWidth="1"/>
    <col min="14079" max="14079" width="18.7109375" style="55" bestFit="1" customWidth="1"/>
    <col min="14080" max="14080" width="29.42578125" style="55" bestFit="1" customWidth="1"/>
    <col min="14081" max="14081" width="11.140625" style="55" bestFit="1" customWidth="1"/>
    <col min="14082" max="14082" width="15" style="55" bestFit="1" customWidth="1"/>
    <col min="14083" max="14083" width="9.5703125" style="55" bestFit="1" customWidth="1"/>
    <col min="14084" max="14085" width="12" style="55" bestFit="1" customWidth="1"/>
    <col min="14086" max="14330" width="8.85546875" style="55"/>
    <col min="14331" max="14331" width="2.5703125" style="55" customWidth="1"/>
    <col min="14332" max="14332" width="14" style="55" bestFit="1" customWidth="1"/>
    <col min="14333" max="14333" width="61.140625" style="55" bestFit="1" customWidth="1"/>
    <col min="14334" max="14334" width="14.140625" style="55" bestFit="1" customWidth="1"/>
    <col min="14335" max="14335" width="18.7109375" style="55" bestFit="1" customWidth="1"/>
    <col min="14336" max="14336" width="29.42578125" style="55" bestFit="1" customWidth="1"/>
    <col min="14337" max="14337" width="11.140625" style="55" bestFit="1" customWidth="1"/>
    <col min="14338" max="14338" width="15" style="55" bestFit="1" customWidth="1"/>
    <col min="14339" max="14339" width="9.5703125" style="55" bestFit="1" customWidth="1"/>
    <col min="14340" max="14341" width="12" style="55" bestFit="1" customWidth="1"/>
    <col min="14342" max="14586" width="8.85546875" style="55"/>
    <col min="14587" max="14587" width="2.5703125" style="55" customWidth="1"/>
    <col min="14588" max="14588" width="14" style="55" bestFit="1" customWidth="1"/>
    <col min="14589" max="14589" width="61.140625" style="55" bestFit="1" customWidth="1"/>
    <col min="14590" max="14590" width="14.140625" style="55" bestFit="1" customWidth="1"/>
    <col min="14591" max="14591" width="18.7109375" style="55" bestFit="1" customWidth="1"/>
    <col min="14592" max="14592" width="29.42578125" style="55" bestFit="1" customWidth="1"/>
    <col min="14593" max="14593" width="11.140625" style="55" bestFit="1" customWidth="1"/>
    <col min="14594" max="14594" width="15" style="55" bestFit="1" customWidth="1"/>
    <col min="14595" max="14595" width="9.5703125" style="55" bestFit="1" customWidth="1"/>
    <col min="14596" max="14597" width="12" style="55" bestFit="1" customWidth="1"/>
    <col min="14598" max="14842" width="8.85546875" style="55"/>
    <col min="14843" max="14843" width="2.5703125" style="55" customWidth="1"/>
    <col min="14844" max="14844" width="14" style="55" bestFit="1" customWidth="1"/>
    <col min="14845" max="14845" width="61.140625" style="55" bestFit="1" customWidth="1"/>
    <col min="14846" max="14846" width="14.140625" style="55" bestFit="1" customWidth="1"/>
    <col min="14847" max="14847" width="18.7109375" style="55" bestFit="1" customWidth="1"/>
    <col min="14848" max="14848" width="29.42578125" style="55" bestFit="1" customWidth="1"/>
    <col min="14849" max="14849" width="11.140625" style="55" bestFit="1" customWidth="1"/>
    <col min="14850" max="14850" width="15" style="55" bestFit="1" customWidth="1"/>
    <col min="14851" max="14851" width="9.5703125" style="55" bestFit="1" customWidth="1"/>
    <col min="14852" max="14853" width="12" style="55" bestFit="1" customWidth="1"/>
    <col min="14854" max="15098" width="8.85546875" style="55"/>
    <col min="15099" max="15099" width="2.5703125" style="55" customWidth="1"/>
    <col min="15100" max="15100" width="14" style="55" bestFit="1" customWidth="1"/>
    <col min="15101" max="15101" width="61.140625" style="55" bestFit="1" customWidth="1"/>
    <col min="15102" max="15102" width="14.140625" style="55" bestFit="1" customWidth="1"/>
    <col min="15103" max="15103" width="18.7109375" style="55" bestFit="1" customWidth="1"/>
    <col min="15104" max="15104" width="29.42578125" style="55" bestFit="1" customWidth="1"/>
    <col min="15105" max="15105" width="11.140625" style="55" bestFit="1" customWidth="1"/>
    <col min="15106" max="15106" width="15" style="55" bestFit="1" customWidth="1"/>
    <col min="15107" max="15107" width="9.5703125" style="55" bestFit="1" customWidth="1"/>
    <col min="15108" max="15109" width="12" style="55" bestFit="1" customWidth="1"/>
    <col min="15110" max="15354" width="8.85546875" style="55"/>
    <col min="15355" max="15355" width="2.5703125" style="55" customWidth="1"/>
    <col min="15356" max="15356" width="14" style="55" bestFit="1" customWidth="1"/>
    <col min="15357" max="15357" width="61.140625" style="55" bestFit="1" customWidth="1"/>
    <col min="15358" max="15358" width="14.140625" style="55" bestFit="1" customWidth="1"/>
    <col min="15359" max="15359" width="18.7109375" style="55" bestFit="1" customWidth="1"/>
    <col min="15360" max="15360" width="29.42578125" style="55" bestFit="1" customWidth="1"/>
    <col min="15361" max="15361" width="11.140625" style="55" bestFit="1" customWidth="1"/>
    <col min="15362" max="15362" width="15" style="55" bestFit="1" customWidth="1"/>
    <col min="15363" max="15363" width="9.5703125" style="55" bestFit="1" customWidth="1"/>
    <col min="15364" max="15365" width="12" style="55" bestFit="1" customWidth="1"/>
    <col min="15366" max="15610" width="8.85546875" style="55"/>
    <col min="15611" max="15611" width="2.5703125" style="55" customWidth="1"/>
    <col min="15612" max="15612" width="14" style="55" bestFit="1" customWidth="1"/>
    <col min="15613" max="15613" width="61.140625" style="55" bestFit="1" customWidth="1"/>
    <col min="15614" max="15614" width="14.140625" style="55" bestFit="1" customWidth="1"/>
    <col min="15615" max="15615" width="18.7109375" style="55" bestFit="1" customWidth="1"/>
    <col min="15616" max="15616" width="29.42578125" style="55" bestFit="1" customWidth="1"/>
    <col min="15617" max="15617" width="11.140625" style="55" bestFit="1" customWidth="1"/>
    <col min="15618" max="15618" width="15" style="55" bestFit="1" customWidth="1"/>
    <col min="15619" max="15619" width="9.5703125" style="55" bestFit="1" customWidth="1"/>
    <col min="15620" max="15621" width="12" style="55" bestFit="1" customWidth="1"/>
    <col min="15622" max="15866" width="8.85546875" style="55"/>
    <col min="15867" max="15867" width="2.5703125" style="55" customWidth="1"/>
    <col min="15868" max="15868" width="14" style="55" bestFit="1" customWidth="1"/>
    <col min="15869" max="15869" width="61.140625" style="55" bestFit="1" customWidth="1"/>
    <col min="15870" max="15870" width="14.140625" style="55" bestFit="1" customWidth="1"/>
    <col min="15871" max="15871" width="18.7109375" style="55" bestFit="1" customWidth="1"/>
    <col min="15872" max="15872" width="29.42578125" style="55" bestFit="1" customWidth="1"/>
    <col min="15873" max="15873" width="11.140625" style="55" bestFit="1" customWidth="1"/>
    <col min="15874" max="15874" width="15" style="55" bestFit="1" customWidth="1"/>
    <col min="15875" max="15875" width="9.5703125" style="55" bestFit="1" customWidth="1"/>
    <col min="15876" max="15877" width="12" style="55" bestFit="1" customWidth="1"/>
    <col min="15878" max="16122" width="8.85546875" style="55"/>
    <col min="16123" max="16123" width="2.5703125" style="55" customWidth="1"/>
    <col min="16124" max="16124" width="14" style="55" bestFit="1" customWidth="1"/>
    <col min="16125" max="16125" width="61.140625" style="55" bestFit="1" customWidth="1"/>
    <col min="16126" max="16126" width="14.140625" style="55" bestFit="1" customWidth="1"/>
    <col min="16127" max="16127" width="18.7109375" style="55" bestFit="1" customWidth="1"/>
    <col min="16128" max="16128" width="29.42578125" style="55" bestFit="1" customWidth="1"/>
    <col min="16129" max="16129" width="11.140625" style="55" bestFit="1" customWidth="1"/>
    <col min="16130" max="16130" width="15" style="55" bestFit="1" customWidth="1"/>
    <col min="16131" max="16131" width="9.5703125" style="55" bestFit="1" customWidth="1"/>
    <col min="16132" max="16133" width="12" style="55" bestFit="1" customWidth="1"/>
    <col min="16134" max="16384" width="8.85546875" style="55"/>
  </cols>
  <sheetData>
    <row r="1" spans="2:8" ht="15.75" thickBot="1" x14ac:dyDescent="0.3"/>
    <row r="2" spans="2:8" ht="15.75" thickBot="1" x14ac:dyDescent="0.3">
      <c r="B2" s="247" t="s">
        <v>885</v>
      </c>
      <c r="C2" s="248"/>
      <c r="D2" s="248"/>
      <c r="E2" s="248"/>
      <c r="F2" s="248"/>
      <c r="G2" s="248"/>
      <c r="H2" s="249"/>
    </row>
    <row r="3" spans="2:8" ht="15.75" thickBot="1" x14ac:dyDescent="0.3">
      <c r="B3" s="56"/>
      <c r="C3" s="56"/>
      <c r="D3" s="56"/>
      <c r="E3" s="56"/>
    </row>
    <row r="4" spans="2:8" x14ac:dyDescent="0.25">
      <c r="B4" s="250" t="s">
        <v>886</v>
      </c>
      <c r="C4" s="251"/>
      <c r="D4" s="251"/>
      <c r="E4" s="251"/>
      <c r="F4" s="251"/>
      <c r="G4" s="251"/>
      <c r="H4" s="252"/>
    </row>
    <row r="5" spans="2:8" x14ac:dyDescent="0.25">
      <c r="B5" s="57" t="s">
        <v>887</v>
      </c>
      <c r="C5" s="58" t="s">
        <v>888</v>
      </c>
      <c r="D5" s="253" t="s">
        <v>889</v>
      </c>
      <c r="E5" s="253"/>
      <c r="F5" s="253"/>
      <c r="G5" s="254" t="s">
        <v>890</v>
      </c>
      <c r="H5" s="255"/>
    </row>
    <row r="6" spans="2:8" s="61" customFormat="1" ht="12.75" x14ac:dyDescent="0.2">
      <c r="B6" s="59" t="s">
        <v>891</v>
      </c>
      <c r="C6" s="60" t="s">
        <v>892</v>
      </c>
      <c r="D6" s="256">
        <v>0</v>
      </c>
      <c r="E6" s="256"/>
      <c r="F6" s="256"/>
      <c r="G6" s="256">
        <v>0</v>
      </c>
      <c r="H6" s="257"/>
    </row>
    <row r="7" spans="2:8" x14ac:dyDescent="0.25">
      <c r="B7" s="62"/>
      <c r="C7" s="63"/>
      <c r="D7" s="234"/>
      <c r="E7" s="235"/>
      <c r="F7" s="236"/>
      <c r="G7" s="234"/>
      <c r="H7" s="237"/>
    </row>
    <row r="8" spans="2:8" x14ac:dyDescent="0.25">
      <c r="B8" s="238" t="s">
        <v>893</v>
      </c>
      <c r="C8" s="239"/>
      <c r="D8" s="239"/>
      <c r="E8" s="239"/>
      <c r="F8" s="239"/>
      <c r="G8" s="239"/>
      <c r="H8" s="240"/>
    </row>
    <row r="9" spans="2:8" x14ac:dyDescent="0.25">
      <c r="B9" s="241" t="s">
        <v>887</v>
      </c>
      <c r="C9" s="243" t="s">
        <v>888</v>
      </c>
      <c r="D9" s="245" t="s">
        <v>894</v>
      </c>
      <c r="E9" s="246"/>
      <c r="F9" s="246"/>
      <c r="G9" s="246"/>
      <c r="H9" s="64"/>
    </row>
    <row r="10" spans="2:8" ht="45" x14ac:dyDescent="0.25">
      <c r="B10" s="242"/>
      <c r="C10" s="244"/>
      <c r="D10" s="65" t="s">
        <v>895</v>
      </c>
      <c r="E10" s="65" t="s">
        <v>896</v>
      </c>
      <c r="F10" s="65" t="s">
        <v>924</v>
      </c>
      <c r="G10" s="65" t="s">
        <v>897</v>
      </c>
      <c r="H10" s="66" t="s">
        <v>925</v>
      </c>
    </row>
    <row r="11" spans="2:8" s="61" customFormat="1" ht="13.5" thickBot="1" x14ac:dyDescent="0.25">
      <c r="B11" s="67" t="s">
        <v>891</v>
      </c>
      <c r="C11" s="68" t="s">
        <v>892</v>
      </c>
      <c r="D11" s="69">
        <v>700</v>
      </c>
      <c r="E11" s="69">
        <v>24.098357999999998</v>
      </c>
      <c r="F11" s="70">
        <v>0</v>
      </c>
      <c r="G11" s="71">
        <v>724.09835799999996</v>
      </c>
      <c r="H11" s="72">
        <v>4.1000000000000003E-3</v>
      </c>
    </row>
    <row r="12" spans="2:8" x14ac:dyDescent="0.25">
      <c r="B12" s="73"/>
      <c r="C12" s="74"/>
      <c r="D12" s="75"/>
      <c r="E12" s="75"/>
      <c r="F12" s="76"/>
      <c r="G12" s="75"/>
      <c r="H12" s="77"/>
    </row>
    <row r="13" spans="2:8" ht="28.5" customHeight="1" thickBot="1" x14ac:dyDescent="0.3">
      <c r="B13" s="231" t="s">
        <v>898</v>
      </c>
      <c r="C13" s="232"/>
      <c r="D13" s="232"/>
      <c r="E13" s="232"/>
      <c r="F13" s="232"/>
      <c r="G13" s="232"/>
      <c r="H13" s="233"/>
    </row>
    <row r="17" spans="5:6" x14ac:dyDescent="0.25">
      <c r="E17" s="78"/>
    </row>
    <row r="18" spans="5:6" x14ac:dyDescent="0.25">
      <c r="E18" s="78"/>
      <c r="F18" s="79"/>
    </row>
    <row r="20" spans="5:6" x14ac:dyDescent="0.25">
      <c r="E20" s="80"/>
      <c r="F20" s="79"/>
    </row>
    <row r="23" spans="5:6" x14ac:dyDescent="0.25">
      <c r="F23" s="81"/>
    </row>
  </sheetData>
  <mergeCells count="13">
    <mergeCell ref="B2:H2"/>
    <mergeCell ref="B4:H4"/>
    <mergeCell ref="D5:F5"/>
    <mergeCell ref="G5:H5"/>
    <mergeCell ref="D6:F6"/>
    <mergeCell ref="G6:H6"/>
    <mergeCell ref="B13:H13"/>
    <mergeCell ref="D7:F7"/>
    <mergeCell ref="G7:H7"/>
    <mergeCell ref="B8:H8"/>
    <mergeCell ref="B9:B10"/>
    <mergeCell ref="C9:C10"/>
    <mergeCell ref="D9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SMALL5</vt:lpstr>
      <vt:lpstr>SMALL6</vt:lpstr>
      <vt:lpstr>SMILE</vt:lpstr>
      <vt:lpstr>SRURAL</vt:lpstr>
      <vt:lpstr>SSFUND</vt:lpstr>
      <vt:lpstr>SSN100</vt:lpstr>
      <vt:lpstr>STAX</vt:lpstr>
      <vt:lpstr>SUNARF</vt:lpstr>
      <vt:lpstr>SUNBAF</vt:lpstr>
      <vt:lpstr>SUNBAL</vt:lpstr>
      <vt:lpstr>SUNBCF</vt:lpstr>
      <vt:lpstr>SUNEQF</vt:lpstr>
      <vt:lpstr>SUNESF</vt:lpstr>
      <vt:lpstr>SUNFOP</vt:lpstr>
      <vt:lpstr>SUNVALF10</vt:lpstr>
      <vt:lpstr>SUNVALF7</vt:lpstr>
      <vt:lpstr>SUNVALF9</vt:lpstr>
      <vt:lpstr>GLOB</vt:lpstr>
      <vt:lpstr>Annexure A</vt:lpstr>
      <vt:lpstr>Annexure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2021-06-01T13:40:19Z</dcterms:created>
  <dcterms:modified xsi:type="dcterms:W3CDTF">2021-06-10T14:07:29Z</dcterms:modified>
</cp:coreProperties>
</file>