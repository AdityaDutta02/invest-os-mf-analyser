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83530783-BDCA-48B5-A413-9858D23862B2}" xr6:coauthVersionLast="47" xr6:coauthVersionMax="47" xr10:uidLastSave="{00000000-0000-0000-0000-000000000000}"/>
  <bookViews>
    <workbookView xWindow="-120" yWindow="-120" windowWidth="29040" windowHeight="15840" tabRatio="1000" xr2:uid="{6577166D-2BE1-43F1-80AC-3EF0D82FC11A}"/>
  </bookViews>
  <sheets>
    <sheet name="Index" sheetId="30" r:id="rId1"/>
    <sheet name="CAPEXG" sheetId="1" r:id="rId2"/>
    <sheet name="GLOB" sheetId="31"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CYF" sheetId="26" r:id="rId28"/>
    <sheet name="SUNFCF" sheetId="27" r:id="rId29"/>
    <sheet name="SUNFOP" sheetId="28" r:id="rId30"/>
    <sheet name="SUNMAF" sheetId="29" r:id="rId31"/>
    <sheet name="Annexure-A" sheetId="34" r:id="rId32"/>
  </sheets>
  <definedNames>
    <definedName name="_xlnm._FilterDatabase" localSheetId="31" hidden="1">'Annexure-A'!$A$8:$F$132</definedName>
    <definedName name="_xlnm._FilterDatabase" localSheetId="0" hidden="1">Index!$A$1:$C$28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1" i="21" l="1"/>
  <c r="F91" i="21"/>
  <c r="G71" i="21"/>
  <c r="F71" i="21"/>
  <c r="G95" i="19"/>
  <c r="F95" i="19"/>
  <c r="G70" i="19"/>
  <c r="F70" i="19"/>
  <c r="D92" i="31"/>
  <c r="G132" i="16" l="1"/>
  <c r="F132" i="16"/>
  <c r="G131" i="16" s="1"/>
  <c r="F66" i="16"/>
  <c r="F87" i="16"/>
  <c r="G37" i="16" l="1"/>
  <c r="G66" i="16" l="1"/>
  <c r="G87" i="16" s="1"/>
  <c r="F149" i="12" l="1"/>
  <c r="F148" i="12"/>
  <c r="F177" i="29" l="1"/>
  <c r="G176" i="29" s="1"/>
  <c r="G177" i="29" s="1"/>
  <c r="F176" i="29"/>
  <c r="G121" i="29"/>
  <c r="F121" i="29"/>
  <c r="G118" i="29"/>
  <c r="G117" i="29"/>
  <c r="G116" i="29"/>
  <c r="G115" i="29"/>
  <c r="G114" i="29"/>
  <c r="G113" i="29"/>
  <c r="G112" i="29"/>
  <c r="G111" i="29"/>
  <c r="G110" i="29"/>
  <c r="G109" i="29"/>
  <c r="G108" i="29"/>
  <c r="G107" i="29"/>
  <c r="G106" i="29"/>
  <c r="G105" i="29"/>
  <c r="G104" i="29"/>
  <c r="G103" i="29"/>
  <c r="G102" i="29"/>
  <c r="G101" i="29"/>
  <c r="G100" i="29"/>
  <c r="G99" i="29"/>
  <c r="G98" i="29"/>
  <c r="G97" i="29"/>
  <c r="G96" i="29"/>
  <c r="G95" i="29"/>
  <c r="G94" i="29"/>
  <c r="D149" i="23"/>
  <c r="D146" i="21"/>
  <c r="G79" i="21"/>
  <c r="F79" i="21"/>
  <c r="G140" i="19"/>
  <c r="F140" i="19"/>
  <c r="D150" i="19"/>
  <c r="F84" i="19"/>
  <c r="G84" i="19"/>
  <c r="G185" i="17"/>
  <c r="G184" i="17"/>
  <c r="F184" i="17"/>
  <c r="F185" i="17"/>
  <c r="G114" i="17" s="1"/>
  <c r="G126" i="17"/>
  <c r="F126" i="17"/>
  <c r="F124" i="17"/>
  <c r="D142" i="16"/>
  <c r="G182" i="15"/>
  <c r="F182" i="15"/>
  <c r="G181" i="15"/>
  <c r="F181" i="15"/>
  <c r="F119" i="15"/>
  <c r="G90" i="15"/>
  <c r="F91" i="15"/>
  <c r="F117" i="15"/>
  <c r="G116" i="15"/>
  <c r="G115" i="15"/>
  <c r="G114" i="15"/>
  <c r="G113" i="15"/>
  <c r="G112" i="15"/>
  <c r="G111" i="15"/>
  <c r="G110" i="15"/>
  <c r="G109" i="15"/>
  <c r="G108" i="15"/>
  <c r="G107" i="15"/>
  <c r="G106" i="15"/>
  <c r="G105" i="15"/>
  <c r="G104" i="15"/>
  <c r="G103" i="15"/>
  <c r="G102" i="15"/>
  <c r="G101" i="15"/>
  <c r="G100" i="15"/>
  <c r="G117" i="15" s="1"/>
  <c r="G99" i="15"/>
  <c r="G98" i="15"/>
  <c r="G97" i="15"/>
  <c r="G96" i="15"/>
  <c r="G95" i="15"/>
  <c r="G94" i="15"/>
  <c r="F75" i="15"/>
  <c r="G44" i="15"/>
  <c r="G15" i="15"/>
  <c r="G149" i="14"/>
  <c r="F149" i="14"/>
  <c r="G84" i="14" s="1"/>
  <c r="G148" i="14"/>
  <c r="F148" i="14"/>
  <c r="G96" i="14"/>
  <c r="F96" i="14"/>
  <c r="G93" i="14"/>
  <c r="G92" i="14"/>
  <c r="G91" i="14"/>
  <c r="G90" i="14"/>
  <c r="G89" i="14"/>
  <c r="G88" i="14"/>
  <c r="G87" i="14"/>
  <c r="G86" i="14"/>
  <c r="G85"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223" i="13"/>
  <c r="D195" i="13"/>
  <c r="G185" i="13"/>
  <c r="F185" i="13"/>
  <c r="G89" i="13" s="1"/>
  <c r="F73" i="13"/>
  <c r="G73" i="13"/>
  <c r="F90" i="13"/>
  <c r="F80" i="13"/>
  <c r="D159" i="12"/>
  <c r="G115" i="17" l="1"/>
  <c r="G118" i="17"/>
  <c r="G91" i="17"/>
  <c r="G103" i="17"/>
  <c r="G92" i="17"/>
  <c r="G104" i="17"/>
  <c r="G116" i="17"/>
  <c r="G93" i="17"/>
  <c r="G117" i="17"/>
  <c r="G106" i="17"/>
  <c r="G119" i="17"/>
  <c r="G96" i="17"/>
  <c r="G120" i="17"/>
  <c r="G97" i="17"/>
  <c r="G86" i="17"/>
  <c r="G98" i="17"/>
  <c r="G110" i="17"/>
  <c r="G122" i="17"/>
  <c r="G105" i="17"/>
  <c r="G94" i="17"/>
  <c r="G95" i="17"/>
  <c r="G107" i="17"/>
  <c r="G108" i="17"/>
  <c r="G109" i="17"/>
  <c r="G121" i="17"/>
  <c r="G87" i="17"/>
  <c r="G99" i="17"/>
  <c r="G111" i="17"/>
  <c r="G123" i="17"/>
  <c r="G88" i="17"/>
  <c r="G100" i="17"/>
  <c r="G112" i="17"/>
  <c r="G89" i="17"/>
  <c r="G101" i="17"/>
  <c r="G113" i="17"/>
  <c r="G90" i="17"/>
  <c r="G102" i="17"/>
  <c r="G75" i="15"/>
  <c r="G91" i="15"/>
  <c r="G119" i="15" s="1"/>
  <c r="F95" i="13"/>
  <c r="G90" i="13"/>
  <c r="G95" i="13" s="1"/>
  <c r="G124" i="17" l="1"/>
  <c r="D138" i="1"/>
  <c r="G64" i="1"/>
  <c r="F64" i="1"/>
</calcChain>
</file>

<file path=xl/sharedStrings.xml><?xml version="1.0" encoding="utf-8"?>
<sst xmlns="http://schemas.openxmlformats.org/spreadsheetml/2006/main" count="12902" uniqueCount="1238">
  <si>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</si>
  <si>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</si>
  <si>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</si>
  <si>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</si>
  <si>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</si>
  <si>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</si>
  <si>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</si>
  <si>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</si>
  <si>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</si>
  <si>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</si>
  <si>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</si>
  <si>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</si>
  <si>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</si>
  <si>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</si>
  <si>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INE002A01018</t>
  </si>
  <si>
    <t>Reliance Industries Ltd</t>
  </si>
  <si>
    <t>Petroleum Products</t>
  </si>
  <si>
    <t>INE018A01030</t>
  </si>
  <si>
    <t>Larsen &amp; Toubro Ltd</t>
  </si>
  <si>
    <t>Construction</t>
  </si>
  <si>
    <t>INE733E01010</t>
  </si>
  <si>
    <t>NTPC LTD</t>
  </si>
  <si>
    <t>Power</t>
  </si>
  <si>
    <t>INE481G01011</t>
  </si>
  <si>
    <t>Ultratech Cement Ltd</t>
  </si>
  <si>
    <t>Cement &amp; Cement Products</t>
  </si>
  <si>
    <t>INE090A01021</t>
  </si>
  <si>
    <t>ICICI Bank Ltd</t>
  </si>
  <si>
    <t>Banks</t>
  </si>
  <si>
    <t>INE752E01010</t>
  </si>
  <si>
    <t>Power Grid Corporation of India Ltd</t>
  </si>
  <si>
    <t>INE263A01024</t>
  </si>
  <si>
    <t>Bharat Electronics Ltd</t>
  </si>
  <si>
    <t>Aerospace &amp; Defense</t>
  </si>
  <si>
    <t>INE029A01011</t>
  </si>
  <si>
    <t>Bharat Petroleum Corporation Ltd</t>
  </si>
  <si>
    <t>INE823G01014</t>
  </si>
  <si>
    <t>JK Cement Ltd</t>
  </si>
  <si>
    <t>INE062A01020</t>
  </si>
  <si>
    <t>State Bank of India</t>
  </si>
  <si>
    <t>INE200A01026</t>
  </si>
  <si>
    <t>GE Vernova T and D India Ltd</t>
  </si>
  <si>
    <t>Electrical Equipment</t>
  </si>
  <si>
    <t>INE284A01012</t>
  </si>
  <si>
    <t>ESAB India Ltd</t>
  </si>
  <si>
    <t>Industrial Products</t>
  </si>
  <si>
    <t>INE213A01029</t>
  </si>
  <si>
    <t>Oil &amp; Natural Gas Corporation Ltd</t>
  </si>
  <si>
    <t>Oil</t>
  </si>
  <si>
    <t>INE371P01015</t>
  </si>
  <si>
    <t>Amber Enterprises India Ltd</t>
  </si>
  <si>
    <t>Consumer Durables</t>
  </si>
  <si>
    <t>INE791I01019</t>
  </si>
  <si>
    <t>Brigade Enterprises Ltd</t>
  </si>
  <si>
    <t>Realty</t>
  </si>
  <si>
    <t>INE245A01021</t>
  </si>
  <si>
    <t>TATA Power Company Ltd</t>
  </si>
  <si>
    <t>INE742F01042</t>
  </si>
  <si>
    <t>Adani Ports and Special Economic Zone Ltd</t>
  </si>
  <si>
    <t>Transport Infrastructure</t>
  </si>
  <si>
    <t>INE220B01022</t>
  </si>
  <si>
    <t>Kalpataru Projects International Ltd</t>
  </si>
  <si>
    <t>INE646L01027</t>
  </si>
  <si>
    <t>Interglobe Aviation Ltd</t>
  </si>
  <si>
    <t>Transport Services</t>
  </si>
  <si>
    <t>INE121J01017</t>
  </si>
  <si>
    <t>Indus Towers Ltd (Prev Bharti Infratel Ltd)</t>
  </si>
  <si>
    <t>INE00LO01017</t>
  </si>
  <si>
    <t>Craftsman Automation Ltd</t>
  </si>
  <si>
    <t>Auto Components</t>
  </si>
  <si>
    <t>INE343G01021</t>
  </si>
  <si>
    <t>Bharti Hexacom Ltd</t>
  </si>
  <si>
    <t>INE003A01024</t>
  </si>
  <si>
    <t>Siemens Ltd</t>
  </si>
  <si>
    <t>INE999A01023</t>
  </si>
  <si>
    <t>KSB LTD</t>
  </si>
  <si>
    <t>INE926X01010</t>
  </si>
  <si>
    <t>H.G. Infra Engineering Ltd</t>
  </si>
  <si>
    <t>INE419M01027</t>
  </si>
  <si>
    <t>TD Power Systems Ltd</t>
  </si>
  <si>
    <t>INE671H01015</t>
  </si>
  <si>
    <t>Sobha Ltd</t>
  </si>
  <si>
    <t>INE284S01014</t>
  </si>
  <si>
    <t>S.J.S. Enterprises Ltd</t>
  </si>
  <si>
    <t>INE811A01020</t>
  </si>
  <si>
    <t>Kirlosakar Pneumatic Company Ltd</t>
  </si>
  <si>
    <t>INE878B01027</t>
  </si>
  <si>
    <t>KEI Industries Ltd</t>
  </si>
  <si>
    <t>INE040H01021</t>
  </si>
  <si>
    <t>Suzlon Energy Ltd</t>
  </si>
  <si>
    <t>INE702C01027</t>
  </si>
  <si>
    <t>APL Apollo Tubes Ltd</t>
  </si>
  <si>
    <t>INE129A01019</t>
  </si>
  <si>
    <t>GAIL (India) Ltd</t>
  </si>
  <si>
    <t>Gas</t>
  </si>
  <si>
    <t>INE298A01020</t>
  </si>
  <si>
    <t>Cummins India Ltd</t>
  </si>
  <si>
    <t>INE079A01024</t>
  </si>
  <si>
    <t>Ambuja Cements Ltd</t>
  </si>
  <si>
    <t>INE513A01022</t>
  </si>
  <si>
    <t>Schaeffler India Ltd</t>
  </si>
  <si>
    <t>INE237A01028</t>
  </si>
  <si>
    <t>Kotak Mahindra Bank Ltd</t>
  </si>
  <si>
    <t>INE813H01021</t>
  </si>
  <si>
    <t>Torrent Power Ltd</t>
  </si>
  <si>
    <t>INE117A01022</t>
  </si>
  <si>
    <t>ABB India Ltd</t>
  </si>
  <si>
    <t>INE07Y701011</t>
  </si>
  <si>
    <t>Hitachi Energy India Ltd</t>
  </si>
  <si>
    <t>INE020B01018</t>
  </si>
  <si>
    <t>REC Ltd</t>
  </si>
  <si>
    <t>Finance</t>
  </si>
  <si>
    <t>INE868B01028</t>
  </si>
  <si>
    <t>NCC Ltd</t>
  </si>
  <si>
    <t>INE536A01023</t>
  </si>
  <si>
    <t>Grindwell Norton Ltd</t>
  </si>
  <si>
    <t>INE152M01016</t>
  </si>
  <si>
    <t>Triveni Turbine Ltd</t>
  </si>
  <si>
    <t>INE205B01031</t>
  </si>
  <si>
    <t>Elecon Engineering Company Ltd</t>
  </si>
  <si>
    <t>Industrial Manufacturing</t>
  </si>
  <si>
    <t>INE074A01025</t>
  </si>
  <si>
    <t>Praj Industries Ltd</t>
  </si>
  <si>
    <t>INE465A01025</t>
  </si>
  <si>
    <t>Bharat Forge Ltd</t>
  </si>
  <si>
    <t>INE148O01028</t>
  </si>
  <si>
    <t>Delhivery Ltd</t>
  </si>
  <si>
    <t>INE146L01010</t>
  </si>
  <si>
    <t>Kirloskar Oil Engines Ltd</t>
  </si>
  <si>
    <t>INE257A01026</t>
  </si>
  <si>
    <t>Bharat Heavy Electricals Ltd</t>
  </si>
  <si>
    <t>INE111A01025</t>
  </si>
  <si>
    <t>Container Corporation of India Ltd</t>
  </si>
  <si>
    <t>INE152A01029</t>
  </si>
  <si>
    <t>Thermax Ltd</t>
  </si>
  <si>
    <t>INE749A01030</t>
  </si>
  <si>
    <t>Jindal Steel &amp; Power Ltd</t>
  </si>
  <si>
    <t>Ferrous Metals</t>
  </si>
  <si>
    <t>INE671A01010</t>
  </si>
  <si>
    <t>Honeywell Automation India Ltd</t>
  </si>
  <si>
    <t>INE00M201021</t>
  </si>
  <si>
    <t>Sterling and Wilson Renewable Energy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</si>
  <si>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</si>
  <si>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</si>
  <si>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</si>
  <si>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</si>
  <si>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</si>
  <si>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</si>
  <si>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</si>
  <si>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</si>
  <si>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</si>
  <si>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</si>
  <si>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</si>
  <si>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</si>
  <si>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</si>
  <si>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</si>
  <si>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</si>
  <si>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</si>
  <si>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</si>
  <si>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</si>
  <si>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</si>
  <si>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</si>
  <si>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</si>
  <si>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</si>
  <si>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</si>
  <si>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</si>
  <si>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</si>
  <si>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</si>
  <si>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</si>
  <si>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</si>
  <si>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INF903JA1FR6</t>
  </si>
  <si>
    <t>Sundaram Money Market Fund-Direct Plan - Growth</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</si>
  <si>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</si>
  <si>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</si>
  <si>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</si>
  <si>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</si>
  <si>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</si>
  <si>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</si>
  <si>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</si>
  <si>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</si>
  <si>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</si>
  <si>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</si>
  <si>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</si>
  <si>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</si>
  <si>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</si>
  <si>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Direct Plan - Dividend</t>
  </si>
  <si>
    <t>Regular Plan - Growth</t>
  </si>
  <si>
    <t>Regular Plan - Dividend</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</si>
  <si>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</si>
  <si>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</si>
  <si>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</si>
  <si>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</si>
  <si>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</si>
  <si>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</si>
  <si>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</si>
  <si>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INE169A01031</t>
  </si>
  <si>
    <t>Coromandel International Ltd</t>
  </si>
  <si>
    <t>Fertilizers &amp; Agrochemicals</t>
  </si>
  <si>
    <t>INE303R01014</t>
  </si>
  <si>
    <t>Kalyan Jewellers India Ltd</t>
  </si>
  <si>
    <t>INE326A01037</t>
  </si>
  <si>
    <t>Lupin Ltd</t>
  </si>
  <si>
    <t>Pharmaceuticals &amp; Biotechnology</t>
  </si>
  <si>
    <t>INE262H01021</t>
  </si>
  <si>
    <t>Persistent Systems Ltd</t>
  </si>
  <si>
    <t>It - Software</t>
  </si>
  <si>
    <t>INE562A01011</t>
  </si>
  <si>
    <t>Indian Bank</t>
  </si>
  <si>
    <t>INE061F01013</t>
  </si>
  <si>
    <t>Fortis Health Care Ltd</t>
  </si>
  <si>
    <t>Healthcare Services</t>
  </si>
  <si>
    <t>INE774D01024</t>
  </si>
  <si>
    <t>Mahindra &amp; Mahindra Financial Services Ltd</t>
  </si>
  <si>
    <t>INE949L01017</t>
  </si>
  <si>
    <t>AU Small Finance Bank Ltd</t>
  </si>
  <si>
    <t>INE196A01026</t>
  </si>
  <si>
    <t>Marico Ltd</t>
  </si>
  <si>
    <t>Agricultural Food &amp; Other Products</t>
  </si>
  <si>
    <t>INE093I01010</t>
  </si>
  <si>
    <t>Oberoi Realty Ltd</t>
  </si>
  <si>
    <t>INE417T01026</t>
  </si>
  <si>
    <t>PB Fintech Ltd</t>
  </si>
  <si>
    <t>Financial Technology (Fintech)</t>
  </si>
  <si>
    <t>INE094A01015</t>
  </si>
  <si>
    <t>Hindustan Petroleum Corporation Ltd</t>
  </si>
  <si>
    <t>INE540L01014</t>
  </si>
  <si>
    <t>Alkem Laboratories Ltd</t>
  </si>
  <si>
    <t>INE849A01020</t>
  </si>
  <si>
    <t>Trent Ltd</t>
  </si>
  <si>
    <t>Retailing</t>
  </si>
  <si>
    <t>INE797F01020</t>
  </si>
  <si>
    <t>Jubilant Foodworks Ltd</t>
  </si>
  <si>
    <t>Leisure Services</t>
  </si>
  <si>
    <t>INE686F01025</t>
  </si>
  <si>
    <t>United Breweries Ltd</t>
  </si>
  <si>
    <t>Beverages</t>
  </si>
  <si>
    <t>INE438A01022</t>
  </si>
  <si>
    <t>Apollo Tyres Ltd</t>
  </si>
  <si>
    <t>INE118H01025</t>
  </si>
  <si>
    <t>BSE Ltd</t>
  </si>
  <si>
    <t>Capital Markets</t>
  </si>
  <si>
    <t>INE027H01010</t>
  </si>
  <si>
    <t>Max Healthcare Institute Ltd</t>
  </si>
  <si>
    <t>INE663F01024</t>
  </si>
  <si>
    <t>Info Edge (India) Ltd</t>
  </si>
  <si>
    <t>INE692A01016</t>
  </si>
  <si>
    <t>Union Bank of India</t>
  </si>
  <si>
    <t>INE427F01016</t>
  </si>
  <si>
    <t>Chalet Hotels Ltd</t>
  </si>
  <si>
    <t>INE356A01018</t>
  </si>
  <si>
    <t>MphasiS Ltd</t>
  </si>
  <si>
    <t>INE721A01047</t>
  </si>
  <si>
    <t>Shriram Finance Ltd</t>
  </si>
  <si>
    <t>INE591G01017</t>
  </si>
  <si>
    <t>Coforge Ltd</t>
  </si>
  <si>
    <t>INE105A01035</t>
  </si>
  <si>
    <t>TVS Holdings Ltd</t>
  </si>
  <si>
    <t>INE012A01025</t>
  </si>
  <si>
    <t>ACC Ltd</t>
  </si>
  <si>
    <t>INE342J01019</t>
  </si>
  <si>
    <t>ZF Commercial Vehicle Control Systems I Ltd</t>
  </si>
  <si>
    <t>INE600L01024</t>
  </si>
  <si>
    <t>Dr Lal Path Labs Ltd</t>
  </si>
  <si>
    <t>INE006I01046</t>
  </si>
  <si>
    <t>Astral Ltd</t>
  </si>
  <si>
    <t>INE288B01029</t>
  </si>
  <si>
    <t>Deepak Nitrite Ltd</t>
  </si>
  <si>
    <t>Chemicals &amp; Petrochemicals</t>
  </si>
  <si>
    <t>INE726G01019</t>
  </si>
  <si>
    <t>ICICI Prudential Life Insurance Company Ltd</t>
  </si>
  <si>
    <t>Insurance</t>
  </si>
  <si>
    <t>INE455K01017</t>
  </si>
  <si>
    <t>Polycab India Ltd</t>
  </si>
  <si>
    <t>INE494B01023</t>
  </si>
  <si>
    <t>TVS Motor Company Ltd</t>
  </si>
  <si>
    <t>Automobiles</t>
  </si>
  <si>
    <t>INE195A01028</t>
  </si>
  <si>
    <t>Supreme Industries Ltd</t>
  </si>
  <si>
    <t>INE115A01026</t>
  </si>
  <si>
    <t>LIC Housing Finance Ltd</t>
  </si>
  <si>
    <t>INE405E01023</t>
  </si>
  <si>
    <t>UNO Minda Ltd</t>
  </si>
  <si>
    <t>INE872J01023</t>
  </si>
  <si>
    <t>Devyani international limited</t>
  </si>
  <si>
    <t>INE811K01011</t>
  </si>
  <si>
    <t>Prestige Estates Projects Ltd</t>
  </si>
  <si>
    <t>INE010B01027</t>
  </si>
  <si>
    <t>Zydus Lifesciences Ltd</t>
  </si>
  <si>
    <t>INE596I01012</t>
  </si>
  <si>
    <t>Computer Age Management Services Ltd</t>
  </si>
  <si>
    <t>INE634S01028</t>
  </si>
  <si>
    <t>Mankind Pharma Ltd</t>
  </si>
  <si>
    <t>INE603J01030</t>
  </si>
  <si>
    <t>PI Industries Ltd</t>
  </si>
  <si>
    <t>INE073K01018</t>
  </si>
  <si>
    <t>Sona BLW Precision Forgings Ltd</t>
  </si>
  <si>
    <t>INE180A01020</t>
  </si>
  <si>
    <t>Max Financial Services Ltd</t>
  </si>
  <si>
    <t>INE211B01039</t>
  </si>
  <si>
    <t>The Phoenix Mills Ltd</t>
  </si>
  <si>
    <t>INE134E01011</t>
  </si>
  <si>
    <t>Power Finance Corporation Ltd</t>
  </si>
  <si>
    <t>INE299U01018</t>
  </si>
  <si>
    <t>Crompton Greaves Consumer Electricals Ltd</t>
  </si>
  <si>
    <t>INE246F01010</t>
  </si>
  <si>
    <t>Gujarat State Petronet Ltd</t>
  </si>
  <si>
    <t>INE974X01010</t>
  </si>
  <si>
    <t>Tube Investments of India Ltd</t>
  </si>
  <si>
    <t>INE0LXG01040</t>
  </si>
  <si>
    <t>Ola Electric Mobility Ltd</t>
  </si>
  <si>
    <t>INE226A01021</t>
  </si>
  <si>
    <t>Voltas Ltd</t>
  </si>
  <si>
    <t>INE670A01012</t>
  </si>
  <si>
    <t>Tata Elxsi Ltd</t>
  </si>
  <si>
    <t>INE053A01029</t>
  </si>
  <si>
    <t>The Indian Hotels Company Ltd</t>
  </si>
  <si>
    <t>INE048G01026</t>
  </si>
  <si>
    <t>Navin Fluorine International Ltd</t>
  </si>
  <si>
    <t>INE548C01032</t>
  </si>
  <si>
    <t>Emami Ltd</t>
  </si>
  <si>
    <t>Personal Products</t>
  </si>
  <si>
    <t>INE216P01012</t>
  </si>
  <si>
    <t>Aavas Financiers Ltd</t>
  </si>
  <si>
    <t>INE217B01036</t>
  </si>
  <si>
    <t>Kajaria Ceramics Ltd</t>
  </si>
  <si>
    <t>INE935N01020</t>
  </si>
  <si>
    <t>Dixon Technologies (India) Ltd</t>
  </si>
  <si>
    <t>INE844O01030</t>
  </si>
  <si>
    <t>Gujarat Gas Co Ltd</t>
  </si>
  <si>
    <t>INF173K01GU0</t>
  </si>
  <si>
    <t>Sundaram Liquid Fund - Direct Growth</t>
  </si>
  <si>
    <t>Sundaram Large and Mid Cap Fund</t>
  </si>
  <si>
    <t>INE040A01034</t>
  </si>
  <si>
    <t>HDFC Bank Ltd</t>
  </si>
  <si>
    <t>INE009A01021</t>
  </si>
  <si>
    <t>Infosys Ltd</t>
  </si>
  <si>
    <t>INE238A01034</t>
  </si>
  <si>
    <t>Axis Bank Ltd</t>
  </si>
  <si>
    <t>INE758T01015</t>
  </si>
  <si>
    <t>Zomato Ltd</t>
  </si>
  <si>
    <t>INE044A01036</t>
  </si>
  <si>
    <t>Sun Pharmaceutical Industries Ltd</t>
  </si>
  <si>
    <t>INE467B01029</t>
  </si>
  <si>
    <t>Tata Consultancy Services Ltd</t>
  </si>
  <si>
    <t>INE296A01024</t>
  </si>
  <si>
    <t>Bajaj Finance Ltd</t>
  </si>
  <si>
    <t>INE028A01039</t>
  </si>
  <si>
    <t>Bank of Baroda</t>
  </si>
  <si>
    <t>INE154A01025</t>
  </si>
  <si>
    <t>ITC Ltd</t>
  </si>
  <si>
    <t>Diversified Fmcg</t>
  </si>
  <si>
    <t>INE745G01035</t>
  </si>
  <si>
    <t>Multi Commodity Exchange of India Ltd</t>
  </si>
  <si>
    <t>INE121A01024</t>
  </si>
  <si>
    <t>Cholamandalam Investment and Finance Company Ltd</t>
  </si>
  <si>
    <t>INE317I01021</t>
  </si>
  <si>
    <t>Metro Brands Ltd</t>
  </si>
  <si>
    <t>INE00WC01027</t>
  </si>
  <si>
    <t>Affle (India) Ltd</t>
  </si>
  <si>
    <t>It - Services</t>
  </si>
  <si>
    <t>INE200M01039</t>
  </si>
  <si>
    <t>Varun Beverages Ltd</t>
  </si>
  <si>
    <t>INE089A01031</t>
  </si>
  <si>
    <t>Dr. Reddys Laboratories Ltd</t>
  </si>
  <si>
    <t>INE155A01022</t>
  </si>
  <si>
    <t>Tata Motors Ltd</t>
  </si>
  <si>
    <t>INE880J01026</t>
  </si>
  <si>
    <t>JSW Infrastructure Ltd</t>
  </si>
  <si>
    <t>INE047A01021</t>
  </si>
  <si>
    <t>Grasim Industries Ltd</t>
  </si>
  <si>
    <t>INE280A01028</t>
  </si>
  <si>
    <t>Titan Company Ltd</t>
  </si>
  <si>
    <t>INE066F01020</t>
  </si>
  <si>
    <t>Hindustan Aeronautics Ltd</t>
  </si>
  <si>
    <t>INE522F01014</t>
  </si>
  <si>
    <t>Coal India Ltd</t>
  </si>
  <si>
    <t>Consumable Fuels</t>
  </si>
  <si>
    <t>Sundaram Long Term Tax Advantage Fund Series III</t>
  </si>
  <si>
    <t>INE806T01020</t>
  </si>
  <si>
    <t>Sapphire Foods India Ltd</t>
  </si>
  <si>
    <t>INE429E01023</t>
  </si>
  <si>
    <t>Safari Industries (India) Ltd</t>
  </si>
  <si>
    <t>INE914M01019</t>
  </si>
  <si>
    <t>Aster DM Healthcare Ltd</t>
  </si>
  <si>
    <t>INE679A01013</t>
  </si>
  <si>
    <t>CSB Bank Ltd</t>
  </si>
  <si>
    <t>INE572A01036</t>
  </si>
  <si>
    <t>JB Chemicals &amp; Pharmaceuticals Ltd</t>
  </si>
  <si>
    <t>INE199A01012</t>
  </si>
  <si>
    <t>Procter &amp; Gamble Health Ltd</t>
  </si>
  <si>
    <t>INE551W01018</t>
  </si>
  <si>
    <t>Ujjivan Small Finance Bank Ltd</t>
  </si>
  <si>
    <t>INE063P01018</t>
  </si>
  <si>
    <t>Equitas Small Finance Bank Limited</t>
  </si>
  <si>
    <t>INE732I01013</t>
  </si>
  <si>
    <t>Angel One Ltd</t>
  </si>
  <si>
    <t>INE0CLI01024</t>
  </si>
  <si>
    <t>Rate Gain Travel Technologies Ltd</t>
  </si>
  <si>
    <t>INE285J01028</t>
  </si>
  <si>
    <t>SIS Ltd</t>
  </si>
  <si>
    <t>Commercial Services &amp; Supplies</t>
  </si>
  <si>
    <t>INE191H01014</t>
  </si>
  <si>
    <t>PVR INOX Ltd</t>
  </si>
  <si>
    <t>Entertainment</t>
  </si>
  <si>
    <t>INE149A01033</t>
  </si>
  <si>
    <t>Cholamandalam Financial Holdings Ltd</t>
  </si>
  <si>
    <t>INE274F01020</t>
  </si>
  <si>
    <t>Westlife Foodworld Ltd</t>
  </si>
  <si>
    <t>INE477A01020</t>
  </si>
  <si>
    <t>Can Fin Homes Ltd</t>
  </si>
  <si>
    <t>INE947Q01028</t>
  </si>
  <si>
    <t>Laurus Labs Ltd</t>
  </si>
  <si>
    <t>INE743M01012</t>
  </si>
  <si>
    <t>RHI Magnesita India Ltd</t>
  </si>
  <si>
    <t>INE836A01035</t>
  </si>
  <si>
    <t>Birlasoft Ltd</t>
  </si>
  <si>
    <t>INE741K01010</t>
  </si>
  <si>
    <t>Creditaccess Grameen Ltd</t>
  </si>
  <si>
    <t>INE081A01020</t>
  </si>
  <si>
    <t>Tata Steel Ltd</t>
  </si>
  <si>
    <t>INE348B01021</t>
  </si>
  <si>
    <t>Century Plyboards (India) Ltd</t>
  </si>
  <si>
    <t>INE411H01032</t>
  </si>
  <si>
    <t>R Systems International Ltd</t>
  </si>
  <si>
    <t>INE295F01017</t>
  </si>
  <si>
    <t>Butterfly Gandhimathi Appliances Ltd</t>
  </si>
  <si>
    <t>INE688A01022</t>
  </si>
  <si>
    <t>Transport Corporation of India Ltd</t>
  </si>
  <si>
    <t>INE120A01034</t>
  </si>
  <si>
    <t>Carborundum Universal Ltd</t>
  </si>
  <si>
    <t>INE227C01017</t>
  </si>
  <si>
    <t>MM Forgings Ltd</t>
  </si>
  <si>
    <t>Sundaram Long Term Tax Advantage Fund Series IV</t>
  </si>
  <si>
    <t>Sundaram Long Term Tax Advantage Fund Series-I</t>
  </si>
  <si>
    <t>Sundaram Long Term Tax Advantage Fund Series-II</t>
  </si>
  <si>
    <t>INE860A01027</t>
  </si>
  <si>
    <t>HCL Technologies Ltd</t>
  </si>
  <si>
    <t>INE038A01020</t>
  </si>
  <si>
    <t>Hindalco Industries Ltd</t>
  </si>
  <si>
    <t>Non - Ferrous Metals</t>
  </si>
  <si>
    <t>INE123W01016</t>
  </si>
  <si>
    <t>SBI Life Insurance Company Ltd</t>
  </si>
  <si>
    <t>INE059A01026</t>
  </si>
  <si>
    <t>Cipla Ltd</t>
  </si>
  <si>
    <t>INE192A01025</t>
  </si>
  <si>
    <t>TATA Consumer Products Ltd</t>
  </si>
  <si>
    <t>INE340A01012</t>
  </si>
  <si>
    <t>Birla Corporation Ltd</t>
  </si>
  <si>
    <t>INE030A01027</t>
  </si>
  <si>
    <t>Hindustan UniLever Ltd</t>
  </si>
  <si>
    <t>INE095A01012</t>
  </si>
  <si>
    <t>IndusInd Bank Ltd</t>
  </si>
  <si>
    <t>INE075A01022</t>
  </si>
  <si>
    <t>Wipro Ltd</t>
  </si>
  <si>
    <t>INE379A01028</t>
  </si>
  <si>
    <t>ITC Hotels Ltd</t>
  </si>
  <si>
    <t>IN9397D01014</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</si>
  <si>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</si>
  <si>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</si>
  <si>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</si>
  <si>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</si>
  <si>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</si>
  <si>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</si>
  <si>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</si>
  <si>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INE572E01012</t>
  </si>
  <si>
    <t>PNB Housing Finance Ltd</t>
  </si>
  <si>
    <t>INE864I01014</t>
  </si>
  <si>
    <t>MTAR Technologies Ltd</t>
  </si>
  <si>
    <t>INE0UOS01011</t>
  </si>
  <si>
    <t>Sanofi Consumer Healthcare India Ltd</t>
  </si>
  <si>
    <t>INE119A01028</t>
  </si>
  <si>
    <t>Balrampur Chini Mills Ltd</t>
  </si>
  <si>
    <t>INE126A01031</t>
  </si>
  <si>
    <t>EID Parry India Ltd</t>
  </si>
  <si>
    <t>INE794A01010</t>
  </si>
  <si>
    <t>Neuland Laboratories Ltd</t>
  </si>
  <si>
    <t>INE177F01017</t>
  </si>
  <si>
    <t>Kovai Medical Center &amp; Hospital Ltd</t>
  </si>
  <si>
    <t>INE503A01015</t>
  </si>
  <si>
    <t>DCB Bank Ltd</t>
  </si>
  <si>
    <t>INE570A01022</t>
  </si>
  <si>
    <t>Ion Exchange (India) Ltd</t>
  </si>
  <si>
    <t>Other Utilities</t>
  </si>
  <si>
    <t>INE482A01020</t>
  </si>
  <si>
    <t>Ceat Ltd</t>
  </si>
  <si>
    <t>INE342G01023</t>
  </si>
  <si>
    <t>NIIT Learning Systems Ltd</t>
  </si>
  <si>
    <t>Other Consumer Services</t>
  </si>
  <si>
    <t>INE011K01018</t>
  </si>
  <si>
    <t>Tega Industries Ltd</t>
  </si>
  <si>
    <t>INE142Z01019</t>
  </si>
  <si>
    <t>Orient Electric Ltd</t>
  </si>
  <si>
    <t>INE136S01016</t>
  </si>
  <si>
    <t>Neogen Chemicals Ltd</t>
  </si>
  <si>
    <t>INE136B01020</t>
  </si>
  <si>
    <t>Cyient Ltd</t>
  </si>
  <si>
    <t>INE640A01023</t>
  </si>
  <si>
    <t>SKF India Ltd</t>
  </si>
  <si>
    <t>INE456Z01021</t>
  </si>
  <si>
    <t>Medi Assist Healthcare Services Ltd</t>
  </si>
  <si>
    <t>INE00F201020</t>
  </si>
  <si>
    <t>Prudent Corporate Advisory Services Ltd</t>
  </si>
  <si>
    <t>INE094J01016</t>
  </si>
  <si>
    <t>UTI Asset Management Co Ltd</t>
  </si>
  <si>
    <t>INE602W01027</t>
  </si>
  <si>
    <t>Senco Gold Ltd</t>
  </si>
  <si>
    <t>INE02YR01019</t>
  </si>
  <si>
    <t>Electronics Mart India Ltd</t>
  </si>
  <si>
    <t>INE930H01031</t>
  </si>
  <si>
    <t>K.P.R. Mill Ltd</t>
  </si>
  <si>
    <t>Textiles &amp; Apparels</t>
  </si>
  <si>
    <t>INE944F01028</t>
  </si>
  <si>
    <t>Radico Khaitan Ltd</t>
  </si>
  <si>
    <t>INE084A01016</t>
  </si>
  <si>
    <t>Bank of India</t>
  </si>
  <si>
    <t>INE0LMW01024</t>
  </si>
  <si>
    <t>Cello World Ltd</t>
  </si>
  <si>
    <t>INE0V7W01012</t>
  </si>
  <si>
    <t>Carraro India Ltd</t>
  </si>
  <si>
    <t>Stock Future</t>
  </si>
  <si>
    <t>IN002024Z057</t>
  </si>
  <si>
    <t>Sovereign</t>
  </si>
  <si>
    <t>Margin Money For Derivatives</t>
  </si>
  <si>
    <t>Sundaram Aggressive Hybrid Fund</t>
  </si>
  <si>
    <t>INE585B01010</t>
  </si>
  <si>
    <t>Maruti Suzuki India Ltd</t>
  </si>
  <si>
    <t>INE854D01024</t>
  </si>
  <si>
    <t>United Spirits Ltd</t>
  </si>
  <si>
    <t>INE917I01010</t>
  </si>
  <si>
    <t>Bajaj Auto Ltd</t>
  </si>
  <si>
    <t>INE669C01036</t>
  </si>
  <si>
    <t>Tech Mahindra Ltd</t>
  </si>
  <si>
    <t>INE481N01025</t>
  </si>
  <si>
    <t>Home First Finance Company Ltd</t>
  </si>
  <si>
    <t>INE101A01026</t>
  </si>
  <si>
    <t>Mahindra &amp; Mahindra Ltd</t>
  </si>
  <si>
    <t>INE885A01032</t>
  </si>
  <si>
    <t>Amara Raja Energy &amp; Mobility Ltd</t>
  </si>
  <si>
    <t>INE183A01024</t>
  </si>
  <si>
    <t>Finolex Industries Ltd</t>
  </si>
  <si>
    <t>INE852S01026</t>
  </si>
  <si>
    <t>INE261F08EF5</t>
  </si>
  <si>
    <t>National Bank for Agriculture &amp; Rural Development - 7.8% - 15/03/2027</t>
  </si>
  <si>
    <t>ICRA AAA</t>
  </si>
  <si>
    <t>INE261F08DX0</t>
  </si>
  <si>
    <t>National Bank for Agriculture &amp; Rural Development - 7.58% - 31/07/2026**</t>
  </si>
  <si>
    <t>CRISIL AAA</t>
  </si>
  <si>
    <t>INE121A07RZ4</t>
  </si>
  <si>
    <t>Cholamandalam Investment and Finance Co Ltd - 8.54% - 12/04/2029**</t>
  </si>
  <si>
    <t>ICRA AA+</t>
  </si>
  <si>
    <t>INE296A07SV1</t>
  </si>
  <si>
    <t>Bajaj Finance Ltd - 7.82% - 31/01/2034**</t>
  </si>
  <si>
    <t>INE134E08MB9</t>
  </si>
  <si>
    <t>Power Finance Corporation Ltd - 7.82% - 06/03/2038**</t>
  </si>
  <si>
    <t>INE115A07QH6</t>
  </si>
  <si>
    <t>LIC Housing Finance Ltd - 8.025% - 23/03/2033**</t>
  </si>
  <si>
    <t>INE0KUG08027</t>
  </si>
  <si>
    <t>National Bank for Financing Infrastructure and Development - 7.65% - 22/12/2038**</t>
  </si>
  <si>
    <t>INE556F08KM1</t>
  </si>
  <si>
    <t>Small Industries Development Bank of India - 7.79% - 14/05/2027**</t>
  </si>
  <si>
    <t>INE134E08MX3</t>
  </si>
  <si>
    <t>Power Finance Corporation Ltd - 7.6% - 13/04/2029**</t>
  </si>
  <si>
    <t>INE261F08DV4</t>
  </si>
  <si>
    <t>National Bank for Agriculture &amp; Rural Development - 7.62% - 31/01/2028**</t>
  </si>
  <si>
    <t>INE040A08955</t>
  </si>
  <si>
    <t>HDFC Bank Ltd - 7.7% - 16/05/2028**</t>
  </si>
  <si>
    <t>INE721A07RH9</t>
  </si>
  <si>
    <t>Shriram Finance Ltd - 8.75% - 15/06/2026**</t>
  </si>
  <si>
    <t>CRISIL AA+</t>
  </si>
  <si>
    <t>INE134E08NB7</t>
  </si>
  <si>
    <t>Power Finance Corporation Ltd - 7.32% - 15/07/2039**</t>
  </si>
  <si>
    <t>INE556F08KH1</t>
  </si>
  <si>
    <t>Small Industries Development Bank of India - 7.43% - 31/08/2026**</t>
  </si>
  <si>
    <t>INE296A07SU3</t>
  </si>
  <si>
    <t>Bajaj Finance Ltd - 7.87% - 08/02/2034**</t>
  </si>
  <si>
    <t>INE0KUG08035</t>
  </si>
  <si>
    <t>National Bank for Financing Infrastructure and Development - 7.43% - 04/07/2034**</t>
  </si>
  <si>
    <t>INE053F08338</t>
  </si>
  <si>
    <t>Indian Railway Finance Corporation Ltd - 7.68% - 24/11/2026**</t>
  </si>
  <si>
    <t>INE020B08FF1</t>
  </si>
  <si>
    <t>REC LTD - 7.56% - 31/08/2027**</t>
  </si>
  <si>
    <t>INE053F08296</t>
  </si>
  <si>
    <t>Indian Railway Finance Corporation Ltd - 7.74% - 15/04/2038**</t>
  </si>
  <si>
    <t>INE040A08666</t>
  </si>
  <si>
    <t>HDFC Bank Ltd (Prev HDFC Ltd) - 7.8% - 03/05/2033**</t>
  </si>
  <si>
    <t>INE134E08MJ2</t>
  </si>
  <si>
    <t>Power Finance Corporation Ltd - 7.77% - 15/04/2028**</t>
  </si>
  <si>
    <t>INE752E08734</t>
  </si>
  <si>
    <t>Power Grid Corporation of India Ltd - 7.35% - 12/03/2034**</t>
  </si>
  <si>
    <t>INE134E08MC7</t>
  </si>
  <si>
    <t>Power Finance Corporation Ltd - 7.77% - 15/07/2026**</t>
  </si>
  <si>
    <t>INE041007100</t>
  </si>
  <si>
    <t>Embassy Office Parks REIT - 7.77% - 05/06/2025**</t>
  </si>
  <si>
    <t>INE261F08DP6</t>
  </si>
  <si>
    <t>National Bank for Agriculture &amp; Rural Development - 7.35% - 08/07/2025**</t>
  </si>
  <si>
    <t>INE115A07PI6</t>
  </si>
  <si>
    <t>LIC Housing Finance Ltd - 6.17% - 03/09/2026**</t>
  </si>
  <si>
    <t>INE556F08KP4</t>
  </si>
  <si>
    <t>Small Industries Development Bank of India - 7.68% - 10/08/2027**</t>
  </si>
  <si>
    <t>INE572E07183</t>
  </si>
  <si>
    <t>PNB Housing Finance Ltd - 8.15% - 29/07/2027**</t>
  </si>
  <si>
    <t>IND AA+</t>
  </si>
  <si>
    <t>INE020B08EI8</t>
  </si>
  <si>
    <t>REC LTD - 7.51% - 31/07/2026**</t>
  </si>
  <si>
    <t>INE020B08EL2</t>
  </si>
  <si>
    <t>REC LTD - 7.44% - 30/04/2026**</t>
  </si>
  <si>
    <t>INE557F08FR8</t>
  </si>
  <si>
    <t>National Housing Bank - 7.22% - 23/07/2026</t>
  </si>
  <si>
    <t>IN0020240019</t>
  </si>
  <si>
    <t>7.10% Central Government Securities 08/04/2034</t>
  </si>
  <si>
    <t>IN0020240027</t>
  </si>
  <si>
    <t>IN0020240035</t>
  </si>
  <si>
    <t>7.34% Central Government Securities 22/04/2064</t>
  </si>
  <si>
    <t>IN0020230077</t>
  </si>
  <si>
    <t>7.18%  Government Securities - 24/07/2037</t>
  </si>
  <si>
    <t>IN0020230051</t>
  </si>
  <si>
    <t>7.30% Government Securities - 19/06/2053</t>
  </si>
  <si>
    <t>IN0020220011</t>
  </si>
  <si>
    <t>IN3120150203</t>
  </si>
  <si>
    <t>8.69% Tamil Nadu State Development Loan - 24/02/2026</t>
  </si>
  <si>
    <t>IN0020240076</t>
  </si>
  <si>
    <t>7.02% Central Government Securities 18/06/2031</t>
  </si>
  <si>
    <t>IN0020210160</t>
  </si>
  <si>
    <t>IN3120230484</t>
  </si>
  <si>
    <t>7.44% Tamil Nadu State Government Securities -20/03/2034</t>
  </si>
  <si>
    <t>INE261F16934</t>
  </si>
  <si>
    <t>National Bank for Agriculture &amp; Rural Development - 05/02/2026**</t>
  </si>
  <si>
    <t>CRISIL A1+</t>
  </si>
  <si>
    <t>INE040A16FA5</t>
  </si>
  <si>
    <t>HDFC Bank Ltd - 24/06/2025**</t>
  </si>
  <si>
    <t>INE115A14EX5</t>
  </si>
  <si>
    <t>LIC Housing Finance Ltd - 21/03/2025**</t>
  </si>
  <si>
    <t>Individual &amp; HUF</t>
  </si>
  <si>
    <t>Others</t>
  </si>
  <si>
    <t>Sundaram Arbitrage Fund</t>
  </si>
  <si>
    <t>INE423A01024</t>
  </si>
  <si>
    <t>Adani Enterprises</t>
  </si>
  <si>
    <t>Metals &amp; Minerals Trading</t>
  </si>
  <si>
    <t>INE271C01023</t>
  </si>
  <si>
    <t>DLF Ltd</t>
  </si>
  <si>
    <t>INE160A01022</t>
  </si>
  <si>
    <t>Punjab National Bank</t>
  </si>
  <si>
    <t>INE674K01013</t>
  </si>
  <si>
    <t>Aditya Birla Capital Ltd</t>
  </si>
  <si>
    <t>INE406A01037</t>
  </si>
  <si>
    <t>Aurobindo Pharma Ltd</t>
  </si>
  <si>
    <t>INE476A01022</t>
  </si>
  <si>
    <t>Canara Bank</t>
  </si>
  <si>
    <t>INE647O01011</t>
  </si>
  <si>
    <t>Aditya Birla Fashion and Retail Ltd</t>
  </si>
  <si>
    <t>INE918I01026</t>
  </si>
  <si>
    <t>Bajaj Finserv Ltd</t>
  </si>
  <si>
    <t>INE242A01010</t>
  </si>
  <si>
    <t>Indian Oil Corporation Ltd</t>
  </si>
  <si>
    <t>INE769A01020</t>
  </si>
  <si>
    <t>Aarti Industries Ltd</t>
  </si>
  <si>
    <t>IN0020220037</t>
  </si>
  <si>
    <t>7.38% Central Government Securities 20/06/2027</t>
  </si>
  <si>
    <t>IN002024Z032</t>
  </si>
  <si>
    <t>IN002024Z040</t>
  </si>
  <si>
    <t>IN002024Z248</t>
  </si>
  <si>
    <t>Sundaram Balanced Advantage Fund</t>
  </si>
  <si>
    <t>INE002S01010</t>
  </si>
  <si>
    <t>Mahanagar Gas Ltd</t>
  </si>
  <si>
    <t>INE020B08FD6</t>
  </si>
  <si>
    <t>REC LTD - 7.58% - 31/05/2029**</t>
  </si>
  <si>
    <t>INE115A07QD5</t>
  </si>
  <si>
    <t>LIC Housing Finance Ltd - 7.82% - 28/11/2025**</t>
  </si>
  <si>
    <t>IN0020230135</t>
  </si>
  <si>
    <t>IN0020230036</t>
  </si>
  <si>
    <t>7.17% Government Securities - 17/04/20230</t>
  </si>
  <si>
    <t>-</t>
  </si>
  <si>
    <t>Sundaram Dividend Yield Fund</t>
  </si>
  <si>
    <t>INE472A01039</t>
  </si>
  <si>
    <t>Blue Star Ltd</t>
  </si>
  <si>
    <t>INE486A01021</t>
  </si>
  <si>
    <t>CESC Ltd</t>
  </si>
  <si>
    <t>INE216A01030</t>
  </si>
  <si>
    <t>Britannia Industries Ltd</t>
  </si>
  <si>
    <t>Food Products</t>
  </si>
  <si>
    <t>INE010V01017</t>
  </si>
  <si>
    <t>L&amp;T Technology Services Ltd</t>
  </si>
  <si>
    <t>INE058A01010</t>
  </si>
  <si>
    <t>Sanofi India Ltd</t>
  </si>
  <si>
    <t>INE066A01021</t>
  </si>
  <si>
    <t>Eicher Motors Ltd</t>
  </si>
  <si>
    <t>INE462A01022</t>
  </si>
  <si>
    <t>Bayer Cropscience Ltd</t>
  </si>
  <si>
    <t>INE02CF01010</t>
  </si>
  <si>
    <t>IDIA00069480</t>
  </si>
  <si>
    <t>INE759J01022</t>
  </si>
  <si>
    <t>IDIA00069477</t>
  </si>
  <si>
    <t>Sundaram Equity Savings Fund</t>
  </si>
  <si>
    <t>INE782A01015</t>
  </si>
  <si>
    <t>Johnson Controls-Hitachi AirConditioning India Ltd</t>
  </si>
  <si>
    <t>INE019A01038</t>
  </si>
  <si>
    <t>JSW Steel Ltd</t>
  </si>
  <si>
    <t>INE725G01011</t>
  </si>
  <si>
    <t>ICRA Ltd</t>
  </si>
  <si>
    <t>INE451A01017</t>
  </si>
  <si>
    <t>Force Motors Ltd</t>
  </si>
  <si>
    <t>INE437A01024</t>
  </si>
  <si>
    <t>Apollo Hospitals Enterprise Ltd</t>
  </si>
  <si>
    <t>INE795G01014</t>
  </si>
  <si>
    <t>HDFC Life Insurance Company Ltd</t>
  </si>
  <si>
    <t>INE00R701025</t>
  </si>
  <si>
    <t>Dalmia Cement (Bharat) Ltd.</t>
  </si>
  <si>
    <t>INE158A01026</t>
  </si>
  <si>
    <t>Hero MotoCorp Ltd</t>
  </si>
  <si>
    <t>INE021A01026</t>
  </si>
  <si>
    <t>Asian Paints Ltd</t>
  </si>
  <si>
    <t>INE115A07PR7</t>
  </si>
  <si>
    <t>LIC Housing Finance Ltd - 6.65% - 15/02/2027**</t>
  </si>
  <si>
    <t>INE020B08EM0</t>
  </si>
  <si>
    <t>REC LTD - 7.64% - 30/06/2026</t>
  </si>
  <si>
    <t>INE261F08EA6</t>
  </si>
  <si>
    <t>National Bank for Agriculture &amp; Rural Development - 7.5% - 31/08/2026**</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</si>
  <si>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</si>
  <si>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</si>
  <si>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</si>
  <si>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</si>
  <si>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</si>
  <si>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</si>
  <si>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</si>
  <si>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</si>
  <si>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</si>
  <si>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</si>
  <si>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</si>
  <si>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INE765G01017</t>
  </si>
  <si>
    <t>ICICI Lombard General Insurance Company Ltd</t>
  </si>
  <si>
    <t>INE068V01023</t>
  </si>
  <si>
    <t>Gland Pharma Ltd</t>
  </si>
  <si>
    <t>INE330T01021</t>
  </si>
  <si>
    <t>Happy Forgings Ltd</t>
  </si>
  <si>
    <t>Sundaram Multi Cap Fund</t>
  </si>
  <si>
    <t>INE668F01031</t>
  </si>
  <si>
    <t>Jyothy Laboratories Ltd</t>
  </si>
  <si>
    <t>Household Products</t>
  </si>
  <si>
    <t>INE112L01020</t>
  </si>
  <si>
    <t>Metropolis Healthcare Ltd</t>
  </si>
  <si>
    <t>INE147E01013</t>
  </si>
  <si>
    <t>INE406B01019</t>
  </si>
  <si>
    <t>INE431E01011</t>
  </si>
  <si>
    <t>Healthcare Equipment &amp; Supplies</t>
  </si>
  <si>
    <t>INE604A01011</t>
  </si>
  <si>
    <t>INE348C01011</t>
  </si>
  <si>
    <t>Paper, Forest &amp; Jute Products</t>
  </si>
  <si>
    <t>IDIA00069356</t>
  </si>
  <si>
    <t>IDIA00069359</t>
  </si>
  <si>
    <t>Sundaram Nifty 100 Equal Weight Fund</t>
  </si>
  <si>
    <t>INE070A01015</t>
  </si>
  <si>
    <t>Shree Cement Ltd</t>
  </si>
  <si>
    <t>INE118A01012</t>
  </si>
  <si>
    <t>Bajaj Holdings &amp; Investment Ltd</t>
  </si>
  <si>
    <t>INE239A01024</t>
  </si>
  <si>
    <t>Nestle India Ltd</t>
  </si>
  <si>
    <t>INE192R01011</t>
  </si>
  <si>
    <t>Avenue Supermarts Ltd</t>
  </si>
  <si>
    <t>INE016A01026</t>
  </si>
  <si>
    <t>Dabur India Ltd</t>
  </si>
  <si>
    <t>INE814H01011</t>
  </si>
  <si>
    <t>Adani Power Ltd</t>
  </si>
  <si>
    <t>INE102D01028</t>
  </si>
  <si>
    <t>Godrej Consumer Products Ltd</t>
  </si>
  <si>
    <t>INE361B01024</t>
  </si>
  <si>
    <t>Divis Laboratories Ltd</t>
  </si>
  <si>
    <t>INE318A01026</t>
  </si>
  <si>
    <t>Pidilite Industries Ltd</t>
  </si>
  <si>
    <t>INE848E01016</t>
  </si>
  <si>
    <t>NHPC Ltd</t>
  </si>
  <si>
    <t>INE205A01025</t>
  </si>
  <si>
    <t>Vedanta Ltd</t>
  </si>
  <si>
    <t>Diversified Metals</t>
  </si>
  <si>
    <t>INE335Y01020</t>
  </si>
  <si>
    <t>Indian Railway Catering &amp; Tourism Corporation Ltd</t>
  </si>
  <si>
    <t>INE685A01028</t>
  </si>
  <si>
    <t>Torrent Pharmaceuticals Ltd</t>
  </si>
  <si>
    <t>INE176B01034</t>
  </si>
  <si>
    <t>Havells India Ltd</t>
  </si>
  <si>
    <t>INE399L01023</t>
  </si>
  <si>
    <t>Adani Total Gas Ltd</t>
  </si>
  <si>
    <t>INE0J1Y01017</t>
  </si>
  <si>
    <t>LIC of India Ltd</t>
  </si>
  <si>
    <t>INE931S01010</t>
  </si>
  <si>
    <t>Adani Energy Solutions Ltd</t>
  </si>
  <si>
    <t>INE670K01029</t>
  </si>
  <si>
    <t>Macrotech Developers Ltd</t>
  </si>
  <si>
    <t>INE214T01019</t>
  </si>
  <si>
    <t>LTIMindtree Ltd</t>
  </si>
  <si>
    <t>INE323A01026</t>
  </si>
  <si>
    <t>Bosch Ltd</t>
  </si>
  <si>
    <t>INE775A01035</t>
  </si>
  <si>
    <t>Samvardhana Motherson International Ltd</t>
  </si>
  <si>
    <t>INE053F01010</t>
  </si>
  <si>
    <t>Indian Railway Finance Corporation Ltd</t>
  </si>
  <si>
    <t>INE121E01018</t>
  </si>
  <si>
    <t>JSW Energy Ltd</t>
  </si>
  <si>
    <t>INE364U01010</t>
  </si>
  <si>
    <t>Adani Green Energy Ltd</t>
  </si>
  <si>
    <t>INE758E01017</t>
  </si>
  <si>
    <t>Jio Financial Services Ltd</t>
  </si>
  <si>
    <t>Sundaram ELSS Tax Saver Fund</t>
  </si>
  <si>
    <t>INE176A01028</t>
  </si>
  <si>
    <t>Bata India Ltd</t>
  </si>
  <si>
    <t>INE628A01036</t>
  </si>
  <si>
    <t>UPL Ltd</t>
  </si>
  <si>
    <t>INE00H001014</t>
  </si>
  <si>
    <t>Swiggy Ltd</t>
  </si>
  <si>
    <t>INE274J01014</t>
  </si>
  <si>
    <t>Oil India Ltd</t>
  </si>
  <si>
    <t>INE0V6F01027</t>
  </si>
  <si>
    <t>Hyundai Motor India Ltd</t>
  </si>
  <si>
    <t>Sundaram Consumption Fund</t>
  </si>
  <si>
    <t>Sundaram Services Fund</t>
  </si>
  <si>
    <t>INE761H01022</t>
  </si>
  <si>
    <t>Page Industries Ltd</t>
  </si>
  <si>
    <t>MU0295S00016</t>
  </si>
  <si>
    <t>Sundaram Diversified Equity</t>
  </si>
  <si>
    <t>Sundaram Large Cap Fund</t>
  </si>
  <si>
    <t>Sundaram Business Cycle Fund</t>
  </si>
  <si>
    <t>INE410P01011</t>
  </si>
  <si>
    <t>Narayana Hrudayalaya Ltd</t>
  </si>
  <si>
    <t>INE388Y01029</t>
  </si>
  <si>
    <t>FSN E–Commerce Ventures Ltd(NYKAA)</t>
  </si>
  <si>
    <t>INE01EA01019</t>
  </si>
  <si>
    <t>Vishal Mega Mart Ltd</t>
  </si>
  <si>
    <t>INE371A01025</t>
  </si>
  <si>
    <t>Graphite India Ltd</t>
  </si>
  <si>
    <t>INE224A01026</t>
  </si>
  <si>
    <t>Greaves Cotton Ltd</t>
  </si>
  <si>
    <t>INE022Q01020</t>
  </si>
  <si>
    <t>Indian Energy Exchange Ltd</t>
  </si>
  <si>
    <t>Sundaram Flexi Cap Fund</t>
  </si>
  <si>
    <t>Sundaram Financial Services Opportunities Fund</t>
  </si>
  <si>
    <t>Sundaram Multi Asset Allocation Fund</t>
  </si>
  <si>
    <t>INE087A01019</t>
  </si>
  <si>
    <t>Kesoram Industries Ltd</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</si>
  <si>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</si>
  <si>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</si>
  <si>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</si>
  <si>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</si>
  <si>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</si>
  <si>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</si>
  <si>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</si>
  <si>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</si>
  <si>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</si>
  <si>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</si>
  <si>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YTM (%)</t>
  </si>
  <si>
    <t>S.NO.</t>
  </si>
  <si>
    <t>ACRONYM</t>
  </si>
  <si>
    <t>SCHEME NAME</t>
  </si>
  <si>
    <t>CAPEXG</t>
  </si>
  <si>
    <t>GLOB</t>
  </si>
  <si>
    <t>Sundaram Global Brand Fund</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</si>
  <si>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</si>
  <si>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</si>
  <si>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</si>
  <si>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</si>
  <si>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</si>
  <si>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</si>
  <si>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</si>
  <si>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</si>
  <si>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</si>
  <si>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</si>
  <si>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</si>
  <si>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</si>
  <si>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</si>
  <si>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</si>
  <si>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</si>
  <si>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</si>
  <si>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</si>
  <si>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</si>
  <si>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</si>
  <si>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</si>
  <si>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</si>
  <si>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</si>
  <si>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</si>
  <si>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</si>
  <si>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</si>
  <si>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</si>
  <si>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</si>
  <si>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</si>
  <si>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</si>
  <si>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</si>
  <si>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</si>
  <si>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</si>
  <si>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</si>
  <si>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</si>
  <si>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</si>
  <si>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</si>
  <si>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</si>
  <si>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</si>
  <si>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</si>
  <si>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</si>
  <si>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</si>
  <si>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</si>
  <si>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</si>
  <si>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b) Total value and percentage of illiquid equity / Preference shares @</t>
  </si>
  <si>
    <t>d) IDCW declared during the period (Rupees per unit)</t>
  </si>
  <si>
    <t>Scheme Riskometer :</t>
  </si>
  <si>
    <t>Tier I Benchmark Riskometer :</t>
  </si>
  <si>
    <t xml:space="preserve">                     NIFTY Infrastructure TRI</t>
  </si>
  <si>
    <t>Sundaram Liquid Fund - Direct Growth*</t>
  </si>
  <si>
    <t>Tier II Benchmark Riskometer :</t>
  </si>
  <si>
    <t xml:space="preserve">                        Nifty Mid Cap 150 TRI</t>
  </si>
  <si>
    <t xml:space="preserve">                            Nifty Mid Cap 100 TRI</t>
  </si>
  <si>
    <t xml:space="preserve">           Nifty Large Mid Cap 250 INDEX</t>
  </si>
  <si>
    <t xml:space="preserve">                           BSE 500 INDEX</t>
  </si>
  <si>
    <t xml:space="preserve">                                    BSE 500 INDEX</t>
  </si>
  <si>
    <t xml:space="preserve">                    BSE 500 INDEX</t>
  </si>
  <si>
    <t>Bharti Airtel Ltd - Partly Paid Right Shares</t>
  </si>
  <si>
    <t xml:space="preserve">                    Nifty Small Cap 100</t>
  </si>
  <si>
    <t xml:space="preserve">                   Nifty Small Cap 100</t>
  </si>
  <si>
    <t xml:space="preserve">                      Nifty Small Cap 100</t>
  </si>
  <si>
    <t xml:space="preserve">                     Nifty Small Cap 100</t>
  </si>
  <si>
    <t>Angel One Ltd March 2025</t>
  </si>
  <si>
    <t>KEI Industries Ltd March 2025</t>
  </si>
  <si>
    <t>Cash and Other Net Current Assets^</t>
  </si>
  <si>
    <t>Annexure – A</t>
  </si>
  <si>
    <t xml:space="preserve">           Nifty Small Cap 250 TRI</t>
  </si>
  <si>
    <t xml:space="preserve">           Nifty Small Cap 100 TRI</t>
  </si>
  <si>
    <t>Chennai Super Kings Ltd @</t>
  </si>
  <si>
    <t>(f) Convertible Debenture</t>
  </si>
  <si>
    <t>INE121A08PJ0</t>
  </si>
  <si>
    <t>7.5% Cholamandalam Investment and Company Ltd - 30/09/2026</t>
  </si>
  <si>
    <t>Unrated</t>
  </si>
  <si>
    <t>7.30% Central Government Securities_Floating Rate Bond - 04/10/2028 ~</t>
  </si>
  <si>
    <t>YTM (%)*</t>
  </si>
  <si>
    <t>Refer below point i)</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</si>
  <si>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</si>
  <si>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</si>
  <si>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</si>
  <si>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</si>
  <si>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</si>
  <si>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</si>
  <si>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</si>
  <si>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</si>
  <si>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</si>
  <si>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</si>
  <si>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</si>
  <si>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</si>
  <si>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</si>
  <si>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</si>
  <si>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</si>
  <si>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</si>
  <si>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</si>
  <si>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</si>
  <si>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</si>
  <si>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</si>
  <si>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</si>
  <si>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</si>
  <si>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</si>
  <si>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</si>
  <si>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</si>
  <si>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</si>
  <si>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</si>
  <si>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</si>
  <si>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Aarti Industries Limited March 2025</t>
  </si>
  <si>
    <t>Indian Oil Corporation Ltd March 2025</t>
  </si>
  <si>
    <t>NTPC Limited March 2025</t>
  </si>
  <si>
    <t>Coal India Limited March 2025</t>
  </si>
  <si>
    <t>Titan Company Limited March 2025</t>
  </si>
  <si>
    <t>Bajaj Finserv Limited March 2025</t>
  </si>
  <si>
    <t xml:space="preserve">	Mahindra &amp; Mahindra Limited March 2025</t>
  </si>
  <si>
    <t>Aditya Birla Fashion And Retail Limited March 2025</t>
  </si>
  <si>
    <t>HDFC Bank Limited March 2025</t>
  </si>
  <si>
    <t>Canara Bank March 2025</t>
  </si>
  <si>
    <t>Aurobindo Pharma Limited March 2025</t>
  </si>
  <si>
    <t>Aditya Birla Capital Limited March 2025</t>
  </si>
  <si>
    <t>SBI Life Insurance Company Limited March 2025</t>
  </si>
  <si>
    <t>Cipla Limited March 2025</t>
  </si>
  <si>
    <t xml:space="preserve">	Tata Steel Limited March 2025</t>
  </si>
  <si>
    <t>Tata Power Company Ltd March 2025</t>
  </si>
  <si>
    <t>Kotak Mahindra Bank Limited March 2025</t>
  </si>
  <si>
    <t>Bank of Baroda March 2025</t>
  </si>
  <si>
    <t>Punjab National Bank March 2025</t>
  </si>
  <si>
    <t>Bharti Airtel Limited March 2025</t>
  </si>
  <si>
    <t>Bajaj Finance Limited March 2025</t>
  </si>
  <si>
    <t>The Indian Hotels Company Limited March 2025</t>
  </si>
  <si>
    <t>Hindalco Industries Limited March 2025</t>
  </si>
  <si>
    <t>Sun Pharmaceutical Industries Limited March 2025</t>
  </si>
  <si>
    <t>DLF Limited March 2025</t>
  </si>
  <si>
    <t>Adani Enterprises Limited March 2025</t>
  </si>
  <si>
    <t>TATA Consultancy Services Limited March 2025</t>
  </si>
  <si>
    <t>Larsen and Toubro Ltd March 2025</t>
  </si>
  <si>
    <t>Ambuja Cements Limited March 2025</t>
  </si>
  <si>
    <t>Tata Motors Limited March 2025</t>
  </si>
  <si>
    <t>ITC Limited March 2025</t>
  </si>
  <si>
    <t>Indus Towers Limited March 2025</t>
  </si>
  <si>
    <t>Delhivery March 2025</t>
  </si>
  <si>
    <t>Axis Bank Limited March 2025</t>
  </si>
  <si>
    <t>ICICI Bank Limited March 2025</t>
  </si>
  <si>
    <t>Reliance Industries Limited March 2025</t>
  </si>
  <si>
    <t>Direct Plan - Monthly IDCW</t>
  </si>
  <si>
    <t>Regular Plan - Monthly IDCW</t>
  </si>
  <si>
    <t>Annexure-A</t>
  </si>
  <si>
    <t xml:space="preserve">           NIFTY 50 Arbitrage INDEX</t>
  </si>
  <si>
    <t>INE041025011</t>
  </si>
  <si>
    <t>Embassy Office Parks (REIT)</t>
  </si>
  <si>
    <t>INE0GGX23010</t>
  </si>
  <si>
    <t>Power Grid Infrastructure Investment Trust (InvIT)</t>
  </si>
  <si>
    <t>Grasim Industries Limited March 2025</t>
  </si>
  <si>
    <t>HCL Technologies Limited March 2025</t>
  </si>
  <si>
    <t>Mahanagar Gas Ltd March 2025</t>
  </si>
  <si>
    <t>GAIL (India) Limited March 2025</t>
  </si>
  <si>
    <t xml:space="preserve">	Hindustan Unilever Limited March 2025</t>
  </si>
  <si>
    <t>Infosys Limited March 2025</t>
  </si>
  <si>
    <t xml:space="preserve">           NIFTY 50 Hybrid Composite Debt 50 : 50 INDEX</t>
  </si>
  <si>
    <t>Sandur Laminates Ltd @</t>
  </si>
  <si>
    <t>Crystal Cable Industries Ltd @</t>
  </si>
  <si>
    <t>Tirrihannah Company Ltd @</t>
  </si>
  <si>
    <t>Minerava Holdings Ltd @</t>
  </si>
  <si>
    <t>21.50% Dewan Rubber Ltd</t>
  </si>
  <si>
    <t>Not Available</t>
  </si>
  <si>
    <t>Chemox Chemicals Industries</t>
  </si>
  <si>
    <t xml:space="preserve">                                NIFTY 500</t>
  </si>
  <si>
    <t>Lupin Limited March 2025</t>
  </si>
  <si>
    <t>UltraTech Cement Limited March 2025</t>
  </si>
  <si>
    <t>Hero MotoCorp Limited March 2025</t>
  </si>
  <si>
    <t>Cholamandalam Investment and Finance Company Ltd  March 2025</t>
  </si>
  <si>
    <t xml:space="preserve">	United Spirits Limited March 2025</t>
  </si>
  <si>
    <t>HDFC Life Insurance Company Limited March 2025</t>
  </si>
  <si>
    <t>TVS Motor Company Limited March 2025</t>
  </si>
  <si>
    <t>Interglobe Aviation Ltd March 2025</t>
  </si>
  <si>
    <t>JSW Steel Limited March 2025</t>
  </si>
  <si>
    <t>Maruti Suzuki India Limited March 2025</t>
  </si>
  <si>
    <t>Direct Plan - Half Yearly IDCW</t>
  </si>
  <si>
    <t>Regular Plan - Half Yearly IDCW</t>
  </si>
  <si>
    <t xml:space="preserve">                      Nifty Equity Savings INDEX</t>
  </si>
  <si>
    <t xml:space="preserve">                              Nifty 500 TRI</t>
  </si>
  <si>
    <t xml:space="preserve">           Nifty Large MID CAP 250 TRI</t>
  </si>
  <si>
    <t>Crescent Finstock Ltd @</t>
  </si>
  <si>
    <t>Balmer Lawrie Freight Containers Ltd @</t>
  </si>
  <si>
    <t>Precision Fasteners Ltd @</t>
  </si>
  <si>
    <t>Virtual Dynamics Software Ltd @</t>
  </si>
  <si>
    <t>Noble Brothers Impex Ltd @</t>
  </si>
  <si>
    <t>Sangam Health Care Products Ltd @</t>
  </si>
  <si>
    <t>Mukerian Papers Ltd @</t>
  </si>
  <si>
    <t>b) Total value and percentage of illiquid equity shares @</t>
  </si>
  <si>
    <t>15% Premier Vinyl Ltd</t>
  </si>
  <si>
    <t xml:space="preserve">           Nifty 500 MultiCap 50:25:25</t>
  </si>
  <si>
    <t xml:space="preserve">          Nifty 100 Equal Weight TRI</t>
  </si>
  <si>
    <t>18% Jord Engineering Ltd</t>
  </si>
  <si>
    <t xml:space="preserve">                          NIFTY 500</t>
  </si>
  <si>
    <t xml:space="preserve">           Nifty India Consumption TRI</t>
  </si>
  <si>
    <t>Make My Trip Ltd (USD)</t>
  </si>
  <si>
    <t>Page Industries Limited March 2025</t>
  </si>
  <si>
    <t>Annexure- A</t>
  </si>
  <si>
    <t xml:space="preserve">           NIFTY Services Sector Index</t>
  </si>
  <si>
    <t xml:space="preserve">           NIFTY 500 MULTICAP 50:25:25</t>
  </si>
  <si>
    <t xml:space="preserve">                       NIFTY 500</t>
  </si>
  <si>
    <t xml:space="preserve">               Nifty 100 TRI INDEX</t>
  </si>
  <si>
    <t xml:space="preserve">                      Nifty_500_ TRI</t>
  </si>
  <si>
    <t xml:space="preserve">                  Nifty 500 TRI</t>
  </si>
  <si>
    <t xml:space="preserve">                      Nifty 500 TRI</t>
  </si>
  <si>
    <t xml:space="preserve">           Nifty Financial Services</t>
  </si>
  <si>
    <t>Bajaj Auto Limited March 2025</t>
  </si>
  <si>
    <t>Federal Bank Ltd March 2025</t>
  </si>
  <si>
    <t>Oil &amp; Natural Gas Corporation Limited March 2025</t>
  </si>
  <si>
    <t>Eicher Motor Limited March 2025</t>
  </si>
  <si>
    <t xml:space="preserve">	Tech Mahindra Limited March 2025</t>
  </si>
  <si>
    <t>Hindustan Petroleum Corpn Limited March 2025</t>
  </si>
  <si>
    <t>Hindustan Aeronautics Limited March 2025</t>
  </si>
  <si>
    <t>IndusInd Bank Limited March 2025</t>
  </si>
  <si>
    <t>Bharat Petroleum Corp Ltd March 2025</t>
  </si>
  <si>
    <t>NIFTY 500 TRI (65%) + NIFTY Short Duration Debt Index (10%) + Domestic Prices of Gold (25%)</t>
  </si>
  <si>
    <t>i) Exposure to securities classified as below investment grade or default as on 28-Feb-2025</t>
  </si>
  <si>
    <t>% to AUM as on 28-Feb-2025</t>
  </si>
  <si>
    <t>28-Feb-2025</t>
  </si>
  <si>
    <t>Index</t>
  </si>
  <si>
    <t>Direct Plan - IDCW</t>
  </si>
  <si>
    <t>Regular Plan - IDCW</t>
  </si>
  <si>
    <t>Direct Plan - Halfyearly IDCW</t>
  </si>
  <si>
    <t>Regular Plan - Halfyearly IDCW</t>
  </si>
  <si>
    <t>Direct Plan - Quarterly IDCW</t>
  </si>
  <si>
    <t>Regular Plan - Quarterly IDCW</t>
  </si>
  <si>
    <t>SG9999013908</t>
  </si>
  <si>
    <t>Sundaram Global Brand Fund - Master Class</t>
  </si>
  <si>
    <t xml:space="preserve"> (a) Investments in Foreign Securities - Units of Mutual Funds</t>
  </si>
  <si>
    <t xml:space="preserve">                    MSCI ACWI TRI</t>
  </si>
  <si>
    <t>Monthly Portfolio Statement for the month ended 28 February 2025</t>
  </si>
  <si>
    <t xml:space="preserve">           NIFTY Dividend Opportunities 50 TRI</t>
  </si>
  <si>
    <t>364 Days - T Bill - 02/05/2025*</t>
  </si>
  <si>
    <t>7.10% Central Government Securities 18/04/2029*</t>
  </si>
  <si>
    <t>7.23% Central Government Securities 15/04/2039*</t>
  </si>
  <si>
    <t>Sundaram Money Market Fund-Direct Plan - Growth*</t>
  </si>
  <si>
    <t>7.38% Central Government Securities 20/06/2027*</t>
  </si>
  <si>
    <t>364 Days - T Bill - 24/04/2025*</t>
  </si>
  <si>
    <t>364 Days - T Bill - 18/04/2025*</t>
  </si>
  <si>
    <t>364 Days - T Bill - 11/09/2025*</t>
  </si>
  <si>
    <t>7.32% Government Securities-13/11/2030*</t>
  </si>
  <si>
    <t>7.10% Central Government Securities 08/04/2034*</t>
  </si>
  <si>
    <t>7.37% Government Securities-23/10/2028*</t>
  </si>
  <si>
    <t>7.04% Central Government Securities 03/06/2029*</t>
  </si>
  <si>
    <t>DERIVATIVES DISCLOSURE</t>
  </si>
  <si>
    <t>Disclosure regarding Derivative positions pursuant to SEBI Circular no CIR/IMD/DF/11/2010 dated August18,2010</t>
  </si>
  <si>
    <t>DETAILS OF INVESTMENTS IN DERIVATIVE INSTRUMENTS</t>
  </si>
  <si>
    <t>Scheme Name</t>
  </si>
  <si>
    <t>Underlying</t>
  </si>
  <si>
    <t>Long/Short</t>
  </si>
  <si>
    <t>Futures Price When Purchased</t>
  </si>
  <si>
    <t>Current Price of the contract</t>
  </si>
  <si>
    <t>Margin maintained in       (Rs in Lakhs)*</t>
  </si>
  <si>
    <t xml:space="preserve">Total percentage of existing assets hedged through futures as a percentage of net assets </t>
  </si>
  <si>
    <t>%</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</si>
  <si>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</si>
  <si>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</si>
  <si>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</si>
  <si>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</si>
  <si>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</si>
  <si>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Margin maintained in       (Rs. in Lakhs) *</t>
  </si>
  <si>
    <t>Long</t>
  </si>
  <si>
    <t>Total percentage of existing assets due to non-hedging positions as a percentage of net assets</t>
  </si>
  <si>
    <t>Gross Notional value of contracts where futures were sold      ( Rs. in Lakhs)</t>
  </si>
  <si>
    <t>Net Profit / (Loss) value on all contracts combined      (Rs. in lakhs)</t>
  </si>
  <si>
    <t>Call/Put</t>
  </si>
  <si>
    <t>Number of Contracts</t>
  </si>
  <si>
    <t>Option Price when purchased</t>
  </si>
  <si>
    <t>Current Option Price</t>
  </si>
  <si>
    <t>Total % of existing assets hedged through Put Options</t>
  </si>
  <si>
    <t xml:space="preserve"> </t>
  </si>
  <si>
    <t>Total Number of contracts entered into</t>
  </si>
  <si>
    <t>Gross Notional value of contracts bought                      (Rs. in Lakhs)</t>
  </si>
  <si>
    <t>Gross Notional value of contracts  sold  (Rs. in Lakhs)</t>
  </si>
  <si>
    <t>Net Profit/(Loss) on all contracts 
(Rs. in Lakhs)</t>
  </si>
  <si>
    <t xml:space="preserve">Total Exposure through Options other than hedging as a percentage of net assets </t>
  </si>
  <si>
    <t>Gross Notional value of contracts  bought(Rs. in Lakhs)</t>
  </si>
  <si>
    <t>Gross Notional value of contracts  sold (Rs. in Lakhs)</t>
  </si>
  <si>
    <t>Scheme name</t>
  </si>
  <si>
    <t>Swap Type</t>
  </si>
  <si>
    <t>Underlying Security</t>
  </si>
  <si>
    <t>Long Position</t>
  </si>
  <si>
    <t>Short Position</t>
  </si>
  <si>
    <t>Notional Value (Rs. in lacs.)</t>
  </si>
  <si>
    <t>Maturity date</t>
  </si>
  <si>
    <t>SUNDARAM ULTRA SHORT DURATION  FUND</t>
  </si>
  <si>
    <t>Fixed to Float</t>
  </si>
  <si>
    <t>9.20% Shriram Finance Ltd 22 05 2026</t>
  </si>
  <si>
    <t>Receiving Floating</t>
  </si>
  <si>
    <t>Pay Fixed</t>
  </si>
  <si>
    <t xml:space="preserve">Futures Price
When Purchased </t>
  </si>
  <si>
    <t>Current Price of
the contract</t>
  </si>
  <si>
    <t>Margin maintained
in (Rs. in Lakhs)</t>
  </si>
  <si>
    <t>Total percentage of existing assets hedged through Interest Rate Futures a Percentage of net assets</t>
  </si>
  <si>
    <t>* Note: Margin maintained denotes security specific margin.</t>
  </si>
  <si>
    <t>Sundaram arbitrage fund</t>
  </si>
  <si>
    <t>Aarti Industries Ltd MAR-2025</t>
  </si>
  <si>
    <t>short</t>
  </si>
  <si>
    <t>Indian Oil Corporation Ltd MAR-2025</t>
  </si>
  <si>
    <t>NTPC Ltd MAR-2025</t>
  </si>
  <si>
    <t>Coal India Ltd MAR-2025</t>
  </si>
  <si>
    <t>Titan Industries Ltd MAR-2025</t>
  </si>
  <si>
    <t>Bajaj Finserv Ltd MAR-2025</t>
  </si>
  <si>
    <t>Mahindra &amp; Mahindra Ltd MAR-2025</t>
  </si>
  <si>
    <t>Aditya Birla Fashion and Retail Ltd Prv (Pantaloons Fashion &amp; Retail Ltd)  MAR-2025</t>
  </si>
  <si>
    <t>HDFC Bank Ltd MAR-2025</t>
  </si>
  <si>
    <t>Canara Bank MAR-2025</t>
  </si>
  <si>
    <t>Aurobindo Pharma Ltd-Equ MAR-2025</t>
  </si>
  <si>
    <t>Aditya Birla Capital Ltd MAR-2025</t>
  </si>
  <si>
    <t>SBI Life Insurance Company Ltd MAR-2025</t>
  </si>
  <si>
    <t>Cipla Ltd MAR-2025</t>
  </si>
  <si>
    <t>Tata Steel Ltd MAR-2025</t>
  </si>
  <si>
    <t>TATA Power Co Ltd MAR-2025</t>
  </si>
  <si>
    <t>Kotak Mahindra Bank Ltd MAR-2025</t>
  </si>
  <si>
    <t>Bank of Baroda MAR-2025</t>
  </si>
  <si>
    <t>Punjab National Bank MAR-2025</t>
  </si>
  <si>
    <t>Bharti Airtel Ltd MAR-2025</t>
  </si>
  <si>
    <t>Bajaj Finance Ltd MAR-2025</t>
  </si>
  <si>
    <t>Indian Hotels Company Ltd MAR-2025</t>
  </si>
  <si>
    <t>Hindalco Industries Ltd MAR-2025</t>
  </si>
  <si>
    <t>Sun Pharmaceuticals Ltd MAR-2025</t>
  </si>
  <si>
    <t>DLF Ltd MAR-2025</t>
  </si>
  <si>
    <t>Adani Enterprises Ltd MAR-2025</t>
  </si>
  <si>
    <t>TATA Consultancy Services Ltd MAR-2025</t>
  </si>
  <si>
    <t>Larsen &amp; Toubro Ltd MAR-2025</t>
  </si>
  <si>
    <t>Gujarat Ambuja Cement Co.Ltd MAR-2025</t>
  </si>
  <si>
    <t>Tata Motors Ltd MAR-2025</t>
  </si>
  <si>
    <t>ITC Ltd MAR-2025</t>
  </si>
  <si>
    <t>Indus Towers Ltd (Prev name Bharti Infratel Ltd) MAR-2025</t>
  </si>
  <si>
    <t>DELHIVERY Ltd MAR-2025</t>
  </si>
  <si>
    <t>Axis Bank Ltd  MAR-2025</t>
  </si>
  <si>
    <t>ICICI Bank Ltd MAR-2025</t>
  </si>
  <si>
    <t>Reliance Industries Ltd MAR-2025</t>
  </si>
  <si>
    <t>Sundaram balanced advantage fund</t>
  </si>
  <si>
    <t>Grasim Industries Ltd  MAR-2025</t>
  </si>
  <si>
    <t>HCL Technologies Ltd MAR-2025</t>
  </si>
  <si>
    <t>Mahanagar Gas Ltd MAR-2025</t>
  </si>
  <si>
    <t>GAIL (India) Ltd MAR-2025</t>
  </si>
  <si>
    <t>Hindustan Unilever Ltd MAR-2025</t>
  </si>
  <si>
    <t>Infosys Ltd MAR-2025</t>
  </si>
  <si>
    <t>Sundaram equity savings fund</t>
  </si>
  <si>
    <t>Lupin Ltd MAR-2025</t>
  </si>
  <si>
    <t>Ultra Tech Cement Ltd MAR-2025</t>
  </si>
  <si>
    <t>Hero Motocorp Ltd MAR-2025</t>
  </si>
  <si>
    <t>Cholamandalam Investment &amp; Finance Company Ltd MAR-2025</t>
  </si>
  <si>
    <t>United Spirits Ltd MAR-2025</t>
  </si>
  <si>
    <t>HDFC Life Insurance Company Ltd MAR-2025</t>
  </si>
  <si>
    <t>TVS Motor Company Ltd   MAR-2025</t>
  </si>
  <si>
    <t>Interglobe Aviation Ltd MAR-2025</t>
  </si>
  <si>
    <t>JSW Steel Ltd MAR-2025</t>
  </si>
  <si>
    <t>Maruti Suzuki India Ltd MAR-2025</t>
  </si>
  <si>
    <t>Sundaram multi asset allocation fund</t>
  </si>
  <si>
    <t>Bajaj Auto Ltd MAR-2025</t>
  </si>
  <si>
    <t>Federal Bank MAR-2025</t>
  </si>
  <si>
    <t>Oil &amp; Natural Gas Corpn.Ltd MAR-2025</t>
  </si>
  <si>
    <t>Eicher Motor Ltd MAR-2025</t>
  </si>
  <si>
    <t>Tech Mahindra Ltd MAR-2025</t>
  </si>
  <si>
    <t>Hindustan Petroleum Corpn Ltd MAR-2025</t>
  </si>
  <si>
    <t>Hindustan Aeronautics Ltd MAR-2025</t>
  </si>
  <si>
    <t>IndusInd Bank Ltd MAR-2025</t>
  </si>
  <si>
    <t>Bharat Petroleum Corpn Ltd MAR-2025</t>
  </si>
  <si>
    <t>Sundaram mid cap fund</t>
  </si>
  <si>
    <t>Sundaram large and mid cap fund</t>
  </si>
  <si>
    <t>Sundaram small cap fund</t>
  </si>
  <si>
    <t>Sundaram aggressive hybrid fund</t>
  </si>
  <si>
    <t>Sundaram multi cap fund</t>
  </si>
  <si>
    <t>Sundaram consumption fund</t>
  </si>
  <si>
    <t>Sundaram services fund</t>
  </si>
  <si>
    <t>Sundaram Business cycle fund</t>
  </si>
  <si>
    <t>Sundaram financial services opportunities fund</t>
  </si>
  <si>
    <t>Sundaram infrastructure advantage fund</t>
  </si>
  <si>
    <t>Sundaram large cap fund</t>
  </si>
  <si>
    <t>Sundaram dividend yield fund</t>
  </si>
  <si>
    <t>Angel One Ltd (Prev: Angel Broking Ltd) MAR-2025</t>
  </si>
  <si>
    <t>KEI Industries Ltd MAR-2025</t>
  </si>
  <si>
    <t>Page Industries Ltd MAR-2025</t>
  </si>
  <si>
    <t>A. Hedging Positions through Futures as on february 28,2025 :</t>
  </si>
  <si>
    <t>For the period ended february 28,2025 following were the hedging transactions through futures which have been squared off/ expired</t>
  </si>
  <si>
    <t>B. Other than hedging positions through futures as on february 28,2025 :</t>
  </si>
  <si>
    <t>For the period ended february 28,2025 following were the non-hedging transactions through futures which have been squared off / expired</t>
  </si>
  <si>
    <t>C. Hedging Positions through Put Options as on february 28,2025:</t>
  </si>
  <si>
    <t>For the period ended  february 28,2025 , the following hedging transactions through options which have been already exercised/expired</t>
  </si>
  <si>
    <t>D. Other than Hedging Positions through options as on February 28,2025 :</t>
  </si>
  <si>
    <t>For the period ended february 28,2025 , the following non hedging transactions through options which have been already exercised/expired</t>
  </si>
  <si>
    <t>E. Hedging Positions through Swaps as on february 28,2025:</t>
  </si>
  <si>
    <t>F. Hedging Positions through Interest Rate Futures as on february 28,2025:</t>
  </si>
  <si>
    <t>For the period ended february 28,2025 following were the hedging transactions through Interest Rate Futures which have been squared off/ expired</t>
  </si>
  <si>
    <t>For the period ended february 28,2025 following were the Non Hedging transactions through Interest Rate Futures which have been squared off/ 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</si>
</sst>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0000\)"/>
    <numFmt numFmtId="170" formatCode="[$-1014009]#,##0.00\ %;\(#,##0.00\)"/>
    <numFmt numFmtId="171" formatCode="[$-1014009]#.0000"/>
    <numFmt numFmtId="172" formatCode="[$-1014009]#,##0.00%"/>
    <numFmt numFmtId="173" formatCode="[$-1014009]#,##0.000000;\-#,##0.000000"/>
    <numFmt numFmtId="174" formatCode="[$-1014009]#,##0.00;\(#,##0.00\)"/>
    <numFmt numFmtId="175" formatCode="_(* #,##0_);_(* \(#,##0\);_(* &quot;-&quot;??_);_(@_)"/>
    <numFmt numFmtId="176" formatCode="0.000000000"/>
    <numFmt numFmtId="177" formatCode="#,##0.0000;\(#,##0.0000\)"/>
    <numFmt numFmtId="178" formatCode="_(* #,##0.000_);_(* \(#,##0.000\);_(* &quot;-&quot;??_);_(@_)"/>
    <numFmt numFmtId="179" formatCode="[$-409]d\-mmm\-yy;@"/>
  </numFmts>
  <fonts count="39"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indexed="8"/>
      <name val="Calibri"/>
      <family val="2"/>
    </font>
    <font>
      <sz val="10"/>
      <color indexed="8"/>
      <name val="Calibri"/>
      <family val="2"/>
    </font>
    <font>
      <sz val="10"/>
      <name val="Arial"/>
      <family val="2"/>
    </font>
    <font>
      <b/>
      <sz val="11"/>
      <name val="Aptos Narrow"/>
      <family val="2"/>
      <scheme val="minor"/>
    </font>
    <font>
      <sz val="10"/>
      <name val="Arial"/>
      <family val="2"/>
    </font>
    <font>
      <sz val="11"/>
      <name val="Aptos Narrow"/>
      <family val="2"/>
      <scheme val="minor"/>
    </font>
    <font>
      <u/>
      <sz val="10"/>
      <color theme="10"/>
      <name val="Arial"/>
      <family val="2"/>
    </font>
    <font>
      <u/>
      <sz val="11"/>
      <color theme="10"/>
      <name val="Aptos Narrow"/>
      <family val="2"/>
      <scheme val="minor"/>
    </font>
    <font>
      <b/>
      <i/>
      <sz val="10"/>
      <color indexed="8"/>
      <name val="Calibri"/>
      <family val="2"/>
    </font>
    <font>
      <b/>
      <sz val="10"/>
      <name val="Arial"/>
      <family val="2"/>
    </font>
    <font>
      <b/>
      <sz val="10"/>
      <color indexed="8"/>
      <name val="Calibri"/>
      <family val="2"/>
    </font>
    <font>
      <sz val="10"/>
      <name val="Calibri"/>
      <family val="2"/>
    </font>
    <font>
      <sz val="10"/>
      <color theme="1"/>
      <name val="Calibri"/>
      <family val="2"/>
    </font>
    <font>
      <b/>
      <sz val="10"/>
      <color theme="1"/>
      <name val="Calibri"/>
      <family val="2"/>
    </font>
    <font>
      <b/>
      <sz val="10"/>
      <name val="Calibri"/>
      <family val="2"/>
    </font>
    <font>
      <b/>
      <sz val="10"/>
      <color theme="1"/>
      <name val="Aptos Narrow"/>
      <family val="2"/>
      <scheme val="minor"/>
    </font>
    <font>
      <sz val="10"/>
      <name val="Aptos Narrow"/>
      <family val="2"/>
      <scheme val="minor"/>
    </font>
    <font>
      <sz val="10"/>
      <color theme="1"/>
      <name val="Aptos Narrow"/>
      <family val="2"/>
      <scheme val="minor"/>
    </font>
    <font>
      <u/>
      <sz val="11"/>
      <color rgb="FF002060"/>
      <name val="Aptos Narrow"/>
      <family val="2"/>
      <scheme val="minor"/>
    </font>
    <font>
      <sz val="10"/>
      <color indexed="8"/>
      <name val="Calibri"/>
      <charset val="1"/>
    </font>
    <font>
      <b/>
      <sz val="10"/>
      <color indexed="8"/>
      <name val="Calibri"/>
      <charset val="1"/>
    </font>
    <font>
      <b/>
      <i/>
      <sz val="10"/>
      <color indexed="8"/>
      <name val="Calibri"/>
      <charset val="1"/>
    </font>
    <font>
      <b/>
      <sz val="10"/>
      <name val="Aptos Narrow"/>
      <family val="2"/>
      <scheme val="minor"/>
    </font>
    <font>
      <sz val="11"/>
      <color indexed="8"/>
      <name val="Calibri"/>
      <family val="2"/>
    </font>
    <font>
      <b/>
      <sz val="10"/>
      <color theme="1"/>
      <name val="Arial"/>
      <family val="2"/>
    </font>
    <font>
      <b/>
      <sz val="10"/>
      <color theme="1"/>
      <name val="Tahoma"/>
      <family val="2"/>
    </font>
    <font>
      <b/>
      <sz val="10"/>
      <color rgb="FF000000"/>
      <name val="Tahoma"/>
      <family val="2"/>
    </font>
    <font>
      <sz val="10"/>
      <color theme="1"/>
      <name val="Tahoma"/>
      <family val="2"/>
    </font>
    <font>
      <sz val="10"/>
      <color rgb="FF000000"/>
      <name val="Tahoma"/>
      <family val="2"/>
    </font>
  </fonts>
  <fills count="3">
    <fill>
      <patternFill patternType="none"/>
    </fill>
    <fill>
      <patternFill patternType="gray125"/>
    </fill>
    <fill>
      <patternFill patternType="solid">
        <fgColor indexed="9"/>
      </patternFill>
    </fill>
  </fills>
  <borders count="2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3">
    <xf numFmtId="0" fontId="0" fillId="0" borderId="0">
      <alignment wrapText="1"/>
    </xf>
    <xf numFmtId="164" fontId="12" fillId="0" borderId="0" applyFont="0" applyFill="0" applyBorder="0" applyAlignment="0" applyProtection="0"/>
    <xf numFmtId="9" fontId="12" fillId="0" borderId="0" applyFont="0" applyFill="0" applyBorder="0" applyAlignment="0" applyProtection="0"/>
    <xf numFmtId="0" fontId="4" fillId="0" borderId="0"/>
    <xf numFmtId="0" fontId="14" fillId="0" borderId="0">
      <alignment wrapText="1"/>
    </xf>
    <xf numFmtId="0" fontId="16" fillId="0" borderId="0" applyNumberFormat="0" applyFill="0" applyBorder="0" applyAlignment="0" applyProtection="0">
      <alignment wrapText="1"/>
    </xf>
    <xf numFmtId="0" fontId="14" fillId="0" borderId="0">
      <alignment wrapText="1"/>
    </xf>
    <xf numFmtId="164" fontId="4" fillId="0" borderId="0" applyFont="0" applyFill="0" applyBorder="0" applyAlignment="0" applyProtection="0"/>
    <xf numFmtId="0" fontId="3" fillId="0" borderId="0"/>
    <xf numFmtId="0" fontId="2" fillId="0" borderId="0"/>
    <xf numFmtId="0" fontId="12" fillId="0" borderId="0"/>
    <xf numFmtId="43" fontId="33" fillId="0" borderId="0" applyFont="0" applyFill="0" applyBorder="0" applyAlignment="0" applyProtection="0"/>
    <xf numFmtId="0" fontId="1" fillId="0" borderId="0"/>
  </cellStyleXfs>
  <cellXfs count="273">
    <xf numFmtId="0" fontId="0" fillId="0" borderId="0" xfId="0">
      <alignment wrapText="1"/>
    </xf>
    <xf numFmtId="0" fontId="13" fillId="0" borderId="7" xfId="3" applyFont="1" applyBorder="1" applyAlignment="1">
      <alignment horizontal="center" vertical="center"/>
    </xf>
    <xf numFmtId="0" fontId="15" fillId="0" borderId="0" xfId="4" applyFont="1">
      <alignment wrapText="1"/>
    </xf>
    <xf numFmtId="0" fontId="15" fillId="0" borderId="7" xfId="4" applyFont="1" applyBorder="1" applyAlignment="1">
      <alignment horizontal="center" wrapText="1"/>
    </xf>
    <xf numFmtId="0" fontId="17" fillId="0" borderId="7" xfId="5" applyFont="1" applyBorder="1" applyAlignment="1"/>
    <xf numFmtId="0" fontId="15" fillId="0" borderId="7" xfId="4" applyFont="1" applyBorder="1" applyAlignment="1"/>
    <xf numFmtId="0" fontId="16" fillId="0" borderId="7" xfId="5" applyBorder="1" applyAlignment="1"/>
    <xf numFmtId="10" fontId="22" fillId="0" borderId="7" xfId="2" applyNumberFormat="1" applyFont="1" applyFill="1" applyBorder="1" applyAlignment="1">
      <alignment vertical="center"/>
    </xf>
    <xf numFmtId="175" fontId="22" fillId="0" borderId="0" xfId="1" applyNumberFormat="1" applyFont="1" applyFill="1"/>
    <xf numFmtId="164" fontId="22" fillId="0" borderId="0" xfId="1" applyFont="1" applyFill="1"/>
    <xf numFmtId="4" fontId="21" fillId="0" borderId="7" xfId="7" applyNumberFormat="1" applyFont="1" applyFill="1" applyBorder="1" applyAlignment="1">
      <alignment horizontal="center" vertical="center"/>
    </xf>
    <xf numFmtId="10" fontId="21" fillId="0" borderId="7" xfId="7" applyNumberFormat="1" applyFont="1" applyFill="1" applyBorder="1" applyAlignment="1">
      <alignment horizontal="center" vertical="center"/>
    </xf>
    <xf numFmtId="4" fontId="26" fillId="0" borderId="7" xfId="7" applyNumberFormat="1" applyFont="1" applyFill="1" applyBorder="1" applyAlignment="1">
      <alignment horizontal="center" vertical="center"/>
    </xf>
    <xf numFmtId="10" fontId="26" fillId="0" borderId="7" xfId="7" applyNumberFormat="1" applyFont="1" applyFill="1" applyBorder="1" applyAlignment="1">
      <alignment horizontal="center" vertical="center"/>
    </xf>
    <xf numFmtId="175" fontId="27" fillId="0" borderId="0" xfId="1" applyNumberFormat="1" applyFont="1" applyFill="1"/>
    <xf numFmtId="164" fontId="27" fillId="0" borderId="0" xfId="1" applyFont="1" applyFill="1"/>
    <xf numFmtId="164" fontId="26" fillId="0" borderId="13" xfId="7" applyFont="1" applyFill="1" applyBorder="1" applyAlignment="1">
      <alignment horizontal="right" vertical="center"/>
    </xf>
    <xf numFmtId="164" fontId="26" fillId="0" borderId="13" xfId="7" applyFont="1" applyFill="1" applyBorder="1" applyAlignment="1">
      <alignment horizontal="center" vertical="center"/>
    </xf>
    <xf numFmtId="0" fontId="28" fillId="0" borderId="0" xfId="5" applyFont="1" applyFill="1" applyBorder="1" applyAlignment="1">
      <alignment horizontal="center" vertical="center" wrapText="1"/>
    </xf>
    <xf numFmtId="0" fontId="15" fillId="0" borderId="13" xfId="4" applyFont="1" applyBorder="1" applyAlignment="1"/>
    <xf numFmtId="0" fontId="5" fillId="0" borderId="8" xfId="0" applyFont="1" applyBorder="1" applyAlignment="1">
      <alignment horizontal="center" vertical="center" wrapText="1" readingOrder="1"/>
    </xf>
    <xf numFmtId="0" fontId="5" fillId="0" borderId="9" xfId="0" applyFont="1" applyBorder="1" applyAlignment="1">
      <alignment horizontal="center" vertical="center" wrapText="1" readingOrder="1"/>
    </xf>
    <xf numFmtId="0" fontId="0" fillId="0" borderId="0" xfId="0" applyAlignment="1">
      <alignment horizontal="center" vertical="center" wrapText="1"/>
    </xf>
    <xf numFmtId="0" fontId="6" fillId="0" borderId="4" xfId="0" applyFont="1" applyBorder="1" applyAlignment="1">
      <alignment horizontal="right" vertical="top" wrapText="1" readingOrder="1"/>
    </xf>
    <xf numFmtId="0" fontId="7" fillId="0" borderId="4" xfId="0" applyFont="1" applyBorder="1" applyAlignment="1">
      <alignment horizontal="left" vertical="center" wrapText="1" readingOrder="1"/>
    </xf>
    <xf numFmtId="167" fontId="11" fillId="0" borderId="7" xfId="0" applyNumberFormat="1" applyFont="1" applyBorder="1" applyAlignment="1">
      <alignment horizontal="right" vertical="center" wrapText="1" readingOrder="1"/>
    </xf>
    <xf numFmtId="165"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70" fontId="7"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18" fillId="0" borderId="0" xfId="0" applyFont="1" applyAlignment="1">
      <alignment horizontal="left" vertical="center" wrapText="1" readingOrder="1"/>
    </xf>
    <xf numFmtId="0" fontId="11" fillId="0" borderId="0" xfId="0" applyFont="1" applyAlignment="1">
      <alignment horizontal="left" vertical="center" wrapText="1" readingOrder="1"/>
    </xf>
    <xf numFmtId="0" fontId="19" fillId="0" borderId="0" xfId="0" applyFont="1" applyAlignment="1">
      <alignment horizontal="center" vertical="center" wrapText="1"/>
    </xf>
    <xf numFmtId="0" fontId="18" fillId="0" borderId="0" xfId="3" applyFont="1" applyAlignment="1">
      <alignment horizontal="left" vertical="center" wrapText="1" readingOrder="1"/>
    </xf>
    <xf numFmtId="0" fontId="4" fillId="0" borderId="0" xfId="3" applyAlignment="1">
      <alignment wrapText="1"/>
    </xf>
    <xf numFmtId="0" fontId="8" fillId="0" borderId="0" xfId="0" applyFont="1" applyAlignment="1">
      <alignment horizontal="left" vertical="center" wrapText="1" readingOrder="1"/>
    </xf>
    <xf numFmtId="0" fontId="8" fillId="0" borderId="0" xfId="0" applyFont="1" applyAlignment="1">
      <alignment horizontal="right" vertical="center" wrapText="1" readingOrder="1"/>
    </xf>
    <xf numFmtId="0" fontId="8" fillId="0" borderId="6" xfId="0" applyFont="1" applyBorder="1" applyAlignment="1">
      <alignment horizontal="right" vertical="center" wrapText="1" readingOrder="1"/>
    </xf>
    <xf numFmtId="0" fontId="11" fillId="0" borderId="0" xfId="0" applyFont="1" applyAlignment="1">
      <alignment horizontal="right" vertical="top" wrapText="1" readingOrder="1"/>
    </xf>
    <xf numFmtId="0" fontId="20" fillId="0" borderId="4" xfId="0" applyFont="1" applyBorder="1" applyAlignment="1">
      <alignment horizontal="right" vertical="top" wrapText="1" readingOrder="1"/>
    </xf>
    <xf numFmtId="0" fontId="20" fillId="0" borderId="4" xfId="0" applyFont="1" applyBorder="1" applyAlignment="1">
      <alignment horizontal="left" vertical="top" wrapText="1" readingOrder="1"/>
    </xf>
    <xf numFmtId="15" fontId="20" fillId="0" borderId="4" xfId="0" applyNumberFormat="1" applyFont="1" applyBorder="1" applyAlignment="1">
      <alignment horizontal="right" vertical="top" wrapText="1" readingOrder="1"/>
    </xf>
    <xf numFmtId="0" fontId="6" fillId="0" borderId="0" xfId="0" applyFont="1" applyAlignment="1">
      <alignment horizontal="right" vertical="top" wrapText="1" readingOrder="1"/>
    </xf>
    <xf numFmtId="171" fontId="6"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20" fillId="0" borderId="4" xfId="0" applyFont="1" applyBorder="1" applyAlignment="1">
      <alignment horizontal="left" vertical="center" wrapText="1" readingOrder="1"/>
    </xf>
    <xf numFmtId="0" fontId="0" fillId="0" borderId="0" xfId="0" applyAlignment="1">
      <alignment horizontal="center" vertical="top" readingOrder="1"/>
    </xf>
    <xf numFmtId="0" fontId="11" fillId="0" borderId="6" xfId="0" applyFont="1" applyBorder="1" applyAlignment="1">
      <alignment horizontal="right" vertical="top" wrapText="1" readingOrder="1"/>
    </xf>
    <xf numFmtId="172" fontId="20" fillId="0" borderId="4" xfId="0" applyNumberFormat="1" applyFont="1" applyBorder="1" applyAlignment="1">
      <alignment horizontal="left" vertical="center" wrapText="1" readingOrder="1"/>
    </xf>
    <xf numFmtId="0" fontId="11" fillId="0" borderId="0" xfId="0" applyFont="1" applyAlignment="1">
      <alignment horizontal="right" vertical="center" wrapText="1" readingOrder="1"/>
    </xf>
    <xf numFmtId="0" fontId="21" fillId="0" borderId="7" xfId="0" applyFont="1" applyBorder="1" applyAlignment="1">
      <alignment horizontal="center" vertical="center" wrapText="1"/>
    </xf>
    <xf numFmtId="0" fontId="21" fillId="0" borderId="7" xfId="0" applyFont="1" applyBorder="1">
      <alignment wrapText="1"/>
    </xf>
    <xf numFmtId="0" fontId="21" fillId="0" borderId="7" xfId="0" applyFont="1" applyBorder="1" applyAlignment="1">
      <alignment horizontal="justify" vertical="center" wrapText="1"/>
    </xf>
    <xf numFmtId="174" fontId="20" fillId="0" borderId="4" xfId="0" applyNumberFormat="1" applyFont="1" applyBorder="1" applyAlignment="1">
      <alignment horizontal="left" vertical="center" wrapText="1" readingOrder="1"/>
    </xf>
    <xf numFmtId="14" fontId="21" fillId="0" borderId="7" xfId="0" quotePrefix="1" applyNumberFormat="1" applyFont="1" applyBorder="1" applyAlignment="1">
      <alignment horizontal="justify" vertical="center" wrapText="1"/>
    </xf>
    <xf numFmtId="0" fontId="19" fillId="0" borderId="0" xfId="0" applyFont="1" applyAlignment="1"/>
    <xf numFmtId="0" fontId="0" fillId="0" borderId="0" xfId="0" applyAlignment="1"/>
    <xf numFmtId="0" fontId="10" fillId="0" borderId="9" xfId="0" applyFont="1" applyBorder="1" applyAlignment="1">
      <alignment horizontal="center" vertical="center" wrapText="1" readingOrder="1"/>
    </xf>
    <xf numFmtId="167" fontId="20" fillId="0" borderId="4" xfId="0" applyNumberFormat="1" applyFont="1" applyBorder="1" applyAlignment="1">
      <alignment horizontal="left" vertical="center" wrapText="1" readingOrder="1"/>
    </xf>
    <xf numFmtId="0" fontId="14" fillId="0" borderId="0" xfId="0" applyFont="1" applyAlignment="1"/>
    <xf numFmtId="0" fontId="18" fillId="0" borderId="6" xfId="0" applyFont="1" applyBorder="1" applyAlignment="1">
      <alignment horizontal="right" vertical="center" wrapText="1" readingOrder="1"/>
    </xf>
    <xf numFmtId="0" fontId="18" fillId="0" borderId="0" xfId="0" applyFont="1" applyAlignment="1">
      <alignment horizontal="right" vertical="center" wrapText="1" readingOrder="1"/>
    </xf>
    <xf numFmtId="0" fontId="20" fillId="0" borderId="4" xfId="0" applyFont="1" applyBorder="1" applyAlignment="1">
      <alignment horizontal="left" vertical="center" readingOrder="1"/>
    </xf>
    <xf numFmtId="0" fontId="21" fillId="0" borderId="0" xfId="0" applyFont="1" applyAlignment="1"/>
    <xf numFmtId="0" fontId="27" fillId="0" borderId="0" xfId="0" applyFont="1" applyAlignment="1"/>
    <xf numFmtId="0" fontId="25" fillId="0" borderId="13" xfId="0" applyFont="1" applyBorder="1" applyAlignment="1">
      <alignment horizontal="center" wrapText="1"/>
    </xf>
    <xf numFmtId="0" fontId="26" fillId="0" borderId="13" xfId="0" applyFont="1" applyBorder="1" applyAlignment="1">
      <alignment horizontal="left" vertical="center"/>
    </xf>
    <xf numFmtId="0" fontId="26" fillId="0" borderId="13" xfId="0" applyFont="1" applyBorder="1" applyAlignment="1">
      <alignment horizontal="center" vertical="center"/>
    </xf>
    <xf numFmtId="4" fontId="26" fillId="0" borderId="13" xfId="0" applyNumberFormat="1" applyFont="1" applyBorder="1" applyAlignment="1">
      <alignment horizontal="right" vertical="center"/>
    </xf>
    <xf numFmtId="0" fontId="25" fillId="0" borderId="7" xfId="0" applyFont="1" applyBorder="1" applyAlignment="1">
      <alignment horizontal="center" vertical="center" wrapText="1"/>
    </xf>
    <xf numFmtId="0" fontId="26" fillId="0" borderId="7" xfId="0" applyFont="1" applyBorder="1" applyAlignment="1">
      <alignment horizontal="left" vertical="center"/>
    </xf>
    <xf numFmtId="0" fontId="26" fillId="0" borderId="7" xfId="0" applyFont="1" applyBorder="1" applyAlignment="1">
      <alignment horizontal="center" vertical="center"/>
    </xf>
    <xf numFmtId="4" fontId="26" fillId="0" borderId="7" xfId="0" applyNumberFormat="1" applyFont="1" applyBorder="1" applyAlignment="1">
      <alignment horizontal="center" vertical="center"/>
    </xf>
    <xf numFmtId="0" fontId="21" fillId="0" borderId="7" xfId="0" applyFont="1" applyBorder="1" applyAlignment="1">
      <alignment horizontal="justify" vertical="center"/>
    </xf>
    <xf numFmtId="165" fontId="11"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7" fontId="11" fillId="0" borderId="4" xfId="0" applyNumberFormat="1" applyFont="1" applyBorder="1" applyAlignment="1">
      <alignment horizontal="right" vertical="center" wrapText="1" readingOrder="1"/>
    </xf>
    <xf numFmtId="168" fontId="21" fillId="0" borderId="4" xfId="0" applyNumberFormat="1" applyFont="1" applyBorder="1" applyAlignment="1">
      <alignment horizontal="right" vertical="center" wrapText="1" readingOrder="1"/>
    </xf>
    <xf numFmtId="0" fontId="21" fillId="0" borderId="0" xfId="0" applyFont="1">
      <alignment wrapText="1"/>
    </xf>
    <xf numFmtId="0" fontId="22" fillId="0" borderId="0" xfId="0" applyFont="1" applyAlignment="1"/>
    <xf numFmtId="0" fontId="23" fillId="0" borderId="7" xfId="0" applyFont="1" applyBorder="1" applyAlignment="1">
      <alignment horizontal="left" wrapText="1"/>
    </xf>
    <xf numFmtId="0" fontId="23" fillId="0" borderId="7" xfId="0" applyFont="1" applyBorder="1" applyAlignment="1">
      <alignment horizontal="center" wrapText="1"/>
    </xf>
    <xf numFmtId="0" fontId="21" fillId="0" borderId="7" xfId="0" applyFont="1" applyBorder="1" applyAlignment="1">
      <alignment horizontal="left" vertical="center" wrapText="1"/>
    </xf>
    <xf numFmtId="0" fontId="21" fillId="0" borderId="7" xfId="0" applyFont="1" applyBorder="1" applyAlignment="1">
      <alignment horizontal="center" vertical="center"/>
    </xf>
    <xf numFmtId="4" fontId="21" fillId="0" borderId="7" xfId="0" applyNumberFormat="1" applyFont="1" applyBorder="1" applyAlignment="1">
      <alignment horizontal="center" vertical="center"/>
    </xf>
    <xf numFmtId="168" fontId="11" fillId="0" borderId="4" xfId="0" applyNumberFormat="1" applyFont="1" applyBorder="1" applyAlignment="1">
      <alignment horizontal="right" vertical="center" wrapText="1" readingOrder="1"/>
    </xf>
    <xf numFmtId="0" fontId="11" fillId="0" borderId="4" xfId="0" applyFont="1" applyBorder="1" applyAlignment="1">
      <alignment horizontal="right" vertical="top" wrapText="1" readingOrder="1"/>
    </xf>
    <xf numFmtId="0" fontId="18" fillId="0" borderId="4" xfId="0" applyFont="1" applyBorder="1" applyAlignment="1">
      <alignment horizontal="left" vertical="center" wrapText="1" readingOrder="1"/>
    </xf>
    <xf numFmtId="0" fontId="18" fillId="0" borderId="4" xfId="0" applyFont="1" applyBorder="1" applyAlignment="1">
      <alignment horizontal="right" vertical="center" wrapText="1" readingOrder="1"/>
    </xf>
    <xf numFmtId="167" fontId="20" fillId="0" borderId="4" xfId="0" applyNumberFormat="1" applyFont="1" applyBorder="1" applyAlignment="1">
      <alignment horizontal="right" vertical="center" wrapText="1" readingOrder="1"/>
    </xf>
    <xf numFmtId="168" fontId="20"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3" fontId="6"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7" fillId="0" borderId="5" xfId="0" applyFont="1" applyBorder="1" applyAlignment="1">
      <alignment horizontal="left" vertical="center" wrapText="1" readingOrder="1"/>
    </xf>
    <xf numFmtId="0" fontId="20" fillId="0" borderId="4" xfId="6" applyFont="1" applyBorder="1" applyAlignment="1">
      <alignment horizontal="left" vertical="center" wrapText="1" readingOrder="1"/>
    </xf>
    <xf numFmtId="0" fontId="0" fillId="0" borderId="0" xfId="0" applyAlignment="1">
      <alignment vertical="center" wrapText="1"/>
    </xf>
    <xf numFmtId="0" fontId="23"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4" fontId="21" fillId="0" borderId="7" xfId="0" applyNumberFormat="1" applyFont="1" applyBorder="1" applyAlignment="1">
      <alignment vertical="center"/>
    </xf>
    <xf numFmtId="0" fontId="21" fillId="0" borderId="0" xfId="0" applyFont="1" applyAlignment="1">
      <alignment vertical="center" wrapText="1"/>
    </xf>
    <xf numFmtId="0" fontId="20" fillId="0" borderId="4" xfId="0" applyFont="1" applyBorder="1" applyAlignment="1">
      <alignment horizontal="right" vertical="center" wrapText="1" readingOrder="1"/>
    </xf>
    <xf numFmtId="0" fontId="6" fillId="0" borderId="14" xfId="0" applyFont="1" applyBorder="1" applyAlignment="1">
      <alignment horizontal="left" vertical="center" wrapText="1" readingOrder="1"/>
    </xf>
    <xf numFmtId="0" fontId="22" fillId="0" borderId="0" xfId="0" applyFont="1" applyAlignment="1">
      <alignment vertical="center"/>
    </xf>
    <xf numFmtId="0" fontId="23" fillId="0" borderId="7" xfId="3" applyFont="1" applyBorder="1" applyAlignment="1">
      <alignment horizontal="center" vertical="center"/>
    </xf>
    <xf numFmtId="0" fontId="22" fillId="0" borderId="7" xfId="3" applyFont="1" applyBorder="1" applyAlignment="1">
      <alignment vertical="center"/>
    </xf>
    <xf numFmtId="0" fontId="22" fillId="0" borderId="7" xfId="3" applyFont="1" applyBorder="1" applyAlignment="1">
      <alignment vertical="center" wrapText="1"/>
    </xf>
    <xf numFmtId="0" fontId="23" fillId="0" borderId="7" xfId="3" applyFont="1" applyBorder="1" applyAlignment="1">
      <alignment horizontal="center" vertical="center" wrapText="1"/>
    </xf>
    <xf numFmtId="0" fontId="13" fillId="0" borderId="0" xfId="4" applyFont="1" applyAlignment="1">
      <alignment horizontal="center" vertical="center"/>
    </xf>
    <xf numFmtId="0" fontId="22" fillId="0" borderId="7" xfId="3" applyFont="1" applyBorder="1" applyAlignment="1">
      <alignment horizontal="left" vertical="center"/>
    </xf>
    <xf numFmtId="2" fontId="22" fillId="0" borderId="7" xfId="3" applyNumberFormat="1" applyFont="1" applyBorder="1" applyAlignment="1">
      <alignment horizontal="right" vertical="center" wrapText="1"/>
    </xf>
    <xf numFmtId="4" fontId="22" fillId="0" borderId="7" xfId="3" applyNumberFormat="1" applyFont="1" applyBorder="1" applyAlignment="1">
      <alignment horizontal="right" vertical="center"/>
    </xf>
    <xf numFmtId="10" fontId="22" fillId="0" borderId="7" xfId="2" applyNumberFormat="1" applyFont="1" applyFill="1" applyBorder="1" applyAlignment="1">
      <alignment vertical="center" wrapText="1"/>
    </xf>
    <xf numFmtId="4" fontId="15" fillId="0" borderId="0" xfId="3" applyNumberFormat="1" applyFont="1" applyAlignment="1">
      <alignment vertical="center"/>
    </xf>
    <xf numFmtId="0" fontId="24" fillId="0" borderId="7" xfId="0" applyFont="1" applyBorder="1" applyAlignment="1">
      <alignment horizontal="justify" vertical="center" wrapText="1"/>
    </xf>
    <xf numFmtId="0" fontId="29" fillId="0" borderId="14" xfId="0" applyFont="1" applyBorder="1" applyAlignment="1">
      <alignment horizontal="right" vertical="top" wrapText="1" readingOrder="1"/>
    </xf>
    <xf numFmtId="0" fontId="30" fillId="0" borderId="14" xfId="0" applyFont="1" applyBorder="1" applyAlignment="1">
      <alignment horizontal="left" vertical="center" wrapText="1" readingOrder="1"/>
    </xf>
    <xf numFmtId="0" fontId="30" fillId="0" borderId="14" xfId="0" applyFont="1" applyBorder="1" applyAlignment="1">
      <alignment horizontal="right" vertical="center" wrapText="1" readingOrder="1"/>
    </xf>
    <xf numFmtId="168" fontId="30" fillId="0" borderId="14" xfId="0" applyNumberFormat="1" applyFont="1" applyBorder="1" applyAlignment="1">
      <alignment horizontal="right" vertical="center" wrapText="1" readingOrder="1"/>
    </xf>
    <xf numFmtId="0" fontId="31" fillId="0" borderId="14" xfId="0" applyFont="1" applyBorder="1" applyAlignment="1">
      <alignment horizontal="left" vertical="center" wrapText="1" readingOrder="1"/>
    </xf>
    <xf numFmtId="0" fontId="31" fillId="0" borderId="14" xfId="0" applyFont="1" applyBorder="1" applyAlignment="1">
      <alignment horizontal="right" vertical="center" wrapText="1" readingOrder="1"/>
    </xf>
    <xf numFmtId="167" fontId="30" fillId="0" borderId="14" xfId="0" applyNumberFormat="1" applyFont="1" applyBorder="1" applyAlignment="1">
      <alignment horizontal="right" vertical="center" wrapText="1" readingOrder="1"/>
    </xf>
    <xf numFmtId="165" fontId="29" fillId="0" borderId="14" xfId="0" applyNumberFormat="1" applyFont="1" applyBorder="1" applyAlignment="1">
      <alignment horizontal="right" vertical="center" wrapText="1" readingOrder="1"/>
    </xf>
    <xf numFmtId="0" fontId="29" fillId="0" borderId="14" xfId="0" applyFont="1" applyBorder="1" applyAlignment="1">
      <alignment horizontal="left" vertical="center" wrapText="1" readingOrder="1"/>
    </xf>
    <xf numFmtId="0" fontId="29" fillId="0" borderId="14" xfId="0" applyFont="1" applyBorder="1" applyAlignment="1">
      <alignment horizontal="right" vertical="center" wrapText="1" readingOrder="1"/>
    </xf>
    <xf numFmtId="167" fontId="29" fillId="0" borderId="14" xfId="0" applyNumberFormat="1" applyFont="1" applyBorder="1" applyAlignment="1">
      <alignment horizontal="right" vertical="center" wrapText="1" readingOrder="1"/>
    </xf>
    <xf numFmtId="168" fontId="29" fillId="0" borderId="14" xfId="0" applyNumberFormat="1" applyFont="1" applyBorder="1" applyAlignment="1">
      <alignment horizontal="right" vertical="center" wrapText="1" readingOrder="1"/>
    </xf>
    <xf numFmtId="0" fontId="7" fillId="0" borderId="14" xfId="0" applyFont="1" applyBorder="1" applyAlignment="1">
      <alignment horizontal="left" vertical="center" wrapText="1" readingOrder="1"/>
    </xf>
    <xf numFmtId="169" fontId="29" fillId="0" borderId="14" xfId="0" applyNumberFormat="1" applyFont="1" applyBorder="1" applyAlignment="1">
      <alignment horizontal="right" vertical="center" wrapText="1" readingOrder="1"/>
    </xf>
    <xf numFmtId="170" fontId="30" fillId="0" borderId="14" xfId="0" applyNumberFormat="1" applyFont="1" applyBorder="1" applyAlignment="1">
      <alignment horizontal="right" vertical="center" wrapText="1" readingOrder="1"/>
    </xf>
    <xf numFmtId="0" fontId="31" fillId="0" borderId="18" xfId="0" applyFont="1" applyBorder="1" applyAlignment="1">
      <alignment horizontal="left" vertical="center" wrapText="1" readingOrder="1"/>
    </xf>
    <xf numFmtId="0" fontId="31" fillId="0" borderId="18" xfId="0" applyFont="1" applyBorder="1" applyAlignment="1">
      <alignment horizontal="right" vertical="center" wrapText="1" readingOrder="1"/>
    </xf>
    <xf numFmtId="0" fontId="8" fillId="0" borderId="0" xfId="8" applyFont="1" applyAlignment="1">
      <alignment horizontal="left" vertical="center" wrapText="1" readingOrder="1"/>
    </xf>
    <xf numFmtId="0" fontId="3" fillId="0" borderId="0" xfId="8" applyAlignment="1">
      <alignment wrapText="1"/>
    </xf>
    <xf numFmtId="0" fontId="31" fillId="0" borderId="0" xfId="0" applyFont="1" applyAlignment="1">
      <alignment horizontal="left" vertical="center" wrapText="1" readingOrder="1"/>
    </xf>
    <xf numFmtId="0" fontId="31" fillId="0" borderId="0" xfId="0" applyFont="1" applyAlignment="1">
      <alignment horizontal="right" vertical="center" wrapText="1" readingOrder="1"/>
    </xf>
    <xf numFmtId="0" fontId="31" fillId="0" borderId="6" xfId="0" applyFont="1" applyBorder="1" applyAlignment="1">
      <alignment horizontal="right" vertical="center" wrapText="1" readingOrder="1"/>
    </xf>
    <xf numFmtId="0" fontId="29" fillId="0" borderId="0" xfId="0" applyFont="1" applyAlignment="1">
      <alignment horizontal="right" vertical="top" wrapText="1" readingOrder="1"/>
    </xf>
    <xf numFmtId="171" fontId="29" fillId="0" borderId="14" xfId="0" applyNumberFormat="1" applyFont="1" applyBorder="1" applyAlignment="1">
      <alignment horizontal="right" vertical="center" wrapText="1" readingOrder="1"/>
    </xf>
    <xf numFmtId="0" fontId="29" fillId="0" borderId="0" xfId="0" applyFont="1" applyAlignment="1">
      <alignment horizontal="left" vertical="center" wrapText="1" readingOrder="1"/>
    </xf>
    <xf numFmtId="0" fontId="29" fillId="0" borderId="0" xfId="0" applyFont="1" applyAlignment="1">
      <alignment horizontal="right" vertical="center" wrapText="1" readingOrder="1"/>
    </xf>
    <xf numFmtId="0" fontId="6" fillId="0" borderId="0" xfId="4" applyFont="1" applyAlignment="1">
      <alignment horizontal="right" vertical="top" wrapText="1" readingOrder="1"/>
    </xf>
    <xf numFmtId="0" fontId="14" fillId="0" borderId="0" xfId="4">
      <alignment wrapText="1"/>
    </xf>
    <xf numFmtId="0" fontId="6" fillId="0" borderId="0" xfId="4" applyFont="1" applyAlignment="1">
      <alignment horizontal="left" vertical="center" wrapText="1" readingOrder="1"/>
    </xf>
    <xf numFmtId="0" fontId="6" fillId="0" borderId="6" xfId="0" applyFont="1" applyBorder="1" applyAlignment="1">
      <alignment horizontal="right" vertical="top" wrapText="1" readingOrder="1"/>
    </xf>
    <xf numFmtId="172" fontId="7" fillId="0" borderId="14" xfId="0" applyNumberFormat="1" applyFont="1" applyBorder="1" applyAlignment="1">
      <alignment horizontal="left" vertical="center" wrapText="1" readingOrder="1"/>
    </xf>
    <xf numFmtId="0" fontId="11" fillId="0" borderId="5" xfId="0" applyFont="1" applyBorder="1" applyAlignment="1">
      <alignment horizontal="left" vertical="center" wrapText="1" readingOrder="1"/>
    </xf>
    <xf numFmtId="0" fontId="20" fillId="0" borderId="5" xfId="0" applyFont="1" applyBorder="1" applyAlignment="1">
      <alignment horizontal="left" vertical="center" wrapText="1" readingOrder="1"/>
    </xf>
    <xf numFmtId="37" fontId="26" fillId="0" borderId="19" xfId="11" applyNumberFormat="1" applyFont="1" applyFill="1" applyBorder="1" applyAlignment="1">
      <alignment horizontal="center"/>
    </xf>
    <xf numFmtId="43" fontId="26" fillId="0" borderId="0" xfId="11" applyFont="1" applyFill="1" applyBorder="1"/>
    <xf numFmtId="43" fontId="26" fillId="0" borderId="19" xfId="11" applyFont="1" applyFill="1" applyBorder="1" applyAlignment="1">
      <alignment horizontal="center" vertical="top" wrapText="1"/>
    </xf>
    <xf numFmtId="43" fontId="26" fillId="0" borderId="0" xfId="11" applyFont="1" applyFill="1" applyBorder="1" applyAlignment="1" applyProtection="1">
      <alignment horizontal="left"/>
      <protection locked="0"/>
    </xf>
    <xf numFmtId="178" fontId="26" fillId="0" borderId="0" xfId="11" applyNumberFormat="1" applyFont="1" applyFill="1" applyBorder="1" applyAlignment="1">
      <alignment horizontal="center" vertical="top" wrapText="1"/>
    </xf>
    <xf numFmtId="175" fontId="26" fillId="0" borderId="0" xfId="11" applyNumberFormat="1" applyFont="1" applyFill="1" applyBorder="1" applyAlignment="1">
      <alignment horizontal="right" vertical="top" wrapText="1"/>
    </xf>
    <xf numFmtId="4" fontId="26" fillId="0" borderId="0" xfId="11" applyNumberFormat="1" applyFont="1" applyFill="1" applyBorder="1"/>
    <xf numFmtId="43" fontId="26" fillId="0" borderId="19" xfId="11" applyFont="1" applyFill="1" applyBorder="1" applyAlignment="1"/>
    <xf numFmtId="4" fontId="26" fillId="0" borderId="19" xfId="11" applyNumberFormat="1" applyFont="1" applyFill="1" applyBorder="1" applyAlignment="1">
      <alignment horizontal="center"/>
    </xf>
    <xf numFmtId="174" fontId="6" fillId="2" borderId="14" xfId="10" applyNumberFormat="1" applyFont="1" applyFill="1" applyBorder="1" applyAlignment="1">
      <alignment horizontal="center" vertical="center" wrapText="1" readingOrder="1"/>
    </xf>
    <xf numFmtId="2" fontId="6" fillId="2" borderId="14" xfId="10" applyNumberFormat="1" applyFont="1" applyFill="1" applyBorder="1" applyAlignment="1">
      <alignment horizontal="center" vertical="center" wrapText="1" readingOrder="1"/>
    </xf>
    <xf numFmtId="39" fontId="26" fillId="0" borderId="19" xfId="11" applyNumberFormat="1" applyFont="1" applyFill="1" applyBorder="1" applyAlignment="1">
      <alignment horizontal="center"/>
    </xf>
    <xf numFmtId="175" fontId="26" fillId="0" borderId="19" xfId="11" applyNumberFormat="1" applyFont="1" applyFill="1" applyBorder="1" applyAlignment="1">
      <alignment horizontal="left" vertical="top"/>
    </xf>
    <xf numFmtId="0" fontId="26" fillId="0" borderId="0" xfId="12" applyFont="1"/>
    <xf numFmtId="0" fontId="32" fillId="0" borderId="0" xfId="12" applyFont="1"/>
    <xf numFmtId="0" fontId="32" fillId="0" borderId="19" xfId="12" applyFont="1" applyBorder="1" applyAlignment="1">
      <alignment horizontal="center" vertical="top"/>
    </xf>
    <xf numFmtId="0" fontId="32" fillId="0" borderId="19" xfId="12" applyFont="1" applyBorder="1" applyAlignment="1">
      <alignment horizontal="center" vertical="top" wrapText="1"/>
    </xf>
    <xf numFmtId="0" fontId="26" fillId="0" borderId="19" xfId="12" applyFont="1" applyBorder="1" applyAlignment="1">
      <alignment horizontal="left" vertical="top"/>
    </xf>
    <xf numFmtId="0" fontId="26" fillId="0" borderId="19" xfId="12" applyFont="1" applyBorder="1" applyAlignment="1">
      <alignment horizontal="center" vertical="top"/>
    </xf>
    <xf numFmtId="2" fontId="26" fillId="0" borderId="19" xfId="12" applyNumberFormat="1" applyFont="1" applyBorder="1" applyAlignment="1">
      <alignment horizontal="center" vertical="top" wrapText="1"/>
    </xf>
    <xf numFmtId="2" fontId="26" fillId="0" borderId="0" xfId="12" applyNumberFormat="1" applyFont="1" applyAlignment="1">
      <alignment horizontal="left" vertical="top"/>
    </xf>
    <xf numFmtId="174" fontId="26" fillId="0" borderId="0" xfId="12" applyNumberFormat="1" applyFont="1"/>
    <xf numFmtId="0" fontId="32" fillId="0" borderId="19" xfId="12" applyFont="1" applyBorder="1" applyAlignment="1">
      <alignment horizontal="center"/>
    </xf>
    <xf numFmtId="2" fontId="26" fillId="0" borderId="19" xfId="12" applyNumberFormat="1" applyFont="1" applyBorder="1" applyAlignment="1">
      <alignment horizontal="center"/>
    </xf>
    <xf numFmtId="0" fontId="26" fillId="0" borderId="19" xfId="12" applyFont="1" applyBorder="1"/>
    <xf numFmtId="39" fontId="26" fillId="0" borderId="19" xfId="12" applyNumberFormat="1" applyFont="1" applyBorder="1" applyAlignment="1">
      <alignment horizontal="center"/>
    </xf>
    <xf numFmtId="43" fontId="26" fillId="0" borderId="0" xfId="12" applyNumberFormat="1" applyFont="1"/>
    <xf numFmtId="4" fontId="26" fillId="0" borderId="0" xfId="12" applyNumberFormat="1" applyFont="1"/>
    <xf numFmtId="176" fontId="26" fillId="0" borderId="0" xfId="12" applyNumberFormat="1" applyFont="1"/>
    <xf numFmtId="0" fontId="6" fillId="2" borderId="14" xfId="12" applyFont="1" applyFill="1" applyBorder="1" applyAlignment="1">
      <alignment horizontal="left" vertical="center" wrapText="1" readingOrder="1"/>
    </xf>
    <xf numFmtId="174" fontId="6" fillId="2" borderId="14" xfId="12" applyNumberFormat="1" applyFont="1" applyFill="1" applyBorder="1" applyAlignment="1">
      <alignment horizontal="right" vertical="center" wrapText="1" readingOrder="1"/>
    </xf>
    <xf numFmtId="4" fontId="6" fillId="2" borderId="14" xfId="12" applyNumberFormat="1" applyFont="1" applyFill="1" applyBorder="1" applyAlignment="1">
      <alignment horizontal="right" vertical="center" wrapText="1" readingOrder="1"/>
    </xf>
    <xf numFmtId="2" fontId="26" fillId="0" borderId="19" xfId="12" applyNumberFormat="1" applyFont="1" applyBorder="1" applyAlignment="1">
      <alignment horizontal="right" vertical="top" wrapText="1"/>
    </xf>
    <xf numFmtId="0" fontId="26" fillId="0" borderId="0" xfId="12" applyFont="1" applyAlignment="1" applyProtection="1">
      <alignment horizontal="left"/>
      <protection locked="0"/>
    </xf>
    <xf numFmtId="0" fontId="26" fillId="0" borderId="0" xfId="12" applyFont="1" applyAlignment="1">
      <alignment horizontal="center" vertical="top"/>
    </xf>
    <xf numFmtId="4" fontId="26" fillId="0" borderId="0" xfId="12" applyNumberFormat="1" applyFont="1" applyAlignment="1">
      <alignment horizontal="right" vertical="center"/>
    </xf>
    <xf numFmtId="2" fontId="26" fillId="0" borderId="19" xfId="12" applyNumberFormat="1" applyFont="1" applyBorder="1" applyAlignment="1">
      <alignment horizontal="center" vertical="top"/>
    </xf>
    <xf numFmtId="0" fontId="26" fillId="0" borderId="20" xfId="12" applyFont="1" applyBorder="1" applyAlignment="1">
      <alignment horizontal="left" vertical="top"/>
    </xf>
    <xf numFmtId="0" fontId="26" fillId="0" borderId="14" xfId="12" applyFont="1" applyBorder="1" applyAlignment="1">
      <alignment horizontal="left" vertical="top"/>
    </xf>
    <xf numFmtId="0" fontId="26" fillId="0" borderId="0" xfId="12" applyFont="1" applyAlignment="1">
      <alignment horizontal="left" vertical="top"/>
    </xf>
    <xf numFmtId="174" fontId="6" fillId="2" borderId="0" xfId="12" applyNumberFormat="1" applyFont="1" applyFill="1" applyAlignment="1">
      <alignment horizontal="center" vertical="center" wrapText="1" readingOrder="1"/>
    </xf>
    <xf numFmtId="0" fontId="32" fillId="0" borderId="0" xfId="12" applyFont="1" applyAlignment="1">
      <alignment vertical="top" wrapText="1"/>
    </xf>
    <xf numFmtId="0" fontId="26" fillId="0" borderId="0" xfId="12" applyFont="1" applyAlignment="1">
      <alignment horizontal="center"/>
    </xf>
    <xf numFmtId="2" fontId="26" fillId="0" borderId="0" xfId="12" applyNumberFormat="1" applyFont="1" applyAlignment="1">
      <alignment horizontal="right"/>
    </xf>
    <xf numFmtId="0" fontId="26" fillId="0" borderId="0" xfId="12" applyFont="1" applyAlignment="1">
      <alignment horizontal="right" vertical="top" wrapText="1"/>
    </xf>
    <xf numFmtId="0" fontId="26" fillId="0" borderId="19" xfId="12" applyFont="1" applyBorder="1" applyAlignment="1">
      <alignment horizontal="center" vertical="top" wrapText="1"/>
    </xf>
    <xf numFmtId="177" fontId="26" fillId="0" borderId="0" xfId="12" applyNumberFormat="1" applyFont="1" applyAlignment="1">
      <alignment horizontal="right" vertical="top" wrapText="1"/>
    </xf>
    <xf numFmtId="2" fontId="26" fillId="0" borderId="0" xfId="12" applyNumberFormat="1" applyFont="1" applyAlignment="1">
      <alignment horizontal="center"/>
    </xf>
    <xf numFmtId="10" fontId="26" fillId="0" borderId="0" xfId="12" applyNumberFormat="1" applyFont="1" applyAlignment="1">
      <alignment horizontal="center"/>
    </xf>
    <xf numFmtId="0" fontId="26" fillId="0" borderId="19" xfId="12" applyFont="1" applyBorder="1" applyAlignment="1">
      <alignment horizontal="left"/>
    </xf>
    <xf numFmtId="0" fontId="26" fillId="0" borderId="0" xfId="12" applyFont="1" applyAlignment="1">
      <alignment horizontal="left"/>
    </xf>
    <xf numFmtId="0" fontId="26" fillId="0" borderId="0" xfId="12" applyFont="1" applyAlignment="1">
      <alignment horizontal="right" vertical="top"/>
    </xf>
    <xf numFmtId="2" fontId="26" fillId="0" borderId="0" xfId="12" applyNumberFormat="1" applyFont="1" applyAlignment="1">
      <alignment horizontal="right" vertical="top"/>
    </xf>
    <xf numFmtId="0" fontId="26" fillId="0" borderId="0" xfId="12" applyFont="1" applyAlignment="1">
      <alignment horizontal="left" vertical="top" wrapText="1"/>
    </xf>
    <xf numFmtId="2" fontId="26" fillId="0" borderId="0" xfId="12" applyNumberFormat="1" applyFont="1"/>
    <xf numFmtId="0" fontId="34" fillId="0" borderId="19" xfId="12" applyFont="1" applyBorder="1"/>
    <xf numFmtId="0" fontId="35" fillId="0" borderId="19" xfId="12" applyFont="1" applyBorder="1" applyAlignment="1">
      <alignment horizontal="left" wrapText="1"/>
    </xf>
    <xf numFmtId="0" fontId="36" fillId="0" borderId="19" xfId="12" applyFont="1" applyBorder="1" applyAlignment="1">
      <alignment horizontal="left" wrapText="1"/>
    </xf>
    <xf numFmtId="0" fontId="37" fillId="0" borderId="19" xfId="12" applyFont="1" applyBorder="1"/>
    <xf numFmtId="0" fontId="26" fillId="0" borderId="19" xfId="12" applyFont="1" applyBorder="1" applyAlignment="1">
      <alignment vertical="top"/>
    </xf>
    <xf numFmtId="0" fontId="38" fillId="0" borderId="19" xfId="12" applyFont="1" applyBorder="1"/>
    <xf numFmtId="37" fontId="37" fillId="0" borderId="19" xfId="12" applyNumberFormat="1" applyFont="1" applyBorder="1"/>
    <xf numFmtId="179" fontId="37" fillId="0" borderId="19" xfId="12" applyNumberFormat="1" applyFont="1" applyBorder="1"/>
    <xf numFmtId="0" fontId="26" fillId="0" borderId="19" xfId="12" applyFont="1" applyBorder="1" applyAlignment="1">
      <alignment horizontal="center"/>
    </xf>
    <xf numFmtId="4" fontId="26" fillId="0" borderId="19" xfId="12" applyNumberFormat="1" applyFont="1" applyBorder="1" applyAlignment="1">
      <alignment horizontal="center"/>
    </xf>
    <xf numFmtId="4" fontId="32" fillId="0" borderId="19" xfId="12" applyNumberFormat="1" applyFont="1" applyBorder="1" applyAlignment="1">
      <alignment horizontal="center" vertical="top" wrapText="1"/>
    </xf>
    <xf numFmtId="4" fontId="26" fillId="0" borderId="19" xfId="12" applyNumberFormat="1" applyFont="1" applyBorder="1" applyAlignment="1">
      <alignment horizontal="center" vertical="top" wrapText="1"/>
    </xf>
    <xf numFmtId="0" fontId="5" fillId="0" borderId="7" xfId="0" applyFont="1" applyBorder="1" applyAlignment="1">
      <alignment horizontal="center" vertical="center" wrapText="1" readingOrder="1"/>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11" fillId="0" borderId="0" xfId="0" applyFont="1" applyAlignment="1">
      <alignment horizontal="left" vertical="center" wrapText="1" readingOrder="1"/>
    </xf>
    <xf numFmtId="0" fontId="19" fillId="0" borderId="0" xfId="0" applyFont="1" applyAlignment="1">
      <alignment horizontal="left" vertical="top" wrapText="1"/>
    </xf>
    <xf numFmtId="0" fontId="11" fillId="0" borderId="0" xfId="0" applyFont="1" applyAlignment="1">
      <alignment horizontal="justify" vertical="top"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5" fillId="0" borderId="19" xfId="0" applyFont="1" applyBorder="1" applyAlignment="1">
      <alignment horizontal="center" vertical="center" wrapText="1" readingOrder="1"/>
    </xf>
    <xf numFmtId="0" fontId="6" fillId="0" borderId="0" xfId="0" applyFont="1" applyAlignment="1">
      <alignment horizontal="left" vertical="center" wrapText="1" readingOrder="1"/>
    </xf>
    <xf numFmtId="0" fontId="6" fillId="0" borderId="0" xfId="0" applyFont="1" applyAlignment="1">
      <alignment horizontal="justify" vertical="top" wrapText="1" readingOrder="1"/>
    </xf>
    <xf numFmtId="0" fontId="30" fillId="0" borderId="15" xfId="0" applyFont="1" applyBorder="1" applyAlignment="1">
      <alignment horizontal="left" vertical="center" wrapText="1" readingOrder="1"/>
    </xf>
    <xf numFmtId="0" fontId="30" fillId="0" borderId="16" xfId="0" applyFont="1" applyBorder="1" applyAlignment="1">
      <alignment horizontal="left" vertical="center" wrapText="1" readingOrder="1"/>
    </xf>
    <xf numFmtId="0" fontId="30" fillId="0" borderId="17" xfId="0" applyFont="1" applyBorder="1" applyAlignment="1">
      <alignment horizontal="left" vertical="center" wrapText="1" readingOrder="1"/>
    </xf>
    <xf numFmtId="0" fontId="29" fillId="0" borderId="15" xfId="0" applyFont="1" applyBorder="1" applyAlignment="1">
      <alignment horizontal="left" vertical="center" wrapText="1" readingOrder="1"/>
    </xf>
    <xf numFmtId="0" fontId="29" fillId="0" borderId="17" xfId="0" applyFont="1" applyBorder="1" applyAlignment="1">
      <alignment horizontal="left" vertical="center" wrapText="1" readingOrder="1"/>
    </xf>
    <xf numFmtId="0" fontId="6" fillId="0" borderId="15" xfId="4" applyFont="1" applyBorder="1" applyAlignment="1">
      <alignment horizontal="left" vertical="center" wrapText="1" readingOrder="1"/>
    </xf>
    <xf numFmtId="0" fontId="6" fillId="0" borderId="17" xfId="4" applyFont="1" applyBorder="1" applyAlignment="1">
      <alignment horizontal="left" vertical="center" wrapText="1" readingOrder="1"/>
    </xf>
    <xf numFmtId="0" fontId="6" fillId="0" borderId="15" xfId="0" applyFont="1" applyBorder="1" applyAlignment="1">
      <alignment horizontal="left" vertical="center" wrapText="1" readingOrder="1"/>
    </xf>
    <xf numFmtId="0" fontId="6" fillId="0" borderId="17" xfId="0" applyFont="1" applyBorder="1" applyAlignment="1">
      <alignment horizontal="left" vertical="center" wrapText="1" readingOrder="1"/>
    </xf>
    <xf numFmtId="0" fontId="23" fillId="0" borderId="10" xfId="3" applyFont="1" applyBorder="1" applyAlignment="1">
      <alignment horizontal="center" vertical="center" wrapText="1"/>
    </xf>
    <xf numFmtId="0" fontId="23" fillId="0" borderId="11" xfId="3" applyFont="1" applyBorder="1" applyAlignment="1">
      <alignment horizontal="center" vertical="center" wrapText="1"/>
    </xf>
    <xf numFmtId="0" fontId="23" fillId="0" borderId="7" xfId="3" applyFont="1" applyBorder="1" applyAlignment="1">
      <alignment horizontal="center" vertical="center"/>
    </xf>
    <xf numFmtId="0" fontId="22" fillId="0" borderId="10" xfId="1" applyNumberFormat="1" applyFont="1" applyFill="1" applyBorder="1" applyAlignment="1">
      <alignment horizontal="center" vertical="center"/>
    </xf>
    <xf numFmtId="0" fontId="22" fillId="0" borderId="11" xfId="1" applyNumberFormat="1" applyFont="1" applyFill="1" applyBorder="1" applyAlignment="1">
      <alignment horizontal="center" vertical="center"/>
    </xf>
    <xf numFmtId="0" fontId="23" fillId="0" borderId="10" xfId="3" applyFont="1" applyBorder="1" applyAlignment="1">
      <alignment horizontal="center" vertical="center"/>
    </xf>
    <xf numFmtId="0" fontId="23" fillId="0" borderId="12" xfId="3" applyFont="1" applyBorder="1" applyAlignment="1">
      <alignment horizontal="center" vertical="center"/>
    </xf>
    <xf numFmtId="0" fontId="23" fillId="0" borderId="11" xfId="3" applyFont="1" applyBorder="1" applyAlignment="1">
      <alignment horizontal="center" vertical="center"/>
    </xf>
    <xf numFmtId="0" fontId="22" fillId="0" borderId="10" xfId="3" applyFont="1" applyBorder="1" applyAlignment="1">
      <alignment horizontal="left" vertical="center" wrapText="1"/>
    </xf>
    <xf numFmtId="0" fontId="22" fillId="0" borderId="12" xfId="3" applyFont="1" applyBorder="1" applyAlignment="1">
      <alignment horizontal="left" vertical="center" wrapText="1"/>
    </xf>
    <xf numFmtId="0" fontId="22" fillId="0" borderId="11" xfId="3" applyFont="1" applyBorder="1" applyAlignment="1">
      <alignment horizontal="left" vertical="center"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24" fillId="0" borderId="11" xfId="0" applyFont="1" applyBorder="1" applyAlignment="1">
      <alignment horizontal="center" vertical="center"/>
    </xf>
    <xf numFmtId="0" fontId="11" fillId="0" borderId="7" xfId="0" applyFont="1" applyBorder="1" applyAlignment="1">
      <alignment horizontal="left" vertical="center" wrapText="1" readingOrder="1"/>
    </xf>
    <xf numFmtId="0" fontId="11" fillId="0" borderId="10" xfId="0" applyFont="1" applyBorder="1" applyAlignment="1">
      <alignment horizontal="left" vertical="center" wrapText="1" readingOrder="1"/>
    </xf>
    <xf numFmtId="0" fontId="11" fillId="0" borderId="11" xfId="0" applyFont="1" applyBorder="1" applyAlignment="1">
      <alignment horizontal="left" vertical="center" wrapText="1" readingOrder="1"/>
    </xf>
    <xf numFmtId="0" fontId="11" fillId="0" borderId="12" xfId="0" applyFont="1" applyBorder="1" applyAlignment="1">
      <alignment horizontal="left" vertical="center" wrapText="1" readingOrder="1"/>
    </xf>
    <xf numFmtId="0" fontId="32" fillId="0" borderId="0" xfId="12" applyFont="1" applyAlignment="1">
      <alignment horizontal="center"/>
    </xf>
  </cellXfs>
  <cellStyles count="13">
    <cellStyle name="Comma" xfId="1" builtinId="3"/>
    <cellStyle name="Comma 2" xfId="7" xr:uid="{9C9D7EBA-0FAF-4574-A4CE-FB16299E2963}"/>
    <cellStyle name="Comma 6" xfId="11" xr:uid="{FFB8167D-B6F1-43F4-9CEF-0290CABE08ED}"/>
    <cellStyle name="Hyperlink 2" xfId="5" xr:uid="{7321D92E-7DF9-40A1-9DD6-5F3CE4D26FDF}"/>
    <cellStyle name="Normal" xfId="0" builtinId="0"/>
    <cellStyle name="Normal 2" xfId="4" xr:uid="{E74519D4-8BAD-45F3-9645-C198E49E1CA6}"/>
    <cellStyle name="Normal 2 2" xfId="6" xr:uid="{A5A36841-5701-412D-BA58-3410CF6890F7}"/>
    <cellStyle name="Normal 2 2 3 2 2" xfId="8" xr:uid="{64B38F69-B9F7-4729-8538-3C8BA2076964}"/>
    <cellStyle name="Normal 2 2 3 2 2 3" xfId="3" xr:uid="{EC23DF18-BFA1-43C8-A6C6-C59EE2D16E29}"/>
    <cellStyle name="Normal 2 3" xfId="10" xr:uid="{9285498D-DCAD-4BE8-80EE-5F15260C6B22}"/>
    <cellStyle name="Normal 3" xfId="12" xr:uid="{A362A47C-3099-4E9D-B643-A4AC72E2BCFB}"/>
    <cellStyle name="Normal 4" xfId="9" xr:uid="{97AC454D-6612-42D8-AA3D-5C00C0C78BF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1737730</xdr:colOff>
      <xdr:row>157</xdr:row>
      <xdr:rowOff>27375</xdr:rowOff>
    </xdr:to>
    <xdr:pic>
      <xdr:nvPicPr>
        <xdr:cNvPr id="4" name="Picture 3">
          <a:extLst>
            <a:ext uri="{FF2B5EF4-FFF2-40B4-BE49-F238E27FC236}">
              <a16:creationId xmlns:a16="http://schemas.microsoft.com/office/drawing/2014/main" id="{CEA2386F-E1DD-47C0-A20E-948FC658FC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412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161</xdr:row>
      <xdr:rowOff>0</xdr:rowOff>
    </xdr:from>
    <xdr:to>
      <xdr:col>2</xdr:col>
      <xdr:colOff>1737730</xdr:colOff>
      <xdr:row>161</xdr:row>
      <xdr:rowOff>1980000</xdr:rowOff>
    </xdr:to>
    <xdr:pic>
      <xdr:nvPicPr>
        <xdr:cNvPr id="5" name="Picture 4">
          <a:extLst>
            <a:ext uri="{FF2B5EF4-FFF2-40B4-BE49-F238E27FC236}">
              <a16:creationId xmlns:a16="http://schemas.microsoft.com/office/drawing/2014/main" id="{35D26B56-3241-4F63-92DD-BF6E1E55DF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013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2033005</xdr:colOff>
      <xdr:row>98</xdr:row>
      <xdr:rowOff>27375</xdr:rowOff>
    </xdr:to>
    <xdr:pic>
      <xdr:nvPicPr>
        <xdr:cNvPr id="4" name="Picture 3">
          <a:extLst>
            <a:ext uri="{FF2B5EF4-FFF2-40B4-BE49-F238E27FC236}">
              <a16:creationId xmlns:a16="http://schemas.microsoft.com/office/drawing/2014/main" id="{E39ED9F3-A838-40E2-8BEF-57B4A31B82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7373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2</xdr:col>
      <xdr:colOff>2033005</xdr:colOff>
      <xdr:row>102</xdr:row>
      <xdr:rowOff>1980000</xdr:rowOff>
    </xdr:to>
    <xdr:pic>
      <xdr:nvPicPr>
        <xdr:cNvPr id="5" name="Picture 4">
          <a:extLst>
            <a:ext uri="{FF2B5EF4-FFF2-40B4-BE49-F238E27FC236}">
              <a16:creationId xmlns:a16="http://schemas.microsoft.com/office/drawing/2014/main" id="{F4AD350C-61DB-488A-B2B4-8E3C791D80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973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1737730</xdr:colOff>
      <xdr:row>176</xdr:row>
      <xdr:rowOff>27375</xdr:rowOff>
    </xdr:to>
    <xdr:pic>
      <xdr:nvPicPr>
        <xdr:cNvPr id="5" name="Picture 4">
          <a:extLst>
            <a:ext uri="{FF2B5EF4-FFF2-40B4-BE49-F238E27FC236}">
              <a16:creationId xmlns:a16="http://schemas.microsoft.com/office/drawing/2014/main" id="{6AAC513A-11A1-4C10-8A11-D4EBD10C7A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299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180</xdr:row>
      <xdr:rowOff>0</xdr:rowOff>
    </xdr:from>
    <xdr:to>
      <xdr:col>2</xdr:col>
      <xdr:colOff>1737730</xdr:colOff>
      <xdr:row>192</xdr:row>
      <xdr:rowOff>36900</xdr:rowOff>
    </xdr:to>
    <xdr:pic>
      <xdr:nvPicPr>
        <xdr:cNvPr id="6" name="Picture 5">
          <a:extLst>
            <a:ext uri="{FF2B5EF4-FFF2-40B4-BE49-F238E27FC236}">
              <a16:creationId xmlns:a16="http://schemas.microsoft.com/office/drawing/2014/main" id="{EEFBAEF5-4ABD-4960-AFD5-2748ED817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899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2381250</xdr:colOff>
      <xdr:row>180</xdr:row>
      <xdr:rowOff>0</xdr:rowOff>
    </xdr:from>
    <xdr:to>
      <xdr:col>5</xdr:col>
      <xdr:colOff>566155</xdr:colOff>
      <xdr:row>192</xdr:row>
      <xdr:rowOff>36900</xdr:rowOff>
    </xdr:to>
    <xdr:pic>
      <xdr:nvPicPr>
        <xdr:cNvPr id="7" name="Picture 6">
          <a:extLst>
            <a:ext uri="{FF2B5EF4-FFF2-40B4-BE49-F238E27FC236}">
              <a16:creationId xmlns:a16="http://schemas.microsoft.com/office/drawing/2014/main" id="{C27F660A-F8ED-46A6-BBFF-639EF794923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32899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187</xdr:row>
      <xdr:rowOff>85725</xdr:rowOff>
    </xdr:from>
    <xdr:to>
      <xdr:col>2</xdr:col>
      <xdr:colOff>1604380</xdr:colOff>
      <xdr:row>199</xdr:row>
      <xdr:rowOff>122625</xdr:rowOff>
    </xdr:to>
    <xdr:pic>
      <xdr:nvPicPr>
        <xdr:cNvPr id="2" name="Picture 1">
          <a:extLst>
            <a:ext uri="{FF2B5EF4-FFF2-40B4-BE49-F238E27FC236}">
              <a16:creationId xmlns:a16="http://schemas.microsoft.com/office/drawing/2014/main" id="{7DB5D1A0-21FC-4C7D-B4DA-C2F23742A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36232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187</xdr:row>
      <xdr:rowOff>114300</xdr:rowOff>
    </xdr:from>
    <xdr:to>
      <xdr:col>5</xdr:col>
      <xdr:colOff>413755</xdr:colOff>
      <xdr:row>199</xdr:row>
      <xdr:rowOff>151200</xdr:rowOff>
    </xdr:to>
    <xdr:pic>
      <xdr:nvPicPr>
        <xdr:cNvPr id="3" name="Picture 2">
          <a:extLst>
            <a:ext uri="{FF2B5EF4-FFF2-40B4-BE49-F238E27FC236}">
              <a16:creationId xmlns:a16="http://schemas.microsoft.com/office/drawing/2014/main" id="{C289807D-791A-448C-B2D0-1E87BB1AAA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19550" y="33651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2</xdr:col>
      <xdr:colOff>1737730</xdr:colOff>
      <xdr:row>184</xdr:row>
      <xdr:rowOff>36900</xdr:rowOff>
    </xdr:to>
    <xdr:pic>
      <xdr:nvPicPr>
        <xdr:cNvPr id="4" name="Picture 3">
          <a:extLst>
            <a:ext uri="{FF2B5EF4-FFF2-40B4-BE49-F238E27FC236}">
              <a16:creationId xmlns:a16="http://schemas.microsoft.com/office/drawing/2014/main" id="{E033E86D-39B7-41DB-9751-768EC6EE7E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1086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1737730</xdr:colOff>
      <xdr:row>134</xdr:row>
      <xdr:rowOff>27375</xdr:rowOff>
    </xdr:to>
    <xdr:pic>
      <xdr:nvPicPr>
        <xdr:cNvPr id="4" name="Picture 3">
          <a:extLst>
            <a:ext uri="{FF2B5EF4-FFF2-40B4-BE49-F238E27FC236}">
              <a16:creationId xmlns:a16="http://schemas.microsoft.com/office/drawing/2014/main" id="{47F418B9-5925-46C9-AB97-39FEA77957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174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2</xdr:col>
      <xdr:colOff>1737730</xdr:colOff>
      <xdr:row>138</xdr:row>
      <xdr:rowOff>1980000</xdr:rowOff>
    </xdr:to>
    <xdr:pic>
      <xdr:nvPicPr>
        <xdr:cNvPr id="5" name="Picture 4">
          <a:extLst>
            <a:ext uri="{FF2B5EF4-FFF2-40B4-BE49-F238E27FC236}">
              <a16:creationId xmlns:a16="http://schemas.microsoft.com/office/drawing/2014/main" id="{4AD35608-9EF7-4E57-A76A-278E38EFD1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7746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1737730</xdr:colOff>
      <xdr:row>135</xdr:row>
      <xdr:rowOff>27375</xdr:rowOff>
    </xdr:to>
    <xdr:pic>
      <xdr:nvPicPr>
        <xdr:cNvPr id="4" name="Picture 3">
          <a:extLst>
            <a:ext uri="{FF2B5EF4-FFF2-40B4-BE49-F238E27FC236}">
              <a16:creationId xmlns:a16="http://schemas.microsoft.com/office/drawing/2014/main" id="{C3B7490D-8104-41B9-B036-384C3794EF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3362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2</xdr:col>
      <xdr:colOff>1737730</xdr:colOff>
      <xdr:row>139</xdr:row>
      <xdr:rowOff>1980000</xdr:rowOff>
    </xdr:to>
    <xdr:pic>
      <xdr:nvPicPr>
        <xdr:cNvPr id="5" name="Picture 4">
          <a:extLst>
            <a:ext uri="{FF2B5EF4-FFF2-40B4-BE49-F238E27FC236}">
              <a16:creationId xmlns:a16="http://schemas.microsoft.com/office/drawing/2014/main" id="{0B90D57E-BCEF-4C4C-A97E-ED6DEEE4F6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9365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1737730</xdr:colOff>
      <xdr:row>101</xdr:row>
      <xdr:rowOff>1980000</xdr:rowOff>
    </xdr:to>
    <xdr:pic>
      <xdr:nvPicPr>
        <xdr:cNvPr id="4" name="Picture 3">
          <a:extLst>
            <a:ext uri="{FF2B5EF4-FFF2-40B4-BE49-F238E27FC236}">
              <a16:creationId xmlns:a16="http://schemas.microsoft.com/office/drawing/2014/main" id="{45843E40-6FC4-4E9E-959A-E38D177702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92976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96</xdr:row>
      <xdr:rowOff>57150</xdr:rowOff>
    </xdr:from>
    <xdr:to>
      <xdr:col>2</xdr:col>
      <xdr:colOff>1815014</xdr:colOff>
      <xdr:row>97</xdr:row>
      <xdr:rowOff>84525</xdr:rowOff>
    </xdr:to>
    <xdr:pic>
      <xdr:nvPicPr>
        <xdr:cNvPr id="2" name="Picture 1">
          <a:extLst>
            <a:ext uri="{FF2B5EF4-FFF2-40B4-BE49-F238E27FC236}">
              <a16:creationId xmlns:a16="http://schemas.microsoft.com/office/drawing/2014/main" id="{82440E4D-F59A-494A-9873-13946A57B0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16592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1737730</xdr:colOff>
      <xdr:row>130</xdr:row>
      <xdr:rowOff>27375</xdr:rowOff>
    </xdr:to>
    <xdr:pic>
      <xdr:nvPicPr>
        <xdr:cNvPr id="4" name="Picture 3">
          <a:extLst>
            <a:ext uri="{FF2B5EF4-FFF2-40B4-BE49-F238E27FC236}">
              <a16:creationId xmlns:a16="http://schemas.microsoft.com/office/drawing/2014/main" id="{8AEE9376-AE6F-468B-B083-3663684A2F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202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xdr:row>
      <xdr:rowOff>0</xdr:rowOff>
    </xdr:from>
    <xdr:to>
      <xdr:col>2</xdr:col>
      <xdr:colOff>1737730</xdr:colOff>
      <xdr:row>134</xdr:row>
      <xdr:rowOff>1980000</xdr:rowOff>
    </xdr:to>
    <xdr:pic>
      <xdr:nvPicPr>
        <xdr:cNvPr id="5" name="Picture 4">
          <a:extLst>
            <a:ext uri="{FF2B5EF4-FFF2-40B4-BE49-F238E27FC236}">
              <a16:creationId xmlns:a16="http://schemas.microsoft.com/office/drawing/2014/main" id="{9662129E-7B09-44AA-91C7-0F569DDC0D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803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1737730</xdr:colOff>
      <xdr:row>131</xdr:row>
      <xdr:rowOff>27375</xdr:rowOff>
    </xdr:to>
    <xdr:pic>
      <xdr:nvPicPr>
        <xdr:cNvPr id="4" name="Picture 3">
          <a:extLst>
            <a:ext uri="{FF2B5EF4-FFF2-40B4-BE49-F238E27FC236}">
              <a16:creationId xmlns:a16="http://schemas.microsoft.com/office/drawing/2014/main" id="{BB1678E0-65D7-4F05-B152-B12E2AC3E6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364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1737730</xdr:colOff>
      <xdr:row>135</xdr:row>
      <xdr:rowOff>1980000</xdr:rowOff>
    </xdr:to>
    <xdr:pic>
      <xdr:nvPicPr>
        <xdr:cNvPr id="5" name="Picture 4">
          <a:extLst>
            <a:ext uri="{FF2B5EF4-FFF2-40B4-BE49-F238E27FC236}">
              <a16:creationId xmlns:a16="http://schemas.microsoft.com/office/drawing/2014/main" id="{D7F2FE13-4BD5-4CA3-AB9F-25D01B9A87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965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1737730</xdr:colOff>
      <xdr:row>131</xdr:row>
      <xdr:rowOff>27375</xdr:rowOff>
    </xdr:to>
    <xdr:pic>
      <xdr:nvPicPr>
        <xdr:cNvPr id="4" name="Picture 3">
          <a:extLst>
            <a:ext uri="{FF2B5EF4-FFF2-40B4-BE49-F238E27FC236}">
              <a16:creationId xmlns:a16="http://schemas.microsoft.com/office/drawing/2014/main" id="{53C4C619-EC49-4475-A81E-2BBC9D8758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364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1737730</xdr:colOff>
      <xdr:row>135</xdr:row>
      <xdr:rowOff>1980000</xdr:rowOff>
    </xdr:to>
    <xdr:pic>
      <xdr:nvPicPr>
        <xdr:cNvPr id="5" name="Picture 4">
          <a:extLst>
            <a:ext uri="{FF2B5EF4-FFF2-40B4-BE49-F238E27FC236}">
              <a16:creationId xmlns:a16="http://schemas.microsoft.com/office/drawing/2014/main" id="{80759AA4-61EB-4EC9-AC78-66F60A14AE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965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1737730</xdr:colOff>
      <xdr:row>132</xdr:row>
      <xdr:rowOff>27375</xdr:rowOff>
    </xdr:to>
    <xdr:pic>
      <xdr:nvPicPr>
        <xdr:cNvPr id="4" name="Picture 3">
          <a:extLst>
            <a:ext uri="{FF2B5EF4-FFF2-40B4-BE49-F238E27FC236}">
              <a16:creationId xmlns:a16="http://schemas.microsoft.com/office/drawing/2014/main" id="{7307D72C-9ECF-4614-B1B6-0FD9513B64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504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2</xdr:col>
      <xdr:colOff>1737730</xdr:colOff>
      <xdr:row>136</xdr:row>
      <xdr:rowOff>1980000</xdr:rowOff>
    </xdr:to>
    <xdr:pic>
      <xdr:nvPicPr>
        <xdr:cNvPr id="5" name="Picture 4">
          <a:extLst>
            <a:ext uri="{FF2B5EF4-FFF2-40B4-BE49-F238E27FC236}">
              <a16:creationId xmlns:a16="http://schemas.microsoft.com/office/drawing/2014/main" id="{5DA42738-024A-474E-8A52-2EC55CBCF9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50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1737730</xdr:colOff>
      <xdr:row>130</xdr:row>
      <xdr:rowOff>27375</xdr:rowOff>
    </xdr:to>
    <xdr:pic>
      <xdr:nvPicPr>
        <xdr:cNvPr id="4" name="Picture 3">
          <a:extLst>
            <a:ext uri="{FF2B5EF4-FFF2-40B4-BE49-F238E27FC236}">
              <a16:creationId xmlns:a16="http://schemas.microsoft.com/office/drawing/2014/main" id="{A44D5878-AC71-40E3-AE89-0EE96A42CD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526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xdr:row>
      <xdr:rowOff>0</xdr:rowOff>
    </xdr:from>
    <xdr:to>
      <xdr:col>2</xdr:col>
      <xdr:colOff>1737730</xdr:colOff>
      <xdr:row>134</xdr:row>
      <xdr:rowOff>1980000</xdr:rowOff>
    </xdr:to>
    <xdr:pic>
      <xdr:nvPicPr>
        <xdr:cNvPr id="5" name="Picture 4">
          <a:extLst>
            <a:ext uri="{FF2B5EF4-FFF2-40B4-BE49-F238E27FC236}">
              <a16:creationId xmlns:a16="http://schemas.microsoft.com/office/drawing/2014/main" id="{3A278569-D42D-4F82-9DC6-75A37F45FB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1269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1737730</xdr:colOff>
      <xdr:row>177</xdr:row>
      <xdr:rowOff>27375</xdr:rowOff>
    </xdr:to>
    <xdr:pic>
      <xdr:nvPicPr>
        <xdr:cNvPr id="5" name="Picture 4">
          <a:extLst>
            <a:ext uri="{FF2B5EF4-FFF2-40B4-BE49-F238E27FC236}">
              <a16:creationId xmlns:a16="http://schemas.microsoft.com/office/drawing/2014/main" id="{FC2ACB2A-4974-42D0-AA7C-197D6D5BC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7752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xdr:row>
      <xdr:rowOff>0</xdr:rowOff>
    </xdr:from>
    <xdr:to>
      <xdr:col>2</xdr:col>
      <xdr:colOff>1737730</xdr:colOff>
      <xdr:row>181</xdr:row>
      <xdr:rowOff>1980000</xdr:rowOff>
    </xdr:to>
    <xdr:pic>
      <xdr:nvPicPr>
        <xdr:cNvPr id="6" name="Picture 5">
          <a:extLst>
            <a:ext uri="{FF2B5EF4-FFF2-40B4-BE49-F238E27FC236}">
              <a16:creationId xmlns:a16="http://schemas.microsoft.com/office/drawing/2014/main" id="{79135E07-C11E-4DEE-888D-B174AB7476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375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181</xdr:row>
      <xdr:rowOff>0</xdr:rowOff>
    </xdr:from>
    <xdr:to>
      <xdr:col>5</xdr:col>
      <xdr:colOff>356605</xdr:colOff>
      <xdr:row>181</xdr:row>
      <xdr:rowOff>1980000</xdr:rowOff>
    </xdr:to>
    <xdr:pic>
      <xdr:nvPicPr>
        <xdr:cNvPr id="7" name="Picture 6">
          <a:extLst>
            <a:ext uri="{FF2B5EF4-FFF2-40B4-BE49-F238E27FC236}">
              <a16:creationId xmlns:a16="http://schemas.microsoft.com/office/drawing/2014/main" id="{F534F5F3-88EE-4A87-A5CF-44071F7AB9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375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239</xdr:row>
      <xdr:rowOff>0</xdr:rowOff>
    </xdr:from>
    <xdr:to>
      <xdr:col>2</xdr:col>
      <xdr:colOff>1738652</xdr:colOff>
      <xdr:row>240</xdr:row>
      <xdr:rowOff>27375</xdr:rowOff>
    </xdr:to>
    <xdr:pic>
      <xdr:nvPicPr>
        <xdr:cNvPr id="4" name="Picture 3">
          <a:extLst>
            <a:ext uri="{FF2B5EF4-FFF2-40B4-BE49-F238E27FC236}">
              <a16:creationId xmlns:a16="http://schemas.microsoft.com/office/drawing/2014/main" id="{DB8B3C43-1F6D-4855-9377-75E729BF75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76440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244</xdr:row>
      <xdr:rowOff>161925</xdr:rowOff>
    </xdr:from>
    <xdr:to>
      <xdr:col>2</xdr:col>
      <xdr:colOff>1747255</xdr:colOff>
      <xdr:row>245</xdr:row>
      <xdr:rowOff>46425</xdr:rowOff>
    </xdr:to>
    <xdr:pic>
      <xdr:nvPicPr>
        <xdr:cNvPr id="5" name="Picture 4">
          <a:extLst>
            <a:ext uri="{FF2B5EF4-FFF2-40B4-BE49-F238E27FC236}">
              <a16:creationId xmlns:a16="http://schemas.microsoft.com/office/drawing/2014/main" id="{47739732-A559-47CC-BA44-85B8933A63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50406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1710239</xdr:colOff>
      <xdr:row>197</xdr:row>
      <xdr:rowOff>1980000</xdr:rowOff>
    </xdr:to>
    <xdr:pic>
      <xdr:nvPicPr>
        <xdr:cNvPr id="4" name="Picture 3">
          <a:extLst>
            <a:ext uri="{FF2B5EF4-FFF2-40B4-BE49-F238E27FC236}">
              <a16:creationId xmlns:a16="http://schemas.microsoft.com/office/drawing/2014/main" id="{8EA7CCEF-EDC7-41FE-8270-FCF20A3A48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633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192</xdr:row>
      <xdr:rowOff>0</xdr:rowOff>
    </xdr:from>
    <xdr:to>
      <xdr:col>2</xdr:col>
      <xdr:colOff>1710239</xdr:colOff>
      <xdr:row>193</xdr:row>
      <xdr:rowOff>27375</xdr:rowOff>
    </xdr:to>
    <xdr:pic>
      <xdr:nvPicPr>
        <xdr:cNvPr id="5" name="Picture 4">
          <a:extLst>
            <a:ext uri="{FF2B5EF4-FFF2-40B4-BE49-F238E27FC236}">
              <a16:creationId xmlns:a16="http://schemas.microsoft.com/office/drawing/2014/main" id="{B87E2D45-51B7-45B1-B5C8-05CB298E72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032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229</xdr:row>
      <xdr:rowOff>133350</xdr:rowOff>
    </xdr:from>
    <xdr:to>
      <xdr:col>2</xdr:col>
      <xdr:colOff>1738652</xdr:colOff>
      <xdr:row>230</xdr:row>
      <xdr:rowOff>17850</xdr:rowOff>
    </xdr:to>
    <xdr:pic>
      <xdr:nvPicPr>
        <xdr:cNvPr id="4" name="Picture 3">
          <a:extLst>
            <a:ext uri="{FF2B5EF4-FFF2-40B4-BE49-F238E27FC236}">
              <a16:creationId xmlns:a16="http://schemas.microsoft.com/office/drawing/2014/main" id="{BD8A3CED-4811-4CC9-9920-DDA84FD109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34054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224</xdr:row>
      <xdr:rowOff>0</xdr:rowOff>
    </xdr:from>
    <xdr:to>
      <xdr:col>2</xdr:col>
      <xdr:colOff>1747255</xdr:colOff>
      <xdr:row>225</xdr:row>
      <xdr:rowOff>27375</xdr:rowOff>
    </xdr:to>
    <xdr:pic>
      <xdr:nvPicPr>
        <xdr:cNvPr id="5" name="Picture 4">
          <a:extLst>
            <a:ext uri="{FF2B5EF4-FFF2-40B4-BE49-F238E27FC236}">
              <a16:creationId xmlns:a16="http://schemas.microsoft.com/office/drawing/2014/main" id="{669F6160-764E-4705-98B6-0D40B03F58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0671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164</xdr:row>
      <xdr:rowOff>0</xdr:rowOff>
    </xdr:from>
    <xdr:to>
      <xdr:col>2</xdr:col>
      <xdr:colOff>1737730</xdr:colOff>
      <xdr:row>165</xdr:row>
      <xdr:rowOff>27375</xdr:rowOff>
    </xdr:to>
    <xdr:pic>
      <xdr:nvPicPr>
        <xdr:cNvPr id="5" name="Picture 4">
          <a:extLst>
            <a:ext uri="{FF2B5EF4-FFF2-40B4-BE49-F238E27FC236}">
              <a16:creationId xmlns:a16="http://schemas.microsoft.com/office/drawing/2014/main" id="{9A764E90-D6D3-40E5-B7E1-7EF78E491B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660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169</xdr:row>
      <xdr:rowOff>0</xdr:rowOff>
    </xdr:from>
    <xdr:to>
      <xdr:col>2</xdr:col>
      <xdr:colOff>1737730</xdr:colOff>
      <xdr:row>169</xdr:row>
      <xdr:rowOff>1980000</xdr:rowOff>
    </xdr:to>
    <xdr:pic>
      <xdr:nvPicPr>
        <xdr:cNvPr id="6" name="Picture 5">
          <a:extLst>
            <a:ext uri="{FF2B5EF4-FFF2-40B4-BE49-F238E27FC236}">
              <a16:creationId xmlns:a16="http://schemas.microsoft.com/office/drawing/2014/main" id="{C0C038DF-5256-472A-8E22-991D6E860F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261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169</xdr:row>
      <xdr:rowOff>0</xdr:rowOff>
    </xdr:from>
    <xdr:to>
      <xdr:col>6</xdr:col>
      <xdr:colOff>61330</xdr:colOff>
      <xdr:row>169</xdr:row>
      <xdr:rowOff>1980000</xdr:rowOff>
    </xdr:to>
    <xdr:pic>
      <xdr:nvPicPr>
        <xdr:cNvPr id="7" name="Picture 6">
          <a:extLst>
            <a:ext uri="{FF2B5EF4-FFF2-40B4-BE49-F238E27FC236}">
              <a16:creationId xmlns:a16="http://schemas.microsoft.com/office/drawing/2014/main" id="{756C904D-3015-495A-9FB4-11FCABD985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2261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226</xdr:row>
      <xdr:rowOff>0</xdr:rowOff>
    </xdr:from>
    <xdr:to>
      <xdr:col>2</xdr:col>
      <xdr:colOff>1776914</xdr:colOff>
      <xdr:row>227</xdr:row>
      <xdr:rowOff>27375</xdr:rowOff>
    </xdr:to>
    <xdr:pic>
      <xdr:nvPicPr>
        <xdr:cNvPr id="4" name="Picture 3">
          <a:extLst>
            <a:ext uri="{FF2B5EF4-FFF2-40B4-BE49-F238E27FC236}">
              <a16:creationId xmlns:a16="http://schemas.microsoft.com/office/drawing/2014/main" id="{881F76C1-CBBF-4916-A06D-FB69E8C4BD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7574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231</xdr:row>
      <xdr:rowOff>57150</xdr:rowOff>
    </xdr:from>
    <xdr:to>
      <xdr:col>2</xdr:col>
      <xdr:colOff>1786439</xdr:colOff>
      <xdr:row>231</xdr:row>
      <xdr:rowOff>2037150</xdr:rowOff>
    </xdr:to>
    <xdr:pic>
      <xdr:nvPicPr>
        <xdr:cNvPr id="5" name="Picture 4">
          <a:extLst>
            <a:ext uri="{FF2B5EF4-FFF2-40B4-BE49-F238E27FC236}">
              <a16:creationId xmlns:a16="http://schemas.microsoft.com/office/drawing/2014/main" id="{1150B423-B37A-463F-99C8-A548367A3C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3414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1737730</xdr:colOff>
      <xdr:row>124</xdr:row>
      <xdr:rowOff>27375</xdr:rowOff>
    </xdr:to>
    <xdr:pic>
      <xdr:nvPicPr>
        <xdr:cNvPr id="5" name="Picture 4">
          <a:extLst>
            <a:ext uri="{FF2B5EF4-FFF2-40B4-BE49-F238E27FC236}">
              <a16:creationId xmlns:a16="http://schemas.microsoft.com/office/drawing/2014/main" id="{0C192BD0-7DDD-4ABC-9742-E71A1D9D82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374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128</xdr:row>
      <xdr:rowOff>0</xdr:rowOff>
    </xdr:from>
    <xdr:to>
      <xdr:col>2</xdr:col>
      <xdr:colOff>1737730</xdr:colOff>
      <xdr:row>128</xdr:row>
      <xdr:rowOff>1980000</xdr:rowOff>
    </xdr:to>
    <xdr:pic>
      <xdr:nvPicPr>
        <xdr:cNvPr id="6" name="Picture 5">
          <a:extLst>
            <a:ext uri="{FF2B5EF4-FFF2-40B4-BE49-F238E27FC236}">
              <a16:creationId xmlns:a16="http://schemas.microsoft.com/office/drawing/2014/main" id="{B3A0F772-51AE-459B-A8B2-E4B2C62047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974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128</xdr:row>
      <xdr:rowOff>0</xdr:rowOff>
    </xdr:from>
    <xdr:to>
      <xdr:col>5</xdr:col>
      <xdr:colOff>499480</xdr:colOff>
      <xdr:row>128</xdr:row>
      <xdr:rowOff>1980000</xdr:rowOff>
    </xdr:to>
    <xdr:pic>
      <xdr:nvPicPr>
        <xdr:cNvPr id="7" name="Picture 6">
          <a:extLst>
            <a:ext uri="{FF2B5EF4-FFF2-40B4-BE49-F238E27FC236}">
              <a16:creationId xmlns:a16="http://schemas.microsoft.com/office/drawing/2014/main" id="{9B2076AE-9450-4FE7-BC00-6E3DEECE67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4974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1737730</xdr:colOff>
      <xdr:row>172</xdr:row>
      <xdr:rowOff>27375</xdr:rowOff>
    </xdr:to>
    <xdr:pic>
      <xdr:nvPicPr>
        <xdr:cNvPr id="5" name="Picture 4">
          <a:extLst>
            <a:ext uri="{FF2B5EF4-FFF2-40B4-BE49-F238E27FC236}">
              <a16:creationId xmlns:a16="http://schemas.microsoft.com/office/drawing/2014/main" id="{B6860F43-E672-4B1B-AD01-E162901916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5944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1737730</xdr:colOff>
      <xdr:row>176</xdr:row>
      <xdr:rowOff>1980000</xdr:rowOff>
    </xdr:to>
    <xdr:pic>
      <xdr:nvPicPr>
        <xdr:cNvPr id="6" name="Picture 5">
          <a:extLst>
            <a:ext uri="{FF2B5EF4-FFF2-40B4-BE49-F238E27FC236}">
              <a16:creationId xmlns:a16="http://schemas.microsoft.com/office/drawing/2014/main" id="{B4B03B67-D2B8-4605-8BF9-1CCB177543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194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176</xdr:row>
      <xdr:rowOff>0</xdr:rowOff>
    </xdr:from>
    <xdr:to>
      <xdr:col>5</xdr:col>
      <xdr:colOff>632830</xdr:colOff>
      <xdr:row>176</xdr:row>
      <xdr:rowOff>1980000</xdr:rowOff>
    </xdr:to>
    <xdr:pic>
      <xdr:nvPicPr>
        <xdr:cNvPr id="7" name="Picture 6">
          <a:extLst>
            <a:ext uri="{FF2B5EF4-FFF2-40B4-BE49-F238E27FC236}">
              <a16:creationId xmlns:a16="http://schemas.microsoft.com/office/drawing/2014/main" id="{F62A8866-FD68-43DB-B0E2-148BA1E966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4194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1737730</xdr:colOff>
      <xdr:row>197</xdr:row>
      <xdr:rowOff>27375</xdr:rowOff>
    </xdr:to>
    <xdr:pic>
      <xdr:nvPicPr>
        <xdr:cNvPr id="4" name="Picture 3">
          <a:extLst>
            <a:ext uri="{FF2B5EF4-FFF2-40B4-BE49-F238E27FC236}">
              <a16:creationId xmlns:a16="http://schemas.microsoft.com/office/drawing/2014/main" id="{F4B68D31-9336-407D-A32E-3BC022D07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4023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1737730</xdr:colOff>
      <xdr:row>200</xdr:row>
      <xdr:rowOff>1980000</xdr:rowOff>
    </xdr:to>
    <xdr:pic>
      <xdr:nvPicPr>
        <xdr:cNvPr id="5" name="Picture 4">
          <a:extLst>
            <a:ext uri="{FF2B5EF4-FFF2-40B4-BE49-F238E27FC236}">
              <a16:creationId xmlns:a16="http://schemas.microsoft.com/office/drawing/2014/main" id="{0DD11B12-B608-4C2A-B7F1-A29441EF49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461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76200</xdr:colOff>
      <xdr:row>167</xdr:row>
      <xdr:rowOff>0</xdr:rowOff>
    </xdr:from>
    <xdr:to>
      <xdr:col>2</xdr:col>
      <xdr:colOff>1813930</xdr:colOff>
      <xdr:row>168</xdr:row>
      <xdr:rowOff>27375</xdr:rowOff>
    </xdr:to>
    <xdr:pic>
      <xdr:nvPicPr>
        <xdr:cNvPr id="5" name="Picture 4">
          <a:extLst>
            <a:ext uri="{FF2B5EF4-FFF2-40B4-BE49-F238E27FC236}">
              <a16:creationId xmlns:a16="http://schemas.microsoft.com/office/drawing/2014/main" id="{0B7D2705-E268-45F8-BB20-C0656FB421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30908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161925</xdr:rowOff>
    </xdr:from>
    <xdr:to>
      <xdr:col>2</xdr:col>
      <xdr:colOff>1737730</xdr:colOff>
      <xdr:row>173</xdr:row>
      <xdr:rowOff>46425</xdr:rowOff>
    </xdr:to>
    <xdr:pic>
      <xdr:nvPicPr>
        <xdr:cNvPr id="6" name="Picture 5">
          <a:extLst>
            <a:ext uri="{FF2B5EF4-FFF2-40B4-BE49-F238E27FC236}">
              <a16:creationId xmlns:a16="http://schemas.microsoft.com/office/drawing/2014/main" id="{CE16C6F5-368C-4660-9ACF-834F90ACAC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6708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2457450</xdr:colOff>
      <xdr:row>172</xdr:row>
      <xdr:rowOff>190500</xdr:rowOff>
    </xdr:from>
    <xdr:to>
      <xdr:col>6</xdr:col>
      <xdr:colOff>147055</xdr:colOff>
      <xdr:row>173</xdr:row>
      <xdr:rowOff>75000</xdr:rowOff>
    </xdr:to>
    <xdr:pic>
      <xdr:nvPicPr>
        <xdr:cNvPr id="7" name="Picture 6">
          <a:extLst>
            <a:ext uri="{FF2B5EF4-FFF2-40B4-BE49-F238E27FC236}">
              <a16:creationId xmlns:a16="http://schemas.microsoft.com/office/drawing/2014/main" id="{BBC6F589-20FE-4581-A5AB-EB8A2AC395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57700" y="33699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1737730</xdr:colOff>
      <xdr:row>128</xdr:row>
      <xdr:rowOff>27375</xdr:rowOff>
    </xdr:to>
    <xdr:pic>
      <xdr:nvPicPr>
        <xdr:cNvPr id="4" name="Picture 3">
          <a:extLst>
            <a:ext uri="{FF2B5EF4-FFF2-40B4-BE49-F238E27FC236}">
              <a16:creationId xmlns:a16="http://schemas.microsoft.com/office/drawing/2014/main" id="{0A96ACCC-EA8E-46D0-9E15-1A0E56D0F3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212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1737730</xdr:colOff>
      <xdr:row>132</xdr:row>
      <xdr:rowOff>1980000</xdr:rowOff>
    </xdr:to>
    <xdr:pic>
      <xdr:nvPicPr>
        <xdr:cNvPr id="5" name="Picture 4">
          <a:extLst>
            <a:ext uri="{FF2B5EF4-FFF2-40B4-BE49-F238E27FC236}">
              <a16:creationId xmlns:a16="http://schemas.microsoft.com/office/drawing/2014/main" id="{439752C0-D537-49F8-8E8A-86304C4E93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812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154</xdr:row>
      <xdr:rowOff>0</xdr:rowOff>
    </xdr:from>
    <xdr:to>
      <xdr:col>2</xdr:col>
      <xdr:colOff>1737730</xdr:colOff>
      <xdr:row>155</xdr:row>
      <xdr:rowOff>27375</xdr:rowOff>
    </xdr:to>
    <xdr:pic>
      <xdr:nvPicPr>
        <xdr:cNvPr id="5" name="Picture 4">
          <a:extLst>
            <a:ext uri="{FF2B5EF4-FFF2-40B4-BE49-F238E27FC236}">
              <a16:creationId xmlns:a16="http://schemas.microsoft.com/office/drawing/2014/main" id="{FC905843-D5F4-4EA2-B743-2D15B5787D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746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160</xdr:row>
      <xdr:rowOff>66675</xdr:rowOff>
    </xdr:from>
    <xdr:to>
      <xdr:col>2</xdr:col>
      <xdr:colOff>1737730</xdr:colOff>
      <xdr:row>160</xdr:row>
      <xdr:rowOff>2046675</xdr:rowOff>
    </xdr:to>
    <xdr:pic>
      <xdr:nvPicPr>
        <xdr:cNvPr id="6" name="Picture 5">
          <a:extLst>
            <a:ext uri="{FF2B5EF4-FFF2-40B4-BE49-F238E27FC236}">
              <a16:creationId xmlns:a16="http://schemas.microsoft.com/office/drawing/2014/main" id="{F731AF33-580F-4318-9665-58A630BB2B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575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160</xdr:row>
      <xdr:rowOff>66675</xdr:rowOff>
    </xdr:from>
    <xdr:to>
      <xdr:col>5</xdr:col>
      <xdr:colOff>585205</xdr:colOff>
      <xdr:row>160</xdr:row>
      <xdr:rowOff>2046675</xdr:rowOff>
    </xdr:to>
    <xdr:pic>
      <xdr:nvPicPr>
        <xdr:cNvPr id="7" name="Picture 6">
          <a:extLst>
            <a:ext uri="{FF2B5EF4-FFF2-40B4-BE49-F238E27FC236}">
              <a16:creationId xmlns:a16="http://schemas.microsoft.com/office/drawing/2014/main" id="{783E86F3-DE32-4F13-96C6-D26B30618A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9575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1737730</xdr:colOff>
      <xdr:row>159</xdr:row>
      <xdr:rowOff>27375</xdr:rowOff>
    </xdr:to>
    <xdr:pic>
      <xdr:nvPicPr>
        <xdr:cNvPr id="5" name="Picture 4">
          <a:extLst>
            <a:ext uri="{FF2B5EF4-FFF2-40B4-BE49-F238E27FC236}">
              <a16:creationId xmlns:a16="http://schemas.microsoft.com/office/drawing/2014/main" id="{1B974685-CA1D-493C-9F92-D71306CA81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708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1737730</xdr:colOff>
      <xdr:row>163</xdr:row>
      <xdr:rowOff>1980000</xdr:rowOff>
    </xdr:to>
    <xdr:pic>
      <xdr:nvPicPr>
        <xdr:cNvPr id="6" name="Picture 5">
          <a:extLst>
            <a:ext uri="{FF2B5EF4-FFF2-40B4-BE49-F238E27FC236}">
              <a16:creationId xmlns:a16="http://schemas.microsoft.com/office/drawing/2014/main" id="{553BDA39-B0A2-4038-AEAB-A8E1D08672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308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163</xdr:row>
      <xdr:rowOff>0</xdr:rowOff>
    </xdr:from>
    <xdr:to>
      <xdr:col>6</xdr:col>
      <xdr:colOff>4180</xdr:colOff>
      <xdr:row>163</xdr:row>
      <xdr:rowOff>1980000</xdr:rowOff>
    </xdr:to>
    <xdr:pic>
      <xdr:nvPicPr>
        <xdr:cNvPr id="7" name="Picture 6">
          <a:extLst>
            <a:ext uri="{FF2B5EF4-FFF2-40B4-BE49-F238E27FC236}">
              <a16:creationId xmlns:a16="http://schemas.microsoft.com/office/drawing/2014/main" id="{7B1D46A5-AFE8-4984-BB38-5FEF0809F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0308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2266950</xdr:colOff>
      <xdr:row>136</xdr:row>
      <xdr:rowOff>0</xdr:rowOff>
    </xdr:from>
    <xdr:to>
      <xdr:col>5</xdr:col>
      <xdr:colOff>404230</xdr:colOff>
      <xdr:row>136</xdr:row>
      <xdr:rowOff>1980000</xdr:rowOff>
    </xdr:to>
    <xdr:pic>
      <xdr:nvPicPr>
        <xdr:cNvPr id="5" name="Picture 4">
          <a:extLst>
            <a:ext uri="{FF2B5EF4-FFF2-40B4-BE49-F238E27FC236}">
              <a16:creationId xmlns:a16="http://schemas.microsoft.com/office/drawing/2014/main" id="{7F5EF13F-BAE4-4EDC-AC06-8D7E78C52B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7200" y="25450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371475</xdr:colOff>
      <xdr:row>131</xdr:row>
      <xdr:rowOff>0</xdr:rowOff>
    </xdr:from>
    <xdr:to>
      <xdr:col>2</xdr:col>
      <xdr:colOff>1718680</xdr:colOff>
      <xdr:row>132</xdr:row>
      <xdr:rowOff>27375</xdr:rowOff>
    </xdr:to>
    <xdr:pic>
      <xdr:nvPicPr>
        <xdr:cNvPr id="6" name="Picture 5">
          <a:extLst>
            <a:ext uri="{FF2B5EF4-FFF2-40B4-BE49-F238E27FC236}">
              <a16:creationId xmlns:a16="http://schemas.microsoft.com/office/drawing/2014/main" id="{85621673-1411-4634-A0E2-033B839DFA4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1475" y="228504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371475</xdr:colOff>
      <xdr:row>136</xdr:row>
      <xdr:rowOff>0</xdr:rowOff>
    </xdr:from>
    <xdr:to>
      <xdr:col>2</xdr:col>
      <xdr:colOff>1718680</xdr:colOff>
      <xdr:row>136</xdr:row>
      <xdr:rowOff>1980000</xdr:rowOff>
    </xdr:to>
    <xdr:pic>
      <xdr:nvPicPr>
        <xdr:cNvPr id="7" name="Picture 6">
          <a:extLst>
            <a:ext uri="{FF2B5EF4-FFF2-40B4-BE49-F238E27FC236}">
              <a16:creationId xmlns:a16="http://schemas.microsoft.com/office/drawing/2014/main" id="{51CAB9B5-C54E-4A5D-BE1C-D7C9596180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25450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28575</xdr:colOff>
      <xdr:row>140</xdr:row>
      <xdr:rowOff>9525</xdr:rowOff>
    </xdr:from>
    <xdr:to>
      <xdr:col>2</xdr:col>
      <xdr:colOff>1766305</xdr:colOff>
      <xdr:row>141</xdr:row>
      <xdr:rowOff>36900</xdr:rowOff>
    </xdr:to>
    <xdr:pic>
      <xdr:nvPicPr>
        <xdr:cNvPr id="4" name="Picture 3">
          <a:extLst>
            <a:ext uri="{FF2B5EF4-FFF2-40B4-BE49-F238E27FC236}">
              <a16:creationId xmlns:a16="http://schemas.microsoft.com/office/drawing/2014/main" id="{3C0D1505-11DD-45C1-8A34-3E0D4925A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4203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0</xdr:rowOff>
    </xdr:from>
    <xdr:to>
      <xdr:col>2</xdr:col>
      <xdr:colOff>1737730</xdr:colOff>
      <xdr:row>145</xdr:row>
      <xdr:rowOff>1980000</xdr:rowOff>
    </xdr:to>
    <xdr:pic>
      <xdr:nvPicPr>
        <xdr:cNvPr id="5" name="Picture 4">
          <a:extLst>
            <a:ext uri="{FF2B5EF4-FFF2-40B4-BE49-F238E27FC236}">
              <a16:creationId xmlns:a16="http://schemas.microsoft.com/office/drawing/2014/main" id="{0DDC09E6-80B2-4246-A62C-5E477BAEF6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793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1737730</xdr:colOff>
      <xdr:row>161</xdr:row>
      <xdr:rowOff>27375</xdr:rowOff>
    </xdr:to>
    <xdr:pic>
      <xdr:nvPicPr>
        <xdr:cNvPr id="5" name="Picture 4">
          <a:extLst>
            <a:ext uri="{FF2B5EF4-FFF2-40B4-BE49-F238E27FC236}">
              <a16:creationId xmlns:a16="http://schemas.microsoft.com/office/drawing/2014/main" id="{E667EB95-AC25-45BC-AF25-37536BDAA3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194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2</xdr:col>
      <xdr:colOff>1737730</xdr:colOff>
      <xdr:row>165</xdr:row>
      <xdr:rowOff>1980000</xdr:rowOff>
    </xdr:to>
    <xdr:pic>
      <xdr:nvPicPr>
        <xdr:cNvPr id="6" name="Picture 5">
          <a:extLst>
            <a:ext uri="{FF2B5EF4-FFF2-40B4-BE49-F238E27FC236}">
              <a16:creationId xmlns:a16="http://schemas.microsoft.com/office/drawing/2014/main" id="{B1AE494B-76E4-4792-9868-46B2C404F2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794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165</xdr:row>
      <xdr:rowOff>0</xdr:rowOff>
    </xdr:from>
    <xdr:to>
      <xdr:col>6</xdr:col>
      <xdr:colOff>4180</xdr:colOff>
      <xdr:row>165</xdr:row>
      <xdr:rowOff>1980000</xdr:rowOff>
    </xdr:to>
    <xdr:pic>
      <xdr:nvPicPr>
        <xdr:cNvPr id="7" name="Picture 6">
          <a:extLst>
            <a:ext uri="{FF2B5EF4-FFF2-40B4-BE49-F238E27FC236}">
              <a16:creationId xmlns:a16="http://schemas.microsoft.com/office/drawing/2014/main" id="{856E4BD9-E261-43C1-AF75-FC3A06008D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0794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1737730</xdr:colOff>
      <xdr:row>122</xdr:row>
      <xdr:rowOff>27375</xdr:rowOff>
    </xdr:to>
    <xdr:pic>
      <xdr:nvPicPr>
        <xdr:cNvPr id="4" name="Picture 3">
          <a:extLst>
            <a:ext uri="{FF2B5EF4-FFF2-40B4-BE49-F238E27FC236}">
              <a16:creationId xmlns:a16="http://schemas.microsoft.com/office/drawing/2014/main" id="{C5876928-937D-4CAE-8552-8CDA26F140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0916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2</xdr:col>
      <xdr:colOff>1737730</xdr:colOff>
      <xdr:row>126</xdr:row>
      <xdr:rowOff>1980000</xdr:rowOff>
    </xdr:to>
    <xdr:pic>
      <xdr:nvPicPr>
        <xdr:cNvPr id="5" name="Picture 4">
          <a:extLst>
            <a:ext uri="{FF2B5EF4-FFF2-40B4-BE49-F238E27FC236}">
              <a16:creationId xmlns:a16="http://schemas.microsoft.com/office/drawing/2014/main" id="{118DA8A7-468D-4F23-8EDD-AB4C5D3CB2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3517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28575</xdr:colOff>
      <xdr:row>221</xdr:row>
      <xdr:rowOff>152400</xdr:rowOff>
    </xdr:from>
    <xdr:to>
      <xdr:col>2</xdr:col>
      <xdr:colOff>1767227</xdr:colOff>
      <xdr:row>222</xdr:row>
      <xdr:rowOff>36900</xdr:rowOff>
    </xdr:to>
    <xdr:pic>
      <xdr:nvPicPr>
        <xdr:cNvPr id="4" name="Picture 3">
          <a:extLst>
            <a:ext uri="{FF2B5EF4-FFF2-40B4-BE49-F238E27FC236}">
              <a16:creationId xmlns:a16="http://schemas.microsoft.com/office/drawing/2014/main" id="{90A9522F-90AC-478B-A258-2ADE3C86AD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406717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216</xdr:row>
      <xdr:rowOff>0</xdr:rowOff>
    </xdr:from>
    <xdr:to>
      <xdr:col>2</xdr:col>
      <xdr:colOff>1767227</xdr:colOff>
      <xdr:row>217</xdr:row>
      <xdr:rowOff>27375</xdr:rowOff>
    </xdr:to>
    <xdr:pic>
      <xdr:nvPicPr>
        <xdr:cNvPr id="5" name="Picture 4">
          <a:extLst>
            <a:ext uri="{FF2B5EF4-FFF2-40B4-BE49-F238E27FC236}">
              <a16:creationId xmlns:a16="http://schemas.microsoft.com/office/drawing/2014/main" id="{AF788773-CA18-4160-BD93-138EEB7AE7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9100" y="379190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B844-BC5D-4849-88C1-B9870A8B4A7A}">
  <dimension ref="A1:C31"/>
  <sheetViews>
    <sheetView tabSelected="1" zoomScale="110" zoomScaleNormal="110" workbookViewId="0">
      <pane ySplit="1" topLeftCell="A2" activePane="bottomLeft" state="frozen"/>
      <selection activeCell="C142" sqref="C142"/>
      <selection pane="bottomLeft" activeCell="E17" sqref="E17"/>
    </sheetView>
  </sheetViews>
  <sheetFormatPr defaultColWidth="9.140625" defaultRowHeight="15" x14ac:dyDescent="0.25"/>
  <cols>
    <col min="1" max="1" width="6.140625" style="2" bestFit="1" customWidth="1"/>
    <col min="2" max="2" width="10.42578125" style="2" bestFit="1" customWidth="1"/>
    <col min="3" max="3" width="56.85546875" style="2" bestFit="1" customWidth="1"/>
    <col min="4" max="16384" width="9.140625" style="2"/>
  </cols>
  <sheetData>
    <row r="1" spans="1:3" x14ac:dyDescent="0.25">
      <c r="A1" s="1" t="s">
        <v>848</v>
      </c>
      <c r="B1" s="1" t="s">
        <v>849</v>
      </c>
      <c r="C1" s="1" t="s">
        <v>850</v>
      </c>
    </row>
    <row r="2" spans="1:3" x14ac:dyDescent="0.25">
      <c r="A2" s="3">
        <v>1</v>
      </c>
      <c r="B2" s="4" t="s">
        <v>851</v>
      </c>
      <c r="C2" s="5" t="s">
        <v>1</v>
      </c>
    </row>
    <row r="3" spans="1:3" x14ac:dyDescent="0.25">
      <c r="A3" s="3">
        <v>2</v>
      </c>
      <c r="B3" s="4" t="s">
        <v>852</v>
      </c>
      <c r="C3" s="5" t="s">
        <v>853</v>
      </c>
    </row>
    <row r="4" spans="1:3" x14ac:dyDescent="0.25">
      <c r="A4" s="3">
        <v>3</v>
      </c>
      <c r="B4" s="4" t="s">
        <v>854</v>
      </c>
      <c r="C4" s="5" t="s">
        <v>192</v>
      </c>
    </row>
    <row r="5" spans="1:3" x14ac:dyDescent="0.25">
      <c r="A5" s="3">
        <v>4</v>
      </c>
      <c r="B5" s="4" t="s">
        <v>855</v>
      </c>
      <c r="C5" s="5" t="s">
        <v>856</v>
      </c>
    </row>
    <row r="6" spans="1:3" x14ac:dyDescent="0.25">
      <c r="A6" s="3">
        <v>5</v>
      </c>
      <c r="B6" s="4" t="s">
        <v>857</v>
      </c>
      <c r="C6" s="5" t="s">
        <v>858</v>
      </c>
    </row>
    <row r="7" spans="1:3" x14ac:dyDescent="0.25">
      <c r="A7" s="3">
        <v>6</v>
      </c>
      <c r="B7" s="4" t="s">
        <v>859</v>
      </c>
      <c r="C7" s="5" t="s">
        <v>860</v>
      </c>
    </row>
    <row r="8" spans="1:3" x14ac:dyDescent="0.25">
      <c r="A8" s="3">
        <v>7</v>
      </c>
      <c r="B8" s="4" t="s">
        <v>861</v>
      </c>
      <c r="C8" s="5" t="s">
        <v>862</v>
      </c>
    </row>
    <row r="9" spans="1:3" x14ac:dyDescent="0.25">
      <c r="A9" s="3">
        <v>8</v>
      </c>
      <c r="B9" s="4" t="s">
        <v>863</v>
      </c>
      <c r="C9" s="5" t="s">
        <v>864</v>
      </c>
    </row>
    <row r="10" spans="1:3" x14ac:dyDescent="0.25">
      <c r="A10" s="3">
        <v>9</v>
      </c>
      <c r="B10" s="4" t="s">
        <v>865</v>
      </c>
      <c r="C10" s="5" t="s">
        <v>457</v>
      </c>
    </row>
    <row r="11" spans="1:3" x14ac:dyDescent="0.25">
      <c r="A11" s="3">
        <v>10</v>
      </c>
      <c r="B11" s="4" t="s">
        <v>866</v>
      </c>
      <c r="C11" s="5" t="s">
        <v>460</v>
      </c>
    </row>
    <row r="12" spans="1:3" x14ac:dyDescent="0.25">
      <c r="A12" s="3">
        <v>11</v>
      </c>
      <c r="B12" s="4" t="s">
        <v>867</v>
      </c>
      <c r="C12" s="5" t="s">
        <v>461</v>
      </c>
    </row>
    <row r="13" spans="1:3" x14ac:dyDescent="0.25">
      <c r="A13" s="3">
        <v>12</v>
      </c>
      <c r="B13" s="4" t="s">
        <v>868</v>
      </c>
      <c r="C13" s="5" t="s">
        <v>462</v>
      </c>
    </row>
    <row r="14" spans="1:3" x14ac:dyDescent="0.25">
      <c r="A14" s="3">
        <v>13</v>
      </c>
      <c r="B14" s="4" t="s">
        <v>869</v>
      </c>
      <c r="C14" s="5" t="s">
        <v>463</v>
      </c>
    </row>
    <row r="15" spans="1:3" x14ac:dyDescent="0.25">
      <c r="A15" s="3">
        <v>14</v>
      </c>
      <c r="B15" s="4" t="s">
        <v>870</v>
      </c>
      <c r="C15" s="5" t="s">
        <v>523</v>
      </c>
    </row>
    <row r="16" spans="1:3" x14ac:dyDescent="0.25">
      <c r="A16" s="3">
        <v>15</v>
      </c>
      <c r="B16" s="4" t="s">
        <v>871</v>
      </c>
      <c r="C16" s="5" t="s">
        <v>872</v>
      </c>
    </row>
    <row r="17" spans="1:3" x14ac:dyDescent="0.25">
      <c r="A17" s="3">
        <v>16</v>
      </c>
      <c r="B17" s="4" t="s">
        <v>873</v>
      </c>
      <c r="C17" s="5" t="s">
        <v>661</v>
      </c>
    </row>
    <row r="18" spans="1:3" x14ac:dyDescent="0.25">
      <c r="A18" s="3">
        <v>17</v>
      </c>
      <c r="B18" s="4" t="s">
        <v>874</v>
      </c>
      <c r="C18" s="19" t="s">
        <v>672</v>
      </c>
    </row>
    <row r="19" spans="1:3" x14ac:dyDescent="0.25">
      <c r="A19" s="3">
        <v>18</v>
      </c>
      <c r="B19" s="4" t="s">
        <v>875</v>
      </c>
      <c r="C19" s="5" t="s">
        <v>692</v>
      </c>
    </row>
    <row r="20" spans="1:3" x14ac:dyDescent="0.25">
      <c r="A20" s="3">
        <v>19</v>
      </c>
      <c r="B20" s="4" t="s">
        <v>876</v>
      </c>
      <c r="C20" s="5" t="s">
        <v>877</v>
      </c>
    </row>
    <row r="21" spans="1:3" x14ac:dyDescent="0.25">
      <c r="A21" s="3">
        <v>20</v>
      </c>
      <c r="B21" s="4" t="s">
        <v>878</v>
      </c>
      <c r="C21" s="5" t="s">
        <v>734</v>
      </c>
    </row>
    <row r="22" spans="1:3" x14ac:dyDescent="0.25">
      <c r="A22" s="3">
        <v>21</v>
      </c>
      <c r="B22" s="4" t="s">
        <v>879</v>
      </c>
      <c r="C22" s="5" t="s">
        <v>880</v>
      </c>
    </row>
    <row r="23" spans="1:3" x14ac:dyDescent="0.25">
      <c r="A23" s="3">
        <v>22</v>
      </c>
      <c r="B23" s="4" t="s">
        <v>881</v>
      </c>
      <c r="C23" s="5" t="s">
        <v>801</v>
      </c>
    </row>
    <row r="24" spans="1:3" x14ac:dyDescent="0.25">
      <c r="A24" s="3">
        <v>23</v>
      </c>
      <c r="B24" s="4" t="s">
        <v>882</v>
      </c>
      <c r="C24" s="5" t="s">
        <v>812</v>
      </c>
    </row>
    <row r="25" spans="1:3" x14ac:dyDescent="0.25">
      <c r="A25" s="3">
        <v>24</v>
      </c>
      <c r="B25" s="4" t="s">
        <v>883</v>
      </c>
      <c r="C25" s="5" t="s">
        <v>813</v>
      </c>
    </row>
    <row r="26" spans="1:3" x14ac:dyDescent="0.25">
      <c r="A26" s="3">
        <v>25</v>
      </c>
      <c r="B26" s="4" t="s">
        <v>884</v>
      </c>
      <c r="C26" s="5" t="s">
        <v>817</v>
      </c>
    </row>
    <row r="27" spans="1:3" x14ac:dyDescent="0.25">
      <c r="A27" s="3">
        <v>26</v>
      </c>
      <c r="B27" s="4" t="s">
        <v>885</v>
      </c>
      <c r="C27" s="5" t="s">
        <v>818</v>
      </c>
    </row>
    <row r="28" spans="1:3" x14ac:dyDescent="0.25">
      <c r="A28" s="3">
        <v>27</v>
      </c>
      <c r="B28" s="4" t="s">
        <v>886</v>
      </c>
      <c r="C28" s="5" t="s">
        <v>832</v>
      </c>
    </row>
    <row r="29" spans="1:3" x14ac:dyDescent="0.25">
      <c r="A29" s="3">
        <v>28</v>
      </c>
      <c r="B29" s="4" t="s">
        <v>887</v>
      </c>
      <c r="C29" s="5" t="s">
        <v>833</v>
      </c>
    </row>
    <row r="30" spans="1:3" x14ac:dyDescent="0.25">
      <c r="A30" s="3">
        <v>29</v>
      </c>
      <c r="B30" s="4" t="s">
        <v>888</v>
      </c>
      <c r="C30" s="5" t="s">
        <v>834</v>
      </c>
    </row>
    <row r="31" spans="1:3" x14ac:dyDescent="0.25">
      <c r="A31" s="3">
        <v>30</v>
      </c>
      <c r="B31" s="6" t="s">
        <v>889</v>
      </c>
      <c r="C31" s="5" t="s">
        <v>819</v>
      </c>
    </row>
  </sheetData>
  <hyperlinks>
    <hyperlink ref="B4" location="MIDCAP!A1" display="MIDCAP" xr:uid="{064BB08B-840A-4727-B16F-E2411E5D2BBC}"/>
    <hyperlink ref="B5" location="MULTIP!A1" display="MULTIP" xr:uid="{D812B09D-D11C-4BEE-B3A1-6439AB6201BE}"/>
    <hyperlink ref="B6" location="SLTADV3!A1" display="SLTADV3" xr:uid="{22D40B9F-C88A-47C3-A0E8-73BF5C016014}"/>
    <hyperlink ref="B7" location="SLTADV4!A1" display="SLTADV4" xr:uid="{FE91CA16-67D9-413C-AAB2-47E6E36AB54B}"/>
    <hyperlink ref="B8" location="SLTAX1!A1" display="SLTAX1" xr:uid="{FE7D57DC-5A6E-441C-A115-D9499012AAEA}"/>
    <hyperlink ref="B9" location="SLTAX2!A1" display="SLTAX2" xr:uid="{639559D6-E074-4CFF-A279-C2FC01A9B929}"/>
    <hyperlink ref="B10" location="SLTAX3!A1" display="SLTAX3" xr:uid="{19031438-3F5A-4D0B-B55C-5C699CF9DB0E}"/>
    <hyperlink ref="B11" location="SLTAX4!A1" display="SLTAX4" xr:uid="{68F00FAE-5AD3-4304-B75A-10BBBA3B4BC7}"/>
    <hyperlink ref="B12" location="SLTAX5!A1" display="SLTAX5" xr:uid="{D63153B2-A6C5-4A5A-BE53-EA0D8098EE7A}"/>
    <hyperlink ref="B13" location="SLTAX6!A1" display="SLTAX6" xr:uid="{186CDE82-5956-4E35-855C-D05CE17F2A1D}"/>
    <hyperlink ref="B14" location="SMILE!A1" display="SMILE" xr:uid="{9A341C16-D880-44F3-AE52-BD2CAEA75C7D}"/>
    <hyperlink ref="B15" location="SPAHF!A1" display="SPAHF" xr:uid="{CFAE3CF4-1001-4C7C-B468-81842DD0E2C8}"/>
    <hyperlink ref="B16" location="SPARF!A1" display="SPARF" xr:uid="{7FCE9999-FC10-41F4-9899-B58F6E910D2B}"/>
    <hyperlink ref="B17" location="SPBAF!A1" display="SPBAF" xr:uid="{70E6D448-72CA-4746-8763-6083402BCCE5}"/>
    <hyperlink ref="B19" location="SPESF!A1" display="SPESF" xr:uid="{4A345379-0F80-4730-BC5B-FAD73D0C9E4A}"/>
    <hyperlink ref="B20" location="SPFOCUS!A1" display="SPFOCUS" xr:uid="{E8671FDB-BAA4-4CD8-8A58-67EA37FF93F1}"/>
    <hyperlink ref="B21" location="SPMUCF!A1" display="SPMUCF" xr:uid="{D7709C88-5486-4CF1-B5D8-0DB90A7B5596}"/>
    <hyperlink ref="B22" location="SPSN100!A1" display="SPSN100" xr:uid="{BA68841D-B1CE-484D-8D28-B213B82D4B3E}"/>
    <hyperlink ref="B23" location="SPTAX!A1" display="SPTAX" xr:uid="{468FFC8C-18A9-486F-B449-0BA4052B1CF1}"/>
    <hyperlink ref="B24" location="SRURAL!A1" display="SRURAL" xr:uid="{B1528D50-268E-4149-9BB4-4938E5D44BC4}"/>
    <hyperlink ref="B25" location="SSFUND!A1" display="SSFUND" xr:uid="{57EE44A9-372C-4197-93C6-114EFA6CC209}"/>
    <hyperlink ref="B26" location="STAX!A1" display="STAX" xr:uid="{E6FDC762-129C-48DE-9B09-67F8E46C78EB}"/>
    <hyperlink ref="B27" location="SUNBCF!A1" display="SUNBCF" xr:uid="{70D2FDAA-576F-40C9-935E-B7E7A141110D}"/>
    <hyperlink ref="B29" location="SUNFOP!A1" display="SUNFOP" xr:uid="{41894A3A-87B8-4D01-9707-48D0F74DD177}"/>
    <hyperlink ref="B3" location="GLOB!A1" display="GLOB" xr:uid="{B15D20B3-6F92-46CA-B3FB-D7A4821EF22C}"/>
    <hyperlink ref="B28" location="SUNFCF!A1" display="SUNFCF" xr:uid="{1DA1F938-33FB-42B8-A97C-15084B694ADC}"/>
    <hyperlink ref="B18" location="SPDYF!A1" display="SPDYF" xr:uid="{1014215C-16B3-44C0-A692-7105E797E19B}"/>
    <hyperlink ref="B30" location="SUNMAF!A1" display="SUNMAF" xr:uid="{3AA5D323-FDEF-4F81-B722-D60AFA6E3E07}"/>
    <hyperlink ref="B2" location="CAPEXG!A1" display="CAPEXG" xr:uid="{4E5F226B-E2D2-49CD-8991-B02B96942C7B}"/>
    <hyperlink ref="B31" location="SUNCYF!A1" display="SUNCYF" xr:uid="{256E753D-94D2-4B57-95F8-6F6FDA011D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D0AD-1490-4426-9574-10F7D8FA15BC}">
  <sheetPr>
    <outlinePr summaryBelow="0" summaryRight="0"/>
  </sheetPr>
  <dimension ref="A1:Q166"/>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2.42578125" bestFit="1"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1</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11</v>
      </c>
      <c r="C7" s="27" t="s">
        <v>12</v>
      </c>
      <c r="D7" s="27" t="s">
        <v>13</v>
      </c>
      <c r="E7" s="28">
        <v>440000</v>
      </c>
      <c r="F7" s="29">
        <v>6908.88</v>
      </c>
      <c r="G7" s="30">
        <v>8.5942740000000004E-2</v>
      </c>
      <c r="H7" s="25" t="s">
        <v>148</v>
      </c>
    </row>
    <row r="8" spans="1:9" x14ac:dyDescent="0.2">
      <c r="A8" s="26">
        <v>2</v>
      </c>
      <c r="B8" s="27" t="s">
        <v>14</v>
      </c>
      <c r="C8" s="27" t="s">
        <v>15</v>
      </c>
      <c r="D8" s="27" t="s">
        <v>16</v>
      </c>
      <c r="E8" s="28">
        <v>575000</v>
      </c>
      <c r="F8" s="29">
        <v>6900.5749999999998</v>
      </c>
      <c r="G8" s="30">
        <v>8.5839429999999994E-2</v>
      </c>
      <c r="H8" s="25" t="s">
        <v>148</v>
      </c>
    </row>
    <row r="9" spans="1:9" x14ac:dyDescent="0.2">
      <c r="A9" s="26">
        <v>3</v>
      </c>
      <c r="B9" s="27" t="s">
        <v>17</v>
      </c>
      <c r="C9" s="27" t="s">
        <v>18</v>
      </c>
      <c r="D9" s="27" t="s">
        <v>19</v>
      </c>
      <c r="E9" s="28">
        <v>205000</v>
      </c>
      <c r="F9" s="29">
        <v>6485.8924999999999</v>
      </c>
      <c r="G9" s="30">
        <v>8.0681009999999997E-2</v>
      </c>
      <c r="H9" s="25" t="s">
        <v>148</v>
      </c>
    </row>
    <row r="10" spans="1:9" x14ac:dyDescent="0.2">
      <c r="A10" s="26">
        <v>4</v>
      </c>
      <c r="B10" s="27" t="s">
        <v>20</v>
      </c>
      <c r="C10" s="27" t="s">
        <v>21</v>
      </c>
      <c r="D10" s="27" t="s">
        <v>22</v>
      </c>
      <c r="E10" s="28">
        <v>1340000</v>
      </c>
      <c r="F10" s="29">
        <v>4173.43</v>
      </c>
      <c r="G10" s="30">
        <v>5.1915219999999998E-2</v>
      </c>
      <c r="H10" s="25" t="s">
        <v>148</v>
      </c>
    </row>
    <row r="11" spans="1:9" x14ac:dyDescent="0.2">
      <c r="A11" s="26">
        <v>5</v>
      </c>
      <c r="B11" s="27" t="s">
        <v>23</v>
      </c>
      <c r="C11" s="27" t="s">
        <v>24</v>
      </c>
      <c r="D11" s="27" t="s">
        <v>25</v>
      </c>
      <c r="E11" s="28">
        <v>28000</v>
      </c>
      <c r="F11" s="29">
        <v>2835.9659999999999</v>
      </c>
      <c r="G11" s="30">
        <v>3.5277889999999999E-2</v>
      </c>
      <c r="H11" s="25" t="s">
        <v>148</v>
      </c>
    </row>
    <row r="12" spans="1:9" x14ac:dyDescent="0.2">
      <c r="A12" s="26">
        <v>6</v>
      </c>
      <c r="B12" s="27" t="s">
        <v>26</v>
      </c>
      <c r="C12" s="27" t="s">
        <v>27</v>
      </c>
      <c r="D12" s="27" t="s">
        <v>28</v>
      </c>
      <c r="E12" s="28">
        <v>193000</v>
      </c>
      <c r="F12" s="29">
        <v>2323.913</v>
      </c>
      <c r="G12" s="30">
        <v>2.8908219999999998E-2</v>
      </c>
      <c r="H12" s="25" t="s">
        <v>148</v>
      </c>
    </row>
    <row r="13" spans="1:9" x14ac:dyDescent="0.2">
      <c r="A13" s="26">
        <v>7</v>
      </c>
      <c r="B13" s="27" t="s">
        <v>29</v>
      </c>
      <c r="C13" s="27" t="s">
        <v>30</v>
      </c>
      <c r="D13" s="27" t="s">
        <v>22</v>
      </c>
      <c r="E13" s="28">
        <v>750000</v>
      </c>
      <c r="F13" s="29">
        <v>1881.375</v>
      </c>
      <c r="G13" s="30">
        <v>2.340329E-2</v>
      </c>
      <c r="H13" s="25" t="s">
        <v>148</v>
      </c>
    </row>
    <row r="14" spans="1:9" x14ac:dyDescent="0.2">
      <c r="A14" s="26">
        <v>8</v>
      </c>
      <c r="B14" s="27" t="s">
        <v>31</v>
      </c>
      <c r="C14" s="27" t="s">
        <v>32</v>
      </c>
      <c r="D14" s="27" t="s">
        <v>33</v>
      </c>
      <c r="E14" s="28">
        <v>600000</v>
      </c>
      <c r="F14" s="29">
        <v>1477.5</v>
      </c>
      <c r="G14" s="30">
        <v>1.8379300000000001E-2</v>
      </c>
      <c r="H14" s="25" t="s">
        <v>148</v>
      </c>
    </row>
    <row r="15" spans="1:9" x14ac:dyDescent="0.2">
      <c r="A15" s="26">
        <v>9</v>
      </c>
      <c r="B15" s="27" t="s">
        <v>34</v>
      </c>
      <c r="C15" s="27" t="s">
        <v>35</v>
      </c>
      <c r="D15" s="27" t="s">
        <v>16</v>
      </c>
      <c r="E15" s="28">
        <v>575000</v>
      </c>
      <c r="F15" s="29">
        <v>1364.4749999999999</v>
      </c>
      <c r="G15" s="30">
        <v>1.6973329999999998E-2</v>
      </c>
      <c r="H15" s="25" t="s">
        <v>148</v>
      </c>
    </row>
    <row r="16" spans="1:9" x14ac:dyDescent="0.2">
      <c r="A16" s="26">
        <v>10</v>
      </c>
      <c r="B16" s="27" t="s">
        <v>36</v>
      </c>
      <c r="C16" s="27" t="s">
        <v>37</v>
      </c>
      <c r="D16" s="27" t="s">
        <v>25</v>
      </c>
      <c r="E16" s="28">
        <v>30000</v>
      </c>
      <c r="F16" s="29">
        <v>1316.8050000000001</v>
      </c>
      <c r="G16" s="30">
        <v>1.638034E-2</v>
      </c>
      <c r="H16" s="25" t="s">
        <v>148</v>
      </c>
    </row>
    <row r="17" spans="1:8" x14ac:dyDescent="0.2">
      <c r="A17" s="26">
        <v>11</v>
      </c>
      <c r="B17" s="27" t="s">
        <v>38</v>
      </c>
      <c r="C17" s="27" t="s">
        <v>39</v>
      </c>
      <c r="D17" s="27" t="s">
        <v>28</v>
      </c>
      <c r="E17" s="28">
        <v>190000</v>
      </c>
      <c r="F17" s="29">
        <v>1308.72</v>
      </c>
      <c r="G17" s="30">
        <v>1.6279769999999999E-2</v>
      </c>
      <c r="H17" s="25" t="s">
        <v>148</v>
      </c>
    </row>
    <row r="18" spans="1:8" x14ac:dyDescent="0.2">
      <c r="A18" s="26">
        <v>12</v>
      </c>
      <c r="B18" s="27" t="s">
        <v>40</v>
      </c>
      <c r="C18" s="27" t="s">
        <v>41</v>
      </c>
      <c r="D18" s="27" t="s">
        <v>42</v>
      </c>
      <c r="E18" s="28">
        <v>94000</v>
      </c>
      <c r="F18" s="29">
        <v>1258.002</v>
      </c>
      <c r="G18" s="30">
        <v>1.5648869999999999E-2</v>
      </c>
      <c r="H18" s="25" t="s">
        <v>148</v>
      </c>
    </row>
    <row r="19" spans="1:8" x14ac:dyDescent="0.2">
      <c r="A19" s="26">
        <v>13</v>
      </c>
      <c r="B19" s="27" t="s">
        <v>43</v>
      </c>
      <c r="C19" s="27" t="s">
        <v>44</v>
      </c>
      <c r="D19" s="27" t="s">
        <v>45</v>
      </c>
      <c r="E19" s="28">
        <v>27651</v>
      </c>
      <c r="F19" s="29">
        <v>1251.0280184999999</v>
      </c>
      <c r="G19" s="30">
        <v>1.5562110000000001E-2</v>
      </c>
      <c r="H19" s="25" t="s">
        <v>148</v>
      </c>
    </row>
    <row r="20" spans="1:8" x14ac:dyDescent="0.2">
      <c r="A20" s="26">
        <v>14</v>
      </c>
      <c r="B20" s="27" t="s">
        <v>46</v>
      </c>
      <c r="C20" s="27" t="s">
        <v>47</v>
      </c>
      <c r="D20" s="27" t="s">
        <v>48</v>
      </c>
      <c r="E20" s="28">
        <v>550000</v>
      </c>
      <c r="F20" s="29">
        <v>1238.875</v>
      </c>
      <c r="G20" s="30">
        <v>1.541094E-2</v>
      </c>
      <c r="H20" s="25" t="s">
        <v>148</v>
      </c>
    </row>
    <row r="21" spans="1:8" x14ac:dyDescent="0.2">
      <c r="A21" s="26">
        <v>15</v>
      </c>
      <c r="B21" s="27" t="s">
        <v>49</v>
      </c>
      <c r="C21" s="27" t="s">
        <v>50</v>
      </c>
      <c r="D21" s="27" t="s">
        <v>51</v>
      </c>
      <c r="E21" s="28">
        <v>21500</v>
      </c>
      <c r="F21" s="29">
        <v>1210.15975</v>
      </c>
      <c r="G21" s="30">
        <v>1.5053739999999999E-2</v>
      </c>
      <c r="H21" s="25" t="s">
        <v>148</v>
      </c>
    </row>
    <row r="22" spans="1:8" x14ac:dyDescent="0.2">
      <c r="A22" s="26">
        <v>16</v>
      </c>
      <c r="B22" s="27" t="s">
        <v>52</v>
      </c>
      <c r="C22" s="27" t="s">
        <v>53</v>
      </c>
      <c r="D22" s="27" t="s">
        <v>54</v>
      </c>
      <c r="E22" s="28">
        <v>127695</v>
      </c>
      <c r="F22" s="29">
        <v>1209.3354975</v>
      </c>
      <c r="G22" s="30">
        <v>1.504348E-2</v>
      </c>
      <c r="H22" s="25" t="s">
        <v>148</v>
      </c>
    </row>
    <row r="23" spans="1:8" x14ac:dyDescent="0.2">
      <c r="A23" s="26">
        <v>17</v>
      </c>
      <c r="B23" s="27" t="s">
        <v>55</v>
      </c>
      <c r="C23" s="27" t="s">
        <v>56</v>
      </c>
      <c r="D23" s="27" t="s">
        <v>22</v>
      </c>
      <c r="E23" s="28">
        <v>350000</v>
      </c>
      <c r="F23" s="29">
        <v>1187.2</v>
      </c>
      <c r="G23" s="30">
        <v>1.4768130000000001E-2</v>
      </c>
      <c r="H23" s="25" t="s">
        <v>148</v>
      </c>
    </row>
    <row r="24" spans="1:8" x14ac:dyDescent="0.2">
      <c r="A24" s="26">
        <v>18</v>
      </c>
      <c r="B24" s="27" t="s">
        <v>57</v>
      </c>
      <c r="C24" s="27" t="s">
        <v>58</v>
      </c>
      <c r="D24" s="27" t="s">
        <v>59</v>
      </c>
      <c r="E24" s="28">
        <v>110000</v>
      </c>
      <c r="F24" s="29">
        <v>1176.3399999999999</v>
      </c>
      <c r="G24" s="30">
        <v>1.463304E-2</v>
      </c>
      <c r="H24" s="25" t="s">
        <v>148</v>
      </c>
    </row>
    <row r="25" spans="1:8" x14ac:dyDescent="0.2">
      <c r="A25" s="26">
        <v>19</v>
      </c>
      <c r="B25" s="27" t="s">
        <v>60</v>
      </c>
      <c r="C25" s="27" t="s">
        <v>61</v>
      </c>
      <c r="D25" s="27" t="s">
        <v>19</v>
      </c>
      <c r="E25" s="28">
        <v>130000</v>
      </c>
      <c r="F25" s="29">
        <v>1142.895</v>
      </c>
      <c r="G25" s="30">
        <v>1.4217E-2</v>
      </c>
      <c r="H25" s="25" t="s">
        <v>148</v>
      </c>
    </row>
    <row r="26" spans="1:8" x14ac:dyDescent="0.2">
      <c r="A26" s="26">
        <v>20</v>
      </c>
      <c r="B26" s="27" t="s">
        <v>62</v>
      </c>
      <c r="C26" s="27" t="s">
        <v>63</v>
      </c>
      <c r="D26" s="27" t="s">
        <v>64</v>
      </c>
      <c r="E26" s="28">
        <v>25000</v>
      </c>
      <c r="F26" s="29">
        <v>1119.325</v>
      </c>
      <c r="G26" s="30">
        <v>1.39238E-2</v>
      </c>
      <c r="H26" s="25" t="s">
        <v>148</v>
      </c>
    </row>
    <row r="27" spans="1:8" x14ac:dyDescent="0.2">
      <c r="A27" s="26">
        <v>21</v>
      </c>
      <c r="B27" s="27" t="s">
        <v>65</v>
      </c>
      <c r="C27" s="27" t="s">
        <v>66</v>
      </c>
      <c r="D27" s="27" t="s">
        <v>13</v>
      </c>
      <c r="E27" s="28">
        <v>325000</v>
      </c>
      <c r="F27" s="29">
        <v>1050.8875</v>
      </c>
      <c r="G27" s="30">
        <v>1.3072469999999999E-2</v>
      </c>
      <c r="H27" s="25" t="s">
        <v>148</v>
      </c>
    </row>
    <row r="28" spans="1:8" x14ac:dyDescent="0.2">
      <c r="A28" s="26">
        <v>22</v>
      </c>
      <c r="B28" s="27" t="s">
        <v>67</v>
      </c>
      <c r="C28" s="27" t="s">
        <v>68</v>
      </c>
      <c r="D28" s="27" t="s">
        <v>69</v>
      </c>
      <c r="E28" s="28">
        <v>23000</v>
      </c>
      <c r="F28" s="29">
        <v>1035.4255000000001</v>
      </c>
      <c r="G28" s="30">
        <v>1.288014E-2</v>
      </c>
      <c r="H28" s="25" t="s">
        <v>148</v>
      </c>
    </row>
    <row r="29" spans="1:8" x14ac:dyDescent="0.2">
      <c r="A29" s="26">
        <v>23</v>
      </c>
      <c r="B29" s="27" t="s">
        <v>70</v>
      </c>
      <c r="C29" s="27" t="s">
        <v>71</v>
      </c>
      <c r="D29" s="27" t="s">
        <v>13</v>
      </c>
      <c r="E29" s="28">
        <v>77000</v>
      </c>
      <c r="F29" s="29">
        <v>1004.388</v>
      </c>
      <c r="G29" s="30">
        <v>1.249405E-2</v>
      </c>
      <c r="H29" s="25" t="s">
        <v>148</v>
      </c>
    </row>
    <row r="30" spans="1:8" x14ac:dyDescent="0.2">
      <c r="A30" s="26">
        <v>24</v>
      </c>
      <c r="B30" s="27" t="s">
        <v>72</v>
      </c>
      <c r="C30" s="27" t="s">
        <v>73</v>
      </c>
      <c r="D30" s="27" t="s">
        <v>42</v>
      </c>
      <c r="E30" s="28">
        <v>21000</v>
      </c>
      <c r="F30" s="29">
        <v>970.93499999999995</v>
      </c>
      <c r="G30" s="30">
        <v>1.2077910000000001E-2</v>
      </c>
      <c r="H30" s="25" t="s">
        <v>148</v>
      </c>
    </row>
    <row r="31" spans="1:8" x14ac:dyDescent="0.2">
      <c r="A31" s="26">
        <v>25</v>
      </c>
      <c r="B31" s="27" t="s">
        <v>74</v>
      </c>
      <c r="C31" s="27" t="s">
        <v>75</v>
      </c>
      <c r="D31" s="27" t="s">
        <v>45</v>
      </c>
      <c r="E31" s="28">
        <v>155000</v>
      </c>
      <c r="F31" s="29">
        <v>956.35</v>
      </c>
      <c r="G31" s="30">
        <v>1.1896479999999999E-2</v>
      </c>
      <c r="H31" s="25" t="s">
        <v>148</v>
      </c>
    </row>
    <row r="32" spans="1:8" x14ac:dyDescent="0.2">
      <c r="A32" s="26">
        <v>26</v>
      </c>
      <c r="B32" s="27" t="s">
        <v>76</v>
      </c>
      <c r="C32" s="27" t="s">
        <v>77</v>
      </c>
      <c r="D32" s="27" t="s">
        <v>19</v>
      </c>
      <c r="E32" s="28">
        <v>95000</v>
      </c>
      <c r="F32" s="29">
        <v>916.18</v>
      </c>
      <c r="G32" s="30">
        <v>1.139679E-2</v>
      </c>
      <c r="H32" s="25" t="s">
        <v>148</v>
      </c>
    </row>
    <row r="33" spans="1:8" x14ac:dyDescent="0.2">
      <c r="A33" s="26">
        <v>27</v>
      </c>
      <c r="B33" s="27" t="s">
        <v>78</v>
      </c>
      <c r="C33" s="27" t="s">
        <v>79</v>
      </c>
      <c r="D33" s="27" t="s">
        <v>42</v>
      </c>
      <c r="E33" s="28">
        <v>295000</v>
      </c>
      <c r="F33" s="29">
        <v>911.10749999999996</v>
      </c>
      <c r="G33" s="30">
        <v>1.133369E-2</v>
      </c>
      <c r="H33" s="25" t="s">
        <v>148</v>
      </c>
    </row>
    <row r="34" spans="1:8" x14ac:dyDescent="0.2">
      <c r="A34" s="26">
        <v>28</v>
      </c>
      <c r="B34" s="27" t="s">
        <v>80</v>
      </c>
      <c r="C34" s="27" t="s">
        <v>81</v>
      </c>
      <c r="D34" s="27" t="s">
        <v>54</v>
      </c>
      <c r="E34" s="28">
        <v>75000</v>
      </c>
      <c r="F34" s="29">
        <v>900.45</v>
      </c>
      <c r="G34" s="30">
        <v>1.120111E-2</v>
      </c>
      <c r="H34" s="25" t="s">
        <v>148</v>
      </c>
    </row>
    <row r="35" spans="1:8" x14ac:dyDescent="0.2">
      <c r="A35" s="26">
        <v>29</v>
      </c>
      <c r="B35" s="27" t="s">
        <v>82</v>
      </c>
      <c r="C35" s="27" t="s">
        <v>83</v>
      </c>
      <c r="D35" s="27" t="s">
        <v>69</v>
      </c>
      <c r="E35" s="28">
        <v>104000</v>
      </c>
      <c r="F35" s="29">
        <v>887.01599999999996</v>
      </c>
      <c r="G35" s="30">
        <v>1.1034E-2</v>
      </c>
      <c r="H35" s="25" t="s">
        <v>148</v>
      </c>
    </row>
    <row r="36" spans="1:8" x14ac:dyDescent="0.2">
      <c r="A36" s="26">
        <v>30</v>
      </c>
      <c r="B36" s="27" t="s">
        <v>84</v>
      </c>
      <c r="C36" s="27" t="s">
        <v>85</v>
      </c>
      <c r="D36" s="27" t="s">
        <v>45</v>
      </c>
      <c r="E36" s="28">
        <v>87000</v>
      </c>
      <c r="F36" s="29">
        <v>869.52149999999995</v>
      </c>
      <c r="G36" s="30">
        <v>1.081638E-2</v>
      </c>
      <c r="H36" s="25" t="s">
        <v>148</v>
      </c>
    </row>
    <row r="37" spans="1:8" x14ac:dyDescent="0.2">
      <c r="A37" s="26">
        <v>31</v>
      </c>
      <c r="B37" s="27" t="s">
        <v>86</v>
      </c>
      <c r="C37" s="27" t="s">
        <v>87</v>
      </c>
      <c r="D37" s="27" t="s">
        <v>45</v>
      </c>
      <c r="E37" s="28">
        <v>28000</v>
      </c>
      <c r="F37" s="29">
        <v>859.64200000000005</v>
      </c>
      <c r="G37" s="30">
        <v>1.069348E-2</v>
      </c>
      <c r="H37" s="25" t="s">
        <v>148</v>
      </c>
    </row>
    <row r="38" spans="1:8" x14ac:dyDescent="0.2">
      <c r="A38" s="26">
        <v>32</v>
      </c>
      <c r="B38" s="27" t="s">
        <v>88</v>
      </c>
      <c r="C38" s="27" t="s">
        <v>89</v>
      </c>
      <c r="D38" s="27" t="s">
        <v>42</v>
      </c>
      <c r="E38" s="28">
        <v>1700000</v>
      </c>
      <c r="F38" s="29">
        <v>845.07</v>
      </c>
      <c r="G38" s="30">
        <v>1.0512219999999999E-2</v>
      </c>
      <c r="H38" s="25" t="s">
        <v>148</v>
      </c>
    </row>
    <row r="39" spans="1:8" x14ac:dyDescent="0.2">
      <c r="A39" s="26">
        <v>33</v>
      </c>
      <c r="B39" s="27" t="s">
        <v>90</v>
      </c>
      <c r="C39" s="27" t="s">
        <v>91</v>
      </c>
      <c r="D39" s="27" t="s">
        <v>45</v>
      </c>
      <c r="E39" s="28">
        <v>58000</v>
      </c>
      <c r="F39" s="29">
        <v>834.59100000000001</v>
      </c>
      <c r="G39" s="30">
        <v>1.038186E-2</v>
      </c>
      <c r="H39" s="25" t="s">
        <v>148</v>
      </c>
    </row>
    <row r="40" spans="1:8" x14ac:dyDescent="0.2">
      <c r="A40" s="26">
        <v>34</v>
      </c>
      <c r="B40" s="27" t="s">
        <v>92</v>
      </c>
      <c r="C40" s="27" t="s">
        <v>93</v>
      </c>
      <c r="D40" s="27" t="s">
        <v>94</v>
      </c>
      <c r="E40" s="28">
        <v>525000</v>
      </c>
      <c r="F40" s="29">
        <v>819.21</v>
      </c>
      <c r="G40" s="30">
        <v>1.019053E-2</v>
      </c>
      <c r="H40" s="25" t="s">
        <v>148</v>
      </c>
    </row>
    <row r="41" spans="1:8" x14ac:dyDescent="0.2">
      <c r="A41" s="26">
        <v>35</v>
      </c>
      <c r="B41" s="27" t="s">
        <v>95</v>
      </c>
      <c r="C41" s="27" t="s">
        <v>96</v>
      </c>
      <c r="D41" s="27" t="s">
        <v>45</v>
      </c>
      <c r="E41" s="28">
        <v>30000</v>
      </c>
      <c r="F41" s="29">
        <v>815.38499999999999</v>
      </c>
      <c r="G41" s="30">
        <v>1.014295E-2</v>
      </c>
      <c r="H41" s="25" t="s">
        <v>148</v>
      </c>
    </row>
    <row r="42" spans="1:8" x14ac:dyDescent="0.2">
      <c r="A42" s="26">
        <v>36</v>
      </c>
      <c r="B42" s="27" t="s">
        <v>97</v>
      </c>
      <c r="C42" s="27" t="s">
        <v>98</v>
      </c>
      <c r="D42" s="27" t="s">
        <v>25</v>
      </c>
      <c r="E42" s="28">
        <v>175000</v>
      </c>
      <c r="F42" s="29">
        <v>813.66250000000002</v>
      </c>
      <c r="G42" s="30">
        <v>1.012152E-2</v>
      </c>
      <c r="H42" s="25" t="s">
        <v>148</v>
      </c>
    </row>
    <row r="43" spans="1:8" x14ac:dyDescent="0.2">
      <c r="A43" s="26">
        <v>37</v>
      </c>
      <c r="B43" s="27" t="s">
        <v>99</v>
      </c>
      <c r="C43" s="27" t="s">
        <v>100</v>
      </c>
      <c r="D43" s="27" t="s">
        <v>69</v>
      </c>
      <c r="E43" s="28">
        <v>25000</v>
      </c>
      <c r="F43" s="29">
        <v>765.3125</v>
      </c>
      <c r="G43" s="30">
        <v>9.5200800000000002E-3</v>
      </c>
      <c r="H43" s="25" t="s">
        <v>148</v>
      </c>
    </row>
    <row r="44" spans="1:8" x14ac:dyDescent="0.2">
      <c r="A44" s="26">
        <v>38</v>
      </c>
      <c r="B44" s="27" t="s">
        <v>101</v>
      </c>
      <c r="C44" s="27" t="s">
        <v>102</v>
      </c>
      <c r="D44" s="27" t="s">
        <v>28</v>
      </c>
      <c r="E44" s="28">
        <v>40000</v>
      </c>
      <c r="F44" s="29">
        <v>761.18</v>
      </c>
      <c r="G44" s="30">
        <v>9.4686700000000002E-3</v>
      </c>
      <c r="H44" s="25" t="s">
        <v>148</v>
      </c>
    </row>
    <row r="45" spans="1:8" x14ac:dyDescent="0.2">
      <c r="A45" s="26">
        <v>39</v>
      </c>
      <c r="B45" s="27" t="s">
        <v>103</v>
      </c>
      <c r="C45" s="27" t="s">
        <v>104</v>
      </c>
      <c r="D45" s="27" t="s">
        <v>22</v>
      </c>
      <c r="E45" s="28">
        <v>60000</v>
      </c>
      <c r="F45" s="29">
        <v>757.77</v>
      </c>
      <c r="G45" s="30">
        <v>9.4262500000000006E-3</v>
      </c>
      <c r="H45" s="25" t="s">
        <v>148</v>
      </c>
    </row>
    <row r="46" spans="1:8" x14ac:dyDescent="0.2">
      <c r="A46" s="26">
        <v>40</v>
      </c>
      <c r="B46" s="27" t="s">
        <v>105</v>
      </c>
      <c r="C46" s="27" t="s">
        <v>106</v>
      </c>
      <c r="D46" s="27" t="s">
        <v>42</v>
      </c>
      <c r="E46" s="28">
        <v>15000</v>
      </c>
      <c r="F46" s="29">
        <v>740.31</v>
      </c>
      <c r="G46" s="30">
        <v>9.2090599999999998E-3</v>
      </c>
      <c r="H46" s="25" t="s">
        <v>148</v>
      </c>
    </row>
    <row r="47" spans="1:8" x14ac:dyDescent="0.2">
      <c r="A47" s="26">
        <v>41</v>
      </c>
      <c r="B47" s="27" t="s">
        <v>107</v>
      </c>
      <c r="C47" s="27" t="s">
        <v>108</v>
      </c>
      <c r="D47" s="27" t="s">
        <v>42</v>
      </c>
      <c r="E47" s="28">
        <v>6000</v>
      </c>
      <c r="F47" s="29">
        <v>677.06100000000004</v>
      </c>
      <c r="G47" s="30">
        <v>8.4222700000000008E-3</v>
      </c>
      <c r="H47" s="25" t="s">
        <v>148</v>
      </c>
    </row>
    <row r="48" spans="1:8" x14ac:dyDescent="0.2">
      <c r="A48" s="26">
        <v>42</v>
      </c>
      <c r="B48" s="27" t="s">
        <v>109</v>
      </c>
      <c r="C48" s="27" t="s">
        <v>110</v>
      </c>
      <c r="D48" s="27" t="s">
        <v>111</v>
      </c>
      <c r="E48" s="28">
        <v>184999</v>
      </c>
      <c r="F48" s="29">
        <v>666.55139699999995</v>
      </c>
      <c r="G48" s="30">
        <v>8.29154E-3</v>
      </c>
      <c r="H48" s="25" t="s">
        <v>148</v>
      </c>
    </row>
    <row r="49" spans="1:8" x14ac:dyDescent="0.2">
      <c r="A49" s="26">
        <v>43</v>
      </c>
      <c r="B49" s="27" t="s">
        <v>112</v>
      </c>
      <c r="C49" s="27" t="s">
        <v>113</v>
      </c>
      <c r="D49" s="27" t="s">
        <v>19</v>
      </c>
      <c r="E49" s="28">
        <v>380000</v>
      </c>
      <c r="F49" s="29">
        <v>665</v>
      </c>
      <c r="G49" s="30">
        <v>8.2722400000000001E-3</v>
      </c>
      <c r="H49" s="25" t="s">
        <v>148</v>
      </c>
    </row>
    <row r="50" spans="1:8" x14ac:dyDescent="0.2">
      <c r="A50" s="26">
        <v>44</v>
      </c>
      <c r="B50" s="27" t="s">
        <v>114</v>
      </c>
      <c r="C50" s="27" t="s">
        <v>115</v>
      </c>
      <c r="D50" s="27" t="s">
        <v>45</v>
      </c>
      <c r="E50" s="28">
        <v>45662</v>
      </c>
      <c r="F50" s="29">
        <v>656.55106699999999</v>
      </c>
      <c r="G50" s="30">
        <v>8.1671399999999998E-3</v>
      </c>
      <c r="H50" s="25" t="s">
        <v>148</v>
      </c>
    </row>
    <row r="51" spans="1:8" x14ac:dyDescent="0.2">
      <c r="A51" s="26">
        <v>45</v>
      </c>
      <c r="B51" s="27" t="s">
        <v>116</v>
      </c>
      <c r="C51" s="27" t="s">
        <v>117</v>
      </c>
      <c r="D51" s="27" t="s">
        <v>42</v>
      </c>
      <c r="E51" s="28">
        <v>135000</v>
      </c>
      <c r="F51" s="29">
        <v>656.1</v>
      </c>
      <c r="G51" s="30">
        <v>8.1615300000000002E-3</v>
      </c>
      <c r="H51" s="25" t="s">
        <v>148</v>
      </c>
    </row>
    <row r="52" spans="1:8" x14ac:dyDescent="0.2">
      <c r="A52" s="26">
        <v>46</v>
      </c>
      <c r="B52" s="27" t="s">
        <v>118</v>
      </c>
      <c r="C52" s="27" t="s">
        <v>119</v>
      </c>
      <c r="D52" s="27" t="s">
        <v>120</v>
      </c>
      <c r="E52" s="28">
        <v>150000</v>
      </c>
      <c r="F52" s="29">
        <v>621.29999999999995</v>
      </c>
      <c r="G52" s="30">
        <v>7.7286400000000002E-3</v>
      </c>
      <c r="H52" s="25" t="s">
        <v>148</v>
      </c>
    </row>
    <row r="53" spans="1:8" x14ac:dyDescent="0.2">
      <c r="A53" s="26">
        <v>47</v>
      </c>
      <c r="B53" s="27" t="s">
        <v>121</v>
      </c>
      <c r="C53" s="27" t="s">
        <v>122</v>
      </c>
      <c r="D53" s="27" t="s">
        <v>120</v>
      </c>
      <c r="E53" s="28">
        <v>125000</v>
      </c>
      <c r="F53" s="29">
        <v>610.5625</v>
      </c>
      <c r="G53" s="30">
        <v>7.5950699999999998E-3</v>
      </c>
      <c r="H53" s="25" t="s">
        <v>148</v>
      </c>
    </row>
    <row r="54" spans="1:8" x14ac:dyDescent="0.2">
      <c r="A54" s="26">
        <v>48</v>
      </c>
      <c r="B54" s="27" t="s">
        <v>123</v>
      </c>
      <c r="C54" s="27" t="s">
        <v>124</v>
      </c>
      <c r="D54" s="27" t="s">
        <v>69</v>
      </c>
      <c r="E54" s="28">
        <v>60000</v>
      </c>
      <c r="F54" s="29">
        <v>609.9</v>
      </c>
      <c r="G54" s="30">
        <v>7.5868300000000001E-3</v>
      </c>
      <c r="H54" s="25" t="s">
        <v>148</v>
      </c>
    </row>
    <row r="55" spans="1:8" x14ac:dyDescent="0.2">
      <c r="A55" s="26">
        <v>49</v>
      </c>
      <c r="B55" s="27" t="s">
        <v>125</v>
      </c>
      <c r="C55" s="27" t="s">
        <v>126</v>
      </c>
      <c r="D55" s="27" t="s">
        <v>64</v>
      </c>
      <c r="E55" s="28">
        <v>235000</v>
      </c>
      <c r="F55" s="29">
        <v>587.14750000000004</v>
      </c>
      <c r="G55" s="30">
        <v>7.3038E-3</v>
      </c>
      <c r="H55" s="25" t="s">
        <v>148</v>
      </c>
    </row>
    <row r="56" spans="1:8" x14ac:dyDescent="0.2">
      <c r="A56" s="26">
        <v>50</v>
      </c>
      <c r="B56" s="27" t="s">
        <v>127</v>
      </c>
      <c r="C56" s="27" t="s">
        <v>128</v>
      </c>
      <c r="D56" s="27" t="s">
        <v>45</v>
      </c>
      <c r="E56" s="28">
        <v>101916</v>
      </c>
      <c r="F56" s="29">
        <v>587.13807599999996</v>
      </c>
      <c r="G56" s="30">
        <v>7.3036799999999999E-3</v>
      </c>
      <c r="H56" s="25" t="s">
        <v>148</v>
      </c>
    </row>
    <row r="57" spans="1:8" x14ac:dyDescent="0.2">
      <c r="A57" s="26">
        <v>51</v>
      </c>
      <c r="B57" s="27" t="s">
        <v>129</v>
      </c>
      <c r="C57" s="27" t="s">
        <v>130</v>
      </c>
      <c r="D57" s="27" t="s">
        <v>42</v>
      </c>
      <c r="E57" s="28">
        <v>325000</v>
      </c>
      <c r="F57" s="29">
        <v>582.30250000000001</v>
      </c>
      <c r="G57" s="30">
        <v>7.2435299999999998E-3</v>
      </c>
      <c r="H57" s="25" t="s">
        <v>148</v>
      </c>
    </row>
    <row r="58" spans="1:8" x14ac:dyDescent="0.2">
      <c r="A58" s="26">
        <v>52</v>
      </c>
      <c r="B58" s="27" t="s">
        <v>131</v>
      </c>
      <c r="C58" s="27" t="s">
        <v>132</v>
      </c>
      <c r="D58" s="27" t="s">
        <v>64</v>
      </c>
      <c r="E58" s="28">
        <v>90000</v>
      </c>
      <c r="F58" s="29">
        <v>561.33000000000004</v>
      </c>
      <c r="G58" s="30">
        <v>6.98264E-3</v>
      </c>
      <c r="H58" s="25" t="s">
        <v>148</v>
      </c>
    </row>
    <row r="59" spans="1:8" x14ac:dyDescent="0.2">
      <c r="A59" s="26">
        <v>53</v>
      </c>
      <c r="B59" s="27" t="s">
        <v>133</v>
      </c>
      <c r="C59" s="27" t="s">
        <v>134</v>
      </c>
      <c r="D59" s="27" t="s">
        <v>42</v>
      </c>
      <c r="E59" s="28">
        <v>17000</v>
      </c>
      <c r="F59" s="29">
        <v>552.245</v>
      </c>
      <c r="G59" s="30">
        <v>6.8696299999999998E-3</v>
      </c>
      <c r="H59" s="25" t="s">
        <v>148</v>
      </c>
    </row>
    <row r="60" spans="1:8" x14ac:dyDescent="0.2">
      <c r="A60" s="26">
        <v>54</v>
      </c>
      <c r="B60" s="27" t="s">
        <v>135</v>
      </c>
      <c r="C60" s="27" t="s">
        <v>136</v>
      </c>
      <c r="D60" s="27" t="s">
        <v>137</v>
      </c>
      <c r="E60" s="28">
        <v>50000</v>
      </c>
      <c r="F60" s="29">
        <v>428.07499999999999</v>
      </c>
      <c r="G60" s="30">
        <v>5.3250199999999998E-3</v>
      </c>
      <c r="H60" s="25" t="s">
        <v>148</v>
      </c>
    </row>
    <row r="61" spans="1:8" x14ac:dyDescent="0.2">
      <c r="A61" s="26">
        <v>55</v>
      </c>
      <c r="B61" s="27" t="s">
        <v>138</v>
      </c>
      <c r="C61" s="27" t="s">
        <v>139</v>
      </c>
      <c r="D61" s="27" t="s">
        <v>120</v>
      </c>
      <c r="E61" s="28">
        <v>1100</v>
      </c>
      <c r="F61" s="29">
        <v>370.71814999999998</v>
      </c>
      <c r="G61" s="30">
        <v>4.61153E-3</v>
      </c>
      <c r="H61" s="25" t="s">
        <v>148</v>
      </c>
    </row>
    <row r="62" spans="1:8" x14ac:dyDescent="0.2">
      <c r="A62" s="26">
        <v>56</v>
      </c>
      <c r="B62" s="27" t="s">
        <v>140</v>
      </c>
      <c r="C62" s="27" t="s">
        <v>141</v>
      </c>
      <c r="D62" s="27" t="s">
        <v>19</v>
      </c>
      <c r="E62" s="28">
        <v>140000</v>
      </c>
      <c r="F62" s="29">
        <v>357.63</v>
      </c>
      <c r="G62" s="30">
        <v>4.4487199999999998E-3</v>
      </c>
      <c r="H62" s="25" t="s">
        <v>148</v>
      </c>
    </row>
    <row r="63" spans="1:8" x14ac:dyDescent="0.2">
      <c r="A63" s="26">
        <v>57</v>
      </c>
      <c r="B63" s="27" t="s">
        <v>142</v>
      </c>
      <c r="C63" s="27" t="s">
        <v>143</v>
      </c>
      <c r="D63" s="27" t="s">
        <v>51</v>
      </c>
      <c r="E63" s="28">
        <v>53808</v>
      </c>
      <c r="F63" s="29">
        <v>144.71661599999999</v>
      </c>
      <c r="G63" s="30">
        <v>1.8002000000000001E-3</v>
      </c>
      <c r="H63" s="25" t="s">
        <v>148</v>
      </c>
    </row>
    <row r="64" spans="1:8" x14ac:dyDescent="0.2">
      <c r="A64" s="23"/>
      <c r="B64" s="23"/>
      <c r="C64" s="24" t="s">
        <v>147</v>
      </c>
      <c r="D64" s="23"/>
      <c r="E64" s="23" t="s">
        <v>148</v>
      </c>
      <c r="F64" s="31">
        <f>SUM(F7:F63)</f>
        <v>74619.41457199998</v>
      </c>
      <c r="G64" s="32">
        <f>SUM(G7:G63)</f>
        <v>0.92822530000000003</v>
      </c>
      <c r="H64" s="25" t="s">
        <v>148</v>
      </c>
    </row>
    <row r="65" spans="1:8" x14ac:dyDescent="0.2">
      <c r="A65" s="23"/>
      <c r="B65" s="23"/>
      <c r="C65" s="33"/>
      <c r="D65" s="23"/>
      <c r="E65" s="23"/>
      <c r="F65" s="34"/>
      <c r="G65" s="34"/>
      <c r="H65" s="25" t="s">
        <v>148</v>
      </c>
    </row>
    <row r="66" spans="1:8" x14ac:dyDescent="0.2">
      <c r="A66" s="23"/>
      <c r="B66" s="23"/>
      <c r="C66" s="24" t="s">
        <v>149</v>
      </c>
      <c r="D66" s="23"/>
      <c r="E66" s="23"/>
      <c r="F66" s="23"/>
      <c r="G66" s="23"/>
      <c r="H66" s="25" t="s">
        <v>148</v>
      </c>
    </row>
    <row r="67" spans="1:8" x14ac:dyDescent="0.2">
      <c r="A67" s="23"/>
      <c r="B67" s="23"/>
      <c r="C67" s="24" t="s">
        <v>147</v>
      </c>
      <c r="D67" s="23"/>
      <c r="E67" s="23" t="s">
        <v>148</v>
      </c>
      <c r="F67" s="35" t="s">
        <v>150</v>
      </c>
      <c r="G67" s="32">
        <v>0</v>
      </c>
      <c r="H67" s="25" t="s">
        <v>148</v>
      </c>
    </row>
    <row r="68" spans="1:8" x14ac:dyDescent="0.2">
      <c r="A68" s="23"/>
      <c r="B68" s="23"/>
      <c r="C68" s="33"/>
      <c r="D68" s="23"/>
      <c r="E68" s="23"/>
      <c r="F68" s="34"/>
      <c r="G68" s="34"/>
      <c r="H68" s="25" t="s">
        <v>148</v>
      </c>
    </row>
    <row r="69" spans="1:8" x14ac:dyDescent="0.2">
      <c r="A69" s="23"/>
      <c r="B69" s="23"/>
      <c r="C69" s="24" t="s">
        <v>151</v>
      </c>
      <c r="D69" s="23"/>
      <c r="E69" s="23"/>
      <c r="F69" s="23"/>
      <c r="G69" s="23"/>
      <c r="H69" s="25" t="s">
        <v>148</v>
      </c>
    </row>
    <row r="70" spans="1:8" x14ac:dyDescent="0.2">
      <c r="A70" s="26">
        <v>1</v>
      </c>
      <c r="B70" s="27" t="s">
        <v>144</v>
      </c>
      <c r="C70" s="38" t="s">
        <v>890</v>
      </c>
      <c r="D70" s="27" t="s">
        <v>145</v>
      </c>
      <c r="E70" s="28">
        <v>559425</v>
      </c>
      <c r="F70" s="29">
        <v>1.1189000000000001E-5</v>
      </c>
      <c r="G70" s="36" t="s">
        <v>146</v>
      </c>
      <c r="H70" s="25" t="s">
        <v>148</v>
      </c>
    </row>
    <row r="71" spans="1:8" x14ac:dyDescent="0.2">
      <c r="A71" s="23"/>
      <c r="B71" s="23"/>
      <c r="C71" s="24" t="s">
        <v>147</v>
      </c>
      <c r="D71" s="23"/>
      <c r="E71" s="23" t="s">
        <v>148</v>
      </c>
      <c r="F71" s="35" t="s">
        <v>150</v>
      </c>
      <c r="G71" s="32">
        <v>0</v>
      </c>
      <c r="H71" s="25" t="s">
        <v>148</v>
      </c>
    </row>
    <row r="72" spans="1:8" x14ac:dyDescent="0.2">
      <c r="A72" s="23"/>
      <c r="B72" s="23"/>
      <c r="C72" s="33"/>
      <c r="D72" s="23"/>
      <c r="E72" s="23"/>
      <c r="F72" s="34"/>
      <c r="G72" s="34"/>
      <c r="H72" s="25" t="s">
        <v>148</v>
      </c>
    </row>
    <row r="73" spans="1:8" x14ac:dyDescent="0.2">
      <c r="A73" s="23"/>
      <c r="B73" s="23"/>
      <c r="C73" s="24" t="s">
        <v>152</v>
      </c>
      <c r="D73" s="23"/>
      <c r="E73" s="23"/>
      <c r="F73" s="23"/>
      <c r="G73" s="23"/>
      <c r="H73" s="25" t="s">
        <v>148</v>
      </c>
    </row>
    <row r="74" spans="1:8" x14ac:dyDescent="0.2">
      <c r="A74" s="23"/>
      <c r="B74" s="23"/>
      <c r="C74" s="24" t="s">
        <v>147</v>
      </c>
      <c r="D74" s="23"/>
      <c r="E74" s="23" t="s">
        <v>148</v>
      </c>
      <c r="F74" s="35" t="s">
        <v>150</v>
      </c>
      <c r="G74" s="32">
        <v>0</v>
      </c>
      <c r="H74" s="25" t="s">
        <v>148</v>
      </c>
    </row>
    <row r="75" spans="1:8" x14ac:dyDescent="0.2">
      <c r="A75" s="23"/>
      <c r="B75" s="23"/>
      <c r="C75" s="33"/>
      <c r="D75" s="23"/>
      <c r="E75" s="23"/>
      <c r="F75" s="34"/>
      <c r="G75" s="34"/>
      <c r="H75" s="25" t="s">
        <v>148</v>
      </c>
    </row>
    <row r="76" spans="1:8" x14ac:dyDescent="0.2">
      <c r="A76" s="23"/>
      <c r="B76" s="23"/>
      <c r="C76" s="24" t="s">
        <v>153</v>
      </c>
      <c r="D76" s="23"/>
      <c r="E76" s="23"/>
      <c r="F76" s="34"/>
      <c r="G76" s="34"/>
      <c r="H76" s="25" t="s">
        <v>148</v>
      </c>
    </row>
    <row r="77" spans="1:8" x14ac:dyDescent="0.2">
      <c r="A77" s="23"/>
      <c r="B77" s="23"/>
      <c r="C77" s="24" t="s">
        <v>147</v>
      </c>
      <c r="D77" s="23"/>
      <c r="E77" s="23" t="s">
        <v>148</v>
      </c>
      <c r="F77" s="35" t="s">
        <v>150</v>
      </c>
      <c r="G77" s="32">
        <v>0</v>
      </c>
      <c r="H77" s="25" t="s">
        <v>148</v>
      </c>
    </row>
    <row r="78" spans="1:8" x14ac:dyDescent="0.2">
      <c r="A78" s="23"/>
      <c r="B78" s="23"/>
      <c r="C78" s="33"/>
      <c r="D78" s="23"/>
      <c r="E78" s="23"/>
      <c r="F78" s="34"/>
      <c r="G78" s="34"/>
      <c r="H78" s="25" t="s">
        <v>148</v>
      </c>
    </row>
    <row r="79" spans="1:8" x14ac:dyDescent="0.2">
      <c r="A79" s="23"/>
      <c r="B79" s="23"/>
      <c r="C79" s="24" t="s">
        <v>154</v>
      </c>
      <c r="D79" s="23"/>
      <c r="E79" s="23"/>
      <c r="F79" s="34"/>
      <c r="G79" s="34"/>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155</v>
      </c>
      <c r="D82" s="23"/>
      <c r="E82" s="23"/>
      <c r="F82" s="31">
        <v>74619.414583189005</v>
      </c>
      <c r="G82" s="32">
        <v>0.92822530000000003</v>
      </c>
      <c r="H82" s="25" t="s">
        <v>148</v>
      </c>
    </row>
    <row r="83" spans="1:8" x14ac:dyDescent="0.2">
      <c r="A83" s="23"/>
      <c r="B83" s="23"/>
      <c r="C83" s="33"/>
      <c r="D83" s="23"/>
      <c r="E83" s="23"/>
      <c r="F83" s="34"/>
      <c r="G83" s="34"/>
      <c r="H83" s="25" t="s">
        <v>148</v>
      </c>
    </row>
    <row r="84" spans="1:8" x14ac:dyDescent="0.2">
      <c r="A84" s="23"/>
      <c r="B84" s="23"/>
      <c r="C84" s="24" t="s">
        <v>156</v>
      </c>
      <c r="D84" s="23"/>
      <c r="E84" s="23"/>
      <c r="F84" s="34"/>
      <c r="G84" s="34"/>
      <c r="H84" s="25" t="s">
        <v>148</v>
      </c>
    </row>
    <row r="85" spans="1:8" x14ac:dyDescent="0.2">
      <c r="A85" s="23"/>
      <c r="B85" s="23"/>
      <c r="C85" s="24" t="s">
        <v>10</v>
      </c>
      <c r="D85" s="23"/>
      <c r="E85" s="23"/>
      <c r="F85" s="34"/>
      <c r="G85" s="34"/>
      <c r="H85" s="25" t="s">
        <v>148</v>
      </c>
    </row>
    <row r="86" spans="1:8" x14ac:dyDescent="0.2">
      <c r="A86" s="23"/>
      <c r="B86" s="23"/>
      <c r="C86" s="24" t="s">
        <v>147</v>
      </c>
      <c r="D86" s="23"/>
      <c r="E86" s="23" t="s">
        <v>148</v>
      </c>
      <c r="F86" s="35" t="s">
        <v>150</v>
      </c>
      <c r="G86" s="32">
        <v>0</v>
      </c>
      <c r="H86" s="25" t="s">
        <v>148</v>
      </c>
    </row>
    <row r="87" spans="1:8" x14ac:dyDescent="0.2">
      <c r="A87" s="23"/>
      <c r="B87" s="23"/>
      <c r="C87" s="33"/>
      <c r="D87" s="23"/>
      <c r="E87" s="23"/>
      <c r="F87" s="34"/>
      <c r="G87" s="34"/>
      <c r="H87" s="25" t="s">
        <v>148</v>
      </c>
    </row>
    <row r="88" spans="1:8" x14ac:dyDescent="0.2">
      <c r="A88" s="23"/>
      <c r="B88" s="23"/>
      <c r="C88" s="24" t="s">
        <v>157</v>
      </c>
      <c r="D88" s="23"/>
      <c r="E88" s="23"/>
      <c r="F88" s="23"/>
      <c r="G88" s="23"/>
      <c r="H88" s="25" t="s">
        <v>148</v>
      </c>
    </row>
    <row r="89" spans="1:8" x14ac:dyDescent="0.2">
      <c r="A89" s="23"/>
      <c r="B89" s="23"/>
      <c r="C89" s="24" t="s">
        <v>147</v>
      </c>
      <c r="D89" s="23"/>
      <c r="E89" s="23" t="s">
        <v>148</v>
      </c>
      <c r="F89" s="35" t="s">
        <v>150</v>
      </c>
      <c r="G89" s="32">
        <v>0</v>
      </c>
      <c r="H89" s="25" t="s">
        <v>148</v>
      </c>
    </row>
    <row r="90" spans="1:8" x14ac:dyDescent="0.2">
      <c r="A90" s="23"/>
      <c r="B90" s="23"/>
      <c r="C90" s="33"/>
      <c r="D90" s="23"/>
      <c r="E90" s="23"/>
      <c r="F90" s="34"/>
      <c r="G90" s="34"/>
      <c r="H90" s="25" t="s">
        <v>148</v>
      </c>
    </row>
    <row r="91" spans="1:8" x14ac:dyDescent="0.2">
      <c r="A91" s="23"/>
      <c r="B91" s="23"/>
      <c r="C91" s="24" t="s">
        <v>158</v>
      </c>
      <c r="D91" s="23"/>
      <c r="E91" s="23"/>
      <c r="F91" s="23"/>
      <c r="G91" s="23"/>
      <c r="H91" s="25" t="s">
        <v>148</v>
      </c>
    </row>
    <row r="92" spans="1:8" x14ac:dyDescent="0.2">
      <c r="A92" s="23"/>
      <c r="B92" s="23"/>
      <c r="C92" s="24" t="s">
        <v>147</v>
      </c>
      <c r="D92" s="23"/>
      <c r="E92" s="23" t="s">
        <v>148</v>
      </c>
      <c r="F92" s="35" t="s">
        <v>150</v>
      </c>
      <c r="G92" s="32">
        <v>0</v>
      </c>
      <c r="H92" s="25" t="s">
        <v>148</v>
      </c>
    </row>
    <row r="93" spans="1:8" x14ac:dyDescent="0.2">
      <c r="A93" s="23"/>
      <c r="B93" s="23"/>
      <c r="C93" s="33"/>
      <c r="D93" s="23"/>
      <c r="E93" s="23"/>
      <c r="F93" s="34"/>
      <c r="G93" s="34"/>
      <c r="H93" s="25" t="s">
        <v>148</v>
      </c>
    </row>
    <row r="94" spans="1:8" x14ac:dyDescent="0.2">
      <c r="A94" s="23"/>
      <c r="B94" s="23"/>
      <c r="C94" s="24" t="s">
        <v>159</v>
      </c>
      <c r="D94" s="23"/>
      <c r="E94" s="23"/>
      <c r="F94" s="34"/>
      <c r="G94" s="34"/>
      <c r="H94" s="25" t="s">
        <v>148</v>
      </c>
    </row>
    <row r="95" spans="1:8" x14ac:dyDescent="0.2">
      <c r="A95" s="23"/>
      <c r="B95" s="23"/>
      <c r="C95" s="24" t="s">
        <v>147</v>
      </c>
      <c r="D95" s="23"/>
      <c r="E95" s="23" t="s">
        <v>148</v>
      </c>
      <c r="F95" s="35" t="s">
        <v>150</v>
      </c>
      <c r="G95" s="32">
        <v>0</v>
      </c>
      <c r="H95" s="25" t="s">
        <v>148</v>
      </c>
    </row>
    <row r="96" spans="1:8" x14ac:dyDescent="0.2">
      <c r="A96" s="23"/>
      <c r="B96" s="23"/>
      <c r="C96" s="33"/>
      <c r="D96" s="23"/>
      <c r="E96" s="23"/>
      <c r="F96" s="34"/>
      <c r="G96" s="34"/>
      <c r="H96" s="25" t="s">
        <v>148</v>
      </c>
    </row>
    <row r="97" spans="1:8" x14ac:dyDescent="0.2">
      <c r="A97" s="23"/>
      <c r="B97" s="23"/>
      <c r="C97" s="24" t="s">
        <v>160</v>
      </c>
      <c r="D97" s="23"/>
      <c r="E97" s="23"/>
      <c r="F97" s="31">
        <v>0</v>
      </c>
      <c r="G97" s="32">
        <v>0</v>
      </c>
      <c r="H97" s="25" t="s">
        <v>148</v>
      </c>
    </row>
    <row r="98" spans="1:8" x14ac:dyDescent="0.2">
      <c r="A98" s="23"/>
      <c r="B98" s="23"/>
      <c r="C98" s="33"/>
      <c r="D98" s="23"/>
      <c r="E98" s="23"/>
      <c r="F98" s="34"/>
      <c r="G98" s="34"/>
      <c r="H98" s="25" t="s">
        <v>148</v>
      </c>
    </row>
    <row r="99" spans="1:8" x14ac:dyDescent="0.2">
      <c r="A99" s="23"/>
      <c r="B99" s="23"/>
      <c r="C99" s="24" t="s">
        <v>161</v>
      </c>
      <c r="D99" s="23"/>
      <c r="E99" s="23"/>
      <c r="F99" s="34"/>
      <c r="G99" s="34"/>
      <c r="H99" s="25" t="s">
        <v>148</v>
      </c>
    </row>
    <row r="100" spans="1:8" x14ac:dyDescent="0.2">
      <c r="A100" s="23"/>
      <c r="B100" s="23"/>
      <c r="C100" s="24" t="s">
        <v>162</v>
      </c>
      <c r="D100" s="23"/>
      <c r="E100" s="23"/>
      <c r="F100" s="34"/>
      <c r="G100" s="34"/>
      <c r="H100" s="25" t="s">
        <v>148</v>
      </c>
    </row>
    <row r="101" spans="1:8" x14ac:dyDescent="0.2">
      <c r="A101" s="23"/>
      <c r="B101" s="23"/>
      <c r="C101" s="24" t="s">
        <v>147</v>
      </c>
      <c r="D101" s="23"/>
      <c r="E101" s="23" t="s">
        <v>148</v>
      </c>
      <c r="F101" s="35" t="s">
        <v>150</v>
      </c>
      <c r="G101" s="32">
        <v>0</v>
      </c>
      <c r="H101" s="25" t="s">
        <v>148</v>
      </c>
    </row>
    <row r="102" spans="1:8" x14ac:dyDescent="0.2">
      <c r="A102" s="23"/>
      <c r="B102" s="23"/>
      <c r="C102" s="33"/>
      <c r="D102" s="23"/>
      <c r="E102" s="23"/>
      <c r="F102" s="34"/>
      <c r="G102" s="34"/>
      <c r="H102" s="25" t="s">
        <v>148</v>
      </c>
    </row>
    <row r="103" spans="1:8" x14ac:dyDescent="0.2">
      <c r="A103" s="23"/>
      <c r="B103" s="23"/>
      <c r="C103" s="24" t="s">
        <v>163</v>
      </c>
      <c r="D103" s="23"/>
      <c r="E103" s="23"/>
      <c r="F103" s="34"/>
      <c r="G103" s="34"/>
      <c r="H103" s="25" t="s">
        <v>148</v>
      </c>
    </row>
    <row r="104" spans="1:8" x14ac:dyDescent="0.2">
      <c r="A104" s="23"/>
      <c r="B104" s="23"/>
      <c r="C104" s="24" t="s">
        <v>147</v>
      </c>
      <c r="D104" s="23"/>
      <c r="E104" s="23" t="s">
        <v>148</v>
      </c>
      <c r="F104" s="35" t="s">
        <v>150</v>
      </c>
      <c r="G104" s="32">
        <v>0</v>
      </c>
      <c r="H104" s="25" t="s">
        <v>148</v>
      </c>
    </row>
    <row r="105" spans="1:8" x14ac:dyDescent="0.2">
      <c r="A105" s="23"/>
      <c r="B105" s="23"/>
      <c r="C105" s="33"/>
      <c r="D105" s="23"/>
      <c r="E105" s="23"/>
      <c r="F105" s="34"/>
      <c r="G105" s="34"/>
      <c r="H105" s="25" t="s">
        <v>148</v>
      </c>
    </row>
    <row r="106" spans="1:8" x14ac:dyDescent="0.2">
      <c r="A106" s="23"/>
      <c r="B106" s="23"/>
      <c r="C106" s="24" t="s">
        <v>164</v>
      </c>
      <c r="D106" s="23"/>
      <c r="E106" s="23"/>
      <c r="F106" s="34"/>
      <c r="G106" s="34"/>
      <c r="H106" s="25" t="s">
        <v>148</v>
      </c>
    </row>
    <row r="107" spans="1:8" x14ac:dyDescent="0.2">
      <c r="A107" s="23"/>
      <c r="B107" s="23"/>
      <c r="C107" s="24" t="s">
        <v>147</v>
      </c>
      <c r="D107" s="23"/>
      <c r="E107" s="23" t="s">
        <v>148</v>
      </c>
      <c r="F107" s="35" t="s">
        <v>150</v>
      </c>
      <c r="G107" s="32">
        <v>0</v>
      </c>
      <c r="H107" s="25" t="s">
        <v>148</v>
      </c>
    </row>
    <row r="108" spans="1:8" x14ac:dyDescent="0.2">
      <c r="A108" s="23"/>
      <c r="B108" s="23"/>
      <c r="C108" s="33"/>
      <c r="D108" s="23"/>
      <c r="E108" s="23"/>
      <c r="F108" s="34"/>
      <c r="G108" s="34"/>
      <c r="H108" s="25" t="s">
        <v>148</v>
      </c>
    </row>
    <row r="109" spans="1:8" x14ac:dyDescent="0.2">
      <c r="A109" s="23"/>
      <c r="B109" s="23"/>
      <c r="C109" s="24" t="s">
        <v>165</v>
      </c>
      <c r="D109" s="23"/>
      <c r="E109" s="23"/>
      <c r="F109" s="34"/>
      <c r="G109" s="34"/>
      <c r="H109" s="25" t="s">
        <v>148</v>
      </c>
    </row>
    <row r="110" spans="1:8" x14ac:dyDescent="0.2">
      <c r="A110" s="26">
        <v>1</v>
      </c>
      <c r="B110" s="27"/>
      <c r="C110" s="27" t="s">
        <v>166</v>
      </c>
      <c r="D110" s="27"/>
      <c r="E110" s="36"/>
      <c r="F110" s="29">
        <v>2767.7137048039999</v>
      </c>
      <c r="G110" s="30">
        <v>3.442887E-2</v>
      </c>
      <c r="H110" s="25">
        <v>6.23</v>
      </c>
    </row>
    <row r="111" spans="1:8" x14ac:dyDescent="0.2">
      <c r="A111" s="23"/>
      <c r="B111" s="23"/>
      <c r="C111" s="24" t="s">
        <v>147</v>
      </c>
      <c r="D111" s="23"/>
      <c r="E111" s="23" t="s">
        <v>148</v>
      </c>
      <c r="F111" s="31">
        <v>2767.7137048039999</v>
      </c>
      <c r="G111" s="32">
        <v>3.442887E-2</v>
      </c>
      <c r="H111" s="25" t="s">
        <v>148</v>
      </c>
    </row>
    <row r="112" spans="1:8" x14ac:dyDescent="0.2">
      <c r="A112" s="23"/>
      <c r="B112" s="23"/>
      <c r="C112" s="33"/>
      <c r="D112" s="23"/>
      <c r="E112" s="23"/>
      <c r="F112" s="34"/>
      <c r="G112" s="34"/>
      <c r="H112" s="25" t="s">
        <v>148</v>
      </c>
    </row>
    <row r="113" spans="1:8" x14ac:dyDescent="0.2">
      <c r="A113" s="23"/>
      <c r="B113" s="23"/>
      <c r="C113" s="24" t="s">
        <v>167</v>
      </c>
      <c r="D113" s="23"/>
      <c r="E113" s="23"/>
      <c r="F113" s="31">
        <v>2767.7137048039999</v>
      </c>
      <c r="G113" s="32">
        <v>3.442887E-2</v>
      </c>
      <c r="H113" s="25" t="s">
        <v>148</v>
      </c>
    </row>
    <row r="114" spans="1:8" x14ac:dyDescent="0.2">
      <c r="A114" s="23"/>
      <c r="B114" s="23"/>
      <c r="C114" s="34"/>
      <c r="D114" s="23"/>
      <c r="E114" s="23"/>
      <c r="F114" s="23"/>
      <c r="G114" s="23"/>
      <c r="H114" s="25" t="s">
        <v>148</v>
      </c>
    </row>
    <row r="115" spans="1:8" x14ac:dyDescent="0.2">
      <c r="A115" s="23"/>
      <c r="B115" s="23"/>
      <c r="C115" s="24" t="s">
        <v>168</v>
      </c>
      <c r="D115" s="23"/>
      <c r="E115" s="23"/>
      <c r="F115" s="23"/>
      <c r="G115" s="23"/>
      <c r="H115" s="25" t="s">
        <v>148</v>
      </c>
    </row>
    <row r="116" spans="1:8" x14ac:dyDescent="0.2">
      <c r="A116" s="23"/>
      <c r="B116" s="23"/>
      <c r="C116" s="24" t="s">
        <v>169</v>
      </c>
      <c r="D116" s="23"/>
      <c r="E116" s="23"/>
      <c r="F116" s="23"/>
      <c r="G116" s="23"/>
      <c r="H116" s="25" t="s">
        <v>148</v>
      </c>
    </row>
    <row r="117" spans="1:8" ht="25.5" x14ac:dyDescent="0.2">
      <c r="A117" s="26">
        <v>1</v>
      </c>
      <c r="B117" s="27" t="s">
        <v>170</v>
      </c>
      <c r="C117" s="27" t="s">
        <v>171</v>
      </c>
      <c r="D117" s="27"/>
      <c r="E117" s="37">
        <v>17047818.1527</v>
      </c>
      <c r="F117" s="29">
        <v>2501.4945488180001</v>
      </c>
      <c r="G117" s="30">
        <v>3.1117240000000001E-2</v>
      </c>
      <c r="H117" s="25" t="s">
        <v>148</v>
      </c>
    </row>
    <row r="118" spans="1:8" x14ac:dyDescent="0.2">
      <c r="A118" s="23"/>
      <c r="B118" s="23"/>
      <c r="C118" s="24" t="s">
        <v>147</v>
      </c>
      <c r="D118" s="23"/>
      <c r="E118" s="23" t="s">
        <v>148</v>
      </c>
      <c r="F118" s="31">
        <v>2501.4945488180001</v>
      </c>
      <c r="G118" s="32">
        <v>3.1117240000000001E-2</v>
      </c>
      <c r="H118" s="25" t="s">
        <v>148</v>
      </c>
    </row>
    <row r="119" spans="1:8" x14ac:dyDescent="0.2">
      <c r="A119" s="23"/>
      <c r="B119" s="23"/>
      <c r="C119" s="33"/>
      <c r="D119" s="23"/>
      <c r="E119" s="23"/>
      <c r="F119" s="34"/>
      <c r="G119" s="34"/>
      <c r="H119" s="25" t="s">
        <v>148</v>
      </c>
    </row>
    <row r="120" spans="1:8" x14ac:dyDescent="0.2">
      <c r="A120" s="23"/>
      <c r="B120" s="23"/>
      <c r="C120" s="24" t="s">
        <v>172</v>
      </c>
      <c r="D120" s="23"/>
      <c r="E120" s="23"/>
      <c r="F120" s="23"/>
      <c r="G120" s="23"/>
      <c r="H120" s="25" t="s">
        <v>148</v>
      </c>
    </row>
    <row r="121" spans="1:8" x14ac:dyDescent="0.2">
      <c r="A121" s="23"/>
      <c r="B121" s="23"/>
      <c r="C121" s="24" t="s">
        <v>173</v>
      </c>
      <c r="D121" s="23"/>
      <c r="E121" s="23"/>
      <c r="F121" s="23"/>
      <c r="G121" s="23"/>
      <c r="H121" s="25" t="s">
        <v>148</v>
      </c>
    </row>
    <row r="122" spans="1:8" x14ac:dyDescent="0.2">
      <c r="A122" s="23"/>
      <c r="B122" s="23"/>
      <c r="C122" s="24" t="s">
        <v>147</v>
      </c>
      <c r="D122" s="23"/>
      <c r="E122" s="23" t="s">
        <v>148</v>
      </c>
      <c r="F122" s="35" t="s">
        <v>150</v>
      </c>
      <c r="G122" s="32">
        <v>0</v>
      </c>
      <c r="H122" s="25" t="s">
        <v>148</v>
      </c>
    </row>
    <row r="123" spans="1:8" x14ac:dyDescent="0.2">
      <c r="A123" s="23"/>
      <c r="B123" s="23"/>
      <c r="C123" s="33"/>
      <c r="D123" s="23"/>
      <c r="E123" s="23"/>
      <c r="F123" s="34"/>
      <c r="G123" s="34"/>
      <c r="H123" s="25" t="s">
        <v>148</v>
      </c>
    </row>
    <row r="124" spans="1:8" x14ac:dyDescent="0.2">
      <c r="A124" s="23"/>
      <c r="B124" s="23"/>
      <c r="C124" s="24" t="s">
        <v>174</v>
      </c>
      <c r="D124" s="23"/>
      <c r="E124" s="23"/>
      <c r="F124" s="34"/>
      <c r="G124" s="34"/>
      <c r="H124" s="25" t="s">
        <v>148</v>
      </c>
    </row>
    <row r="125" spans="1:8" x14ac:dyDescent="0.2">
      <c r="A125" s="23"/>
      <c r="B125" s="23"/>
      <c r="C125" s="24" t="s">
        <v>147</v>
      </c>
      <c r="D125" s="23"/>
      <c r="E125" s="23" t="s">
        <v>148</v>
      </c>
      <c r="F125" s="35" t="s">
        <v>150</v>
      </c>
      <c r="G125" s="32">
        <v>0</v>
      </c>
      <c r="H125" s="25" t="s">
        <v>148</v>
      </c>
    </row>
    <row r="126" spans="1:8" x14ac:dyDescent="0.2">
      <c r="A126" s="23"/>
      <c r="B126" s="23"/>
      <c r="C126" s="33"/>
      <c r="D126" s="23"/>
      <c r="E126" s="23"/>
      <c r="F126" s="34"/>
      <c r="G126" s="34"/>
      <c r="H126" s="25" t="s">
        <v>148</v>
      </c>
    </row>
    <row r="127" spans="1:8" x14ac:dyDescent="0.2">
      <c r="A127" s="36"/>
      <c r="B127" s="27"/>
      <c r="C127" s="27" t="s">
        <v>175</v>
      </c>
      <c r="D127" s="27"/>
      <c r="E127" s="36"/>
      <c r="F127" s="29">
        <v>500.71447159000002</v>
      </c>
      <c r="G127" s="30">
        <v>6.2286199999999998E-3</v>
      </c>
      <c r="H127" s="25" t="s">
        <v>148</v>
      </c>
    </row>
    <row r="128" spans="1:8" x14ac:dyDescent="0.2">
      <c r="A128" s="33"/>
      <c r="B128" s="33"/>
      <c r="C128" s="24" t="s">
        <v>176</v>
      </c>
      <c r="D128" s="34"/>
      <c r="E128" s="34"/>
      <c r="F128" s="31">
        <v>80389.337308400995</v>
      </c>
      <c r="G128" s="39">
        <v>1.00000003</v>
      </c>
      <c r="H128" s="25" t="s">
        <v>148</v>
      </c>
    </row>
    <row r="129" spans="1:17" x14ac:dyDescent="0.2">
      <c r="A129" s="40"/>
      <c r="B129" s="40"/>
      <c r="C129" s="40"/>
      <c r="D129" s="41"/>
      <c r="E129" s="41"/>
      <c r="F129" s="41"/>
      <c r="G129" s="41"/>
    </row>
    <row r="130" spans="1:17" x14ac:dyDescent="0.2">
      <c r="A130" s="42"/>
      <c r="B130" s="237" t="s">
        <v>891</v>
      </c>
      <c r="C130" s="237"/>
      <c r="D130" s="237"/>
      <c r="E130" s="237"/>
      <c r="F130" s="237"/>
      <c r="G130" s="237"/>
      <c r="H130" s="237"/>
      <c r="J130" s="44"/>
    </row>
    <row r="131" spans="1:17" x14ac:dyDescent="0.2">
      <c r="A131" s="42"/>
      <c r="B131" s="237" t="s">
        <v>892</v>
      </c>
      <c r="C131" s="237"/>
      <c r="D131" s="237"/>
      <c r="E131" s="237"/>
      <c r="F131" s="237"/>
      <c r="G131" s="237"/>
      <c r="H131" s="237"/>
      <c r="J131" s="44"/>
    </row>
    <row r="132" spans="1:17" x14ac:dyDescent="0.2">
      <c r="A132" s="42"/>
      <c r="B132" s="237" t="s">
        <v>893</v>
      </c>
      <c r="C132" s="237"/>
      <c r="D132" s="237"/>
      <c r="E132" s="237"/>
      <c r="F132" s="237"/>
      <c r="G132" s="237"/>
      <c r="H132" s="237"/>
      <c r="J132" s="44"/>
    </row>
    <row r="133" spans="1:17" s="46" customFormat="1" ht="66.75" customHeight="1" x14ac:dyDescent="0.25">
      <c r="A133" s="45"/>
      <c r="B133" s="239" t="s">
        <v>894</v>
      </c>
      <c r="C133" s="239"/>
      <c r="D133" s="239"/>
      <c r="E133" s="239"/>
      <c r="F133" s="239"/>
      <c r="G133" s="239"/>
      <c r="H133" s="239"/>
      <c r="I133"/>
      <c r="J133" s="44"/>
      <c r="K133"/>
      <c r="L133"/>
      <c r="M133"/>
      <c r="N133"/>
      <c r="O133"/>
      <c r="P133"/>
      <c r="Q133"/>
    </row>
    <row r="134" spans="1:17" x14ac:dyDescent="0.2">
      <c r="A134" s="42"/>
      <c r="B134" s="237" t="s">
        <v>895</v>
      </c>
      <c r="C134" s="237"/>
      <c r="D134" s="237"/>
      <c r="E134" s="237"/>
      <c r="F134" s="237"/>
      <c r="G134" s="237"/>
      <c r="H134" s="237"/>
      <c r="J134" s="44"/>
    </row>
    <row r="135" spans="1:17" x14ac:dyDescent="0.2">
      <c r="A135" s="47"/>
      <c r="B135" s="47"/>
      <c r="C135" s="47"/>
      <c r="D135" s="48"/>
      <c r="E135" s="48"/>
      <c r="F135" s="48"/>
      <c r="G135" s="48"/>
    </row>
    <row r="136" spans="1:17" x14ac:dyDescent="0.2">
      <c r="A136" s="47"/>
      <c r="B136" s="234" t="s">
        <v>177</v>
      </c>
      <c r="C136" s="235"/>
      <c r="D136" s="236"/>
      <c r="E136" s="49"/>
      <c r="F136" s="48"/>
      <c r="G136" s="48"/>
    </row>
    <row r="137" spans="1:17" x14ac:dyDescent="0.2">
      <c r="A137" s="47"/>
      <c r="B137" s="232" t="s">
        <v>178</v>
      </c>
      <c r="C137" s="233"/>
      <c r="D137" s="24" t="s">
        <v>179</v>
      </c>
      <c r="E137" s="49"/>
      <c r="F137" s="48"/>
      <c r="G137" s="48"/>
    </row>
    <row r="138" spans="1:17" ht="12.75" customHeight="1" x14ac:dyDescent="0.2">
      <c r="A138" s="42"/>
      <c r="B138" s="240" t="s">
        <v>897</v>
      </c>
      <c r="C138" s="241"/>
      <c r="D138" s="58" t="str">
        <f>"Rs. "&amp;TEXT(F68,"0.00")&amp;" lacs/ #"</f>
        <v>Rs. 0.00 lacs/ #</v>
      </c>
      <c r="E138" s="73"/>
      <c r="F138" s="74"/>
      <c r="G138" s="74"/>
    </row>
    <row r="139" spans="1:17" x14ac:dyDescent="0.2">
      <c r="A139" s="47"/>
      <c r="B139" s="232" t="s">
        <v>180</v>
      </c>
      <c r="C139" s="233"/>
      <c r="D139" s="24" t="s">
        <v>179</v>
      </c>
      <c r="E139" s="49"/>
      <c r="F139" s="48"/>
      <c r="G139" s="48"/>
    </row>
    <row r="140" spans="1:17" x14ac:dyDescent="0.2">
      <c r="A140" s="47"/>
      <c r="B140" s="232" t="s">
        <v>181</v>
      </c>
      <c r="C140" s="233"/>
      <c r="D140" s="34" t="s">
        <v>148</v>
      </c>
      <c r="E140" s="49"/>
      <c r="F140" s="48"/>
      <c r="G140" s="48"/>
    </row>
    <row r="141" spans="1:17" x14ac:dyDescent="0.2">
      <c r="A141" s="50"/>
      <c r="B141" s="51" t="s">
        <v>148</v>
      </c>
      <c r="C141" s="51" t="s">
        <v>896</v>
      </c>
      <c r="D141" s="51" t="s">
        <v>182</v>
      </c>
      <c r="E141" s="50"/>
      <c r="F141" s="50"/>
      <c r="G141" s="50"/>
      <c r="H141" s="50"/>
      <c r="J141" s="44"/>
    </row>
    <row r="142" spans="1:17" x14ac:dyDescent="0.2">
      <c r="A142" s="50"/>
      <c r="B142" s="52" t="s">
        <v>183</v>
      </c>
      <c r="C142" s="53">
        <v>45688</v>
      </c>
      <c r="D142" s="53">
        <v>45716</v>
      </c>
      <c r="E142" s="50"/>
      <c r="F142" s="50"/>
      <c r="G142" s="50"/>
      <c r="J142" s="44"/>
    </row>
    <row r="143" spans="1:17" x14ac:dyDescent="0.2">
      <c r="A143" s="54"/>
      <c r="B143" s="27" t="s">
        <v>184</v>
      </c>
      <c r="C143" s="55">
        <v>92.661799999999999</v>
      </c>
      <c r="D143" s="55">
        <v>82.439700000000002</v>
      </c>
      <c r="E143" s="54"/>
      <c r="F143" s="56"/>
      <c r="G143" s="57"/>
    </row>
    <row r="144" spans="1:17" x14ac:dyDescent="0.2">
      <c r="A144" s="54"/>
      <c r="B144" s="27" t="s">
        <v>1070</v>
      </c>
      <c r="C144" s="55">
        <v>57.092500000000001</v>
      </c>
      <c r="D144" s="55">
        <v>50.7943</v>
      </c>
      <c r="E144" s="54"/>
      <c r="F144" s="56"/>
      <c r="G144" s="57"/>
    </row>
    <row r="145" spans="1:10" x14ac:dyDescent="0.2">
      <c r="A145" s="54"/>
      <c r="B145" s="27" t="s">
        <v>186</v>
      </c>
      <c r="C145" s="55">
        <v>86.918599999999998</v>
      </c>
      <c r="D145" s="55">
        <v>77.294200000000004</v>
      </c>
      <c r="E145" s="54"/>
      <c r="F145" s="56"/>
      <c r="G145" s="57"/>
    </row>
    <row r="146" spans="1:10" x14ac:dyDescent="0.2">
      <c r="A146" s="54"/>
      <c r="B146" s="27" t="s">
        <v>1071</v>
      </c>
      <c r="C146" s="55">
        <v>53.279899999999998</v>
      </c>
      <c r="D146" s="55">
        <v>47.380200000000002</v>
      </c>
      <c r="E146" s="54"/>
      <c r="F146" s="56"/>
      <c r="G146" s="57"/>
    </row>
    <row r="147" spans="1:10" x14ac:dyDescent="0.2">
      <c r="A147" s="54"/>
      <c r="B147" s="59"/>
      <c r="C147" s="59"/>
      <c r="D147" s="59"/>
      <c r="E147" s="54"/>
      <c r="F147" s="54"/>
      <c r="G147" s="54"/>
    </row>
    <row r="148" spans="1:10" x14ac:dyDescent="0.2">
      <c r="A148" s="50"/>
      <c r="B148" s="240" t="s">
        <v>898</v>
      </c>
      <c r="C148" s="241"/>
      <c r="D148" s="58" t="s">
        <v>179</v>
      </c>
      <c r="E148" s="50"/>
      <c r="F148" s="50"/>
      <c r="G148" s="50"/>
    </row>
    <row r="149" spans="1:10" x14ac:dyDescent="0.2">
      <c r="A149" s="50"/>
      <c r="B149" s="162"/>
      <c r="C149" s="162"/>
      <c r="D149" s="163"/>
      <c r="E149" s="50"/>
      <c r="F149" s="43"/>
      <c r="G149" s="62"/>
      <c r="J149" s="44"/>
    </row>
    <row r="150" spans="1:10" x14ac:dyDescent="0.2">
      <c r="A150" s="50"/>
      <c r="B150" s="240" t="s">
        <v>188</v>
      </c>
      <c r="C150" s="241"/>
      <c r="D150" s="58" t="s">
        <v>179</v>
      </c>
      <c r="E150" s="60"/>
      <c r="F150" s="50"/>
      <c r="G150" s="50"/>
      <c r="J150" s="44"/>
    </row>
    <row r="151" spans="1:10" x14ac:dyDescent="0.2">
      <c r="A151" s="50"/>
      <c r="B151" s="240" t="s">
        <v>189</v>
      </c>
      <c r="C151" s="241"/>
      <c r="D151" s="58" t="s">
        <v>179</v>
      </c>
      <c r="E151" s="60"/>
      <c r="F151" s="50"/>
      <c r="G151" s="50"/>
      <c r="J151" s="44"/>
    </row>
    <row r="152" spans="1:10" x14ac:dyDescent="0.2">
      <c r="A152" s="50"/>
      <c r="B152" s="240" t="s">
        <v>190</v>
      </c>
      <c r="C152" s="241"/>
      <c r="D152" s="58" t="s">
        <v>179</v>
      </c>
      <c r="E152" s="60"/>
      <c r="F152" s="50"/>
      <c r="G152" s="50"/>
      <c r="J152" s="44"/>
    </row>
    <row r="153" spans="1:10" x14ac:dyDescent="0.2">
      <c r="A153" s="50"/>
      <c r="B153" s="240" t="s">
        <v>191</v>
      </c>
      <c r="C153" s="241"/>
      <c r="D153" s="61">
        <v>0.39505911755914713</v>
      </c>
      <c r="E153" s="50"/>
      <c r="F153" s="43"/>
      <c r="G153" s="62"/>
      <c r="J153" s="44"/>
    </row>
    <row r="154" spans="1:10" x14ac:dyDescent="0.2">
      <c r="J154" s="44"/>
    </row>
    <row r="155" spans="1:10" x14ac:dyDescent="0.2">
      <c r="B155" s="238" t="s">
        <v>899</v>
      </c>
      <c r="C155" s="238"/>
    </row>
    <row r="157" spans="1:10" ht="153.75" customHeight="1" x14ac:dyDescent="0.2"/>
    <row r="160" spans="1:10" x14ac:dyDescent="0.2">
      <c r="B160" s="68" t="s">
        <v>900</v>
      </c>
      <c r="C160" s="69"/>
      <c r="D160" s="68"/>
    </row>
    <row r="161" spans="2:10" x14ac:dyDescent="0.2">
      <c r="B161" s="68" t="s">
        <v>901</v>
      </c>
      <c r="D161" s="68"/>
    </row>
    <row r="162" spans="2:10" ht="165" customHeight="1" x14ac:dyDescent="0.2"/>
    <row r="164" spans="2:10" x14ac:dyDescent="0.2">
      <c r="J164" s="22"/>
    </row>
    <row r="165" spans="2:10" x14ac:dyDescent="0.2">
      <c r="J165" s="22"/>
    </row>
    <row r="166" spans="2:10" x14ac:dyDescent="0.2">
      <c r="J166" s="22"/>
    </row>
  </sheetData>
  <mergeCells count="19">
    <mergeCell ref="B155:C155"/>
    <mergeCell ref="B132:H132"/>
    <mergeCell ref="B133:H133"/>
    <mergeCell ref="B134:H134"/>
    <mergeCell ref="B138:C138"/>
    <mergeCell ref="B148:C148"/>
    <mergeCell ref="B153:C153"/>
    <mergeCell ref="B150:C150"/>
    <mergeCell ref="B151:C151"/>
    <mergeCell ref="B152:C152"/>
    <mergeCell ref="A3:H3"/>
    <mergeCell ref="A2:H2"/>
    <mergeCell ref="A1:H1"/>
    <mergeCell ref="B139:C139"/>
    <mergeCell ref="B140:C140"/>
    <mergeCell ref="B136:D136"/>
    <mergeCell ref="B137:C137"/>
    <mergeCell ref="B130:H130"/>
    <mergeCell ref="B131:H131"/>
  </mergeCells>
  <hyperlinks>
    <hyperlink ref="I1" location="Index!B2" display="Index" xr:uid="{9C6E3066-4C5D-43E6-B9E0-74C137734EF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F169-C5C1-4BDA-B255-3C3773F5706E}">
  <sheetPr>
    <outlinePr summaryBelow="0" summaryRight="0"/>
  </sheetPr>
  <dimension ref="A1:P103"/>
  <sheetViews>
    <sheetView showGridLines="0" workbookViewId="0">
      <selection sqref="A1:H1"/>
    </sheetView>
  </sheetViews>
  <sheetFormatPr defaultColWidth="7" defaultRowHeight="12.75" x14ac:dyDescent="0.2"/>
  <cols>
    <col min="1" max="1" width="5.85546875" bestFit="1" customWidth="1"/>
    <col min="2" max="2" width="19.7109375" bestFit="1" customWidth="1"/>
    <col min="3" max="3" width="48.42578125" customWidth="1"/>
    <col min="4" max="4" width="14" customWidth="1"/>
    <col min="5" max="5" width="12.42578125" bestFit="1" customWidth="1"/>
    <col min="6" max="6" width="10.140625" bestFit="1" customWidth="1"/>
    <col min="7" max="7" width="9" bestFit="1" customWidth="1"/>
    <col min="8" max="8" width="10" customWidth="1"/>
    <col min="9" max="9" width="10.28515625" customWidth="1"/>
  </cols>
  <sheetData>
    <row r="1" spans="1:9" ht="15" x14ac:dyDescent="0.2">
      <c r="A1" s="242" t="s">
        <v>0</v>
      </c>
      <c r="B1" s="242"/>
      <c r="C1" s="242"/>
      <c r="D1" s="242"/>
      <c r="E1" s="242"/>
      <c r="F1" s="242"/>
      <c r="G1" s="242"/>
      <c r="H1" s="242"/>
      <c r="I1" s="18" t="s">
        <v>1069</v>
      </c>
    </row>
    <row r="2" spans="1:9" ht="15" x14ac:dyDescent="0.2">
      <c r="A2" s="242" t="s">
        <v>853</v>
      </c>
      <c r="B2" s="242"/>
      <c r="C2" s="242"/>
      <c r="D2" s="242"/>
      <c r="E2" s="242"/>
      <c r="F2" s="242"/>
      <c r="G2" s="242"/>
      <c r="H2" s="242"/>
    </row>
    <row r="3" spans="1:9" ht="15" x14ac:dyDescent="0.2">
      <c r="A3" s="242" t="s">
        <v>1080</v>
      </c>
      <c r="B3" s="242"/>
      <c r="C3" s="242"/>
      <c r="D3" s="242"/>
      <c r="E3" s="242"/>
      <c r="F3" s="242"/>
      <c r="G3" s="242"/>
      <c r="H3" s="242"/>
    </row>
    <row r="4" spans="1:9" s="22" customFormat="1" ht="30" x14ac:dyDescent="0.2">
      <c r="A4" s="20" t="s">
        <v>2</v>
      </c>
      <c r="B4" s="20" t="s">
        <v>3</v>
      </c>
      <c r="C4" s="20" t="s">
        <v>4</v>
      </c>
      <c r="D4" s="20" t="s">
        <v>5</v>
      </c>
      <c r="E4" s="20" t="s">
        <v>6</v>
      </c>
      <c r="F4" s="20" t="s">
        <v>7</v>
      </c>
      <c r="G4" s="20" t="s">
        <v>8</v>
      </c>
      <c r="H4" s="70" t="s">
        <v>847</v>
      </c>
    </row>
    <row r="5" spans="1:9" x14ac:dyDescent="0.2">
      <c r="A5" s="131"/>
      <c r="B5" s="131"/>
      <c r="C5" s="132" t="s">
        <v>9</v>
      </c>
      <c r="D5" s="131"/>
      <c r="E5" s="131"/>
      <c r="F5" s="131"/>
      <c r="G5" s="131"/>
      <c r="H5" s="25" t="s">
        <v>148</v>
      </c>
    </row>
    <row r="6" spans="1:9" x14ac:dyDescent="0.2">
      <c r="A6" s="131"/>
      <c r="B6" s="131"/>
      <c r="C6" s="132" t="s">
        <v>10</v>
      </c>
      <c r="D6" s="131"/>
      <c r="E6" s="131"/>
      <c r="F6" s="131"/>
      <c r="G6" s="131"/>
      <c r="H6" s="25" t="s">
        <v>148</v>
      </c>
    </row>
    <row r="7" spans="1:9" x14ac:dyDescent="0.2">
      <c r="A7" s="131"/>
      <c r="B7" s="131"/>
      <c r="C7" s="132" t="s">
        <v>147</v>
      </c>
      <c r="D7" s="131"/>
      <c r="E7" s="131" t="s">
        <v>148</v>
      </c>
      <c r="F7" s="133" t="s">
        <v>150</v>
      </c>
      <c r="G7" s="134">
        <v>0</v>
      </c>
      <c r="H7" s="25" t="s">
        <v>148</v>
      </c>
    </row>
    <row r="8" spans="1:9" x14ac:dyDescent="0.2">
      <c r="A8" s="131"/>
      <c r="B8" s="131"/>
      <c r="C8" s="135"/>
      <c r="D8" s="131"/>
      <c r="E8" s="131"/>
      <c r="F8" s="136"/>
      <c r="G8" s="136"/>
      <c r="H8" s="25" t="s">
        <v>148</v>
      </c>
    </row>
    <row r="9" spans="1:9" x14ac:dyDescent="0.2">
      <c r="A9" s="131"/>
      <c r="B9" s="131"/>
      <c r="C9" s="132" t="s">
        <v>149</v>
      </c>
      <c r="D9" s="131"/>
      <c r="E9" s="131"/>
      <c r="F9" s="131"/>
      <c r="G9" s="131"/>
      <c r="H9" s="25" t="s">
        <v>148</v>
      </c>
    </row>
    <row r="10" spans="1:9" x14ac:dyDescent="0.2">
      <c r="A10" s="131"/>
      <c r="B10" s="131"/>
      <c r="C10" s="132" t="s">
        <v>147</v>
      </c>
      <c r="D10" s="131"/>
      <c r="E10" s="131" t="s">
        <v>148</v>
      </c>
      <c r="F10" s="133" t="s">
        <v>150</v>
      </c>
      <c r="G10" s="134">
        <v>0</v>
      </c>
      <c r="H10" s="25" t="s">
        <v>148</v>
      </c>
    </row>
    <row r="11" spans="1:9" x14ac:dyDescent="0.2">
      <c r="A11" s="131"/>
      <c r="B11" s="131"/>
      <c r="C11" s="135"/>
      <c r="D11" s="131"/>
      <c r="E11" s="131"/>
      <c r="F11" s="136"/>
      <c r="G11" s="136"/>
      <c r="H11" s="25" t="s">
        <v>148</v>
      </c>
    </row>
    <row r="12" spans="1:9" x14ac:dyDescent="0.2">
      <c r="A12" s="131"/>
      <c r="B12" s="131"/>
      <c r="C12" s="132" t="s">
        <v>151</v>
      </c>
      <c r="D12" s="131"/>
      <c r="E12" s="131"/>
      <c r="F12" s="131"/>
      <c r="G12" s="131"/>
      <c r="H12" s="25" t="s">
        <v>148</v>
      </c>
    </row>
    <row r="13" spans="1:9" x14ac:dyDescent="0.2">
      <c r="A13" s="131"/>
      <c r="B13" s="131"/>
      <c r="C13" s="132" t="s">
        <v>147</v>
      </c>
      <c r="D13" s="131"/>
      <c r="E13" s="131" t="s">
        <v>148</v>
      </c>
      <c r="F13" s="133" t="s">
        <v>150</v>
      </c>
      <c r="G13" s="134">
        <v>0</v>
      </c>
      <c r="H13" s="25" t="s">
        <v>148</v>
      </c>
    </row>
    <row r="14" spans="1:9" x14ac:dyDescent="0.2">
      <c r="A14" s="131"/>
      <c r="B14" s="131"/>
      <c r="C14" s="135"/>
      <c r="D14" s="131"/>
      <c r="E14" s="131"/>
      <c r="F14" s="136"/>
      <c r="G14" s="136"/>
      <c r="H14" s="25" t="s">
        <v>148</v>
      </c>
    </row>
    <row r="15" spans="1:9" x14ac:dyDescent="0.2">
      <c r="A15" s="131"/>
      <c r="B15" s="131"/>
      <c r="C15" s="132" t="s">
        <v>152</v>
      </c>
      <c r="D15" s="131"/>
      <c r="E15" s="131"/>
      <c r="F15" s="131"/>
      <c r="G15" s="131"/>
      <c r="H15" s="25" t="s">
        <v>148</v>
      </c>
    </row>
    <row r="16" spans="1:9" x14ac:dyDescent="0.2">
      <c r="A16" s="131"/>
      <c r="B16" s="131"/>
      <c r="C16" s="132" t="s">
        <v>147</v>
      </c>
      <c r="D16" s="131"/>
      <c r="E16" s="131" t="s">
        <v>148</v>
      </c>
      <c r="F16" s="133" t="s">
        <v>150</v>
      </c>
      <c r="G16" s="134">
        <v>0</v>
      </c>
      <c r="H16" s="25" t="s">
        <v>148</v>
      </c>
    </row>
    <row r="17" spans="1:8" x14ac:dyDescent="0.2">
      <c r="A17" s="131"/>
      <c r="B17" s="131"/>
      <c r="C17" s="135"/>
      <c r="D17" s="131"/>
      <c r="E17" s="131"/>
      <c r="F17" s="136"/>
      <c r="G17" s="136"/>
      <c r="H17" s="25" t="s">
        <v>148</v>
      </c>
    </row>
    <row r="18" spans="1:8" x14ac:dyDescent="0.2">
      <c r="A18" s="131"/>
      <c r="B18" s="131"/>
      <c r="C18" s="132" t="s">
        <v>153</v>
      </c>
      <c r="D18" s="131"/>
      <c r="E18" s="131"/>
      <c r="F18" s="136"/>
      <c r="G18" s="136"/>
      <c r="H18" s="25" t="s">
        <v>148</v>
      </c>
    </row>
    <row r="19" spans="1:8" x14ac:dyDescent="0.2">
      <c r="A19" s="131"/>
      <c r="B19" s="131"/>
      <c r="C19" s="132" t="s">
        <v>147</v>
      </c>
      <c r="D19" s="131"/>
      <c r="E19" s="131" t="s">
        <v>148</v>
      </c>
      <c r="F19" s="133" t="s">
        <v>150</v>
      </c>
      <c r="G19" s="134">
        <v>0</v>
      </c>
      <c r="H19" s="25" t="s">
        <v>148</v>
      </c>
    </row>
    <row r="20" spans="1:8" x14ac:dyDescent="0.2">
      <c r="A20" s="131"/>
      <c r="B20" s="131"/>
      <c r="C20" s="135"/>
      <c r="D20" s="131"/>
      <c r="E20" s="131"/>
      <c r="F20" s="136"/>
      <c r="G20" s="136"/>
      <c r="H20" s="25" t="s">
        <v>148</v>
      </c>
    </row>
    <row r="21" spans="1:8" x14ac:dyDescent="0.2">
      <c r="A21" s="131"/>
      <c r="B21" s="131"/>
      <c r="C21" s="132" t="s">
        <v>154</v>
      </c>
      <c r="D21" s="131"/>
      <c r="E21" s="131"/>
      <c r="F21" s="136"/>
      <c r="G21" s="136"/>
      <c r="H21" s="25" t="s">
        <v>148</v>
      </c>
    </row>
    <row r="22" spans="1:8" x14ac:dyDescent="0.2">
      <c r="A22" s="131"/>
      <c r="B22" s="131"/>
      <c r="C22" s="132" t="s">
        <v>147</v>
      </c>
      <c r="D22" s="131"/>
      <c r="E22" s="131" t="s">
        <v>148</v>
      </c>
      <c r="F22" s="133" t="s">
        <v>150</v>
      </c>
      <c r="G22" s="134">
        <v>0</v>
      </c>
      <c r="H22" s="25" t="s">
        <v>148</v>
      </c>
    </row>
    <row r="23" spans="1:8" x14ac:dyDescent="0.2">
      <c r="A23" s="131"/>
      <c r="B23" s="131"/>
      <c r="C23" s="135"/>
      <c r="D23" s="131"/>
      <c r="E23" s="131"/>
      <c r="F23" s="136"/>
      <c r="G23" s="136"/>
      <c r="H23" s="25" t="s">
        <v>148</v>
      </c>
    </row>
    <row r="24" spans="1:8" x14ac:dyDescent="0.2">
      <c r="A24" s="131"/>
      <c r="B24" s="131"/>
      <c r="C24" s="132" t="s">
        <v>155</v>
      </c>
      <c r="D24" s="131"/>
      <c r="E24" s="131"/>
      <c r="F24" s="137">
        <v>0</v>
      </c>
      <c r="G24" s="134">
        <v>0</v>
      </c>
      <c r="H24" s="25" t="s">
        <v>148</v>
      </c>
    </row>
    <row r="25" spans="1:8" x14ac:dyDescent="0.2">
      <c r="A25" s="131"/>
      <c r="B25" s="131"/>
      <c r="C25" s="135"/>
      <c r="D25" s="131"/>
      <c r="E25" s="131"/>
      <c r="F25" s="136"/>
      <c r="G25" s="136"/>
      <c r="H25" s="25" t="s">
        <v>148</v>
      </c>
    </row>
    <row r="26" spans="1:8" x14ac:dyDescent="0.2">
      <c r="A26" s="131"/>
      <c r="B26" s="131"/>
      <c r="C26" s="132" t="s">
        <v>156</v>
      </c>
      <c r="D26" s="131"/>
      <c r="E26" s="131"/>
      <c r="F26" s="136"/>
      <c r="G26" s="136"/>
      <c r="H26" s="25" t="s">
        <v>148</v>
      </c>
    </row>
    <row r="27" spans="1:8" x14ac:dyDescent="0.2">
      <c r="A27" s="131"/>
      <c r="B27" s="131"/>
      <c r="C27" s="132" t="s">
        <v>10</v>
      </c>
      <c r="D27" s="131"/>
      <c r="E27" s="131"/>
      <c r="F27" s="136"/>
      <c r="G27" s="136"/>
      <c r="H27" s="25" t="s">
        <v>148</v>
      </c>
    </row>
    <row r="28" spans="1:8" x14ac:dyDescent="0.2">
      <c r="A28" s="131"/>
      <c r="B28" s="131"/>
      <c r="C28" s="132" t="s">
        <v>147</v>
      </c>
      <c r="D28" s="131"/>
      <c r="E28" s="131" t="s">
        <v>148</v>
      </c>
      <c r="F28" s="133" t="s">
        <v>150</v>
      </c>
      <c r="G28" s="134">
        <v>0</v>
      </c>
      <c r="H28" s="25" t="s">
        <v>148</v>
      </c>
    </row>
    <row r="29" spans="1:8" x14ac:dyDescent="0.2">
      <c r="A29" s="131"/>
      <c r="B29" s="131"/>
      <c r="C29" s="135"/>
      <c r="D29" s="131"/>
      <c r="E29" s="131"/>
      <c r="F29" s="136"/>
      <c r="G29" s="136"/>
      <c r="H29" s="25" t="s">
        <v>148</v>
      </c>
    </row>
    <row r="30" spans="1:8" x14ac:dyDescent="0.2">
      <c r="A30" s="131"/>
      <c r="B30" s="131"/>
      <c r="C30" s="132" t="s">
        <v>157</v>
      </c>
      <c r="D30" s="131"/>
      <c r="E30" s="131"/>
      <c r="F30" s="131"/>
      <c r="G30" s="131"/>
      <c r="H30" s="25" t="s">
        <v>148</v>
      </c>
    </row>
    <row r="31" spans="1:8" x14ac:dyDescent="0.2">
      <c r="A31" s="131"/>
      <c r="B31" s="131"/>
      <c r="C31" s="132" t="s">
        <v>147</v>
      </c>
      <c r="D31" s="131"/>
      <c r="E31" s="131" t="s">
        <v>148</v>
      </c>
      <c r="F31" s="133" t="s">
        <v>150</v>
      </c>
      <c r="G31" s="134">
        <v>0</v>
      </c>
      <c r="H31" s="25" t="s">
        <v>148</v>
      </c>
    </row>
    <row r="32" spans="1:8" x14ac:dyDescent="0.2">
      <c r="A32" s="131"/>
      <c r="B32" s="131"/>
      <c r="C32" s="135"/>
      <c r="D32" s="131"/>
      <c r="E32" s="131"/>
      <c r="F32" s="136"/>
      <c r="G32" s="136"/>
      <c r="H32" s="25" t="s">
        <v>148</v>
      </c>
    </row>
    <row r="33" spans="1:8" x14ac:dyDescent="0.2">
      <c r="A33" s="131"/>
      <c r="B33" s="131"/>
      <c r="C33" s="132" t="s">
        <v>158</v>
      </c>
      <c r="D33" s="131"/>
      <c r="E33" s="131"/>
      <c r="F33" s="131"/>
      <c r="G33" s="131"/>
      <c r="H33" s="25" t="s">
        <v>148</v>
      </c>
    </row>
    <row r="34" spans="1:8" x14ac:dyDescent="0.2">
      <c r="A34" s="131"/>
      <c r="B34" s="131"/>
      <c r="C34" s="132" t="s">
        <v>147</v>
      </c>
      <c r="D34" s="131"/>
      <c r="E34" s="131" t="s">
        <v>148</v>
      </c>
      <c r="F34" s="133" t="s">
        <v>150</v>
      </c>
      <c r="G34" s="134">
        <v>0</v>
      </c>
      <c r="H34" s="25" t="s">
        <v>148</v>
      </c>
    </row>
    <row r="35" spans="1:8" x14ac:dyDescent="0.2">
      <c r="A35" s="131"/>
      <c r="B35" s="131"/>
      <c r="C35" s="135"/>
      <c r="D35" s="131"/>
      <c r="E35" s="131"/>
      <c r="F35" s="136"/>
      <c r="G35" s="136"/>
      <c r="H35" s="25" t="s">
        <v>148</v>
      </c>
    </row>
    <row r="36" spans="1:8" x14ac:dyDescent="0.2">
      <c r="A36" s="131"/>
      <c r="B36" s="131"/>
      <c r="C36" s="132" t="s">
        <v>159</v>
      </c>
      <c r="D36" s="131"/>
      <c r="E36" s="131"/>
      <c r="F36" s="136"/>
      <c r="G36" s="136"/>
      <c r="H36" s="25" t="s">
        <v>148</v>
      </c>
    </row>
    <row r="37" spans="1:8" x14ac:dyDescent="0.2">
      <c r="A37" s="131"/>
      <c r="B37" s="131"/>
      <c r="C37" s="132" t="s">
        <v>147</v>
      </c>
      <c r="D37" s="131"/>
      <c r="E37" s="131" t="s">
        <v>148</v>
      </c>
      <c r="F37" s="133" t="s">
        <v>150</v>
      </c>
      <c r="G37" s="134">
        <v>0</v>
      </c>
      <c r="H37" s="25" t="s">
        <v>148</v>
      </c>
    </row>
    <row r="38" spans="1:8" x14ac:dyDescent="0.2">
      <c r="A38" s="131"/>
      <c r="B38" s="131"/>
      <c r="C38" s="135"/>
      <c r="D38" s="131"/>
      <c r="E38" s="131"/>
      <c r="F38" s="136"/>
      <c r="G38" s="136"/>
      <c r="H38" s="25" t="s">
        <v>148</v>
      </c>
    </row>
    <row r="39" spans="1:8" x14ac:dyDescent="0.2">
      <c r="A39" s="131"/>
      <c r="B39" s="131"/>
      <c r="C39" s="132" t="s">
        <v>160</v>
      </c>
      <c r="D39" s="131"/>
      <c r="E39" s="131"/>
      <c r="F39" s="137">
        <v>0</v>
      </c>
      <c r="G39" s="134">
        <v>0</v>
      </c>
      <c r="H39" s="25" t="s">
        <v>148</v>
      </c>
    </row>
    <row r="40" spans="1:8" x14ac:dyDescent="0.2">
      <c r="A40" s="131"/>
      <c r="B40" s="131"/>
      <c r="C40" s="135"/>
      <c r="D40" s="131"/>
      <c r="E40" s="131"/>
      <c r="F40" s="136"/>
      <c r="G40" s="136"/>
      <c r="H40" s="25" t="s">
        <v>148</v>
      </c>
    </row>
    <row r="41" spans="1:8" x14ac:dyDescent="0.2">
      <c r="A41" s="131"/>
      <c r="B41" s="131"/>
      <c r="C41" s="132" t="s">
        <v>161</v>
      </c>
      <c r="D41" s="131"/>
      <c r="E41" s="131"/>
      <c r="F41" s="136"/>
      <c r="G41" s="136"/>
      <c r="H41" s="25" t="s">
        <v>148</v>
      </c>
    </row>
    <row r="42" spans="1:8" x14ac:dyDescent="0.2">
      <c r="A42" s="131"/>
      <c r="B42" s="131"/>
      <c r="C42" s="132" t="s">
        <v>162</v>
      </c>
      <c r="D42" s="131"/>
      <c r="E42" s="131"/>
      <c r="F42" s="136"/>
      <c r="G42" s="136"/>
      <c r="H42" s="25" t="s">
        <v>148</v>
      </c>
    </row>
    <row r="43" spans="1:8" x14ac:dyDescent="0.2">
      <c r="A43" s="131"/>
      <c r="B43" s="131"/>
      <c r="C43" s="132" t="s">
        <v>147</v>
      </c>
      <c r="D43" s="131"/>
      <c r="E43" s="131" t="s">
        <v>148</v>
      </c>
      <c r="F43" s="133" t="s">
        <v>150</v>
      </c>
      <c r="G43" s="134">
        <v>0</v>
      </c>
      <c r="H43" s="25" t="s">
        <v>148</v>
      </c>
    </row>
    <row r="44" spans="1:8" x14ac:dyDescent="0.2">
      <c r="A44" s="131"/>
      <c r="B44" s="131"/>
      <c r="C44" s="135"/>
      <c r="D44" s="131"/>
      <c r="E44" s="131"/>
      <c r="F44" s="136"/>
      <c r="G44" s="136"/>
      <c r="H44" s="25" t="s">
        <v>148</v>
      </c>
    </row>
    <row r="45" spans="1:8" x14ac:dyDescent="0.2">
      <c r="A45" s="131"/>
      <c r="B45" s="131"/>
      <c r="C45" s="132" t="s">
        <v>163</v>
      </c>
      <c r="D45" s="131"/>
      <c r="E45" s="131"/>
      <c r="F45" s="136"/>
      <c r="G45" s="136"/>
      <c r="H45" s="25" t="s">
        <v>148</v>
      </c>
    </row>
    <row r="46" spans="1:8" x14ac:dyDescent="0.2">
      <c r="A46" s="131"/>
      <c r="B46" s="131"/>
      <c r="C46" s="132" t="s">
        <v>147</v>
      </c>
      <c r="D46" s="131"/>
      <c r="E46" s="131" t="s">
        <v>148</v>
      </c>
      <c r="F46" s="133" t="s">
        <v>150</v>
      </c>
      <c r="G46" s="134">
        <v>0</v>
      </c>
      <c r="H46" s="25" t="s">
        <v>148</v>
      </c>
    </row>
    <row r="47" spans="1:8" x14ac:dyDescent="0.2">
      <c r="A47" s="131"/>
      <c r="B47" s="131"/>
      <c r="C47" s="135"/>
      <c r="D47" s="131"/>
      <c r="E47" s="131"/>
      <c r="F47" s="136"/>
      <c r="G47" s="136"/>
      <c r="H47" s="25" t="s">
        <v>148</v>
      </c>
    </row>
    <row r="48" spans="1:8" x14ac:dyDescent="0.2">
      <c r="A48" s="131"/>
      <c r="B48" s="131"/>
      <c r="C48" s="132" t="s">
        <v>164</v>
      </c>
      <c r="D48" s="131"/>
      <c r="E48" s="131"/>
      <c r="F48" s="136"/>
      <c r="G48" s="136"/>
      <c r="H48" s="25" t="s">
        <v>148</v>
      </c>
    </row>
    <row r="49" spans="1:8" x14ac:dyDescent="0.2">
      <c r="A49" s="131"/>
      <c r="B49" s="131"/>
      <c r="C49" s="132" t="s">
        <v>147</v>
      </c>
      <c r="D49" s="131"/>
      <c r="E49" s="131" t="s">
        <v>148</v>
      </c>
      <c r="F49" s="133" t="s">
        <v>150</v>
      </c>
      <c r="G49" s="134">
        <v>0</v>
      </c>
      <c r="H49" s="25" t="s">
        <v>148</v>
      </c>
    </row>
    <row r="50" spans="1:8" x14ac:dyDescent="0.2">
      <c r="A50" s="131"/>
      <c r="B50" s="131"/>
      <c r="C50" s="135"/>
      <c r="D50" s="131"/>
      <c r="E50" s="131"/>
      <c r="F50" s="136"/>
      <c r="G50" s="136"/>
      <c r="H50" s="25" t="s">
        <v>148</v>
      </c>
    </row>
    <row r="51" spans="1:8" x14ac:dyDescent="0.2">
      <c r="A51" s="131"/>
      <c r="B51" s="131"/>
      <c r="C51" s="132" t="s">
        <v>165</v>
      </c>
      <c r="D51" s="131"/>
      <c r="E51" s="131"/>
      <c r="F51" s="136"/>
      <c r="G51" s="136"/>
      <c r="H51" s="25" t="s">
        <v>148</v>
      </c>
    </row>
    <row r="52" spans="1:8" x14ac:dyDescent="0.2">
      <c r="A52" s="138">
        <v>1</v>
      </c>
      <c r="B52" s="139"/>
      <c r="C52" s="139" t="s">
        <v>166</v>
      </c>
      <c r="D52" s="139"/>
      <c r="E52" s="140"/>
      <c r="F52" s="141">
        <v>565.881547501</v>
      </c>
      <c r="G52" s="142">
        <v>4.6733480000000001E-2</v>
      </c>
      <c r="H52" s="25">
        <v>6.23</v>
      </c>
    </row>
    <row r="53" spans="1:8" x14ac:dyDescent="0.2">
      <c r="A53" s="131"/>
      <c r="B53" s="131"/>
      <c r="C53" s="132" t="s">
        <v>147</v>
      </c>
      <c r="D53" s="131"/>
      <c r="E53" s="131" t="s">
        <v>148</v>
      </c>
      <c r="F53" s="137">
        <v>565.881547501</v>
      </c>
      <c r="G53" s="134">
        <v>4.6733480000000001E-2</v>
      </c>
      <c r="H53" s="25" t="s">
        <v>148</v>
      </c>
    </row>
    <row r="54" spans="1:8" x14ac:dyDescent="0.2">
      <c r="A54" s="131"/>
      <c r="B54" s="131"/>
      <c r="C54" s="135"/>
      <c r="D54" s="131"/>
      <c r="E54" s="131"/>
      <c r="F54" s="136"/>
      <c r="G54" s="136"/>
      <c r="H54" s="25" t="s">
        <v>148</v>
      </c>
    </row>
    <row r="55" spans="1:8" x14ac:dyDescent="0.2">
      <c r="A55" s="131"/>
      <c r="B55" s="131"/>
      <c r="C55" s="132" t="s">
        <v>167</v>
      </c>
      <c r="D55" s="131"/>
      <c r="E55" s="131"/>
      <c r="F55" s="137">
        <v>565.881547501</v>
      </c>
      <c r="G55" s="134">
        <v>4.6733480000000001E-2</v>
      </c>
      <c r="H55" s="25" t="s">
        <v>148</v>
      </c>
    </row>
    <row r="56" spans="1:8" x14ac:dyDescent="0.2">
      <c r="A56" s="131"/>
      <c r="B56" s="131"/>
      <c r="C56" s="136"/>
      <c r="D56" s="131"/>
      <c r="E56" s="131"/>
      <c r="F56" s="131"/>
      <c r="G56" s="131"/>
      <c r="H56" s="25" t="s">
        <v>148</v>
      </c>
    </row>
    <row r="57" spans="1:8" x14ac:dyDescent="0.2">
      <c r="A57" s="131"/>
      <c r="B57" s="131"/>
      <c r="C57" s="132" t="s">
        <v>168</v>
      </c>
      <c r="D57" s="131"/>
      <c r="E57" s="131"/>
      <c r="F57" s="131"/>
      <c r="G57" s="131"/>
      <c r="H57" s="25" t="s">
        <v>148</v>
      </c>
    </row>
    <row r="58" spans="1:8" ht="25.5" x14ac:dyDescent="0.2">
      <c r="A58" s="131"/>
      <c r="B58" s="131"/>
      <c r="C58" s="143" t="s">
        <v>1078</v>
      </c>
      <c r="D58" s="131"/>
      <c r="E58" s="131"/>
      <c r="F58" s="131"/>
      <c r="G58" s="131"/>
      <c r="H58" s="25" t="s">
        <v>148</v>
      </c>
    </row>
    <row r="59" spans="1:8" x14ac:dyDescent="0.2">
      <c r="A59" s="138">
        <v>1</v>
      </c>
      <c r="B59" s="139" t="s">
        <v>1076</v>
      </c>
      <c r="C59" s="139" t="s">
        <v>1077</v>
      </c>
      <c r="D59" s="139"/>
      <c r="E59" s="144">
        <v>8282595.0219999999</v>
      </c>
      <c r="F59" s="141">
        <v>11567.982316187001</v>
      </c>
      <c r="G59" s="142">
        <v>0.95534494999999997</v>
      </c>
      <c r="H59" s="25" t="s">
        <v>148</v>
      </c>
    </row>
    <row r="60" spans="1:8" x14ac:dyDescent="0.2">
      <c r="A60" s="131"/>
      <c r="B60" s="131"/>
      <c r="C60" s="132" t="s">
        <v>147</v>
      </c>
      <c r="D60" s="131"/>
      <c r="E60" s="131" t="s">
        <v>148</v>
      </c>
      <c r="F60" s="137">
        <v>11567.982316187001</v>
      </c>
      <c r="G60" s="134">
        <v>0.95534494999999997</v>
      </c>
      <c r="H60" s="25" t="s">
        <v>148</v>
      </c>
    </row>
    <row r="61" spans="1:8" x14ac:dyDescent="0.2">
      <c r="A61" s="131"/>
      <c r="B61" s="131"/>
      <c r="C61" s="135"/>
      <c r="D61" s="131"/>
      <c r="E61" s="131"/>
      <c r="F61" s="136"/>
      <c r="G61" s="136"/>
      <c r="H61" s="25" t="s">
        <v>148</v>
      </c>
    </row>
    <row r="62" spans="1:8" x14ac:dyDescent="0.2">
      <c r="A62" s="131"/>
      <c r="B62" s="131"/>
      <c r="C62" s="132" t="s">
        <v>172</v>
      </c>
      <c r="D62" s="131"/>
      <c r="E62" s="131"/>
      <c r="F62" s="131"/>
      <c r="G62" s="131"/>
      <c r="H62" s="25" t="s">
        <v>148</v>
      </c>
    </row>
    <row r="63" spans="1:8" x14ac:dyDescent="0.2">
      <c r="A63" s="131"/>
      <c r="B63" s="131"/>
      <c r="C63" s="132" t="s">
        <v>173</v>
      </c>
      <c r="D63" s="131"/>
      <c r="E63" s="131"/>
      <c r="F63" s="131"/>
      <c r="G63" s="131"/>
      <c r="H63" s="25" t="s">
        <v>148</v>
      </c>
    </row>
    <row r="64" spans="1:8" x14ac:dyDescent="0.2">
      <c r="A64" s="131"/>
      <c r="B64" s="131"/>
      <c r="C64" s="132" t="s">
        <v>147</v>
      </c>
      <c r="D64" s="131"/>
      <c r="E64" s="131" t="s">
        <v>148</v>
      </c>
      <c r="F64" s="133" t="s">
        <v>150</v>
      </c>
      <c r="G64" s="134">
        <v>0</v>
      </c>
      <c r="H64" s="25" t="s">
        <v>148</v>
      </c>
    </row>
    <row r="65" spans="1:16" x14ac:dyDescent="0.2">
      <c r="A65" s="131"/>
      <c r="B65" s="131"/>
      <c r="C65" s="135"/>
      <c r="D65" s="131"/>
      <c r="E65" s="131"/>
      <c r="F65" s="136"/>
      <c r="G65" s="136"/>
      <c r="H65" s="25" t="s">
        <v>148</v>
      </c>
    </row>
    <row r="66" spans="1:16" x14ac:dyDescent="0.2">
      <c r="A66" s="131"/>
      <c r="B66" s="131"/>
      <c r="C66" s="132" t="s">
        <v>174</v>
      </c>
      <c r="D66" s="131"/>
      <c r="E66" s="131"/>
      <c r="F66" s="136"/>
      <c r="G66" s="136"/>
      <c r="H66" s="25" t="s">
        <v>148</v>
      </c>
    </row>
    <row r="67" spans="1:16" x14ac:dyDescent="0.2">
      <c r="A67" s="131"/>
      <c r="B67" s="131"/>
      <c r="C67" s="132" t="s">
        <v>147</v>
      </c>
      <c r="D67" s="131"/>
      <c r="E67" s="131" t="s">
        <v>148</v>
      </c>
      <c r="F67" s="133" t="s">
        <v>150</v>
      </c>
      <c r="G67" s="134">
        <v>0</v>
      </c>
      <c r="H67" s="25" t="s">
        <v>148</v>
      </c>
    </row>
    <row r="68" spans="1:16" x14ac:dyDescent="0.2">
      <c r="A68" s="131"/>
      <c r="B68" s="139"/>
      <c r="C68" s="139"/>
      <c r="D68" s="132"/>
      <c r="E68" s="131"/>
      <c r="F68" s="139"/>
      <c r="G68" s="140"/>
      <c r="H68" s="25" t="s">
        <v>148</v>
      </c>
    </row>
    <row r="69" spans="1:16" x14ac:dyDescent="0.2">
      <c r="A69" s="140"/>
      <c r="B69" s="139"/>
      <c r="C69" s="118" t="s">
        <v>175</v>
      </c>
      <c r="D69" s="139"/>
      <c r="E69" s="140"/>
      <c r="F69" s="141">
        <v>-25.167053060000001</v>
      </c>
      <c r="G69" s="142">
        <v>-2.07843E-3</v>
      </c>
      <c r="H69" s="25" t="s">
        <v>148</v>
      </c>
    </row>
    <row r="70" spans="1:16" x14ac:dyDescent="0.2">
      <c r="A70" s="135"/>
      <c r="B70" s="135"/>
      <c r="C70" s="132" t="s">
        <v>176</v>
      </c>
      <c r="D70" s="136"/>
      <c r="E70" s="136"/>
      <c r="F70" s="137">
        <v>12108.696810628</v>
      </c>
      <c r="G70" s="145">
        <v>1</v>
      </c>
      <c r="H70" s="25" t="s">
        <v>148</v>
      </c>
    </row>
    <row r="71" spans="1:16" x14ac:dyDescent="0.2">
      <c r="A71" s="146"/>
      <c r="B71" s="146"/>
      <c r="C71" s="146"/>
      <c r="D71" s="147"/>
      <c r="E71" s="147"/>
      <c r="F71" s="147"/>
      <c r="G71" s="147"/>
    </row>
    <row r="72" spans="1:16" x14ac:dyDescent="0.2">
      <c r="A72" s="47"/>
      <c r="B72" s="243" t="s">
        <v>891</v>
      </c>
      <c r="C72" s="243"/>
      <c r="D72" s="243"/>
      <c r="E72" s="243"/>
      <c r="F72" s="243"/>
      <c r="G72" s="243"/>
      <c r="H72" s="243"/>
    </row>
    <row r="73" spans="1:16" x14ac:dyDescent="0.2">
      <c r="A73" s="47"/>
      <c r="B73" s="243" t="s">
        <v>892</v>
      </c>
      <c r="C73" s="243"/>
      <c r="D73" s="243"/>
      <c r="E73" s="243"/>
      <c r="F73" s="243"/>
      <c r="G73" s="243"/>
      <c r="H73" s="243"/>
    </row>
    <row r="74" spans="1:16" x14ac:dyDescent="0.2">
      <c r="A74" s="47"/>
      <c r="B74" s="243" t="s">
        <v>893</v>
      </c>
      <c r="C74" s="243"/>
      <c r="D74" s="243"/>
      <c r="E74" s="243"/>
      <c r="F74" s="243"/>
      <c r="G74" s="243"/>
      <c r="H74" s="243"/>
    </row>
    <row r="75" spans="1:16" s="149" customFormat="1" ht="66.75" customHeight="1" x14ac:dyDescent="0.25">
      <c r="A75" s="148"/>
      <c r="B75" s="244" t="s">
        <v>894</v>
      </c>
      <c r="C75" s="244"/>
      <c r="D75" s="244"/>
      <c r="E75" s="244"/>
      <c r="F75" s="244"/>
      <c r="G75" s="244"/>
      <c r="H75" s="244"/>
      <c r="I75"/>
      <c r="J75"/>
      <c r="K75"/>
      <c r="L75"/>
      <c r="M75"/>
      <c r="N75"/>
      <c r="O75"/>
      <c r="P75"/>
    </row>
    <row r="76" spans="1:16" x14ac:dyDescent="0.2">
      <c r="A76" s="47"/>
      <c r="B76" s="243" t="s">
        <v>895</v>
      </c>
      <c r="C76" s="243"/>
      <c r="D76" s="243"/>
      <c r="E76" s="243"/>
      <c r="F76" s="243"/>
      <c r="G76" s="243"/>
      <c r="H76" s="243"/>
    </row>
    <row r="77" spans="1:16" x14ac:dyDescent="0.2">
      <c r="A77" s="150"/>
      <c r="B77" s="150"/>
      <c r="C77" s="150"/>
      <c r="D77" s="151"/>
      <c r="E77" s="151"/>
      <c r="F77" s="151"/>
      <c r="G77" s="151"/>
    </row>
    <row r="78" spans="1:16" x14ac:dyDescent="0.2">
      <c r="A78" s="150"/>
      <c r="B78" s="245" t="s">
        <v>177</v>
      </c>
      <c r="C78" s="246"/>
      <c r="D78" s="247"/>
      <c r="E78" s="152"/>
      <c r="F78" s="151"/>
      <c r="G78" s="151"/>
    </row>
    <row r="79" spans="1:16" ht="27.75" customHeight="1" x14ac:dyDescent="0.2">
      <c r="A79" s="150"/>
      <c r="B79" s="232" t="s">
        <v>178</v>
      </c>
      <c r="C79" s="233"/>
      <c r="D79" s="132" t="s">
        <v>179</v>
      </c>
      <c r="E79" s="152"/>
      <c r="F79" s="151"/>
      <c r="G79" s="151"/>
    </row>
    <row r="80" spans="1:16" ht="12.75" customHeight="1" x14ac:dyDescent="0.2">
      <c r="A80" s="150"/>
      <c r="B80" s="240" t="s">
        <v>897</v>
      </c>
      <c r="C80" s="241"/>
      <c r="D80" s="132" t="s">
        <v>179</v>
      </c>
      <c r="E80" s="152"/>
      <c r="F80" s="151"/>
      <c r="G80" s="151"/>
    </row>
    <row r="81" spans="1:10" x14ac:dyDescent="0.2">
      <c r="A81" s="150"/>
      <c r="B81" s="248" t="s">
        <v>181</v>
      </c>
      <c r="C81" s="249"/>
      <c r="D81" s="136" t="s">
        <v>148</v>
      </c>
      <c r="E81" s="152"/>
      <c r="F81" s="151"/>
      <c r="G81" s="151"/>
    </row>
    <row r="82" spans="1:10" x14ac:dyDescent="0.2">
      <c r="A82" s="50"/>
      <c r="B82" s="51" t="s">
        <v>148</v>
      </c>
      <c r="C82" s="51" t="s">
        <v>896</v>
      </c>
      <c r="D82" s="51" t="s">
        <v>182</v>
      </c>
      <c r="E82" s="50"/>
      <c r="F82" s="50"/>
      <c r="G82" s="50"/>
      <c r="H82" s="50"/>
      <c r="J82" s="44"/>
    </row>
    <row r="83" spans="1:10" x14ac:dyDescent="0.2">
      <c r="A83" s="50"/>
      <c r="B83" s="52" t="s">
        <v>183</v>
      </c>
      <c r="C83" s="53">
        <v>45688</v>
      </c>
      <c r="D83" s="53">
        <v>45716</v>
      </c>
      <c r="E83" s="50"/>
      <c r="F83" s="50"/>
      <c r="G83" s="50"/>
      <c r="J83" s="44"/>
    </row>
    <row r="84" spans="1:10" x14ac:dyDescent="0.2">
      <c r="A84" s="153"/>
      <c r="B84" s="139" t="s">
        <v>184</v>
      </c>
      <c r="C84" s="154">
        <v>37.487099999999998</v>
      </c>
      <c r="D84" s="154">
        <v>37.324199999999998</v>
      </c>
      <c r="E84" s="153"/>
      <c r="F84" s="155"/>
      <c r="G84" s="156"/>
    </row>
    <row r="85" spans="1:10" x14ac:dyDescent="0.2">
      <c r="A85" s="153"/>
      <c r="B85" s="139" t="s">
        <v>185</v>
      </c>
      <c r="C85" s="154">
        <v>33.3386</v>
      </c>
      <c r="D85" s="154">
        <v>33.193899999999999</v>
      </c>
      <c r="E85" s="153"/>
      <c r="F85" s="155"/>
      <c r="G85" s="156"/>
    </row>
    <row r="86" spans="1:10" x14ac:dyDescent="0.2">
      <c r="A86" s="153"/>
      <c r="B86" s="139" t="s">
        <v>186</v>
      </c>
      <c r="C86" s="154">
        <v>34.369599999999998</v>
      </c>
      <c r="D86" s="154">
        <v>34.198399999999999</v>
      </c>
      <c r="E86" s="153"/>
      <c r="F86" s="155"/>
      <c r="G86" s="156"/>
    </row>
    <row r="87" spans="1:10" x14ac:dyDescent="0.2">
      <c r="A87" s="153"/>
      <c r="B87" s="139" t="s">
        <v>187</v>
      </c>
      <c r="C87" s="154">
        <v>29.451799999999999</v>
      </c>
      <c r="D87" s="154">
        <v>29.305099999999999</v>
      </c>
      <c r="E87" s="153"/>
      <c r="F87" s="155"/>
      <c r="G87" s="156"/>
    </row>
    <row r="88" spans="1:10" x14ac:dyDescent="0.2">
      <c r="A88" s="153"/>
      <c r="B88" s="153"/>
      <c r="C88" s="153"/>
      <c r="D88" s="153"/>
      <c r="E88" s="153"/>
      <c r="F88" s="153"/>
      <c r="G88" s="153"/>
    </row>
    <row r="89" spans="1:10" s="158" customFormat="1" x14ac:dyDescent="0.2">
      <c r="A89" s="157"/>
      <c r="B89" s="250" t="s">
        <v>898</v>
      </c>
      <c r="C89" s="251"/>
      <c r="D89" s="143" t="s">
        <v>179</v>
      </c>
      <c r="E89" s="157"/>
      <c r="F89" s="157"/>
      <c r="G89" s="157"/>
    </row>
    <row r="90" spans="1:10" s="158" customFormat="1" x14ac:dyDescent="0.2">
      <c r="A90" s="157"/>
      <c r="B90" s="159"/>
      <c r="C90" s="159"/>
      <c r="D90" s="157"/>
      <c r="E90" s="157"/>
      <c r="F90" s="157"/>
      <c r="G90" s="157"/>
    </row>
    <row r="91" spans="1:10" x14ac:dyDescent="0.2">
      <c r="A91" s="54"/>
      <c r="B91" s="252" t="s">
        <v>188</v>
      </c>
      <c r="C91" s="253"/>
      <c r="D91" s="143" t="s">
        <v>179</v>
      </c>
      <c r="E91" s="160"/>
      <c r="F91" s="54"/>
      <c r="G91" s="54"/>
      <c r="I91" s="158"/>
    </row>
    <row r="92" spans="1:10" ht="25.5" x14ac:dyDescent="0.2">
      <c r="A92" s="54"/>
      <c r="B92" s="252" t="s">
        <v>189</v>
      </c>
      <c r="C92" s="253"/>
      <c r="D92" s="143" t="str">
        <f>"Rs. "&amp;TEXT(F60,"0,000.00")&amp;" Lacs"</f>
        <v>Rs. 11,567.98 Lacs</v>
      </c>
      <c r="E92" s="160"/>
      <c r="F92" s="54"/>
      <c r="G92" s="54"/>
      <c r="I92" s="158"/>
    </row>
    <row r="93" spans="1:10" x14ac:dyDescent="0.2">
      <c r="A93" s="54"/>
      <c r="B93" s="252" t="s">
        <v>190</v>
      </c>
      <c r="C93" s="253"/>
      <c r="D93" s="143" t="s">
        <v>179</v>
      </c>
      <c r="E93" s="160"/>
      <c r="F93" s="54"/>
      <c r="G93" s="54"/>
      <c r="I93" s="158"/>
    </row>
    <row r="94" spans="1:10" x14ac:dyDescent="0.2">
      <c r="A94" s="54"/>
      <c r="B94" s="252" t="s">
        <v>191</v>
      </c>
      <c r="C94" s="253"/>
      <c r="D94" s="161">
        <v>0</v>
      </c>
      <c r="E94" s="54"/>
      <c r="F94" s="56"/>
      <c r="G94" s="57"/>
      <c r="I94" s="158"/>
    </row>
    <row r="95" spans="1:10" x14ac:dyDescent="0.2">
      <c r="I95" s="158"/>
    </row>
    <row r="96" spans="1:10" x14ac:dyDescent="0.2">
      <c r="B96" s="238" t="s">
        <v>899</v>
      </c>
      <c r="C96" s="238"/>
    </row>
    <row r="98" spans="2:4" ht="153.75" customHeight="1" x14ac:dyDescent="0.2"/>
    <row r="101" spans="2:4" x14ac:dyDescent="0.2">
      <c r="B101" s="68" t="s">
        <v>900</v>
      </c>
      <c r="C101" s="69"/>
      <c r="D101" s="68"/>
    </row>
    <row r="102" spans="2:4" x14ac:dyDescent="0.2">
      <c r="B102" s="68" t="s">
        <v>1079</v>
      </c>
      <c r="D102" s="68"/>
    </row>
    <row r="103" spans="2:4" ht="165" customHeight="1" x14ac:dyDescent="0.2"/>
  </sheetData>
  <mergeCells count="18">
    <mergeCell ref="B78:D78"/>
    <mergeCell ref="B79:C79"/>
    <mergeCell ref="B96:C96"/>
    <mergeCell ref="A3:H3"/>
    <mergeCell ref="A2:H2"/>
    <mergeCell ref="B76:H76"/>
    <mergeCell ref="B80:C80"/>
    <mergeCell ref="B81:C81"/>
    <mergeCell ref="B89:C89"/>
    <mergeCell ref="B93:C93"/>
    <mergeCell ref="B94:C94"/>
    <mergeCell ref="B91:C91"/>
    <mergeCell ref="B92:C92"/>
    <mergeCell ref="A1:H1"/>
    <mergeCell ref="B72:H72"/>
    <mergeCell ref="B73:H73"/>
    <mergeCell ref="B74:H74"/>
    <mergeCell ref="B75:H75"/>
  </mergeCells>
  <hyperlinks>
    <hyperlink ref="I1" location="Index!B2" display="Index" xr:uid="{37CA7A05-3643-4428-ADF2-ACE45B3C1FE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6AC2-2F92-4935-A9BD-B26C507D3AA2}">
  <sheetPr>
    <outlinePr summaryBelow="0" summaryRight="0"/>
  </sheetPr>
  <dimension ref="A1:Q246"/>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11.42578125" bestFit="1" customWidth="1"/>
    <col min="6" max="6" width="10.425781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192</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95</v>
      </c>
      <c r="C7" s="27" t="s">
        <v>96</v>
      </c>
      <c r="D7" s="27" t="s">
        <v>45</v>
      </c>
      <c r="E7" s="28">
        <v>1270127</v>
      </c>
      <c r="F7" s="29">
        <v>34521.416796500002</v>
      </c>
      <c r="G7" s="30">
        <v>3.3032529999999997E-2</v>
      </c>
      <c r="H7" s="25" t="s">
        <v>148</v>
      </c>
    </row>
    <row r="8" spans="1:9" x14ac:dyDescent="0.2">
      <c r="A8" s="26">
        <v>2</v>
      </c>
      <c r="B8" s="27" t="s">
        <v>193</v>
      </c>
      <c r="C8" s="27" t="s">
        <v>194</v>
      </c>
      <c r="D8" s="27" t="s">
        <v>28</v>
      </c>
      <c r="E8" s="28">
        <v>19247362</v>
      </c>
      <c r="F8" s="29">
        <v>34187.164384399999</v>
      </c>
      <c r="G8" s="30">
        <v>3.2712690000000003E-2</v>
      </c>
      <c r="H8" s="25" t="s">
        <v>148</v>
      </c>
    </row>
    <row r="9" spans="1:9" x14ac:dyDescent="0.2">
      <c r="A9" s="26">
        <v>3</v>
      </c>
      <c r="B9" s="27" t="s">
        <v>195</v>
      </c>
      <c r="C9" s="27" t="s">
        <v>196</v>
      </c>
      <c r="D9" s="27" t="s">
        <v>197</v>
      </c>
      <c r="E9" s="28">
        <v>1747182</v>
      </c>
      <c r="F9" s="29">
        <v>29124.650349</v>
      </c>
      <c r="G9" s="30">
        <v>2.7868520000000001E-2</v>
      </c>
      <c r="H9" s="25" t="s">
        <v>148</v>
      </c>
    </row>
    <row r="10" spans="1:9" x14ac:dyDescent="0.2">
      <c r="A10" s="26">
        <v>4</v>
      </c>
      <c r="B10" s="27" t="s">
        <v>198</v>
      </c>
      <c r="C10" s="27" t="s">
        <v>199</v>
      </c>
      <c r="D10" s="27" t="s">
        <v>51</v>
      </c>
      <c r="E10" s="28">
        <v>6016821</v>
      </c>
      <c r="F10" s="29">
        <v>27812.7550725</v>
      </c>
      <c r="G10" s="30">
        <v>2.66132E-2</v>
      </c>
      <c r="H10" s="25" t="s">
        <v>148</v>
      </c>
    </row>
    <row r="11" spans="1:9" ht="25.5" x14ac:dyDescent="0.2">
      <c r="A11" s="26">
        <v>5</v>
      </c>
      <c r="B11" s="27" t="s">
        <v>200</v>
      </c>
      <c r="C11" s="27" t="s">
        <v>201</v>
      </c>
      <c r="D11" s="27" t="s">
        <v>202</v>
      </c>
      <c r="E11" s="28">
        <v>1350321</v>
      </c>
      <c r="F11" s="29">
        <v>25718.8889265</v>
      </c>
      <c r="G11" s="30">
        <v>2.460965E-2</v>
      </c>
      <c r="H11" s="25" t="s">
        <v>148</v>
      </c>
    </row>
    <row r="12" spans="1:9" x14ac:dyDescent="0.2">
      <c r="A12" s="26">
        <v>6</v>
      </c>
      <c r="B12" s="27" t="s">
        <v>203</v>
      </c>
      <c r="C12" s="27" t="s">
        <v>204</v>
      </c>
      <c r="D12" s="27" t="s">
        <v>205</v>
      </c>
      <c r="E12" s="28">
        <v>484892</v>
      </c>
      <c r="F12" s="29">
        <v>25718.186787999999</v>
      </c>
      <c r="G12" s="30">
        <v>2.4608970000000001E-2</v>
      </c>
      <c r="H12" s="25" t="s">
        <v>148</v>
      </c>
    </row>
    <row r="13" spans="1:9" x14ac:dyDescent="0.2">
      <c r="A13" s="26">
        <v>7</v>
      </c>
      <c r="B13" s="27" t="s">
        <v>206</v>
      </c>
      <c r="C13" s="27" t="s">
        <v>207</v>
      </c>
      <c r="D13" s="27" t="s">
        <v>28</v>
      </c>
      <c r="E13" s="28">
        <v>4738175</v>
      </c>
      <c r="F13" s="29">
        <v>24202.597900000001</v>
      </c>
      <c r="G13" s="30">
        <v>2.3158749999999999E-2</v>
      </c>
      <c r="H13" s="25" t="s">
        <v>148</v>
      </c>
    </row>
    <row r="14" spans="1:9" x14ac:dyDescent="0.2">
      <c r="A14" s="26">
        <v>8</v>
      </c>
      <c r="B14" s="27" t="s">
        <v>208</v>
      </c>
      <c r="C14" s="27" t="s">
        <v>209</v>
      </c>
      <c r="D14" s="27" t="s">
        <v>210</v>
      </c>
      <c r="E14" s="28">
        <v>3879249</v>
      </c>
      <c r="F14" s="29">
        <v>23768.158622999999</v>
      </c>
      <c r="G14" s="30">
        <v>2.2743050000000001E-2</v>
      </c>
      <c r="H14" s="25" t="s">
        <v>148</v>
      </c>
    </row>
    <row r="15" spans="1:9" x14ac:dyDescent="0.2">
      <c r="A15" s="26">
        <v>9</v>
      </c>
      <c r="B15" s="27" t="s">
        <v>211</v>
      </c>
      <c r="C15" s="27" t="s">
        <v>212</v>
      </c>
      <c r="D15" s="27" t="s">
        <v>111</v>
      </c>
      <c r="E15" s="28">
        <v>8478867</v>
      </c>
      <c r="F15" s="29">
        <v>22943.814102</v>
      </c>
      <c r="G15" s="30">
        <v>2.195426E-2</v>
      </c>
      <c r="H15" s="25" t="s">
        <v>148</v>
      </c>
    </row>
    <row r="16" spans="1:9" x14ac:dyDescent="0.2">
      <c r="A16" s="26">
        <v>10</v>
      </c>
      <c r="B16" s="27" t="s">
        <v>213</v>
      </c>
      <c r="C16" s="27" t="s">
        <v>214</v>
      </c>
      <c r="D16" s="27" t="s">
        <v>28</v>
      </c>
      <c r="E16" s="28">
        <v>3817491</v>
      </c>
      <c r="F16" s="29">
        <v>21595.546587000001</v>
      </c>
      <c r="G16" s="30">
        <v>2.0664140000000001E-2</v>
      </c>
      <c r="H16" s="25" t="s">
        <v>148</v>
      </c>
    </row>
    <row r="17" spans="1:8" ht="25.5" x14ac:dyDescent="0.2">
      <c r="A17" s="26">
        <v>11</v>
      </c>
      <c r="B17" s="27" t="s">
        <v>215</v>
      </c>
      <c r="C17" s="27" t="s">
        <v>216</v>
      </c>
      <c r="D17" s="27" t="s">
        <v>217</v>
      </c>
      <c r="E17" s="28">
        <v>3398271</v>
      </c>
      <c r="F17" s="29">
        <v>20410.015626</v>
      </c>
      <c r="G17" s="30">
        <v>1.952974E-2</v>
      </c>
      <c r="H17" s="25" t="s">
        <v>148</v>
      </c>
    </row>
    <row r="18" spans="1:8" x14ac:dyDescent="0.2">
      <c r="A18" s="26">
        <v>12</v>
      </c>
      <c r="B18" s="27" t="s">
        <v>218</v>
      </c>
      <c r="C18" s="27" t="s">
        <v>219</v>
      </c>
      <c r="D18" s="27" t="s">
        <v>54</v>
      </c>
      <c r="E18" s="28">
        <v>1248844</v>
      </c>
      <c r="F18" s="29">
        <v>18539.089179999999</v>
      </c>
      <c r="G18" s="30">
        <v>1.773951E-2</v>
      </c>
      <c r="H18" s="25" t="s">
        <v>148</v>
      </c>
    </row>
    <row r="19" spans="1:8" ht="25.5" x14ac:dyDescent="0.2">
      <c r="A19" s="26">
        <v>13</v>
      </c>
      <c r="B19" s="27" t="s">
        <v>220</v>
      </c>
      <c r="C19" s="27" t="s">
        <v>221</v>
      </c>
      <c r="D19" s="27" t="s">
        <v>222</v>
      </c>
      <c r="E19" s="28">
        <v>1224999</v>
      </c>
      <c r="F19" s="29">
        <v>17929.085363999999</v>
      </c>
      <c r="G19" s="30">
        <v>1.7155810000000001E-2</v>
      </c>
      <c r="H19" s="25" t="s">
        <v>148</v>
      </c>
    </row>
    <row r="20" spans="1:8" x14ac:dyDescent="0.2">
      <c r="A20" s="26">
        <v>14</v>
      </c>
      <c r="B20" s="27" t="s">
        <v>223</v>
      </c>
      <c r="C20" s="27" t="s">
        <v>224</v>
      </c>
      <c r="D20" s="27" t="s">
        <v>16</v>
      </c>
      <c r="E20" s="28">
        <v>5876525</v>
      </c>
      <c r="F20" s="29">
        <v>17262.292187499999</v>
      </c>
      <c r="G20" s="30">
        <v>1.6517779999999999E-2</v>
      </c>
      <c r="H20" s="25" t="s">
        <v>148</v>
      </c>
    </row>
    <row r="21" spans="1:8" ht="25.5" x14ac:dyDescent="0.2">
      <c r="A21" s="26">
        <v>15</v>
      </c>
      <c r="B21" s="27" t="s">
        <v>225</v>
      </c>
      <c r="C21" s="27" t="s">
        <v>226</v>
      </c>
      <c r="D21" s="27" t="s">
        <v>202</v>
      </c>
      <c r="E21" s="28">
        <v>367461</v>
      </c>
      <c r="F21" s="29">
        <v>17072.972981999999</v>
      </c>
      <c r="G21" s="30">
        <v>1.633662E-2</v>
      </c>
      <c r="H21" s="25" t="s">
        <v>148</v>
      </c>
    </row>
    <row r="22" spans="1:8" x14ac:dyDescent="0.2">
      <c r="A22" s="26">
        <v>16</v>
      </c>
      <c r="B22" s="27" t="s">
        <v>227</v>
      </c>
      <c r="C22" s="27" t="s">
        <v>228</v>
      </c>
      <c r="D22" s="27" t="s">
        <v>229</v>
      </c>
      <c r="E22" s="28">
        <v>348775</v>
      </c>
      <c r="F22" s="29">
        <v>16920.993512500001</v>
      </c>
      <c r="G22" s="30">
        <v>1.6191199999999999E-2</v>
      </c>
      <c r="H22" s="25" t="s">
        <v>148</v>
      </c>
    </row>
    <row r="23" spans="1:8" x14ac:dyDescent="0.2">
      <c r="A23" s="26">
        <v>17</v>
      </c>
      <c r="B23" s="27" t="s">
        <v>36</v>
      </c>
      <c r="C23" s="27" t="s">
        <v>37</v>
      </c>
      <c r="D23" s="27" t="s">
        <v>25</v>
      </c>
      <c r="E23" s="28">
        <v>384785</v>
      </c>
      <c r="F23" s="29">
        <v>16889.560397500001</v>
      </c>
      <c r="G23" s="30">
        <v>1.6161120000000001E-2</v>
      </c>
      <c r="H23" s="25" t="s">
        <v>148</v>
      </c>
    </row>
    <row r="24" spans="1:8" x14ac:dyDescent="0.2">
      <c r="A24" s="26">
        <v>18</v>
      </c>
      <c r="B24" s="27" t="s">
        <v>230</v>
      </c>
      <c r="C24" s="27" t="s">
        <v>231</v>
      </c>
      <c r="D24" s="27" t="s">
        <v>232</v>
      </c>
      <c r="E24" s="28">
        <v>2678889</v>
      </c>
      <c r="F24" s="29">
        <v>16772.524029</v>
      </c>
      <c r="G24" s="30">
        <v>1.6049130000000002E-2</v>
      </c>
      <c r="H24" s="25" t="s">
        <v>148</v>
      </c>
    </row>
    <row r="25" spans="1:8" x14ac:dyDescent="0.2">
      <c r="A25" s="26">
        <v>19</v>
      </c>
      <c r="B25" s="27" t="s">
        <v>233</v>
      </c>
      <c r="C25" s="27" t="s">
        <v>234</v>
      </c>
      <c r="D25" s="27" t="s">
        <v>235</v>
      </c>
      <c r="E25" s="28">
        <v>861547</v>
      </c>
      <c r="F25" s="29">
        <v>16766.996940500001</v>
      </c>
      <c r="G25" s="30">
        <v>1.604384E-2</v>
      </c>
      <c r="H25" s="25" t="s">
        <v>148</v>
      </c>
    </row>
    <row r="26" spans="1:8" x14ac:dyDescent="0.2">
      <c r="A26" s="26">
        <v>20</v>
      </c>
      <c r="B26" s="27" t="s">
        <v>65</v>
      </c>
      <c r="C26" s="27" t="s">
        <v>66</v>
      </c>
      <c r="D26" s="27" t="s">
        <v>13</v>
      </c>
      <c r="E26" s="28">
        <v>5069388</v>
      </c>
      <c r="F26" s="29">
        <v>16391.866097999999</v>
      </c>
      <c r="G26" s="30">
        <v>1.568489E-2</v>
      </c>
      <c r="H26" s="25" t="s">
        <v>148</v>
      </c>
    </row>
    <row r="27" spans="1:8" x14ac:dyDescent="0.2">
      <c r="A27" s="26">
        <v>21</v>
      </c>
      <c r="B27" s="27" t="s">
        <v>236</v>
      </c>
      <c r="C27" s="27" t="s">
        <v>237</v>
      </c>
      <c r="D27" s="27" t="s">
        <v>69</v>
      </c>
      <c r="E27" s="28">
        <v>4164851</v>
      </c>
      <c r="F27" s="29">
        <v>15589.037292999999</v>
      </c>
      <c r="G27" s="30">
        <v>1.491669E-2</v>
      </c>
      <c r="H27" s="25" t="s">
        <v>148</v>
      </c>
    </row>
    <row r="28" spans="1:8" x14ac:dyDescent="0.2">
      <c r="A28" s="26">
        <v>22</v>
      </c>
      <c r="B28" s="27" t="s">
        <v>40</v>
      </c>
      <c r="C28" s="27" t="s">
        <v>41</v>
      </c>
      <c r="D28" s="27" t="s">
        <v>42</v>
      </c>
      <c r="E28" s="28">
        <v>1147367</v>
      </c>
      <c r="F28" s="29">
        <v>15355.212561</v>
      </c>
      <c r="G28" s="30">
        <v>1.469295E-2</v>
      </c>
      <c r="H28" s="25" t="s">
        <v>148</v>
      </c>
    </row>
    <row r="29" spans="1:8" x14ac:dyDescent="0.2">
      <c r="A29" s="26">
        <v>23</v>
      </c>
      <c r="B29" s="27" t="s">
        <v>238</v>
      </c>
      <c r="C29" s="27" t="s">
        <v>239</v>
      </c>
      <c r="D29" s="27" t="s">
        <v>240</v>
      </c>
      <c r="E29" s="28">
        <v>328943</v>
      </c>
      <c r="F29" s="29">
        <v>15242.231791</v>
      </c>
      <c r="G29" s="30">
        <v>1.458484E-2</v>
      </c>
      <c r="H29" s="25" t="s">
        <v>148</v>
      </c>
    </row>
    <row r="30" spans="1:8" x14ac:dyDescent="0.2">
      <c r="A30" s="26">
        <v>24</v>
      </c>
      <c r="B30" s="27" t="s">
        <v>241</v>
      </c>
      <c r="C30" s="27" t="s">
        <v>242</v>
      </c>
      <c r="D30" s="27" t="s">
        <v>210</v>
      </c>
      <c r="E30" s="28">
        <v>1553545</v>
      </c>
      <c r="F30" s="29">
        <v>15195.223645</v>
      </c>
      <c r="G30" s="30">
        <v>1.453986E-2</v>
      </c>
      <c r="H30" s="25" t="s">
        <v>148</v>
      </c>
    </row>
    <row r="31" spans="1:8" x14ac:dyDescent="0.2">
      <c r="A31" s="26">
        <v>25</v>
      </c>
      <c r="B31" s="27" t="s">
        <v>243</v>
      </c>
      <c r="C31" s="27" t="s">
        <v>244</v>
      </c>
      <c r="D31" s="27" t="s">
        <v>229</v>
      </c>
      <c r="E31" s="28">
        <v>214946</v>
      </c>
      <c r="F31" s="29">
        <v>15030.421469000001</v>
      </c>
      <c r="G31" s="30">
        <v>1.438217E-2</v>
      </c>
      <c r="H31" s="25" t="s">
        <v>148</v>
      </c>
    </row>
    <row r="32" spans="1:8" x14ac:dyDescent="0.2">
      <c r="A32" s="26">
        <v>26</v>
      </c>
      <c r="B32" s="27" t="s">
        <v>245</v>
      </c>
      <c r="C32" s="27" t="s">
        <v>246</v>
      </c>
      <c r="D32" s="27" t="s">
        <v>28</v>
      </c>
      <c r="E32" s="28">
        <v>13272130</v>
      </c>
      <c r="F32" s="29">
        <v>14878.05773</v>
      </c>
      <c r="G32" s="30">
        <v>1.423637E-2</v>
      </c>
      <c r="H32" s="25" t="s">
        <v>148</v>
      </c>
    </row>
    <row r="33" spans="1:8" x14ac:dyDescent="0.2">
      <c r="A33" s="26">
        <v>27</v>
      </c>
      <c r="B33" s="27" t="s">
        <v>31</v>
      </c>
      <c r="C33" s="27" t="s">
        <v>32</v>
      </c>
      <c r="D33" s="27" t="s">
        <v>33</v>
      </c>
      <c r="E33" s="28">
        <v>5972046</v>
      </c>
      <c r="F33" s="29">
        <v>14706.163275000001</v>
      </c>
      <c r="G33" s="30">
        <v>1.407189E-2</v>
      </c>
      <c r="H33" s="25" t="s">
        <v>148</v>
      </c>
    </row>
    <row r="34" spans="1:8" x14ac:dyDescent="0.2">
      <c r="A34" s="26">
        <v>28</v>
      </c>
      <c r="B34" s="27" t="s">
        <v>135</v>
      </c>
      <c r="C34" s="27" t="s">
        <v>136</v>
      </c>
      <c r="D34" s="27" t="s">
        <v>137</v>
      </c>
      <c r="E34" s="28">
        <v>1676931</v>
      </c>
      <c r="F34" s="29">
        <v>14357.044756499999</v>
      </c>
      <c r="G34" s="30">
        <v>1.3737829999999999E-2</v>
      </c>
      <c r="H34" s="25" t="s">
        <v>148</v>
      </c>
    </row>
    <row r="35" spans="1:8" x14ac:dyDescent="0.2">
      <c r="A35" s="26">
        <v>29</v>
      </c>
      <c r="B35" s="27" t="s">
        <v>247</v>
      </c>
      <c r="C35" s="27" t="s">
        <v>248</v>
      </c>
      <c r="D35" s="27" t="s">
        <v>232</v>
      </c>
      <c r="E35" s="28">
        <v>1863350</v>
      </c>
      <c r="F35" s="29">
        <v>13733.821174999999</v>
      </c>
      <c r="G35" s="30">
        <v>1.314149E-2</v>
      </c>
      <c r="H35" s="25" t="s">
        <v>148</v>
      </c>
    </row>
    <row r="36" spans="1:8" x14ac:dyDescent="0.2">
      <c r="A36" s="26">
        <v>30</v>
      </c>
      <c r="B36" s="27" t="s">
        <v>249</v>
      </c>
      <c r="C36" s="27" t="s">
        <v>250</v>
      </c>
      <c r="D36" s="27" t="s">
        <v>205</v>
      </c>
      <c r="E36" s="28">
        <v>607010</v>
      </c>
      <c r="F36" s="29">
        <v>13641.032225000001</v>
      </c>
      <c r="G36" s="30">
        <v>1.30527E-2</v>
      </c>
      <c r="H36" s="25" t="s">
        <v>148</v>
      </c>
    </row>
    <row r="37" spans="1:8" x14ac:dyDescent="0.2">
      <c r="A37" s="26">
        <v>31</v>
      </c>
      <c r="B37" s="27" t="s">
        <v>125</v>
      </c>
      <c r="C37" s="27" t="s">
        <v>126</v>
      </c>
      <c r="D37" s="27" t="s">
        <v>64</v>
      </c>
      <c r="E37" s="28">
        <v>5428168</v>
      </c>
      <c r="F37" s="29">
        <v>13562.277748</v>
      </c>
      <c r="G37" s="30">
        <v>1.297734E-2</v>
      </c>
      <c r="H37" s="25" t="s">
        <v>148</v>
      </c>
    </row>
    <row r="38" spans="1:8" x14ac:dyDescent="0.2">
      <c r="A38" s="26">
        <v>32</v>
      </c>
      <c r="B38" s="27" t="s">
        <v>251</v>
      </c>
      <c r="C38" s="27" t="s">
        <v>252</v>
      </c>
      <c r="D38" s="27" t="s">
        <v>111</v>
      </c>
      <c r="E38" s="28">
        <v>2159365</v>
      </c>
      <c r="F38" s="29">
        <v>13329.760145</v>
      </c>
      <c r="G38" s="30">
        <v>1.275485E-2</v>
      </c>
      <c r="H38" s="25" t="s">
        <v>148</v>
      </c>
    </row>
    <row r="39" spans="1:8" x14ac:dyDescent="0.2">
      <c r="A39" s="26">
        <v>33</v>
      </c>
      <c r="B39" s="27" t="s">
        <v>253</v>
      </c>
      <c r="C39" s="27" t="s">
        <v>254</v>
      </c>
      <c r="D39" s="27" t="s">
        <v>205</v>
      </c>
      <c r="E39" s="28">
        <v>180369</v>
      </c>
      <c r="F39" s="29">
        <v>13279.0363335</v>
      </c>
      <c r="G39" s="30">
        <v>1.270632E-2</v>
      </c>
      <c r="H39" s="25" t="s">
        <v>148</v>
      </c>
    </row>
    <row r="40" spans="1:8" x14ac:dyDescent="0.2">
      <c r="A40" s="26">
        <v>34</v>
      </c>
      <c r="B40" s="27" t="s">
        <v>255</v>
      </c>
      <c r="C40" s="27" t="s">
        <v>256</v>
      </c>
      <c r="D40" s="27" t="s">
        <v>111</v>
      </c>
      <c r="E40" s="28">
        <v>157981</v>
      </c>
      <c r="F40" s="29">
        <v>12930.902830999999</v>
      </c>
      <c r="G40" s="30">
        <v>1.2373200000000001E-2</v>
      </c>
      <c r="H40" s="25" t="s">
        <v>148</v>
      </c>
    </row>
    <row r="41" spans="1:8" x14ac:dyDescent="0.2">
      <c r="A41" s="26">
        <v>35</v>
      </c>
      <c r="B41" s="27" t="s">
        <v>257</v>
      </c>
      <c r="C41" s="27" t="s">
        <v>258</v>
      </c>
      <c r="D41" s="27" t="s">
        <v>25</v>
      </c>
      <c r="E41" s="28">
        <v>710076</v>
      </c>
      <c r="F41" s="29">
        <v>12913.087098</v>
      </c>
      <c r="G41" s="30">
        <v>1.235615E-2</v>
      </c>
      <c r="H41" s="25" t="s">
        <v>148</v>
      </c>
    </row>
    <row r="42" spans="1:8" x14ac:dyDescent="0.2">
      <c r="A42" s="26">
        <v>36</v>
      </c>
      <c r="B42" s="27" t="s">
        <v>103</v>
      </c>
      <c r="C42" s="27" t="s">
        <v>104</v>
      </c>
      <c r="D42" s="27" t="s">
        <v>22</v>
      </c>
      <c r="E42" s="28">
        <v>999724</v>
      </c>
      <c r="F42" s="29">
        <v>12626.014257999999</v>
      </c>
      <c r="G42" s="30">
        <v>1.208146E-2</v>
      </c>
      <c r="H42" s="25" t="s">
        <v>148</v>
      </c>
    </row>
    <row r="43" spans="1:8" x14ac:dyDescent="0.2">
      <c r="A43" s="26">
        <v>37</v>
      </c>
      <c r="B43" s="27" t="s">
        <v>259</v>
      </c>
      <c r="C43" s="27" t="s">
        <v>260</v>
      </c>
      <c r="D43" s="27" t="s">
        <v>69</v>
      </c>
      <c r="E43" s="28">
        <v>113140</v>
      </c>
      <c r="F43" s="29">
        <v>12379.665660000001</v>
      </c>
      <c r="G43" s="30">
        <v>1.184574E-2</v>
      </c>
      <c r="H43" s="25" t="s">
        <v>148</v>
      </c>
    </row>
    <row r="44" spans="1:8" x14ac:dyDescent="0.2">
      <c r="A44" s="26">
        <v>38</v>
      </c>
      <c r="B44" s="27" t="s">
        <v>261</v>
      </c>
      <c r="C44" s="27" t="s">
        <v>262</v>
      </c>
      <c r="D44" s="27" t="s">
        <v>210</v>
      </c>
      <c r="E44" s="28">
        <v>503096</v>
      </c>
      <c r="F44" s="29">
        <v>11623.781532000001</v>
      </c>
      <c r="G44" s="30">
        <v>1.1122450000000001E-2</v>
      </c>
      <c r="H44" s="25" t="s">
        <v>148</v>
      </c>
    </row>
    <row r="45" spans="1:8" x14ac:dyDescent="0.2">
      <c r="A45" s="26">
        <v>39</v>
      </c>
      <c r="B45" s="27" t="s">
        <v>263</v>
      </c>
      <c r="C45" s="27" t="s">
        <v>264</v>
      </c>
      <c r="D45" s="27" t="s">
        <v>45</v>
      </c>
      <c r="E45" s="28">
        <v>869103</v>
      </c>
      <c r="F45" s="29">
        <v>11622.079867500001</v>
      </c>
      <c r="G45" s="30">
        <v>1.112083E-2</v>
      </c>
      <c r="H45" s="25" t="s">
        <v>148</v>
      </c>
    </row>
    <row r="46" spans="1:8" x14ac:dyDescent="0.2">
      <c r="A46" s="26">
        <v>40</v>
      </c>
      <c r="B46" s="27" t="s">
        <v>265</v>
      </c>
      <c r="C46" s="27" t="s">
        <v>266</v>
      </c>
      <c r="D46" s="27" t="s">
        <v>267</v>
      </c>
      <c r="E46" s="28">
        <v>583794</v>
      </c>
      <c r="F46" s="29">
        <v>10807.778322</v>
      </c>
      <c r="G46" s="30">
        <v>1.0341639999999999E-2</v>
      </c>
      <c r="H46" s="25" t="s">
        <v>148</v>
      </c>
    </row>
    <row r="47" spans="1:8" x14ac:dyDescent="0.2">
      <c r="A47" s="26">
        <v>41</v>
      </c>
      <c r="B47" s="27" t="s">
        <v>268</v>
      </c>
      <c r="C47" s="27" t="s">
        <v>269</v>
      </c>
      <c r="D47" s="27" t="s">
        <v>270</v>
      </c>
      <c r="E47" s="28">
        <v>1950422</v>
      </c>
      <c r="F47" s="29">
        <v>10758.527752</v>
      </c>
      <c r="G47" s="30">
        <v>1.029452E-2</v>
      </c>
      <c r="H47" s="25" t="s">
        <v>148</v>
      </c>
    </row>
    <row r="48" spans="1:8" x14ac:dyDescent="0.2">
      <c r="A48" s="26">
        <v>42</v>
      </c>
      <c r="B48" s="27" t="s">
        <v>271</v>
      </c>
      <c r="C48" s="27" t="s">
        <v>272</v>
      </c>
      <c r="D48" s="27" t="s">
        <v>45</v>
      </c>
      <c r="E48" s="28">
        <v>227441</v>
      </c>
      <c r="F48" s="29">
        <v>10720.204094000001</v>
      </c>
      <c r="G48" s="30">
        <v>1.0257850000000001E-2</v>
      </c>
      <c r="H48" s="25" t="s">
        <v>148</v>
      </c>
    </row>
    <row r="49" spans="1:8" x14ac:dyDescent="0.2">
      <c r="A49" s="26">
        <v>43</v>
      </c>
      <c r="B49" s="27" t="s">
        <v>273</v>
      </c>
      <c r="C49" s="27" t="s">
        <v>274</v>
      </c>
      <c r="D49" s="27" t="s">
        <v>275</v>
      </c>
      <c r="E49" s="28">
        <v>465740</v>
      </c>
      <c r="F49" s="29">
        <v>10365.0437</v>
      </c>
      <c r="G49" s="30">
        <v>9.9179999999999997E-3</v>
      </c>
      <c r="H49" s="25" t="s">
        <v>148</v>
      </c>
    </row>
    <row r="50" spans="1:8" x14ac:dyDescent="0.2">
      <c r="A50" s="26">
        <v>44</v>
      </c>
      <c r="B50" s="27" t="s">
        <v>276</v>
      </c>
      <c r="C50" s="27" t="s">
        <v>277</v>
      </c>
      <c r="D50" s="27" t="s">
        <v>45</v>
      </c>
      <c r="E50" s="28">
        <v>309129</v>
      </c>
      <c r="F50" s="29">
        <v>10290.904409999999</v>
      </c>
      <c r="G50" s="30">
        <v>9.8470599999999995E-3</v>
      </c>
      <c r="H50" s="25" t="s">
        <v>148</v>
      </c>
    </row>
    <row r="51" spans="1:8" x14ac:dyDescent="0.2">
      <c r="A51" s="26">
        <v>45</v>
      </c>
      <c r="B51" s="27" t="s">
        <v>123</v>
      </c>
      <c r="C51" s="27" t="s">
        <v>124</v>
      </c>
      <c r="D51" s="27" t="s">
        <v>69</v>
      </c>
      <c r="E51" s="28">
        <v>1010494</v>
      </c>
      <c r="F51" s="29">
        <v>10271.67151</v>
      </c>
      <c r="G51" s="30">
        <v>9.8286599999999995E-3</v>
      </c>
      <c r="H51" s="25" t="s">
        <v>148</v>
      </c>
    </row>
    <row r="52" spans="1:8" x14ac:dyDescent="0.2">
      <c r="A52" s="26">
        <v>46</v>
      </c>
      <c r="B52" s="27" t="s">
        <v>114</v>
      </c>
      <c r="C52" s="27" t="s">
        <v>115</v>
      </c>
      <c r="D52" s="27" t="s">
        <v>45</v>
      </c>
      <c r="E52" s="28">
        <v>702668</v>
      </c>
      <c r="F52" s="29">
        <v>10103.311838</v>
      </c>
      <c r="G52" s="30">
        <v>9.6675600000000004E-3</v>
      </c>
      <c r="H52" s="25" t="s">
        <v>148</v>
      </c>
    </row>
    <row r="53" spans="1:8" x14ac:dyDescent="0.2">
      <c r="A53" s="26">
        <v>47</v>
      </c>
      <c r="B53" s="27" t="s">
        <v>278</v>
      </c>
      <c r="C53" s="27" t="s">
        <v>279</v>
      </c>
      <c r="D53" s="27" t="s">
        <v>111</v>
      </c>
      <c r="E53" s="28">
        <v>2006548</v>
      </c>
      <c r="F53" s="29">
        <v>9970.5370120000007</v>
      </c>
      <c r="G53" s="30">
        <v>9.5405100000000003E-3</v>
      </c>
      <c r="H53" s="25" t="s">
        <v>148</v>
      </c>
    </row>
    <row r="54" spans="1:8" x14ac:dyDescent="0.2">
      <c r="A54" s="26">
        <v>48</v>
      </c>
      <c r="B54" s="27" t="s">
        <v>280</v>
      </c>
      <c r="C54" s="27" t="s">
        <v>281</v>
      </c>
      <c r="D54" s="27" t="s">
        <v>69</v>
      </c>
      <c r="E54" s="28">
        <v>1170984</v>
      </c>
      <c r="F54" s="29">
        <v>9671.1568559999996</v>
      </c>
      <c r="G54" s="30">
        <v>9.2540499999999998E-3</v>
      </c>
      <c r="H54" s="25" t="s">
        <v>148</v>
      </c>
    </row>
    <row r="55" spans="1:8" x14ac:dyDescent="0.2">
      <c r="A55" s="26">
        <v>49</v>
      </c>
      <c r="B55" s="27" t="s">
        <v>99</v>
      </c>
      <c r="C55" s="27" t="s">
        <v>100</v>
      </c>
      <c r="D55" s="27" t="s">
        <v>69</v>
      </c>
      <c r="E55" s="28">
        <v>314841</v>
      </c>
      <c r="F55" s="29">
        <v>9638.0701124999996</v>
      </c>
      <c r="G55" s="30">
        <v>9.2223900000000004E-3</v>
      </c>
      <c r="H55" s="25" t="s">
        <v>148</v>
      </c>
    </row>
    <row r="56" spans="1:8" x14ac:dyDescent="0.2">
      <c r="A56" s="26">
        <v>50</v>
      </c>
      <c r="B56" s="27" t="s">
        <v>282</v>
      </c>
      <c r="C56" s="27" t="s">
        <v>283</v>
      </c>
      <c r="D56" s="27" t="s">
        <v>232</v>
      </c>
      <c r="E56" s="28">
        <v>5752858</v>
      </c>
      <c r="F56" s="29">
        <v>9493.3662715999999</v>
      </c>
      <c r="G56" s="30">
        <v>9.0839200000000005E-3</v>
      </c>
      <c r="H56" s="25" t="s">
        <v>148</v>
      </c>
    </row>
    <row r="57" spans="1:8" x14ac:dyDescent="0.2">
      <c r="A57" s="26">
        <v>51</v>
      </c>
      <c r="B57" s="27" t="s">
        <v>284</v>
      </c>
      <c r="C57" s="27" t="s">
        <v>285</v>
      </c>
      <c r="D57" s="27" t="s">
        <v>54</v>
      </c>
      <c r="E57" s="28">
        <v>839322</v>
      </c>
      <c r="F57" s="29">
        <v>9455.8016520000001</v>
      </c>
      <c r="G57" s="30">
        <v>9.0479800000000006E-3</v>
      </c>
      <c r="H57" s="25" t="s">
        <v>148</v>
      </c>
    </row>
    <row r="58" spans="1:8" ht="25.5" x14ac:dyDescent="0.2">
      <c r="A58" s="26">
        <v>52</v>
      </c>
      <c r="B58" s="27" t="s">
        <v>286</v>
      </c>
      <c r="C58" s="27" t="s">
        <v>287</v>
      </c>
      <c r="D58" s="27" t="s">
        <v>202</v>
      </c>
      <c r="E58" s="28">
        <v>1048373</v>
      </c>
      <c r="F58" s="29">
        <v>9190.0377179999996</v>
      </c>
      <c r="G58" s="30">
        <v>8.7936799999999999E-3</v>
      </c>
      <c r="H58" s="25" t="s">
        <v>148</v>
      </c>
    </row>
    <row r="59" spans="1:8" x14ac:dyDescent="0.2">
      <c r="A59" s="26">
        <v>53</v>
      </c>
      <c r="B59" s="27" t="s">
        <v>90</v>
      </c>
      <c r="C59" s="27" t="s">
        <v>91</v>
      </c>
      <c r="D59" s="27" t="s">
        <v>45</v>
      </c>
      <c r="E59" s="28">
        <v>631409</v>
      </c>
      <c r="F59" s="29">
        <v>9085.6598054999995</v>
      </c>
      <c r="G59" s="30">
        <v>8.6937999999999998E-3</v>
      </c>
      <c r="H59" s="25" t="s">
        <v>148</v>
      </c>
    </row>
    <row r="60" spans="1:8" x14ac:dyDescent="0.2">
      <c r="A60" s="26">
        <v>54</v>
      </c>
      <c r="B60" s="27" t="s">
        <v>288</v>
      </c>
      <c r="C60" s="27" t="s">
        <v>289</v>
      </c>
      <c r="D60" s="27" t="s">
        <v>240</v>
      </c>
      <c r="E60" s="28">
        <v>288413</v>
      </c>
      <c r="F60" s="29">
        <v>9065.1090029999996</v>
      </c>
      <c r="G60" s="30">
        <v>8.6741400000000003E-3</v>
      </c>
      <c r="H60" s="25" t="s">
        <v>148</v>
      </c>
    </row>
    <row r="61" spans="1:8" ht="25.5" x14ac:dyDescent="0.2">
      <c r="A61" s="26">
        <v>55</v>
      </c>
      <c r="B61" s="27" t="s">
        <v>290</v>
      </c>
      <c r="C61" s="27" t="s">
        <v>291</v>
      </c>
      <c r="D61" s="27" t="s">
        <v>202</v>
      </c>
      <c r="E61" s="28">
        <v>378876</v>
      </c>
      <c r="F61" s="29">
        <v>8678.5336559999996</v>
      </c>
      <c r="G61" s="30">
        <v>8.3042299999999993E-3</v>
      </c>
      <c r="H61" s="25" t="s">
        <v>148</v>
      </c>
    </row>
    <row r="62" spans="1:8" x14ac:dyDescent="0.2">
      <c r="A62" s="26">
        <v>56</v>
      </c>
      <c r="B62" s="27" t="s">
        <v>292</v>
      </c>
      <c r="C62" s="27" t="s">
        <v>293</v>
      </c>
      <c r="D62" s="27" t="s">
        <v>197</v>
      </c>
      <c r="E62" s="28">
        <v>286477</v>
      </c>
      <c r="F62" s="29">
        <v>8634.2735415000006</v>
      </c>
      <c r="G62" s="30">
        <v>8.2618799999999992E-3</v>
      </c>
      <c r="H62" s="25" t="s">
        <v>148</v>
      </c>
    </row>
    <row r="63" spans="1:8" x14ac:dyDescent="0.2">
      <c r="A63" s="26">
        <v>57</v>
      </c>
      <c r="B63" s="27" t="s">
        <v>129</v>
      </c>
      <c r="C63" s="27" t="s">
        <v>130</v>
      </c>
      <c r="D63" s="27" t="s">
        <v>42</v>
      </c>
      <c r="E63" s="28">
        <v>4463749</v>
      </c>
      <c r="F63" s="29">
        <v>7997.6990833</v>
      </c>
      <c r="G63" s="30">
        <v>7.6527599999999998E-3</v>
      </c>
      <c r="H63" s="25" t="s">
        <v>148</v>
      </c>
    </row>
    <row r="64" spans="1:8" x14ac:dyDescent="0.2">
      <c r="A64" s="26">
        <v>58</v>
      </c>
      <c r="B64" s="27" t="s">
        <v>294</v>
      </c>
      <c r="C64" s="27" t="s">
        <v>295</v>
      </c>
      <c r="D64" s="27" t="s">
        <v>69</v>
      </c>
      <c r="E64" s="28">
        <v>1587426</v>
      </c>
      <c r="F64" s="29">
        <v>7840.2970139999998</v>
      </c>
      <c r="G64" s="30">
        <v>7.50215E-3</v>
      </c>
      <c r="H64" s="25" t="s">
        <v>148</v>
      </c>
    </row>
    <row r="65" spans="1:8" x14ac:dyDescent="0.2">
      <c r="A65" s="26">
        <v>59</v>
      </c>
      <c r="B65" s="27" t="s">
        <v>296</v>
      </c>
      <c r="C65" s="27" t="s">
        <v>297</v>
      </c>
      <c r="D65" s="27" t="s">
        <v>270</v>
      </c>
      <c r="E65" s="28">
        <v>782298</v>
      </c>
      <c r="F65" s="29">
        <v>7808.1163379999998</v>
      </c>
      <c r="G65" s="30">
        <v>7.4713599999999998E-3</v>
      </c>
      <c r="H65" s="25" t="s">
        <v>148</v>
      </c>
    </row>
    <row r="66" spans="1:8" x14ac:dyDescent="0.2">
      <c r="A66" s="26">
        <v>60</v>
      </c>
      <c r="B66" s="27" t="s">
        <v>298</v>
      </c>
      <c r="C66" s="27" t="s">
        <v>299</v>
      </c>
      <c r="D66" s="27" t="s">
        <v>54</v>
      </c>
      <c r="E66" s="28">
        <v>497095</v>
      </c>
      <c r="F66" s="29">
        <v>7695.5276949999998</v>
      </c>
      <c r="G66" s="30">
        <v>7.3636200000000004E-3</v>
      </c>
      <c r="H66" s="25" t="s">
        <v>148</v>
      </c>
    </row>
    <row r="67" spans="1:8" x14ac:dyDescent="0.2">
      <c r="A67" s="26">
        <v>61</v>
      </c>
      <c r="B67" s="27" t="s">
        <v>300</v>
      </c>
      <c r="C67" s="27" t="s">
        <v>301</v>
      </c>
      <c r="D67" s="27" t="s">
        <v>111</v>
      </c>
      <c r="E67" s="28">
        <v>2112157</v>
      </c>
      <c r="F67" s="29">
        <v>7694.5879510000004</v>
      </c>
      <c r="G67" s="30">
        <v>7.3627199999999997E-3</v>
      </c>
      <c r="H67" s="25" t="s">
        <v>148</v>
      </c>
    </row>
    <row r="68" spans="1:8" x14ac:dyDescent="0.2">
      <c r="A68" s="26">
        <v>62</v>
      </c>
      <c r="B68" s="27" t="s">
        <v>302</v>
      </c>
      <c r="C68" s="27" t="s">
        <v>303</v>
      </c>
      <c r="D68" s="27" t="s">
        <v>51</v>
      </c>
      <c r="E68" s="28">
        <v>2220813</v>
      </c>
      <c r="F68" s="29">
        <v>7132.1409494999998</v>
      </c>
      <c r="G68" s="30">
        <v>6.8245399999999996E-3</v>
      </c>
      <c r="H68" s="25" t="s">
        <v>148</v>
      </c>
    </row>
    <row r="69" spans="1:8" x14ac:dyDescent="0.2">
      <c r="A69" s="26">
        <v>63</v>
      </c>
      <c r="B69" s="27" t="s">
        <v>49</v>
      </c>
      <c r="C69" s="27" t="s">
        <v>50</v>
      </c>
      <c r="D69" s="27" t="s">
        <v>51</v>
      </c>
      <c r="E69" s="28">
        <v>126009</v>
      </c>
      <c r="F69" s="29">
        <v>7092.6055784999999</v>
      </c>
      <c r="G69" s="30">
        <v>6.7867099999999996E-3</v>
      </c>
      <c r="H69" s="25" t="s">
        <v>148</v>
      </c>
    </row>
    <row r="70" spans="1:8" x14ac:dyDescent="0.2">
      <c r="A70" s="26">
        <v>64</v>
      </c>
      <c r="B70" s="27" t="s">
        <v>304</v>
      </c>
      <c r="C70" s="27" t="s">
        <v>305</v>
      </c>
      <c r="D70" s="27" t="s">
        <v>94</v>
      </c>
      <c r="E70" s="28">
        <v>2397401</v>
      </c>
      <c r="F70" s="29">
        <v>6526.9242224999998</v>
      </c>
      <c r="G70" s="30">
        <v>6.2454199999999998E-3</v>
      </c>
      <c r="H70" s="25" t="s">
        <v>148</v>
      </c>
    </row>
    <row r="71" spans="1:8" x14ac:dyDescent="0.2">
      <c r="A71" s="26">
        <v>65</v>
      </c>
      <c r="B71" s="27" t="s">
        <v>70</v>
      </c>
      <c r="C71" s="27" t="s">
        <v>71</v>
      </c>
      <c r="D71" s="27" t="s">
        <v>13</v>
      </c>
      <c r="E71" s="28">
        <v>492594</v>
      </c>
      <c r="F71" s="29">
        <v>6425.3961360000003</v>
      </c>
      <c r="G71" s="30">
        <v>6.14827E-3</v>
      </c>
      <c r="H71" s="25" t="s">
        <v>148</v>
      </c>
    </row>
    <row r="72" spans="1:8" x14ac:dyDescent="0.2">
      <c r="A72" s="26">
        <v>66</v>
      </c>
      <c r="B72" s="27" t="s">
        <v>306</v>
      </c>
      <c r="C72" s="27" t="s">
        <v>307</v>
      </c>
      <c r="D72" s="27" t="s">
        <v>69</v>
      </c>
      <c r="E72" s="28">
        <v>255924</v>
      </c>
      <c r="F72" s="29">
        <v>6301.2327660000001</v>
      </c>
      <c r="G72" s="30">
        <v>6.0294600000000004E-3</v>
      </c>
      <c r="H72" s="25" t="s">
        <v>148</v>
      </c>
    </row>
    <row r="73" spans="1:8" x14ac:dyDescent="0.2">
      <c r="A73" s="26">
        <v>67</v>
      </c>
      <c r="B73" s="27" t="s">
        <v>308</v>
      </c>
      <c r="C73" s="27" t="s">
        <v>309</v>
      </c>
      <c r="D73" s="27" t="s">
        <v>275</v>
      </c>
      <c r="E73" s="28">
        <v>10199797</v>
      </c>
      <c r="F73" s="29">
        <v>5796.5446351000001</v>
      </c>
      <c r="G73" s="30">
        <v>5.54654E-3</v>
      </c>
      <c r="H73" s="25" t="s">
        <v>148</v>
      </c>
    </row>
    <row r="74" spans="1:8" x14ac:dyDescent="0.2">
      <c r="A74" s="26">
        <v>68</v>
      </c>
      <c r="B74" s="27" t="s">
        <v>310</v>
      </c>
      <c r="C74" s="27" t="s">
        <v>311</v>
      </c>
      <c r="D74" s="27" t="s">
        <v>51</v>
      </c>
      <c r="E74" s="28">
        <v>436210</v>
      </c>
      <c r="F74" s="29">
        <v>5758.4082099999996</v>
      </c>
      <c r="G74" s="30">
        <v>5.5100499999999998E-3</v>
      </c>
      <c r="H74" s="25" t="s">
        <v>148</v>
      </c>
    </row>
    <row r="75" spans="1:8" x14ac:dyDescent="0.2">
      <c r="A75" s="26">
        <v>69</v>
      </c>
      <c r="B75" s="27" t="s">
        <v>312</v>
      </c>
      <c r="C75" s="27" t="s">
        <v>313</v>
      </c>
      <c r="D75" s="27" t="s">
        <v>205</v>
      </c>
      <c r="E75" s="28">
        <v>90217</v>
      </c>
      <c r="F75" s="29">
        <v>4881.7320870000003</v>
      </c>
      <c r="G75" s="30">
        <v>4.6711900000000004E-3</v>
      </c>
      <c r="H75" s="25" t="s">
        <v>148</v>
      </c>
    </row>
    <row r="76" spans="1:8" x14ac:dyDescent="0.2">
      <c r="A76" s="26">
        <v>70</v>
      </c>
      <c r="B76" s="27" t="s">
        <v>314</v>
      </c>
      <c r="C76" s="27" t="s">
        <v>315</v>
      </c>
      <c r="D76" s="27" t="s">
        <v>232</v>
      </c>
      <c r="E76" s="28">
        <v>604722</v>
      </c>
      <c r="F76" s="29">
        <v>4330.4142419999998</v>
      </c>
      <c r="G76" s="30">
        <v>4.1436499999999996E-3</v>
      </c>
      <c r="H76" s="25" t="s">
        <v>148</v>
      </c>
    </row>
    <row r="77" spans="1:8" x14ac:dyDescent="0.2">
      <c r="A77" s="26">
        <v>71</v>
      </c>
      <c r="B77" s="27" t="s">
        <v>316</v>
      </c>
      <c r="C77" s="27" t="s">
        <v>317</v>
      </c>
      <c r="D77" s="27" t="s">
        <v>267</v>
      </c>
      <c r="E77" s="28">
        <v>90758</v>
      </c>
      <c r="F77" s="29">
        <v>3414.5428550000001</v>
      </c>
      <c r="G77" s="30">
        <v>3.26728E-3</v>
      </c>
      <c r="H77" s="25" t="s">
        <v>148</v>
      </c>
    </row>
    <row r="78" spans="1:8" x14ac:dyDescent="0.2">
      <c r="A78" s="26">
        <v>72</v>
      </c>
      <c r="B78" s="27" t="s">
        <v>318</v>
      </c>
      <c r="C78" s="27" t="s">
        <v>319</v>
      </c>
      <c r="D78" s="27" t="s">
        <v>320</v>
      </c>
      <c r="E78" s="28">
        <v>640029</v>
      </c>
      <c r="F78" s="29">
        <v>3391.8336854999998</v>
      </c>
      <c r="G78" s="30">
        <v>3.2455499999999998E-3</v>
      </c>
      <c r="H78" s="25" t="s">
        <v>148</v>
      </c>
    </row>
    <row r="79" spans="1:8" x14ac:dyDescent="0.2">
      <c r="A79" s="26">
        <v>73</v>
      </c>
      <c r="B79" s="27" t="s">
        <v>321</v>
      </c>
      <c r="C79" s="27" t="s">
        <v>322</v>
      </c>
      <c r="D79" s="27" t="s">
        <v>111</v>
      </c>
      <c r="E79" s="28">
        <v>176055</v>
      </c>
      <c r="F79" s="29">
        <v>2967.4950524999999</v>
      </c>
      <c r="G79" s="30">
        <v>2.83951E-3</v>
      </c>
      <c r="H79" s="25" t="s">
        <v>148</v>
      </c>
    </row>
    <row r="80" spans="1:8" x14ac:dyDescent="0.2">
      <c r="A80" s="26">
        <v>74</v>
      </c>
      <c r="B80" s="27" t="s">
        <v>88</v>
      </c>
      <c r="C80" s="27" t="s">
        <v>89</v>
      </c>
      <c r="D80" s="27" t="s">
        <v>42</v>
      </c>
      <c r="E80" s="28">
        <v>5393738</v>
      </c>
      <c r="F80" s="29">
        <v>2681.2271598000002</v>
      </c>
      <c r="G80" s="30">
        <v>2.56559E-3</v>
      </c>
      <c r="H80" s="25" t="s">
        <v>148</v>
      </c>
    </row>
    <row r="81" spans="1:8" x14ac:dyDescent="0.2">
      <c r="A81" s="26">
        <v>75</v>
      </c>
      <c r="B81" s="27" t="s">
        <v>323</v>
      </c>
      <c r="C81" s="27" t="s">
        <v>324</v>
      </c>
      <c r="D81" s="27" t="s">
        <v>51</v>
      </c>
      <c r="E81" s="28">
        <v>287562</v>
      </c>
      <c r="F81" s="29">
        <v>2450.890926</v>
      </c>
      <c r="G81" s="30">
        <v>2.34519E-3</v>
      </c>
      <c r="H81" s="25" t="s">
        <v>148</v>
      </c>
    </row>
    <row r="82" spans="1:8" x14ac:dyDescent="0.2">
      <c r="A82" s="26">
        <v>76</v>
      </c>
      <c r="B82" s="27" t="s">
        <v>325</v>
      </c>
      <c r="C82" s="27" t="s">
        <v>326</v>
      </c>
      <c r="D82" s="27" t="s">
        <v>51</v>
      </c>
      <c r="E82" s="28">
        <v>17458</v>
      </c>
      <c r="F82" s="29">
        <v>2432.920693</v>
      </c>
      <c r="G82" s="30">
        <v>2.3279899999999998E-3</v>
      </c>
      <c r="H82" s="25" t="s">
        <v>148</v>
      </c>
    </row>
    <row r="83" spans="1:8" x14ac:dyDescent="0.2">
      <c r="A83" s="26">
        <v>77</v>
      </c>
      <c r="B83" s="27" t="s">
        <v>131</v>
      </c>
      <c r="C83" s="27" t="s">
        <v>132</v>
      </c>
      <c r="D83" s="27" t="s">
        <v>64</v>
      </c>
      <c r="E83" s="28">
        <v>268061</v>
      </c>
      <c r="F83" s="29">
        <v>1671.8964570000001</v>
      </c>
      <c r="G83" s="30">
        <v>1.59979E-3</v>
      </c>
      <c r="H83" s="25" t="s">
        <v>148</v>
      </c>
    </row>
    <row r="84" spans="1:8" x14ac:dyDescent="0.2">
      <c r="A84" s="26">
        <v>78</v>
      </c>
      <c r="B84" s="27" t="s">
        <v>327</v>
      </c>
      <c r="C84" s="27" t="s">
        <v>328</v>
      </c>
      <c r="D84" s="27" t="s">
        <v>94</v>
      </c>
      <c r="E84" s="28">
        <v>321233</v>
      </c>
      <c r="F84" s="29">
        <v>1189.6864155000001</v>
      </c>
      <c r="G84" s="30">
        <v>1.13838E-3</v>
      </c>
      <c r="H84" s="25" t="s">
        <v>148</v>
      </c>
    </row>
    <row r="85" spans="1:8" x14ac:dyDescent="0.2">
      <c r="A85" s="23"/>
      <c r="B85" s="23"/>
      <c r="C85" s="24" t="s">
        <v>147</v>
      </c>
      <c r="D85" s="23"/>
      <c r="E85" s="23" t="s">
        <v>148</v>
      </c>
      <c r="F85" s="31">
        <v>986225.53464570001</v>
      </c>
      <c r="G85" s="32">
        <v>0.94369011999999997</v>
      </c>
      <c r="H85" s="25" t="s">
        <v>148</v>
      </c>
    </row>
    <row r="86" spans="1:8" x14ac:dyDescent="0.2">
      <c r="A86" s="23"/>
      <c r="B86" s="23"/>
      <c r="C86" s="33"/>
      <c r="D86" s="23"/>
      <c r="E86" s="23"/>
      <c r="F86" s="34"/>
      <c r="G86" s="34"/>
      <c r="H86" s="25" t="s">
        <v>148</v>
      </c>
    </row>
    <row r="87" spans="1:8" x14ac:dyDescent="0.2">
      <c r="A87" s="23"/>
      <c r="B87" s="23"/>
      <c r="C87" s="24" t="s">
        <v>149</v>
      </c>
      <c r="D87" s="23"/>
      <c r="E87" s="23"/>
      <c r="F87" s="23"/>
      <c r="G87" s="23"/>
      <c r="H87" s="25" t="s">
        <v>148</v>
      </c>
    </row>
    <row r="88" spans="1:8" x14ac:dyDescent="0.2">
      <c r="A88" s="23"/>
      <c r="B88" s="23"/>
      <c r="C88" s="24" t="s">
        <v>147</v>
      </c>
      <c r="D88" s="23"/>
      <c r="E88" s="23" t="s">
        <v>148</v>
      </c>
      <c r="F88" s="35" t="s">
        <v>150</v>
      </c>
      <c r="G88" s="32">
        <v>0</v>
      </c>
      <c r="H88" s="25" t="s">
        <v>148</v>
      </c>
    </row>
    <row r="89" spans="1:8" x14ac:dyDescent="0.2">
      <c r="A89" s="23"/>
      <c r="B89" s="23"/>
      <c r="C89" s="33"/>
      <c r="D89" s="23"/>
      <c r="E89" s="23"/>
      <c r="F89" s="34"/>
      <c r="G89" s="34"/>
      <c r="H89" s="25" t="s">
        <v>148</v>
      </c>
    </row>
    <row r="90" spans="1:8" x14ac:dyDescent="0.2">
      <c r="A90" s="23"/>
      <c r="B90" s="23"/>
      <c r="C90" s="24" t="s">
        <v>151</v>
      </c>
      <c r="D90" s="23"/>
      <c r="E90" s="23"/>
      <c r="F90" s="23"/>
      <c r="G90" s="23"/>
      <c r="H90" s="25" t="s">
        <v>148</v>
      </c>
    </row>
    <row r="91" spans="1:8" x14ac:dyDescent="0.2">
      <c r="A91" s="23"/>
      <c r="B91" s="23"/>
      <c r="C91" s="24" t="s">
        <v>147</v>
      </c>
      <c r="D91" s="23"/>
      <c r="E91" s="23" t="s">
        <v>148</v>
      </c>
      <c r="F91" s="35" t="s">
        <v>150</v>
      </c>
      <c r="G91" s="32">
        <v>0</v>
      </c>
      <c r="H91" s="25" t="s">
        <v>148</v>
      </c>
    </row>
    <row r="92" spans="1:8" x14ac:dyDescent="0.2">
      <c r="A92" s="23"/>
      <c r="B92" s="23"/>
      <c r="C92" s="33"/>
      <c r="D92" s="23"/>
      <c r="E92" s="23"/>
      <c r="F92" s="34"/>
      <c r="G92" s="34"/>
      <c r="H92" s="25" t="s">
        <v>148</v>
      </c>
    </row>
    <row r="93" spans="1:8" x14ac:dyDescent="0.2">
      <c r="A93" s="23"/>
      <c r="B93" s="23"/>
      <c r="C93" s="24" t="s">
        <v>152</v>
      </c>
      <c r="D93" s="23"/>
      <c r="E93" s="23"/>
      <c r="F93" s="23"/>
      <c r="G93" s="23"/>
      <c r="H93" s="25" t="s">
        <v>148</v>
      </c>
    </row>
    <row r="94" spans="1:8" x14ac:dyDescent="0.2">
      <c r="A94" s="23"/>
      <c r="B94" s="23"/>
      <c r="C94" s="24" t="s">
        <v>147</v>
      </c>
      <c r="D94" s="23"/>
      <c r="E94" s="23" t="s">
        <v>148</v>
      </c>
      <c r="F94" s="35" t="s">
        <v>150</v>
      </c>
      <c r="G94" s="32">
        <v>0</v>
      </c>
      <c r="H94" s="25" t="s">
        <v>148</v>
      </c>
    </row>
    <row r="95" spans="1:8" x14ac:dyDescent="0.2">
      <c r="A95" s="23"/>
      <c r="B95" s="23"/>
      <c r="C95" s="33"/>
      <c r="D95" s="23"/>
      <c r="E95" s="23"/>
      <c r="F95" s="34"/>
      <c r="G95" s="34"/>
      <c r="H95" s="25" t="s">
        <v>148</v>
      </c>
    </row>
    <row r="96" spans="1:8" x14ac:dyDescent="0.2">
      <c r="A96" s="23"/>
      <c r="B96" s="23"/>
      <c r="C96" s="24" t="s">
        <v>153</v>
      </c>
      <c r="D96" s="23"/>
      <c r="E96" s="23"/>
      <c r="F96" s="34"/>
      <c r="G96" s="34"/>
      <c r="H96" s="25" t="s">
        <v>148</v>
      </c>
    </row>
    <row r="97" spans="1:8" x14ac:dyDescent="0.2">
      <c r="A97" s="23"/>
      <c r="B97" s="23"/>
      <c r="C97" s="24" t="s">
        <v>147</v>
      </c>
      <c r="D97" s="23"/>
      <c r="E97" s="23" t="s">
        <v>148</v>
      </c>
      <c r="F97" s="35" t="s">
        <v>150</v>
      </c>
      <c r="G97" s="32">
        <v>0</v>
      </c>
      <c r="H97" s="25" t="s">
        <v>148</v>
      </c>
    </row>
    <row r="98" spans="1:8" x14ac:dyDescent="0.2">
      <c r="A98" s="23"/>
      <c r="B98" s="23"/>
      <c r="C98" s="33"/>
      <c r="D98" s="23"/>
      <c r="E98" s="23"/>
      <c r="F98" s="34"/>
      <c r="G98" s="34"/>
      <c r="H98" s="25" t="s">
        <v>148</v>
      </c>
    </row>
    <row r="99" spans="1:8" x14ac:dyDescent="0.2">
      <c r="A99" s="23"/>
      <c r="B99" s="23"/>
      <c r="C99" s="24" t="s">
        <v>154</v>
      </c>
      <c r="D99" s="23"/>
      <c r="E99" s="23"/>
      <c r="F99" s="34"/>
      <c r="G99" s="34"/>
      <c r="H99" s="25" t="s">
        <v>148</v>
      </c>
    </row>
    <row r="100" spans="1:8" x14ac:dyDescent="0.2">
      <c r="A100" s="23"/>
      <c r="B100" s="23"/>
      <c r="C100" s="24" t="s">
        <v>147</v>
      </c>
      <c r="D100" s="23"/>
      <c r="E100" s="23" t="s">
        <v>148</v>
      </c>
      <c r="F100" s="35" t="s">
        <v>150</v>
      </c>
      <c r="G100" s="32">
        <v>0</v>
      </c>
      <c r="H100" s="25" t="s">
        <v>148</v>
      </c>
    </row>
    <row r="101" spans="1:8" x14ac:dyDescent="0.2">
      <c r="A101" s="23"/>
      <c r="B101" s="23"/>
      <c r="C101" s="33"/>
      <c r="D101" s="23"/>
      <c r="E101" s="23"/>
      <c r="F101" s="34"/>
      <c r="G101" s="34"/>
      <c r="H101" s="25" t="s">
        <v>148</v>
      </c>
    </row>
    <row r="102" spans="1:8" x14ac:dyDescent="0.2">
      <c r="A102" s="23"/>
      <c r="B102" s="23"/>
      <c r="C102" s="24" t="s">
        <v>155</v>
      </c>
      <c r="D102" s="23"/>
      <c r="E102" s="23"/>
      <c r="F102" s="31">
        <v>986225.53464570001</v>
      </c>
      <c r="G102" s="32">
        <v>0.94369011999999997</v>
      </c>
      <c r="H102" s="25" t="s">
        <v>148</v>
      </c>
    </row>
    <row r="103" spans="1:8" x14ac:dyDescent="0.2">
      <c r="A103" s="23"/>
      <c r="B103" s="23"/>
      <c r="C103" s="33"/>
      <c r="D103" s="23"/>
      <c r="E103" s="23"/>
      <c r="F103" s="34"/>
      <c r="G103" s="34"/>
      <c r="H103" s="25" t="s">
        <v>148</v>
      </c>
    </row>
    <row r="104" spans="1:8" x14ac:dyDescent="0.2">
      <c r="A104" s="23"/>
      <c r="B104" s="23"/>
      <c r="C104" s="24" t="s">
        <v>156</v>
      </c>
      <c r="D104" s="23"/>
      <c r="E104" s="23"/>
      <c r="F104" s="34"/>
      <c r="G104" s="34"/>
      <c r="H104" s="25" t="s">
        <v>148</v>
      </c>
    </row>
    <row r="105" spans="1:8" x14ac:dyDescent="0.2">
      <c r="A105" s="23"/>
      <c r="B105" s="23"/>
      <c r="C105" s="24" t="s">
        <v>10</v>
      </c>
      <c r="D105" s="23"/>
      <c r="E105" s="23"/>
      <c r="F105" s="34"/>
      <c r="G105" s="34"/>
      <c r="H105" s="25" t="s">
        <v>148</v>
      </c>
    </row>
    <row r="106" spans="1:8" x14ac:dyDescent="0.2">
      <c r="A106" s="23"/>
      <c r="B106" s="23"/>
      <c r="C106" s="24" t="s">
        <v>147</v>
      </c>
      <c r="D106" s="23"/>
      <c r="E106" s="23" t="s">
        <v>148</v>
      </c>
      <c r="F106" s="35" t="s">
        <v>150</v>
      </c>
      <c r="G106" s="32">
        <v>0</v>
      </c>
      <c r="H106" s="25" t="s">
        <v>148</v>
      </c>
    </row>
    <row r="107" spans="1:8" x14ac:dyDescent="0.2">
      <c r="A107" s="23"/>
      <c r="B107" s="23"/>
      <c r="C107" s="33"/>
      <c r="D107" s="23"/>
      <c r="E107" s="23"/>
      <c r="F107" s="34"/>
      <c r="G107" s="34"/>
      <c r="H107" s="25" t="s">
        <v>148</v>
      </c>
    </row>
    <row r="108" spans="1:8" x14ac:dyDescent="0.2">
      <c r="A108" s="23"/>
      <c r="B108" s="23"/>
      <c r="C108" s="24" t="s">
        <v>157</v>
      </c>
      <c r="D108" s="23"/>
      <c r="E108" s="23"/>
      <c r="F108" s="23"/>
      <c r="G108" s="23"/>
      <c r="H108" s="25" t="s">
        <v>148</v>
      </c>
    </row>
    <row r="109" spans="1:8" x14ac:dyDescent="0.2">
      <c r="A109" s="23"/>
      <c r="B109" s="23"/>
      <c r="C109" s="24" t="s">
        <v>147</v>
      </c>
      <c r="D109" s="23"/>
      <c r="E109" s="23" t="s">
        <v>148</v>
      </c>
      <c r="F109" s="35" t="s">
        <v>150</v>
      </c>
      <c r="G109" s="32">
        <v>0</v>
      </c>
      <c r="H109" s="25" t="s">
        <v>148</v>
      </c>
    </row>
    <row r="110" spans="1:8" x14ac:dyDescent="0.2">
      <c r="A110" s="23"/>
      <c r="B110" s="23"/>
      <c r="C110" s="33"/>
      <c r="D110" s="23"/>
      <c r="E110" s="23"/>
      <c r="F110" s="34"/>
      <c r="G110" s="34"/>
      <c r="H110" s="25" t="s">
        <v>148</v>
      </c>
    </row>
    <row r="111" spans="1:8" x14ac:dyDescent="0.2">
      <c r="A111" s="23"/>
      <c r="B111" s="23"/>
      <c r="C111" s="24" t="s">
        <v>158</v>
      </c>
      <c r="D111" s="23"/>
      <c r="E111" s="23"/>
      <c r="F111" s="23"/>
      <c r="G111" s="23"/>
      <c r="H111" s="25" t="s">
        <v>148</v>
      </c>
    </row>
    <row r="112" spans="1:8" x14ac:dyDescent="0.2">
      <c r="A112" s="23"/>
      <c r="B112" s="23"/>
      <c r="C112" s="24" t="s">
        <v>147</v>
      </c>
      <c r="D112" s="23"/>
      <c r="E112" s="23" t="s">
        <v>148</v>
      </c>
      <c r="F112" s="35" t="s">
        <v>150</v>
      </c>
      <c r="G112" s="32">
        <v>0</v>
      </c>
      <c r="H112" s="25" t="s">
        <v>148</v>
      </c>
    </row>
    <row r="113" spans="1:8" x14ac:dyDescent="0.2">
      <c r="A113" s="23"/>
      <c r="B113" s="23"/>
      <c r="C113" s="33"/>
      <c r="D113" s="23"/>
      <c r="E113" s="23"/>
      <c r="F113" s="34"/>
      <c r="G113" s="34"/>
      <c r="H113" s="25" t="s">
        <v>148</v>
      </c>
    </row>
    <row r="114" spans="1:8" x14ac:dyDescent="0.2">
      <c r="A114" s="23"/>
      <c r="B114" s="23"/>
      <c r="C114" s="24" t="s">
        <v>159</v>
      </c>
      <c r="D114" s="23"/>
      <c r="E114" s="23"/>
      <c r="F114" s="34"/>
      <c r="G114" s="34"/>
      <c r="H114" s="25" t="s">
        <v>148</v>
      </c>
    </row>
    <row r="115" spans="1:8" x14ac:dyDescent="0.2">
      <c r="A115" s="23"/>
      <c r="B115" s="23"/>
      <c r="C115" s="24" t="s">
        <v>147</v>
      </c>
      <c r="D115" s="23"/>
      <c r="E115" s="23" t="s">
        <v>148</v>
      </c>
      <c r="F115" s="35" t="s">
        <v>150</v>
      </c>
      <c r="G115" s="32">
        <v>0</v>
      </c>
      <c r="H115" s="25" t="s">
        <v>148</v>
      </c>
    </row>
    <row r="116" spans="1:8" x14ac:dyDescent="0.2">
      <c r="A116" s="23"/>
      <c r="B116" s="23"/>
      <c r="C116" s="33"/>
      <c r="D116" s="23"/>
      <c r="E116" s="23"/>
      <c r="F116" s="34"/>
      <c r="G116" s="34"/>
      <c r="H116" s="25" t="s">
        <v>148</v>
      </c>
    </row>
    <row r="117" spans="1:8" x14ac:dyDescent="0.2">
      <c r="A117" s="23"/>
      <c r="B117" s="23"/>
      <c r="C117" s="24" t="s">
        <v>160</v>
      </c>
      <c r="D117" s="23"/>
      <c r="E117" s="23"/>
      <c r="F117" s="31">
        <v>0</v>
      </c>
      <c r="G117" s="32">
        <v>0</v>
      </c>
      <c r="H117" s="25" t="s">
        <v>148</v>
      </c>
    </row>
    <row r="118" spans="1:8" x14ac:dyDescent="0.2">
      <c r="A118" s="23"/>
      <c r="B118" s="23"/>
      <c r="C118" s="33"/>
      <c r="D118" s="23"/>
      <c r="E118" s="23"/>
      <c r="F118" s="34"/>
      <c r="G118" s="34"/>
      <c r="H118" s="25" t="s">
        <v>148</v>
      </c>
    </row>
    <row r="119" spans="1:8" x14ac:dyDescent="0.2">
      <c r="A119" s="23"/>
      <c r="B119" s="23"/>
      <c r="C119" s="24" t="s">
        <v>161</v>
      </c>
      <c r="D119" s="23"/>
      <c r="E119" s="23"/>
      <c r="F119" s="34"/>
      <c r="G119" s="34"/>
      <c r="H119" s="25" t="s">
        <v>148</v>
      </c>
    </row>
    <row r="120" spans="1:8" x14ac:dyDescent="0.2">
      <c r="A120" s="23"/>
      <c r="B120" s="23"/>
      <c r="C120" s="24" t="s">
        <v>162</v>
      </c>
      <c r="D120" s="23"/>
      <c r="E120" s="23"/>
      <c r="F120" s="34"/>
      <c r="G120" s="34"/>
      <c r="H120" s="25" t="s">
        <v>148</v>
      </c>
    </row>
    <row r="121" spans="1:8" x14ac:dyDescent="0.2">
      <c r="A121" s="23"/>
      <c r="B121" s="23"/>
      <c r="C121" s="24" t="s">
        <v>147</v>
      </c>
      <c r="D121" s="23"/>
      <c r="E121" s="23" t="s">
        <v>148</v>
      </c>
      <c r="F121" s="35" t="s">
        <v>150</v>
      </c>
      <c r="G121" s="32">
        <v>0</v>
      </c>
      <c r="H121" s="25" t="s">
        <v>148</v>
      </c>
    </row>
    <row r="122" spans="1:8" x14ac:dyDescent="0.2">
      <c r="A122" s="23"/>
      <c r="B122" s="23"/>
      <c r="C122" s="33"/>
      <c r="D122" s="23"/>
      <c r="E122" s="23"/>
      <c r="F122" s="34"/>
      <c r="G122" s="34"/>
      <c r="H122" s="25" t="s">
        <v>148</v>
      </c>
    </row>
    <row r="123" spans="1:8" x14ac:dyDescent="0.2">
      <c r="A123" s="23"/>
      <c r="B123" s="23"/>
      <c r="C123" s="24" t="s">
        <v>163</v>
      </c>
      <c r="D123" s="23"/>
      <c r="E123" s="23"/>
      <c r="F123" s="34"/>
      <c r="G123" s="34"/>
      <c r="H123" s="25" t="s">
        <v>148</v>
      </c>
    </row>
    <row r="124" spans="1:8" x14ac:dyDescent="0.2">
      <c r="A124" s="23"/>
      <c r="B124" s="23"/>
      <c r="C124" s="24" t="s">
        <v>147</v>
      </c>
      <c r="D124" s="23"/>
      <c r="E124" s="23" t="s">
        <v>148</v>
      </c>
      <c r="F124" s="35" t="s">
        <v>150</v>
      </c>
      <c r="G124" s="32">
        <v>0</v>
      </c>
      <c r="H124" s="25" t="s">
        <v>148</v>
      </c>
    </row>
    <row r="125" spans="1:8" x14ac:dyDescent="0.2">
      <c r="A125" s="23"/>
      <c r="B125" s="23"/>
      <c r="C125" s="33"/>
      <c r="D125" s="23"/>
      <c r="E125" s="23"/>
      <c r="F125" s="34"/>
      <c r="G125" s="34"/>
      <c r="H125" s="25" t="s">
        <v>148</v>
      </c>
    </row>
    <row r="126" spans="1:8" x14ac:dyDescent="0.2">
      <c r="A126" s="23"/>
      <c r="B126" s="23"/>
      <c r="C126" s="24" t="s">
        <v>164</v>
      </c>
      <c r="D126" s="23"/>
      <c r="E126" s="23"/>
      <c r="F126" s="34"/>
      <c r="G126" s="34"/>
      <c r="H126" s="25" t="s">
        <v>148</v>
      </c>
    </row>
    <row r="127" spans="1:8" x14ac:dyDescent="0.2">
      <c r="A127" s="23"/>
      <c r="B127" s="23"/>
      <c r="C127" s="24" t="s">
        <v>147</v>
      </c>
      <c r="D127" s="23"/>
      <c r="E127" s="23" t="s">
        <v>148</v>
      </c>
      <c r="F127" s="35" t="s">
        <v>150</v>
      </c>
      <c r="G127" s="32">
        <v>0</v>
      </c>
      <c r="H127" s="25" t="s">
        <v>148</v>
      </c>
    </row>
    <row r="128" spans="1:8" x14ac:dyDescent="0.2">
      <c r="A128" s="23"/>
      <c r="B128" s="23"/>
      <c r="C128" s="33"/>
      <c r="D128" s="23"/>
      <c r="E128" s="23"/>
      <c r="F128" s="34"/>
      <c r="G128" s="34"/>
      <c r="H128" s="25" t="s">
        <v>148</v>
      </c>
    </row>
    <row r="129" spans="1:8" x14ac:dyDescent="0.2">
      <c r="A129" s="23"/>
      <c r="B129" s="23"/>
      <c r="C129" s="24" t="s">
        <v>165</v>
      </c>
      <c r="D129" s="23"/>
      <c r="E129" s="23"/>
      <c r="F129" s="34"/>
      <c r="G129" s="34"/>
      <c r="H129" s="25" t="s">
        <v>148</v>
      </c>
    </row>
    <row r="130" spans="1:8" x14ac:dyDescent="0.2">
      <c r="A130" s="26">
        <v>1</v>
      </c>
      <c r="B130" s="27"/>
      <c r="C130" s="27" t="s">
        <v>166</v>
      </c>
      <c r="D130" s="27"/>
      <c r="E130" s="36"/>
      <c r="F130" s="29">
        <v>51613.299051485003</v>
      </c>
      <c r="G130" s="30">
        <v>4.9387239999999999E-2</v>
      </c>
      <c r="H130" s="25">
        <v>6.23</v>
      </c>
    </row>
    <row r="131" spans="1:8" x14ac:dyDescent="0.2">
      <c r="A131" s="23"/>
      <c r="B131" s="23"/>
      <c r="C131" s="24" t="s">
        <v>147</v>
      </c>
      <c r="D131" s="23"/>
      <c r="E131" s="23" t="s">
        <v>148</v>
      </c>
      <c r="F131" s="31">
        <v>51613.299051485003</v>
      </c>
      <c r="G131" s="32">
        <v>4.9387239999999999E-2</v>
      </c>
      <c r="H131" s="25" t="s">
        <v>148</v>
      </c>
    </row>
    <row r="132" spans="1:8" x14ac:dyDescent="0.2">
      <c r="A132" s="23"/>
      <c r="B132" s="23"/>
      <c r="C132" s="33"/>
      <c r="D132" s="23"/>
      <c r="E132" s="23"/>
      <c r="F132" s="34"/>
      <c r="G132" s="34"/>
      <c r="H132" s="25" t="s">
        <v>148</v>
      </c>
    </row>
    <row r="133" spans="1:8" x14ac:dyDescent="0.2">
      <c r="A133" s="23"/>
      <c r="B133" s="23"/>
      <c r="C133" s="24" t="s">
        <v>167</v>
      </c>
      <c r="D133" s="23"/>
      <c r="E133" s="23"/>
      <c r="F133" s="31">
        <v>51613.299051485003</v>
      </c>
      <c r="G133" s="32">
        <v>4.9387239999999999E-2</v>
      </c>
      <c r="H133" s="25" t="s">
        <v>148</v>
      </c>
    </row>
    <row r="134" spans="1:8" x14ac:dyDescent="0.2">
      <c r="A134" s="23"/>
      <c r="B134" s="23"/>
      <c r="C134" s="34"/>
      <c r="D134" s="23"/>
      <c r="E134" s="23"/>
      <c r="F134" s="23"/>
      <c r="G134" s="23"/>
      <c r="H134" s="25" t="s">
        <v>148</v>
      </c>
    </row>
    <row r="135" spans="1:8" x14ac:dyDescent="0.2">
      <c r="A135" s="23"/>
      <c r="B135" s="23"/>
      <c r="C135" s="24" t="s">
        <v>168</v>
      </c>
      <c r="D135" s="23"/>
      <c r="E135" s="23"/>
      <c r="F135" s="23"/>
      <c r="G135" s="23"/>
      <c r="H135" s="25" t="s">
        <v>148</v>
      </c>
    </row>
    <row r="136" spans="1:8" x14ac:dyDescent="0.2">
      <c r="A136" s="23"/>
      <c r="B136" s="23"/>
      <c r="C136" s="24" t="s">
        <v>169</v>
      </c>
      <c r="D136" s="23"/>
      <c r="E136" s="23"/>
      <c r="F136" s="23"/>
      <c r="G136" s="23"/>
      <c r="H136" s="25" t="s">
        <v>148</v>
      </c>
    </row>
    <row r="137" spans="1:8" x14ac:dyDescent="0.2">
      <c r="A137" s="26">
        <v>1</v>
      </c>
      <c r="B137" s="27" t="s">
        <v>329</v>
      </c>
      <c r="C137" s="38" t="s">
        <v>902</v>
      </c>
      <c r="D137" s="27"/>
      <c r="E137" s="37">
        <v>231364.02650000001</v>
      </c>
      <c r="F137" s="29">
        <v>5264.9218693100001</v>
      </c>
      <c r="G137" s="30">
        <v>5.03785E-3</v>
      </c>
      <c r="H137" s="25" t="s">
        <v>148</v>
      </c>
    </row>
    <row r="138" spans="1:8" x14ac:dyDescent="0.2">
      <c r="A138" s="23"/>
      <c r="B138" s="23"/>
      <c r="C138" s="24" t="s">
        <v>147</v>
      </c>
      <c r="D138" s="23"/>
      <c r="E138" s="23" t="s">
        <v>148</v>
      </c>
      <c r="F138" s="31">
        <v>5264.9218693100001</v>
      </c>
      <c r="G138" s="32">
        <v>5.03785E-3</v>
      </c>
      <c r="H138" s="25" t="s">
        <v>148</v>
      </c>
    </row>
    <row r="139" spans="1:8" x14ac:dyDescent="0.2">
      <c r="A139" s="23"/>
      <c r="B139" s="23"/>
      <c r="C139" s="33"/>
      <c r="D139" s="23"/>
      <c r="E139" s="23"/>
      <c r="F139" s="34"/>
      <c r="G139" s="34"/>
      <c r="H139" s="25" t="s">
        <v>148</v>
      </c>
    </row>
    <row r="140" spans="1:8" x14ac:dyDescent="0.2">
      <c r="A140" s="23"/>
      <c r="B140" s="23"/>
      <c r="C140" s="24" t="s">
        <v>172</v>
      </c>
      <c r="D140" s="23"/>
      <c r="E140" s="23"/>
      <c r="F140" s="23"/>
      <c r="G140" s="23"/>
      <c r="H140" s="25" t="s">
        <v>148</v>
      </c>
    </row>
    <row r="141" spans="1:8" x14ac:dyDescent="0.2">
      <c r="A141" s="23"/>
      <c r="B141" s="23"/>
      <c r="C141" s="24" t="s">
        <v>173</v>
      </c>
      <c r="D141" s="23"/>
      <c r="E141" s="23"/>
      <c r="F141" s="23"/>
      <c r="G141" s="23"/>
      <c r="H141" s="25" t="s">
        <v>148</v>
      </c>
    </row>
    <row r="142" spans="1:8" x14ac:dyDescent="0.2">
      <c r="A142" s="23"/>
      <c r="B142" s="23"/>
      <c r="C142" s="24" t="s">
        <v>147</v>
      </c>
      <c r="D142" s="23"/>
      <c r="E142" s="23" t="s">
        <v>148</v>
      </c>
      <c r="F142" s="35" t="s">
        <v>150</v>
      </c>
      <c r="G142" s="32">
        <v>0</v>
      </c>
      <c r="H142" s="25" t="s">
        <v>148</v>
      </c>
    </row>
    <row r="143" spans="1:8" x14ac:dyDescent="0.2">
      <c r="A143" s="23"/>
      <c r="B143" s="23"/>
      <c r="C143" s="33"/>
      <c r="D143" s="23"/>
      <c r="E143" s="23"/>
      <c r="F143" s="34"/>
      <c r="G143" s="34"/>
      <c r="H143" s="25" t="s">
        <v>148</v>
      </c>
    </row>
    <row r="144" spans="1:8" x14ac:dyDescent="0.2">
      <c r="A144" s="23"/>
      <c r="B144" s="23"/>
      <c r="C144" s="24" t="s">
        <v>174</v>
      </c>
      <c r="D144" s="23"/>
      <c r="E144" s="23"/>
      <c r="F144" s="34"/>
      <c r="G144" s="34"/>
      <c r="H144" s="25" t="s">
        <v>148</v>
      </c>
    </row>
    <row r="145" spans="1:17" x14ac:dyDescent="0.2">
      <c r="A145" s="23"/>
      <c r="B145" s="23"/>
      <c r="C145" s="24" t="s">
        <v>147</v>
      </c>
      <c r="D145" s="23"/>
      <c r="E145" s="23" t="s">
        <v>148</v>
      </c>
      <c r="F145" s="35" t="s">
        <v>150</v>
      </c>
      <c r="G145" s="32">
        <v>0</v>
      </c>
      <c r="H145" s="25" t="s">
        <v>148</v>
      </c>
    </row>
    <row r="146" spans="1:17" x14ac:dyDescent="0.2">
      <c r="A146" s="23"/>
      <c r="B146" s="23"/>
      <c r="C146" s="33"/>
      <c r="D146" s="23"/>
      <c r="E146" s="23"/>
      <c r="F146" s="34"/>
      <c r="G146" s="34"/>
      <c r="H146" s="25" t="s">
        <v>148</v>
      </c>
    </row>
    <row r="147" spans="1:17" x14ac:dyDescent="0.2">
      <c r="A147" s="36"/>
      <c r="B147" s="27"/>
      <c r="C147" s="27" t="s">
        <v>175</v>
      </c>
      <c r="D147" s="27"/>
      <c r="E147" s="36"/>
      <c r="F147" s="29">
        <v>1969.75838589</v>
      </c>
      <c r="G147" s="30">
        <v>1.8848000000000001E-3</v>
      </c>
      <c r="H147" s="25" t="s">
        <v>148</v>
      </c>
    </row>
    <row r="148" spans="1:17" x14ac:dyDescent="0.2">
      <c r="A148" s="33"/>
      <c r="B148" s="33"/>
      <c r="C148" s="24" t="s">
        <v>176</v>
      </c>
      <c r="D148" s="34"/>
      <c r="E148" s="34"/>
      <c r="F148" s="31">
        <v>1045073.5139523851</v>
      </c>
      <c r="G148" s="39">
        <v>1.0000000099999999</v>
      </c>
      <c r="H148" s="25" t="s">
        <v>148</v>
      </c>
    </row>
    <row r="149" spans="1:17" x14ac:dyDescent="0.2">
      <c r="A149" s="40"/>
      <c r="B149" s="40"/>
      <c r="C149" s="40"/>
      <c r="D149" s="41"/>
      <c r="E149" s="41"/>
      <c r="F149" s="41"/>
      <c r="G149" s="41"/>
    </row>
    <row r="150" spans="1:17" x14ac:dyDescent="0.2">
      <c r="A150" s="42"/>
      <c r="B150" s="237" t="s">
        <v>891</v>
      </c>
      <c r="C150" s="237"/>
      <c r="D150" s="237"/>
      <c r="E150" s="237"/>
      <c r="F150" s="237"/>
      <c r="G150" s="237"/>
      <c r="H150" s="237"/>
      <c r="J150" s="44"/>
    </row>
    <row r="151" spans="1:17" x14ac:dyDescent="0.2">
      <c r="A151" s="42"/>
      <c r="B151" s="237" t="s">
        <v>892</v>
      </c>
      <c r="C151" s="237"/>
      <c r="D151" s="237"/>
      <c r="E151" s="237"/>
      <c r="F151" s="237"/>
      <c r="G151" s="237"/>
      <c r="H151" s="237"/>
      <c r="J151" s="44"/>
    </row>
    <row r="152" spans="1:17" x14ac:dyDescent="0.2">
      <c r="A152" s="42"/>
      <c r="B152" s="237" t="s">
        <v>893</v>
      </c>
      <c r="C152" s="237"/>
      <c r="D152" s="237"/>
      <c r="E152" s="237"/>
      <c r="F152" s="237"/>
      <c r="G152" s="237"/>
      <c r="H152" s="237"/>
      <c r="J152" s="44"/>
    </row>
    <row r="153" spans="1:17" s="46" customFormat="1" ht="66.75" customHeight="1" x14ac:dyDescent="0.25">
      <c r="A153" s="45"/>
      <c r="B153" s="239" t="s">
        <v>894</v>
      </c>
      <c r="C153" s="239"/>
      <c r="D153" s="239"/>
      <c r="E153" s="239"/>
      <c r="F153" s="239"/>
      <c r="G153" s="239"/>
      <c r="H153" s="239"/>
      <c r="I153"/>
      <c r="J153" s="44"/>
      <c r="K153"/>
      <c r="L153"/>
      <c r="M153"/>
      <c r="N153"/>
      <c r="O153"/>
      <c r="P153"/>
      <c r="Q153"/>
    </row>
    <row r="154" spans="1:17" x14ac:dyDescent="0.2">
      <c r="A154" s="42"/>
      <c r="B154" s="237" t="s">
        <v>895</v>
      </c>
      <c r="C154" s="237"/>
      <c r="D154" s="237"/>
      <c r="E154" s="237"/>
      <c r="F154" s="237"/>
      <c r="G154" s="237"/>
      <c r="H154" s="237"/>
      <c r="J154" s="44"/>
    </row>
    <row r="155" spans="1:17" x14ac:dyDescent="0.2">
      <c r="A155" s="47"/>
      <c r="B155" s="47"/>
      <c r="C155" s="47"/>
      <c r="D155" s="48"/>
      <c r="E155" s="48"/>
      <c r="F155" s="48"/>
      <c r="G155" s="48"/>
    </row>
    <row r="156" spans="1:17" x14ac:dyDescent="0.2">
      <c r="A156" s="47"/>
      <c r="B156" s="234" t="s">
        <v>177</v>
      </c>
      <c r="C156" s="235"/>
      <c r="D156" s="236"/>
      <c r="E156" s="49"/>
      <c r="F156" s="48"/>
      <c r="G156" s="48"/>
    </row>
    <row r="157" spans="1:17" x14ac:dyDescent="0.2">
      <c r="A157" s="47"/>
      <c r="B157" s="232" t="s">
        <v>178</v>
      </c>
      <c r="C157" s="233"/>
      <c r="D157" s="24" t="s">
        <v>179</v>
      </c>
      <c r="E157" s="49"/>
      <c r="F157" s="48"/>
      <c r="G157" s="48"/>
    </row>
    <row r="158" spans="1:17" ht="12.75" customHeight="1" x14ac:dyDescent="0.2">
      <c r="A158" s="47"/>
      <c r="B158" s="240" t="s">
        <v>897</v>
      </c>
      <c r="C158" s="241"/>
      <c r="D158" s="24" t="s">
        <v>179</v>
      </c>
      <c r="E158" s="49"/>
      <c r="F158" s="48"/>
      <c r="G158" s="48"/>
    </row>
    <row r="159" spans="1:17" x14ac:dyDescent="0.2">
      <c r="A159" s="47"/>
      <c r="B159" s="232" t="s">
        <v>181</v>
      </c>
      <c r="C159" s="233"/>
      <c r="D159" s="34" t="s">
        <v>148</v>
      </c>
      <c r="E159" s="49"/>
      <c r="F159" s="48"/>
      <c r="G159" s="48"/>
    </row>
    <row r="160" spans="1:17" x14ac:dyDescent="0.2">
      <c r="A160" s="50"/>
      <c r="B160" s="51" t="s">
        <v>148</v>
      </c>
      <c r="C160" s="51" t="s">
        <v>896</v>
      </c>
      <c r="D160" s="51" t="s">
        <v>182</v>
      </c>
      <c r="E160" s="50"/>
      <c r="F160" s="50"/>
      <c r="G160" s="50"/>
      <c r="H160" s="50"/>
      <c r="J160" s="44"/>
    </row>
    <row r="161" spans="1:10" x14ac:dyDescent="0.2">
      <c r="A161" s="50"/>
      <c r="B161" s="52" t="s">
        <v>183</v>
      </c>
      <c r="C161" s="53">
        <v>45688</v>
      </c>
      <c r="D161" s="53">
        <v>45716</v>
      </c>
      <c r="E161" s="50"/>
      <c r="F161" s="50"/>
      <c r="G161" s="50"/>
      <c r="J161" s="44"/>
    </row>
    <row r="162" spans="1:10" x14ac:dyDescent="0.2">
      <c r="A162" s="54"/>
      <c r="B162" s="27" t="s">
        <v>184</v>
      </c>
      <c r="C162" s="55">
        <v>1382.0155</v>
      </c>
      <c r="D162" s="55">
        <v>1240.5130999999999</v>
      </c>
      <c r="E162" s="54"/>
      <c r="F162" s="56"/>
      <c r="G162" s="57"/>
    </row>
    <row r="163" spans="1:10" x14ac:dyDescent="0.2">
      <c r="A163" s="54"/>
      <c r="B163" s="27" t="s">
        <v>1070</v>
      </c>
      <c r="C163" s="55">
        <v>69.596900000000005</v>
      </c>
      <c r="D163" s="55">
        <v>62.4709</v>
      </c>
      <c r="E163" s="54"/>
      <c r="F163" s="56"/>
      <c r="G163" s="57"/>
    </row>
    <row r="164" spans="1:10" x14ac:dyDescent="0.2">
      <c r="A164" s="54"/>
      <c r="B164" s="27" t="s">
        <v>186</v>
      </c>
      <c r="C164" s="55">
        <v>1270.6123</v>
      </c>
      <c r="D164" s="55">
        <v>1139.7764</v>
      </c>
      <c r="E164" s="54"/>
      <c r="F164" s="56"/>
      <c r="G164" s="57"/>
    </row>
    <row r="165" spans="1:10" x14ac:dyDescent="0.2">
      <c r="A165" s="54"/>
      <c r="B165" s="27" t="s">
        <v>1071</v>
      </c>
      <c r="C165" s="55">
        <v>63.0901</v>
      </c>
      <c r="D165" s="55">
        <v>56.593699999999998</v>
      </c>
      <c r="E165" s="54"/>
      <c r="F165" s="56"/>
      <c r="G165" s="57"/>
    </row>
    <row r="166" spans="1:10" x14ac:dyDescent="0.2">
      <c r="A166" s="54"/>
      <c r="B166" s="54"/>
      <c r="C166" s="54"/>
      <c r="D166" s="54"/>
      <c r="E166" s="54"/>
      <c r="F166" s="54"/>
      <c r="G166" s="54"/>
    </row>
    <row r="167" spans="1:10" x14ac:dyDescent="0.2">
      <c r="A167" s="50"/>
      <c r="B167" s="240" t="s">
        <v>898</v>
      </c>
      <c r="C167" s="241"/>
      <c r="D167" s="58" t="s">
        <v>179</v>
      </c>
      <c r="E167" s="50"/>
      <c r="F167" s="50"/>
      <c r="G167" s="50"/>
    </row>
    <row r="168" spans="1:10" x14ac:dyDescent="0.2">
      <c r="A168" s="50"/>
      <c r="B168" s="59"/>
      <c r="C168" s="59"/>
      <c r="D168" s="59"/>
      <c r="E168" s="50"/>
      <c r="F168" s="50"/>
      <c r="G168" s="50"/>
    </row>
    <row r="169" spans="1:10" x14ac:dyDescent="0.2">
      <c r="A169" s="50"/>
      <c r="B169" s="240" t="s">
        <v>188</v>
      </c>
      <c r="C169" s="241"/>
      <c r="D169" s="58" t="s">
        <v>179</v>
      </c>
      <c r="E169" s="59"/>
      <c r="F169" s="59"/>
      <c r="G169" s="59"/>
    </row>
    <row r="170" spans="1:10" x14ac:dyDescent="0.2">
      <c r="A170" s="50"/>
      <c r="B170" s="240" t="s">
        <v>189</v>
      </c>
      <c r="C170" s="241"/>
      <c r="D170" s="58" t="s">
        <v>179</v>
      </c>
      <c r="E170" s="50"/>
      <c r="F170" s="50"/>
      <c r="G170" s="50"/>
    </row>
    <row r="171" spans="1:10" x14ac:dyDescent="0.2">
      <c r="A171" s="50"/>
      <c r="B171" s="240" t="s">
        <v>190</v>
      </c>
      <c r="C171" s="241"/>
      <c r="D171" s="58" t="s">
        <v>179</v>
      </c>
      <c r="E171" s="60"/>
      <c r="F171" s="50"/>
      <c r="G171" s="50"/>
    </row>
    <row r="172" spans="1:10" x14ac:dyDescent="0.2">
      <c r="A172" s="50"/>
      <c r="B172" s="240" t="s">
        <v>191</v>
      </c>
      <c r="C172" s="241"/>
      <c r="D172" s="61">
        <v>0.44380343310301401</v>
      </c>
      <c r="E172" s="60"/>
      <c r="F172" s="50"/>
      <c r="G172" s="50"/>
    </row>
    <row r="174" spans="1:10" x14ac:dyDescent="0.2">
      <c r="B174" s="238" t="s">
        <v>899</v>
      </c>
      <c r="C174" s="238"/>
    </row>
    <row r="176" spans="1:10" ht="153.75" customHeight="1" x14ac:dyDescent="0.2">
      <c r="B176" s="68"/>
      <c r="C176" s="69"/>
      <c r="D176" s="68"/>
    </row>
    <row r="177" spans="2:4" x14ac:dyDescent="0.2">
      <c r="B177" s="68"/>
      <c r="D177" s="68"/>
    </row>
    <row r="178" spans="2:4" x14ac:dyDescent="0.2">
      <c r="B178" s="68" t="s">
        <v>900</v>
      </c>
      <c r="C178" s="69"/>
      <c r="D178" s="68" t="s">
        <v>903</v>
      </c>
    </row>
    <row r="179" spans="2:4" x14ac:dyDescent="0.2">
      <c r="B179" s="68" t="s">
        <v>904</v>
      </c>
      <c r="D179" s="68" t="s">
        <v>905</v>
      </c>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sheetData>
  <mergeCells count="18">
    <mergeCell ref="B174:C174"/>
    <mergeCell ref="A3:H3"/>
    <mergeCell ref="A2:H2"/>
    <mergeCell ref="B172:C172"/>
    <mergeCell ref="A1:H1"/>
    <mergeCell ref="B158:C158"/>
    <mergeCell ref="B159:C159"/>
    <mergeCell ref="B167:C167"/>
    <mergeCell ref="B171:C171"/>
    <mergeCell ref="B156:D156"/>
    <mergeCell ref="B157:C157"/>
    <mergeCell ref="B150:H150"/>
    <mergeCell ref="B151:H151"/>
    <mergeCell ref="B152:H152"/>
    <mergeCell ref="B153:H153"/>
    <mergeCell ref="B154:H154"/>
    <mergeCell ref="B169:C169"/>
    <mergeCell ref="B170:C170"/>
  </mergeCells>
  <hyperlinks>
    <hyperlink ref="I1" location="Index!B2" display="Index" xr:uid="{31C7A395-515D-44C2-AA91-A9E8F2D2915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ECC73-3C9F-4C51-8347-026AAE229BAC}">
  <sheetPr>
    <outlinePr summaryBelow="0" summaryRight="0"/>
  </sheetPr>
  <dimension ref="A1:Q190"/>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 bestFit="1"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331</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1940000</v>
      </c>
      <c r="F7" s="29">
        <v>33608.559999999998</v>
      </c>
      <c r="G7" s="30">
        <v>5.733953E-2</v>
      </c>
      <c r="H7" s="25" t="s">
        <v>148</v>
      </c>
    </row>
    <row r="8" spans="1:9" x14ac:dyDescent="0.2">
      <c r="A8" s="26">
        <v>2</v>
      </c>
      <c r="B8" s="27" t="s">
        <v>26</v>
      </c>
      <c r="C8" s="27" t="s">
        <v>27</v>
      </c>
      <c r="D8" s="27" t="s">
        <v>28</v>
      </c>
      <c r="E8" s="28">
        <v>2225000</v>
      </c>
      <c r="F8" s="29">
        <v>26791.224999999999</v>
      </c>
      <c r="G8" s="30">
        <v>4.5708480000000003E-2</v>
      </c>
      <c r="H8" s="25" t="s">
        <v>148</v>
      </c>
    </row>
    <row r="9" spans="1:9" x14ac:dyDescent="0.2">
      <c r="A9" s="26">
        <v>3</v>
      </c>
      <c r="B9" s="27" t="s">
        <v>14</v>
      </c>
      <c r="C9" s="27" t="s">
        <v>15</v>
      </c>
      <c r="D9" s="27" t="s">
        <v>16</v>
      </c>
      <c r="E9" s="28">
        <v>2040000</v>
      </c>
      <c r="F9" s="29">
        <v>24482.04</v>
      </c>
      <c r="G9" s="30">
        <v>4.1768779999999998E-2</v>
      </c>
      <c r="H9" s="25" t="s">
        <v>148</v>
      </c>
    </row>
    <row r="10" spans="1:9" x14ac:dyDescent="0.2">
      <c r="A10" s="26">
        <v>4</v>
      </c>
      <c r="B10" s="27" t="s">
        <v>334</v>
      </c>
      <c r="C10" s="27" t="s">
        <v>335</v>
      </c>
      <c r="D10" s="27" t="s">
        <v>205</v>
      </c>
      <c r="E10" s="28">
        <v>1000000</v>
      </c>
      <c r="F10" s="29">
        <v>16877</v>
      </c>
      <c r="G10" s="30">
        <v>2.8793829999999999E-2</v>
      </c>
      <c r="H10" s="25" t="s">
        <v>148</v>
      </c>
    </row>
    <row r="11" spans="1:9" x14ac:dyDescent="0.2">
      <c r="A11" s="26">
        <v>5</v>
      </c>
      <c r="B11" s="27" t="s">
        <v>38</v>
      </c>
      <c r="C11" s="27" t="s">
        <v>39</v>
      </c>
      <c r="D11" s="27" t="s">
        <v>28</v>
      </c>
      <c r="E11" s="28">
        <v>2300000</v>
      </c>
      <c r="F11" s="29">
        <v>15842.4</v>
      </c>
      <c r="G11" s="30">
        <v>2.7028699999999999E-2</v>
      </c>
      <c r="H11" s="25" t="s">
        <v>148</v>
      </c>
    </row>
    <row r="12" spans="1:9" x14ac:dyDescent="0.2">
      <c r="A12" s="26">
        <v>6</v>
      </c>
      <c r="B12" s="27" t="s">
        <v>11</v>
      </c>
      <c r="C12" s="27" t="s">
        <v>12</v>
      </c>
      <c r="D12" s="27" t="s">
        <v>13</v>
      </c>
      <c r="E12" s="28">
        <v>900000</v>
      </c>
      <c r="F12" s="29">
        <v>14131.8</v>
      </c>
      <c r="G12" s="30">
        <v>2.411025E-2</v>
      </c>
      <c r="H12" s="25" t="s">
        <v>148</v>
      </c>
    </row>
    <row r="13" spans="1:9" x14ac:dyDescent="0.2">
      <c r="A13" s="26">
        <v>7</v>
      </c>
      <c r="B13" s="27" t="s">
        <v>17</v>
      </c>
      <c r="C13" s="27" t="s">
        <v>18</v>
      </c>
      <c r="D13" s="27" t="s">
        <v>19</v>
      </c>
      <c r="E13" s="28">
        <v>415000</v>
      </c>
      <c r="F13" s="29">
        <v>13129.977500000001</v>
      </c>
      <c r="G13" s="30">
        <v>2.2401040000000001E-2</v>
      </c>
      <c r="H13" s="25" t="s">
        <v>148</v>
      </c>
    </row>
    <row r="14" spans="1:9" x14ac:dyDescent="0.2">
      <c r="A14" s="26">
        <v>8</v>
      </c>
      <c r="B14" s="27" t="s">
        <v>101</v>
      </c>
      <c r="C14" s="27" t="s">
        <v>102</v>
      </c>
      <c r="D14" s="27" t="s">
        <v>28</v>
      </c>
      <c r="E14" s="28">
        <v>680000</v>
      </c>
      <c r="F14" s="29">
        <v>12940.06</v>
      </c>
      <c r="G14" s="30">
        <v>2.2077019999999999E-2</v>
      </c>
      <c r="H14" s="25" t="s">
        <v>148</v>
      </c>
    </row>
    <row r="15" spans="1:9" ht="25.5" x14ac:dyDescent="0.2">
      <c r="A15" s="26">
        <v>9</v>
      </c>
      <c r="B15" s="27" t="s">
        <v>225</v>
      </c>
      <c r="C15" s="27" t="s">
        <v>226</v>
      </c>
      <c r="D15" s="27" t="s">
        <v>202</v>
      </c>
      <c r="E15" s="28">
        <v>245000</v>
      </c>
      <c r="F15" s="29">
        <v>11383.19</v>
      </c>
      <c r="G15" s="30">
        <v>1.942085E-2</v>
      </c>
      <c r="H15" s="25" t="s">
        <v>148</v>
      </c>
    </row>
    <row r="16" spans="1:9" x14ac:dyDescent="0.2">
      <c r="A16" s="26">
        <v>10</v>
      </c>
      <c r="B16" s="27" t="s">
        <v>336</v>
      </c>
      <c r="C16" s="27" t="s">
        <v>337</v>
      </c>
      <c r="D16" s="27" t="s">
        <v>28</v>
      </c>
      <c r="E16" s="28">
        <v>1100000</v>
      </c>
      <c r="F16" s="29">
        <v>11171.05</v>
      </c>
      <c r="G16" s="30">
        <v>1.905892E-2</v>
      </c>
      <c r="H16" s="25" t="s">
        <v>148</v>
      </c>
    </row>
    <row r="17" spans="1:8" x14ac:dyDescent="0.2">
      <c r="A17" s="26">
        <v>11</v>
      </c>
      <c r="B17" s="27" t="s">
        <v>338</v>
      </c>
      <c r="C17" s="27" t="s">
        <v>339</v>
      </c>
      <c r="D17" s="27" t="s">
        <v>229</v>
      </c>
      <c r="E17" s="28">
        <v>5000000</v>
      </c>
      <c r="F17" s="29">
        <v>11105</v>
      </c>
      <c r="G17" s="30">
        <v>1.8946230000000001E-2</v>
      </c>
      <c r="H17" s="25" t="s">
        <v>148</v>
      </c>
    </row>
    <row r="18" spans="1:8" x14ac:dyDescent="0.2">
      <c r="A18" s="26">
        <v>12</v>
      </c>
      <c r="B18" s="27" t="s">
        <v>230</v>
      </c>
      <c r="C18" s="27" t="s">
        <v>231</v>
      </c>
      <c r="D18" s="27" t="s">
        <v>232</v>
      </c>
      <c r="E18" s="28">
        <v>1690000</v>
      </c>
      <c r="F18" s="29">
        <v>10581.09</v>
      </c>
      <c r="G18" s="30">
        <v>1.8052390000000001E-2</v>
      </c>
      <c r="H18" s="25" t="s">
        <v>148</v>
      </c>
    </row>
    <row r="19" spans="1:8" x14ac:dyDescent="0.2">
      <c r="A19" s="26">
        <v>13</v>
      </c>
      <c r="B19" s="27" t="s">
        <v>280</v>
      </c>
      <c r="C19" s="27" t="s">
        <v>281</v>
      </c>
      <c r="D19" s="27" t="s">
        <v>69</v>
      </c>
      <c r="E19" s="28">
        <v>1220000</v>
      </c>
      <c r="F19" s="29">
        <v>10075.98</v>
      </c>
      <c r="G19" s="30">
        <v>1.719062E-2</v>
      </c>
      <c r="H19" s="25" t="s">
        <v>148</v>
      </c>
    </row>
    <row r="20" spans="1:8" ht="25.5" x14ac:dyDescent="0.2">
      <c r="A20" s="26">
        <v>14</v>
      </c>
      <c r="B20" s="27" t="s">
        <v>200</v>
      </c>
      <c r="C20" s="27" t="s">
        <v>201</v>
      </c>
      <c r="D20" s="27" t="s">
        <v>202</v>
      </c>
      <c r="E20" s="28">
        <v>514192</v>
      </c>
      <c r="F20" s="29">
        <v>9793.5579280000002</v>
      </c>
      <c r="G20" s="30">
        <v>1.6708779999999999E-2</v>
      </c>
      <c r="H20" s="25" t="s">
        <v>148</v>
      </c>
    </row>
    <row r="21" spans="1:8" x14ac:dyDescent="0.2">
      <c r="A21" s="26">
        <v>15</v>
      </c>
      <c r="B21" s="27" t="s">
        <v>49</v>
      </c>
      <c r="C21" s="27" t="s">
        <v>50</v>
      </c>
      <c r="D21" s="27" t="s">
        <v>51</v>
      </c>
      <c r="E21" s="28">
        <v>172500</v>
      </c>
      <c r="F21" s="29">
        <v>9709.4212499999994</v>
      </c>
      <c r="G21" s="30">
        <v>1.656523E-2</v>
      </c>
      <c r="H21" s="25" t="s">
        <v>148</v>
      </c>
    </row>
    <row r="22" spans="1:8" ht="25.5" x14ac:dyDescent="0.2">
      <c r="A22" s="26">
        <v>16</v>
      </c>
      <c r="B22" s="27" t="s">
        <v>340</v>
      </c>
      <c r="C22" s="27" t="s">
        <v>341</v>
      </c>
      <c r="D22" s="27" t="s">
        <v>202</v>
      </c>
      <c r="E22" s="28">
        <v>600000</v>
      </c>
      <c r="F22" s="29">
        <v>9559.5</v>
      </c>
      <c r="G22" s="30">
        <v>1.630945E-2</v>
      </c>
      <c r="H22" s="25" t="s">
        <v>148</v>
      </c>
    </row>
    <row r="23" spans="1:8" x14ac:dyDescent="0.2">
      <c r="A23" s="26">
        <v>17</v>
      </c>
      <c r="B23" s="27" t="s">
        <v>233</v>
      </c>
      <c r="C23" s="27" t="s">
        <v>234</v>
      </c>
      <c r="D23" s="27" t="s">
        <v>235</v>
      </c>
      <c r="E23" s="28">
        <v>490000</v>
      </c>
      <c r="F23" s="29">
        <v>9536.1350000000002</v>
      </c>
      <c r="G23" s="30">
        <v>1.626959E-2</v>
      </c>
      <c r="H23" s="25" t="s">
        <v>148</v>
      </c>
    </row>
    <row r="24" spans="1:8" x14ac:dyDescent="0.2">
      <c r="A24" s="26">
        <v>18</v>
      </c>
      <c r="B24" s="27" t="s">
        <v>342</v>
      </c>
      <c r="C24" s="27" t="s">
        <v>343</v>
      </c>
      <c r="D24" s="27" t="s">
        <v>205</v>
      </c>
      <c r="E24" s="28">
        <v>265000</v>
      </c>
      <c r="F24" s="29">
        <v>9230.6124999999993</v>
      </c>
      <c r="G24" s="30">
        <v>1.574834E-2</v>
      </c>
      <c r="H24" s="25" t="s">
        <v>148</v>
      </c>
    </row>
    <row r="25" spans="1:8" x14ac:dyDescent="0.2">
      <c r="A25" s="26">
        <v>19</v>
      </c>
      <c r="B25" s="27" t="s">
        <v>23</v>
      </c>
      <c r="C25" s="27" t="s">
        <v>24</v>
      </c>
      <c r="D25" s="27" t="s">
        <v>25</v>
      </c>
      <c r="E25" s="28">
        <v>90000</v>
      </c>
      <c r="F25" s="29">
        <v>9115.6049999999996</v>
      </c>
      <c r="G25" s="30">
        <v>1.5552119999999999E-2</v>
      </c>
      <c r="H25" s="25" t="s">
        <v>148</v>
      </c>
    </row>
    <row r="26" spans="1:8" ht="25.5" x14ac:dyDescent="0.2">
      <c r="A26" s="26">
        <v>20</v>
      </c>
      <c r="B26" s="27" t="s">
        <v>215</v>
      </c>
      <c r="C26" s="27" t="s">
        <v>216</v>
      </c>
      <c r="D26" s="27" t="s">
        <v>217</v>
      </c>
      <c r="E26" s="28">
        <v>1514707</v>
      </c>
      <c r="F26" s="29">
        <v>9097.330242</v>
      </c>
      <c r="G26" s="30">
        <v>1.552095E-2</v>
      </c>
      <c r="H26" s="25" t="s">
        <v>148</v>
      </c>
    </row>
    <row r="27" spans="1:8" x14ac:dyDescent="0.2">
      <c r="A27" s="26">
        <v>21</v>
      </c>
      <c r="B27" s="27" t="s">
        <v>243</v>
      </c>
      <c r="C27" s="27" t="s">
        <v>244</v>
      </c>
      <c r="D27" s="27" t="s">
        <v>229</v>
      </c>
      <c r="E27" s="28">
        <v>120000</v>
      </c>
      <c r="F27" s="29">
        <v>8391.18</v>
      </c>
      <c r="G27" s="30">
        <v>1.431618E-2</v>
      </c>
      <c r="H27" s="25" t="s">
        <v>148</v>
      </c>
    </row>
    <row r="28" spans="1:8" x14ac:dyDescent="0.2">
      <c r="A28" s="26">
        <v>22</v>
      </c>
      <c r="B28" s="27" t="s">
        <v>344</v>
      </c>
      <c r="C28" s="27" t="s">
        <v>345</v>
      </c>
      <c r="D28" s="27" t="s">
        <v>111</v>
      </c>
      <c r="E28" s="28">
        <v>96250</v>
      </c>
      <c r="F28" s="29">
        <v>8210.4137499999997</v>
      </c>
      <c r="G28" s="30">
        <v>1.4007779999999999E-2</v>
      </c>
      <c r="H28" s="25" t="s">
        <v>148</v>
      </c>
    </row>
    <row r="29" spans="1:8" x14ac:dyDescent="0.2">
      <c r="A29" s="26">
        <v>23</v>
      </c>
      <c r="B29" s="27" t="s">
        <v>346</v>
      </c>
      <c r="C29" s="27" t="s">
        <v>347</v>
      </c>
      <c r="D29" s="27" t="s">
        <v>28</v>
      </c>
      <c r="E29" s="28">
        <v>4100000</v>
      </c>
      <c r="F29" s="29">
        <v>8079.87</v>
      </c>
      <c r="G29" s="30">
        <v>1.378506E-2</v>
      </c>
      <c r="H29" s="25" t="s">
        <v>148</v>
      </c>
    </row>
    <row r="30" spans="1:8" x14ac:dyDescent="0.2">
      <c r="A30" s="26">
        <v>24</v>
      </c>
      <c r="B30" s="27" t="s">
        <v>314</v>
      </c>
      <c r="C30" s="27" t="s">
        <v>315</v>
      </c>
      <c r="D30" s="27" t="s">
        <v>232</v>
      </c>
      <c r="E30" s="28">
        <v>1125000</v>
      </c>
      <c r="F30" s="29">
        <v>8056.125</v>
      </c>
      <c r="G30" s="30">
        <v>1.3744549999999999E-2</v>
      </c>
      <c r="H30" s="25" t="s">
        <v>148</v>
      </c>
    </row>
    <row r="31" spans="1:8" x14ac:dyDescent="0.2">
      <c r="A31" s="26">
        <v>25</v>
      </c>
      <c r="B31" s="27" t="s">
        <v>203</v>
      </c>
      <c r="C31" s="27" t="s">
        <v>204</v>
      </c>
      <c r="D31" s="27" t="s">
        <v>205</v>
      </c>
      <c r="E31" s="28">
        <v>150000</v>
      </c>
      <c r="F31" s="29">
        <v>7955.85</v>
      </c>
      <c r="G31" s="30">
        <v>1.3573470000000001E-2</v>
      </c>
      <c r="H31" s="25" t="s">
        <v>148</v>
      </c>
    </row>
    <row r="32" spans="1:8" x14ac:dyDescent="0.2">
      <c r="A32" s="26">
        <v>26</v>
      </c>
      <c r="B32" s="27" t="s">
        <v>249</v>
      </c>
      <c r="C32" s="27" t="s">
        <v>250</v>
      </c>
      <c r="D32" s="27" t="s">
        <v>205</v>
      </c>
      <c r="E32" s="28">
        <v>350000</v>
      </c>
      <c r="F32" s="29">
        <v>7865.375</v>
      </c>
      <c r="G32" s="30">
        <v>1.341911E-2</v>
      </c>
      <c r="H32" s="25" t="s">
        <v>148</v>
      </c>
    </row>
    <row r="33" spans="1:8" x14ac:dyDescent="0.2">
      <c r="A33" s="26">
        <v>27</v>
      </c>
      <c r="B33" s="27" t="s">
        <v>208</v>
      </c>
      <c r="C33" s="27" t="s">
        <v>209</v>
      </c>
      <c r="D33" s="27" t="s">
        <v>210</v>
      </c>
      <c r="E33" s="28">
        <v>1225000</v>
      </c>
      <c r="F33" s="29">
        <v>7505.5749999999998</v>
      </c>
      <c r="G33" s="30">
        <v>1.2805250000000001E-2</v>
      </c>
      <c r="H33" s="25" t="s">
        <v>148</v>
      </c>
    </row>
    <row r="34" spans="1:8" x14ac:dyDescent="0.2">
      <c r="A34" s="26">
        <v>28</v>
      </c>
      <c r="B34" s="27" t="s">
        <v>223</v>
      </c>
      <c r="C34" s="27" t="s">
        <v>224</v>
      </c>
      <c r="D34" s="27" t="s">
        <v>16</v>
      </c>
      <c r="E34" s="28">
        <v>2252328</v>
      </c>
      <c r="F34" s="29">
        <v>6616.2134999999998</v>
      </c>
      <c r="G34" s="30">
        <v>1.128791E-2</v>
      </c>
      <c r="H34" s="25" t="s">
        <v>148</v>
      </c>
    </row>
    <row r="35" spans="1:8" x14ac:dyDescent="0.2">
      <c r="A35" s="26">
        <v>29</v>
      </c>
      <c r="B35" s="27" t="s">
        <v>70</v>
      </c>
      <c r="C35" s="27" t="s">
        <v>71</v>
      </c>
      <c r="D35" s="27" t="s">
        <v>13</v>
      </c>
      <c r="E35" s="28">
        <v>500000</v>
      </c>
      <c r="F35" s="29">
        <v>6522</v>
      </c>
      <c r="G35" s="30">
        <v>1.112718E-2</v>
      </c>
      <c r="H35" s="25" t="s">
        <v>148</v>
      </c>
    </row>
    <row r="36" spans="1:8" x14ac:dyDescent="0.2">
      <c r="A36" s="26">
        <v>30</v>
      </c>
      <c r="B36" s="27" t="s">
        <v>193</v>
      </c>
      <c r="C36" s="27" t="s">
        <v>194</v>
      </c>
      <c r="D36" s="27" t="s">
        <v>28</v>
      </c>
      <c r="E36" s="28">
        <v>3600000</v>
      </c>
      <c r="F36" s="29">
        <v>6394.32</v>
      </c>
      <c r="G36" s="30">
        <v>1.090934E-2</v>
      </c>
      <c r="H36" s="25" t="s">
        <v>148</v>
      </c>
    </row>
    <row r="37" spans="1:8" x14ac:dyDescent="0.2">
      <c r="A37" s="26">
        <v>31</v>
      </c>
      <c r="B37" s="27" t="s">
        <v>211</v>
      </c>
      <c r="C37" s="27" t="s">
        <v>212</v>
      </c>
      <c r="D37" s="27" t="s">
        <v>111</v>
      </c>
      <c r="E37" s="28">
        <v>2347200</v>
      </c>
      <c r="F37" s="29">
        <v>6351.5231999999996</v>
      </c>
      <c r="G37" s="30">
        <v>1.083633E-2</v>
      </c>
      <c r="H37" s="25" t="s">
        <v>148</v>
      </c>
    </row>
    <row r="38" spans="1:8" x14ac:dyDescent="0.2">
      <c r="A38" s="26">
        <v>32</v>
      </c>
      <c r="B38" s="27" t="s">
        <v>241</v>
      </c>
      <c r="C38" s="27" t="s">
        <v>242</v>
      </c>
      <c r="D38" s="27" t="s">
        <v>210</v>
      </c>
      <c r="E38" s="28">
        <v>640000</v>
      </c>
      <c r="F38" s="29">
        <v>6259.84</v>
      </c>
      <c r="G38" s="30">
        <v>1.0679910000000001E-2</v>
      </c>
      <c r="H38" s="25" t="s">
        <v>148</v>
      </c>
    </row>
    <row r="39" spans="1:8" x14ac:dyDescent="0.2">
      <c r="A39" s="26">
        <v>33</v>
      </c>
      <c r="B39" s="27" t="s">
        <v>20</v>
      </c>
      <c r="C39" s="27" t="s">
        <v>21</v>
      </c>
      <c r="D39" s="27" t="s">
        <v>22</v>
      </c>
      <c r="E39" s="28">
        <v>2000000</v>
      </c>
      <c r="F39" s="29">
        <v>6229</v>
      </c>
      <c r="G39" s="30">
        <v>1.0627289999999999E-2</v>
      </c>
      <c r="H39" s="25" t="s">
        <v>148</v>
      </c>
    </row>
    <row r="40" spans="1:8" x14ac:dyDescent="0.2">
      <c r="A40" s="26">
        <v>34</v>
      </c>
      <c r="B40" s="27" t="s">
        <v>36</v>
      </c>
      <c r="C40" s="27" t="s">
        <v>37</v>
      </c>
      <c r="D40" s="27" t="s">
        <v>25</v>
      </c>
      <c r="E40" s="28">
        <v>140000</v>
      </c>
      <c r="F40" s="29">
        <v>6145.09</v>
      </c>
      <c r="G40" s="30">
        <v>1.0484129999999999E-2</v>
      </c>
      <c r="H40" s="25" t="s">
        <v>148</v>
      </c>
    </row>
    <row r="41" spans="1:8" x14ac:dyDescent="0.2">
      <c r="A41" s="26">
        <v>35</v>
      </c>
      <c r="B41" s="27" t="s">
        <v>348</v>
      </c>
      <c r="C41" s="27" t="s">
        <v>349</v>
      </c>
      <c r="D41" s="27" t="s">
        <v>350</v>
      </c>
      <c r="E41" s="28">
        <v>1545000</v>
      </c>
      <c r="F41" s="29">
        <v>6102.75</v>
      </c>
      <c r="G41" s="30">
        <v>1.04119E-2</v>
      </c>
      <c r="H41" s="25" t="s">
        <v>148</v>
      </c>
    </row>
    <row r="42" spans="1:8" x14ac:dyDescent="0.2">
      <c r="A42" s="26">
        <v>36</v>
      </c>
      <c r="B42" s="27" t="s">
        <v>351</v>
      </c>
      <c r="C42" s="27" t="s">
        <v>352</v>
      </c>
      <c r="D42" s="27" t="s">
        <v>240</v>
      </c>
      <c r="E42" s="28">
        <v>120000</v>
      </c>
      <c r="F42" s="29">
        <v>5989.98</v>
      </c>
      <c r="G42" s="30">
        <v>1.0219499999999999E-2</v>
      </c>
      <c r="H42" s="25" t="s">
        <v>148</v>
      </c>
    </row>
    <row r="43" spans="1:8" ht="25.5" x14ac:dyDescent="0.2">
      <c r="A43" s="26">
        <v>37</v>
      </c>
      <c r="B43" s="27" t="s">
        <v>353</v>
      </c>
      <c r="C43" s="27" t="s">
        <v>354</v>
      </c>
      <c r="D43" s="27" t="s">
        <v>111</v>
      </c>
      <c r="E43" s="28">
        <v>425000</v>
      </c>
      <c r="F43" s="29">
        <v>5953.1875</v>
      </c>
      <c r="G43" s="30">
        <v>1.0156729999999999E-2</v>
      </c>
      <c r="H43" s="25" t="s">
        <v>148</v>
      </c>
    </row>
    <row r="44" spans="1:8" x14ac:dyDescent="0.2">
      <c r="A44" s="26">
        <v>38</v>
      </c>
      <c r="B44" s="27" t="s">
        <v>218</v>
      </c>
      <c r="C44" s="27" t="s">
        <v>219</v>
      </c>
      <c r="D44" s="27" t="s">
        <v>54</v>
      </c>
      <c r="E44" s="28">
        <v>400000</v>
      </c>
      <c r="F44" s="29">
        <v>5938</v>
      </c>
      <c r="G44" s="30">
        <v>1.013082E-2</v>
      </c>
      <c r="H44" s="25" t="s">
        <v>148</v>
      </c>
    </row>
    <row r="45" spans="1:8" x14ac:dyDescent="0.2">
      <c r="A45" s="26">
        <v>39</v>
      </c>
      <c r="B45" s="27" t="s">
        <v>355</v>
      </c>
      <c r="C45" s="27" t="s">
        <v>356</v>
      </c>
      <c r="D45" s="27" t="s">
        <v>51</v>
      </c>
      <c r="E45" s="28">
        <v>525000</v>
      </c>
      <c r="F45" s="29">
        <v>5865.0375000000004</v>
      </c>
      <c r="G45" s="30">
        <v>1.0006330000000001E-2</v>
      </c>
      <c r="H45" s="25" t="s">
        <v>148</v>
      </c>
    </row>
    <row r="46" spans="1:8" x14ac:dyDescent="0.2">
      <c r="A46" s="26">
        <v>40</v>
      </c>
      <c r="B46" s="27" t="s">
        <v>357</v>
      </c>
      <c r="C46" s="27" t="s">
        <v>358</v>
      </c>
      <c r="D46" s="27" t="s">
        <v>359</v>
      </c>
      <c r="E46" s="28">
        <v>410000</v>
      </c>
      <c r="F46" s="29">
        <v>5741.0249999999996</v>
      </c>
      <c r="G46" s="30">
        <v>9.7947599999999996E-3</v>
      </c>
      <c r="H46" s="25" t="s">
        <v>148</v>
      </c>
    </row>
    <row r="47" spans="1:8" x14ac:dyDescent="0.2">
      <c r="A47" s="26">
        <v>41</v>
      </c>
      <c r="B47" s="27" t="s">
        <v>261</v>
      </c>
      <c r="C47" s="27" t="s">
        <v>262</v>
      </c>
      <c r="D47" s="27" t="s">
        <v>210</v>
      </c>
      <c r="E47" s="28">
        <v>247000</v>
      </c>
      <c r="F47" s="29">
        <v>5706.8114999999998</v>
      </c>
      <c r="G47" s="30">
        <v>9.7363899999999993E-3</v>
      </c>
      <c r="H47" s="25" t="s">
        <v>148</v>
      </c>
    </row>
    <row r="48" spans="1:8" x14ac:dyDescent="0.2">
      <c r="A48" s="26">
        <v>42</v>
      </c>
      <c r="B48" s="27" t="s">
        <v>360</v>
      </c>
      <c r="C48" s="27" t="s">
        <v>361</v>
      </c>
      <c r="D48" s="27" t="s">
        <v>235</v>
      </c>
      <c r="E48" s="28">
        <v>1300000</v>
      </c>
      <c r="F48" s="29">
        <v>5668.65</v>
      </c>
      <c r="G48" s="30">
        <v>9.6712800000000008E-3</v>
      </c>
      <c r="H48" s="25" t="s">
        <v>148</v>
      </c>
    </row>
    <row r="49" spans="1:8" x14ac:dyDescent="0.2">
      <c r="A49" s="26">
        <v>43</v>
      </c>
      <c r="B49" s="27" t="s">
        <v>271</v>
      </c>
      <c r="C49" s="27" t="s">
        <v>272</v>
      </c>
      <c r="D49" s="27" t="s">
        <v>45</v>
      </c>
      <c r="E49" s="28">
        <v>120000</v>
      </c>
      <c r="F49" s="29">
        <v>5656.08</v>
      </c>
      <c r="G49" s="30">
        <v>9.6498299999999999E-3</v>
      </c>
      <c r="H49" s="25" t="s">
        <v>148</v>
      </c>
    </row>
    <row r="50" spans="1:8" x14ac:dyDescent="0.2">
      <c r="A50" s="26">
        <v>44</v>
      </c>
      <c r="B50" s="27" t="s">
        <v>292</v>
      </c>
      <c r="C50" s="27" t="s">
        <v>293</v>
      </c>
      <c r="D50" s="27" t="s">
        <v>197</v>
      </c>
      <c r="E50" s="28">
        <v>185000</v>
      </c>
      <c r="F50" s="29">
        <v>5575.8074999999999</v>
      </c>
      <c r="G50" s="30">
        <v>9.5128799999999996E-3</v>
      </c>
      <c r="H50" s="25" t="s">
        <v>148</v>
      </c>
    </row>
    <row r="51" spans="1:8" x14ac:dyDescent="0.2">
      <c r="A51" s="26">
        <v>45</v>
      </c>
      <c r="B51" s="27" t="s">
        <v>99</v>
      </c>
      <c r="C51" s="27" t="s">
        <v>100</v>
      </c>
      <c r="D51" s="27" t="s">
        <v>69</v>
      </c>
      <c r="E51" s="28">
        <v>180000</v>
      </c>
      <c r="F51" s="29">
        <v>5510.25</v>
      </c>
      <c r="G51" s="30">
        <v>9.4010299999999995E-3</v>
      </c>
      <c r="H51" s="25" t="s">
        <v>148</v>
      </c>
    </row>
    <row r="52" spans="1:8" x14ac:dyDescent="0.2">
      <c r="A52" s="26">
        <v>46</v>
      </c>
      <c r="B52" s="27" t="s">
        <v>306</v>
      </c>
      <c r="C52" s="27" t="s">
        <v>307</v>
      </c>
      <c r="D52" s="27" t="s">
        <v>69</v>
      </c>
      <c r="E52" s="28">
        <v>220000</v>
      </c>
      <c r="F52" s="29">
        <v>5416.73</v>
      </c>
      <c r="G52" s="30">
        <v>9.2414799999999998E-3</v>
      </c>
      <c r="H52" s="25" t="s">
        <v>148</v>
      </c>
    </row>
    <row r="53" spans="1:8" ht="25.5" x14ac:dyDescent="0.2">
      <c r="A53" s="26">
        <v>47</v>
      </c>
      <c r="B53" s="27" t="s">
        <v>362</v>
      </c>
      <c r="C53" s="27" t="s">
        <v>363</v>
      </c>
      <c r="D53" s="27" t="s">
        <v>202</v>
      </c>
      <c r="E53" s="28">
        <v>475000</v>
      </c>
      <c r="F53" s="29">
        <v>5303.375</v>
      </c>
      <c r="G53" s="30">
        <v>9.04808E-3</v>
      </c>
      <c r="H53" s="25" t="s">
        <v>148</v>
      </c>
    </row>
    <row r="54" spans="1:8" x14ac:dyDescent="0.2">
      <c r="A54" s="26">
        <v>48</v>
      </c>
      <c r="B54" s="27" t="s">
        <v>95</v>
      </c>
      <c r="C54" s="27" t="s">
        <v>96</v>
      </c>
      <c r="D54" s="27" t="s">
        <v>45</v>
      </c>
      <c r="E54" s="28">
        <v>195000</v>
      </c>
      <c r="F54" s="29">
        <v>5300.0024999999996</v>
      </c>
      <c r="G54" s="30">
        <v>9.0423299999999995E-3</v>
      </c>
      <c r="H54" s="25" t="s">
        <v>148</v>
      </c>
    </row>
    <row r="55" spans="1:8" x14ac:dyDescent="0.2">
      <c r="A55" s="26">
        <v>49</v>
      </c>
      <c r="B55" s="27" t="s">
        <v>296</v>
      </c>
      <c r="C55" s="27" t="s">
        <v>297</v>
      </c>
      <c r="D55" s="27" t="s">
        <v>270</v>
      </c>
      <c r="E55" s="28">
        <v>501344</v>
      </c>
      <c r="F55" s="29">
        <v>5003.9144640000004</v>
      </c>
      <c r="G55" s="30">
        <v>8.5371700000000002E-3</v>
      </c>
      <c r="H55" s="25" t="s">
        <v>148</v>
      </c>
    </row>
    <row r="56" spans="1:8" x14ac:dyDescent="0.2">
      <c r="A56" s="26">
        <v>50</v>
      </c>
      <c r="B56" s="27" t="s">
        <v>34</v>
      </c>
      <c r="C56" s="27" t="s">
        <v>35</v>
      </c>
      <c r="D56" s="27" t="s">
        <v>16</v>
      </c>
      <c r="E56" s="28">
        <v>2100000</v>
      </c>
      <c r="F56" s="29">
        <v>4983.3</v>
      </c>
      <c r="G56" s="30">
        <v>8.5019999999999991E-3</v>
      </c>
      <c r="H56" s="25" t="s">
        <v>148</v>
      </c>
    </row>
    <row r="57" spans="1:8" x14ac:dyDescent="0.2">
      <c r="A57" s="26">
        <v>51</v>
      </c>
      <c r="B57" s="27" t="s">
        <v>364</v>
      </c>
      <c r="C57" s="27" t="s">
        <v>365</v>
      </c>
      <c r="D57" s="27" t="s">
        <v>275</v>
      </c>
      <c r="E57" s="28">
        <v>800000</v>
      </c>
      <c r="F57" s="29">
        <v>4965.2</v>
      </c>
      <c r="G57" s="30">
        <v>8.4711200000000004E-3</v>
      </c>
      <c r="H57" s="25" t="s">
        <v>148</v>
      </c>
    </row>
    <row r="58" spans="1:8" x14ac:dyDescent="0.2">
      <c r="A58" s="26">
        <v>52</v>
      </c>
      <c r="B58" s="27" t="s">
        <v>105</v>
      </c>
      <c r="C58" s="27" t="s">
        <v>106</v>
      </c>
      <c r="D58" s="27" t="s">
        <v>42</v>
      </c>
      <c r="E58" s="28">
        <v>98000</v>
      </c>
      <c r="F58" s="29">
        <v>4836.692</v>
      </c>
      <c r="G58" s="30">
        <v>8.2518799999999996E-3</v>
      </c>
      <c r="H58" s="25" t="s">
        <v>148</v>
      </c>
    </row>
    <row r="59" spans="1:8" x14ac:dyDescent="0.2">
      <c r="A59" s="26">
        <v>53</v>
      </c>
      <c r="B59" s="27" t="s">
        <v>40</v>
      </c>
      <c r="C59" s="27" t="s">
        <v>41</v>
      </c>
      <c r="D59" s="27" t="s">
        <v>42</v>
      </c>
      <c r="E59" s="28">
        <v>348687</v>
      </c>
      <c r="F59" s="29">
        <v>4666.4781210000001</v>
      </c>
      <c r="G59" s="30">
        <v>7.96147E-3</v>
      </c>
      <c r="H59" s="25" t="s">
        <v>148</v>
      </c>
    </row>
    <row r="60" spans="1:8" x14ac:dyDescent="0.2">
      <c r="A60" s="26">
        <v>54</v>
      </c>
      <c r="B60" s="27" t="s">
        <v>366</v>
      </c>
      <c r="C60" s="27" t="s">
        <v>367</v>
      </c>
      <c r="D60" s="27" t="s">
        <v>59</v>
      </c>
      <c r="E60" s="28">
        <v>1830000</v>
      </c>
      <c r="F60" s="29">
        <v>4661.9250000000002</v>
      </c>
      <c r="G60" s="30">
        <v>7.9537099999999993E-3</v>
      </c>
      <c r="H60" s="25" t="s">
        <v>148</v>
      </c>
    </row>
    <row r="61" spans="1:8" x14ac:dyDescent="0.2">
      <c r="A61" s="26">
        <v>55</v>
      </c>
      <c r="B61" s="27" t="s">
        <v>236</v>
      </c>
      <c r="C61" s="27" t="s">
        <v>237</v>
      </c>
      <c r="D61" s="27" t="s">
        <v>69</v>
      </c>
      <c r="E61" s="28">
        <v>1240100</v>
      </c>
      <c r="F61" s="29">
        <v>4641.6943000000001</v>
      </c>
      <c r="G61" s="30">
        <v>7.9191899999999996E-3</v>
      </c>
      <c r="H61" s="25" t="s">
        <v>148</v>
      </c>
    </row>
    <row r="62" spans="1:8" x14ac:dyDescent="0.2">
      <c r="A62" s="26">
        <v>56</v>
      </c>
      <c r="B62" s="27" t="s">
        <v>368</v>
      </c>
      <c r="C62" s="27" t="s">
        <v>369</v>
      </c>
      <c r="D62" s="27" t="s">
        <v>25</v>
      </c>
      <c r="E62" s="28">
        <v>200000</v>
      </c>
      <c r="F62" s="29">
        <v>4613.3</v>
      </c>
      <c r="G62" s="30">
        <v>7.8707499999999993E-3</v>
      </c>
      <c r="H62" s="25" t="s">
        <v>148</v>
      </c>
    </row>
    <row r="63" spans="1:8" x14ac:dyDescent="0.2">
      <c r="A63" s="26">
        <v>57</v>
      </c>
      <c r="B63" s="27" t="s">
        <v>123</v>
      </c>
      <c r="C63" s="27" t="s">
        <v>124</v>
      </c>
      <c r="D63" s="27" t="s">
        <v>69</v>
      </c>
      <c r="E63" s="28">
        <v>450000</v>
      </c>
      <c r="F63" s="29">
        <v>4574.25</v>
      </c>
      <c r="G63" s="30">
        <v>7.8041200000000003E-3</v>
      </c>
      <c r="H63" s="25" t="s">
        <v>148</v>
      </c>
    </row>
    <row r="64" spans="1:8" x14ac:dyDescent="0.2">
      <c r="A64" s="26">
        <v>58</v>
      </c>
      <c r="B64" s="27" t="s">
        <v>370</v>
      </c>
      <c r="C64" s="27" t="s">
        <v>371</v>
      </c>
      <c r="D64" s="27" t="s">
        <v>51</v>
      </c>
      <c r="E64" s="28">
        <v>146498</v>
      </c>
      <c r="F64" s="29">
        <v>4508.1097049999998</v>
      </c>
      <c r="G64" s="30">
        <v>7.69128E-3</v>
      </c>
      <c r="H64" s="25" t="s">
        <v>148</v>
      </c>
    </row>
    <row r="65" spans="1:8" x14ac:dyDescent="0.2">
      <c r="A65" s="26">
        <v>59</v>
      </c>
      <c r="B65" s="27" t="s">
        <v>284</v>
      </c>
      <c r="C65" s="27" t="s">
        <v>285</v>
      </c>
      <c r="D65" s="27" t="s">
        <v>54</v>
      </c>
      <c r="E65" s="28">
        <v>390340</v>
      </c>
      <c r="F65" s="29">
        <v>4397.5704400000004</v>
      </c>
      <c r="G65" s="30">
        <v>7.5026900000000002E-3</v>
      </c>
      <c r="H65" s="25" t="s">
        <v>148</v>
      </c>
    </row>
    <row r="66" spans="1:8" x14ac:dyDescent="0.2">
      <c r="A66" s="26">
        <v>60</v>
      </c>
      <c r="B66" s="27" t="s">
        <v>372</v>
      </c>
      <c r="C66" s="27" t="s">
        <v>373</v>
      </c>
      <c r="D66" s="27" t="s">
        <v>33</v>
      </c>
      <c r="E66" s="28">
        <v>140000</v>
      </c>
      <c r="F66" s="29">
        <v>4323.4799999999996</v>
      </c>
      <c r="G66" s="30">
        <v>7.3762799999999998E-3</v>
      </c>
      <c r="H66" s="25" t="s">
        <v>148</v>
      </c>
    </row>
    <row r="67" spans="1:8" x14ac:dyDescent="0.2">
      <c r="A67" s="26">
        <v>61</v>
      </c>
      <c r="B67" s="27" t="s">
        <v>116</v>
      </c>
      <c r="C67" s="27" t="s">
        <v>117</v>
      </c>
      <c r="D67" s="27" t="s">
        <v>42</v>
      </c>
      <c r="E67" s="28">
        <v>830000</v>
      </c>
      <c r="F67" s="29">
        <v>4033.8</v>
      </c>
      <c r="G67" s="30">
        <v>6.8820599999999997E-3</v>
      </c>
      <c r="H67" s="25" t="s">
        <v>148</v>
      </c>
    </row>
    <row r="68" spans="1:8" x14ac:dyDescent="0.2">
      <c r="A68" s="26">
        <v>62</v>
      </c>
      <c r="B68" s="27" t="s">
        <v>109</v>
      </c>
      <c r="C68" s="27" t="s">
        <v>110</v>
      </c>
      <c r="D68" s="27" t="s">
        <v>111</v>
      </c>
      <c r="E68" s="28">
        <v>1100000</v>
      </c>
      <c r="F68" s="29">
        <v>3963.3</v>
      </c>
      <c r="G68" s="30">
        <v>6.7617800000000002E-3</v>
      </c>
      <c r="H68" s="25" t="s">
        <v>148</v>
      </c>
    </row>
    <row r="69" spans="1:8" ht="25.5" x14ac:dyDescent="0.2">
      <c r="A69" s="26">
        <v>63</v>
      </c>
      <c r="B69" s="27" t="s">
        <v>290</v>
      </c>
      <c r="C69" s="27" t="s">
        <v>291</v>
      </c>
      <c r="D69" s="27" t="s">
        <v>202</v>
      </c>
      <c r="E69" s="28">
        <v>172000</v>
      </c>
      <c r="F69" s="29">
        <v>3939.8319999999999</v>
      </c>
      <c r="G69" s="30">
        <v>6.7217400000000004E-3</v>
      </c>
      <c r="H69" s="25" t="s">
        <v>148</v>
      </c>
    </row>
    <row r="70" spans="1:8" x14ac:dyDescent="0.2">
      <c r="A70" s="26">
        <v>64</v>
      </c>
      <c r="B70" s="27" t="s">
        <v>198</v>
      </c>
      <c r="C70" s="27" t="s">
        <v>199</v>
      </c>
      <c r="D70" s="27" t="s">
        <v>51</v>
      </c>
      <c r="E70" s="28">
        <v>829572</v>
      </c>
      <c r="F70" s="29">
        <v>3834.6965700000001</v>
      </c>
      <c r="G70" s="30">
        <v>6.5423699999999996E-3</v>
      </c>
      <c r="H70" s="25" t="s">
        <v>148</v>
      </c>
    </row>
    <row r="71" spans="1:8" x14ac:dyDescent="0.2">
      <c r="A71" s="26">
        <v>65</v>
      </c>
      <c r="B71" s="27" t="s">
        <v>257</v>
      </c>
      <c r="C71" s="27" t="s">
        <v>258</v>
      </c>
      <c r="D71" s="27" t="s">
        <v>25</v>
      </c>
      <c r="E71" s="28">
        <v>209000</v>
      </c>
      <c r="F71" s="29">
        <v>3800.7694999999999</v>
      </c>
      <c r="G71" s="30">
        <v>6.4844899999999999E-3</v>
      </c>
      <c r="H71" s="25" t="s">
        <v>148</v>
      </c>
    </row>
    <row r="72" spans="1:8" x14ac:dyDescent="0.2">
      <c r="A72" s="26">
        <v>66</v>
      </c>
      <c r="B72" s="27" t="s">
        <v>298</v>
      </c>
      <c r="C72" s="27" t="s">
        <v>299</v>
      </c>
      <c r="D72" s="27" t="s">
        <v>54</v>
      </c>
      <c r="E72" s="28">
        <v>235000</v>
      </c>
      <c r="F72" s="29">
        <v>3638.0349999999999</v>
      </c>
      <c r="G72" s="30">
        <v>6.2068499999999999E-3</v>
      </c>
      <c r="H72" s="25" t="s">
        <v>148</v>
      </c>
    </row>
    <row r="73" spans="1:8" x14ac:dyDescent="0.2">
      <c r="A73" s="26">
        <v>67</v>
      </c>
      <c r="B73" s="27" t="s">
        <v>127</v>
      </c>
      <c r="C73" s="27" t="s">
        <v>128</v>
      </c>
      <c r="D73" s="27" t="s">
        <v>45</v>
      </c>
      <c r="E73" s="28">
        <v>614000</v>
      </c>
      <c r="F73" s="29">
        <v>3537.2539999999999</v>
      </c>
      <c r="G73" s="30">
        <v>6.0349100000000001E-3</v>
      </c>
      <c r="H73" s="25" t="s">
        <v>148</v>
      </c>
    </row>
    <row r="74" spans="1:8" x14ac:dyDescent="0.2">
      <c r="A74" s="26">
        <v>68</v>
      </c>
      <c r="B74" s="27" t="s">
        <v>129</v>
      </c>
      <c r="C74" s="27" t="s">
        <v>130</v>
      </c>
      <c r="D74" s="27" t="s">
        <v>42</v>
      </c>
      <c r="E74" s="28">
        <v>1893584</v>
      </c>
      <c r="F74" s="29">
        <v>3392.7344527999999</v>
      </c>
      <c r="G74" s="30">
        <v>5.7883400000000003E-3</v>
      </c>
      <c r="H74" s="25" t="s">
        <v>148</v>
      </c>
    </row>
    <row r="75" spans="1:8" x14ac:dyDescent="0.2">
      <c r="A75" s="26">
        <v>69</v>
      </c>
      <c r="B75" s="27" t="s">
        <v>125</v>
      </c>
      <c r="C75" s="27" t="s">
        <v>126</v>
      </c>
      <c r="D75" s="27" t="s">
        <v>64</v>
      </c>
      <c r="E75" s="28">
        <v>1346700</v>
      </c>
      <c r="F75" s="29">
        <v>3364.7299499999999</v>
      </c>
      <c r="G75" s="30">
        <v>5.7405599999999996E-3</v>
      </c>
      <c r="H75" s="25" t="s">
        <v>148</v>
      </c>
    </row>
    <row r="76" spans="1:8" x14ac:dyDescent="0.2">
      <c r="A76" s="26">
        <v>70</v>
      </c>
      <c r="B76" s="27" t="s">
        <v>308</v>
      </c>
      <c r="C76" s="27" t="s">
        <v>309</v>
      </c>
      <c r="D76" s="27" t="s">
        <v>275</v>
      </c>
      <c r="E76" s="28">
        <v>5663245</v>
      </c>
      <c r="F76" s="29">
        <v>3218.4221335000002</v>
      </c>
      <c r="G76" s="30">
        <v>5.4909499999999997E-3</v>
      </c>
      <c r="H76" s="25" t="s">
        <v>148</v>
      </c>
    </row>
    <row r="77" spans="1:8" x14ac:dyDescent="0.2">
      <c r="A77" s="26">
        <v>71</v>
      </c>
      <c r="B77" s="27" t="s">
        <v>374</v>
      </c>
      <c r="C77" s="27" t="s">
        <v>375</v>
      </c>
      <c r="D77" s="27" t="s">
        <v>376</v>
      </c>
      <c r="E77" s="28">
        <v>825000</v>
      </c>
      <c r="F77" s="29">
        <v>3047.1374999999998</v>
      </c>
      <c r="G77" s="30">
        <v>5.1987200000000004E-3</v>
      </c>
      <c r="H77" s="25" t="s">
        <v>148</v>
      </c>
    </row>
    <row r="78" spans="1:8" x14ac:dyDescent="0.2">
      <c r="A78" s="26">
        <v>72</v>
      </c>
      <c r="B78" s="27" t="s">
        <v>268</v>
      </c>
      <c r="C78" s="27" t="s">
        <v>269</v>
      </c>
      <c r="D78" s="27" t="s">
        <v>270</v>
      </c>
      <c r="E78" s="28">
        <v>550000</v>
      </c>
      <c r="F78" s="29">
        <v>3033.8</v>
      </c>
      <c r="G78" s="30">
        <v>5.1759600000000003E-3</v>
      </c>
      <c r="H78" s="25" t="s">
        <v>148</v>
      </c>
    </row>
    <row r="79" spans="1:8" x14ac:dyDescent="0.2">
      <c r="A79" s="26">
        <v>73</v>
      </c>
      <c r="B79" s="27" t="s">
        <v>103</v>
      </c>
      <c r="C79" s="27" t="s">
        <v>104</v>
      </c>
      <c r="D79" s="27" t="s">
        <v>22</v>
      </c>
      <c r="E79" s="28">
        <v>240000</v>
      </c>
      <c r="F79" s="29">
        <v>3031.08</v>
      </c>
      <c r="G79" s="30">
        <v>5.1713200000000001E-3</v>
      </c>
      <c r="H79" s="25" t="s">
        <v>148</v>
      </c>
    </row>
    <row r="80" spans="1:8" x14ac:dyDescent="0.2">
      <c r="A80" s="26">
        <v>74</v>
      </c>
      <c r="B80" s="27" t="s">
        <v>55</v>
      </c>
      <c r="C80" s="27" t="s">
        <v>56</v>
      </c>
      <c r="D80" s="27" t="s">
        <v>22</v>
      </c>
      <c r="E80" s="28">
        <v>810000</v>
      </c>
      <c r="F80" s="29">
        <v>2747.52</v>
      </c>
      <c r="G80" s="30">
        <v>4.6875399999999996E-3</v>
      </c>
      <c r="H80" s="25" t="s">
        <v>148</v>
      </c>
    </row>
    <row r="81" spans="1:8" x14ac:dyDescent="0.2">
      <c r="A81" s="26">
        <v>75</v>
      </c>
      <c r="B81" s="27" t="s">
        <v>318</v>
      </c>
      <c r="C81" s="27" t="s">
        <v>319</v>
      </c>
      <c r="D81" s="27" t="s">
        <v>320</v>
      </c>
      <c r="E81" s="28">
        <v>275000</v>
      </c>
      <c r="F81" s="29">
        <v>1457.3625</v>
      </c>
      <c r="G81" s="30">
        <v>2.4864100000000001E-3</v>
      </c>
      <c r="H81" s="25" t="s">
        <v>148</v>
      </c>
    </row>
    <row r="82" spans="1:8" x14ac:dyDescent="0.2">
      <c r="A82" s="23"/>
      <c r="B82" s="23"/>
      <c r="C82" s="24" t="s">
        <v>147</v>
      </c>
      <c r="D82" s="23"/>
      <c r="E82" s="23" t="s">
        <v>148</v>
      </c>
      <c r="F82" s="31">
        <v>564687.98400629999</v>
      </c>
      <c r="G82" s="32">
        <v>0.96341359000000004</v>
      </c>
      <c r="H82" s="25" t="s">
        <v>148</v>
      </c>
    </row>
    <row r="83" spans="1:8" x14ac:dyDescent="0.2">
      <c r="A83" s="23"/>
      <c r="B83" s="23"/>
      <c r="C83" s="33"/>
      <c r="D83" s="23"/>
      <c r="E83" s="23"/>
      <c r="F83" s="34"/>
      <c r="G83" s="34"/>
      <c r="H83" s="25" t="s">
        <v>148</v>
      </c>
    </row>
    <row r="84" spans="1:8" x14ac:dyDescent="0.2">
      <c r="A84" s="23"/>
      <c r="B84" s="23"/>
      <c r="C84" s="24" t="s">
        <v>149</v>
      </c>
      <c r="D84" s="23"/>
      <c r="E84" s="23"/>
      <c r="F84" s="23"/>
      <c r="G84" s="23"/>
      <c r="H84" s="25" t="s">
        <v>148</v>
      </c>
    </row>
    <row r="85" spans="1:8" x14ac:dyDescent="0.2">
      <c r="A85" s="23"/>
      <c r="B85" s="23"/>
      <c r="C85" s="24" t="s">
        <v>147</v>
      </c>
      <c r="D85" s="23"/>
      <c r="E85" s="23" t="s">
        <v>148</v>
      </c>
      <c r="F85" s="35" t="s">
        <v>150</v>
      </c>
      <c r="G85" s="32">
        <v>0</v>
      </c>
      <c r="H85" s="25" t="s">
        <v>148</v>
      </c>
    </row>
    <row r="86" spans="1:8" x14ac:dyDescent="0.2">
      <c r="A86" s="23"/>
      <c r="B86" s="23"/>
      <c r="C86" s="33"/>
      <c r="D86" s="23"/>
      <c r="E86" s="23"/>
      <c r="F86" s="34"/>
      <c r="G86" s="34"/>
      <c r="H86" s="25" t="s">
        <v>148</v>
      </c>
    </row>
    <row r="87" spans="1:8" x14ac:dyDescent="0.2">
      <c r="A87" s="23"/>
      <c r="B87" s="23"/>
      <c r="C87" s="24" t="s">
        <v>151</v>
      </c>
      <c r="D87" s="23"/>
      <c r="E87" s="23"/>
      <c r="F87" s="23"/>
      <c r="G87" s="23"/>
      <c r="H87" s="25" t="s">
        <v>148</v>
      </c>
    </row>
    <row r="88" spans="1:8" x14ac:dyDescent="0.2">
      <c r="A88" s="23"/>
      <c r="B88" s="23"/>
      <c r="C88" s="24" t="s">
        <v>147</v>
      </c>
      <c r="D88" s="23"/>
      <c r="E88" s="23" t="s">
        <v>148</v>
      </c>
      <c r="F88" s="35" t="s">
        <v>150</v>
      </c>
      <c r="G88" s="32">
        <v>0</v>
      </c>
      <c r="H88" s="25" t="s">
        <v>148</v>
      </c>
    </row>
    <row r="89" spans="1:8" x14ac:dyDescent="0.2">
      <c r="A89" s="23"/>
      <c r="B89" s="23"/>
      <c r="C89" s="33"/>
      <c r="D89" s="23"/>
      <c r="E89" s="23"/>
      <c r="F89" s="34"/>
      <c r="G89" s="34"/>
      <c r="H89" s="25" t="s">
        <v>148</v>
      </c>
    </row>
    <row r="90" spans="1:8" x14ac:dyDescent="0.2">
      <c r="A90" s="23"/>
      <c r="B90" s="23"/>
      <c r="C90" s="24" t="s">
        <v>152</v>
      </c>
      <c r="D90" s="23"/>
      <c r="E90" s="23"/>
      <c r="F90" s="23"/>
      <c r="G90" s="23"/>
      <c r="H90" s="25" t="s">
        <v>148</v>
      </c>
    </row>
    <row r="91" spans="1:8" x14ac:dyDescent="0.2">
      <c r="A91" s="23"/>
      <c r="B91" s="23"/>
      <c r="C91" s="24" t="s">
        <v>147</v>
      </c>
      <c r="D91" s="23"/>
      <c r="E91" s="23" t="s">
        <v>148</v>
      </c>
      <c r="F91" s="35" t="s">
        <v>150</v>
      </c>
      <c r="G91" s="32">
        <v>0</v>
      </c>
      <c r="H91" s="25" t="s">
        <v>148</v>
      </c>
    </row>
    <row r="92" spans="1:8" x14ac:dyDescent="0.2">
      <c r="A92" s="23"/>
      <c r="B92" s="23"/>
      <c r="C92" s="33"/>
      <c r="D92" s="23"/>
      <c r="E92" s="23"/>
      <c r="F92" s="34"/>
      <c r="G92" s="34"/>
      <c r="H92" s="25" t="s">
        <v>148</v>
      </c>
    </row>
    <row r="93" spans="1:8" x14ac:dyDescent="0.2">
      <c r="A93" s="23"/>
      <c r="B93" s="23"/>
      <c r="C93" s="24" t="s">
        <v>153</v>
      </c>
      <c r="D93" s="23"/>
      <c r="E93" s="23"/>
      <c r="F93" s="34"/>
      <c r="G93" s="34"/>
      <c r="H93" s="25" t="s">
        <v>148</v>
      </c>
    </row>
    <row r="94" spans="1:8" x14ac:dyDescent="0.2">
      <c r="A94" s="23"/>
      <c r="B94" s="23"/>
      <c r="C94" s="24" t="s">
        <v>147</v>
      </c>
      <c r="D94" s="23"/>
      <c r="E94" s="23" t="s">
        <v>148</v>
      </c>
      <c r="F94" s="35" t="s">
        <v>150</v>
      </c>
      <c r="G94" s="32">
        <v>0</v>
      </c>
      <c r="H94" s="25" t="s">
        <v>148</v>
      </c>
    </row>
    <row r="95" spans="1:8" x14ac:dyDescent="0.2">
      <c r="A95" s="23"/>
      <c r="B95" s="23"/>
      <c r="C95" s="33"/>
      <c r="D95" s="23"/>
      <c r="E95" s="23"/>
      <c r="F95" s="34"/>
      <c r="G95" s="34"/>
      <c r="H95" s="25" t="s">
        <v>148</v>
      </c>
    </row>
    <row r="96" spans="1:8" x14ac:dyDescent="0.2">
      <c r="A96" s="23"/>
      <c r="B96" s="23"/>
      <c r="C96" s="24" t="s">
        <v>154</v>
      </c>
      <c r="D96" s="23"/>
      <c r="E96" s="23"/>
      <c r="F96" s="34"/>
      <c r="G96" s="34"/>
      <c r="H96" s="25" t="s">
        <v>148</v>
      </c>
    </row>
    <row r="97" spans="1:8" x14ac:dyDescent="0.2">
      <c r="A97" s="23"/>
      <c r="B97" s="23"/>
      <c r="C97" s="24" t="s">
        <v>147</v>
      </c>
      <c r="D97" s="23"/>
      <c r="E97" s="23" t="s">
        <v>148</v>
      </c>
      <c r="F97" s="35" t="s">
        <v>150</v>
      </c>
      <c r="G97" s="32">
        <v>0</v>
      </c>
      <c r="H97" s="25" t="s">
        <v>148</v>
      </c>
    </row>
    <row r="98" spans="1:8" x14ac:dyDescent="0.2">
      <c r="A98" s="23"/>
      <c r="B98" s="23"/>
      <c r="C98" s="33"/>
      <c r="D98" s="23"/>
      <c r="E98" s="23"/>
      <c r="F98" s="34"/>
      <c r="G98" s="34"/>
      <c r="H98" s="25" t="s">
        <v>148</v>
      </c>
    </row>
    <row r="99" spans="1:8" x14ac:dyDescent="0.2">
      <c r="A99" s="23"/>
      <c r="B99" s="23"/>
      <c r="C99" s="24" t="s">
        <v>155</v>
      </c>
      <c r="D99" s="23"/>
      <c r="E99" s="23"/>
      <c r="F99" s="31">
        <v>564687.98400629999</v>
      </c>
      <c r="G99" s="32">
        <v>0.96341359000000004</v>
      </c>
      <c r="H99" s="25" t="s">
        <v>148</v>
      </c>
    </row>
    <row r="100" spans="1:8" x14ac:dyDescent="0.2">
      <c r="A100" s="23"/>
      <c r="B100" s="23"/>
      <c r="C100" s="33"/>
      <c r="D100" s="23"/>
      <c r="E100" s="23"/>
      <c r="F100" s="34"/>
      <c r="G100" s="34"/>
      <c r="H100" s="25" t="s">
        <v>148</v>
      </c>
    </row>
    <row r="101" spans="1:8" x14ac:dyDescent="0.2">
      <c r="A101" s="23"/>
      <c r="B101" s="23"/>
      <c r="C101" s="24" t="s">
        <v>156</v>
      </c>
      <c r="D101" s="23"/>
      <c r="E101" s="23"/>
      <c r="F101" s="34"/>
      <c r="G101" s="34"/>
      <c r="H101" s="25" t="s">
        <v>148</v>
      </c>
    </row>
    <row r="102" spans="1:8" x14ac:dyDescent="0.2">
      <c r="A102" s="23"/>
      <c r="B102" s="23"/>
      <c r="C102" s="24" t="s">
        <v>10</v>
      </c>
      <c r="D102" s="23"/>
      <c r="E102" s="23"/>
      <c r="F102" s="34"/>
      <c r="G102" s="34"/>
      <c r="H102" s="25" t="s">
        <v>148</v>
      </c>
    </row>
    <row r="103" spans="1:8" x14ac:dyDescent="0.2">
      <c r="A103" s="23"/>
      <c r="B103" s="23"/>
      <c r="C103" s="24" t="s">
        <v>147</v>
      </c>
      <c r="D103" s="23"/>
      <c r="E103" s="23" t="s">
        <v>148</v>
      </c>
      <c r="F103" s="35" t="s">
        <v>150</v>
      </c>
      <c r="G103" s="32">
        <v>0</v>
      </c>
      <c r="H103" s="25" t="s">
        <v>148</v>
      </c>
    </row>
    <row r="104" spans="1:8" x14ac:dyDescent="0.2">
      <c r="A104" s="23"/>
      <c r="B104" s="23"/>
      <c r="C104" s="33"/>
      <c r="D104" s="23"/>
      <c r="E104" s="23"/>
      <c r="F104" s="34"/>
      <c r="G104" s="34"/>
      <c r="H104" s="25" t="s">
        <v>148</v>
      </c>
    </row>
    <row r="105" spans="1:8" x14ac:dyDescent="0.2">
      <c r="A105" s="23"/>
      <c r="B105" s="23"/>
      <c r="C105" s="24" t="s">
        <v>157</v>
      </c>
      <c r="D105" s="23"/>
      <c r="E105" s="23"/>
      <c r="F105" s="23"/>
      <c r="G105" s="23"/>
      <c r="H105" s="25" t="s">
        <v>148</v>
      </c>
    </row>
    <row r="106" spans="1:8" x14ac:dyDescent="0.2">
      <c r="A106" s="23"/>
      <c r="B106" s="23"/>
      <c r="C106" s="24" t="s">
        <v>147</v>
      </c>
      <c r="D106" s="23"/>
      <c r="E106" s="23" t="s">
        <v>148</v>
      </c>
      <c r="F106" s="35" t="s">
        <v>150</v>
      </c>
      <c r="G106" s="32">
        <v>0</v>
      </c>
      <c r="H106" s="25" t="s">
        <v>148</v>
      </c>
    </row>
    <row r="107" spans="1:8" x14ac:dyDescent="0.2">
      <c r="A107" s="23"/>
      <c r="B107" s="23"/>
      <c r="C107" s="33"/>
      <c r="D107" s="23"/>
      <c r="E107" s="23"/>
      <c r="F107" s="34"/>
      <c r="G107" s="34"/>
      <c r="H107" s="25" t="s">
        <v>148</v>
      </c>
    </row>
    <row r="108" spans="1:8" x14ac:dyDescent="0.2">
      <c r="A108" s="23"/>
      <c r="B108" s="23"/>
      <c r="C108" s="24" t="s">
        <v>158</v>
      </c>
      <c r="D108" s="23"/>
      <c r="E108" s="23"/>
      <c r="F108" s="23"/>
      <c r="G108" s="23"/>
      <c r="H108" s="25" t="s">
        <v>148</v>
      </c>
    </row>
    <row r="109" spans="1:8" x14ac:dyDescent="0.2">
      <c r="A109" s="23"/>
      <c r="B109" s="23"/>
      <c r="C109" s="24" t="s">
        <v>147</v>
      </c>
      <c r="D109" s="23"/>
      <c r="E109" s="23" t="s">
        <v>148</v>
      </c>
      <c r="F109" s="35" t="s">
        <v>150</v>
      </c>
      <c r="G109" s="32">
        <v>0</v>
      </c>
      <c r="H109" s="25" t="s">
        <v>148</v>
      </c>
    </row>
    <row r="110" spans="1:8" x14ac:dyDescent="0.2">
      <c r="A110" s="23"/>
      <c r="B110" s="23"/>
      <c r="C110" s="33"/>
      <c r="D110" s="23"/>
      <c r="E110" s="23"/>
      <c r="F110" s="34"/>
      <c r="G110" s="34"/>
      <c r="H110" s="25" t="s">
        <v>148</v>
      </c>
    </row>
    <row r="111" spans="1:8" x14ac:dyDescent="0.2">
      <c r="A111" s="23"/>
      <c r="B111" s="23"/>
      <c r="C111" s="24" t="s">
        <v>159</v>
      </c>
      <c r="D111" s="23"/>
      <c r="E111" s="23"/>
      <c r="F111" s="34"/>
      <c r="G111" s="34"/>
      <c r="H111" s="25" t="s">
        <v>148</v>
      </c>
    </row>
    <row r="112" spans="1:8" x14ac:dyDescent="0.2">
      <c r="A112" s="23"/>
      <c r="B112" s="23"/>
      <c r="C112" s="24" t="s">
        <v>147</v>
      </c>
      <c r="D112" s="23"/>
      <c r="E112" s="23" t="s">
        <v>148</v>
      </c>
      <c r="F112" s="35" t="s">
        <v>150</v>
      </c>
      <c r="G112" s="32">
        <v>0</v>
      </c>
      <c r="H112" s="25" t="s">
        <v>148</v>
      </c>
    </row>
    <row r="113" spans="1:8" x14ac:dyDescent="0.2">
      <c r="A113" s="23"/>
      <c r="B113" s="23"/>
      <c r="C113" s="33"/>
      <c r="D113" s="23"/>
      <c r="E113" s="23"/>
      <c r="F113" s="34"/>
      <c r="G113" s="34"/>
      <c r="H113" s="25" t="s">
        <v>148</v>
      </c>
    </row>
    <row r="114" spans="1:8" x14ac:dyDescent="0.2">
      <c r="A114" s="23"/>
      <c r="B114" s="23"/>
      <c r="C114" s="24" t="s">
        <v>160</v>
      </c>
      <c r="D114" s="23"/>
      <c r="E114" s="23"/>
      <c r="F114" s="31">
        <v>0</v>
      </c>
      <c r="G114" s="32">
        <v>0</v>
      </c>
      <c r="H114" s="25" t="s">
        <v>148</v>
      </c>
    </row>
    <row r="115" spans="1:8" x14ac:dyDescent="0.2">
      <c r="A115" s="23"/>
      <c r="B115" s="23"/>
      <c r="C115" s="33"/>
      <c r="D115" s="23"/>
      <c r="E115" s="23"/>
      <c r="F115" s="34"/>
      <c r="G115" s="34"/>
      <c r="H115" s="25" t="s">
        <v>148</v>
      </c>
    </row>
    <row r="116" spans="1:8" x14ac:dyDescent="0.2">
      <c r="A116" s="23"/>
      <c r="B116" s="23"/>
      <c r="C116" s="24" t="s">
        <v>161</v>
      </c>
      <c r="D116" s="23"/>
      <c r="E116" s="23"/>
      <c r="F116" s="34"/>
      <c r="G116" s="34"/>
      <c r="H116" s="25" t="s">
        <v>148</v>
      </c>
    </row>
    <row r="117" spans="1:8" x14ac:dyDescent="0.2">
      <c r="A117" s="23"/>
      <c r="B117" s="23"/>
      <c r="C117" s="24" t="s">
        <v>162</v>
      </c>
      <c r="D117" s="23"/>
      <c r="E117" s="23"/>
      <c r="F117" s="34"/>
      <c r="G117" s="34"/>
      <c r="H117" s="25" t="s">
        <v>148</v>
      </c>
    </row>
    <row r="118" spans="1:8" x14ac:dyDescent="0.2">
      <c r="A118" s="23"/>
      <c r="B118" s="23"/>
      <c r="C118" s="24" t="s">
        <v>147</v>
      </c>
      <c r="D118" s="23"/>
      <c r="E118" s="23" t="s">
        <v>148</v>
      </c>
      <c r="F118" s="35" t="s">
        <v>150</v>
      </c>
      <c r="G118" s="32">
        <v>0</v>
      </c>
      <c r="H118" s="25" t="s">
        <v>148</v>
      </c>
    </row>
    <row r="119" spans="1:8" x14ac:dyDescent="0.2">
      <c r="A119" s="23"/>
      <c r="B119" s="23"/>
      <c r="C119" s="33"/>
      <c r="D119" s="23"/>
      <c r="E119" s="23"/>
      <c r="F119" s="34"/>
      <c r="G119" s="34"/>
      <c r="H119" s="25" t="s">
        <v>148</v>
      </c>
    </row>
    <row r="120" spans="1:8" x14ac:dyDescent="0.2">
      <c r="A120" s="23"/>
      <c r="B120" s="23"/>
      <c r="C120" s="24" t="s">
        <v>163</v>
      </c>
      <c r="D120" s="23"/>
      <c r="E120" s="23"/>
      <c r="F120" s="34"/>
      <c r="G120" s="34"/>
      <c r="H120" s="25" t="s">
        <v>148</v>
      </c>
    </row>
    <row r="121" spans="1:8" x14ac:dyDescent="0.2">
      <c r="A121" s="23"/>
      <c r="B121" s="23"/>
      <c r="C121" s="24" t="s">
        <v>147</v>
      </c>
      <c r="D121" s="23"/>
      <c r="E121" s="23" t="s">
        <v>148</v>
      </c>
      <c r="F121" s="35" t="s">
        <v>150</v>
      </c>
      <c r="G121" s="32">
        <v>0</v>
      </c>
      <c r="H121" s="25" t="s">
        <v>148</v>
      </c>
    </row>
    <row r="122" spans="1:8" x14ac:dyDescent="0.2">
      <c r="A122" s="23"/>
      <c r="B122" s="23"/>
      <c r="C122" s="33"/>
      <c r="D122" s="23"/>
      <c r="E122" s="23"/>
      <c r="F122" s="34"/>
      <c r="G122" s="34"/>
      <c r="H122" s="25" t="s">
        <v>148</v>
      </c>
    </row>
    <row r="123" spans="1:8" x14ac:dyDescent="0.2">
      <c r="A123" s="23"/>
      <c r="B123" s="23"/>
      <c r="C123" s="24" t="s">
        <v>164</v>
      </c>
      <c r="D123" s="23"/>
      <c r="E123" s="23"/>
      <c r="F123" s="34"/>
      <c r="G123" s="34"/>
      <c r="H123" s="25" t="s">
        <v>148</v>
      </c>
    </row>
    <row r="124" spans="1:8" x14ac:dyDescent="0.2">
      <c r="A124" s="23"/>
      <c r="B124" s="23"/>
      <c r="C124" s="24" t="s">
        <v>147</v>
      </c>
      <c r="D124" s="23"/>
      <c r="E124" s="23" t="s">
        <v>148</v>
      </c>
      <c r="F124" s="35" t="s">
        <v>150</v>
      </c>
      <c r="G124" s="32">
        <v>0</v>
      </c>
      <c r="H124" s="25" t="s">
        <v>148</v>
      </c>
    </row>
    <row r="125" spans="1:8" x14ac:dyDescent="0.2">
      <c r="A125" s="23"/>
      <c r="B125" s="23"/>
      <c r="C125" s="33"/>
      <c r="D125" s="23"/>
      <c r="E125" s="23"/>
      <c r="F125" s="34"/>
      <c r="G125" s="34"/>
      <c r="H125" s="25" t="s">
        <v>148</v>
      </c>
    </row>
    <row r="126" spans="1:8" x14ac:dyDescent="0.2">
      <c r="A126" s="23"/>
      <c r="B126" s="23"/>
      <c r="C126" s="24" t="s">
        <v>165</v>
      </c>
      <c r="D126" s="23"/>
      <c r="E126" s="23"/>
      <c r="F126" s="34"/>
      <c r="G126" s="34"/>
      <c r="H126" s="25" t="s">
        <v>148</v>
      </c>
    </row>
    <row r="127" spans="1:8" x14ac:dyDescent="0.2">
      <c r="A127" s="26">
        <v>1</v>
      </c>
      <c r="B127" s="27"/>
      <c r="C127" s="27" t="s">
        <v>166</v>
      </c>
      <c r="D127" s="27"/>
      <c r="E127" s="36"/>
      <c r="F127" s="29">
        <v>4031.655930503</v>
      </c>
      <c r="G127" s="30">
        <v>6.8783999999999998E-3</v>
      </c>
      <c r="H127" s="25">
        <v>6.23</v>
      </c>
    </row>
    <row r="128" spans="1:8" x14ac:dyDescent="0.2">
      <c r="A128" s="23"/>
      <c r="B128" s="23"/>
      <c r="C128" s="24" t="s">
        <v>147</v>
      </c>
      <c r="D128" s="23"/>
      <c r="E128" s="23" t="s">
        <v>148</v>
      </c>
      <c r="F128" s="31">
        <v>4031.655930503</v>
      </c>
      <c r="G128" s="32">
        <v>6.8783999999999998E-3</v>
      </c>
      <c r="H128" s="25" t="s">
        <v>148</v>
      </c>
    </row>
    <row r="129" spans="1:8" x14ac:dyDescent="0.2">
      <c r="A129" s="23"/>
      <c r="B129" s="23"/>
      <c r="C129" s="33"/>
      <c r="D129" s="23"/>
      <c r="E129" s="23"/>
      <c r="F129" s="34"/>
      <c r="G129" s="34"/>
      <c r="H129" s="25" t="s">
        <v>148</v>
      </c>
    </row>
    <row r="130" spans="1:8" x14ac:dyDescent="0.2">
      <c r="A130" s="23"/>
      <c r="B130" s="23"/>
      <c r="C130" s="24" t="s">
        <v>167</v>
      </c>
      <c r="D130" s="23"/>
      <c r="E130" s="23"/>
      <c r="F130" s="31">
        <v>4031.655930503</v>
      </c>
      <c r="G130" s="32">
        <v>6.8783999999999998E-3</v>
      </c>
      <c r="H130" s="25" t="s">
        <v>148</v>
      </c>
    </row>
    <row r="131" spans="1:8" x14ac:dyDescent="0.2">
      <c r="A131" s="23"/>
      <c r="B131" s="23"/>
      <c r="C131" s="34"/>
      <c r="D131" s="23"/>
      <c r="E131" s="23"/>
      <c r="F131" s="23"/>
      <c r="G131" s="23"/>
      <c r="H131" s="25" t="s">
        <v>148</v>
      </c>
    </row>
    <row r="132" spans="1:8" x14ac:dyDescent="0.2">
      <c r="A132" s="23"/>
      <c r="B132" s="23"/>
      <c r="C132" s="24" t="s">
        <v>168</v>
      </c>
      <c r="D132" s="23"/>
      <c r="E132" s="23"/>
      <c r="F132" s="23"/>
      <c r="G132" s="23"/>
      <c r="H132" s="25" t="s">
        <v>148</v>
      </c>
    </row>
    <row r="133" spans="1:8" x14ac:dyDescent="0.2">
      <c r="A133" s="23"/>
      <c r="B133" s="23"/>
      <c r="C133" s="24" t="s">
        <v>169</v>
      </c>
      <c r="D133" s="23"/>
      <c r="E133" s="23"/>
      <c r="F133" s="23"/>
      <c r="G133" s="23"/>
      <c r="H133" s="25" t="s">
        <v>148</v>
      </c>
    </row>
    <row r="134" spans="1:8" ht="25.5" x14ac:dyDescent="0.2">
      <c r="A134" s="26">
        <v>1</v>
      </c>
      <c r="B134" s="27" t="s">
        <v>170</v>
      </c>
      <c r="C134" s="27" t="s">
        <v>171</v>
      </c>
      <c r="D134" s="27"/>
      <c r="E134" s="37">
        <v>51143454.461000003</v>
      </c>
      <c r="F134" s="29">
        <v>7504.4836468800004</v>
      </c>
      <c r="G134" s="30">
        <v>1.280339E-2</v>
      </c>
      <c r="H134" s="25" t="s">
        <v>148</v>
      </c>
    </row>
    <row r="135" spans="1:8" x14ac:dyDescent="0.2">
      <c r="A135" s="23"/>
      <c r="B135" s="23"/>
      <c r="C135" s="24" t="s">
        <v>147</v>
      </c>
      <c r="D135" s="23"/>
      <c r="E135" s="23" t="s">
        <v>148</v>
      </c>
      <c r="F135" s="31">
        <v>7504.4836468800004</v>
      </c>
      <c r="G135" s="32">
        <v>1.280339E-2</v>
      </c>
      <c r="H135" s="25" t="s">
        <v>148</v>
      </c>
    </row>
    <row r="136" spans="1:8" x14ac:dyDescent="0.2">
      <c r="A136" s="23"/>
      <c r="B136" s="23"/>
      <c r="C136" s="33"/>
      <c r="D136" s="23"/>
      <c r="E136" s="23"/>
      <c r="F136" s="34"/>
      <c r="G136" s="34"/>
      <c r="H136" s="25" t="s">
        <v>148</v>
      </c>
    </row>
    <row r="137" spans="1:8" x14ac:dyDescent="0.2">
      <c r="A137" s="23"/>
      <c r="B137" s="23"/>
      <c r="C137" s="24" t="s">
        <v>172</v>
      </c>
      <c r="D137" s="23"/>
      <c r="E137" s="23"/>
      <c r="F137" s="23"/>
      <c r="G137" s="23"/>
      <c r="H137" s="25" t="s">
        <v>148</v>
      </c>
    </row>
    <row r="138" spans="1:8" x14ac:dyDescent="0.2">
      <c r="A138" s="23"/>
      <c r="B138" s="23"/>
      <c r="C138" s="24" t="s">
        <v>173</v>
      </c>
      <c r="D138" s="23"/>
      <c r="E138" s="23"/>
      <c r="F138" s="23"/>
      <c r="G138" s="23"/>
      <c r="H138" s="25" t="s">
        <v>148</v>
      </c>
    </row>
    <row r="139" spans="1:8" x14ac:dyDescent="0.2">
      <c r="A139" s="23"/>
      <c r="B139" s="23"/>
      <c r="C139" s="24" t="s">
        <v>147</v>
      </c>
      <c r="D139" s="23"/>
      <c r="E139" s="23" t="s">
        <v>148</v>
      </c>
      <c r="F139" s="35" t="s">
        <v>150</v>
      </c>
      <c r="G139" s="32">
        <v>0</v>
      </c>
      <c r="H139" s="25" t="s">
        <v>148</v>
      </c>
    </row>
    <row r="140" spans="1:8" x14ac:dyDescent="0.2">
      <c r="A140" s="23"/>
      <c r="B140" s="23"/>
      <c r="C140" s="33"/>
      <c r="D140" s="23"/>
      <c r="E140" s="23"/>
      <c r="F140" s="34"/>
      <c r="G140" s="34"/>
      <c r="H140" s="25" t="s">
        <v>148</v>
      </c>
    </row>
    <row r="141" spans="1:8" x14ac:dyDescent="0.2">
      <c r="A141" s="23"/>
      <c r="B141" s="23"/>
      <c r="C141" s="24" t="s">
        <v>174</v>
      </c>
      <c r="D141" s="23"/>
      <c r="E141" s="23"/>
      <c r="F141" s="34"/>
      <c r="G141" s="34"/>
      <c r="H141" s="25" t="s">
        <v>148</v>
      </c>
    </row>
    <row r="142" spans="1:8" x14ac:dyDescent="0.2">
      <c r="A142" s="23"/>
      <c r="B142" s="23"/>
      <c r="C142" s="24" t="s">
        <v>147</v>
      </c>
      <c r="D142" s="23"/>
      <c r="E142" s="23" t="s">
        <v>148</v>
      </c>
      <c r="F142" s="35" t="s">
        <v>150</v>
      </c>
      <c r="G142" s="32">
        <v>0</v>
      </c>
      <c r="H142" s="25" t="s">
        <v>148</v>
      </c>
    </row>
    <row r="143" spans="1:8" x14ac:dyDescent="0.2">
      <c r="A143" s="23"/>
      <c r="B143" s="23"/>
      <c r="C143" s="33"/>
      <c r="D143" s="23"/>
      <c r="E143" s="23"/>
      <c r="F143" s="34"/>
      <c r="G143" s="34"/>
      <c r="H143" s="25" t="s">
        <v>148</v>
      </c>
    </row>
    <row r="144" spans="1:8" x14ac:dyDescent="0.2">
      <c r="A144" s="36"/>
      <c r="B144" s="27"/>
      <c r="C144" s="27" t="s">
        <v>175</v>
      </c>
      <c r="D144" s="27"/>
      <c r="E144" s="36"/>
      <c r="F144" s="29">
        <v>9908.3740426000004</v>
      </c>
      <c r="G144" s="30">
        <v>1.690467E-2</v>
      </c>
      <c r="H144" s="25" t="s">
        <v>148</v>
      </c>
    </row>
    <row r="145" spans="1:17" x14ac:dyDescent="0.2">
      <c r="A145" s="33"/>
      <c r="B145" s="33"/>
      <c r="C145" s="24" t="s">
        <v>176</v>
      </c>
      <c r="D145" s="34"/>
      <c r="E145" s="34"/>
      <c r="F145" s="31">
        <v>586132.49762628297</v>
      </c>
      <c r="G145" s="39">
        <v>1.0000000499999999</v>
      </c>
      <c r="H145" s="25" t="s">
        <v>148</v>
      </c>
    </row>
    <row r="146" spans="1:17" x14ac:dyDescent="0.2">
      <c r="A146" s="40"/>
      <c r="B146" s="40"/>
      <c r="C146" s="40"/>
      <c r="D146" s="41"/>
      <c r="E146" s="41"/>
      <c r="F146" s="41"/>
      <c r="G146" s="41"/>
    </row>
    <row r="147" spans="1:17" x14ac:dyDescent="0.2">
      <c r="A147" s="42"/>
      <c r="B147" s="237" t="s">
        <v>891</v>
      </c>
      <c r="C147" s="237"/>
      <c r="D147" s="237"/>
      <c r="E147" s="237"/>
      <c r="F147" s="237"/>
      <c r="G147" s="237"/>
      <c r="H147" s="237"/>
      <c r="J147" s="44"/>
    </row>
    <row r="148" spans="1:17" x14ac:dyDescent="0.2">
      <c r="A148" s="42"/>
      <c r="B148" s="237" t="s">
        <v>892</v>
      </c>
      <c r="C148" s="237"/>
      <c r="D148" s="237"/>
      <c r="E148" s="237"/>
      <c r="F148" s="237"/>
      <c r="G148" s="237"/>
      <c r="H148" s="237"/>
      <c r="J148" s="44"/>
    </row>
    <row r="149" spans="1:17" x14ac:dyDescent="0.2">
      <c r="A149" s="42"/>
      <c r="B149" s="237" t="s">
        <v>893</v>
      </c>
      <c r="C149" s="237"/>
      <c r="D149" s="237"/>
      <c r="E149" s="237"/>
      <c r="F149" s="237"/>
      <c r="G149" s="237"/>
      <c r="H149" s="237"/>
      <c r="J149" s="44"/>
    </row>
    <row r="150" spans="1:17" s="46" customFormat="1" ht="66.75" customHeight="1" x14ac:dyDescent="0.25">
      <c r="A150" s="45"/>
      <c r="B150" s="239" t="s">
        <v>894</v>
      </c>
      <c r="C150" s="239"/>
      <c r="D150" s="239"/>
      <c r="E150" s="239"/>
      <c r="F150" s="239"/>
      <c r="G150" s="239"/>
      <c r="H150" s="239"/>
      <c r="I150"/>
      <c r="J150" s="44"/>
      <c r="K150"/>
      <c r="L150"/>
      <c r="M150"/>
      <c r="N150"/>
      <c r="O150"/>
      <c r="P150"/>
      <c r="Q150"/>
    </row>
    <row r="151" spans="1:17" x14ac:dyDescent="0.2">
      <c r="A151" s="42"/>
      <c r="B151" s="237" t="s">
        <v>895</v>
      </c>
      <c r="C151" s="237"/>
      <c r="D151" s="237"/>
      <c r="E151" s="237"/>
      <c r="F151" s="237"/>
      <c r="G151" s="237"/>
      <c r="H151" s="237"/>
      <c r="J151" s="44"/>
    </row>
    <row r="152" spans="1:17" x14ac:dyDescent="0.2">
      <c r="A152" s="47"/>
      <c r="B152" s="47"/>
      <c r="C152" s="47"/>
      <c r="D152" s="48"/>
      <c r="E152" s="48"/>
      <c r="F152" s="48"/>
      <c r="G152" s="48"/>
    </row>
    <row r="153" spans="1:17" x14ac:dyDescent="0.2">
      <c r="A153" s="47"/>
      <c r="B153" s="234" t="s">
        <v>177</v>
      </c>
      <c r="C153" s="235"/>
      <c r="D153" s="236"/>
      <c r="E153" s="49"/>
      <c r="F153" s="48"/>
      <c r="G153" s="48"/>
    </row>
    <row r="154" spans="1:17" x14ac:dyDescent="0.2">
      <c r="A154" s="47"/>
      <c r="B154" s="232" t="s">
        <v>178</v>
      </c>
      <c r="C154" s="233"/>
      <c r="D154" s="24" t="s">
        <v>179</v>
      </c>
      <c r="E154" s="49"/>
      <c r="F154" s="48"/>
      <c r="G154" s="48"/>
    </row>
    <row r="155" spans="1:17" ht="12.75" customHeight="1" x14ac:dyDescent="0.2">
      <c r="A155" s="47"/>
      <c r="B155" s="240" t="s">
        <v>897</v>
      </c>
      <c r="C155" s="241"/>
      <c r="D155" s="24" t="s">
        <v>179</v>
      </c>
      <c r="E155" s="49"/>
      <c r="F155" s="48"/>
      <c r="G155" s="48"/>
    </row>
    <row r="156" spans="1:17" x14ac:dyDescent="0.2">
      <c r="A156" s="47"/>
      <c r="B156" s="232" t="s">
        <v>181</v>
      </c>
      <c r="C156" s="233"/>
      <c r="D156" s="34" t="s">
        <v>148</v>
      </c>
      <c r="E156" s="49"/>
      <c r="F156" s="48"/>
      <c r="G156" s="48"/>
    </row>
    <row r="157" spans="1:17" x14ac:dyDescent="0.2">
      <c r="A157" s="50"/>
      <c r="B157" s="51" t="s">
        <v>148</v>
      </c>
      <c r="C157" s="51" t="s">
        <v>896</v>
      </c>
      <c r="D157" s="51" t="s">
        <v>182</v>
      </c>
      <c r="E157" s="50"/>
      <c r="F157" s="50"/>
      <c r="G157" s="50"/>
      <c r="H157" s="50"/>
      <c r="J157" s="44"/>
    </row>
    <row r="158" spans="1:17" x14ac:dyDescent="0.2">
      <c r="A158" s="50"/>
      <c r="B158" s="52" t="s">
        <v>183</v>
      </c>
      <c r="C158" s="53">
        <v>45688</v>
      </c>
      <c r="D158" s="53">
        <v>45716</v>
      </c>
      <c r="E158" s="50"/>
      <c r="F158" s="50"/>
      <c r="G158" s="50"/>
      <c r="J158" s="44"/>
    </row>
    <row r="159" spans="1:17" x14ac:dyDescent="0.2">
      <c r="A159" s="54"/>
      <c r="B159" s="27" t="s">
        <v>184</v>
      </c>
      <c r="C159" s="55">
        <v>89.251300000000001</v>
      </c>
      <c r="D159" s="55">
        <v>81.071200000000005</v>
      </c>
      <c r="E159" s="54"/>
      <c r="F159" s="56"/>
      <c r="G159" s="57"/>
    </row>
    <row r="160" spans="1:17" x14ac:dyDescent="0.2">
      <c r="A160" s="54"/>
      <c r="B160" s="27" t="s">
        <v>1070</v>
      </c>
      <c r="C160" s="55">
        <v>32.991799999999998</v>
      </c>
      <c r="D160" s="55">
        <v>29.968</v>
      </c>
      <c r="E160" s="54"/>
      <c r="F160" s="56"/>
      <c r="G160" s="57"/>
    </row>
    <row r="161" spans="1:7" x14ac:dyDescent="0.2">
      <c r="A161" s="54"/>
      <c r="B161" s="27" t="s">
        <v>186</v>
      </c>
      <c r="C161" s="55">
        <v>79.726100000000002</v>
      </c>
      <c r="D161" s="55">
        <v>72.364900000000006</v>
      </c>
      <c r="E161" s="54"/>
      <c r="F161" s="56"/>
      <c r="G161" s="57"/>
    </row>
    <row r="162" spans="1:7" x14ac:dyDescent="0.2">
      <c r="A162" s="54"/>
      <c r="B162" s="27" t="s">
        <v>1071</v>
      </c>
      <c r="C162" s="55">
        <v>28.847200000000001</v>
      </c>
      <c r="D162" s="55">
        <v>26.183700000000002</v>
      </c>
      <c r="E162" s="54"/>
      <c r="F162" s="56"/>
      <c r="G162" s="57"/>
    </row>
    <row r="163" spans="1:7" x14ac:dyDescent="0.2">
      <c r="A163" s="54"/>
      <c r="B163" s="54"/>
      <c r="C163" s="54"/>
      <c r="D163" s="54"/>
      <c r="E163" s="54"/>
      <c r="F163" s="54"/>
      <c r="G163" s="54"/>
    </row>
    <row r="164" spans="1:7" x14ac:dyDescent="0.2">
      <c r="A164" s="50"/>
      <c r="B164" s="240" t="s">
        <v>898</v>
      </c>
      <c r="C164" s="241"/>
      <c r="D164" s="58" t="s">
        <v>179</v>
      </c>
      <c r="E164" s="50"/>
      <c r="F164" s="50"/>
      <c r="G164" s="50"/>
    </row>
    <row r="165" spans="1:7" x14ac:dyDescent="0.2">
      <c r="A165" s="50"/>
      <c r="B165" s="43"/>
      <c r="C165" s="43"/>
      <c r="D165" s="50"/>
      <c r="E165" s="50"/>
      <c r="F165" s="50"/>
      <c r="G165" s="50"/>
    </row>
    <row r="166" spans="1:7" x14ac:dyDescent="0.2">
      <c r="A166" s="50"/>
      <c r="B166" s="240" t="s">
        <v>188</v>
      </c>
      <c r="C166" s="241"/>
      <c r="D166" s="58" t="s">
        <v>179</v>
      </c>
      <c r="E166" s="60"/>
      <c r="F166" s="50"/>
      <c r="G166" s="50"/>
    </row>
    <row r="167" spans="1:7" x14ac:dyDescent="0.2">
      <c r="A167" s="50"/>
      <c r="B167" s="240" t="s">
        <v>189</v>
      </c>
      <c r="C167" s="241"/>
      <c r="D167" s="58" t="s">
        <v>179</v>
      </c>
      <c r="E167" s="60"/>
      <c r="F167" s="50"/>
      <c r="G167" s="50"/>
    </row>
    <row r="168" spans="1:7" x14ac:dyDescent="0.2">
      <c r="A168" s="50"/>
      <c r="B168" s="240" t="s">
        <v>190</v>
      </c>
      <c r="C168" s="241"/>
      <c r="D168" s="58" t="s">
        <v>179</v>
      </c>
      <c r="E168" s="60"/>
      <c r="F168" s="50"/>
      <c r="G168" s="50"/>
    </row>
    <row r="169" spans="1:7" x14ac:dyDescent="0.2">
      <c r="A169" s="50"/>
      <c r="B169" s="240" t="s">
        <v>191</v>
      </c>
      <c r="C169" s="241"/>
      <c r="D169" s="61">
        <v>0.46641342030455496</v>
      </c>
      <c r="E169" s="50"/>
      <c r="F169" s="43"/>
      <c r="G169" s="62"/>
    </row>
    <row r="171" spans="1:7" x14ac:dyDescent="0.2">
      <c r="B171" s="238" t="s">
        <v>899</v>
      </c>
      <c r="C171" s="238"/>
    </row>
    <row r="186" spans="2:10" x14ac:dyDescent="0.2">
      <c r="B186" s="68" t="s">
        <v>900</v>
      </c>
      <c r="C186" s="69"/>
      <c r="D186" s="68" t="s">
        <v>903</v>
      </c>
    </row>
    <row r="187" spans="2:10" x14ac:dyDescent="0.2">
      <c r="B187" s="68" t="s">
        <v>906</v>
      </c>
      <c r="D187" s="68" t="s">
        <v>906</v>
      </c>
    </row>
    <row r="190" spans="2:10" x14ac:dyDescent="0.2">
      <c r="J190" s="22"/>
    </row>
  </sheetData>
  <mergeCells count="18">
    <mergeCell ref="B171:C171"/>
    <mergeCell ref="A3:H3"/>
    <mergeCell ref="A2:H2"/>
    <mergeCell ref="B169:C169"/>
    <mergeCell ref="A1:H1"/>
    <mergeCell ref="B155:C155"/>
    <mergeCell ref="B156:C156"/>
    <mergeCell ref="B164:C164"/>
    <mergeCell ref="B168:C168"/>
    <mergeCell ref="B153:D153"/>
    <mergeCell ref="B154:C154"/>
    <mergeCell ref="B147:H147"/>
    <mergeCell ref="B148:H148"/>
    <mergeCell ref="B149:H149"/>
    <mergeCell ref="B150:H150"/>
    <mergeCell ref="B151:H151"/>
    <mergeCell ref="B166:C166"/>
    <mergeCell ref="B167:C167"/>
  </mergeCells>
  <hyperlinks>
    <hyperlink ref="I1" location="Index!B2" display="Index" xr:uid="{A9D91C6F-C038-426A-8DF9-0A56BC2241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70BA-8A76-48D8-9180-524EEB824DF2}">
  <sheetPr>
    <outlinePr summaryBelow="0" summaryRight="0"/>
  </sheetPr>
  <dimension ref="A1:Q141"/>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377</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351</v>
      </c>
      <c r="C7" s="27" t="s">
        <v>352</v>
      </c>
      <c r="D7" s="27" t="s">
        <v>240</v>
      </c>
      <c r="E7" s="28">
        <v>2896</v>
      </c>
      <c r="F7" s="29">
        <v>144.55818400000001</v>
      </c>
      <c r="G7" s="30">
        <v>5.0087090000000001E-2</v>
      </c>
      <c r="H7" s="25" t="s">
        <v>148</v>
      </c>
    </row>
    <row r="8" spans="1:9" x14ac:dyDescent="0.2">
      <c r="A8" s="26">
        <v>2</v>
      </c>
      <c r="B8" s="27" t="s">
        <v>378</v>
      </c>
      <c r="C8" s="27" t="s">
        <v>379</v>
      </c>
      <c r="D8" s="27" t="s">
        <v>232</v>
      </c>
      <c r="E8" s="28">
        <v>44850</v>
      </c>
      <c r="F8" s="29">
        <v>139.14712499999999</v>
      </c>
      <c r="G8" s="30">
        <v>4.8212249999999998E-2</v>
      </c>
      <c r="H8" s="25" t="s">
        <v>148</v>
      </c>
    </row>
    <row r="9" spans="1:9" x14ac:dyDescent="0.2">
      <c r="A9" s="26">
        <v>3</v>
      </c>
      <c r="B9" s="27" t="s">
        <v>357</v>
      </c>
      <c r="C9" s="27" t="s">
        <v>358</v>
      </c>
      <c r="D9" s="27" t="s">
        <v>359</v>
      </c>
      <c r="E9" s="28">
        <v>9566</v>
      </c>
      <c r="F9" s="29">
        <v>133.94791499999999</v>
      </c>
      <c r="G9" s="30">
        <v>4.6410800000000002E-2</v>
      </c>
      <c r="H9" s="25" t="s">
        <v>148</v>
      </c>
    </row>
    <row r="10" spans="1:9" x14ac:dyDescent="0.2">
      <c r="A10" s="26">
        <v>4</v>
      </c>
      <c r="B10" s="27" t="s">
        <v>380</v>
      </c>
      <c r="C10" s="27" t="s">
        <v>381</v>
      </c>
      <c r="D10" s="27" t="s">
        <v>51</v>
      </c>
      <c r="E10" s="28">
        <v>6144</v>
      </c>
      <c r="F10" s="29">
        <v>131.238912</v>
      </c>
      <c r="G10" s="30">
        <v>4.5472180000000001E-2</v>
      </c>
      <c r="H10" s="25" t="s">
        <v>148</v>
      </c>
    </row>
    <row r="11" spans="1:9" x14ac:dyDescent="0.2">
      <c r="A11" s="26">
        <v>5</v>
      </c>
      <c r="B11" s="27" t="s">
        <v>382</v>
      </c>
      <c r="C11" s="27" t="s">
        <v>383</v>
      </c>
      <c r="D11" s="27" t="s">
        <v>210</v>
      </c>
      <c r="E11" s="28">
        <v>31964</v>
      </c>
      <c r="F11" s="29">
        <v>128.79893799999999</v>
      </c>
      <c r="G11" s="30">
        <v>4.4626770000000003E-2</v>
      </c>
      <c r="H11" s="25" t="s">
        <v>148</v>
      </c>
    </row>
    <row r="12" spans="1:9" x14ac:dyDescent="0.2">
      <c r="A12" s="26">
        <v>6</v>
      </c>
      <c r="B12" s="27" t="s">
        <v>86</v>
      </c>
      <c r="C12" s="27" t="s">
        <v>87</v>
      </c>
      <c r="D12" s="27" t="s">
        <v>45</v>
      </c>
      <c r="E12" s="28">
        <v>4013</v>
      </c>
      <c r="F12" s="29">
        <v>123.2051195</v>
      </c>
      <c r="G12" s="30">
        <v>4.26886E-2</v>
      </c>
      <c r="H12" s="25" t="s">
        <v>148</v>
      </c>
    </row>
    <row r="13" spans="1:9" x14ac:dyDescent="0.2">
      <c r="A13" s="26">
        <v>7</v>
      </c>
      <c r="B13" s="27" t="s">
        <v>142</v>
      </c>
      <c r="C13" s="27" t="s">
        <v>143</v>
      </c>
      <c r="D13" s="27" t="s">
        <v>51</v>
      </c>
      <c r="E13" s="28">
        <v>43192</v>
      </c>
      <c r="F13" s="29">
        <v>116.164884</v>
      </c>
      <c r="G13" s="30">
        <v>4.0249269999999997E-2</v>
      </c>
      <c r="H13" s="25" t="s">
        <v>148</v>
      </c>
    </row>
    <row r="14" spans="1:9" x14ac:dyDescent="0.2">
      <c r="A14" s="26">
        <v>8</v>
      </c>
      <c r="B14" s="27" t="s">
        <v>74</v>
      </c>
      <c r="C14" s="27" t="s">
        <v>75</v>
      </c>
      <c r="D14" s="27" t="s">
        <v>45</v>
      </c>
      <c r="E14" s="28">
        <v>18540</v>
      </c>
      <c r="F14" s="29">
        <v>114.3918</v>
      </c>
      <c r="G14" s="30">
        <v>3.9634919999999997E-2</v>
      </c>
      <c r="H14" s="25" t="s">
        <v>148</v>
      </c>
    </row>
    <row r="15" spans="1:9" x14ac:dyDescent="0.2">
      <c r="A15" s="26">
        <v>9</v>
      </c>
      <c r="B15" s="27" t="s">
        <v>316</v>
      </c>
      <c r="C15" s="27" t="s">
        <v>317</v>
      </c>
      <c r="D15" s="27" t="s">
        <v>267</v>
      </c>
      <c r="E15" s="28">
        <v>2940</v>
      </c>
      <c r="F15" s="29">
        <v>110.61015</v>
      </c>
      <c r="G15" s="30">
        <v>3.832464E-2</v>
      </c>
      <c r="H15" s="25" t="s">
        <v>148</v>
      </c>
    </row>
    <row r="16" spans="1:9" x14ac:dyDescent="0.2">
      <c r="A16" s="26">
        <v>10</v>
      </c>
      <c r="B16" s="27" t="s">
        <v>255</v>
      </c>
      <c r="C16" s="27" t="s">
        <v>256</v>
      </c>
      <c r="D16" s="27" t="s">
        <v>111</v>
      </c>
      <c r="E16" s="28">
        <v>1151</v>
      </c>
      <c r="F16" s="29">
        <v>94.210500999999994</v>
      </c>
      <c r="G16" s="30">
        <v>3.264243E-2</v>
      </c>
      <c r="H16" s="25" t="s">
        <v>148</v>
      </c>
    </row>
    <row r="17" spans="1:8" x14ac:dyDescent="0.2">
      <c r="A17" s="26">
        <v>11</v>
      </c>
      <c r="B17" s="27" t="s">
        <v>384</v>
      </c>
      <c r="C17" s="27" t="s">
        <v>385</v>
      </c>
      <c r="D17" s="27" t="s">
        <v>28</v>
      </c>
      <c r="E17" s="28">
        <v>33313</v>
      </c>
      <c r="F17" s="29">
        <v>94.192507500000005</v>
      </c>
      <c r="G17" s="30">
        <v>3.2636190000000002E-2</v>
      </c>
      <c r="H17" s="25" t="s">
        <v>148</v>
      </c>
    </row>
    <row r="18" spans="1:8" ht="25.5" x14ac:dyDescent="0.2">
      <c r="A18" s="26">
        <v>12</v>
      </c>
      <c r="B18" s="27" t="s">
        <v>386</v>
      </c>
      <c r="C18" s="27" t="s">
        <v>387</v>
      </c>
      <c r="D18" s="27" t="s">
        <v>202</v>
      </c>
      <c r="E18" s="28">
        <v>5362</v>
      </c>
      <c r="F18" s="29">
        <v>88.170046999999997</v>
      </c>
      <c r="G18" s="30">
        <v>3.0549509999999998E-2</v>
      </c>
      <c r="H18" s="25" t="s">
        <v>148</v>
      </c>
    </row>
    <row r="19" spans="1:8" ht="25.5" x14ac:dyDescent="0.2">
      <c r="A19" s="26">
        <v>13</v>
      </c>
      <c r="B19" s="27" t="s">
        <v>388</v>
      </c>
      <c r="C19" s="27" t="s">
        <v>389</v>
      </c>
      <c r="D19" s="27" t="s">
        <v>202</v>
      </c>
      <c r="E19" s="28">
        <v>1748</v>
      </c>
      <c r="F19" s="29">
        <v>87.995193999999998</v>
      </c>
      <c r="G19" s="30">
        <v>3.0488919999999999E-2</v>
      </c>
      <c r="H19" s="25" t="s">
        <v>148</v>
      </c>
    </row>
    <row r="20" spans="1:8" x14ac:dyDescent="0.2">
      <c r="A20" s="26">
        <v>14</v>
      </c>
      <c r="B20" s="27" t="s">
        <v>390</v>
      </c>
      <c r="C20" s="27" t="s">
        <v>391</v>
      </c>
      <c r="D20" s="27" t="s">
        <v>28</v>
      </c>
      <c r="E20" s="28">
        <v>268914</v>
      </c>
      <c r="F20" s="29">
        <v>86.402068200000002</v>
      </c>
      <c r="G20" s="30">
        <v>2.993693E-2</v>
      </c>
      <c r="H20" s="25" t="s">
        <v>148</v>
      </c>
    </row>
    <row r="21" spans="1:8" x14ac:dyDescent="0.2">
      <c r="A21" s="26">
        <v>15</v>
      </c>
      <c r="B21" s="27" t="s">
        <v>392</v>
      </c>
      <c r="C21" s="27" t="s">
        <v>393</v>
      </c>
      <c r="D21" s="27" t="s">
        <v>28</v>
      </c>
      <c r="E21" s="28">
        <v>149355</v>
      </c>
      <c r="F21" s="29">
        <v>84.938188499999995</v>
      </c>
      <c r="G21" s="30">
        <v>2.9429719999999999E-2</v>
      </c>
      <c r="H21" s="25" t="s">
        <v>148</v>
      </c>
    </row>
    <row r="22" spans="1:8" x14ac:dyDescent="0.2">
      <c r="A22" s="26">
        <v>16</v>
      </c>
      <c r="B22" s="27" t="s">
        <v>394</v>
      </c>
      <c r="C22" s="27" t="s">
        <v>395</v>
      </c>
      <c r="D22" s="27" t="s">
        <v>240</v>
      </c>
      <c r="E22" s="28">
        <v>3672</v>
      </c>
      <c r="F22" s="29">
        <v>79.651188000000005</v>
      </c>
      <c r="G22" s="30">
        <v>2.7597859999999998E-2</v>
      </c>
      <c r="H22" s="25" t="s">
        <v>148</v>
      </c>
    </row>
    <row r="23" spans="1:8" x14ac:dyDescent="0.2">
      <c r="A23" s="26">
        <v>17</v>
      </c>
      <c r="B23" s="27" t="s">
        <v>36</v>
      </c>
      <c r="C23" s="27" t="s">
        <v>37</v>
      </c>
      <c r="D23" s="27" t="s">
        <v>25</v>
      </c>
      <c r="E23" s="28">
        <v>1736</v>
      </c>
      <c r="F23" s="29">
        <v>76.199116000000004</v>
      </c>
      <c r="G23" s="30">
        <v>2.6401770000000001E-2</v>
      </c>
      <c r="H23" s="25" t="s">
        <v>148</v>
      </c>
    </row>
    <row r="24" spans="1:8" x14ac:dyDescent="0.2">
      <c r="A24" s="26">
        <v>18</v>
      </c>
      <c r="B24" s="27" t="s">
        <v>396</v>
      </c>
      <c r="C24" s="27" t="s">
        <v>397</v>
      </c>
      <c r="D24" s="27" t="s">
        <v>205</v>
      </c>
      <c r="E24" s="28">
        <v>14636</v>
      </c>
      <c r="F24" s="29">
        <v>71.716399999999993</v>
      </c>
      <c r="G24" s="30">
        <v>2.4848579999999999E-2</v>
      </c>
      <c r="H24" s="25" t="s">
        <v>148</v>
      </c>
    </row>
    <row r="25" spans="1:8" ht="25.5" x14ac:dyDescent="0.2">
      <c r="A25" s="26">
        <v>19</v>
      </c>
      <c r="B25" s="27" t="s">
        <v>398</v>
      </c>
      <c r="C25" s="27" t="s">
        <v>399</v>
      </c>
      <c r="D25" s="27" t="s">
        <v>400</v>
      </c>
      <c r="E25" s="28">
        <v>22120</v>
      </c>
      <c r="F25" s="29">
        <v>67.454939999999993</v>
      </c>
      <c r="G25" s="30">
        <v>2.3372049999999998E-2</v>
      </c>
      <c r="H25" s="25" t="s">
        <v>148</v>
      </c>
    </row>
    <row r="26" spans="1:8" x14ac:dyDescent="0.2">
      <c r="A26" s="26">
        <v>20</v>
      </c>
      <c r="B26" s="27" t="s">
        <v>401</v>
      </c>
      <c r="C26" s="27" t="s">
        <v>402</v>
      </c>
      <c r="D26" s="27" t="s">
        <v>403</v>
      </c>
      <c r="E26" s="28">
        <v>6861</v>
      </c>
      <c r="F26" s="29">
        <v>62.0200095</v>
      </c>
      <c r="G26" s="30">
        <v>2.1488940000000002E-2</v>
      </c>
      <c r="H26" s="25" t="s">
        <v>148</v>
      </c>
    </row>
    <row r="27" spans="1:8" x14ac:dyDescent="0.2">
      <c r="A27" s="26">
        <v>21</v>
      </c>
      <c r="B27" s="27" t="s">
        <v>404</v>
      </c>
      <c r="C27" s="27" t="s">
        <v>405</v>
      </c>
      <c r="D27" s="27" t="s">
        <v>111</v>
      </c>
      <c r="E27" s="28">
        <v>3675</v>
      </c>
      <c r="F27" s="29">
        <v>60.339824999999998</v>
      </c>
      <c r="G27" s="30">
        <v>2.090678E-2</v>
      </c>
      <c r="H27" s="25" t="s">
        <v>148</v>
      </c>
    </row>
    <row r="28" spans="1:8" x14ac:dyDescent="0.2">
      <c r="A28" s="26">
        <v>22</v>
      </c>
      <c r="B28" s="27" t="s">
        <v>406</v>
      </c>
      <c r="C28" s="27" t="s">
        <v>407</v>
      </c>
      <c r="D28" s="27" t="s">
        <v>232</v>
      </c>
      <c r="E28" s="28">
        <v>8151</v>
      </c>
      <c r="F28" s="29">
        <v>55.675405499999997</v>
      </c>
      <c r="G28" s="30">
        <v>1.9290640000000001E-2</v>
      </c>
      <c r="H28" s="25" t="s">
        <v>148</v>
      </c>
    </row>
    <row r="29" spans="1:8" x14ac:dyDescent="0.2">
      <c r="A29" s="26">
        <v>23</v>
      </c>
      <c r="B29" s="27" t="s">
        <v>408</v>
      </c>
      <c r="C29" s="27" t="s">
        <v>409</v>
      </c>
      <c r="D29" s="27" t="s">
        <v>111</v>
      </c>
      <c r="E29" s="28">
        <v>9319</v>
      </c>
      <c r="F29" s="29">
        <v>53.831203500000001</v>
      </c>
      <c r="G29" s="30">
        <v>1.8651649999999999E-2</v>
      </c>
      <c r="H29" s="25" t="s">
        <v>148</v>
      </c>
    </row>
    <row r="30" spans="1:8" ht="25.5" x14ac:dyDescent="0.2">
      <c r="A30" s="26">
        <v>24</v>
      </c>
      <c r="B30" s="27" t="s">
        <v>410</v>
      </c>
      <c r="C30" s="27" t="s">
        <v>411</v>
      </c>
      <c r="D30" s="27" t="s">
        <v>202</v>
      </c>
      <c r="E30" s="28">
        <v>9463</v>
      </c>
      <c r="F30" s="29">
        <v>49.888936000000001</v>
      </c>
      <c r="G30" s="30">
        <v>1.7285720000000001E-2</v>
      </c>
      <c r="H30" s="25" t="s">
        <v>148</v>
      </c>
    </row>
    <row r="31" spans="1:8" x14ac:dyDescent="0.2">
      <c r="A31" s="26">
        <v>25</v>
      </c>
      <c r="B31" s="27" t="s">
        <v>412</v>
      </c>
      <c r="C31" s="27" t="s">
        <v>413</v>
      </c>
      <c r="D31" s="27" t="s">
        <v>45</v>
      </c>
      <c r="E31" s="28">
        <v>12724</v>
      </c>
      <c r="F31" s="29">
        <v>49.839908000000001</v>
      </c>
      <c r="G31" s="30">
        <v>1.7268729999999999E-2</v>
      </c>
      <c r="H31" s="25" t="s">
        <v>148</v>
      </c>
    </row>
    <row r="32" spans="1:8" x14ac:dyDescent="0.2">
      <c r="A32" s="26">
        <v>26</v>
      </c>
      <c r="B32" s="27" t="s">
        <v>414</v>
      </c>
      <c r="C32" s="27" t="s">
        <v>415</v>
      </c>
      <c r="D32" s="27" t="s">
        <v>205</v>
      </c>
      <c r="E32" s="28">
        <v>11397</v>
      </c>
      <c r="F32" s="29">
        <v>48.328978499999998</v>
      </c>
      <c r="G32" s="30">
        <v>1.6745220000000002E-2</v>
      </c>
      <c r="H32" s="25" t="s">
        <v>148</v>
      </c>
    </row>
    <row r="33" spans="1:8" x14ac:dyDescent="0.2">
      <c r="A33" s="26">
        <v>27</v>
      </c>
      <c r="B33" s="27" t="s">
        <v>416</v>
      </c>
      <c r="C33" s="27" t="s">
        <v>417</v>
      </c>
      <c r="D33" s="27" t="s">
        <v>111</v>
      </c>
      <c r="E33" s="28">
        <v>4638</v>
      </c>
      <c r="F33" s="29">
        <v>42.627858000000003</v>
      </c>
      <c r="G33" s="30">
        <v>1.4769869999999999E-2</v>
      </c>
      <c r="H33" s="25" t="s">
        <v>148</v>
      </c>
    </row>
    <row r="34" spans="1:8" x14ac:dyDescent="0.2">
      <c r="A34" s="26">
        <v>28</v>
      </c>
      <c r="B34" s="27" t="s">
        <v>52</v>
      </c>
      <c r="C34" s="27" t="s">
        <v>53</v>
      </c>
      <c r="D34" s="27" t="s">
        <v>54</v>
      </c>
      <c r="E34" s="28">
        <v>4383</v>
      </c>
      <c r="F34" s="29">
        <v>41.509201500000003</v>
      </c>
      <c r="G34" s="30">
        <v>1.4382270000000001E-2</v>
      </c>
      <c r="H34" s="25" t="s">
        <v>148</v>
      </c>
    </row>
    <row r="35" spans="1:8" x14ac:dyDescent="0.2">
      <c r="A35" s="26">
        <v>29</v>
      </c>
      <c r="B35" s="27" t="s">
        <v>418</v>
      </c>
      <c r="C35" s="27" t="s">
        <v>419</v>
      </c>
      <c r="D35" s="27" t="s">
        <v>137</v>
      </c>
      <c r="E35" s="28">
        <v>27808</v>
      </c>
      <c r="F35" s="29">
        <v>38.152576000000003</v>
      </c>
      <c r="G35" s="30">
        <v>1.321926E-2</v>
      </c>
      <c r="H35" s="25" t="s">
        <v>148</v>
      </c>
    </row>
    <row r="36" spans="1:8" x14ac:dyDescent="0.2">
      <c r="A36" s="26">
        <v>30</v>
      </c>
      <c r="B36" s="27" t="s">
        <v>420</v>
      </c>
      <c r="C36" s="27" t="s">
        <v>421</v>
      </c>
      <c r="D36" s="27" t="s">
        <v>51</v>
      </c>
      <c r="E36" s="28">
        <v>5239</v>
      </c>
      <c r="F36" s="29">
        <v>37.796765499999999</v>
      </c>
      <c r="G36" s="30">
        <v>1.309597E-2</v>
      </c>
      <c r="H36" s="25" t="s">
        <v>148</v>
      </c>
    </row>
    <row r="37" spans="1:8" x14ac:dyDescent="0.2">
      <c r="A37" s="26">
        <v>31</v>
      </c>
      <c r="B37" s="27" t="s">
        <v>422</v>
      </c>
      <c r="C37" s="27" t="s">
        <v>423</v>
      </c>
      <c r="D37" s="27" t="s">
        <v>359</v>
      </c>
      <c r="E37" s="28">
        <v>11897</v>
      </c>
      <c r="F37" s="29">
        <v>37.755129500000002</v>
      </c>
      <c r="G37" s="30">
        <v>1.3081550000000001E-2</v>
      </c>
      <c r="H37" s="25" t="s">
        <v>148</v>
      </c>
    </row>
    <row r="38" spans="1:8" x14ac:dyDescent="0.2">
      <c r="A38" s="26">
        <v>32</v>
      </c>
      <c r="B38" s="27" t="s">
        <v>424</v>
      </c>
      <c r="C38" s="27" t="s">
        <v>425</v>
      </c>
      <c r="D38" s="27" t="s">
        <v>51</v>
      </c>
      <c r="E38" s="28">
        <v>6126</v>
      </c>
      <c r="F38" s="29">
        <v>35.726832000000002</v>
      </c>
      <c r="G38" s="30">
        <v>1.2378770000000001E-2</v>
      </c>
      <c r="H38" s="25" t="s">
        <v>148</v>
      </c>
    </row>
    <row r="39" spans="1:8" x14ac:dyDescent="0.2">
      <c r="A39" s="26">
        <v>33</v>
      </c>
      <c r="B39" s="27" t="s">
        <v>426</v>
      </c>
      <c r="C39" s="27" t="s">
        <v>427</v>
      </c>
      <c r="D39" s="27" t="s">
        <v>64</v>
      </c>
      <c r="E39" s="28">
        <v>3959</v>
      </c>
      <c r="F39" s="29">
        <v>35.706220999999999</v>
      </c>
      <c r="G39" s="30">
        <v>1.237163E-2</v>
      </c>
      <c r="H39" s="25" t="s">
        <v>148</v>
      </c>
    </row>
    <row r="40" spans="1:8" x14ac:dyDescent="0.2">
      <c r="A40" s="26">
        <v>34</v>
      </c>
      <c r="B40" s="27" t="s">
        <v>298</v>
      </c>
      <c r="C40" s="27" t="s">
        <v>299</v>
      </c>
      <c r="D40" s="27" t="s">
        <v>54</v>
      </c>
      <c r="E40" s="28">
        <v>2178</v>
      </c>
      <c r="F40" s="29">
        <v>33.717618000000002</v>
      </c>
      <c r="G40" s="30">
        <v>1.168261E-2</v>
      </c>
      <c r="H40" s="25" t="s">
        <v>148</v>
      </c>
    </row>
    <row r="41" spans="1:8" x14ac:dyDescent="0.2">
      <c r="A41" s="26">
        <v>35</v>
      </c>
      <c r="B41" s="27" t="s">
        <v>114</v>
      </c>
      <c r="C41" s="27" t="s">
        <v>115</v>
      </c>
      <c r="D41" s="27" t="s">
        <v>45</v>
      </c>
      <c r="E41" s="28">
        <v>2184</v>
      </c>
      <c r="F41" s="29">
        <v>31.402643999999999</v>
      </c>
      <c r="G41" s="30">
        <v>1.0880509999999999E-2</v>
      </c>
      <c r="H41" s="25" t="s">
        <v>148</v>
      </c>
    </row>
    <row r="42" spans="1:8" x14ac:dyDescent="0.2">
      <c r="A42" s="26">
        <v>36</v>
      </c>
      <c r="B42" s="27" t="s">
        <v>428</v>
      </c>
      <c r="C42" s="27" t="s">
        <v>429</v>
      </c>
      <c r="D42" s="27" t="s">
        <v>45</v>
      </c>
      <c r="E42" s="28">
        <v>2283</v>
      </c>
      <c r="F42" s="29">
        <v>18.986569500000002</v>
      </c>
      <c r="G42" s="30">
        <v>6.5785399999999999E-3</v>
      </c>
      <c r="H42" s="25" t="s">
        <v>148</v>
      </c>
    </row>
    <row r="43" spans="1:8" x14ac:dyDescent="0.2">
      <c r="A43" s="26">
        <v>37</v>
      </c>
      <c r="B43" s="27" t="s">
        <v>430</v>
      </c>
      <c r="C43" s="27" t="s">
        <v>431</v>
      </c>
      <c r="D43" s="27" t="s">
        <v>69</v>
      </c>
      <c r="E43" s="28">
        <v>4214</v>
      </c>
      <c r="F43" s="29">
        <v>14.236999000000001</v>
      </c>
      <c r="G43" s="30">
        <v>4.9328899999999997E-3</v>
      </c>
      <c r="H43" s="25" t="s">
        <v>148</v>
      </c>
    </row>
    <row r="44" spans="1:8" x14ac:dyDescent="0.2">
      <c r="A44" s="23"/>
      <c r="B44" s="23"/>
      <c r="C44" s="24" t="s">
        <v>147</v>
      </c>
      <c r="D44" s="23"/>
      <c r="E44" s="23" t="s">
        <v>148</v>
      </c>
      <c r="F44" s="31">
        <v>2720.5358577000002</v>
      </c>
      <c r="G44" s="32">
        <v>0.94262203</v>
      </c>
      <c r="H44" s="25" t="s">
        <v>148</v>
      </c>
    </row>
    <row r="45" spans="1:8" x14ac:dyDescent="0.2">
      <c r="A45" s="23"/>
      <c r="B45" s="23"/>
      <c r="C45" s="33"/>
      <c r="D45" s="23"/>
      <c r="E45" s="23"/>
      <c r="F45" s="34"/>
      <c r="G45" s="34"/>
      <c r="H45" s="25" t="s">
        <v>148</v>
      </c>
    </row>
    <row r="46" spans="1:8" x14ac:dyDescent="0.2">
      <c r="A46" s="23"/>
      <c r="B46" s="23"/>
      <c r="C46" s="24" t="s">
        <v>149</v>
      </c>
      <c r="D46" s="23"/>
      <c r="E46" s="23"/>
      <c r="F46" s="23"/>
      <c r="G46" s="23"/>
      <c r="H46" s="25" t="s">
        <v>148</v>
      </c>
    </row>
    <row r="47" spans="1:8" x14ac:dyDescent="0.2">
      <c r="A47" s="23"/>
      <c r="B47" s="23"/>
      <c r="C47" s="24" t="s">
        <v>147</v>
      </c>
      <c r="D47" s="23"/>
      <c r="E47" s="23" t="s">
        <v>148</v>
      </c>
      <c r="F47" s="35" t="s">
        <v>150</v>
      </c>
      <c r="G47" s="32">
        <v>0</v>
      </c>
      <c r="H47" s="25" t="s">
        <v>148</v>
      </c>
    </row>
    <row r="48" spans="1:8" x14ac:dyDescent="0.2">
      <c r="A48" s="23"/>
      <c r="B48" s="23"/>
      <c r="C48" s="33"/>
      <c r="D48" s="23"/>
      <c r="E48" s="23"/>
      <c r="F48" s="34"/>
      <c r="G48" s="34"/>
      <c r="H48" s="25" t="s">
        <v>148</v>
      </c>
    </row>
    <row r="49" spans="1:8" x14ac:dyDescent="0.2">
      <c r="A49" s="23"/>
      <c r="B49" s="23"/>
      <c r="C49" s="24" t="s">
        <v>151</v>
      </c>
      <c r="D49" s="23"/>
      <c r="E49" s="23"/>
      <c r="F49" s="23"/>
      <c r="G49" s="23"/>
      <c r="H49" s="25" t="s">
        <v>148</v>
      </c>
    </row>
    <row r="50" spans="1:8" x14ac:dyDescent="0.2">
      <c r="A50" s="23"/>
      <c r="B50" s="23"/>
      <c r="C50" s="24" t="s">
        <v>147</v>
      </c>
      <c r="D50" s="23"/>
      <c r="E50" s="23" t="s">
        <v>148</v>
      </c>
      <c r="F50" s="35" t="s">
        <v>150</v>
      </c>
      <c r="G50" s="32">
        <v>0</v>
      </c>
      <c r="H50" s="25" t="s">
        <v>148</v>
      </c>
    </row>
    <row r="51" spans="1:8" x14ac:dyDescent="0.2">
      <c r="A51" s="23"/>
      <c r="B51" s="23"/>
      <c r="C51" s="33"/>
      <c r="D51" s="23"/>
      <c r="E51" s="23"/>
      <c r="F51" s="34"/>
      <c r="G51" s="34"/>
      <c r="H51" s="25" t="s">
        <v>148</v>
      </c>
    </row>
    <row r="52" spans="1:8" x14ac:dyDescent="0.2">
      <c r="A52" s="23"/>
      <c r="B52" s="23"/>
      <c r="C52" s="24" t="s">
        <v>152</v>
      </c>
      <c r="D52" s="23"/>
      <c r="E52" s="23"/>
      <c r="F52" s="23"/>
      <c r="G52" s="23"/>
      <c r="H52" s="25" t="s">
        <v>148</v>
      </c>
    </row>
    <row r="53" spans="1:8" x14ac:dyDescent="0.2">
      <c r="A53" s="23"/>
      <c r="B53" s="23"/>
      <c r="C53" s="24" t="s">
        <v>147</v>
      </c>
      <c r="D53" s="23"/>
      <c r="E53" s="23" t="s">
        <v>148</v>
      </c>
      <c r="F53" s="35" t="s">
        <v>150</v>
      </c>
      <c r="G53" s="32">
        <v>0</v>
      </c>
      <c r="H53" s="25" t="s">
        <v>148</v>
      </c>
    </row>
    <row r="54" spans="1:8" x14ac:dyDescent="0.2">
      <c r="A54" s="23"/>
      <c r="B54" s="23"/>
      <c r="C54" s="33"/>
      <c r="D54" s="23"/>
      <c r="E54" s="23"/>
      <c r="F54" s="34"/>
      <c r="G54" s="34"/>
      <c r="H54" s="25" t="s">
        <v>148</v>
      </c>
    </row>
    <row r="55" spans="1:8" x14ac:dyDescent="0.2">
      <c r="A55" s="23"/>
      <c r="B55" s="23"/>
      <c r="C55" s="24" t="s">
        <v>153</v>
      </c>
      <c r="D55" s="23"/>
      <c r="E55" s="23"/>
      <c r="F55" s="34"/>
      <c r="G55" s="34"/>
      <c r="H55" s="25" t="s">
        <v>148</v>
      </c>
    </row>
    <row r="56" spans="1:8" x14ac:dyDescent="0.2">
      <c r="A56" s="23"/>
      <c r="B56" s="23"/>
      <c r="C56" s="24" t="s">
        <v>147</v>
      </c>
      <c r="D56" s="23"/>
      <c r="E56" s="23" t="s">
        <v>148</v>
      </c>
      <c r="F56" s="35" t="s">
        <v>150</v>
      </c>
      <c r="G56" s="32">
        <v>0</v>
      </c>
      <c r="H56" s="25" t="s">
        <v>148</v>
      </c>
    </row>
    <row r="57" spans="1:8" x14ac:dyDescent="0.2">
      <c r="A57" s="23"/>
      <c r="B57" s="23"/>
      <c r="C57" s="33"/>
      <c r="D57" s="23"/>
      <c r="E57" s="23"/>
      <c r="F57" s="34"/>
      <c r="G57" s="34"/>
      <c r="H57" s="25" t="s">
        <v>148</v>
      </c>
    </row>
    <row r="58" spans="1:8" x14ac:dyDescent="0.2">
      <c r="A58" s="23"/>
      <c r="B58" s="23"/>
      <c r="C58" s="24" t="s">
        <v>154</v>
      </c>
      <c r="D58" s="23"/>
      <c r="E58" s="23"/>
      <c r="F58" s="34"/>
      <c r="G58" s="34"/>
      <c r="H58" s="25" t="s">
        <v>148</v>
      </c>
    </row>
    <row r="59" spans="1:8" x14ac:dyDescent="0.2">
      <c r="A59" s="23"/>
      <c r="B59" s="23"/>
      <c r="C59" s="24" t="s">
        <v>147</v>
      </c>
      <c r="D59" s="23"/>
      <c r="E59" s="23" t="s">
        <v>148</v>
      </c>
      <c r="F59" s="35" t="s">
        <v>150</v>
      </c>
      <c r="G59" s="32">
        <v>0</v>
      </c>
      <c r="H59" s="25" t="s">
        <v>148</v>
      </c>
    </row>
    <row r="60" spans="1:8" x14ac:dyDescent="0.2">
      <c r="A60" s="23"/>
      <c r="B60" s="23"/>
      <c r="C60" s="33"/>
      <c r="D60" s="23"/>
      <c r="E60" s="23"/>
      <c r="F60" s="34"/>
      <c r="G60" s="34"/>
      <c r="H60" s="25" t="s">
        <v>148</v>
      </c>
    </row>
    <row r="61" spans="1:8" x14ac:dyDescent="0.2">
      <c r="A61" s="23"/>
      <c r="B61" s="23"/>
      <c r="C61" s="24" t="s">
        <v>155</v>
      </c>
      <c r="D61" s="23"/>
      <c r="E61" s="23"/>
      <c r="F61" s="31">
        <v>2720.5358577000002</v>
      </c>
      <c r="G61" s="32">
        <v>0.94262203</v>
      </c>
      <c r="H61" s="25" t="s">
        <v>148</v>
      </c>
    </row>
    <row r="62" spans="1:8" x14ac:dyDescent="0.2">
      <c r="A62" s="23"/>
      <c r="B62" s="23"/>
      <c r="C62" s="33"/>
      <c r="D62" s="23"/>
      <c r="E62" s="23"/>
      <c r="F62" s="34"/>
      <c r="G62" s="34"/>
      <c r="H62" s="25" t="s">
        <v>148</v>
      </c>
    </row>
    <row r="63" spans="1:8" x14ac:dyDescent="0.2">
      <c r="A63" s="23"/>
      <c r="B63" s="23"/>
      <c r="C63" s="24" t="s">
        <v>156</v>
      </c>
      <c r="D63" s="23"/>
      <c r="E63" s="23"/>
      <c r="F63" s="34"/>
      <c r="G63" s="34"/>
      <c r="H63" s="25" t="s">
        <v>148</v>
      </c>
    </row>
    <row r="64" spans="1:8" x14ac:dyDescent="0.2">
      <c r="A64" s="23"/>
      <c r="B64" s="23"/>
      <c r="C64" s="24" t="s">
        <v>10</v>
      </c>
      <c r="D64" s="23"/>
      <c r="E64" s="23"/>
      <c r="F64" s="34"/>
      <c r="G64" s="34"/>
      <c r="H64" s="25" t="s">
        <v>148</v>
      </c>
    </row>
    <row r="65" spans="1:8" x14ac:dyDescent="0.2">
      <c r="A65" s="23"/>
      <c r="B65" s="23"/>
      <c r="C65" s="24" t="s">
        <v>147</v>
      </c>
      <c r="D65" s="23"/>
      <c r="E65" s="23" t="s">
        <v>148</v>
      </c>
      <c r="F65" s="35" t="s">
        <v>150</v>
      </c>
      <c r="G65" s="32">
        <v>0</v>
      </c>
      <c r="H65" s="25" t="s">
        <v>148</v>
      </c>
    </row>
    <row r="66" spans="1:8" x14ac:dyDescent="0.2">
      <c r="A66" s="23"/>
      <c r="B66" s="23"/>
      <c r="C66" s="33"/>
      <c r="D66" s="23"/>
      <c r="E66" s="23"/>
      <c r="F66" s="34"/>
      <c r="G66" s="34"/>
      <c r="H66" s="25" t="s">
        <v>148</v>
      </c>
    </row>
    <row r="67" spans="1:8" x14ac:dyDescent="0.2">
      <c r="A67" s="23"/>
      <c r="B67" s="23"/>
      <c r="C67" s="24" t="s">
        <v>157</v>
      </c>
      <c r="D67" s="23"/>
      <c r="E67" s="23"/>
      <c r="F67" s="23"/>
      <c r="G67" s="23"/>
      <c r="H67" s="25" t="s">
        <v>148</v>
      </c>
    </row>
    <row r="68" spans="1:8" x14ac:dyDescent="0.2">
      <c r="A68" s="23"/>
      <c r="B68" s="23"/>
      <c r="C68" s="24" t="s">
        <v>147</v>
      </c>
      <c r="D68" s="23"/>
      <c r="E68" s="23" t="s">
        <v>148</v>
      </c>
      <c r="F68" s="35" t="s">
        <v>150</v>
      </c>
      <c r="G68" s="32">
        <v>0</v>
      </c>
      <c r="H68" s="25" t="s">
        <v>148</v>
      </c>
    </row>
    <row r="69" spans="1:8" x14ac:dyDescent="0.2">
      <c r="A69" s="23"/>
      <c r="B69" s="23"/>
      <c r="C69" s="33"/>
      <c r="D69" s="23"/>
      <c r="E69" s="23"/>
      <c r="F69" s="34"/>
      <c r="G69" s="34"/>
      <c r="H69" s="25" t="s">
        <v>148</v>
      </c>
    </row>
    <row r="70" spans="1:8" x14ac:dyDescent="0.2">
      <c r="A70" s="23"/>
      <c r="B70" s="23"/>
      <c r="C70" s="24" t="s">
        <v>158</v>
      </c>
      <c r="D70" s="23"/>
      <c r="E70" s="23"/>
      <c r="F70" s="23"/>
      <c r="G70" s="23"/>
      <c r="H70" s="25" t="s">
        <v>148</v>
      </c>
    </row>
    <row r="71" spans="1:8" x14ac:dyDescent="0.2">
      <c r="A71" s="23"/>
      <c r="B71" s="23"/>
      <c r="C71" s="24" t="s">
        <v>147</v>
      </c>
      <c r="D71" s="23"/>
      <c r="E71" s="23" t="s">
        <v>148</v>
      </c>
      <c r="F71" s="35" t="s">
        <v>150</v>
      </c>
      <c r="G71" s="32">
        <v>0</v>
      </c>
      <c r="H71" s="25" t="s">
        <v>148</v>
      </c>
    </row>
    <row r="72" spans="1:8" x14ac:dyDescent="0.2">
      <c r="A72" s="23"/>
      <c r="B72" s="23"/>
      <c r="C72" s="33"/>
      <c r="D72" s="23"/>
      <c r="E72" s="23"/>
      <c r="F72" s="34"/>
      <c r="G72" s="34"/>
      <c r="H72" s="25" t="s">
        <v>148</v>
      </c>
    </row>
    <row r="73" spans="1:8" x14ac:dyDescent="0.2">
      <c r="A73" s="23"/>
      <c r="B73" s="23"/>
      <c r="C73" s="24" t="s">
        <v>159</v>
      </c>
      <c r="D73" s="23"/>
      <c r="E73" s="23"/>
      <c r="F73" s="34"/>
      <c r="G73" s="34"/>
      <c r="H73" s="25" t="s">
        <v>148</v>
      </c>
    </row>
    <row r="74" spans="1:8" x14ac:dyDescent="0.2">
      <c r="A74" s="23"/>
      <c r="B74" s="23"/>
      <c r="C74" s="24" t="s">
        <v>147</v>
      </c>
      <c r="D74" s="23"/>
      <c r="E74" s="23" t="s">
        <v>148</v>
      </c>
      <c r="F74" s="35" t="s">
        <v>150</v>
      </c>
      <c r="G74" s="32">
        <v>0</v>
      </c>
      <c r="H74" s="25" t="s">
        <v>148</v>
      </c>
    </row>
    <row r="75" spans="1:8" x14ac:dyDescent="0.2">
      <c r="A75" s="23"/>
      <c r="B75" s="23"/>
      <c r="C75" s="33"/>
      <c r="D75" s="23"/>
      <c r="E75" s="23"/>
      <c r="F75" s="34"/>
      <c r="G75" s="34"/>
      <c r="H75" s="25" t="s">
        <v>148</v>
      </c>
    </row>
    <row r="76" spans="1:8" x14ac:dyDescent="0.2">
      <c r="A76" s="23"/>
      <c r="B76" s="23"/>
      <c r="C76" s="24" t="s">
        <v>160</v>
      </c>
      <c r="D76" s="23"/>
      <c r="E76" s="23"/>
      <c r="F76" s="31">
        <v>0</v>
      </c>
      <c r="G76" s="32">
        <v>0</v>
      </c>
      <c r="H76" s="25" t="s">
        <v>148</v>
      </c>
    </row>
    <row r="77" spans="1:8" x14ac:dyDescent="0.2">
      <c r="A77" s="23"/>
      <c r="B77" s="23"/>
      <c r="C77" s="33"/>
      <c r="D77" s="23"/>
      <c r="E77" s="23"/>
      <c r="F77" s="34"/>
      <c r="G77" s="34"/>
      <c r="H77" s="25" t="s">
        <v>148</v>
      </c>
    </row>
    <row r="78" spans="1:8" x14ac:dyDescent="0.2">
      <c r="A78" s="23"/>
      <c r="B78" s="23"/>
      <c r="C78" s="24" t="s">
        <v>161</v>
      </c>
      <c r="D78" s="23"/>
      <c r="E78" s="23"/>
      <c r="F78" s="34"/>
      <c r="G78" s="34"/>
      <c r="H78" s="25" t="s">
        <v>148</v>
      </c>
    </row>
    <row r="79" spans="1:8" x14ac:dyDescent="0.2">
      <c r="A79" s="23"/>
      <c r="B79" s="23"/>
      <c r="C79" s="24" t="s">
        <v>162</v>
      </c>
      <c r="D79" s="23"/>
      <c r="E79" s="23"/>
      <c r="F79" s="34"/>
      <c r="G79" s="34"/>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163</v>
      </c>
      <c r="D82" s="23"/>
      <c r="E82" s="23"/>
      <c r="F82" s="34"/>
      <c r="G82" s="34"/>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164</v>
      </c>
      <c r="D85" s="23"/>
      <c r="E85" s="23"/>
      <c r="F85" s="34"/>
      <c r="G85" s="34"/>
      <c r="H85" s="25" t="s">
        <v>148</v>
      </c>
    </row>
    <row r="86" spans="1:8" x14ac:dyDescent="0.2">
      <c r="A86" s="23"/>
      <c r="B86" s="23"/>
      <c r="C86" s="24" t="s">
        <v>147</v>
      </c>
      <c r="D86" s="23"/>
      <c r="E86" s="23" t="s">
        <v>148</v>
      </c>
      <c r="F86" s="35" t="s">
        <v>150</v>
      </c>
      <c r="G86" s="32">
        <v>0</v>
      </c>
      <c r="H86" s="25" t="s">
        <v>148</v>
      </c>
    </row>
    <row r="87" spans="1:8" x14ac:dyDescent="0.2">
      <c r="A87" s="23"/>
      <c r="B87" s="23"/>
      <c r="C87" s="33"/>
      <c r="D87" s="23"/>
      <c r="E87" s="23"/>
      <c r="F87" s="34"/>
      <c r="G87" s="34"/>
      <c r="H87" s="25" t="s">
        <v>148</v>
      </c>
    </row>
    <row r="88" spans="1:8" x14ac:dyDescent="0.2">
      <c r="A88" s="23"/>
      <c r="B88" s="23"/>
      <c r="C88" s="24" t="s">
        <v>165</v>
      </c>
      <c r="D88" s="23"/>
      <c r="E88" s="23"/>
      <c r="F88" s="34"/>
      <c r="G88" s="34"/>
      <c r="H88" s="25" t="s">
        <v>148</v>
      </c>
    </row>
    <row r="89" spans="1:8" x14ac:dyDescent="0.2">
      <c r="A89" s="26">
        <v>1</v>
      </c>
      <c r="B89" s="27"/>
      <c r="C89" s="27" t="s">
        <v>166</v>
      </c>
      <c r="D89" s="27"/>
      <c r="E89" s="36"/>
      <c r="F89" s="29">
        <v>166.2873233</v>
      </c>
      <c r="G89" s="30">
        <v>5.7615890000000003E-2</v>
      </c>
      <c r="H89" s="25">
        <v>6.23</v>
      </c>
    </row>
    <row r="90" spans="1:8" x14ac:dyDescent="0.2">
      <c r="A90" s="23"/>
      <c r="B90" s="23"/>
      <c r="C90" s="24" t="s">
        <v>147</v>
      </c>
      <c r="D90" s="23"/>
      <c r="E90" s="23" t="s">
        <v>148</v>
      </c>
      <c r="F90" s="31">
        <v>166.2873233</v>
      </c>
      <c r="G90" s="32">
        <v>5.7615890000000003E-2</v>
      </c>
      <c r="H90" s="25" t="s">
        <v>148</v>
      </c>
    </row>
    <row r="91" spans="1:8" x14ac:dyDescent="0.2">
      <c r="A91" s="23"/>
      <c r="B91" s="23"/>
      <c r="C91" s="33"/>
      <c r="D91" s="23"/>
      <c r="E91" s="23"/>
      <c r="F91" s="34"/>
      <c r="G91" s="34"/>
      <c r="H91" s="25" t="s">
        <v>148</v>
      </c>
    </row>
    <row r="92" spans="1:8" x14ac:dyDescent="0.2">
      <c r="A92" s="23"/>
      <c r="B92" s="23"/>
      <c r="C92" s="24" t="s">
        <v>167</v>
      </c>
      <c r="D92" s="23"/>
      <c r="E92" s="23"/>
      <c r="F92" s="31">
        <v>166.2873233</v>
      </c>
      <c r="G92" s="32">
        <v>5.7615890000000003E-2</v>
      </c>
      <c r="H92" s="25" t="s">
        <v>148</v>
      </c>
    </row>
    <row r="93" spans="1:8" x14ac:dyDescent="0.2">
      <c r="A93" s="23"/>
      <c r="B93" s="23"/>
      <c r="C93" s="34"/>
      <c r="D93" s="23"/>
      <c r="E93" s="23"/>
      <c r="F93" s="23"/>
      <c r="G93" s="23"/>
      <c r="H93" s="25" t="s">
        <v>148</v>
      </c>
    </row>
    <row r="94" spans="1:8" x14ac:dyDescent="0.2">
      <c r="A94" s="23"/>
      <c r="B94" s="23"/>
      <c r="C94" s="24" t="s">
        <v>168</v>
      </c>
      <c r="D94" s="23"/>
      <c r="E94" s="23"/>
      <c r="F94" s="23"/>
      <c r="G94" s="23"/>
      <c r="H94" s="25" t="s">
        <v>148</v>
      </c>
    </row>
    <row r="95" spans="1:8" x14ac:dyDescent="0.2">
      <c r="A95" s="23"/>
      <c r="B95" s="23"/>
      <c r="C95" s="24" t="s">
        <v>169</v>
      </c>
      <c r="D95" s="23"/>
      <c r="E95" s="23"/>
      <c r="F95" s="23"/>
      <c r="G95" s="23"/>
      <c r="H95" s="25" t="s">
        <v>148</v>
      </c>
    </row>
    <row r="96" spans="1:8" x14ac:dyDescent="0.2">
      <c r="A96" s="23"/>
      <c r="B96" s="23"/>
      <c r="C96" s="24" t="s">
        <v>147</v>
      </c>
      <c r="D96" s="23"/>
      <c r="E96" s="23" t="s">
        <v>148</v>
      </c>
      <c r="F96" s="35" t="s">
        <v>150</v>
      </c>
      <c r="G96" s="32">
        <v>0</v>
      </c>
      <c r="H96" s="25" t="s">
        <v>148</v>
      </c>
    </row>
    <row r="97" spans="1:17" x14ac:dyDescent="0.2">
      <c r="A97" s="23"/>
      <c r="B97" s="23"/>
      <c r="C97" s="33"/>
      <c r="D97" s="23"/>
      <c r="E97" s="23"/>
      <c r="F97" s="34"/>
      <c r="G97" s="34"/>
      <c r="H97" s="25" t="s">
        <v>148</v>
      </c>
    </row>
    <row r="98" spans="1:17" x14ac:dyDescent="0.2">
      <c r="A98" s="23"/>
      <c r="B98" s="23"/>
      <c r="C98" s="24" t="s">
        <v>172</v>
      </c>
      <c r="D98" s="23"/>
      <c r="E98" s="23"/>
      <c r="F98" s="23"/>
      <c r="G98" s="23"/>
      <c r="H98" s="25" t="s">
        <v>148</v>
      </c>
    </row>
    <row r="99" spans="1:17" x14ac:dyDescent="0.2">
      <c r="A99" s="23"/>
      <c r="B99" s="23"/>
      <c r="C99" s="24" t="s">
        <v>173</v>
      </c>
      <c r="D99" s="23"/>
      <c r="E99" s="23"/>
      <c r="F99" s="23"/>
      <c r="G99" s="23"/>
      <c r="H99" s="25" t="s">
        <v>148</v>
      </c>
    </row>
    <row r="100" spans="1:17" x14ac:dyDescent="0.2">
      <c r="A100" s="23"/>
      <c r="B100" s="23"/>
      <c r="C100" s="24" t="s">
        <v>147</v>
      </c>
      <c r="D100" s="23"/>
      <c r="E100" s="23" t="s">
        <v>148</v>
      </c>
      <c r="F100" s="35" t="s">
        <v>150</v>
      </c>
      <c r="G100" s="32">
        <v>0</v>
      </c>
      <c r="H100" s="25" t="s">
        <v>148</v>
      </c>
    </row>
    <row r="101" spans="1:17" x14ac:dyDescent="0.2">
      <c r="A101" s="23"/>
      <c r="B101" s="23"/>
      <c r="C101" s="33"/>
      <c r="D101" s="23"/>
      <c r="E101" s="23"/>
      <c r="F101" s="34"/>
      <c r="G101" s="34"/>
      <c r="H101" s="25" t="s">
        <v>148</v>
      </c>
    </row>
    <row r="102" spans="1:17" x14ac:dyDescent="0.2">
      <c r="A102" s="23"/>
      <c r="B102" s="23"/>
      <c r="C102" s="24" t="s">
        <v>174</v>
      </c>
      <c r="D102" s="23"/>
      <c r="E102" s="23"/>
      <c r="F102" s="34"/>
      <c r="G102" s="34"/>
      <c r="H102" s="25" t="s">
        <v>148</v>
      </c>
    </row>
    <row r="103" spans="1:17" x14ac:dyDescent="0.2">
      <c r="A103" s="23"/>
      <c r="B103" s="23"/>
      <c r="C103" s="24" t="s">
        <v>147</v>
      </c>
      <c r="D103" s="23"/>
      <c r="E103" s="23" t="s">
        <v>148</v>
      </c>
      <c r="F103" s="35" t="s">
        <v>150</v>
      </c>
      <c r="G103" s="32">
        <v>0</v>
      </c>
      <c r="H103" s="25" t="s">
        <v>148</v>
      </c>
    </row>
    <row r="104" spans="1:17" x14ac:dyDescent="0.2">
      <c r="A104" s="23"/>
      <c r="B104" s="23"/>
      <c r="C104" s="33"/>
      <c r="D104" s="23"/>
      <c r="E104" s="23"/>
      <c r="F104" s="34"/>
      <c r="G104" s="34"/>
      <c r="H104" s="25" t="s">
        <v>148</v>
      </c>
    </row>
    <row r="105" spans="1:17" x14ac:dyDescent="0.2">
      <c r="A105" s="36"/>
      <c r="B105" s="27"/>
      <c r="C105" s="27" t="s">
        <v>175</v>
      </c>
      <c r="D105" s="27"/>
      <c r="E105" s="36"/>
      <c r="F105" s="29">
        <v>-0.68662710000000005</v>
      </c>
      <c r="G105" s="30">
        <v>-2.3791E-4</v>
      </c>
      <c r="H105" s="25" t="s">
        <v>148</v>
      </c>
    </row>
    <row r="106" spans="1:17" x14ac:dyDescent="0.2">
      <c r="A106" s="33"/>
      <c r="B106" s="33"/>
      <c r="C106" s="24" t="s">
        <v>176</v>
      </c>
      <c r="D106" s="34"/>
      <c r="E106" s="34"/>
      <c r="F106" s="31">
        <v>2886.1365538999999</v>
      </c>
      <c r="G106" s="39">
        <v>1.0000000099999999</v>
      </c>
      <c r="H106" s="25" t="s">
        <v>148</v>
      </c>
    </row>
    <row r="107" spans="1:17" x14ac:dyDescent="0.2">
      <c r="A107" s="40"/>
      <c r="B107" s="40"/>
      <c r="C107" s="40"/>
      <c r="D107" s="41"/>
      <c r="E107" s="41"/>
      <c r="F107" s="41"/>
      <c r="G107" s="41"/>
    </row>
    <row r="108" spans="1:17" x14ac:dyDescent="0.2">
      <c r="A108" s="42"/>
      <c r="B108" s="237" t="s">
        <v>891</v>
      </c>
      <c r="C108" s="237"/>
      <c r="D108" s="237"/>
      <c r="E108" s="237"/>
      <c r="F108" s="237"/>
      <c r="G108" s="237"/>
      <c r="H108" s="237"/>
      <c r="J108" s="44"/>
    </row>
    <row r="109" spans="1:17" x14ac:dyDescent="0.2">
      <c r="A109" s="42"/>
      <c r="B109" s="237" t="s">
        <v>892</v>
      </c>
      <c r="C109" s="237"/>
      <c r="D109" s="237"/>
      <c r="E109" s="237"/>
      <c r="F109" s="237"/>
      <c r="G109" s="237"/>
      <c r="H109" s="237"/>
      <c r="J109" s="44"/>
    </row>
    <row r="110" spans="1:17" x14ac:dyDescent="0.2">
      <c r="A110" s="42"/>
      <c r="B110" s="237" t="s">
        <v>893</v>
      </c>
      <c r="C110" s="237"/>
      <c r="D110" s="237"/>
      <c r="E110" s="237"/>
      <c r="F110" s="237"/>
      <c r="G110" s="237"/>
      <c r="H110" s="237"/>
      <c r="J110" s="44"/>
    </row>
    <row r="111" spans="1:17" s="46" customFormat="1" ht="66.75" customHeight="1" x14ac:dyDescent="0.25">
      <c r="A111" s="45"/>
      <c r="B111" s="239" t="s">
        <v>894</v>
      </c>
      <c r="C111" s="239"/>
      <c r="D111" s="239"/>
      <c r="E111" s="239"/>
      <c r="F111" s="239"/>
      <c r="G111" s="239"/>
      <c r="H111" s="239"/>
      <c r="I111"/>
      <c r="J111" s="44"/>
      <c r="K111"/>
      <c r="L111"/>
      <c r="M111"/>
      <c r="N111"/>
      <c r="O111"/>
      <c r="P111"/>
      <c r="Q111"/>
    </row>
    <row r="112" spans="1:17" x14ac:dyDescent="0.2">
      <c r="A112" s="42"/>
      <c r="B112" s="237" t="s">
        <v>895</v>
      </c>
      <c r="C112" s="237"/>
      <c r="D112" s="237"/>
      <c r="E112" s="237"/>
      <c r="F112" s="237"/>
      <c r="G112" s="237"/>
      <c r="H112" s="237"/>
      <c r="J112" s="44"/>
    </row>
    <row r="113" spans="1:10" x14ac:dyDescent="0.2">
      <c r="A113" s="47"/>
      <c r="B113" s="47"/>
      <c r="C113" s="47"/>
      <c r="D113" s="48"/>
      <c r="E113" s="48"/>
      <c r="F113" s="48"/>
      <c r="G113" s="48"/>
    </row>
    <row r="114" spans="1:10" x14ac:dyDescent="0.2">
      <c r="A114" s="47"/>
      <c r="B114" s="234" t="s">
        <v>177</v>
      </c>
      <c r="C114" s="235"/>
      <c r="D114" s="236"/>
      <c r="E114" s="49"/>
      <c r="F114" s="48"/>
      <c r="G114" s="48"/>
    </row>
    <row r="115" spans="1:10" x14ac:dyDescent="0.2">
      <c r="A115" s="47"/>
      <c r="B115" s="232" t="s">
        <v>178</v>
      </c>
      <c r="C115" s="233"/>
      <c r="D115" s="24" t="s">
        <v>179</v>
      </c>
      <c r="E115" s="49"/>
      <c r="F115" s="48"/>
      <c r="G115" s="48"/>
    </row>
    <row r="116" spans="1:10" ht="12.75" customHeight="1" x14ac:dyDescent="0.2">
      <c r="A116" s="47"/>
      <c r="B116" s="240" t="s">
        <v>897</v>
      </c>
      <c r="C116" s="241"/>
      <c r="D116" s="24" t="s">
        <v>179</v>
      </c>
      <c r="E116" s="49"/>
      <c r="F116" s="48"/>
      <c r="G116" s="48"/>
    </row>
    <row r="117" spans="1:10" x14ac:dyDescent="0.2">
      <c r="A117" s="47"/>
      <c r="B117" s="232" t="s">
        <v>181</v>
      </c>
      <c r="C117" s="233"/>
      <c r="D117" s="34" t="s">
        <v>148</v>
      </c>
      <c r="E117" s="49"/>
      <c r="F117" s="48"/>
      <c r="G117" s="48"/>
    </row>
    <row r="118" spans="1:10" x14ac:dyDescent="0.2">
      <c r="A118" s="50"/>
      <c r="B118" s="51" t="s">
        <v>148</v>
      </c>
      <c r="C118" s="51" t="s">
        <v>896</v>
      </c>
      <c r="D118" s="51" t="s">
        <v>182</v>
      </c>
      <c r="E118" s="50"/>
      <c r="F118" s="50"/>
      <c r="G118" s="50"/>
      <c r="H118" s="50"/>
      <c r="J118" s="44"/>
    </row>
    <row r="119" spans="1:10" x14ac:dyDescent="0.2">
      <c r="A119" s="50"/>
      <c r="B119" s="52" t="s">
        <v>183</v>
      </c>
      <c r="C119" s="53">
        <v>45688</v>
      </c>
      <c r="D119" s="53">
        <v>45716</v>
      </c>
      <c r="E119" s="50"/>
      <c r="F119" s="50"/>
      <c r="G119" s="50"/>
      <c r="J119" s="44"/>
    </row>
    <row r="120" spans="1:10" x14ac:dyDescent="0.2">
      <c r="A120" s="54"/>
      <c r="B120" s="27" t="s">
        <v>184</v>
      </c>
      <c r="C120" s="55">
        <v>27.0199</v>
      </c>
      <c r="D120" s="55">
        <v>23.793900000000001</v>
      </c>
      <c r="E120" s="54"/>
      <c r="F120" s="56"/>
      <c r="G120" s="57"/>
    </row>
    <row r="121" spans="1:10" x14ac:dyDescent="0.2">
      <c r="A121" s="54"/>
      <c r="B121" s="27" t="s">
        <v>1070</v>
      </c>
      <c r="C121" s="55">
        <v>25.722899999999999</v>
      </c>
      <c r="D121" s="55">
        <v>22.651700000000002</v>
      </c>
      <c r="E121" s="54"/>
      <c r="F121" s="56"/>
      <c r="G121" s="57"/>
    </row>
    <row r="122" spans="1:10" x14ac:dyDescent="0.2">
      <c r="A122" s="54"/>
      <c r="B122" s="27" t="s">
        <v>186</v>
      </c>
      <c r="C122" s="55">
        <v>26.203099999999999</v>
      </c>
      <c r="D122" s="55">
        <v>23.070599999999999</v>
      </c>
      <c r="E122" s="54"/>
      <c r="F122" s="56"/>
      <c r="G122" s="57"/>
    </row>
    <row r="123" spans="1:10" x14ac:dyDescent="0.2">
      <c r="A123" s="54"/>
      <c r="B123" s="27" t="s">
        <v>1071</v>
      </c>
      <c r="C123" s="55">
        <v>24.909600000000001</v>
      </c>
      <c r="D123" s="55">
        <v>21.931699999999999</v>
      </c>
      <c r="E123" s="54"/>
      <c r="F123" s="56"/>
      <c r="G123" s="57"/>
    </row>
    <row r="124" spans="1:10" x14ac:dyDescent="0.2">
      <c r="A124" s="54"/>
      <c r="B124" s="54"/>
      <c r="C124" s="54"/>
      <c r="D124" s="54"/>
      <c r="E124" s="54"/>
      <c r="F124" s="54"/>
      <c r="G124" s="54"/>
    </row>
    <row r="125" spans="1:10" x14ac:dyDescent="0.2">
      <c r="A125" s="50"/>
      <c r="B125" s="240" t="s">
        <v>898</v>
      </c>
      <c r="C125" s="241"/>
      <c r="D125" s="58" t="s">
        <v>179</v>
      </c>
      <c r="E125" s="50"/>
      <c r="F125" s="50"/>
      <c r="G125" s="50"/>
    </row>
    <row r="126" spans="1:10" x14ac:dyDescent="0.2">
      <c r="A126" s="50"/>
      <c r="B126" s="59"/>
      <c r="C126" s="59"/>
      <c r="D126" s="59"/>
      <c r="E126" s="50"/>
      <c r="F126" s="50"/>
      <c r="G126" s="50"/>
    </row>
    <row r="127" spans="1:10" x14ac:dyDescent="0.2">
      <c r="A127" s="50"/>
      <c r="B127" s="240" t="s">
        <v>188</v>
      </c>
      <c r="C127" s="241"/>
      <c r="D127" s="58" t="s">
        <v>179</v>
      </c>
      <c r="E127" s="60"/>
      <c r="F127" s="50"/>
      <c r="G127" s="50"/>
    </row>
    <row r="128" spans="1:10" x14ac:dyDescent="0.2">
      <c r="A128" s="50"/>
      <c r="B128" s="240" t="s">
        <v>189</v>
      </c>
      <c r="C128" s="241"/>
      <c r="D128" s="58" t="s">
        <v>179</v>
      </c>
      <c r="E128" s="60"/>
      <c r="F128" s="50"/>
      <c r="G128" s="50"/>
    </row>
    <row r="129" spans="1:10" x14ac:dyDescent="0.2">
      <c r="A129" s="50"/>
      <c r="B129" s="240" t="s">
        <v>190</v>
      </c>
      <c r="C129" s="241"/>
      <c r="D129" s="58" t="s">
        <v>179</v>
      </c>
      <c r="E129" s="60"/>
      <c r="F129" s="50"/>
      <c r="G129" s="50"/>
    </row>
    <row r="130" spans="1:10" x14ac:dyDescent="0.2">
      <c r="A130" s="50"/>
      <c r="B130" s="240" t="s">
        <v>191</v>
      </c>
      <c r="C130" s="241"/>
      <c r="D130" s="61">
        <v>0.24004029671735391</v>
      </c>
      <c r="E130" s="50"/>
      <c r="F130" s="43"/>
      <c r="G130" s="62"/>
    </row>
    <row r="132" spans="1:10" x14ac:dyDescent="0.2">
      <c r="B132" s="238" t="s">
        <v>899</v>
      </c>
      <c r="C132" s="238"/>
    </row>
    <row r="134" spans="1:10" ht="153.75" customHeight="1" x14ac:dyDescent="0.2"/>
    <row r="137" spans="1:10" x14ac:dyDescent="0.2">
      <c r="B137" s="68" t="s">
        <v>900</v>
      </c>
      <c r="C137" s="69"/>
      <c r="D137" s="68"/>
    </row>
    <row r="138" spans="1:10" x14ac:dyDescent="0.2">
      <c r="B138" s="68" t="s">
        <v>907</v>
      </c>
      <c r="D138" s="68"/>
    </row>
    <row r="139" spans="1:10" ht="165" customHeight="1" x14ac:dyDescent="0.2"/>
    <row r="141" spans="1:10" x14ac:dyDescent="0.2">
      <c r="J141" s="22"/>
    </row>
  </sheetData>
  <mergeCells count="18">
    <mergeCell ref="B132:C132"/>
    <mergeCell ref="A3:H3"/>
    <mergeCell ref="A2:H2"/>
    <mergeCell ref="B130:C130"/>
    <mergeCell ref="A1:H1"/>
    <mergeCell ref="B116:C116"/>
    <mergeCell ref="B117:C117"/>
    <mergeCell ref="B125:C125"/>
    <mergeCell ref="B129:C129"/>
    <mergeCell ref="B114:D114"/>
    <mergeCell ref="B115:C115"/>
    <mergeCell ref="B108:H108"/>
    <mergeCell ref="B109:H109"/>
    <mergeCell ref="B110:H110"/>
    <mergeCell ref="B111:H111"/>
    <mergeCell ref="B112:H112"/>
    <mergeCell ref="B127:C127"/>
    <mergeCell ref="B128:C128"/>
  </mergeCells>
  <hyperlinks>
    <hyperlink ref="I1" location="Index!B2" display="Index" xr:uid="{56E42F6C-C482-4767-B918-DA0D8BFE30C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5DD1-F544-4E7A-B6C1-7F1AF957D745}">
  <sheetPr>
    <outlinePr summaryBelow="0" summaryRight="0"/>
  </sheetPr>
  <dimension ref="A1:Q142"/>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432</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380</v>
      </c>
      <c r="C7" s="27" t="s">
        <v>381</v>
      </c>
      <c r="D7" s="27" t="s">
        <v>51</v>
      </c>
      <c r="E7" s="28">
        <v>5638</v>
      </c>
      <c r="F7" s="29">
        <v>120.430499</v>
      </c>
      <c r="G7" s="30">
        <v>6.3488149999999993E-2</v>
      </c>
      <c r="H7" s="25" t="s">
        <v>148</v>
      </c>
    </row>
    <row r="8" spans="1:9" x14ac:dyDescent="0.2">
      <c r="A8" s="26">
        <v>2</v>
      </c>
      <c r="B8" s="27" t="s">
        <v>351</v>
      </c>
      <c r="C8" s="27" t="s">
        <v>352</v>
      </c>
      <c r="D8" s="27" t="s">
        <v>240</v>
      </c>
      <c r="E8" s="28">
        <v>1960</v>
      </c>
      <c r="F8" s="29">
        <v>97.836340000000007</v>
      </c>
      <c r="G8" s="30">
        <v>5.1577039999999998E-2</v>
      </c>
      <c r="H8" s="25" t="s">
        <v>148</v>
      </c>
    </row>
    <row r="9" spans="1:9" x14ac:dyDescent="0.2">
      <c r="A9" s="26">
        <v>3</v>
      </c>
      <c r="B9" s="27" t="s">
        <v>378</v>
      </c>
      <c r="C9" s="27" t="s">
        <v>379</v>
      </c>
      <c r="D9" s="27" t="s">
        <v>232</v>
      </c>
      <c r="E9" s="28">
        <v>30085</v>
      </c>
      <c r="F9" s="29">
        <v>93.3387125</v>
      </c>
      <c r="G9" s="30">
        <v>4.9205989999999998E-2</v>
      </c>
      <c r="H9" s="25" t="s">
        <v>148</v>
      </c>
    </row>
    <row r="10" spans="1:9" x14ac:dyDescent="0.2">
      <c r="A10" s="26">
        <v>4</v>
      </c>
      <c r="B10" s="27" t="s">
        <v>357</v>
      </c>
      <c r="C10" s="27" t="s">
        <v>358</v>
      </c>
      <c r="D10" s="27" t="s">
        <v>359</v>
      </c>
      <c r="E10" s="28">
        <v>6568</v>
      </c>
      <c r="F10" s="29">
        <v>91.968419999999995</v>
      </c>
      <c r="G10" s="30">
        <v>4.8483610000000003E-2</v>
      </c>
      <c r="H10" s="25" t="s">
        <v>148</v>
      </c>
    </row>
    <row r="11" spans="1:9" x14ac:dyDescent="0.2">
      <c r="A11" s="26">
        <v>5</v>
      </c>
      <c r="B11" s="27" t="s">
        <v>382</v>
      </c>
      <c r="C11" s="27" t="s">
        <v>383</v>
      </c>
      <c r="D11" s="27" t="s">
        <v>210</v>
      </c>
      <c r="E11" s="28">
        <v>21323</v>
      </c>
      <c r="F11" s="29">
        <v>85.921028500000006</v>
      </c>
      <c r="G11" s="30">
        <v>4.5295559999999999E-2</v>
      </c>
      <c r="H11" s="25" t="s">
        <v>148</v>
      </c>
    </row>
    <row r="12" spans="1:9" x14ac:dyDescent="0.2">
      <c r="A12" s="26">
        <v>6</v>
      </c>
      <c r="B12" s="27" t="s">
        <v>142</v>
      </c>
      <c r="C12" s="27" t="s">
        <v>143</v>
      </c>
      <c r="D12" s="27" t="s">
        <v>51</v>
      </c>
      <c r="E12" s="28">
        <v>27896</v>
      </c>
      <c r="F12" s="29">
        <v>75.026291999999998</v>
      </c>
      <c r="G12" s="30">
        <v>3.9552110000000001E-2</v>
      </c>
      <c r="H12" s="25" t="s">
        <v>148</v>
      </c>
    </row>
    <row r="13" spans="1:9" x14ac:dyDescent="0.2">
      <c r="A13" s="26">
        <v>7</v>
      </c>
      <c r="B13" s="27" t="s">
        <v>316</v>
      </c>
      <c r="C13" s="27" t="s">
        <v>317</v>
      </c>
      <c r="D13" s="27" t="s">
        <v>267</v>
      </c>
      <c r="E13" s="28">
        <v>1976</v>
      </c>
      <c r="F13" s="29">
        <v>74.342060000000004</v>
      </c>
      <c r="G13" s="30">
        <v>3.9191400000000001E-2</v>
      </c>
      <c r="H13" s="25" t="s">
        <v>148</v>
      </c>
    </row>
    <row r="14" spans="1:9" x14ac:dyDescent="0.2">
      <c r="A14" s="26">
        <v>8</v>
      </c>
      <c r="B14" s="27" t="s">
        <v>74</v>
      </c>
      <c r="C14" s="27" t="s">
        <v>75</v>
      </c>
      <c r="D14" s="27" t="s">
        <v>45</v>
      </c>
      <c r="E14" s="28">
        <v>10955</v>
      </c>
      <c r="F14" s="29">
        <v>67.592349999999996</v>
      </c>
      <c r="G14" s="30">
        <v>3.5633110000000003E-2</v>
      </c>
      <c r="H14" s="25" t="s">
        <v>148</v>
      </c>
    </row>
    <row r="15" spans="1:9" x14ac:dyDescent="0.2">
      <c r="A15" s="26">
        <v>9</v>
      </c>
      <c r="B15" s="27" t="s">
        <v>384</v>
      </c>
      <c r="C15" s="27" t="s">
        <v>385</v>
      </c>
      <c r="D15" s="27" t="s">
        <v>28</v>
      </c>
      <c r="E15" s="28">
        <v>22305</v>
      </c>
      <c r="F15" s="29">
        <v>63.067387500000002</v>
      </c>
      <c r="G15" s="30">
        <v>3.3247659999999998E-2</v>
      </c>
      <c r="H15" s="25" t="s">
        <v>148</v>
      </c>
    </row>
    <row r="16" spans="1:9" ht="25.5" x14ac:dyDescent="0.2">
      <c r="A16" s="26">
        <v>10</v>
      </c>
      <c r="B16" s="27" t="s">
        <v>388</v>
      </c>
      <c r="C16" s="27" t="s">
        <v>389</v>
      </c>
      <c r="D16" s="27" t="s">
        <v>202</v>
      </c>
      <c r="E16" s="28">
        <v>1238</v>
      </c>
      <c r="F16" s="29">
        <v>62.321539000000001</v>
      </c>
      <c r="G16" s="30">
        <v>3.2854460000000002E-2</v>
      </c>
      <c r="H16" s="25" t="s">
        <v>148</v>
      </c>
    </row>
    <row r="17" spans="1:8" x14ac:dyDescent="0.2">
      <c r="A17" s="26">
        <v>11</v>
      </c>
      <c r="B17" s="27" t="s">
        <v>86</v>
      </c>
      <c r="C17" s="27" t="s">
        <v>87</v>
      </c>
      <c r="D17" s="27" t="s">
        <v>45</v>
      </c>
      <c r="E17" s="28">
        <v>1987</v>
      </c>
      <c r="F17" s="29">
        <v>61.003880500000001</v>
      </c>
      <c r="G17" s="30">
        <v>3.2159819999999999E-2</v>
      </c>
      <c r="H17" s="25" t="s">
        <v>148</v>
      </c>
    </row>
    <row r="18" spans="1:8" x14ac:dyDescent="0.2">
      <c r="A18" s="26">
        <v>12</v>
      </c>
      <c r="B18" s="27" t="s">
        <v>392</v>
      </c>
      <c r="C18" s="27" t="s">
        <v>393</v>
      </c>
      <c r="D18" s="27" t="s">
        <v>28</v>
      </c>
      <c r="E18" s="28">
        <v>101192</v>
      </c>
      <c r="F18" s="29">
        <v>57.5478904</v>
      </c>
      <c r="G18" s="30">
        <v>3.0337909999999999E-2</v>
      </c>
      <c r="H18" s="25" t="s">
        <v>148</v>
      </c>
    </row>
    <row r="19" spans="1:8" x14ac:dyDescent="0.2">
      <c r="A19" s="26">
        <v>13</v>
      </c>
      <c r="B19" s="27" t="s">
        <v>390</v>
      </c>
      <c r="C19" s="27" t="s">
        <v>391</v>
      </c>
      <c r="D19" s="27" t="s">
        <v>28</v>
      </c>
      <c r="E19" s="28">
        <v>178820</v>
      </c>
      <c r="F19" s="29">
        <v>57.454866000000003</v>
      </c>
      <c r="G19" s="30">
        <v>3.0288869999999999E-2</v>
      </c>
      <c r="H19" s="25" t="s">
        <v>148</v>
      </c>
    </row>
    <row r="20" spans="1:8" x14ac:dyDescent="0.2">
      <c r="A20" s="26">
        <v>14</v>
      </c>
      <c r="B20" s="27" t="s">
        <v>255</v>
      </c>
      <c r="C20" s="27" t="s">
        <v>256</v>
      </c>
      <c r="D20" s="27" t="s">
        <v>111</v>
      </c>
      <c r="E20" s="28">
        <v>700</v>
      </c>
      <c r="F20" s="29">
        <v>57.295699999999997</v>
      </c>
      <c r="G20" s="30">
        <v>3.0204959999999999E-2</v>
      </c>
      <c r="H20" s="25" t="s">
        <v>148</v>
      </c>
    </row>
    <row r="21" spans="1:8" ht="25.5" x14ac:dyDescent="0.2">
      <c r="A21" s="26">
        <v>15</v>
      </c>
      <c r="B21" s="27" t="s">
        <v>410</v>
      </c>
      <c r="C21" s="27" t="s">
        <v>411</v>
      </c>
      <c r="D21" s="27" t="s">
        <v>202</v>
      </c>
      <c r="E21" s="28">
        <v>9440</v>
      </c>
      <c r="F21" s="29">
        <v>49.767679999999999</v>
      </c>
      <c r="G21" s="30">
        <v>2.623636E-2</v>
      </c>
      <c r="H21" s="25" t="s">
        <v>148</v>
      </c>
    </row>
    <row r="22" spans="1:8" x14ac:dyDescent="0.2">
      <c r="A22" s="26">
        <v>16</v>
      </c>
      <c r="B22" s="27" t="s">
        <v>396</v>
      </c>
      <c r="C22" s="27" t="s">
        <v>397</v>
      </c>
      <c r="D22" s="27" t="s">
        <v>205</v>
      </c>
      <c r="E22" s="28">
        <v>9732</v>
      </c>
      <c r="F22" s="29">
        <v>47.686799999999998</v>
      </c>
      <c r="G22" s="30">
        <v>2.5139370000000001E-2</v>
      </c>
      <c r="H22" s="25" t="s">
        <v>148</v>
      </c>
    </row>
    <row r="23" spans="1:8" ht="25.5" x14ac:dyDescent="0.2">
      <c r="A23" s="26">
        <v>17</v>
      </c>
      <c r="B23" s="27" t="s">
        <v>398</v>
      </c>
      <c r="C23" s="27" t="s">
        <v>399</v>
      </c>
      <c r="D23" s="27" t="s">
        <v>400</v>
      </c>
      <c r="E23" s="28">
        <v>14767</v>
      </c>
      <c r="F23" s="29">
        <v>45.031966500000003</v>
      </c>
      <c r="G23" s="30">
        <v>2.3739799999999998E-2</v>
      </c>
      <c r="H23" s="25" t="s">
        <v>148</v>
      </c>
    </row>
    <row r="24" spans="1:8" x14ac:dyDescent="0.2">
      <c r="A24" s="26">
        <v>18</v>
      </c>
      <c r="B24" s="27" t="s">
        <v>394</v>
      </c>
      <c r="C24" s="27" t="s">
        <v>395</v>
      </c>
      <c r="D24" s="27" t="s">
        <v>240</v>
      </c>
      <c r="E24" s="28">
        <v>1988</v>
      </c>
      <c r="F24" s="29">
        <v>43.122701999999997</v>
      </c>
      <c r="G24" s="30">
        <v>2.2733280000000002E-2</v>
      </c>
      <c r="H24" s="25" t="s">
        <v>148</v>
      </c>
    </row>
    <row r="25" spans="1:8" x14ac:dyDescent="0.2">
      <c r="A25" s="26">
        <v>19</v>
      </c>
      <c r="B25" s="27" t="s">
        <v>36</v>
      </c>
      <c r="C25" s="27" t="s">
        <v>37</v>
      </c>
      <c r="D25" s="27" t="s">
        <v>25</v>
      </c>
      <c r="E25" s="28">
        <v>936</v>
      </c>
      <c r="F25" s="29">
        <v>41.084316000000001</v>
      </c>
      <c r="G25" s="30">
        <v>2.1658690000000001E-2</v>
      </c>
      <c r="H25" s="25" t="s">
        <v>148</v>
      </c>
    </row>
    <row r="26" spans="1:8" x14ac:dyDescent="0.2">
      <c r="A26" s="26">
        <v>20</v>
      </c>
      <c r="B26" s="27" t="s">
        <v>401</v>
      </c>
      <c r="C26" s="27" t="s">
        <v>402</v>
      </c>
      <c r="D26" s="27" t="s">
        <v>403</v>
      </c>
      <c r="E26" s="28">
        <v>4462</v>
      </c>
      <c r="F26" s="29">
        <v>40.334249</v>
      </c>
      <c r="G26" s="30">
        <v>2.1263279999999999E-2</v>
      </c>
      <c r="H26" s="25" t="s">
        <v>148</v>
      </c>
    </row>
    <row r="27" spans="1:8" x14ac:dyDescent="0.2">
      <c r="A27" s="26">
        <v>21</v>
      </c>
      <c r="B27" s="27" t="s">
        <v>404</v>
      </c>
      <c r="C27" s="27" t="s">
        <v>405</v>
      </c>
      <c r="D27" s="27" t="s">
        <v>111</v>
      </c>
      <c r="E27" s="28">
        <v>2453</v>
      </c>
      <c r="F27" s="29">
        <v>40.275807</v>
      </c>
      <c r="G27" s="30">
        <v>2.123247E-2</v>
      </c>
      <c r="H27" s="25" t="s">
        <v>148</v>
      </c>
    </row>
    <row r="28" spans="1:8" ht="25.5" x14ac:dyDescent="0.2">
      <c r="A28" s="26">
        <v>22</v>
      </c>
      <c r="B28" s="27" t="s">
        <v>386</v>
      </c>
      <c r="C28" s="27" t="s">
        <v>387</v>
      </c>
      <c r="D28" s="27" t="s">
        <v>202</v>
      </c>
      <c r="E28" s="28">
        <v>2376</v>
      </c>
      <c r="F28" s="29">
        <v>39.069755999999998</v>
      </c>
      <c r="G28" s="30">
        <v>2.0596670000000001E-2</v>
      </c>
      <c r="H28" s="25" t="s">
        <v>148</v>
      </c>
    </row>
    <row r="29" spans="1:8" x14ac:dyDescent="0.2">
      <c r="A29" s="26">
        <v>23</v>
      </c>
      <c r="B29" s="27" t="s">
        <v>406</v>
      </c>
      <c r="C29" s="27" t="s">
        <v>407</v>
      </c>
      <c r="D29" s="27" t="s">
        <v>232</v>
      </c>
      <c r="E29" s="28">
        <v>5099</v>
      </c>
      <c r="F29" s="29">
        <v>34.828719499999998</v>
      </c>
      <c r="G29" s="30">
        <v>1.8360890000000001E-2</v>
      </c>
      <c r="H29" s="25" t="s">
        <v>148</v>
      </c>
    </row>
    <row r="30" spans="1:8" x14ac:dyDescent="0.2">
      <c r="A30" s="26">
        <v>24</v>
      </c>
      <c r="B30" s="27" t="s">
        <v>412</v>
      </c>
      <c r="C30" s="27" t="s">
        <v>413</v>
      </c>
      <c r="D30" s="27" t="s">
        <v>45</v>
      </c>
      <c r="E30" s="28">
        <v>8416</v>
      </c>
      <c r="F30" s="29">
        <v>32.965471999999998</v>
      </c>
      <c r="G30" s="30">
        <v>1.7378629999999999E-2</v>
      </c>
      <c r="H30" s="25" t="s">
        <v>148</v>
      </c>
    </row>
    <row r="31" spans="1:8" x14ac:dyDescent="0.2">
      <c r="A31" s="26">
        <v>25</v>
      </c>
      <c r="B31" s="27" t="s">
        <v>414</v>
      </c>
      <c r="C31" s="27" t="s">
        <v>415</v>
      </c>
      <c r="D31" s="27" t="s">
        <v>205</v>
      </c>
      <c r="E31" s="28">
        <v>7579</v>
      </c>
      <c r="F31" s="29">
        <v>32.138749500000003</v>
      </c>
      <c r="G31" s="30">
        <v>1.6942800000000001E-2</v>
      </c>
      <c r="H31" s="25" t="s">
        <v>148</v>
      </c>
    </row>
    <row r="32" spans="1:8" x14ac:dyDescent="0.2">
      <c r="A32" s="26">
        <v>26</v>
      </c>
      <c r="B32" s="27" t="s">
        <v>416</v>
      </c>
      <c r="C32" s="27" t="s">
        <v>417</v>
      </c>
      <c r="D32" s="27" t="s">
        <v>111</v>
      </c>
      <c r="E32" s="28">
        <v>3328</v>
      </c>
      <c r="F32" s="29">
        <v>30.587648000000002</v>
      </c>
      <c r="G32" s="30">
        <v>1.61251E-2</v>
      </c>
      <c r="H32" s="25" t="s">
        <v>148</v>
      </c>
    </row>
    <row r="33" spans="1:8" x14ac:dyDescent="0.2">
      <c r="A33" s="26">
        <v>27</v>
      </c>
      <c r="B33" s="27" t="s">
        <v>418</v>
      </c>
      <c r="C33" s="27" t="s">
        <v>419</v>
      </c>
      <c r="D33" s="27" t="s">
        <v>137</v>
      </c>
      <c r="E33" s="28">
        <v>18454</v>
      </c>
      <c r="F33" s="29">
        <v>25.318888000000001</v>
      </c>
      <c r="G33" s="30">
        <v>1.334753E-2</v>
      </c>
      <c r="H33" s="25" t="s">
        <v>148</v>
      </c>
    </row>
    <row r="34" spans="1:8" x14ac:dyDescent="0.2">
      <c r="A34" s="26">
        <v>28</v>
      </c>
      <c r="B34" s="27" t="s">
        <v>114</v>
      </c>
      <c r="C34" s="27" t="s">
        <v>115</v>
      </c>
      <c r="D34" s="27" t="s">
        <v>45</v>
      </c>
      <c r="E34" s="28">
        <v>1691</v>
      </c>
      <c r="F34" s="29">
        <v>24.3140435</v>
      </c>
      <c r="G34" s="30">
        <v>1.2817800000000001E-2</v>
      </c>
      <c r="H34" s="25" t="s">
        <v>148</v>
      </c>
    </row>
    <row r="35" spans="1:8" x14ac:dyDescent="0.2">
      <c r="A35" s="26">
        <v>29</v>
      </c>
      <c r="B35" s="27" t="s">
        <v>424</v>
      </c>
      <c r="C35" s="27" t="s">
        <v>425</v>
      </c>
      <c r="D35" s="27" t="s">
        <v>51</v>
      </c>
      <c r="E35" s="28">
        <v>4055</v>
      </c>
      <c r="F35" s="29">
        <v>23.648759999999999</v>
      </c>
      <c r="G35" s="30">
        <v>1.246708E-2</v>
      </c>
      <c r="H35" s="25" t="s">
        <v>148</v>
      </c>
    </row>
    <row r="36" spans="1:8" x14ac:dyDescent="0.2">
      <c r="A36" s="26">
        <v>30</v>
      </c>
      <c r="B36" s="27" t="s">
        <v>422</v>
      </c>
      <c r="C36" s="27" t="s">
        <v>423</v>
      </c>
      <c r="D36" s="27" t="s">
        <v>359</v>
      </c>
      <c r="E36" s="28">
        <v>7431</v>
      </c>
      <c r="F36" s="29">
        <v>23.582278500000001</v>
      </c>
      <c r="G36" s="30">
        <v>1.243203E-2</v>
      </c>
      <c r="H36" s="25" t="s">
        <v>148</v>
      </c>
    </row>
    <row r="37" spans="1:8" x14ac:dyDescent="0.2">
      <c r="A37" s="26">
        <v>31</v>
      </c>
      <c r="B37" s="27" t="s">
        <v>426</v>
      </c>
      <c r="C37" s="27" t="s">
        <v>427</v>
      </c>
      <c r="D37" s="27" t="s">
        <v>64</v>
      </c>
      <c r="E37" s="28">
        <v>2508</v>
      </c>
      <c r="F37" s="29">
        <v>22.619651999999999</v>
      </c>
      <c r="G37" s="30">
        <v>1.1924550000000001E-2</v>
      </c>
      <c r="H37" s="25" t="s">
        <v>148</v>
      </c>
    </row>
    <row r="38" spans="1:8" x14ac:dyDescent="0.2">
      <c r="A38" s="26">
        <v>32</v>
      </c>
      <c r="B38" s="27" t="s">
        <v>298</v>
      </c>
      <c r="C38" s="27" t="s">
        <v>299</v>
      </c>
      <c r="D38" s="27" t="s">
        <v>54</v>
      </c>
      <c r="E38" s="28">
        <v>1390</v>
      </c>
      <c r="F38" s="29">
        <v>21.51859</v>
      </c>
      <c r="G38" s="30">
        <v>1.1344099999999999E-2</v>
      </c>
      <c r="H38" s="25" t="s">
        <v>148</v>
      </c>
    </row>
    <row r="39" spans="1:8" x14ac:dyDescent="0.2">
      <c r="A39" s="26">
        <v>33</v>
      </c>
      <c r="B39" s="27" t="s">
        <v>420</v>
      </c>
      <c r="C39" s="27" t="s">
        <v>421</v>
      </c>
      <c r="D39" s="27" t="s">
        <v>51</v>
      </c>
      <c r="E39" s="28">
        <v>2745</v>
      </c>
      <c r="F39" s="29">
        <v>19.8038025</v>
      </c>
      <c r="G39" s="30">
        <v>1.0440100000000001E-2</v>
      </c>
      <c r="H39" s="25" t="s">
        <v>148</v>
      </c>
    </row>
    <row r="40" spans="1:8" x14ac:dyDescent="0.2">
      <c r="A40" s="26">
        <v>34</v>
      </c>
      <c r="B40" s="27" t="s">
        <v>408</v>
      </c>
      <c r="C40" s="27" t="s">
        <v>409</v>
      </c>
      <c r="D40" s="27" t="s">
        <v>111</v>
      </c>
      <c r="E40" s="28">
        <v>2512</v>
      </c>
      <c r="F40" s="29">
        <v>14.510567999999999</v>
      </c>
      <c r="G40" s="30">
        <v>7.6496300000000001E-3</v>
      </c>
      <c r="H40" s="25" t="s">
        <v>148</v>
      </c>
    </row>
    <row r="41" spans="1:8" x14ac:dyDescent="0.2">
      <c r="A41" s="26">
        <v>35</v>
      </c>
      <c r="B41" s="27" t="s">
        <v>52</v>
      </c>
      <c r="C41" s="27" t="s">
        <v>53</v>
      </c>
      <c r="D41" s="27" t="s">
        <v>54</v>
      </c>
      <c r="E41" s="28">
        <v>1521</v>
      </c>
      <c r="F41" s="29">
        <v>14.4046305</v>
      </c>
      <c r="G41" s="30">
        <v>7.5937899999999996E-3</v>
      </c>
      <c r="H41" s="25" t="s">
        <v>148</v>
      </c>
    </row>
    <row r="42" spans="1:8" x14ac:dyDescent="0.2">
      <c r="A42" s="26">
        <v>36</v>
      </c>
      <c r="B42" s="27" t="s">
        <v>428</v>
      </c>
      <c r="C42" s="27" t="s">
        <v>429</v>
      </c>
      <c r="D42" s="27" t="s">
        <v>45</v>
      </c>
      <c r="E42" s="28">
        <v>1475</v>
      </c>
      <c r="F42" s="29">
        <v>12.266837499999999</v>
      </c>
      <c r="G42" s="30">
        <v>6.46679E-3</v>
      </c>
      <c r="H42" s="25" t="s">
        <v>148</v>
      </c>
    </row>
    <row r="43" spans="1:8" x14ac:dyDescent="0.2">
      <c r="A43" s="26">
        <v>37</v>
      </c>
      <c r="B43" s="27" t="s">
        <v>430</v>
      </c>
      <c r="C43" s="27" t="s">
        <v>431</v>
      </c>
      <c r="D43" s="27" t="s">
        <v>69</v>
      </c>
      <c r="E43" s="28">
        <v>2606</v>
      </c>
      <c r="F43" s="29">
        <v>8.8043709999999997</v>
      </c>
      <c r="G43" s="30">
        <v>4.64146E-3</v>
      </c>
      <c r="H43" s="25" t="s">
        <v>148</v>
      </c>
    </row>
    <row r="44" spans="1:8" x14ac:dyDescent="0.2">
      <c r="A44" s="23"/>
      <c r="B44" s="23"/>
      <c r="C44" s="24" t="s">
        <v>147</v>
      </c>
      <c r="D44" s="23"/>
      <c r="E44" s="23" t="s">
        <v>148</v>
      </c>
      <c r="F44" s="31">
        <v>1752.8332524</v>
      </c>
      <c r="G44" s="32">
        <v>0.92405285000000004</v>
      </c>
      <c r="H44" s="25" t="s">
        <v>148</v>
      </c>
    </row>
    <row r="45" spans="1:8" x14ac:dyDescent="0.2">
      <c r="A45" s="23"/>
      <c r="B45" s="23"/>
      <c r="C45" s="33"/>
      <c r="D45" s="23"/>
      <c r="E45" s="23"/>
      <c r="F45" s="34"/>
      <c r="G45" s="34"/>
      <c r="H45" s="25" t="s">
        <v>148</v>
      </c>
    </row>
    <row r="46" spans="1:8" x14ac:dyDescent="0.2">
      <c r="A46" s="23"/>
      <c r="B46" s="23"/>
      <c r="C46" s="24" t="s">
        <v>149</v>
      </c>
      <c r="D46" s="23"/>
      <c r="E46" s="23"/>
      <c r="F46" s="23"/>
      <c r="G46" s="23"/>
      <c r="H46" s="25" t="s">
        <v>148</v>
      </c>
    </row>
    <row r="47" spans="1:8" x14ac:dyDescent="0.2">
      <c r="A47" s="23"/>
      <c r="B47" s="23"/>
      <c r="C47" s="24" t="s">
        <v>147</v>
      </c>
      <c r="D47" s="23"/>
      <c r="E47" s="23" t="s">
        <v>148</v>
      </c>
      <c r="F47" s="35" t="s">
        <v>150</v>
      </c>
      <c r="G47" s="32">
        <v>0</v>
      </c>
      <c r="H47" s="25" t="s">
        <v>148</v>
      </c>
    </row>
    <row r="48" spans="1:8" x14ac:dyDescent="0.2">
      <c r="A48" s="23"/>
      <c r="B48" s="23"/>
      <c r="C48" s="33"/>
      <c r="D48" s="23"/>
      <c r="E48" s="23"/>
      <c r="F48" s="34"/>
      <c r="G48" s="34"/>
      <c r="H48" s="25" t="s">
        <v>148</v>
      </c>
    </row>
    <row r="49" spans="1:8" x14ac:dyDescent="0.2">
      <c r="A49" s="23"/>
      <c r="B49" s="23"/>
      <c r="C49" s="24" t="s">
        <v>151</v>
      </c>
      <c r="D49" s="23"/>
      <c r="E49" s="23"/>
      <c r="F49" s="23"/>
      <c r="G49" s="23"/>
      <c r="H49" s="25" t="s">
        <v>148</v>
      </c>
    </row>
    <row r="50" spans="1:8" x14ac:dyDescent="0.2">
      <c r="A50" s="23"/>
      <c r="B50" s="23"/>
      <c r="C50" s="24" t="s">
        <v>147</v>
      </c>
      <c r="D50" s="23"/>
      <c r="E50" s="23" t="s">
        <v>148</v>
      </c>
      <c r="F50" s="35" t="s">
        <v>150</v>
      </c>
      <c r="G50" s="32">
        <v>0</v>
      </c>
      <c r="H50" s="25" t="s">
        <v>148</v>
      </c>
    </row>
    <row r="51" spans="1:8" x14ac:dyDescent="0.2">
      <c r="A51" s="23"/>
      <c r="B51" s="23"/>
      <c r="C51" s="33"/>
      <c r="D51" s="23"/>
      <c r="E51" s="23"/>
      <c r="F51" s="34"/>
      <c r="G51" s="34"/>
      <c r="H51" s="25" t="s">
        <v>148</v>
      </c>
    </row>
    <row r="52" spans="1:8" x14ac:dyDescent="0.2">
      <c r="A52" s="23"/>
      <c r="B52" s="23"/>
      <c r="C52" s="24" t="s">
        <v>152</v>
      </c>
      <c r="D52" s="23"/>
      <c r="E52" s="23"/>
      <c r="F52" s="23"/>
      <c r="G52" s="23"/>
      <c r="H52" s="25" t="s">
        <v>148</v>
      </c>
    </row>
    <row r="53" spans="1:8" x14ac:dyDescent="0.2">
      <c r="A53" s="23"/>
      <c r="B53" s="23"/>
      <c r="C53" s="24" t="s">
        <v>147</v>
      </c>
      <c r="D53" s="23"/>
      <c r="E53" s="23" t="s">
        <v>148</v>
      </c>
      <c r="F53" s="35" t="s">
        <v>150</v>
      </c>
      <c r="G53" s="32">
        <v>0</v>
      </c>
      <c r="H53" s="25" t="s">
        <v>148</v>
      </c>
    </row>
    <row r="54" spans="1:8" x14ac:dyDescent="0.2">
      <c r="A54" s="23"/>
      <c r="B54" s="23"/>
      <c r="C54" s="33"/>
      <c r="D54" s="23"/>
      <c r="E54" s="23"/>
      <c r="F54" s="34"/>
      <c r="G54" s="34"/>
      <c r="H54" s="25" t="s">
        <v>148</v>
      </c>
    </row>
    <row r="55" spans="1:8" x14ac:dyDescent="0.2">
      <c r="A55" s="23"/>
      <c r="B55" s="23"/>
      <c r="C55" s="24" t="s">
        <v>153</v>
      </c>
      <c r="D55" s="23"/>
      <c r="E55" s="23"/>
      <c r="F55" s="34"/>
      <c r="G55" s="34"/>
      <c r="H55" s="25" t="s">
        <v>148</v>
      </c>
    </row>
    <row r="56" spans="1:8" x14ac:dyDescent="0.2">
      <c r="A56" s="23"/>
      <c r="B56" s="23"/>
      <c r="C56" s="24" t="s">
        <v>147</v>
      </c>
      <c r="D56" s="23"/>
      <c r="E56" s="23" t="s">
        <v>148</v>
      </c>
      <c r="F56" s="35" t="s">
        <v>150</v>
      </c>
      <c r="G56" s="32">
        <v>0</v>
      </c>
      <c r="H56" s="25" t="s">
        <v>148</v>
      </c>
    </row>
    <row r="57" spans="1:8" x14ac:dyDescent="0.2">
      <c r="A57" s="23"/>
      <c r="B57" s="23"/>
      <c r="C57" s="33"/>
      <c r="D57" s="23"/>
      <c r="E57" s="23"/>
      <c r="F57" s="34"/>
      <c r="G57" s="34"/>
      <c r="H57" s="25" t="s">
        <v>148</v>
      </c>
    </row>
    <row r="58" spans="1:8" x14ac:dyDescent="0.2">
      <c r="A58" s="23"/>
      <c r="B58" s="23"/>
      <c r="C58" s="24" t="s">
        <v>154</v>
      </c>
      <c r="D58" s="23"/>
      <c r="E58" s="23"/>
      <c r="F58" s="34"/>
      <c r="G58" s="34"/>
      <c r="H58" s="25" t="s">
        <v>148</v>
      </c>
    </row>
    <row r="59" spans="1:8" x14ac:dyDescent="0.2">
      <c r="A59" s="23"/>
      <c r="B59" s="23"/>
      <c r="C59" s="24" t="s">
        <v>147</v>
      </c>
      <c r="D59" s="23"/>
      <c r="E59" s="23" t="s">
        <v>148</v>
      </c>
      <c r="F59" s="35" t="s">
        <v>150</v>
      </c>
      <c r="G59" s="32">
        <v>0</v>
      </c>
      <c r="H59" s="25" t="s">
        <v>148</v>
      </c>
    </row>
    <row r="60" spans="1:8" x14ac:dyDescent="0.2">
      <c r="A60" s="23"/>
      <c r="B60" s="23"/>
      <c r="C60" s="33"/>
      <c r="D60" s="23"/>
      <c r="E60" s="23"/>
      <c r="F60" s="34"/>
      <c r="G60" s="34"/>
      <c r="H60" s="25" t="s">
        <v>148</v>
      </c>
    </row>
    <row r="61" spans="1:8" x14ac:dyDescent="0.2">
      <c r="A61" s="23"/>
      <c r="B61" s="23"/>
      <c r="C61" s="24" t="s">
        <v>155</v>
      </c>
      <c r="D61" s="23"/>
      <c r="E61" s="23"/>
      <c r="F61" s="31">
        <v>1752.8332524</v>
      </c>
      <c r="G61" s="32">
        <v>0.92405285000000004</v>
      </c>
      <c r="H61" s="25" t="s">
        <v>148</v>
      </c>
    </row>
    <row r="62" spans="1:8" x14ac:dyDescent="0.2">
      <c r="A62" s="23"/>
      <c r="B62" s="23"/>
      <c r="C62" s="33"/>
      <c r="D62" s="23"/>
      <c r="E62" s="23"/>
      <c r="F62" s="34"/>
      <c r="G62" s="34"/>
      <c r="H62" s="25" t="s">
        <v>148</v>
      </c>
    </row>
    <row r="63" spans="1:8" x14ac:dyDescent="0.2">
      <c r="A63" s="23"/>
      <c r="B63" s="23"/>
      <c r="C63" s="24" t="s">
        <v>156</v>
      </c>
      <c r="D63" s="23"/>
      <c r="E63" s="23"/>
      <c r="F63" s="34"/>
      <c r="G63" s="34"/>
      <c r="H63" s="25" t="s">
        <v>148</v>
      </c>
    </row>
    <row r="64" spans="1:8" x14ac:dyDescent="0.2">
      <c r="A64" s="23"/>
      <c r="B64" s="23"/>
      <c r="C64" s="24" t="s">
        <v>10</v>
      </c>
      <c r="D64" s="23"/>
      <c r="E64" s="23"/>
      <c r="F64" s="34"/>
      <c r="G64" s="34"/>
      <c r="H64" s="25" t="s">
        <v>148</v>
      </c>
    </row>
    <row r="65" spans="1:8" x14ac:dyDescent="0.2">
      <c r="A65" s="23"/>
      <c r="B65" s="23"/>
      <c r="C65" s="24" t="s">
        <v>147</v>
      </c>
      <c r="D65" s="23"/>
      <c r="E65" s="23" t="s">
        <v>148</v>
      </c>
      <c r="F65" s="35" t="s">
        <v>150</v>
      </c>
      <c r="G65" s="32">
        <v>0</v>
      </c>
      <c r="H65" s="25" t="s">
        <v>148</v>
      </c>
    </row>
    <row r="66" spans="1:8" x14ac:dyDescent="0.2">
      <c r="A66" s="23"/>
      <c r="B66" s="23"/>
      <c r="C66" s="33"/>
      <c r="D66" s="23"/>
      <c r="E66" s="23"/>
      <c r="F66" s="34"/>
      <c r="G66" s="34"/>
      <c r="H66" s="25" t="s">
        <v>148</v>
      </c>
    </row>
    <row r="67" spans="1:8" x14ac:dyDescent="0.2">
      <c r="A67" s="23"/>
      <c r="B67" s="23"/>
      <c r="C67" s="24" t="s">
        <v>157</v>
      </c>
      <c r="D67" s="23"/>
      <c r="E67" s="23"/>
      <c r="F67" s="23"/>
      <c r="G67" s="23"/>
      <c r="H67" s="25" t="s">
        <v>148</v>
      </c>
    </row>
    <row r="68" spans="1:8" x14ac:dyDescent="0.2">
      <c r="A68" s="23"/>
      <c r="B68" s="23"/>
      <c r="C68" s="24" t="s">
        <v>147</v>
      </c>
      <c r="D68" s="23"/>
      <c r="E68" s="23" t="s">
        <v>148</v>
      </c>
      <c r="F68" s="35" t="s">
        <v>150</v>
      </c>
      <c r="G68" s="32">
        <v>0</v>
      </c>
      <c r="H68" s="25" t="s">
        <v>148</v>
      </c>
    </row>
    <row r="69" spans="1:8" x14ac:dyDescent="0.2">
      <c r="A69" s="23"/>
      <c r="B69" s="23"/>
      <c r="C69" s="33"/>
      <c r="D69" s="23"/>
      <c r="E69" s="23"/>
      <c r="F69" s="34"/>
      <c r="G69" s="34"/>
      <c r="H69" s="25" t="s">
        <v>148</v>
      </c>
    </row>
    <row r="70" spans="1:8" x14ac:dyDescent="0.2">
      <c r="A70" s="23"/>
      <c r="B70" s="23"/>
      <c r="C70" s="24" t="s">
        <v>158</v>
      </c>
      <c r="D70" s="23"/>
      <c r="E70" s="23"/>
      <c r="F70" s="23"/>
      <c r="G70" s="23"/>
      <c r="H70" s="25" t="s">
        <v>148</v>
      </c>
    </row>
    <row r="71" spans="1:8" x14ac:dyDescent="0.2">
      <c r="A71" s="23"/>
      <c r="B71" s="23"/>
      <c r="C71" s="24" t="s">
        <v>147</v>
      </c>
      <c r="D71" s="23"/>
      <c r="E71" s="23" t="s">
        <v>148</v>
      </c>
      <c r="F71" s="35" t="s">
        <v>150</v>
      </c>
      <c r="G71" s="32">
        <v>0</v>
      </c>
      <c r="H71" s="25" t="s">
        <v>148</v>
      </c>
    </row>
    <row r="72" spans="1:8" x14ac:dyDescent="0.2">
      <c r="A72" s="23"/>
      <c r="B72" s="23"/>
      <c r="C72" s="33"/>
      <c r="D72" s="23"/>
      <c r="E72" s="23"/>
      <c r="F72" s="34"/>
      <c r="G72" s="34"/>
      <c r="H72" s="25" t="s">
        <v>148</v>
      </c>
    </row>
    <row r="73" spans="1:8" x14ac:dyDescent="0.2">
      <c r="A73" s="23"/>
      <c r="B73" s="23"/>
      <c r="C73" s="24" t="s">
        <v>159</v>
      </c>
      <c r="D73" s="23"/>
      <c r="E73" s="23"/>
      <c r="F73" s="34"/>
      <c r="G73" s="34"/>
      <c r="H73" s="25" t="s">
        <v>148</v>
      </c>
    </row>
    <row r="74" spans="1:8" x14ac:dyDescent="0.2">
      <c r="A74" s="23"/>
      <c r="B74" s="23"/>
      <c r="C74" s="24" t="s">
        <v>147</v>
      </c>
      <c r="D74" s="23"/>
      <c r="E74" s="23" t="s">
        <v>148</v>
      </c>
      <c r="F74" s="35" t="s">
        <v>150</v>
      </c>
      <c r="G74" s="32">
        <v>0</v>
      </c>
      <c r="H74" s="25" t="s">
        <v>148</v>
      </c>
    </row>
    <row r="75" spans="1:8" x14ac:dyDescent="0.2">
      <c r="A75" s="23"/>
      <c r="B75" s="23"/>
      <c r="C75" s="33"/>
      <c r="D75" s="23"/>
      <c r="E75" s="23"/>
      <c r="F75" s="34"/>
      <c r="G75" s="34"/>
      <c r="H75" s="25" t="s">
        <v>148</v>
      </c>
    </row>
    <row r="76" spans="1:8" x14ac:dyDescent="0.2">
      <c r="A76" s="23"/>
      <c r="B76" s="23"/>
      <c r="C76" s="24" t="s">
        <v>160</v>
      </c>
      <c r="D76" s="23"/>
      <c r="E76" s="23"/>
      <c r="F76" s="31">
        <v>0</v>
      </c>
      <c r="G76" s="32">
        <v>0</v>
      </c>
      <c r="H76" s="25" t="s">
        <v>148</v>
      </c>
    </row>
    <row r="77" spans="1:8" x14ac:dyDescent="0.2">
      <c r="A77" s="23"/>
      <c r="B77" s="23"/>
      <c r="C77" s="33"/>
      <c r="D77" s="23"/>
      <c r="E77" s="23"/>
      <c r="F77" s="34"/>
      <c r="G77" s="34"/>
      <c r="H77" s="25" t="s">
        <v>148</v>
      </c>
    </row>
    <row r="78" spans="1:8" x14ac:dyDescent="0.2">
      <c r="A78" s="23"/>
      <c r="B78" s="23"/>
      <c r="C78" s="24" t="s">
        <v>161</v>
      </c>
      <c r="D78" s="23"/>
      <c r="E78" s="23"/>
      <c r="F78" s="34"/>
      <c r="G78" s="34"/>
      <c r="H78" s="25" t="s">
        <v>148</v>
      </c>
    </row>
    <row r="79" spans="1:8" x14ac:dyDescent="0.2">
      <c r="A79" s="23"/>
      <c r="B79" s="23"/>
      <c r="C79" s="24" t="s">
        <v>162</v>
      </c>
      <c r="D79" s="23"/>
      <c r="E79" s="23"/>
      <c r="F79" s="34"/>
      <c r="G79" s="34"/>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163</v>
      </c>
      <c r="D82" s="23"/>
      <c r="E82" s="23"/>
      <c r="F82" s="34"/>
      <c r="G82" s="34"/>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164</v>
      </c>
      <c r="D85" s="23"/>
      <c r="E85" s="23"/>
      <c r="F85" s="34"/>
      <c r="G85" s="34"/>
      <c r="H85" s="25" t="s">
        <v>148</v>
      </c>
    </row>
    <row r="86" spans="1:8" x14ac:dyDescent="0.2">
      <c r="A86" s="23"/>
      <c r="B86" s="23"/>
      <c r="C86" s="24" t="s">
        <v>147</v>
      </c>
      <c r="D86" s="23"/>
      <c r="E86" s="23" t="s">
        <v>148</v>
      </c>
      <c r="F86" s="35" t="s">
        <v>150</v>
      </c>
      <c r="G86" s="32">
        <v>0</v>
      </c>
      <c r="H86" s="25" t="s">
        <v>148</v>
      </c>
    </row>
    <row r="87" spans="1:8" x14ac:dyDescent="0.2">
      <c r="A87" s="23"/>
      <c r="B87" s="23"/>
      <c r="C87" s="33"/>
      <c r="D87" s="23"/>
      <c r="E87" s="23"/>
      <c r="F87" s="34"/>
      <c r="G87" s="34"/>
      <c r="H87" s="25" t="s">
        <v>148</v>
      </c>
    </row>
    <row r="88" spans="1:8" x14ac:dyDescent="0.2">
      <c r="A88" s="23"/>
      <c r="B88" s="23"/>
      <c r="C88" s="24" t="s">
        <v>165</v>
      </c>
      <c r="D88" s="23"/>
      <c r="E88" s="23"/>
      <c r="F88" s="34"/>
      <c r="G88" s="34"/>
      <c r="H88" s="25" t="s">
        <v>148</v>
      </c>
    </row>
    <row r="89" spans="1:8" x14ac:dyDescent="0.2">
      <c r="A89" s="26">
        <v>1</v>
      </c>
      <c r="B89" s="27"/>
      <c r="C89" s="27" t="s">
        <v>166</v>
      </c>
      <c r="D89" s="27"/>
      <c r="E89" s="36"/>
      <c r="F89" s="29">
        <v>142.87764509900001</v>
      </c>
      <c r="G89" s="30">
        <v>7.5321760000000001E-2</v>
      </c>
      <c r="H89" s="25">
        <v>6.23</v>
      </c>
    </row>
    <row r="90" spans="1:8" x14ac:dyDescent="0.2">
      <c r="A90" s="23"/>
      <c r="B90" s="23"/>
      <c r="C90" s="24" t="s">
        <v>147</v>
      </c>
      <c r="D90" s="23"/>
      <c r="E90" s="23" t="s">
        <v>148</v>
      </c>
      <c r="F90" s="31">
        <v>142.87764509900001</v>
      </c>
      <c r="G90" s="32">
        <v>7.5321760000000001E-2</v>
      </c>
      <c r="H90" s="25" t="s">
        <v>148</v>
      </c>
    </row>
    <row r="91" spans="1:8" x14ac:dyDescent="0.2">
      <c r="A91" s="23"/>
      <c r="B91" s="23"/>
      <c r="C91" s="33"/>
      <c r="D91" s="23"/>
      <c r="E91" s="23"/>
      <c r="F91" s="34"/>
      <c r="G91" s="34"/>
      <c r="H91" s="25" t="s">
        <v>148</v>
      </c>
    </row>
    <row r="92" spans="1:8" x14ac:dyDescent="0.2">
      <c r="A92" s="23"/>
      <c r="B92" s="23"/>
      <c r="C92" s="24" t="s">
        <v>167</v>
      </c>
      <c r="D92" s="23"/>
      <c r="E92" s="23"/>
      <c r="F92" s="31">
        <v>142.87764509900001</v>
      </c>
      <c r="G92" s="32">
        <v>7.5321760000000001E-2</v>
      </c>
      <c r="H92" s="25" t="s">
        <v>148</v>
      </c>
    </row>
    <row r="93" spans="1:8" x14ac:dyDescent="0.2">
      <c r="A93" s="23"/>
      <c r="B93" s="23"/>
      <c r="C93" s="34"/>
      <c r="D93" s="23"/>
      <c r="E93" s="23"/>
      <c r="F93" s="23"/>
      <c r="G93" s="23"/>
      <c r="H93" s="25" t="s">
        <v>148</v>
      </c>
    </row>
    <row r="94" spans="1:8" x14ac:dyDescent="0.2">
      <c r="A94" s="23"/>
      <c r="B94" s="23"/>
      <c r="C94" s="24" t="s">
        <v>168</v>
      </c>
      <c r="D94" s="23"/>
      <c r="E94" s="23"/>
      <c r="F94" s="23"/>
      <c r="G94" s="23"/>
      <c r="H94" s="25" t="s">
        <v>148</v>
      </c>
    </row>
    <row r="95" spans="1:8" x14ac:dyDescent="0.2">
      <c r="A95" s="23"/>
      <c r="B95" s="23"/>
      <c r="C95" s="24" t="s">
        <v>169</v>
      </c>
      <c r="D95" s="23"/>
      <c r="E95" s="23"/>
      <c r="F95" s="23"/>
      <c r="G95" s="23"/>
      <c r="H95" s="25" t="s">
        <v>148</v>
      </c>
    </row>
    <row r="96" spans="1:8" x14ac:dyDescent="0.2">
      <c r="A96" s="23"/>
      <c r="B96" s="23"/>
      <c r="C96" s="24" t="s">
        <v>147</v>
      </c>
      <c r="D96" s="23"/>
      <c r="E96" s="23" t="s">
        <v>148</v>
      </c>
      <c r="F96" s="35" t="s">
        <v>150</v>
      </c>
      <c r="G96" s="32">
        <v>0</v>
      </c>
      <c r="H96" s="25" t="s">
        <v>148</v>
      </c>
    </row>
    <row r="97" spans="1:17" x14ac:dyDescent="0.2">
      <c r="A97" s="23"/>
      <c r="B97" s="23"/>
      <c r="C97" s="33"/>
      <c r="D97" s="23"/>
      <c r="E97" s="23"/>
      <c r="F97" s="34"/>
      <c r="G97" s="34"/>
      <c r="H97" s="25" t="s">
        <v>148</v>
      </c>
    </row>
    <row r="98" spans="1:17" x14ac:dyDescent="0.2">
      <c r="A98" s="23"/>
      <c r="B98" s="23"/>
      <c r="C98" s="24" t="s">
        <v>172</v>
      </c>
      <c r="D98" s="23"/>
      <c r="E98" s="23"/>
      <c r="F98" s="23"/>
      <c r="G98" s="23"/>
      <c r="H98" s="25" t="s">
        <v>148</v>
      </c>
    </row>
    <row r="99" spans="1:17" x14ac:dyDescent="0.2">
      <c r="A99" s="23"/>
      <c r="B99" s="23"/>
      <c r="C99" s="24" t="s">
        <v>173</v>
      </c>
      <c r="D99" s="23"/>
      <c r="E99" s="23"/>
      <c r="F99" s="23"/>
      <c r="G99" s="23"/>
      <c r="H99" s="25" t="s">
        <v>148</v>
      </c>
    </row>
    <row r="100" spans="1:17" x14ac:dyDescent="0.2">
      <c r="A100" s="23"/>
      <c r="B100" s="23"/>
      <c r="C100" s="24" t="s">
        <v>147</v>
      </c>
      <c r="D100" s="23"/>
      <c r="E100" s="23" t="s">
        <v>148</v>
      </c>
      <c r="F100" s="35" t="s">
        <v>150</v>
      </c>
      <c r="G100" s="32">
        <v>0</v>
      </c>
      <c r="H100" s="25" t="s">
        <v>148</v>
      </c>
    </row>
    <row r="101" spans="1:17" x14ac:dyDescent="0.2">
      <c r="A101" s="23"/>
      <c r="B101" s="23"/>
      <c r="C101" s="33"/>
      <c r="D101" s="23"/>
      <c r="E101" s="23"/>
      <c r="F101" s="34"/>
      <c r="G101" s="34"/>
      <c r="H101" s="25" t="s">
        <v>148</v>
      </c>
    </row>
    <row r="102" spans="1:17" x14ac:dyDescent="0.2">
      <c r="A102" s="23"/>
      <c r="B102" s="23"/>
      <c r="C102" s="24" t="s">
        <v>174</v>
      </c>
      <c r="D102" s="23"/>
      <c r="E102" s="23"/>
      <c r="F102" s="34"/>
      <c r="G102" s="34"/>
      <c r="H102" s="25" t="s">
        <v>148</v>
      </c>
    </row>
    <row r="103" spans="1:17" x14ac:dyDescent="0.2">
      <c r="A103" s="23"/>
      <c r="B103" s="23"/>
      <c r="C103" s="24" t="s">
        <v>147</v>
      </c>
      <c r="D103" s="23"/>
      <c r="E103" s="23" t="s">
        <v>148</v>
      </c>
      <c r="F103" s="35" t="s">
        <v>150</v>
      </c>
      <c r="G103" s="32">
        <v>0</v>
      </c>
      <c r="H103" s="25" t="s">
        <v>148</v>
      </c>
    </row>
    <row r="104" spans="1:17" x14ac:dyDescent="0.2">
      <c r="A104" s="23"/>
      <c r="B104" s="23"/>
      <c r="C104" s="33"/>
      <c r="D104" s="23"/>
      <c r="E104" s="23"/>
      <c r="F104" s="34"/>
      <c r="G104" s="34"/>
      <c r="H104" s="25" t="s">
        <v>148</v>
      </c>
    </row>
    <row r="105" spans="1:17" x14ac:dyDescent="0.2">
      <c r="A105" s="36"/>
      <c r="B105" s="27"/>
      <c r="C105" s="27" t="s">
        <v>175</v>
      </c>
      <c r="D105" s="27"/>
      <c r="E105" s="36"/>
      <c r="F105" s="29">
        <v>1.18633016</v>
      </c>
      <c r="G105" s="30">
        <v>6.2540999999999996E-4</v>
      </c>
      <c r="H105" s="25" t="s">
        <v>148</v>
      </c>
    </row>
    <row r="106" spans="1:17" x14ac:dyDescent="0.2">
      <c r="A106" s="33"/>
      <c r="B106" s="33"/>
      <c r="C106" s="24" t="s">
        <v>176</v>
      </c>
      <c r="D106" s="34"/>
      <c r="E106" s="34"/>
      <c r="F106" s="31">
        <v>1896.897227659</v>
      </c>
      <c r="G106" s="39">
        <v>1.0000000200000001</v>
      </c>
      <c r="H106" s="25" t="s">
        <v>148</v>
      </c>
    </row>
    <row r="107" spans="1:17" x14ac:dyDescent="0.2">
      <c r="A107" s="40"/>
      <c r="B107" s="40"/>
      <c r="C107" s="40"/>
      <c r="D107" s="41"/>
      <c r="E107" s="41"/>
      <c r="F107" s="41"/>
      <c r="G107" s="41"/>
    </row>
    <row r="108" spans="1:17" x14ac:dyDescent="0.2">
      <c r="A108" s="42"/>
      <c r="B108" s="237" t="s">
        <v>891</v>
      </c>
      <c r="C108" s="237"/>
      <c r="D108" s="237"/>
      <c r="E108" s="237"/>
      <c r="F108" s="237"/>
      <c r="G108" s="237"/>
      <c r="H108" s="237"/>
      <c r="J108" s="44"/>
    </row>
    <row r="109" spans="1:17" x14ac:dyDescent="0.2">
      <c r="A109" s="42"/>
      <c r="B109" s="237" t="s">
        <v>892</v>
      </c>
      <c r="C109" s="237"/>
      <c r="D109" s="237"/>
      <c r="E109" s="237"/>
      <c r="F109" s="237"/>
      <c r="G109" s="237"/>
      <c r="H109" s="237"/>
      <c r="J109" s="44"/>
    </row>
    <row r="110" spans="1:17" x14ac:dyDescent="0.2">
      <c r="A110" s="42"/>
      <c r="B110" s="237" t="s">
        <v>893</v>
      </c>
      <c r="C110" s="237"/>
      <c r="D110" s="237"/>
      <c r="E110" s="237"/>
      <c r="F110" s="237"/>
      <c r="G110" s="237"/>
      <c r="H110" s="237"/>
      <c r="J110" s="44"/>
    </row>
    <row r="111" spans="1:17" s="46" customFormat="1" ht="66.75" customHeight="1" x14ac:dyDescent="0.25">
      <c r="A111" s="45"/>
      <c r="B111" s="239" t="s">
        <v>894</v>
      </c>
      <c r="C111" s="239"/>
      <c r="D111" s="239"/>
      <c r="E111" s="239"/>
      <c r="F111" s="239"/>
      <c r="G111" s="239"/>
      <c r="H111" s="239"/>
      <c r="I111"/>
      <c r="J111" s="44"/>
      <c r="K111"/>
      <c r="L111"/>
      <c r="M111"/>
      <c r="N111"/>
      <c r="O111"/>
      <c r="P111"/>
      <c r="Q111"/>
    </row>
    <row r="112" spans="1:17" x14ac:dyDescent="0.2">
      <c r="A112" s="42"/>
      <c r="B112" s="237" t="s">
        <v>895</v>
      </c>
      <c r="C112" s="237"/>
      <c r="D112" s="237"/>
      <c r="E112" s="237"/>
      <c r="F112" s="237"/>
      <c r="G112" s="237"/>
      <c r="H112" s="237"/>
      <c r="J112" s="44"/>
    </row>
    <row r="113" spans="1:10" x14ac:dyDescent="0.2">
      <c r="A113" s="47"/>
      <c r="B113" s="47"/>
      <c r="C113" s="47"/>
      <c r="D113" s="48"/>
      <c r="E113" s="48"/>
      <c r="F113" s="48"/>
      <c r="G113" s="48"/>
    </row>
    <row r="114" spans="1:10" x14ac:dyDescent="0.2">
      <c r="A114" s="47"/>
      <c r="B114" s="234" t="s">
        <v>177</v>
      </c>
      <c r="C114" s="235"/>
      <c r="D114" s="236"/>
      <c r="E114" s="49"/>
      <c r="F114" s="48"/>
      <c r="G114" s="48"/>
    </row>
    <row r="115" spans="1:10" x14ac:dyDescent="0.2">
      <c r="A115" s="47"/>
      <c r="B115" s="232" t="s">
        <v>178</v>
      </c>
      <c r="C115" s="233"/>
      <c r="D115" s="24" t="s">
        <v>179</v>
      </c>
      <c r="E115" s="49"/>
      <c r="F115" s="48"/>
      <c r="G115" s="48"/>
    </row>
    <row r="116" spans="1:10" ht="12.75" customHeight="1" x14ac:dyDescent="0.2">
      <c r="A116" s="47"/>
      <c r="B116" s="240" t="s">
        <v>897</v>
      </c>
      <c r="C116" s="241"/>
      <c r="D116" s="24" t="s">
        <v>179</v>
      </c>
      <c r="E116" s="49"/>
      <c r="F116" s="48"/>
      <c r="G116" s="48"/>
    </row>
    <row r="117" spans="1:10" x14ac:dyDescent="0.2">
      <c r="A117" s="47"/>
      <c r="B117" s="232" t="s">
        <v>181</v>
      </c>
      <c r="C117" s="233"/>
      <c r="D117" s="34" t="s">
        <v>148</v>
      </c>
      <c r="E117" s="49"/>
      <c r="F117" s="48"/>
      <c r="G117" s="48"/>
    </row>
    <row r="118" spans="1:10" x14ac:dyDescent="0.2">
      <c r="A118" s="50"/>
      <c r="B118" s="51" t="s">
        <v>148</v>
      </c>
      <c r="C118" s="51" t="s">
        <v>896</v>
      </c>
      <c r="D118" s="51" t="s">
        <v>182</v>
      </c>
      <c r="E118" s="50"/>
      <c r="F118" s="50"/>
      <c r="G118" s="50"/>
      <c r="H118" s="50"/>
      <c r="J118" s="44"/>
    </row>
    <row r="119" spans="1:10" x14ac:dyDescent="0.2">
      <c r="A119" s="50"/>
      <c r="B119" s="52" t="s">
        <v>183</v>
      </c>
      <c r="C119" s="53">
        <v>45688</v>
      </c>
      <c r="D119" s="53">
        <v>45716</v>
      </c>
      <c r="E119" s="50"/>
      <c r="F119" s="50"/>
      <c r="G119" s="50"/>
      <c r="J119" s="44"/>
    </row>
    <row r="120" spans="1:10" x14ac:dyDescent="0.2">
      <c r="A120" s="54"/>
      <c r="B120" s="27" t="s">
        <v>184</v>
      </c>
      <c r="C120" s="55">
        <v>31.000599999999999</v>
      </c>
      <c r="D120" s="55">
        <v>27.409800000000001</v>
      </c>
      <c r="E120" s="54"/>
      <c r="F120" s="56"/>
      <c r="G120" s="57"/>
    </row>
    <row r="121" spans="1:10" x14ac:dyDescent="0.2">
      <c r="A121" s="54"/>
      <c r="B121" s="27" t="s">
        <v>1070</v>
      </c>
      <c r="C121" s="55">
        <v>28.482600000000001</v>
      </c>
      <c r="D121" s="55">
        <v>25.183499999999999</v>
      </c>
      <c r="E121" s="54"/>
      <c r="F121" s="56"/>
      <c r="G121" s="57"/>
    </row>
    <row r="122" spans="1:10" x14ac:dyDescent="0.2">
      <c r="A122" s="54"/>
      <c r="B122" s="27" t="s">
        <v>186</v>
      </c>
      <c r="C122" s="55">
        <v>30.425999999999998</v>
      </c>
      <c r="D122" s="55">
        <v>26.897200000000002</v>
      </c>
      <c r="E122" s="54"/>
      <c r="F122" s="56"/>
      <c r="G122" s="57"/>
    </row>
    <row r="123" spans="1:10" x14ac:dyDescent="0.2">
      <c r="A123" s="54"/>
      <c r="B123" s="27" t="s">
        <v>1071</v>
      </c>
      <c r="C123" s="55">
        <v>27.9207</v>
      </c>
      <c r="D123" s="55">
        <v>24.682500000000001</v>
      </c>
      <c r="E123" s="54"/>
      <c r="F123" s="56"/>
      <c r="G123" s="57"/>
    </row>
    <row r="124" spans="1:10" x14ac:dyDescent="0.2">
      <c r="A124" s="54"/>
      <c r="B124" s="54"/>
      <c r="C124" s="54"/>
      <c r="D124" s="54"/>
      <c r="E124" s="54"/>
      <c r="F124" s="54"/>
      <c r="G124" s="54"/>
    </row>
    <row r="125" spans="1:10" x14ac:dyDescent="0.2">
      <c r="A125" s="50"/>
      <c r="B125" s="240" t="s">
        <v>898</v>
      </c>
      <c r="C125" s="241"/>
      <c r="D125" s="58" t="s">
        <v>179</v>
      </c>
      <c r="E125" s="50"/>
      <c r="F125" s="50"/>
      <c r="G125" s="50"/>
    </row>
    <row r="126" spans="1:10" x14ac:dyDescent="0.2">
      <c r="A126" s="50"/>
      <c r="B126" s="59"/>
      <c r="C126" s="59"/>
      <c r="D126" s="59"/>
      <c r="E126" s="50"/>
      <c r="F126" s="50"/>
      <c r="G126" s="50"/>
    </row>
    <row r="127" spans="1:10" x14ac:dyDescent="0.2">
      <c r="A127" s="50"/>
      <c r="B127" s="240" t="s">
        <v>188</v>
      </c>
      <c r="C127" s="241"/>
      <c r="D127" s="58" t="s">
        <v>179</v>
      </c>
      <c r="E127" s="59"/>
      <c r="F127" s="59"/>
      <c r="G127" s="59"/>
    </row>
    <row r="128" spans="1:10" x14ac:dyDescent="0.2">
      <c r="A128" s="50"/>
      <c r="B128" s="240" t="s">
        <v>189</v>
      </c>
      <c r="C128" s="241"/>
      <c r="D128" s="58" t="s">
        <v>179</v>
      </c>
      <c r="E128" s="50"/>
      <c r="F128" s="50"/>
      <c r="G128" s="50"/>
    </row>
    <row r="129" spans="1:10" ht="12.75" customHeight="1" x14ac:dyDescent="0.2">
      <c r="A129" s="50"/>
      <c r="B129" s="240" t="s">
        <v>190</v>
      </c>
      <c r="C129" s="241"/>
      <c r="D129" s="58" t="s">
        <v>179</v>
      </c>
      <c r="E129" s="60"/>
      <c r="F129" s="50"/>
      <c r="G129" s="50"/>
    </row>
    <row r="130" spans="1:10" ht="12.75" customHeight="1" x14ac:dyDescent="0.2">
      <c r="A130" s="50"/>
      <c r="B130" s="240" t="s">
        <v>191</v>
      </c>
      <c r="C130" s="241"/>
      <c r="D130" s="61">
        <v>0.24505398562335731</v>
      </c>
      <c r="E130" s="60"/>
      <c r="F130" s="50"/>
      <c r="G130" s="50"/>
    </row>
    <row r="133" spans="1:10" x14ac:dyDescent="0.2">
      <c r="B133" s="238" t="s">
        <v>899</v>
      </c>
      <c r="C133" s="238"/>
    </row>
    <row r="135" spans="1:10" ht="153.75" customHeight="1" x14ac:dyDescent="0.2"/>
    <row r="138" spans="1:10" x14ac:dyDescent="0.2">
      <c r="B138" s="68" t="s">
        <v>900</v>
      </c>
      <c r="C138" s="69"/>
      <c r="D138" s="68"/>
    </row>
    <row r="139" spans="1:10" x14ac:dyDescent="0.2">
      <c r="B139" s="68" t="s">
        <v>908</v>
      </c>
      <c r="D139" s="68"/>
    </row>
    <row r="140" spans="1:10" ht="165" customHeight="1" x14ac:dyDescent="0.2"/>
    <row r="142" spans="1:10" x14ac:dyDescent="0.2">
      <c r="J142" s="22"/>
    </row>
  </sheetData>
  <mergeCells count="18">
    <mergeCell ref="B133:C133"/>
    <mergeCell ref="A3:H3"/>
    <mergeCell ref="A2:H2"/>
    <mergeCell ref="B130:C130"/>
    <mergeCell ref="A1:H1"/>
    <mergeCell ref="B116:C116"/>
    <mergeCell ref="B117:C117"/>
    <mergeCell ref="B125:C125"/>
    <mergeCell ref="B129:C129"/>
    <mergeCell ref="B114:D114"/>
    <mergeCell ref="B115:C115"/>
    <mergeCell ref="B108:H108"/>
    <mergeCell ref="B109:H109"/>
    <mergeCell ref="B110:H110"/>
    <mergeCell ref="B111:H111"/>
    <mergeCell ref="B112:H112"/>
    <mergeCell ref="B127:C127"/>
    <mergeCell ref="B128:C128"/>
  </mergeCells>
  <hyperlinks>
    <hyperlink ref="I1" location="Index!B2" display="Index" xr:uid="{40B51353-178C-4467-B726-9082AA5622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31EF-A7ED-4A84-BA04-582A817CD784}">
  <sheetPr>
    <outlinePr summaryBelow="0" summaryRight="0"/>
  </sheetPr>
  <dimension ref="A1:Q104"/>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10.7109375" bestFit="1"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433</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3"/>
      <c r="B7" s="23"/>
      <c r="C7" s="24" t="s">
        <v>147</v>
      </c>
      <c r="D7" s="23"/>
      <c r="E7" s="23" t="s">
        <v>148</v>
      </c>
      <c r="F7" s="35" t="s">
        <v>150</v>
      </c>
      <c r="G7" s="32">
        <v>0</v>
      </c>
      <c r="H7" s="25" t="s">
        <v>148</v>
      </c>
    </row>
    <row r="8" spans="1:9" x14ac:dyDescent="0.2">
      <c r="A8" s="23"/>
      <c r="B8" s="23"/>
      <c r="C8" s="33"/>
      <c r="D8" s="23"/>
      <c r="E8" s="23"/>
      <c r="F8" s="34"/>
      <c r="G8" s="34"/>
      <c r="H8" s="25" t="s">
        <v>148</v>
      </c>
    </row>
    <row r="9" spans="1:9" x14ac:dyDescent="0.2">
      <c r="A9" s="23"/>
      <c r="B9" s="23"/>
      <c r="C9" s="24" t="s">
        <v>149</v>
      </c>
      <c r="D9" s="23"/>
      <c r="E9" s="23"/>
      <c r="F9" s="23"/>
      <c r="G9" s="23"/>
      <c r="H9" s="25" t="s">
        <v>148</v>
      </c>
    </row>
    <row r="10" spans="1:9" x14ac:dyDescent="0.2">
      <c r="A10" s="23"/>
      <c r="B10" s="23"/>
      <c r="C10" s="24" t="s">
        <v>147</v>
      </c>
      <c r="D10" s="23"/>
      <c r="E10" s="23" t="s">
        <v>148</v>
      </c>
      <c r="F10" s="35" t="s">
        <v>150</v>
      </c>
      <c r="G10" s="32">
        <v>0</v>
      </c>
      <c r="H10" s="25" t="s">
        <v>148</v>
      </c>
    </row>
    <row r="11" spans="1:9" x14ac:dyDescent="0.2">
      <c r="A11" s="23"/>
      <c r="B11" s="23"/>
      <c r="C11" s="33"/>
      <c r="D11" s="23"/>
      <c r="E11" s="23"/>
      <c r="F11" s="34"/>
      <c r="G11" s="34"/>
      <c r="H11" s="25" t="s">
        <v>148</v>
      </c>
    </row>
    <row r="12" spans="1:9" x14ac:dyDescent="0.2">
      <c r="A12" s="23"/>
      <c r="B12" s="23"/>
      <c r="C12" s="24" t="s">
        <v>151</v>
      </c>
      <c r="D12" s="23"/>
      <c r="E12" s="23"/>
      <c r="F12" s="23"/>
      <c r="G12" s="23"/>
      <c r="H12" s="25" t="s">
        <v>148</v>
      </c>
    </row>
    <row r="13" spans="1:9" x14ac:dyDescent="0.2">
      <c r="A13" s="23"/>
      <c r="B13" s="23"/>
      <c r="C13" s="24" t="s">
        <v>147</v>
      </c>
      <c r="D13" s="23"/>
      <c r="E13" s="23" t="s">
        <v>148</v>
      </c>
      <c r="F13" s="35" t="s">
        <v>150</v>
      </c>
      <c r="G13" s="32">
        <v>0</v>
      </c>
      <c r="H13" s="25" t="s">
        <v>148</v>
      </c>
    </row>
    <row r="14" spans="1:9" x14ac:dyDescent="0.2">
      <c r="A14" s="23"/>
      <c r="B14" s="23"/>
      <c r="C14" s="33"/>
      <c r="D14" s="23"/>
      <c r="E14" s="23"/>
      <c r="F14" s="34"/>
      <c r="G14" s="34"/>
      <c r="H14" s="25" t="s">
        <v>148</v>
      </c>
    </row>
    <row r="15" spans="1:9" x14ac:dyDescent="0.2">
      <c r="A15" s="23"/>
      <c r="B15" s="23"/>
      <c r="C15" s="24" t="s">
        <v>152</v>
      </c>
      <c r="D15" s="23"/>
      <c r="E15" s="23"/>
      <c r="F15" s="23"/>
      <c r="G15" s="23"/>
      <c r="H15" s="25" t="s">
        <v>148</v>
      </c>
    </row>
    <row r="16" spans="1:9" x14ac:dyDescent="0.2">
      <c r="A16" s="23"/>
      <c r="B16" s="23"/>
      <c r="C16" s="24" t="s">
        <v>147</v>
      </c>
      <c r="D16" s="23"/>
      <c r="E16" s="23" t="s">
        <v>148</v>
      </c>
      <c r="F16" s="35" t="s">
        <v>150</v>
      </c>
      <c r="G16" s="32">
        <v>0</v>
      </c>
      <c r="H16" s="25" t="s">
        <v>148</v>
      </c>
    </row>
    <row r="17" spans="1:8" x14ac:dyDescent="0.2">
      <c r="A17" s="23"/>
      <c r="B17" s="23"/>
      <c r="C17" s="33"/>
      <c r="D17" s="23"/>
      <c r="E17" s="23"/>
      <c r="F17" s="34"/>
      <c r="G17" s="34"/>
      <c r="H17" s="25" t="s">
        <v>148</v>
      </c>
    </row>
    <row r="18" spans="1:8" x14ac:dyDescent="0.2">
      <c r="A18" s="23"/>
      <c r="B18" s="23"/>
      <c r="C18" s="24" t="s">
        <v>153</v>
      </c>
      <c r="D18" s="23"/>
      <c r="E18" s="23"/>
      <c r="F18" s="34"/>
      <c r="G18" s="34"/>
      <c r="H18" s="25" t="s">
        <v>148</v>
      </c>
    </row>
    <row r="19" spans="1:8" x14ac:dyDescent="0.2">
      <c r="A19" s="23"/>
      <c r="B19" s="23"/>
      <c r="C19" s="24" t="s">
        <v>147</v>
      </c>
      <c r="D19" s="23"/>
      <c r="E19" s="23" t="s">
        <v>148</v>
      </c>
      <c r="F19" s="35" t="s">
        <v>150</v>
      </c>
      <c r="G19" s="32">
        <v>0</v>
      </c>
      <c r="H19" s="25" t="s">
        <v>148</v>
      </c>
    </row>
    <row r="20" spans="1:8" x14ac:dyDescent="0.2">
      <c r="A20" s="23"/>
      <c r="B20" s="23"/>
      <c r="C20" s="33"/>
      <c r="D20" s="23"/>
      <c r="E20" s="23"/>
      <c r="F20" s="34"/>
      <c r="G20" s="34"/>
      <c r="H20" s="25" t="s">
        <v>148</v>
      </c>
    </row>
    <row r="21" spans="1:8" x14ac:dyDescent="0.2">
      <c r="A21" s="23"/>
      <c r="B21" s="23"/>
      <c r="C21" s="24" t="s">
        <v>154</v>
      </c>
      <c r="D21" s="23"/>
      <c r="E21" s="23"/>
      <c r="F21" s="34"/>
      <c r="G21" s="34"/>
      <c r="H21" s="25" t="s">
        <v>148</v>
      </c>
    </row>
    <row r="22" spans="1:8" x14ac:dyDescent="0.2">
      <c r="A22" s="23"/>
      <c r="B22" s="23"/>
      <c r="C22" s="24" t="s">
        <v>147</v>
      </c>
      <c r="D22" s="23"/>
      <c r="E22" s="23" t="s">
        <v>148</v>
      </c>
      <c r="F22" s="35" t="s">
        <v>150</v>
      </c>
      <c r="G22" s="32">
        <v>0</v>
      </c>
      <c r="H22" s="25" t="s">
        <v>148</v>
      </c>
    </row>
    <row r="23" spans="1:8" x14ac:dyDescent="0.2">
      <c r="A23" s="23"/>
      <c r="B23" s="23"/>
      <c r="C23" s="33"/>
      <c r="D23" s="23"/>
      <c r="E23" s="23"/>
      <c r="F23" s="34"/>
      <c r="G23" s="34"/>
      <c r="H23" s="25" t="s">
        <v>148</v>
      </c>
    </row>
    <row r="24" spans="1:8" x14ac:dyDescent="0.2">
      <c r="A24" s="23"/>
      <c r="B24" s="23"/>
      <c r="C24" s="24" t="s">
        <v>155</v>
      </c>
      <c r="D24" s="23"/>
      <c r="E24" s="23"/>
      <c r="F24" s="31">
        <v>0</v>
      </c>
      <c r="G24" s="32">
        <v>0</v>
      </c>
      <c r="H24" s="25" t="s">
        <v>148</v>
      </c>
    </row>
    <row r="25" spans="1:8" x14ac:dyDescent="0.2">
      <c r="A25" s="23"/>
      <c r="B25" s="23"/>
      <c r="C25" s="33"/>
      <c r="D25" s="23"/>
      <c r="E25" s="23"/>
      <c r="F25" s="34"/>
      <c r="G25" s="34"/>
      <c r="H25" s="25" t="s">
        <v>148</v>
      </c>
    </row>
    <row r="26" spans="1:8" x14ac:dyDescent="0.2">
      <c r="A26" s="23"/>
      <c r="B26" s="23"/>
      <c r="C26" s="24" t="s">
        <v>156</v>
      </c>
      <c r="D26" s="23"/>
      <c r="E26" s="23"/>
      <c r="F26" s="34"/>
      <c r="G26" s="34"/>
      <c r="H26" s="25" t="s">
        <v>148</v>
      </c>
    </row>
    <row r="27" spans="1:8" x14ac:dyDescent="0.2">
      <c r="A27" s="23"/>
      <c r="B27" s="23"/>
      <c r="C27" s="24" t="s">
        <v>10</v>
      </c>
      <c r="D27" s="23"/>
      <c r="E27" s="23"/>
      <c r="F27" s="34"/>
      <c r="G27" s="34"/>
      <c r="H27" s="25" t="s">
        <v>148</v>
      </c>
    </row>
    <row r="28" spans="1:8" x14ac:dyDescent="0.2">
      <c r="A28" s="23"/>
      <c r="B28" s="23"/>
      <c r="C28" s="24" t="s">
        <v>147</v>
      </c>
      <c r="D28" s="23"/>
      <c r="E28" s="23" t="s">
        <v>148</v>
      </c>
      <c r="F28" s="35" t="s">
        <v>150</v>
      </c>
      <c r="G28" s="32">
        <v>0</v>
      </c>
      <c r="H28" s="25" t="s">
        <v>148</v>
      </c>
    </row>
    <row r="29" spans="1:8" x14ac:dyDescent="0.2">
      <c r="A29" s="23"/>
      <c r="B29" s="23"/>
      <c r="C29" s="33"/>
      <c r="D29" s="23"/>
      <c r="E29" s="23"/>
      <c r="F29" s="34"/>
      <c r="G29" s="34"/>
      <c r="H29" s="25" t="s">
        <v>148</v>
      </c>
    </row>
    <row r="30" spans="1:8" x14ac:dyDescent="0.2">
      <c r="A30" s="23"/>
      <c r="B30" s="23"/>
      <c r="C30" s="24" t="s">
        <v>157</v>
      </c>
      <c r="D30" s="23"/>
      <c r="E30" s="23"/>
      <c r="F30" s="23"/>
      <c r="G30" s="23"/>
      <c r="H30" s="25" t="s">
        <v>148</v>
      </c>
    </row>
    <row r="31" spans="1:8" x14ac:dyDescent="0.2">
      <c r="A31" s="23"/>
      <c r="B31" s="23"/>
      <c r="C31" s="24" t="s">
        <v>147</v>
      </c>
      <c r="D31" s="23"/>
      <c r="E31" s="23" t="s">
        <v>148</v>
      </c>
      <c r="F31" s="35" t="s">
        <v>150</v>
      </c>
      <c r="G31" s="32">
        <v>0</v>
      </c>
      <c r="H31" s="25" t="s">
        <v>148</v>
      </c>
    </row>
    <row r="32" spans="1:8" x14ac:dyDescent="0.2">
      <c r="A32" s="23"/>
      <c r="B32" s="23"/>
      <c r="C32" s="33"/>
      <c r="D32" s="23"/>
      <c r="E32" s="23"/>
      <c r="F32" s="34"/>
      <c r="G32" s="34"/>
      <c r="H32" s="25" t="s">
        <v>148</v>
      </c>
    </row>
    <row r="33" spans="1:8" x14ac:dyDescent="0.2">
      <c r="A33" s="23"/>
      <c r="B33" s="23"/>
      <c r="C33" s="24" t="s">
        <v>158</v>
      </c>
      <c r="D33" s="23"/>
      <c r="E33" s="23"/>
      <c r="F33" s="23"/>
      <c r="G33" s="23"/>
      <c r="H33" s="25" t="s">
        <v>148</v>
      </c>
    </row>
    <row r="34" spans="1:8" x14ac:dyDescent="0.2">
      <c r="A34" s="23"/>
      <c r="B34" s="23"/>
      <c r="C34" s="24" t="s">
        <v>147</v>
      </c>
      <c r="D34" s="23"/>
      <c r="E34" s="23" t="s">
        <v>148</v>
      </c>
      <c r="F34" s="35" t="s">
        <v>150</v>
      </c>
      <c r="G34" s="32">
        <v>0</v>
      </c>
      <c r="H34" s="25" t="s">
        <v>148</v>
      </c>
    </row>
    <row r="35" spans="1:8" x14ac:dyDescent="0.2">
      <c r="A35" s="23"/>
      <c r="B35" s="23"/>
      <c r="C35" s="33"/>
      <c r="D35" s="23"/>
      <c r="E35" s="23"/>
      <c r="F35" s="34"/>
      <c r="G35" s="34"/>
      <c r="H35" s="25" t="s">
        <v>148</v>
      </c>
    </row>
    <row r="36" spans="1:8" x14ac:dyDescent="0.2">
      <c r="A36" s="23"/>
      <c r="B36" s="23"/>
      <c r="C36" s="24" t="s">
        <v>159</v>
      </c>
      <c r="D36" s="23"/>
      <c r="E36" s="23"/>
      <c r="F36" s="34"/>
      <c r="G36" s="34"/>
      <c r="H36" s="25" t="s">
        <v>148</v>
      </c>
    </row>
    <row r="37" spans="1:8" x14ac:dyDescent="0.2">
      <c r="A37" s="23"/>
      <c r="B37" s="23"/>
      <c r="C37" s="24" t="s">
        <v>147</v>
      </c>
      <c r="D37" s="23"/>
      <c r="E37" s="23" t="s">
        <v>148</v>
      </c>
      <c r="F37" s="35" t="s">
        <v>150</v>
      </c>
      <c r="G37" s="32">
        <v>0</v>
      </c>
      <c r="H37" s="25" t="s">
        <v>148</v>
      </c>
    </row>
    <row r="38" spans="1:8" x14ac:dyDescent="0.2">
      <c r="A38" s="23"/>
      <c r="B38" s="23"/>
      <c r="C38" s="33"/>
      <c r="D38" s="23"/>
      <c r="E38" s="23"/>
      <c r="F38" s="34"/>
      <c r="G38" s="34"/>
      <c r="H38" s="25" t="s">
        <v>148</v>
      </c>
    </row>
    <row r="39" spans="1:8" x14ac:dyDescent="0.2">
      <c r="A39" s="23"/>
      <c r="B39" s="23"/>
      <c r="C39" s="24" t="s">
        <v>160</v>
      </c>
      <c r="D39" s="23"/>
      <c r="E39" s="23"/>
      <c r="F39" s="31">
        <v>0</v>
      </c>
      <c r="G39" s="32">
        <v>0</v>
      </c>
      <c r="H39" s="25" t="s">
        <v>148</v>
      </c>
    </row>
    <row r="40" spans="1:8" x14ac:dyDescent="0.2">
      <c r="A40" s="23"/>
      <c r="B40" s="23"/>
      <c r="C40" s="33"/>
      <c r="D40" s="23"/>
      <c r="E40" s="23"/>
      <c r="F40" s="34"/>
      <c r="G40" s="34"/>
      <c r="H40" s="25" t="s">
        <v>148</v>
      </c>
    </row>
    <row r="41" spans="1:8" x14ac:dyDescent="0.2">
      <c r="A41" s="23"/>
      <c r="B41" s="23"/>
      <c r="C41" s="24" t="s">
        <v>161</v>
      </c>
      <c r="D41" s="23"/>
      <c r="E41" s="23"/>
      <c r="F41" s="34"/>
      <c r="G41" s="34"/>
      <c r="H41" s="25" t="s">
        <v>148</v>
      </c>
    </row>
    <row r="42" spans="1:8" x14ac:dyDescent="0.2">
      <c r="A42" s="23"/>
      <c r="B42" s="23"/>
      <c r="C42" s="24" t="s">
        <v>162</v>
      </c>
      <c r="D42" s="23"/>
      <c r="E42" s="23"/>
      <c r="F42" s="34"/>
      <c r="G42" s="34"/>
      <c r="H42" s="25" t="s">
        <v>148</v>
      </c>
    </row>
    <row r="43" spans="1:8" x14ac:dyDescent="0.2">
      <c r="A43" s="23"/>
      <c r="B43" s="23"/>
      <c r="C43" s="24" t="s">
        <v>147</v>
      </c>
      <c r="D43" s="23"/>
      <c r="E43" s="23" t="s">
        <v>148</v>
      </c>
      <c r="F43" s="35" t="s">
        <v>150</v>
      </c>
      <c r="G43" s="32">
        <v>0</v>
      </c>
      <c r="H43" s="25" t="s">
        <v>148</v>
      </c>
    </row>
    <row r="44" spans="1:8" x14ac:dyDescent="0.2">
      <c r="A44" s="23"/>
      <c r="B44" s="23"/>
      <c r="C44" s="33"/>
      <c r="D44" s="23"/>
      <c r="E44" s="23"/>
      <c r="F44" s="34"/>
      <c r="G44" s="34"/>
      <c r="H44" s="25" t="s">
        <v>148</v>
      </c>
    </row>
    <row r="45" spans="1:8" x14ac:dyDescent="0.2">
      <c r="A45" s="23"/>
      <c r="B45" s="23"/>
      <c r="C45" s="24" t="s">
        <v>163</v>
      </c>
      <c r="D45" s="23"/>
      <c r="E45" s="23"/>
      <c r="F45" s="34"/>
      <c r="G45" s="34"/>
      <c r="H45" s="25" t="s">
        <v>148</v>
      </c>
    </row>
    <row r="46" spans="1:8" x14ac:dyDescent="0.2">
      <c r="A46" s="23"/>
      <c r="B46" s="23"/>
      <c r="C46" s="24" t="s">
        <v>147</v>
      </c>
      <c r="D46" s="23"/>
      <c r="E46" s="23" t="s">
        <v>148</v>
      </c>
      <c r="F46" s="35" t="s">
        <v>150</v>
      </c>
      <c r="G46" s="32">
        <v>0</v>
      </c>
      <c r="H46" s="25" t="s">
        <v>148</v>
      </c>
    </row>
    <row r="47" spans="1:8" x14ac:dyDescent="0.2">
      <c r="A47" s="23"/>
      <c r="B47" s="23"/>
      <c r="C47" s="33"/>
      <c r="D47" s="23"/>
      <c r="E47" s="23"/>
      <c r="F47" s="34"/>
      <c r="G47" s="34"/>
      <c r="H47" s="25" t="s">
        <v>148</v>
      </c>
    </row>
    <row r="48" spans="1:8" x14ac:dyDescent="0.2">
      <c r="A48" s="23"/>
      <c r="B48" s="23"/>
      <c r="C48" s="24" t="s">
        <v>164</v>
      </c>
      <c r="D48" s="23"/>
      <c r="E48" s="23"/>
      <c r="F48" s="34"/>
      <c r="G48" s="34"/>
      <c r="H48" s="25" t="s">
        <v>148</v>
      </c>
    </row>
    <row r="49" spans="1:8" x14ac:dyDescent="0.2">
      <c r="A49" s="23"/>
      <c r="B49" s="23"/>
      <c r="C49" s="24" t="s">
        <v>147</v>
      </c>
      <c r="D49" s="23"/>
      <c r="E49" s="23" t="s">
        <v>148</v>
      </c>
      <c r="F49" s="35" t="s">
        <v>150</v>
      </c>
      <c r="G49" s="32">
        <v>0</v>
      </c>
      <c r="H49" s="25" t="s">
        <v>148</v>
      </c>
    </row>
    <row r="50" spans="1:8" x14ac:dyDescent="0.2">
      <c r="A50" s="23"/>
      <c r="B50" s="23"/>
      <c r="C50" s="33"/>
      <c r="D50" s="23"/>
      <c r="E50" s="23"/>
      <c r="F50" s="34"/>
      <c r="G50" s="34"/>
      <c r="H50" s="25" t="s">
        <v>148</v>
      </c>
    </row>
    <row r="51" spans="1:8" x14ac:dyDescent="0.2">
      <c r="A51" s="23"/>
      <c r="B51" s="23"/>
      <c r="C51" s="24" t="s">
        <v>165</v>
      </c>
      <c r="D51" s="23"/>
      <c r="E51" s="23"/>
      <c r="F51" s="34"/>
      <c r="G51" s="34"/>
      <c r="H51" s="25" t="s">
        <v>148</v>
      </c>
    </row>
    <row r="52" spans="1:8" x14ac:dyDescent="0.2">
      <c r="A52" s="26">
        <v>1</v>
      </c>
      <c r="B52" s="27"/>
      <c r="C52" s="27" t="s">
        <v>166</v>
      </c>
      <c r="D52" s="27"/>
      <c r="E52" s="36"/>
      <c r="F52" s="29">
        <v>1913.036195897</v>
      </c>
      <c r="G52" s="30">
        <v>0.99726028</v>
      </c>
      <c r="H52" s="25">
        <v>6.23</v>
      </c>
    </row>
    <row r="53" spans="1:8" x14ac:dyDescent="0.2">
      <c r="A53" s="23"/>
      <c r="B53" s="23"/>
      <c r="C53" s="24" t="s">
        <v>147</v>
      </c>
      <c r="D53" s="23"/>
      <c r="E53" s="23" t="s">
        <v>148</v>
      </c>
      <c r="F53" s="31">
        <v>1913.036195897</v>
      </c>
      <c r="G53" s="32">
        <v>0.99726028</v>
      </c>
      <c r="H53" s="25" t="s">
        <v>148</v>
      </c>
    </row>
    <row r="54" spans="1:8" x14ac:dyDescent="0.2">
      <c r="A54" s="23"/>
      <c r="B54" s="23"/>
      <c r="C54" s="33"/>
      <c r="D54" s="23"/>
      <c r="E54" s="23"/>
      <c r="F54" s="34"/>
      <c r="G54" s="34"/>
      <c r="H54" s="25" t="s">
        <v>148</v>
      </c>
    </row>
    <row r="55" spans="1:8" x14ac:dyDescent="0.2">
      <c r="A55" s="23"/>
      <c r="B55" s="23"/>
      <c r="C55" s="24" t="s">
        <v>167</v>
      </c>
      <c r="D55" s="23"/>
      <c r="E55" s="23"/>
      <c r="F55" s="31">
        <v>1913.036195897</v>
      </c>
      <c r="G55" s="32">
        <v>0.99726028</v>
      </c>
      <c r="H55" s="25" t="s">
        <v>148</v>
      </c>
    </row>
    <row r="56" spans="1:8" x14ac:dyDescent="0.2">
      <c r="A56" s="23"/>
      <c r="B56" s="23"/>
      <c r="C56" s="34"/>
      <c r="D56" s="23"/>
      <c r="E56" s="23"/>
      <c r="F56" s="23"/>
      <c r="G56" s="23"/>
      <c r="H56" s="25" t="s">
        <v>148</v>
      </c>
    </row>
    <row r="57" spans="1:8" x14ac:dyDescent="0.2">
      <c r="A57" s="23"/>
      <c r="B57" s="23"/>
      <c r="C57" s="24" t="s">
        <v>168</v>
      </c>
      <c r="D57" s="23"/>
      <c r="E57" s="23"/>
      <c r="F57" s="23"/>
      <c r="G57" s="23"/>
      <c r="H57" s="25" t="s">
        <v>148</v>
      </c>
    </row>
    <row r="58" spans="1:8" x14ac:dyDescent="0.2">
      <c r="A58" s="23"/>
      <c r="B58" s="23"/>
      <c r="C58" s="24" t="s">
        <v>169</v>
      </c>
      <c r="D58" s="23"/>
      <c r="E58" s="23"/>
      <c r="F58" s="23"/>
      <c r="G58" s="23"/>
      <c r="H58" s="25" t="s">
        <v>148</v>
      </c>
    </row>
    <row r="59" spans="1:8" x14ac:dyDescent="0.2">
      <c r="A59" s="23"/>
      <c r="B59" s="23"/>
      <c r="C59" s="24" t="s">
        <v>147</v>
      </c>
      <c r="D59" s="23"/>
      <c r="E59" s="23" t="s">
        <v>148</v>
      </c>
      <c r="F59" s="35" t="s">
        <v>150</v>
      </c>
      <c r="G59" s="32">
        <v>0</v>
      </c>
      <c r="H59" s="25" t="s">
        <v>148</v>
      </c>
    </row>
    <row r="60" spans="1:8" x14ac:dyDescent="0.2">
      <c r="A60" s="23"/>
      <c r="B60" s="23"/>
      <c r="C60" s="33"/>
      <c r="D60" s="23"/>
      <c r="E60" s="23"/>
      <c r="F60" s="34"/>
      <c r="G60" s="34"/>
      <c r="H60" s="25" t="s">
        <v>148</v>
      </c>
    </row>
    <row r="61" spans="1:8" x14ac:dyDescent="0.2">
      <c r="A61" s="23"/>
      <c r="B61" s="23"/>
      <c r="C61" s="24" t="s">
        <v>172</v>
      </c>
      <c r="D61" s="23"/>
      <c r="E61" s="23"/>
      <c r="F61" s="23"/>
      <c r="G61" s="23"/>
      <c r="H61" s="25" t="s">
        <v>148</v>
      </c>
    </row>
    <row r="62" spans="1:8" x14ac:dyDescent="0.2">
      <c r="A62" s="23"/>
      <c r="B62" s="23"/>
      <c r="C62" s="24" t="s">
        <v>173</v>
      </c>
      <c r="D62" s="23"/>
      <c r="E62" s="23"/>
      <c r="F62" s="23"/>
      <c r="G62" s="23"/>
      <c r="H62" s="25" t="s">
        <v>148</v>
      </c>
    </row>
    <row r="63" spans="1:8" x14ac:dyDescent="0.2">
      <c r="A63" s="23"/>
      <c r="B63" s="23"/>
      <c r="C63" s="24" t="s">
        <v>147</v>
      </c>
      <c r="D63" s="23"/>
      <c r="E63" s="23" t="s">
        <v>148</v>
      </c>
      <c r="F63" s="35" t="s">
        <v>150</v>
      </c>
      <c r="G63" s="32">
        <v>0</v>
      </c>
      <c r="H63" s="25" t="s">
        <v>148</v>
      </c>
    </row>
    <row r="64" spans="1:8" x14ac:dyDescent="0.2">
      <c r="A64" s="23"/>
      <c r="B64" s="23"/>
      <c r="C64" s="33"/>
      <c r="D64" s="23"/>
      <c r="E64" s="23"/>
      <c r="F64" s="34"/>
      <c r="G64" s="34"/>
      <c r="H64" s="25" t="s">
        <v>148</v>
      </c>
    </row>
    <row r="65" spans="1:17" x14ac:dyDescent="0.2">
      <c r="A65" s="23"/>
      <c r="B65" s="23"/>
      <c r="C65" s="24" t="s">
        <v>174</v>
      </c>
      <c r="D65" s="23"/>
      <c r="E65" s="23"/>
      <c r="F65" s="34"/>
      <c r="G65" s="34"/>
      <c r="H65" s="25" t="s">
        <v>148</v>
      </c>
    </row>
    <row r="66" spans="1:17" x14ac:dyDescent="0.2">
      <c r="A66" s="23"/>
      <c r="B66" s="23"/>
      <c r="C66" s="24" t="s">
        <v>147</v>
      </c>
      <c r="D66" s="23"/>
      <c r="E66" s="23" t="s">
        <v>148</v>
      </c>
      <c r="F66" s="35" t="s">
        <v>150</v>
      </c>
      <c r="G66" s="32">
        <v>0</v>
      </c>
      <c r="H66" s="25" t="s">
        <v>148</v>
      </c>
    </row>
    <row r="67" spans="1:17" x14ac:dyDescent="0.2">
      <c r="A67" s="23"/>
      <c r="B67" s="27"/>
      <c r="C67" s="27"/>
      <c r="D67" s="24"/>
      <c r="E67" s="23"/>
      <c r="F67" s="27"/>
      <c r="G67" s="36"/>
      <c r="H67" s="25" t="s">
        <v>148</v>
      </c>
    </row>
    <row r="68" spans="1:17" x14ac:dyDescent="0.2">
      <c r="A68" s="36"/>
      <c r="B68" s="27"/>
      <c r="C68" s="27" t="s">
        <v>175</v>
      </c>
      <c r="D68" s="27"/>
      <c r="E68" s="36"/>
      <c r="F68" s="29">
        <v>5.2555758399999997</v>
      </c>
      <c r="G68" s="30">
        <v>2.7397200000000002E-3</v>
      </c>
      <c r="H68" s="25" t="s">
        <v>148</v>
      </c>
    </row>
    <row r="69" spans="1:17" x14ac:dyDescent="0.2">
      <c r="A69" s="33"/>
      <c r="B69" s="33"/>
      <c r="C69" s="24" t="s">
        <v>176</v>
      </c>
      <c r="D69" s="34"/>
      <c r="E69" s="34"/>
      <c r="F69" s="31">
        <v>1918.2917717370001</v>
      </c>
      <c r="G69" s="39">
        <v>1</v>
      </c>
      <c r="H69" s="25" t="s">
        <v>148</v>
      </c>
    </row>
    <row r="70" spans="1:17" x14ac:dyDescent="0.2">
      <c r="A70" s="40"/>
      <c r="B70" s="40"/>
      <c r="C70" s="40"/>
      <c r="D70" s="41"/>
      <c r="E70" s="41"/>
      <c r="F70" s="41"/>
      <c r="G70" s="41"/>
    </row>
    <row r="71" spans="1:17" x14ac:dyDescent="0.2">
      <c r="A71" s="42"/>
      <c r="B71" s="237" t="s">
        <v>891</v>
      </c>
      <c r="C71" s="237"/>
      <c r="D71" s="237"/>
      <c r="E71" s="237"/>
      <c r="F71" s="237"/>
      <c r="G71" s="237"/>
      <c r="H71" s="237"/>
      <c r="J71" s="44"/>
    </row>
    <row r="72" spans="1:17" x14ac:dyDescent="0.2">
      <c r="A72" s="42"/>
      <c r="B72" s="237" t="s">
        <v>892</v>
      </c>
      <c r="C72" s="237"/>
      <c r="D72" s="237"/>
      <c r="E72" s="237"/>
      <c r="F72" s="237"/>
      <c r="G72" s="237"/>
      <c r="H72" s="237"/>
      <c r="J72" s="44"/>
    </row>
    <row r="73" spans="1:17" x14ac:dyDescent="0.2">
      <c r="A73" s="42"/>
      <c r="B73" s="237" t="s">
        <v>893</v>
      </c>
      <c r="C73" s="237"/>
      <c r="D73" s="237"/>
      <c r="E73" s="237"/>
      <c r="F73" s="237"/>
      <c r="G73" s="237"/>
      <c r="H73" s="237"/>
      <c r="J73" s="44"/>
    </row>
    <row r="74" spans="1:17" s="46" customFormat="1" ht="66.75" customHeight="1" x14ac:dyDescent="0.25">
      <c r="A74" s="45"/>
      <c r="B74" s="239" t="s">
        <v>894</v>
      </c>
      <c r="C74" s="239"/>
      <c r="D74" s="239"/>
      <c r="E74" s="239"/>
      <c r="F74" s="239"/>
      <c r="G74" s="239"/>
      <c r="H74" s="239"/>
      <c r="I74"/>
      <c r="J74" s="44"/>
      <c r="K74"/>
      <c r="L74"/>
      <c r="M74"/>
      <c r="N74"/>
      <c r="O74"/>
      <c r="P74"/>
      <c r="Q74"/>
    </row>
    <row r="75" spans="1:17" x14ac:dyDescent="0.2">
      <c r="A75" s="42"/>
      <c r="B75" s="237" t="s">
        <v>895</v>
      </c>
      <c r="C75" s="237"/>
      <c r="D75" s="237"/>
      <c r="E75" s="237"/>
      <c r="F75" s="237"/>
      <c r="G75" s="237"/>
      <c r="H75" s="237"/>
      <c r="J75" s="44"/>
    </row>
    <row r="76" spans="1:17" x14ac:dyDescent="0.2">
      <c r="A76" s="47"/>
      <c r="B76" s="47"/>
      <c r="C76" s="47"/>
      <c r="D76" s="48"/>
      <c r="E76" s="48"/>
      <c r="F76" s="48"/>
      <c r="G76" s="48"/>
    </row>
    <row r="77" spans="1:17" x14ac:dyDescent="0.2">
      <c r="A77" s="47"/>
      <c r="B77" s="234" t="s">
        <v>177</v>
      </c>
      <c r="C77" s="235"/>
      <c r="D77" s="236"/>
      <c r="E77" s="49"/>
      <c r="F77" s="48"/>
      <c r="G77" s="48"/>
    </row>
    <row r="78" spans="1:17" x14ac:dyDescent="0.2">
      <c r="A78" s="47"/>
      <c r="B78" s="232" t="s">
        <v>178</v>
      </c>
      <c r="C78" s="233"/>
      <c r="D78" s="24" t="s">
        <v>179</v>
      </c>
      <c r="E78" s="49"/>
      <c r="F78" s="48"/>
      <c r="G78" s="48"/>
    </row>
    <row r="79" spans="1:17" ht="12.75" customHeight="1" x14ac:dyDescent="0.2">
      <c r="A79" s="47"/>
      <c r="B79" s="240" t="s">
        <v>897</v>
      </c>
      <c r="C79" s="241"/>
      <c r="D79" s="24" t="s">
        <v>179</v>
      </c>
      <c r="E79" s="49"/>
      <c r="F79" s="48"/>
      <c r="G79" s="48"/>
    </row>
    <row r="80" spans="1:17" x14ac:dyDescent="0.2">
      <c r="A80" s="47"/>
      <c r="B80" s="232" t="s">
        <v>181</v>
      </c>
      <c r="C80" s="233"/>
      <c r="D80" s="34" t="s">
        <v>148</v>
      </c>
      <c r="E80" s="49"/>
      <c r="F80" s="48"/>
      <c r="G80" s="48"/>
    </row>
    <row r="81" spans="1:10" x14ac:dyDescent="0.2">
      <c r="A81" s="50"/>
      <c r="B81" s="51" t="s">
        <v>148</v>
      </c>
      <c r="C81" s="51" t="s">
        <v>896</v>
      </c>
      <c r="D81" s="51" t="s">
        <v>182</v>
      </c>
      <c r="E81" s="50"/>
      <c r="F81" s="50"/>
      <c r="G81" s="50"/>
      <c r="H81" s="50"/>
      <c r="J81" s="44"/>
    </row>
    <row r="82" spans="1:10" x14ac:dyDescent="0.2">
      <c r="A82" s="50"/>
      <c r="B82" s="52" t="s">
        <v>183</v>
      </c>
      <c r="C82" s="53">
        <v>45688</v>
      </c>
      <c r="D82" s="53">
        <v>45716</v>
      </c>
      <c r="E82" s="50"/>
      <c r="F82" s="50"/>
      <c r="G82" s="50"/>
      <c r="J82" s="44"/>
    </row>
    <row r="83" spans="1:10" x14ac:dyDescent="0.2">
      <c r="A83" s="54"/>
      <c r="B83" s="27" t="s">
        <v>184</v>
      </c>
      <c r="C83" s="55">
        <v>31.394400000000001</v>
      </c>
      <c r="D83" s="55">
        <v>31.604800000000001</v>
      </c>
      <c r="E83" s="54"/>
      <c r="F83" s="56"/>
      <c r="G83" s="57"/>
    </row>
    <row r="84" spans="1:10" x14ac:dyDescent="0.2">
      <c r="A84" s="54"/>
      <c r="B84" s="27" t="s">
        <v>1070</v>
      </c>
      <c r="C84" s="55">
        <v>24.9312</v>
      </c>
      <c r="D84" s="55">
        <v>25.098299999999998</v>
      </c>
      <c r="E84" s="54"/>
      <c r="F84" s="56"/>
      <c r="G84" s="57"/>
    </row>
    <row r="85" spans="1:10" x14ac:dyDescent="0.2">
      <c r="A85" s="54"/>
      <c r="B85" s="27" t="s">
        <v>186</v>
      </c>
      <c r="C85" s="55">
        <v>30.658100000000001</v>
      </c>
      <c r="D85" s="55">
        <v>30.862400000000001</v>
      </c>
      <c r="E85" s="54"/>
      <c r="F85" s="56"/>
      <c r="G85" s="57"/>
    </row>
    <row r="86" spans="1:10" x14ac:dyDescent="0.2">
      <c r="A86" s="54"/>
      <c r="B86" s="27" t="s">
        <v>1071</v>
      </c>
      <c r="C86" s="55">
        <v>24.231300000000001</v>
      </c>
      <c r="D86" s="55">
        <v>24.392800000000001</v>
      </c>
      <c r="E86" s="54"/>
      <c r="F86" s="56"/>
      <c r="G86" s="57"/>
    </row>
    <row r="87" spans="1:10" x14ac:dyDescent="0.2">
      <c r="A87" s="54"/>
      <c r="B87" s="54"/>
      <c r="C87" s="54"/>
      <c r="D87" s="54"/>
      <c r="E87" s="54"/>
      <c r="F87" s="54"/>
      <c r="G87" s="54"/>
    </row>
    <row r="88" spans="1:10" x14ac:dyDescent="0.2">
      <c r="A88" s="50"/>
      <c r="B88" s="240" t="s">
        <v>898</v>
      </c>
      <c r="C88" s="241"/>
      <c r="D88" s="58" t="s">
        <v>179</v>
      </c>
      <c r="E88" s="50"/>
      <c r="F88" s="50"/>
      <c r="G88" s="50"/>
    </row>
    <row r="89" spans="1:10" x14ac:dyDescent="0.2">
      <c r="A89" s="50"/>
      <c r="B89" s="59"/>
      <c r="C89" s="59"/>
      <c r="D89" s="59"/>
      <c r="E89" s="50"/>
      <c r="F89" s="50"/>
      <c r="G89" s="50"/>
    </row>
    <row r="90" spans="1:10" x14ac:dyDescent="0.2">
      <c r="A90" s="50"/>
      <c r="B90" s="240" t="s">
        <v>188</v>
      </c>
      <c r="C90" s="241"/>
      <c r="D90" s="58" t="s">
        <v>179</v>
      </c>
      <c r="E90" s="60"/>
      <c r="F90" s="50"/>
      <c r="G90" s="50"/>
    </row>
    <row r="91" spans="1:10" x14ac:dyDescent="0.2">
      <c r="A91" s="50"/>
      <c r="B91" s="240" t="s">
        <v>189</v>
      </c>
      <c r="C91" s="241"/>
      <c r="D91" s="58" t="s">
        <v>179</v>
      </c>
      <c r="E91" s="60"/>
      <c r="F91" s="50"/>
      <c r="G91" s="50"/>
    </row>
    <row r="92" spans="1:10" x14ac:dyDescent="0.2">
      <c r="A92" s="50"/>
      <c r="B92" s="240" t="s">
        <v>190</v>
      </c>
      <c r="C92" s="241"/>
      <c r="D92" s="58" t="s">
        <v>179</v>
      </c>
      <c r="E92" s="60"/>
      <c r="F92" s="50"/>
      <c r="G92" s="50"/>
    </row>
    <row r="93" spans="1:10" x14ac:dyDescent="0.2">
      <c r="A93" s="50"/>
      <c r="B93" s="240" t="s">
        <v>191</v>
      </c>
      <c r="C93" s="241"/>
      <c r="D93" s="61">
        <v>1.0629620912262197E-4</v>
      </c>
      <c r="E93" s="50"/>
      <c r="F93" s="43"/>
      <c r="G93" s="62"/>
    </row>
    <row r="95" spans="1:10" x14ac:dyDescent="0.2">
      <c r="B95" s="238" t="s">
        <v>899</v>
      </c>
      <c r="C95" s="238"/>
    </row>
    <row r="97" spans="2:10" ht="153.75" customHeight="1" x14ac:dyDescent="0.2"/>
    <row r="100" spans="2:10" x14ac:dyDescent="0.2">
      <c r="B100" s="68" t="s">
        <v>900</v>
      </c>
      <c r="C100" s="69"/>
      <c r="D100" s="68"/>
    </row>
    <row r="101" spans="2:10" x14ac:dyDescent="0.2">
      <c r="B101" s="68" t="s">
        <v>909</v>
      </c>
      <c r="D101" s="68"/>
    </row>
    <row r="102" spans="2:10" ht="165" customHeight="1" x14ac:dyDescent="0.2"/>
    <row r="104" spans="2:10" x14ac:dyDescent="0.2">
      <c r="J104" s="22"/>
    </row>
  </sheetData>
  <mergeCells count="18">
    <mergeCell ref="B95:C95"/>
    <mergeCell ref="A3:H3"/>
    <mergeCell ref="A2:H2"/>
    <mergeCell ref="B93:C93"/>
    <mergeCell ref="A1:H1"/>
    <mergeCell ref="B79:C79"/>
    <mergeCell ref="B80:C80"/>
    <mergeCell ref="B88:C88"/>
    <mergeCell ref="B92:C92"/>
    <mergeCell ref="B77:D77"/>
    <mergeCell ref="B78:C78"/>
    <mergeCell ref="B71:H71"/>
    <mergeCell ref="B72:H72"/>
    <mergeCell ref="B73:H73"/>
    <mergeCell ref="B74:H74"/>
    <mergeCell ref="B75:H75"/>
    <mergeCell ref="B90:C90"/>
    <mergeCell ref="B91:C91"/>
  </mergeCells>
  <hyperlinks>
    <hyperlink ref="I1" location="Index!B2" display="Index" xr:uid="{034B0FE8-740D-47E7-A279-AB5B08774BC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858F-3699-4E59-87BF-B717B855D162}">
  <sheetPr>
    <outlinePr summaryBelow="0" summaryRight="0"/>
  </sheetPr>
  <dimension ref="A1:Q136"/>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434</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6661</v>
      </c>
      <c r="F7" s="29">
        <v>115.39516399999999</v>
      </c>
      <c r="G7" s="30">
        <v>0.1004655</v>
      </c>
      <c r="H7" s="25" t="s">
        <v>148</v>
      </c>
    </row>
    <row r="8" spans="1:9" x14ac:dyDescent="0.2">
      <c r="A8" s="26">
        <v>2</v>
      </c>
      <c r="B8" s="27" t="s">
        <v>26</v>
      </c>
      <c r="C8" s="27" t="s">
        <v>27</v>
      </c>
      <c r="D8" s="27" t="s">
        <v>28</v>
      </c>
      <c r="E8" s="28">
        <v>9333</v>
      </c>
      <c r="F8" s="29">
        <v>112.378653</v>
      </c>
      <c r="G8" s="30">
        <v>9.7839259999999997E-2</v>
      </c>
      <c r="H8" s="25" t="s">
        <v>148</v>
      </c>
    </row>
    <row r="9" spans="1:9" x14ac:dyDescent="0.2">
      <c r="A9" s="26">
        <v>3</v>
      </c>
      <c r="B9" s="27" t="s">
        <v>334</v>
      </c>
      <c r="C9" s="27" t="s">
        <v>335</v>
      </c>
      <c r="D9" s="27" t="s">
        <v>205</v>
      </c>
      <c r="E9" s="28">
        <v>5430</v>
      </c>
      <c r="F9" s="29">
        <v>91.642110000000002</v>
      </c>
      <c r="G9" s="30">
        <v>7.9785579999999995E-2</v>
      </c>
      <c r="H9" s="25" t="s">
        <v>148</v>
      </c>
    </row>
    <row r="10" spans="1:9" x14ac:dyDescent="0.2">
      <c r="A10" s="26">
        <v>4</v>
      </c>
      <c r="B10" s="27" t="s">
        <v>14</v>
      </c>
      <c r="C10" s="27" t="s">
        <v>15</v>
      </c>
      <c r="D10" s="27" t="s">
        <v>16</v>
      </c>
      <c r="E10" s="28">
        <v>6978</v>
      </c>
      <c r="F10" s="29">
        <v>83.742977999999994</v>
      </c>
      <c r="G10" s="30">
        <v>7.2908429999999996E-2</v>
      </c>
      <c r="H10" s="25" t="s">
        <v>148</v>
      </c>
    </row>
    <row r="11" spans="1:9" x14ac:dyDescent="0.2">
      <c r="A11" s="26">
        <v>5</v>
      </c>
      <c r="B11" s="27" t="s">
        <v>38</v>
      </c>
      <c r="C11" s="27" t="s">
        <v>39</v>
      </c>
      <c r="D11" s="27" t="s">
        <v>28</v>
      </c>
      <c r="E11" s="28">
        <v>11730</v>
      </c>
      <c r="F11" s="29">
        <v>80.796239999999997</v>
      </c>
      <c r="G11" s="30">
        <v>7.0342929999999998E-2</v>
      </c>
      <c r="H11" s="25" t="s">
        <v>148</v>
      </c>
    </row>
    <row r="12" spans="1:9" x14ac:dyDescent="0.2">
      <c r="A12" s="26">
        <v>6</v>
      </c>
      <c r="B12" s="27" t="s">
        <v>11</v>
      </c>
      <c r="C12" s="27" t="s">
        <v>12</v>
      </c>
      <c r="D12" s="27" t="s">
        <v>13</v>
      </c>
      <c r="E12" s="28">
        <v>4294</v>
      </c>
      <c r="F12" s="29">
        <v>67.424387999999993</v>
      </c>
      <c r="G12" s="30">
        <v>5.8701110000000001E-2</v>
      </c>
      <c r="H12" s="25" t="s">
        <v>148</v>
      </c>
    </row>
    <row r="13" spans="1:9" x14ac:dyDescent="0.2">
      <c r="A13" s="26">
        <v>7</v>
      </c>
      <c r="B13" s="27" t="s">
        <v>17</v>
      </c>
      <c r="C13" s="27" t="s">
        <v>18</v>
      </c>
      <c r="D13" s="27" t="s">
        <v>19</v>
      </c>
      <c r="E13" s="28">
        <v>1772</v>
      </c>
      <c r="F13" s="29">
        <v>56.063422000000003</v>
      </c>
      <c r="G13" s="30">
        <v>4.8810010000000001E-2</v>
      </c>
      <c r="H13" s="25" t="s">
        <v>148</v>
      </c>
    </row>
    <row r="14" spans="1:9" x14ac:dyDescent="0.2">
      <c r="A14" s="26">
        <v>8</v>
      </c>
      <c r="B14" s="27" t="s">
        <v>23</v>
      </c>
      <c r="C14" s="27" t="s">
        <v>24</v>
      </c>
      <c r="D14" s="27" t="s">
        <v>25</v>
      </c>
      <c r="E14" s="28">
        <v>424</v>
      </c>
      <c r="F14" s="29">
        <v>42.944628000000002</v>
      </c>
      <c r="G14" s="30">
        <v>3.738851E-2</v>
      </c>
      <c r="H14" s="25" t="s">
        <v>148</v>
      </c>
    </row>
    <row r="15" spans="1:9" x14ac:dyDescent="0.2">
      <c r="A15" s="26">
        <v>9</v>
      </c>
      <c r="B15" s="27" t="s">
        <v>336</v>
      </c>
      <c r="C15" s="27" t="s">
        <v>337</v>
      </c>
      <c r="D15" s="27" t="s">
        <v>28</v>
      </c>
      <c r="E15" s="28">
        <v>3621</v>
      </c>
      <c r="F15" s="29">
        <v>36.773065500000001</v>
      </c>
      <c r="G15" s="30">
        <v>3.2015420000000003E-2</v>
      </c>
      <c r="H15" s="25" t="s">
        <v>148</v>
      </c>
    </row>
    <row r="16" spans="1:9" x14ac:dyDescent="0.2">
      <c r="A16" s="26">
        <v>10</v>
      </c>
      <c r="B16" s="27" t="s">
        <v>135</v>
      </c>
      <c r="C16" s="27" t="s">
        <v>136</v>
      </c>
      <c r="D16" s="27" t="s">
        <v>137</v>
      </c>
      <c r="E16" s="28">
        <v>3580</v>
      </c>
      <c r="F16" s="29">
        <v>30.650169999999999</v>
      </c>
      <c r="G16" s="30">
        <v>2.668469E-2</v>
      </c>
      <c r="H16" s="25" t="s">
        <v>148</v>
      </c>
    </row>
    <row r="17" spans="1:8" x14ac:dyDescent="0.2">
      <c r="A17" s="26">
        <v>11</v>
      </c>
      <c r="B17" s="27" t="s">
        <v>364</v>
      </c>
      <c r="C17" s="27" t="s">
        <v>365</v>
      </c>
      <c r="D17" s="27" t="s">
        <v>275</v>
      </c>
      <c r="E17" s="28">
        <v>4883</v>
      </c>
      <c r="F17" s="29">
        <v>30.3063395</v>
      </c>
      <c r="G17" s="30">
        <v>2.6385349999999998E-2</v>
      </c>
      <c r="H17" s="25" t="s">
        <v>148</v>
      </c>
    </row>
    <row r="18" spans="1:8" x14ac:dyDescent="0.2">
      <c r="A18" s="26">
        <v>12</v>
      </c>
      <c r="B18" s="27" t="s">
        <v>348</v>
      </c>
      <c r="C18" s="27" t="s">
        <v>349</v>
      </c>
      <c r="D18" s="27" t="s">
        <v>350</v>
      </c>
      <c r="E18" s="28">
        <v>7286</v>
      </c>
      <c r="F18" s="29">
        <v>28.779699999999998</v>
      </c>
      <c r="G18" s="30">
        <v>2.5056220000000001E-2</v>
      </c>
      <c r="H18" s="25" t="s">
        <v>148</v>
      </c>
    </row>
    <row r="19" spans="1:8" x14ac:dyDescent="0.2">
      <c r="A19" s="26">
        <v>13</v>
      </c>
      <c r="B19" s="27" t="s">
        <v>370</v>
      </c>
      <c r="C19" s="27" t="s">
        <v>371</v>
      </c>
      <c r="D19" s="27" t="s">
        <v>51</v>
      </c>
      <c r="E19" s="28">
        <v>901</v>
      </c>
      <c r="F19" s="29">
        <v>27.726022499999999</v>
      </c>
      <c r="G19" s="30">
        <v>2.413887E-2</v>
      </c>
      <c r="H19" s="25" t="s">
        <v>148</v>
      </c>
    </row>
    <row r="20" spans="1:8" x14ac:dyDescent="0.2">
      <c r="A20" s="26">
        <v>14</v>
      </c>
      <c r="B20" s="27" t="s">
        <v>195</v>
      </c>
      <c r="C20" s="27" t="s">
        <v>196</v>
      </c>
      <c r="D20" s="27" t="s">
        <v>197</v>
      </c>
      <c r="E20" s="28">
        <v>1637</v>
      </c>
      <c r="F20" s="29">
        <v>27.287971500000001</v>
      </c>
      <c r="G20" s="30">
        <v>2.3757489999999999E-2</v>
      </c>
      <c r="H20" s="25" t="s">
        <v>148</v>
      </c>
    </row>
    <row r="21" spans="1:8" x14ac:dyDescent="0.2">
      <c r="A21" s="26">
        <v>15</v>
      </c>
      <c r="B21" s="27" t="s">
        <v>223</v>
      </c>
      <c r="C21" s="27" t="s">
        <v>224</v>
      </c>
      <c r="D21" s="27" t="s">
        <v>16</v>
      </c>
      <c r="E21" s="28">
        <v>9124</v>
      </c>
      <c r="F21" s="29">
        <v>26.801749999999998</v>
      </c>
      <c r="G21" s="30">
        <v>2.333418E-2</v>
      </c>
      <c r="H21" s="25" t="s">
        <v>148</v>
      </c>
    </row>
    <row r="22" spans="1:8" x14ac:dyDescent="0.2">
      <c r="A22" s="26">
        <v>16</v>
      </c>
      <c r="B22" s="27" t="s">
        <v>435</v>
      </c>
      <c r="C22" s="27" t="s">
        <v>436</v>
      </c>
      <c r="D22" s="27" t="s">
        <v>205</v>
      </c>
      <c r="E22" s="28">
        <v>1555</v>
      </c>
      <c r="F22" s="29">
        <v>24.492027499999999</v>
      </c>
      <c r="G22" s="30">
        <v>2.132328E-2</v>
      </c>
      <c r="H22" s="25" t="s">
        <v>148</v>
      </c>
    </row>
    <row r="23" spans="1:8" x14ac:dyDescent="0.2">
      <c r="A23" s="26">
        <v>17</v>
      </c>
      <c r="B23" s="27" t="s">
        <v>342</v>
      </c>
      <c r="C23" s="27" t="s">
        <v>343</v>
      </c>
      <c r="D23" s="27" t="s">
        <v>205</v>
      </c>
      <c r="E23" s="28">
        <v>617</v>
      </c>
      <c r="F23" s="29">
        <v>21.491652500000001</v>
      </c>
      <c r="G23" s="30">
        <v>1.871109E-2</v>
      </c>
      <c r="H23" s="25" t="s">
        <v>148</v>
      </c>
    </row>
    <row r="24" spans="1:8" x14ac:dyDescent="0.2">
      <c r="A24" s="26">
        <v>18</v>
      </c>
      <c r="B24" s="27" t="s">
        <v>316</v>
      </c>
      <c r="C24" s="27" t="s">
        <v>317</v>
      </c>
      <c r="D24" s="27" t="s">
        <v>267</v>
      </c>
      <c r="E24" s="28">
        <v>526</v>
      </c>
      <c r="F24" s="29">
        <v>19.789435000000001</v>
      </c>
      <c r="G24" s="30">
        <v>1.7229109999999999E-2</v>
      </c>
      <c r="H24" s="25" t="s">
        <v>148</v>
      </c>
    </row>
    <row r="25" spans="1:8" x14ac:dyDescent="0.2">
      <c r="A25" s="26">
        <v>19</v>
      </c>
      <c r="B25" s="27" t="s">
        <v>346</v>
      </c>
      <c r="C25" s="27" t="s">
        <v>347</v>
      </c>
      <c r="D25" s="27" t="s">
        <v>28</v>
      </c>
      <c r="E25" s="28">
        <v>9495</v>
      </c>
      <c r="F25" s="29">
        <v>18.711796499999998</v>
      </c>
      <c r="G25" s="30">
        <v>1.6290889999999999E-2</v>
      </c>
      <c r="H25" s="25" t="s">
        <v>148</v>
      </c>
    </row>
    <row r="26" spans="1:8" x14ac:dyDescent="0.2">
      <c r="A26" s="26">
        <v>20</v>
      </c>
      <c r="B26" s="27" t="s">
        <v>99</v>
      </c>
      <c r="C26" s="27" t="s">
        <v>100</v>
      </c>
      <c r="D26" s="27" t="s">
        <v>69</v>
      </c>
      <c r="E26" s="28">
        <v>587</v>
      </c>
      <c r="F26" s="29">
        <v>17.969537500000001</v>
      </c>
      <c r="G26" s="30">
        <v>1.5644660000000001E-2</v>
      </c>
      <c r="H26" s="25" t="s">
        <v>148</v>
      </c>
    </row>
    <row r="27" spans="1:8" x14ac:dyDescent="0.2">
      <c r="A27" s="26">
        <v>21</v>
      </c>
      <c r="B27" s="27" t="s">
        <v>437</v>
      </c>
      <c r="C27" s="27" t="s">
        <v>438</v>
      </c>
      <c r="D27" s="27" t="s">
        <v>439</v>
      </c>
      <c r="E27" s="28">
        <v>2810</v>
      </c>
      <c r="F27" s="29">
        <v>17.825234999999999</v>
      </c>
      <c r="G27" s="30">
        <v>1.551903E-2</v>
      </c>
      <c r="H27" s="25" t="s">
        <v>148</v>
      </c>
    </row>
    <row r="28" spans="1:8" x14ac:dyDescent="0.2">
      <c r="A28" s="26">
        <v>22</v>
      </c>
      <c r="B28" s="27" t="s">
        <v>34</v>
      </c>
      <c r="C28" s="27" t="s">
        <v>35</v>
      </c>
      <c r="D28" s="27" t="s">
        <v>16</v>
      </c>
      <c r="E28" s="28">
        <v>7496</v>
      </c>
      <c r="F28" s="29">
        <v>17.788008000000001</v>
      </c>
      <c r="G28" s="30">
        <v>1.548662E-2</v>
      </c>
      <c r="H28" s="25" t="s">
        <v>148</v>
      </c>
    </row>
    <row r="29" spans="1:8" x14ac:dyDescent="0.2">
      <c r="A29" s="26">
        <v>23</v>
      </c>
      <c r="B29" s="27" t="s">
        <v>440</v>
      </c>
      <c r="C29" s="27" t="s">
        <v>441</v>
      </c>
      <c r="D29" s="27" t="s">
        <v>270</v>
      </c>
      <c r="E29" s="28">
        <v>1169</v>
      </c>
      <c r="F29" s="29">
        <v>16.722545</v>
      </c>
      <c r="G29" s="30">
        <v>1.4559010000000001E-2</v>
      </c>
      <c r="H29" s="25" t="s">
        <v>148</v>
      </c>
    </row>
    <row r="30" spans="1:8" ht="25.5" x14ac:dyDescent="0.2">
      <c r="A30" s="26">
        <v>24</v>
      </c>
      <c r="B30" s="27" t="s">
        <v>442</v>
      </c>
      <c r="C30" s="27" t="s">
        <v>443</v>
      </c>
      <c r="D30" s="27" t="s">
        <v>202</v>
      </c>
      <c r="E30" s="28">
        <v>1140</v>
      </c>
      <c r="F30" s="29">
        <v>16.045500000000001</v>
      </c>
      <c r="G30" s="30">
        <v>1.3969560000000001E-2</v>
      </c>
      <c r="H30" s="25" t="s">
        <v>148</v>
      </c>
    </row>
    <row r="31" spans="1:8" ht="25.5" x14ac:dyDescent="0.2">
      <c r="A31" s="26">
        <v>25</v>
      </c>
      <c r="B31" s="27" t="s">
        <v>444</v>
      </c>
      <c r="C31" s="27" t="s">
        <v>445</v>
      </c>
      <c r="D31" s="27" t="s">
        <v>217</v>
      </c>
      <c r="E31" s="28">
        <v>1612</v>
      </c>
      <c r="F31" s="29">
        <v>15.534844</v>
      </c>
      <c r="G31" s="30">
        <v>1.3524970000000001E-2</v>
      </c>
      <c r="H31" s="25" t="s">
        <v>148</v>
      </c>
    </row>
    <row r="32" spans="1:8" x14ac:dyDescent="0.2">
      <c r="A32" s="26">
        <v>26</v>
      </c>
      <c r="B32" s="27" t="s">
        <v>101</v>
      </c>
      <c r="C32" s="27" t="s">
        <v>102</v>
      </c>
      <c r="D32" s="27" t="s">
        <v>28</v>
      </c>
      <c r="E32" s="28">
        <v>731</v>
      </c>
      <c r="F32" s="29">
        <v>13.9105645</v>
      </c>
      <c r="G32" s="30">
        <v>1.2110839999999999E-2</v>
      </c>
      <c r="H32" s="25" t="s">
        <v>148</v>
      </c>
    </row>
    <row r="33" spans="1:8" x14ac:dyDescent="0.2">
      <c r="A33" s="26">
        <v>27</v>
      </c>
      <c r="B33" s="27" t="s">
        <v>446</v>
      </c>
      <c r="C33" s="27" t="s">
        <v>447</v>
      </c>
      <c r="D33" s="27" t="s">
        <v>25</v>
      </c>
      <c r="E33" s="28">
        <v>1190</v>
      </c>
      <c r="F33" s="29">
        <v>11.57394</v>
      </c>
      <c r="G33" s="30">
        <v>1.007652E-2</v>
      </c>
      <c r="H33" s="25" t="s">
        <v>148</v>
      </c>
    </row>
    <row r="34" spans="1:8" x14ac:dyDescent="0.2">
      <c r="A34" s="26">
        <v>28</v>
      </c>
      <c r="B34" s="27" t="s">
        <v>448</v>
      </c>
      <c r="C34" s="27" t="s">
        <v>449</v>
      </c>
      <c r="D34" s="27" t="s">
        <v>350</v>
      </c>
      <c r="E34" s="28">
        <v>517</v>
      </c>
      <c r="F34" s="29">
        <v>11.3235925</v>
      </c>
      <c r="G34" s="30">
        <v>9.8585600000000006E-3</v>
      </c>
      <c r="H34" s="25" t="s">
        <v>148</v>
      </c>
    </row>
    <row r="35" spans="1:8" x14ac:dyDescent="0.2">
      <c r="A35" s="26">
        <v>29</v>
      </c>
      <c r="B35" s="27" t="s">
        <v>450</v>
      </c>
      <c r="C35" s="27" t="s">
        <v>451</v>
      </c>
      <c r="D35" s="27" t="s">
        <v>28</v>
      </c>
      <c r="E35" s="28">
        <v>989</v>
      </c>
      <c r="F35" s="29">
        <v>9.7920890000000007</v>
      </c>
      <c r="G35" s="30">
        <v>8.5252000000000001E-3</v>
      </c>
      <c r="H35" s="25" t="s">
        <v>148</v>
      </c>
    </row>
    <row r="36" spans="1:8" x14ac:dyDescent="0.2">
      <c r="A36" s="26">
        <v>30</v>
      </c>
      <c r="B36" s="27" t="s">
        <v>131</v>
      </c>
      <c r="C36" s="27" t="s">
        <v>132</v>
      </c>
      <c r="D36" s="27" t="s">
        <v>64</v>
      </c>
      <c r="E36" s="28">
        <v>1497</v>
      </c>
      <c r="F36" s="29">
        <v>9.3367889999999996</v>
      </c>
      <c r="G36" s="30">
        <v>8.1288100000000002E-3</v>
      </c>
      <c r="H36" s="25" t="s">
        <v>148</v>
      </c>
    </row>
    <row r="37" spans="1:8" x14ac:dyDescent="0.2">
      <c r="A37" s="26">
        <v>31</v>
      </c>
      <c r="B37" s="27" t="s">
        <v>452</v>
      </c>
      <c r="C37" s="27" t="s">
        <v>453</v>
      </c>
      <c r="D37" s="27" t="s">
        <v>205</v>
      </c>
      <c r="E37" s="28">
        <v>3116</v>
      </c>
      <c r="F37" s="29">
        <v>8.6515740000000001</v>
      </c>
      <c r="G37" s="30">
        <v>7.5322499999999999E-3</v>
      </c>
      <c r="H37" s="25" t="s">
        <v>148</v>
      </c>
    </row>
    <row r="38" spans="1:8" x14ac:dyDescent="0.2">
      <c r="A38" s="26">
        <v>32</v>
      </c>
      <c r="B38" s="27" t="s">
        <v>454</v>
      </c>
      <c r="C38" s="27" t="s">
        <v>455</v>
      </c>
      <c r="D38" s="27" t="s">
        <v>232</v>
      </c>
      <c r="E38" s="28">
        <v>728</v>
      </c>
      <c r="F38" s="29">
        <v>1.1925368000000001</v>
      </c>
      <c r="G38" s="30">
        <v>1.0382499999999999E-3</v>
      </c>
      <c r="H38" s="25" t="s">
        <v>148</v>
      </c>
    </row>
    <row r="39" spans="1:8" x14ac:dyDescent="0.2">
      <c r="A39" s="23"/>
      <c r="B39" s="23"/>
      <c r="C39" s="24" t="s">
        <v>147</v>
      </c>
      <c r="D39" s="23"/>
      <c r="E39" s="23" t="s">
        <v>148</v>
      </c>
      <c r="F39" s="31">
        <v>1110.8642688</v>
      </c>
      <c r="G39" s="32">
        <v>0.96714219999999995</v>
      </c>
      <c r="H39" s="25" t="s">
        <v>148</v>
      </c>
    </row>
    <row r="40" spans="1:8" x14ac:dyDescent="0.2">
      <c r="A40" s="23"/>
      <c r="B40" s="23"/>
      <c r="C40" s="33"/>
      <c r="D40" s="23"/>
      <c r="E40" s="23"/>
      <c r="F40" s="34"/>
      <c r="G40" s="34"/>
      <c r="H40" s="25" t="s">
        <v>148</v>
      </c>
    </row>
    <row r="41" spans="1:8" x14ac:dyDescent="0.2">
      <c r="A41" s="23"/>
      <c r="B41" s="23"/>
      <c r="C41" s="24" t="s">
        <v>149</v>
      </c>
      <c r="D41" s="23"/>
      <c r="E41" s="23"/>
      <c r="F41" s="23"/>
      <c r="G41" s="23"/>
      <c r="H41" s="25" t="s">
        <v>148</v>
      </c>
    </row>
    <row r="42" spans="1:8" x14ac:dyDescent="0.2">
      <c r="A42" s="23"/>
      <c r="B42" s="23"/>
      <c r="C42" s="24" t="s">
        <v>147</v>
      </c>
      <c r="D42" s="23"/>
      <c r="E42" s="23" t="s">
        <v>148</v>
      </c>
      <c r="F42" s="35" t="s">
        <v>150</v>
      </c>
      <c r="G42" s="32">
        <v>0</v>
      </c>
      <c r="H42" s="25" t="s">
        <v>148</v>
      </c>
    </row>
    <row r="43" spans="1:8" x14ac:dyDescent="0.2">
      <c r="A43" s="23"/>
      <c r="B43" s="23"/>
      <c r="C43" s="33"/>
      <c r="D43" s="23"/>
      <c r="E43" s="23"/>
      <c r="F43" s="34"/>
      <c r="G43" s="34"/>
      <c r="H43" s="25" t="s">
        <v>148</v>
      </c>
    </row>
    <row r="44" spans="1:8" x14ac:dyDescent="0.2">
      <c r="A44" s="23"/>
      <c r="B44" s="23"/>
      <c r="C44" s="24" t="s">
        <v>151</v>
      </c>
      <c r="D44" s="23"/>
      <c r="E44" s="23"/>
      <c r="F44" s="23"/>
      <c r="G44" s="23"/>
      <c r="H44" s="25" t="s">
        <v>148</v>
      </c>
    </row>
    <row r="45" spans="1:8" x14ac:dyDescent="0.2">
      <c r="A45" s="23"/>
      <c r="B45" s="23"/>
      <c r="C45" s="24" t="s">
        <v>147</v>
      </c>
      <c r="D45" s="23"/>
      <c r="E45" s="23" t="s">
        <v>148</v>
      </c>
      <c r="F45" s="35" t="s">
        <v>150</v>
      </c>
      <c r="G45" s="32">
        <v>0</v>
      </c>
      <c r="H45" s="25" t="s">
        <v>148</v>
      </c>
    </row>
    <row r="46" spans="1:8" x14ac:dyDescent="0.2">
      <c r="A46" s="23"/>
      <c r="B46" s="23"/>
      <c r="C46" s="33"/>
      <c r="D46" s="23"/>
      <c r="E46" s="23"/>
      <c r="F46" s="34"/>
      <c r="G46" s="34"/>
      <c r="H46" s="25" t="s">
        <v>148</v>
      </c>
    </row>
    <row r="47" spans="1:8" x14ac:dyDescent="0.2">
      <c r="A47" s="23"/>
      <c r="B47" s="23"/>
      <c r="C47" s="24" t="s">
        <v>152</v>
      </c>
      <c r="D47" s="23"/>
      <c r="E47" s="23"/>
      <c r="F47" s="23"/>
      <c r="G47" s="23"/>
      <c r="H47" s="25" t="s">
        <v>148</v>
      </c>
    </row>
    <row r="48" spans="1:8" x14ac:dyDescent="0.2">
      <c r="A48" s="26">
        <v>1</v>
      </c>
      <c r="B48" s="27" t="s">
        <v>456</v>
      </c>
      <c r="C48" s="38" t="s">
        <v>910</v>
      </c>
      <c r="D48" s="27" t="s">
        <v>13</v>
      </c>
      <c r="E48" s="28">
        <v>327</v>
      </c>
      <c r="F48" s="29">
        <v>3.648666</v>
      </c>
      <c r="G48" s="30">
        <v>3.1766099999999999E-3</v>
      </c>
      <c r="H48" s="25" t="s">
        <v>148</v>
      </c>
    </row>
    <row r="49" spans="1:8" x14ac:dyDescent="0.2">
      <c r="A49" s="23"/>
      <c r="B49" s="23"/>
      <c r="C49" s="24" t="s">
        <v>147</v>
      </c>
      <c r="D49" s="23"/>
      <c r="E49" s="23" t="s">
        <v>148</v>
      </c>
      <c r="F49" s="31">
        <v>3.648666</v>
      </c>
      <c r="G49" s="32">
        <v>3.1766099999999999E-3</v>
      </c>
      <c r="H49" s="25" t="s">
        <v>148</v>
      </c>
    </row>
    <row r="50" spans="1:8" x14ac:dyDescent="0.2">
      <c r="A50" s="23"/>
      <c r="B50" s="23"/>
      <c r="C50" s="33"/>
      <c r="D50" s="23"/>
      <c r="E50" s="23"/>
      <c r="F50" s="34"/>
      <c r="G50" s="34"/>
      <c r="H50" s="25" t="s">
        <v>148</v>
      </c>
    </row>
    <row r="51" spans="1:8" x14ac:dyDescent="0.2">
      <c r="A51" s="23"/>
      <c r="B51" s="23"/>
      <c r="C51" s="24" t="s">
        <v>153</v>
      </c>
      <c r="D51" s="23"/>
      <c r="E51" s="23"/>
      <c r="F51" s="34"/>
      <c r="G51" s="34"/>
      <c r="H51" s="25" t="s">
        <v>148</v>
      </c>
    </row>
    <row r="52" spans="1:8" x14ac:dyDescent="0.2">
      <c r="A52" s="23"/>
      <c r="B52" s="23"/>
      <c r="C52" s="24" t="s">
        <v>147</v>
      </c>
      <c r="D52" s="23"/>
      <c r="E52" s="23" t="s">
        <v>148</v>
      </c>
      <c r="F52" s="35" t="s">
        <v>150</v>
      </c>
      <c r="G52" s="32">
        <v>0</v>
      </c>
      <c r="H52" s="25" t="s">
        <v>148</v>
      </c>
    </row>
    <row r="53" spans="1:8" x14ac:dyDescent="0.2">
      <c r="A53" s="23"/>
      <c r="B53" s="23"/>
      <c r="C53" s="33"/>
      <c r="D53" s="23"/>
      <c r="E53" s="23"/>
      <c r="F53" s="34"/>
      <c r="G53" s="34"/>
      <c r="H53" s="25" t="s">
        <v>148</v>
      </c>
    </row>
    <row r="54" spans="1:8" x14ac:dyDescent="0.2">
      <c r="A54" s="23"/>
      <c r="B54" s="23"/>
      <c r="C54" s="24" t="s">
        <v>154</v>
      </c>
      <c r="D54" s="23"/>
      <c r="E54" s="23"/>
      <c r="F54" s="34"/>
      <c r="G54" s="34"/>
      <c r="H54" s="25" t="s">
        <v>148</v>
      </c>
    </row>
    <row r="55" spans="1:8" x14ac:dyDescent="0.2">
      <c r="A55" s="23"/>
      <c r="B55" s="23"/>
      <c r="C55" s="24" t="s">
        <v>147</v>
      </c>
      <c r="D55" s="23"/>
      <c r="E55" s="23" t="s">
        <v>148</v>
      </c>
      <c r="F55" s="35" t="s">
        <v>150</v>
      </c>
      <c r="G55" s="32">
        <v>0</v>
      </c>
      <c r="H55" s="25" t="s">
        <v>148</v>
      </c>
    </row>
    <row r="56" spans="1:8" x14ac:dyDescent="0.2">
      <c r="A56" s="23"/>
      <c r="B56" s="23"/>
      <c r="C56" s="33"/>
      <c r="D56" s="23"/>
      <c r="E56" s="23"/>
      <c r="F56" s="34"/>
      <c r="G56" s="34"/>
      <c r="H56" s="25" t="s">
        <v>148</v>
      </c>
    </row>
    <row r="57" spans="1:8" x14ac:dyDescent="0.2">
      <c r="A57" s="23"/>
      <c r="B57" s="23"/>
      <c r="C57" s="24" t="s">
        <v>155</v>
      </c>
      <c r="D57" s="23"/>
      <c r="E57" s="23"/>
      <c r="F57" s="31">
        <v>1114.5129348</v>
      </c>
      <c r="G57" s="32">
        <v>0.97031880999999998</v>
      </c>
      <c r="H57" s="25" t="s">
        <v>148</v>
      </c>
    </row>
    <row r="58" spans="1:8" x14ac:dyDescent="0.2">
      <c r="A58" s="23"/>
      <c r="B58" s="23"/>
      <c r="C58" s="33"/>
      <c r="D58" s="23"/>
      <c r="E58" s="23"/>
      <c r="F58" s="34"/>
      <c r="G58" s="34"/>
      <c r="H58" s="25" t="s">
        <v>148</v>
      </c>
    </row>
    <row r="59" spans="1:8" x14ac:dyDescent="0.2">
      <c r="A59" s="23"/>
      <c r="B59" s="23"/>
      <c r="C59" s="24" t="s">
        <v>156</v>
      </c>
      <c r="D59" s="23"/>
      <c r="E59" s="23"/>
      <c r="F59" s="34"/>
      <c r="G59" s="34"/>
      <c r="H59" s="25" t="s">
        <v>148</v>
      </c>
    </row>
    <row r="60" spans="1:8" x14ac:dyDescent="0.2">
      <c r="A60" s="23"/>
      <c r="B60" s="23"/>
      <c r="C60" s="24" t="s">
        <v>10</v>
      </c>
      <c r="D60" s="23"/>
      <c r="E60" s="23"/>
      <c r="F60" s="34"/>
      <c r="G60" s="34"/>
      <c r="H60" s="25" t="s">
        <v>148</v>
      </c>
    </row>
    <row r="61" spans="1:8" x14ac:dyDescent="0.2">
      <c r="A61" s="23"/>
      <c r="B61" s="23"/>
      <c r="C61" s="24" t="s">
        <v>147</v>
      </c>
      <c r="D61" s="23"/>
      <c r="E61" s="23" t="s">
        <v>148</v>
      </c>
      <c r="F61" s="35" t="s">
        <v>150</v>
      </c>
      <c r="G61" s="32">
        <v>0</v>
      </c>
      <c r="H61" s="25" t="s">
        <v>148</v>
      </c>
    </row>
    <row r="62" spans="1:8" x14ac:dyDescent="0.2">
      <c r="A62" s="23"/>
      <c r="B62" s="23"/>
      <c r="C62" s="33"/>
      <c r="D62" s="23"/>
      <c r="E62" s="23"/>
      <c r="F62" s="34"/>
      <c r="G62" s="34"/>
      <c r="H62" s="25" t="s">
        <v>148</v>
      </c>
    </row>
    <row r="63" spans="1:8" x14ac:dyDescent="0.2">
      <c r="A63" s="23"/>
      <c r="B63" s="23"/>
      <c r="C63" s="24" t="s">
        <v>157</v>
      </c>
      <c r="D63" s="23"/>
      <c r="E63" s="23"/>
      <c r="F63" s="23"/>
      <c r="G63" s="23"/>
      <c r="H63" s="25" t="s">
        <v>148</v>
      </c>
    </row>
    <row r="64" spans="1:8" x14ac:dyDescent="0.2">
      <c r="A64" s="23"/>
      <c r="B64" s="23"/>
      <c r="C64" s="24" t="s">
        <v>147</v>
      </c>
      <c r="D64" s="23"/>
      <c r="E64" s="23" t="s">
        <v>148</v>
      </c>
      <c r="F64" s="35" t="s">
        <v>150</v>
      </c>
      <c r="G64" s="32">
        <v>0</v>
      </c>
      <c r="H64" s="25" t="s">
        <v>148</v>
      </c>
    </row>
    <row r="65" spans="1:8" x14ac:dyDescent="0.2">
      <c r="A65" s="23"/>
      <c r="B65" s="23"/>
      <c r="C65" s="33"/>
      <c r="D65" s="23"/>
      <c r="E65" s="23"/>
      <c r="F65" s="34"/>
      <c r="G65" s="34"/>
      <c r="H65" s="25" t="s">
        <v>148</v>
      </c>
    </row>
    <row r="66" spans="1:8" x14ac:dyDescent="0.2">
      <c r="A66" s="23"/>
      <c r="B66" s="23"/>
      <c r="C66" s="24" t="s">
        <v>158</v>
      </c>
      <c r="D66" s="23"/>
      <c r="E66" s="23"/>
      <c r="F66" s="23"/>
      <c r="G66" s="23"/>
      <c r="H66" s="25" t="s">
        <v>148</v>
      </c>
    </row>
    <row r="67" spans="1:8" x14ac:dyDescent="0.2">
      <c r="A67" s="23"/>
      <c r="B67" s="23"/>
      <c r="C67" s="24" t="s">
        <v>147</v>
      </c>
      <c r="D67" s="23"/>
      <c r="E67" s="23" t="s">
        <v>148</v>
      </c>
      <c r="F67" s="35" t="s">
        <v>150</v>
      </c>
      <c r="G67" s="32">
        <v>0</v>
      </c>
      <c r="H67" s="25" t="s">
        <v>148</v>
      </c>
    </row>
    <row r="68" spans="1:8" x14ac:dyDescent="0.2">
      <c r="A68" s="23"/>
      <c r="B68" s="23"/>
      <c r="C68" s="33"/>
      <c r="D68" s="23"/>
      <c r="E68" s="23"/>
      <c r="F68" s="34"/>
      <c r="G68" s="34"/>
      <c r="H68" s="25" t="s">
        <v>148</v>
      </c>
    </row>
    <row r="69" spans="1:8" x14ac:dyDescent="0.2">
      <c r="A69" s="23"/>
      <c r="B69" s="23"/>
      <c r="C69" s="24" t="s">
        <v>159</v>
      </c>
      <c r="D69" s="23"/>
      <c r="E69" s="23"/>
      <c r="F69" s="34"/>
      <c r="G69" s="34"/>
      <c r="H69" s="25" t="s">
        <v>148</v>
      </c>
    </row>
    <row r="70" spans="1:8" x14ac:dyDescent="0.2">
      <c r="A70" s="23"/>
      <c r="B70" s="23"/>
      <c r="C70" s="24" t="s">
        <v>147</v>
      </c>
      <c r="D70" s="23"/>
      <c r="E70" s="23" t="s">
        <v>148</v>
      </c>
      <c r="F70" s="35" t="s">
        <v>150</v>
      </c>
      <c r="G70" s="32">
        <v>0</v>
      </c>
      <c r="H70" s="25" t="s">
        <v>148</v>
      </c>
    </row>
    <row r="71" spans="1:8" x14ac:dyDescent="0.2">
      <c r="A71" s="23"/>
      <c r="B71" s="23"/>
      <c r="C71" s="33"/>
      <c r="D71" s="23"/>
      <c r="E71" s="23"/>
      <c r="F71" s="34"/>
      <c r="G71" s="34"/>
      <c r="H71" s="25" t="s">
        <v>148</v>
      </c>
    </row>
    <row r="72" spans="1:8" x14ac:dyDescent="0.2">
      <c r="A72" s="23"/>
      <c r="B72" s="23"/>
      <c r="C72" s="24" t="s">
        <v>160</v>
      </c>
      <c r="D72" s="23"/>
      <c r="E72" s="23"/>
      <c r="F72" s="31">
        <v>0</v>
      </c>
      <c r="G72" s="32">
        <v>0</v>
      </c>
      <c r="H72" s="25" t="s">
        <v>148</v>
      </c>
    </row>
    <row r="73" spans="1:8" x14ac:dyDescent="0.2">
      <c r="A73" s="23"/>
      <c r="B73" s="23"/>
      <c r="C73" s="33"/>
      <c r="D73" s="23"/>
      <c r="E73" s="23"/>
      <c r="F73" s="34"/>
      <c r="G73" s="34"/>
      <c r="H73" s="25" t="s">
        <v>148</v>
      </c>
    </row>
    <row r="74" spans="1:8" x14ac:dyDescent="0.2">
      <c r="A74" s="23"/>
      <c r="B74" s="23"/>
      <c r="C74" s="24" t="s">
        <v>161</v>
      </c>
      <c r="D74" s="23"/>
      <c r="E74" s="23"/>
      <c r="F74" s="34"/>
      <c r="G74" s="34"/>
      <c r="H74" s="25" t="s">
        <v>148</v>
      </c>
    </row>
    <row r="75" spans="1:8" x14ac:dyDescent="0.2">
      <c r="A75" s="23"/>
      <c r="B75" s="23"/>
      <c r="C75" s="24" t="s">
        <v>162</v>
      </c>
      <c r="D75" s="23"/>
      <c r="E75" s="23"/>
      <c r="F75" s="34"/>
      <c r="G75" s="34"/>
      <c r="H75" s="25" t="s">
        <v>148</v>
      </c>
    </row>
    <row r="76" spans="1:8" x14ac:dyDescent="0.2">
      <c r="A76" s="23"/>
      <c r="B76" s="23"/>
      <c r="C76" s="24" t="s">
        <v>147</v>
      </c>
      <c r="D76" s="23"/>
      <c r="E76" s="23" t="s">
        <v>148</v>
      </c>
      <c r="F76" s="35" t="s">
        <v>150</v>
      </c>
      <c r="G76" s="32">
        <v>0</v>
      </c>
      <c r="H76" s="25" t="s">
        <v>148</v>
      </c>
    </row>
    <row r="77" spans="1:8" x14ac:dyDescent="0.2">
      <c r="A77" s="23"/>
      <c r="B77" s="23"/>
      <c r="C77" s="33"/>
      <c r="D77" s="23"/>
      <c r="E77" s="23"/>
      <c r="F77" s="34"/>
      <c r="G77" s="34"/>
      <c r="H77" s="25" t="s">
        <v>148</v>
      </c>
    </row>
    <row r="78" spans="1:8" x14ac:dyDescent="0.2">
      <c r="A78" s="23"/>
      <c r="B78" s="23"/>
      <c r="C78" s="24" t="s">
        <v>163</v>
      </c>
      <c r="D78" s="23"/>
      <c r="E78" s="23"/>
      <c r="F78" s="34"/>
      <c r="G78" s="34"/>
      <c r="H78" s="25" t="s">
        <v>148</v>
      </c>
    </row>
    <row r="79" spans="1:8" x14ac:dyDescent="0.2">
      <c r="A79" s="23"/>
      <c r="B79" s="23"/>
      <c r="C79" s="24" t="s">
        <v>147</v>
      </c>
      <c r="D79" s="23"/>
      <c r="E79" s="23" t="s">
        <v>148</v>
      </c>
      <c r="F79" s="35" t="s">
        <v>150</v>
      </c>
      <c r="G79" s="32">
        <v>0</v>
      </c>
      <c r="H79" s="25" t="s">
        <v>148</v>
      </c>
    </row>
    <row r="80" spans="1:8" x14ac:dyDescent="0.2">
      <c r="A80" s="23"/>
      <c r="B80" s="23"/>
      <c r="C80" s="33"/>
      <c r="D80" s="23"/>
      <c r="E80" s="23"/>
      <c r="F80" s="34"/>
      <c r="G80" s="34"/>
      <c r="H80" s="25" t="s">
        <v>148</v>
      </c>
    </row>
    <row r="81" spans="1:8" x14ac:dyDescent="0.2">
      <c r="A81" s="23"/>
      <c r="B81" s="23"/>
      <c r="C81" s="24" t="s">
        <v>164</v>
      </c>
      <c r="D81" s="23"/>
      <c r="E81" s="23"/>
      <c r="F81" s="34"/>
      <c r="G81" s="34"/>
      <c r="H81" s="25" t="s">
        <v>148</v>
      </c>
    </row>
    <row r="82" spans="1:8" x14ac:dyDescent="0.2">
      <c r="A82" s="23"/>
      <c r="B82" s="23"/>
      <c r="C82" s="24" t="s">
        <v>147</v>
      </c>
      <c r="D82" s="23"/>
      <c r="E82" s="23" t="s">
        <v>148</v>
      </c>
      <c r="F82" s="35" t="s">
        <v>150</v>
      </c>
      <c r="G82" s="32">
        <v>0</v>
      </c>
      <c r="H82" s="25" t="s">
        <v>148</v>
      </c>
    </row>
    <row r="83" spans="1:8" x14ac:dyDescent="0.2">
      <c r="A83" s="23"/>
      <c r="B83" s="23"/>
      <c r="C83" s="33"/>
      <c r="D83" s="23"/>
      <c r="E83" s="23"/>
      <c r="F83" s="34"/>
      <c r="G83" s="34"/>
      <c r="H83" s="25" t="s">
        <v>148</v>
      </c>
    </row>
    <row r="84" spans="1:8" x14ac:dyDescent="0.2">
      <c r="A84" s="23"/>
      <c r="B84" s="23"/>
      <c r="C84" s="24" t="s">
        <v>165</v>
      </c>
      <c r="D84" s="23"/>
      <c r="E84" s="23"/>
      <c r="F84" s="34"/>
      <c r="G84" s="34"/>
      <c r="H84" s="25" t="s">
        <v>148</v>
      </c>
    </row>
    <row r="85" spans="1:8" x14ac:dyDescent="0.2">
      <c r="A85" s="26">
        <v>1</v>
      </c>
      <c r="B85" s="27"/>
      <c r="C85" s="27" t="s">
        <v>166</v>
      </c>
      <c r="D85" s="27"/>
      <c r="E85" s="36"/>
      <c r="F85" s="29">
        <v>33.1114721</v>
      </c>
      <c r="G85" s="30">
        <v>2.8827559999999999E-2</v>
      </c>
      <c r="H85" s="25">
        <v>6.23</v>
      </c>
    </row>
    <row r="86" spans="1:8" x14ac:dyDescent="0.2">
      <c r="A86" s="23"/>
      <c r="B86" s="23"/>
      <c r="C86" s="24" t="s">
        <v>147</v>
      </c>
      <c r="D86" s="23"/>
      <c r="E86" s="23" t="s">
        <v>148</v>
      </c>
      <c r="F86" s="31">
        <v>33.1114721</v>
      </c>
      <c r="G86" s="32">
        <v>2.8827559999999999E-2</v>
      </c>
      <c r="H86" s="25" t="s">
        <v>148</v>
      </c>
    </row>
    <row r="87" spans="1:8" x14ac:dyDescent="0.2">
      <c r="A87" s="23"/>
      <c r="B87" s="23"/>
      <c r="C87" s="33"/>
      <c r="D87" s="23"/>
      <c r="E87" s="23"/>
      <c r="F87" s="34"/>
      <c r="G87" s="34"/>
      <c r="H87" s="25" t="s">
        <v>148</v>
      </c>
    </row>
    <row r="88" spans="1:8" x14ac:dyDescent="0.2">
      <c r="A88" s="23"/>
      <c r="B88" s="23"/>
      <c r="C88" s="24" t="s">
        <v>167</v>
      </c>
      <c r="D88" s="23"/>
      <c r="E88" s="23"/>
      <c r="F88" s="31">
        <v>33.1114721</v>
      </c>
      <c r="G88" s="32">
        <v>2.8827559999999999E-2</v>
      </c>
      <c r="H88" s="25" t="s">
        <v>148</v>
      </c>
    </row>
    <row r="89" spans="1:8" x14ac:dyDescent="0.2">
      <c r="A89" s="23"/>
      <c r="B89" s="23"/>
      <c r="C89" s="34"/>
      <c r="D89" s="23"/>
      <c r="E89" s="23"/>
      <c r="F89" s="23"/>
      <c r="G89" s="23"/>
      <c r="H89" s="25" t="s">
        <v>148</v>
      </c>
    </row>
    <row r="90" spans="1:8" x14ac:dyDescent="0.2">
      <c r="A90" s="23"/>
      <c r="B90" s="23"/>
      <c r="C90" s="24" t="s">
        <v>168</v>
      </c>
      <c r="D90" s="23"/>
      <c r="E90" s="23"/>
      <c r="F90" s="23"/>
      <c r="G90" s="23"/>
      <c r="H90" s="25" t="s">
        <v>148</v>
      </c>
    </row>
    <row r="91" spans="1:8" x14ac:dyDescent="0.2">
      <c r="A91" s="23"/>
      <c r="B91" s="23"/>
      <c r="C91" s="24" t="s">
        <v>169</v>
      </c>
      <c r="D91" s="23"/>
      <c r="E91" s="23"/>
      <c r="F91" s="23"/>
      <c r="G91" s="23"/>
      <c r="H91" s="25" t="s">
        <v>148</v>
      </c>
    </row>
    <row r="92" spans="1:8" x14ac:dyDescent="0.2">
      <c r="A92" s="23"/>
      <c r="B92" s="23"/>
      <c r="C92" s="24" t="s">
        <v>147</v>
      </c>
      <c r="D92" s="23"/>
      <c r="E92" s="23" t="s">
        <v>148</v>
      </c>
      <c r="F92" s="35" t="s">
        <v>150</v>
      </c>
      <c r="G92" s="32">
        <v>0</v>
      </c>
      <c r="H92" s="25" t="s">
        <v>148</v>
      </c>
    </row>
    <row r="93" spans="1:8" x14ac:dyDescent="0.2">
      <c r="A93" s="23"/>
      <c r="B93" s="23"/>
      <c r="C93" s="33"/>
      <c r="D93" s="23"/>
      <c r="E93" s="23"/>
      <c r="F93" s="34"/>
      <c r="G93" s="34"/>
      <c r="H93" s="25" t="s">
        <v>148</v>
      </c>
    </row>
    <row r="94" spans="1:8" x14ac:dyDescent="0.2">
      <c r="A94" s="23"/>
      <c r="B94" s="23"/>
      <c r="C94" s="24" t="s">
        <v>172</v>
      </c>
      <c r="D94" s="23"/>
      <c r="E94" s="23"/>
      <c r="F94" s="23"/>
      <c r="G94" s="23"/>
      <c r="H94" s="25" t="s">
        <v>148</v>
      </c>
    </row>
    <row r="95" spans="1:8" x14ac:dyDescent="0.2">
      <c r="A95" s="23"/>
      <c r="B95" s="23"/>
      <c r="C95" s="24" t="s">
        <v>173</v>
      </c>
      <c r="D95" s="23"/>
      <c r="E95" s="23"/>
      <c r="F95" s="23"/>
      <c r="G95" s="23"/>
      <c r="H95" s="25" t="s">
        <v>148</v>
      </c>
    </row>
    <row r="96" spans="1:8" x14ac:dyDescent="0.2">
      <c r="A96" s="23"/>
      <c r="B96" s="23"/>
      <c r="C96" s="24" t="s">
        <v>147</v>
      </c>
      <c r="D96" s="23"/>
      <c r="E96" s="23" t="s">
        <v>148</v>
      </c>
      <c r="F96" s="35" t="s">
        <v>150</v>
      </c>
      <c r="G96" s="32">
        <v>0</v>
      </c>
      <c r="H96" s="25" t="s">
        <v>148</v>
      </c>
    </row>
    <row r="97" spans="1:17" x14ac:dyDescent="0.2">
      <c r="A97" s="23"/>
      <c r="B97" s="23"/>
      <c r="C97" s="33"/>
      <c r="D97" s="23"/>
      <c r="E97" s="23"/>
      <c r="F97" s="34"/>
      <c r="G97" s="34"/>
      <c r="H97" s="25" t="s">
        <v>148</v>
      </c>
    </row>
    <row r="98" spans="1:17" x14ac:dyDescent="0.2">
      <c r="A98" s="23"/>
      <c r="B98" s="23"/>
      <c r="C98" s="24" t="s">
        <v>174</v>
      </c>
      <c r="D98" s="23"/>
      <c r="E98" s="23"/>
      <c r="F98" s="34"/>
      <c r="G98" s="34"/>
      <c r="H98" s="25" t="s">
        <v>148</v>
      </c>
    </row>
    <row r="99" spans="1:17" x14ac:dyDescent="0.2">
      <c r="A99" s="23"/>
      <c r="B99" s="23"/>
      <c r="C99" s="24" t="s">
        <v>147</v>
      </c>
      <c r="D99" s="23"/>
      <c r="E99" s="23" t="s">
        <v>148</v>
      </c>
      <c r="F99" s="35" t="s">
        <v>150</v>
      </c>
      <c r="G99" s="32">
        <v>0</v>
      </c>
      <c r="H99" s="25" t="s">
        <v>148</v>
      </c>
    </row>
    <row r="100" spans="1:17" x14ac:dyDescent="0.2">
      <c r="A100" s="23"/>
      <c r="B100" s="23"/>
      <c r="C100" s="33"/>
      <c r="D100" s="23"/>
      <c r="E100" s="23"/>
      <c r="F100" s="34"/>
      <c r="G100" s="34"/>
      <c r="H100" s="25" t="s">
        <v>148</v>
      </c>
    </row>
    <row r="101" spans="1:17" x14ac:dyDescent="0.2">
      <c r="A101" s="36"/>
      <c r="B101" s="27"/>
      <c r="C101" s="27" t="s">
        <v>175</v>
      </c>
      <c r="D101" s="27"/>
      <c r="E101" s="36"/>
      <c r="F101" s="29">
        <v>0.98050391000000003</v>
      </c>
      <c r="G101" s="30">
        <v>8.5364999999999996E-4</v>
      </c>
      <c r="H101" s="25" t="s">
        <v>148</v>
      </c>
    </row>
    <row r="102" spans="1:17" x14ac:dyDescent="0.2">
      <c r="A102" s="33"/>
      <c r="B102" s="33"/>
      <c r="C102" s="24" t="s">
        <v>176</v>
      </c>
      <c r="D102" s="34"/>
      <c r="E102" s="34"/>
      <c r="F102" s="31">
        <v>1148.6049108100001</v>
      </c>
      <c r="G102" s="39">
        <v>1.0000000200000001</v>
      </c>
      <c r="H102" s="25" t="s">
        <v>148</v>
      </c>
    </row>
    <row r="103" spans="1:17" x14ac:dyDescent="0.2">
      <c r="A103" s="40"/>
      <c r="B103" s="40"/>
      <c r="C103" s="40"/>
      <c r="D103" s="41"/>
      <c r="E103" s="41"/>
      <c r="F103" s="41"/>
      <c r="G103" s="41"/>
    </row>
    <row r="104" spans="1:17" x14ac:dyDescent="0.2">
      <c r="A104" s="42"/>
      <c r="B104" s="237" t="s">
        <v>891</v>
      </c>
      <c r="C104" s="237"/>
      <c r="D104" s="237"/>
      <c r="E104" s="237"/>
      <c r="F104" s="237"/>
      <c r="G104" s="237"/>
      <c r="H104" s="237"/>
      <c r="J104" s="44"/>
    </row>
    <row r="105" spans="1:17" x14ac:dyDescent="0.2">
      <c r="A105" s="42"/>
      <c r="B105" s="237" t="s">
        <v>892</v>
      </c>
      <c r="C105" s="237"/>
      <c r="D105" s="237"/>
      <c r="E105" s="237"/>
      <c r="F105" s="237"/>
      <c r="G105" s="237"/>
      <c r="H105" s="237"/>
      <c r="J105" s="44"/>
    </row>
    <row r="106" spans="1:17" x14ac:dyDescent="0.2">
      <c r="A106" s="42"/>
      <c r="B106" s="237" t="s">
        <v>893</v>
      </c>
      <c r="C106" s="237"/>
      <c r="D106" s="237"/>
      <c r="E106" s="237"/>
      <c r="F106" s="237"/>
      <c r="G106" s="237"/>
      <c r="H106" s="237"/>
      <c r="J106" s="44"/>
    </row>
    <row r="107" spans="1:17" s="46" customFormat="1" ht="66.75" customHeight="1" x14ac:dyDescent="0.25">
      <c r="A107" s="45"/>
      <c r="B107" s="239" t="s">
        <v>894</v>
      </c>
      <c r="C107" s="239"/>
      <c r="D107" s="239"/>
      <c r="E107" s="239"/>
      <c r="F107" s="239"/>
      <c r="G107" s="239"/>
      <c r="H107" s="239"/>
      <c r="I107"/>
      <c r="J107" s="44"/>
      <c r="K107"/>
      <c r="L107"/>
      <c r="M107"/>
      <c r="N107"/>
      <c r="O107"/>
      <c r="P107"/>
      <c r="Q107"/>
    </row>
    <row r="108" spans="1:17" x14ac:dyDescent="0.2">
      <c r="A108" s="42"/>
      <c r="B108" s="237" t="s">
        <v>895</v>
      </c>
      <c r="C108" s="237"/>
      <c r="D108" s="237"/>
      <c r="E108" s="237"/>
      <c r="F108" s="237"/>
      <c r="G108" s="237"/>
      <c r="H108" s="237"/>
      <c r="J108" s="44"/>
    </row>
    <row r="109" spans="1:17" x14ac:dyDescent="0.2">
      <c r="A109" s="47"/>
      <c r="B109" s="47"/>
      <c r="C109" s="47"/>
      <c r="D109" s="48"/>
      <c r="E109" s="48"/>
      <c r="F109" s="48"/>
      <c r="G109" s="48"/>
    </row>
    <row r="110" spans="1:17" x14ac:dyDescent="0.2">
      <c r="A110" s="47"/>
      <c r="B110" s="234" t="s">
        <v>177</v>
      </c>
      <c r="C110" s="235"/>
      <c r="D110" s="236"/>
      <c r="E110" s="49"/>
      <c r="F110" s="48"/>
      <c r="G110" s="48"/>
    </row>
    <row r="111" spans="1:17" x14ac:dyDescent="0.2">
      <c r="A111" s="47"/>
      <c r="B111" s="232" t="s">
        <v>178</v>
      </c>
      <c r="C111" s="233"/>
      <c r="D111" s="24" t="s">
        <v>179</v>
      </c>
      <c r="E111" s="49"/>
      <c r="F111" s="48"/>
      <c r="G111" s="48"/>
    </row>
    <row r="112" spans="1:17" ht="12.75" customHeight="1" x14ac:dyDescent="0.2">
      <c r="A112" s="47"/>
      <c r="B112" s="240" t="s">
        <v>897</v>
      </c>
      <c r="C112" s="241"/>
      <c r="D112" s="24" t="s">
        <v>179</v>
      </c>
      <c r="E112" s="49"/>
      <c r="F112" s="48"/>
      <c r="G112" s="48"/>
    </row>
    <row r="113" spans="1:10" x14ac:dyDescent="0.2">
      <c r="A113" s="47"/>
      <c r="B113" s="232" t="s">
        <v>181</v>
      </c>
      <c r="C113" s="233"/>
      <c r="D113" s="34" t="s">
        <v>148</v>
      </c>
      <c r="E113" s="49"/>
      <c r="F113" s="48"/>
      <c r="G113" s="48"/>
    </row>
    <row r="114" spans="1:10" x14ac:dyDescent="0.2">
      <c r="A114" s="50"/>
      <c r="B114" s="51" t="s">
        <v>148</v>
      </c>
      <c r="C114" s="51" t="s">
        <v>896</v>
      </c>
      <c r="D114" s="51" t="s">
        <v>182</v>
      </c>
      <c r="E114" s="50"/>
      <c r="F114" s="50"/>
      <c r="G114" s="50"/>
      <c r="H114" s="50"/>
      <c r="J114" s="44"/>
    </row>
    <row r="115" spans="1:10" x14ac:dyDescent="0.2">
      <c r="A115" s="50"/>
      <c r="B115" s="52" t="s">
        <v>183</v>
      </c>
      <c r="C115" s="53">
        <v>45688</v>
      </c>
      <c r="D115" s="53">
        <v>45716</v>
      </c>
      <c r="E115" s="50"/>
      <c r="F115" s="50"/>
      <c r="G115" s="50"/>
      <c r="J115" s="44"/>
    </row>
    <row r="116" spans="1:10" x14ac:dyDescent="0.2">
      <c r="A116" s="54"/>
      <c r="B116" s="27" t="s">
        <v>184</v>
      </c>
      <c r="C116" s="55">
        <v>34.5274</v>
      </c>
      <c r="D116" s="55">
        <v>32.221299999999999</v>
      </c>
      <c r="E116" s="54"/>
      <c r="F116" s="56"/>
      <c r="G116" s="57"/>
    </row>
    <row r="117" spans="1:10" x14ac:dyDescent="0.2">
      <c r="A117" s="54"/>
      <c r="B117" s="27" t="s">
        <v>1070</v>
      </c>
      <c r="C117" s="55">
        <v>26.6754</v>
      </c>
      <c r="D117" s="55">
        <v>24.893799999999999</v>
      </c>
      <c r="E117" s="54"/>
      <c r="F117" s="56"/>
      <c r="G117" s="57"/>
    </row>
    <row r="118" spans="1:10" x14ac:dyDescent="0.2">
      <c r="A118" s="54"/>
      <c r="B118" s="27" t="s">
        <v>186</v>
      </c>
      <c r="C118" s="55">
        <v>33.523000000000003</v>
      </c>
      <c r="D118" s="55">
        <v>31.2789</v>
      </c>
      <c r="E118" s="54"/>
      <c r="F118" s="56"/>
      <c r="G118" s="57"/>
    </row>
    <row r="119" spans="1:10" x14ac:dyDescent="0.2">
      <c r="A119" s="54"/>
      <c r="B119" s="27" t="s">
        <v>1071</v>
      </c>
      <c r="C119" s="55">
        <v>25.7605</v>
      </c>
      <c r="D119" s="55">
        <v>24.036100000000001</v>
      </c>
      <c r="E119" s="54"/>
      <c r="F119" s="56"/>
      <c r="G119" s="57"/>
    </row>
    <row r="120" spans="1:10" x14ac:dyDescent="0.2">
      <c r="A120" s="54"/>
      <c r="B120" s="54"/>
      <c r="C120" s="54"/>
      <c r="D120" s="54"/>
      <c r="E120" s="54"/>
      <c r="F120" s="54"/>
      <c r="G120" s="54"/>
    </row>
    <row r="121" spans="1:10" x14ac:dyDescent="0.2">
      <c r="A121" s="50"/>
      <c r="B121" s="240" t="s">
        <v>898</v>
      </c>
      <c r="C121" s="241"/>
      <c r="D121" s="58" t="s">
        <v>179</v>
      </c>
      <c r="E121" s="50"/>
      <c r="F121" s="50"/>
      <c r="G121" s="50"/>
    </row>
    <row r="122" spans="1:10" x14ac:dyDescent="0.2">
      <c r="A122" s="50"/>
      <c r="B122" s="59"/>
      <c r="C122" s="59"/>
      <c r="D122" s="59"/>
      <c r="E122" s="50"/>
      <c r="F122" s="50"/>
      <c r="G122" s="50"/>
    </row>
    <row r="123" spans="1:10" x14ac:dyDescent="0.2">
      <c r="A123" s="50"/>
      <c r="B123" s="240" t="s">
        <v>188</v>
      </c>
      <c r="C123" s="241"/>
      <c r="D123" s="58" t="s">
        <v>179</v>
      </c>
      <c r="E123" s="60"/>
      <c r="F123" s="50"/>
      <c r="G123" s="50"/>
    </row>
    <row r="124" spans="1:10" x14ac:dyDescent="0.2">
      <c r="A124" s="50"/>
      <c r="B124" s="240" t="s">
        <v>189</v>
      </c>
      <c r="C124" s="241"/>
      <c r="D124" s="58" t="s">
        <v>179</v>
      </c>
      <c r="E124" s="60"/>
      <c r="F124" s="50"/>
      <c r="G124" s="50"/>
    </row>
    <row r="125" spans="1:10" x14ac:dyDescent="0.2">
      <c r="A125" s="50"/>
      <c r="B125" s="240" t="s">
        <v>190</v>
      </c>
      <c r="C125" s="241"/>
      <c r="D125" s="58" t="s">
        <v>179</v>
      </c>
      <c r="E125" s="60"/>
      <c r="F125" s="50"/>
      <c r="G125" s="50"/>
    </row>
    <row r="126" spans="1:10" x14ac:dyDescent="0.2">
      <c r="A126" s="50"/>
      <c r="B126" s="240" t="s">
        <v>191</v>
      </c>
      <c r="C126" s="241"/>
      <c r="D126" s="61">
        <v>1.1466491142387039E-4</v>
      </c>
      <c r="E126" s="50"/>
      <c r="F126" s="43"/>
      <c r="G126" s="62"/>
    </row>
    <row r="128" spans="1:10" x14ac:dyDescent="0.2">
      <c r="B128" s="238" t="s">
        <v>899</v>
      </c>
      <c r="C128" s="238"/>
    </row>
    <row r="130" spans="2:10" ht="153.75" customHeight="1" x14ac:dyDescent="0.2"/>
    <row r="133" spans="2:10" x14ac:dyDescent="0.2">
      <c r="B133" s="68" t="s">
        <v>900</v>
      </c>
      <c r="C133" s="69"/>
      <c r="D133" s="68"/>
    </row>
    <row r="134" spans="2:10" x14ac:dyDescent="0.2">
      <c r="B134" s="68" t="s">
        <v>909</v>
      </c>
      <c r="D134" s="68"/>
    </row>
    <row r="135" spans="2:10" ht="165" customHeight="1" x14ac:dyDescent="0.2"/>
    <row r="136" spans="2:10" x14ac:dyDescent="0.2">
      <c r="J136" s="22"/>
    </row>
  </sheetData>
  <mergeCells count="18">
    <mergeCell ref="B128:C128"/>
    <mergeCell ref="A3:H3"/>
    <mergeCell ref="A2:H2"/>
    <mergeCell ref="B126:C126"/>
    <mergeCell ref="A1:H1"/>
    <mergeCell ref="B112:C112"/>
    <mergeCell ref="B113:C113"/>
    <mergeCell ref="B121:C121"/>
    <mergeCell ref="B125:C125"/>
    <mergeCell ref="B110:D110"/>
    <mergeCell ref="B111:C111"/>
    <mergeCell ref="B104:H104"/>
    <mergeCell ref="B105:H105"/>
    <mergeCell ref="B106:H106"/>
    <mergeCell ref="B107:H107"/>
    <mergeCell ref="B108:H108"/>
    <mergeCell ref="B123:C123"/>
    <mergeCell ref="B124:C124"/>
  </mergeCells>
  <hyperlinks>
    <hyperlink ref="I1" location="Index!B2" display="Index" xr:uid="{2DFDCD92-9614-40B3-9461-B8D1EE13CDA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1AF3-99B9-47BF-801F-D47988D0CFC1}">
  <sheetPr>
    <outlinePr summaryBelow="0" summaryRight="0"/>
  </sheetPr>
  <dimension ref="A1:Q138"/>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457</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380</v>
      </c>
      <c r="C7" s="27" t="s">
        <v>381</v>
      </c>
      <c r="D7" s="27" t="s">
        <v>51</v>
      </c>
      <c r="E7" s="28">
        <v>19836</v>
      </c>
      <c r="F7" s="29">
        <v>423.70687800000002</v>
      </c>
      <c r="G7" s="30">
        <v>6.5028470000000005E-2</v>
      </c>
      <c r="H7" s="25" t="s">
        <v>148</v>
      </c>
    </row>
    <row r="8" spans="1:9" x14ac:dyDescent="0.2">
      <c r="A8" s="26">
        <v>2</v>
      </c>
      <c r="B8" s="27" t="s">
        <v>351</v>
      </c>
      <c r="C8" s="27" t="s">
        <v>352</v>
      </c>
      <c r="D8" s="27" t="s">
        <v>240</v>
      </c>
      <c r="E8" s="28">
        <v>8253</v>
      </c>
      <c r="F8" s="29">
        <v>411.96087449999999</v>
      </c>
      <c r="G8" s="30">
        <v>6.3225749999999997E-2</v>
      </c>
      <c r="H8" s="25" t="s">
        <v>148</v>
      </c>
    </row>
    <row r="9" spans="1:9" x14ac:dyDescent="0.2">
      <c r="A9" s="26">
        <v>3</v>
      </c>
      <c r="B9" s="27" t="s">
        <v>378</v>
      </c>
      <c r="C9" s="27" t="s">
        <v>379</v>
      </c>
      <c r="D9" s="27" t="s">
        <v>232</v>
      </c>
      <c r="E9" s="28">
        <v>106345</v>
      </c>
      <c r="F9" s="29">
        <v>329.9353625</v>
      </c>
      <c r="G9" s="30">
        <v>5.0636880000000002E-2</v>
      </c>
      <c r="H9" s="25" t="s">
        <v>148</v>
      </c>
    </row>
    <row r="10" spans="1:9" x14ac:dyDescent="0.2">
      <c r="A10" s="26">
        <v>4</v>
      </c>
      <c r="B10" s="27" t="s">
        <v>357</v>
      </c>
      <c r="C10" s="27" t="s">
        <v>358</v>
      </c>
      <c r="D10" s="27" t="s">
        <v>359</v>
      </c>
      <c r="E10" s="28">
        <v>21388</v>
      </c>
      <c r="F10" s="29">
        <v>299.48547000000002</v>
      </c>
      <c r="G10" s="30">
        <v>4.5963570000000002E-2</v>
      </c>
      <c r="H10" s="25" t="s">
        <v>148</v>
      </c>
    </row>
    <row r="11" spans="1:9" x14ac:dyDescent="0.2">
      <c r="A11" s="26">
        <v>5</v>
      </c>
      <c r="B11" s="27" t="s">
        <v>382</v>
      </c>
      <c r="C11" s="27" t="s">
        <v>383</v>
      </c>
      <c r="D11" s="27" t="s">
        <v>210</v>
      </c>
      <c r="E11" s="28">
        <v>71973</v>
      </c>
      <c r="F11" s="29">
        <v>290.01520349999998</v>
      </c>
      <c r="G11" s="30">
        <v>4.451012E-2</v>
      </c>
      <c r="H11" s="25" t="s">
        <v>148</v>
      </c>
    </row>
    <row r="12" spans="1:9" x14ac:dyDescent="0.2">
      <c r="A12" s="26">
        <v>6</v>
      </c>
      <c r="B12" s="27" t="s">
        <v>394</v>
      </c>
      <c r="C12" s="27" t="s">
        <v>395</v>
      </c>
      <c r="D12" s="27" t="s">
        <v>240</v>
      </c>
      <c r="E12" s="28">
        <v>13073</v>
      </c>
      <c r="F12" s="29">
        <v>283.57297949999997</v>
      </c>
      <c r="G12" s="30">
        <v>4.3521400000000002E-2</v>
      </c>
      <c r="H12" s="25" t="s">
        <v>148</v>
      </c>
    </row>
    <row r="13" spans="1:9" x14ac:dyDescent="0.2">
      <c r="A13" s="26">
        <v>7</v>
      </c>
      <c r="B13" s="27" t="s">
        <v>316</v>
      </c>
      <c r="C13" s="27" t="s">
        <v>317</v>
      </c>
      <c r="D13" s="27" t="s">
        <v>267</v>
      </c>
      <c r="E13" s="28">
        <v>7415</v>
      </c>
      <c r="F13" s="29">
        <v>278.97083750000002</v>
      </c>
      <c r="G13" s="30">
        <v>4.281509E-2</v>
      </c>
      <c r="H13" s="25" t="s">
        <v>148</v>
      </c>
    </row>
    <row r="14" spans="1:9" x14ac:dyDescent="0.2">
      <c r="A14" s="26">
        <v>8</v>
      </c>
      <c r="B14" s="27" t="s">
        <v>142</v>
      </c>
      <c r="C14" s="27" t="s">
        <v>143</v>
      </c>
      <c r="D14" s="27" t="s">
        <v>51</v>
      </c>
      <c r="E14" s="28">
        <v>96717</v>
      </c>
      <c r="F14" s="29">
        <v>260.12037149999998</v>
      </c>
      <c r="G14" s="30">
        <v>3.9922010000000001E-2</v>
      </c>
      <c r="H14" s="25" t="s">
        <v>148</v>
      </c>
    </row>
    <row r="15" spans="1:9" x14ac:dyDescent="0.2">
      <c r="A15" s="26">
        <v>9</v>
      </c>
      <c r="B15" s="27" t="s">
        <v>86</v>
      </c>
      <c r="C15" s="27" t="s">
        <v>87</v>
      </c>
      <c r="D15" s="27" t="s">
        <v>45</v>
      </c>
      <c r="E15" s="28">
        <v>8402</v>
      </c>
      <c r="F15" s="29">
        <v>257.954003</v>
      </c>
      <c r="G15" s="30">
        <v>3.9589529999999998E-2</v>
      </c>
      <c r="H15" s="25" t="s">
        <v>148</v>
      </c>
    </row>
    <row r="16" spans="1:9" x14ac:dyDescent="0.2">
      <c r="A16" s="26">
        <v>10</v>
      </c>
      <c r="B16" s="27" t="s">
        <v>74</v>
      </c>
      <c r="C16" s="27" t="s">
        <v>75</v>
      </c>
      <c r="D16" s="27" t="s">
        <v>45</v>
      </c>
      <c r="E16" s="28">
        <v>38992</v>
      </c>
      <c r="F16" s="29">
        <v>240.58063999999999</v>
      </c>
      <c r="G16" s="30">
        <v>3.6923150000000002E-2</v>
      </c>
      <c r="H16" s="25" t="s">
        <v>148</v>
      </c>
    </row>
    <row r="17" spans="1:8" x14ac:dyDescent="0.2">
      <c r="A17" s="26">
        <v>11</v>
      </c>
      <c r="B17" s="27" t="s">
        <v>392</v>
      </c>
      <c r="C17" s="27" t="s">
        <v>393</v>
      </c>
      <c r="D17" s="27" t="s">
        <v>28</v>
      </c>
      <c r="E17" s="28">
        <v>382570</v>
      </c>
      <c r="F17" s="29">
        <v>217.56755899999999</v>
      </c>
      <c r="G17" s="30">
        <v>3.3391209999999998E-2</v>
      </c>
      <c r="H17" s="25" t="s">
        <v>148</v>
      </c>
    </row>
    <row r="18" spans="1:8" x14ac:dyDescent="0.2">
      <c r="A18" s="26">
        <v>12</v>
      </c>
      <c r="B18" s="27" t="s">
        <v>384</v>
      </c>
      <c r="C18" s="27" t="s">
        <v>385</v>
      </c>
      <c r="D18" s="27" t="s">
        <v>28</v>
      </c>
      <c r="E18" s="28">
        <v>76163</v>
      </c>
      <c r="F18" s="29">
        <v>215.35088250000001</v>
      </c>
      <c r="G18" s="30">
        <v>3.3051009999999999E-2</v>
      </c>
      <c r="H18" s="25" t="s">
        <v>148</v>
      </c>
    </row>
    <row r="19" spans="1:8" x14ac:dyDescent="0.2">
      <c r="A19" s="26">
        <v>13</v>
      </c>
      <c r="B19" s="27" t="s">
        <v>390</v>
      </c>
      <c r="C19" s="27" t="s">
        <v>391</v>
      </c>
      <c r="D19" s="27" t="s">
        <v>28</v>
      </c>
      <c r="E19" s="28">
        <v>604881</v>
      </c>
      <c r="F19" s="29">
        <v>194.34826530000001</v>
      </c>
      <c r="G19" s="30">
        <v>2.9827630000000001E-2</v>
      </c>
      <c r="H19" s="25" t="s">
        <v>148</v>
      </c>
    </row>
    <row r="20" spans="1:8" x14ac:dyDescent="0.2">
      <c r="A20" s="26">
        <v>14</v>
      </c>
      <c r="B20" s="27" t="s">
        <v>36</v>
      </c>
      <c r="C20" s="27" t="s">
        <v>37</v>
      </c>
      <c r="D20" s="27" t="s">
        <v>25</v>
      </c>
      <c r="E20" s="28">
        <v>4362</v>
      </c>
      <c r="F20" s="29">
        <v>191.463447</v>
      </c>
      <c r="G20" s="30">
        <v>2.9384879999999999E-2</v>
      </c>
      <c r="H20" s="25" t="s">
        <v>148</v>
      </c>
    </row>
    <row r="21" spans="1:8" ht="25.5" x14ac:dyDescent="0.2">
      <c r="A21" s="26">
        <v>15</v>
      </c>
      <c r="B21" s="27" t="s">
        <v>388</v>
      </c>
      <c r="C21" s="27" t="s">
        <v>389</v>
      </c>
      <c r="D21" s="27" t="s">
        <v>202</v>
      </c>
      <c r="E21" s="28">
        <v>3653</v>
      </c>
      <c r="F21" s="29">
        <v>183.8938465</v>
      </c>
      <c r="G21" s="30">
        <v>2.8223129999999999E-2</v>
      </c>
      <c r="H21" s="25" t="s">
        <v>148</v>
      </c>
    </row>
    <row r="22" spans="1:8" ht="25.5" x14ac:dyDescent="0.2">
      <c r="A22" s="26">
        <v>16</v>
      </c>
      <c r="B22" s="27" t="s">
        <v>398</v>
      </c>
      <c r="C22" s="27" t="s">
        <v>399</v>
      </c>
      <c r="D22" s="27" t="s">
        <v>400</v>
      </c>
      <c r="E22" s="28">
        <v>54534</v>
      </c>
      <c r="F22" s="29">
        <v>166.301433</v>
      </c>
      <c r="G22" s="30">
        <v>2.552314E-2</v>
      </c>
      <c r="H22" s="25" t="s">
        <v>148</v>
      </c>
    </row>
    <row r="23" spans="1:8" x14ac:dyDescent="0.2">
      <c r="A23" s="26">
        <v>17</v>
      </c>
      <c r="B23" s="27" t="s">
        <v>414</v>
      </c>
      <c r="C23" s="27" t="s">
        <v>415</v>
      </c>
      <c r="D23" s="27" t="s">
        <v>205</v>
      </c>
      <c r="E23" s="28">
        <v>38673</v>
      </c>
      <c r="F23" s="29">
        <v>163.99285649999999</v>
      </c>
      <c r="G23" s="30">
        <v>2.516883E-2</v>
      </c>
      <c r="H23" s="25" t="s">
        <v>148</v>
      </c>
    </row>
    <row r="24" spans="1:8" x14ac:dyDescent="0.2">
      <c r="A24" s="26">
        <v>18</v>
      </c>
      <c r="B24" s="27" t="s">
        <v>396</v>
      </c>
      <c r="C24" s="27" t="s">
        <v>397</v>
      </c>
      <c r="D24" s="27" t="s">
        <v>205</v>
      </c>
      <c r="E24" s="28">
        <v>33039</v>
      </c>
      <c r="F24" s="29">
        <v>161.89109999999999</v>
      </c>
      <c r="G24" s="30">
        <v>2.4846259999999998E-2</v>
      </c>
      <c r="H24" s="25" t="s">
        <v>148</v>
      </c>
    </row>
    <row r="25" spans="1:8" x14ac:dyDescent="0.2">
      <c r="A25" s="26">
        <v>19</v>
      </c>
      <c r="B25" s="27" t="s">
        <v>52</v>
      </c>
      <c r="C25" s="27" t="s">
        <v>53</v>
      </c>
      <c r="D25" s="27" t="s">
        <v>54</v>
      </c>
      <c r="E25" s="28">
        <v>16288</v>
      </c>
      <c r="F25" s="29">
        <v>154.255504</v>
      </c>
      <c r="G25" s="30">
        <v>2.367439E-2</v>
      </c>
      <c r="H25" s="25" t="s">
        <v>148</v>
      </c>
    </row>
    <row r="26" spans="1:8" x14ac:dyDescent="0.2">
      <c r="A26" s="26">
        <v>20</v>
      </c>
      <c r="B26" s="27" t="s">
        <v>114</v>
      </c>
      <c r="C26" s="27" t="s">
        <v>115</v>
      </c>
      <c r="D26" s="27" t="s">
        <v>45</v>
      </c>
      <c r="E26" s="28">
        <v>10116</v>
      </c>
      <c r="F26" s="29">
        <v>145.45290600000001</v>
      </c>
      <c r="G26" s="30">
        <v>2.2323409999999998E-2</v>
      </c>
      <c r="H26" s="25" t="s">
        <v>148</v>
      </c>
    </row>
    <row r="27" spans="1:8" x14ac:dyDescent="0.2">
      <c r="A27" s="26">
        <v>21</v>
      </c>
      <c r="B27" s="27" t="s">
        <v>43</v>
      </c>
      <c r="C27" s="27" t="s">
        <v>44</v>
      </c>
      <c r="D27" s="27" t="s">
        <v>45</v>
      </c>
      <c r="E27" s="28">
        <v>3065</v>
      </c>
      <c r="F27" s="29">
        <v>138.67132749999999</v>
      </c>
      <c r="G27" s="30">
        <v>2.1282599999999999E-2</v>
      </c>
      <c r="H27" s="25" t="s">
        <v>148</v>
      </c>
    </row>
    <row r="28" spans="1:8" x14ac:dyDescent="0.2">
      <c r="A28" s="26">
        <v>22</v>
      </c>
      <c r="B28" s="27" t="s">
        <v>404</v>
      </c>
      <c r="C28" s="27" t="s">
        <v>405</v>
      </c>
      <c r="D28" s="27" t="s">
        <v>111</v>
      </c>
      <c r="E28" s="28">
        <v>8289</v>
      </c>
      <c r="F28" s="29">
        <v>136.09709100000001</v>
      </c>
      <c r="G28" s="30">
        <v>2.088752E-2</v>
      </c>
      <c r="H28" s="25" t="s">
        <v>148</v>
      </c>
    </row>
    <row r="29" spans="1:8" x14ac:dyDescent="0.2">
      <c r="A29" s="26">
        <v>23</v>
      </c>
      <c r="B29" s="27" t="s">
        <v>60</v>
      </c>
      <c r="C29" s="27" t="s">
        <v>61</v>
      </c>
      <c r="D29" s="27" t="s">
        <v>19</v>
      </c>
      <c r="E29" s="28">
        <v>15091</v>
      </c>
      <c r="F29" s="29">
        <v>132.6725265</v>
      </c>
      <c r="G29" s="30">
        <v>2.036193E-2</v>
      </c>
      <c r="H29" s="25" t="s">
        <v>148</v>
      </c>
    </row>
    <row r="30" spans="1:8" x14ac:dyDescent="0.2">
      <c r="A30" s="26">
        <v>24</v>
      </c>
      <c r="B30" s="27" t="s">
        <v>408</v>
      </c>
      <c r="C30" s="27" t="s">
        <v>409</v>
      </c>
      <c r="D30" s="27" t="s">
        <v>111</v>
      </c>
      <c r="E30" s="28">
        <v>22434</v>
      </c>
      <c r="F30" s="29">
        <v>129.590001</v>
      </c>
      <c r="G30" s="30">
        <v>1.9888840000000001E-2</v>
      </c>
      <c r="H30" s="25" t="s">
        <v>148</v>
      </c>
    </row>
    <row r="31" spans="1:8" x14ac:dyDescent="0.2">
      <c r="A31" s="26">
        <v>25</v>
      </c>
      <c r="B31" s="27" t="s">
        <v>406</v>
      </c>
      <c r="C31" s="27" t="s">
        <v>407</v>
      </c>
      <c r="D31" s="27" t="s">
        <v>232</v>
      </c>
      <c r="E31" s="28">
        <v>18794</v>
      </c>
      <c r="F31" s="29">
        <v>128.37241700000001</v>
      </c>
      <c r="G31" s="30">
        <v>1.9701969999999999E-2</v>
      </c>
      <c r="H31" s="25" t="s">
        <v>148</v>
      </c>
    </row>
    <row r="32" spans="1:8" x14ac:dyDescent="0.2">
      <c r="A32" s="26">
        <v>26</v>
      </c>
      <c r="B32" s="27" t="s">
        <v>401</v>
      </c>
      <c r="C32" s="27" t="s">
        <v>402</v>
      </c>
      <c r="D32" s="27" t="s">
        <v>403</v>
      </c>
      <c r="E32" s="28">
        <v>12930</v>
      </c>
      <c r="F32" s="29">
        <v>116.880735</v>
      </c>
      <c r="G32" s="30">
        <v>1.7938289999999999E-2</v>
      </c>
      <c r="H32" s="25" t="s">
        <v>148</v>
      </c>
    </row>
    <row r="33" spans="1:8" x14ac:dyDescent="0.2">
      <c r="A33" s="26">
        <v>27</v>
      </c>
      <c r="B33" s="27" t="s">
        <v>255</v>
      </c>
      <c r="C33" s="27" t="s">
        <v>256</v>
      </c>
      <c r="D33" s="27" t="s">
        <v>111</v>
      </c>
      <c r="E33" s="28">
        <v>1412</v>
      </c>
      <c r="F33" s="29">
        <v>115.573612</v>
      </c>
      <c r="G33" s="30">
        <v>1.7737679999999999E-2</v>
      </c>
      <c r="H33" s="25" t="s">
        <v>148</v>
      </c>
    </row>
    <row r="34" spans="1:8" x14ac:dyDescent="0.2">
      <c r="A34" s="26">
        <v>28</v>
      </c>
      <c r="B34" s="27" t="s">
        <v>412</v>
      </c>
      <c r="C34" s="27" t="s">
        <v>413</v>
      </c>
      <c r="D34" s="27" t="s">
        <v>45</v>
      </c>
      <c r="E34" s="28">
        <v>28519</v>
      </c>
      <c r="F34" s="29">
        <v>111.708923</v>
      </c>
      <c r="G34" s="30">
        <v>1.714454E-2</v>
      </c>
      <c r="H34" s="25" t="s">
        <v>148</v>
      </c>
    </row>
    <row r="35" spans="1:8" x14ac:dyDescent="0.2">
      <c r="A35" s="26">
        <v>29</v>
      </c>
      <c r="B35" s="27" t="s">
        <v>458</v>
      </c>
      <c r="C35" s="27" t="s">
        <v>459</v>
      </c>
      <c r="D35" s="27" t="s">
        <v>45</v>
      </c>
      <c r="E35" s="28">
        <v>20968</v>
      </c>
      <c r="F35" s="29">
        <v>85.151048000000003</v>
      </c>
      <c r="G35" s="30">
        <v>1.306857E-2</v>
      </c>
      <c r="H35" s="25" t="s">
        <v>148</v>
      </c>
    </row>
    <row r="36" spans="1:8" x14ac:dyDescent="0.2">
      <c r="A36" s="26">
        <v>30</v>
      </c>
      <c r="B36" s="27" t="s">
        <v>422</v>
      </c>
      <c r="C36" s="27" t="s">
        <v>423</v>
      </c>
      <c r="D36" s="27" t="s">
        <v>359</v>
      </c>
      <c r="E36" s="28">
        <v>26290</v>
      </c>
      <c r="F36" s="29">
        <v>83.431314999999998</v>
      </c>
      <c r="G36" s="30">
        <v>1.2804629999999999E-2</v>
      </c>
      <c r="H36" s="25" t="s">
        <v>148</v>
      </c>
    </row>
    <row r="37" spans="1:8" x14ac:dyDescent="0.2">
      <c r="A37" s="26">
        <v>31</v>
      </c>
      <c r="B37" s="27" t="s">
        <v>418</v>
      </c>
      <c r="C37" s="27" t="s">
        <v>419</v>
      </c>
      <c r="D37" s="27" t="s">
        <v>137</v>
      </c>
      <c r="E37" s="28">
        <v>56603</v>
      </c>
      <c r="F37" s="29">
        <v>77.659316000000004</v>
      </c>
      <c r="G37" s="30">
        <v>1.191877E-2</v>
      </c>
      <c r="H37" s="25" t="s">
        <v>148</v>
      </c>
    </row>
    <row r="38" spans="1:8" x14ac:dyDescent="0.2">
      <c r="A38" s="26">
        <v>32</v>
      </c>
      <c r="B38" s="27" t="s">
        <v>424</v>
      </c>
      <c r="C38" s="27" t="s">
        <v>425</v>
      </c>
      <c r="D38" s="27" t="s">
        <v>51</v>
      </c>
      <c r="E38" s="28">
        <v>11192</v>
      </c>
      <c r="F38" s="29">
        <v>65.271743999999998</v>
      </c>
      <c r="G38" s="30">
        <v>1.001759E-2</v>
      </c>
      <c r="H38" s="25" t="s">
        <v>148</v>
      </c>
    </row>
    <row r="39" spans="1:8" x14ac:dyDescent="0.2">
      <c r="A39" s="26">
        <v>33</v>
      </c>
      <c r="B39" s="27" t="s">
        <v>420</v>
      </c>
      <c r="C39" s="27" t="s">
        <v>421</v>
      </c>
      <c r="D39" s="27" t="s">
        <v>51</v>
      </c>
      <c r="E39" s="28">
        <v>7334</v>
      </c>
      <c r="F39" s="29">
        <v>52.911143000000003</v>
      </c>
      <c r="G39" s="30">
        <v>8.1205500000000007E-3</v>
      </c>
      <c r="H39" s="25" t="s">
        <v>148</v>
      </c>
    </row>
    <row r="40" spans="1:8" x14ac:dyDescent="0.2">
      <c r="A40" s="26">
        <v>34</v>
      </c>
      <c r="B40" s="27" t="s">
        <v>430</v>
      </c>
      <c r="C40" s="27" t="s">
        <v>431</v>
      </c>
      <c r="D40" s="27" t="s">
        <v>69</v>
      </c>
      <c r="E40" s="28">
        <v>8886</v>
      </c>
      <c r="F40" s="29">
        <v>30.021350999999999</v>
      </c>
      <c r="G40" s="30">
        <v>4.6075300000000003E-3</v>
      </c>
      <c r="H40" s="25" t="s">
        <v>148</v>
      </c>
    </row>
    <row r="41" spans="1:8" x14ac:dyDescent="0.2">
      <c r="A41" s="23"/>
      <c r="B41" s="23"/>
      <c r="C41" s="24" t="s">
        <v>147</v>
      </c>
      <c r="D41" s="23"/>
      <c r="E41" s="23" t="s">
        <v>148</v>
      </c>
      <c r="F41" s="31">
        <v>6274.8329697999998</v>
      </c>
      <c r="G41" s="32">
        <v>0.96303086999999998</v>
      </c>
      <c r="H41" s="25" t="s">
        <v>148</v>
      </c>
    </row>
    <row r="42" spans="1:8" x14ac:dyDescent="0.2">
      <c r="A42" s="23"/>
      <c r="B42" s="23"/>
      <c r="C42" s="33"/>
      <c r="D42" s="23"/>
      <c r="E42" s="23"/>
      <c r="F42" s="34"/>
      <c r="G42" s="34"/>
      <c r="H42" s="25" t="s">
        <v>148</v>
      </c>
    </row>
    <row r="43" spans="1:8" x14ac:dyDescent="0.2">
      <c r="A43" s="23"/>
      <c r="B43" s="23"/>
      <c r="C43" s="24" t="s">
        <v>149</v>
      </c>
      <c r="D43" s="23"/>
      <c r="E43" s="23"/>
      <c r="F43" s="23"/>
      <c r="G43" s="23"/>
      <c r="H43" s="25" t="s">
        <v>148</v>
      </c>
    </row>
    <row r="44" spans="1:8" x14ac:dyDescent="0.2">
      <c r="A44" s="23"/>
      <c r="B44" s="23"/>
      <c r="C44" s="24" t="s">
        <v>147</v>
      </c>
      <c r="D44" s="23"/>
      <c r="E44" s="23" t="s">
        <v>148</v>
      </c>
      <c r="F44" s="35" t="s">
        <v>150</v>
      </c>
      <c r="G44" s="32">
        <v>0</v>
      </c>
      <c r="H44" s="25" t="s">
        <v>148</v>
      </c>
    </row>
    <row r="45" spans="1:8" x14ac:dyDescent="0.2">
      <c r="A45" s="23"/>
      <c r="B45" s="23"/>
      <c r="C45" s="33"/>
      <c r="D45" s="23"/>
      <c r="E45" s="23"/>
      <c r="F45" s="34"/>
      <c r="G45" s="34"/>
      <c r="H45" s="25" t="s">
        <v>148</v>
      </c>
    </row>
    <row r="46" spans="1:8" x14ac:dyDescent="0.2">
      <c r="A46" s="23"/>
      <c r="B46" s="23"/>
      <c r="C46" s="24" t="s">
        <v>151</v>
      </c>
      <c r="D46" s="23"/>
      <c r="E46" s="23"/>
      <c r="F46" s="23"/>
      <c r="G46" s="23"/>
      <c r="H46" s="25" t="s">
        <v>148</v>
      </c>
    </row>
    <row r="47" spans="1:8" x14ac:dyDescent="0.2">
      <c r="A47" s="23"/>
      <c r="B47" s="23"/>
      <c r="C47" s="24" t="s">
        <v>147</v>
      </c>
      <c r="D47" s="23"/>
      <c r="E47" s="23" t="s">
        <v>148</v>
      </c>
      <c r="F47" s="35" t="s">
        <v>150</v>
      </c>
      <c r="G47" s="32">
        <v>0</v>
      </c>
      <c r="H47" s="25" t="s">
        <v>148</v>
      </c>
    </row>
    <row r="48" spans="1:8" x14ac:dyDescent="0.2">
      <c r="A48" s="23"/>
      <c r="B48" s="23"/>
      <c r="C48" s="33"/>
      <c r="D48" s="23"/>
      <c r="E48" s="23"/>
      <c r="F48" s="34"/>
      <c r="G48" s="34"/>
      <c r="H48" s="25" t="s">
        <v>148</v>
      </c>
    </row>
    <row r="49" spans="1:8" x14ac:dyDescent="0.2">
      <c r="A49" s="23"/>
      <c r="B49" s="23"/>
      <c r="C49" s="24" t="s">
        <v>152</v>
      </c>
      <c r="D49" s="23"/>
      <c r="E49" s="23"/>
      <c r="F49" s="23"/>
      <c r="G49" s="23"/>
      <c r="H49" s="25" t="s">
        <v>148</v>
      </c>
    </row>
    <row r="50" spans="1:8" x14ac:dyDescent="0.2">
      <c r="A50" s="23"/>
      <c r="B50" s="23"/>
      <c r="C50" s="24" t="s">
        <v>147</v>
      </c>
      <c r="D50" s="23"/>
      <c r="E50" s="23" t="s">
        <v>148</v>
      </c>
      <c r="F50" s="35" t="s">
        <v>150</v>
      </c>
      <c r="G50" s="32">
        <v>0</v>
      </c>
      <c r="H50" s="25" t="s">
        <v>148</v>
      </c>
    </row>
    <row r="51" spans="1:8" x14ac:dyDescent="0.2">
      <c r="A51" s="23"/>
      <c r="B51" s="23"/>
      <c r="C51" s="33"/>
      <c r="D51" s="23"/>
      <c r="E51" s="23"/>
      <c r="F51" s="34"/>
      <c r="G51" s="34"/>
      <c r="H51" s="25" t="s">
        <v>148</v>
      </c>
    </row>
    <row r="52" spans="1:8" x14ac:dyDescent="0.2">
      <c r="A52" s="23"/>
      <c r="B52" s="23"/>
      <c r="C52" s="24" t="s">
        <v>153</v>
      </c>
      <c r="D52" s="23"/>
      <c r="E52" s="23"/>
      <c r="F52" s="34"/>
      <c r="G52" s="34"/>
      <c r="H52" s="25" t="s">
        <v>148</v>
      </c>
    </row>
    <row r="53" spans="1:8" x14ac:dyDescent="0.2">
      <c r="A53" s="23"/>
      <c r="B53" s="23"/>
      <c r="C53" s="24" t="s">
        <v>147</v>
      </c>
      <c r="D53" s="23"/>
      <c r="E53" s="23" t="s">
        <v>148</v>
      </c>
      <c r="F53" s="35" t="s">
        <v>150</v>
      </c>
      <c r="G53" s="32">
        <v>0</v>
      </c>
      <c r="H53" s="25" t="s">
        <v>148</v>
      </c>
    </row>
    <row r="54" spans="1:8" x14ac:dyDescent="0.2">
      <c r="A54" s="23"/>
      <c r="B54" s="23"/>
      <c r="C54" s="33"/>
      <c r="D54" s="23"/>
      <c r="E54" s="23"/>
      <c r="F54" s="34"/>
      <c r="G54" s="34"/>
      <c r="H54" s="25" t="s">
        <v>148</v>
      </c>
    </row>
    <row r="55" spans="1:8" x14ac:dyDescent="0.2">
      <c r="A55" s="23"/>
      <c r="B55" s="23"/>
      <c r="C55" s="24" t="s">
        <v>154</v>
      </c>
      <c r="D55" s="23"/>
      <c r="E55" s="23"/>
      <c r="F55" s="34"/>
      <c r="G55" s="34"/>
      <c r="H55" s="25" t="s">
        <v>148</v>
      </c>
    </row>
    <row r="56" spans="1:8" x14ac:dyDescent="0.2">
      <c r="A56" s="23"/>
      <c r="B56" s="23"/>
      <c r="C56" s="24" t="s">
        <v>147</v>
      </c>
      <c r="D56" s="23"/>
      <c r="E56" s="23" t="s">
        <v>148</v>
      </c>
      <c r="F56" s="35" t="s">
        <v>150</v>
      </c>
      <c r="G56" s="32">
        <v>0</v>
      </c>
      <c r="H56" s="25" t="s">
        <v>148</v>
      </c>
    </row>
    <row r="57" spans="1:8" x14ac:dyDescent="0.2">
      <c r="A57" s="23"/>
      <c r="B57" s="23"/>
      <c r="C57" s="33"/>
      <c r="D57" s="23"/>
      <c r="E57" s="23"/>
      <c r="F57" s="34"/>
      <c r="G57" s="34"/>
      <c r="H57" s="25" t="s">
        <v>148</v>
      </c>
    </row>
    <row r="58" spans="1:8" x14ac:dyDescent="0.2">
      <c r="A58" s="23"/>
      <c r="B58" s="23"/>
      <c r="C58" s="24" t="s">
        <v>155</v>
      </c>
      <c r="D58" s="23"/>
      <c r="E58" s="23"/>
      <c r="F58" s="31">
        <v>6274.8329697999998</v>
      </c>
      <c r="G58" s="32">
        <v>0.96303086999999998</v>
      </c>
      <c r="H58" s="25" t="s">
        <v>148</v>
      </c>
    </row>
    <row r="59" spans="1:8" x14ac:dyDescent="0.2">
      <c r="A59" s="23"/>
      <c r="B59" s="23"/>
      <c r="C59" s="33"/>
      <c r="D59" s="23"/>
      <c r="E59" s="23"/>
      <c r="F59" s="34"/>
      <c r="G59" s="34"/>
      <c r="H59" s="25" t="s">
        <v>148</v>
      </c>
    </row>
    <row r="60" spans="1:8" x14ac:dyDescent="0.2">
      <c r="A60" s="23"/>
      <c r="B60" s="23"/>
      <c r="C60" s="24" t="s">
        <v>156</v>
      </c>
      <c r="D60" s="23"/>
      <c r="E60" s="23"/>
      <c r="F60" s="34"/>
      <c r="G60" s="34"/>
      <c r="H60" s="25" t="s">
        <v>148</v>
      </c>
    </row>
    <row r="61" spans="1:8" x14ac:dyDescent="0.2">
      <c r="A61" s="23"/>
      <c r="B61" s="23"/>
      <c r="C61" s="24" t="s">
        <v>10</v>
      </c>
      <c r="D61" s="23"/>
      <c r="E61" s="23"/>
      <c r="F61" s="34"/>
      <c r="G61" s="34"/>
      <c r="H61" s="25" t="s">
        <v>148</v>
      </c>
    </row>
    <row r="62" spans="1:8" x14ac:dyDescent="0.2">
      <c r="A62" s="23"/>
      <c r="B62" s="23"/>
      <c r="C62" s="24" t="s">
        <v>147</v>
      </c>
      <c r="D62" s="23"/>
      <c r="E62" s="23" t="s">
        <v>148</v>
      </c>
      <c r="F62" s="35" t="s">
        <v>150</v>
      </c>
      <c r="G62" s="32">
        <v>0</v>
      </c>
      <c r="H62" s="25" t="s">
        <v>148</v>
      </c>
    </row>
    <row r="63" spans="1:8" x14ac:dyDescent="0.2">
      <c r="A63" s="23"/>
      <c r="B63" s="23"/>
      <c r="C63" s="33"/>
      <c r="D63" s="23"/>
      <c r="E63" s="23"/>
      <c r="F63" s="34"/>
      <c r="G63" s="34"/>
      <c r="H63" s="25" t="s">
        <v>148</v>
      </c>
    </row>
    <row r="64" spans="1:8" x14ac:dyDescent="0.2">
      <c r="A64" s="23"/>
      <c r="B64" s="23"/>
      <c r="C64" s="24" t="s">
        <v>157</v>
      </c>
      <c r="D64" s="23"/>
      <c r="E64" s="23"/>
      <c r="F64" s="23"/>
      <c r="G64" s="23"/>
      <c r="H64" s="25" t="s">
        <v>148</v>
      </c>
    </row>
    <row r="65" spans="1:8" x14ac:dyDescent="0.2">
      <c r="A65" s="23"/>
      <c r="B65" s="23"/>
      <c r="C65" s="24" t="s">
        <v>147</v>
      </c>
      <c r="D65" s="23"/>
      <c r="E65" s="23" t="s">
        <v>148</v>
      </c>
      <c r="F65" s="35" t="s">
        <v>150</v>
      </c>
      <c r="G65" s="32">
        <v>0</v>
      </c>
      <c r="H65" s="25" t="s">
        <v>148</v>
      </c>
    </row>
    <row r="66" spans="1:8" x14ac:dyDescent="0.2">
      <c r="A66" s="23"/>
      <c r="B66" s="23"/>
      <c r="C66" s="33"/>
      <c r="D66" s="23"/>
      <c r="E66" s="23"/>
      <c r="F66" s="34"/>
      <c r="G66" s="34"/>
      <c r="H66" s="25" t="s">
        <v>148</v>
      </c>
    </row>
    <row r="67" spans="1:8" x14ac:dyDescent="0.2">
      <c r="A67" s="23"/>
      <c r="B67" s="23"/>
      <c r="C67" s="24" t="s">
        <v>158</v>
      </c>
      <c r="D67" s="23"/>
      <c r="E67" s="23"/>
      <c r="F67" s="23"/>
      <c r="G67" s="23"/>
      <c r="H67" s="25" t="s">
        <v>148</v>
      </c>
    </row>
    <row r="68" spans="1:8" x14ac:dyDescent="0.2">
      <c r="A68" s="23"/>
      <c r="B68" s="23"/>
      <c r="C68" s="24" t="s">
        <v>147</v>
      </c>
      <c r="D68" s="23"/>
      <c r="E68" s="23" t="s">
        <v>148</v>
      </c>
      <c r="F68" s="35" t="s">
        <v>150</v>
      </c>
      <c r="G68" s="32">
        <v>0</v>
      </c>
      <c r="H68" s="25" t="s">
        <v>148</v>
      </c>
    </row>
    <row r="69" spans="1:8" x14ac:dyDescent="0.2">
      <c r="A69" s="23"/>
      <c r="B69" s="23"/>
      <c r="C69" s="33"/>
      <c r="D69" s="23"/>
      <c r="E69" s="23"/>
      <c r="F69" s="34"/>
      <c r="G69" s="34"/>
      <c r="H69" s="25" t="s">
        <v>148</v>
      </c>
    </row>
    <row r="70" spans="1:8" x14ac:dyDescent="0.2">
      <c r="A70" s="23"/>
      <c r="B70" s="23"/>
      <c r="C70" s="24" t="s">
        <v>159</v>
      </c>
      <c r="D70" s="23"/>
      <c r="E70" s="23"/>
      <c r="F70" s="34"/>
      <c r="G70" s="34"/>
      <c r="H70" s="25" t="s">
        <v>148</v>
      </c>
    </row>
    <row r="71" spans="1:8" x14ac:dyDescent="0.2">
      <c r="A71" s="23"/>
      <c r="B71" s="23"/>
      <c r="C71" s="24" t="s">
        <v>147</v>
      </c>
      <c r="D71" s="23"/>
      <c r="E71" s="23" t="s">
        <v>148</v>
      </c>
      <c r="F71" s="35" t="s">
        <v>150</v>
      </c>
      <c r="G71" s="32">
        <v>0</v>
      </c>
      <c r="H71" s="25" t="s">
        <v>148</v>
      </c>
    </row>
    <row r="72" spans="1:8" x14ac:dyDescent="0.2">
      <c r="A72" s="23"/>
      <c r="B72" s="23"/>
      <c r="C72" s="33"/>
      <c r="D72" s="23"/>
      <c r="E72" s="23"/>
      <c r="F72" s="34"/>
      <c r="G72" s="34"/>
      <c r="H72" s="25" t="s">
        <v>148</v>
      </c>
    </row>
    <row r="73" spans="1:8" x14ac:dyDescent="0.2">
      <c r="A73" s="23"/>
      <c r="B73" s="23"/>
      <c r="C73" s="24" t="s">
        <v>160</v>
      </c>
      <c r="D73" s="23"/>
      <c r="E73" s="23"/>
      <c r="F73" s="31">
        <v>0</v>
      </c>
      <c r="G73" s="32">
        <v>0</v>
      </c>
      <c r="H73" s="25" t="s">
        <v>148</v>
      </c>
    </row>
    <row r="74" spans="1:8" x14ac:dyDescent="0.2">
      <c r="A74" s="23"/>
      <c r="B74" s="23"/>
      <c r="C74" s="33"/>
      <c r="D74" s="23"/>
      <c r="E74" s="23"/>
      <c r="F74" s="34"/>
      <c r="G74" s="34"/>
      <c r="H74" s="25" t="s">
        <v>148</v>
      </c>
    </row>
    <row r="75" spans="1:8" x14ac:dyDescent="0.2">
      <c r="A75" s="23"/>
      <c r="B75" s="23"/>
      <c r="C75" s="24" t="s">
        <v>161</v>
      </c>
      <c r="D75" s="23"/>
      <c r="E75" s="23"/>
      <c r="F75" s="34"/>
      <c r="G75" s="34"/>
      <c r="H75" s="25" t="s">
        <v>148</v>
      </c>
    </row>
    <row r="76" spans="1:8" x14ac:dyDescent="0.2">
      <c r="A76" s="23"/>
      <c r="B76" s="23"/>
      <c r="C76" s="24" t="s">
        <v>162</v>
      </c>
      <c r="D76" s="23"/>
      <c r="E76" s="23"/>
      <c r="F76" s="34"/>
      <c r="G76" s="34"/>
      <c r="H76" s="25" t="s">
        <v>148</v>
      </c>
    </row>
    <row r="77" spans="1:8" x14ac:dyDescent="0.2">
      <c r="A77" s="23"/>
      <c r="B77" s="23"/>
      <c r="C77" s="24" t="s">
        <v>147</v>
      </c>
      <c r="D77" s="23"/>
      <c r="E77" s="23" t="s">
        <v>148</v>
      </c>
      <c r="F77" s="35" t="s">
        <v>150</v>
      </c>
      <c r="G77" s="32">
        <v>0</v>
      </c>
      <c r="H77" s="25" t="s">
        <v>148</v>
      </c>
    </row>
    <row r="78" spans="1:8" x14ac:dyDescent="0.2">
      <c r="A78" s="23"/>
      <c r="B78" s="23"/>
      <c r="C78" s="33"/>
      <c r="D78" s="23"/>
      <c r="E78" s="23"/>
      <c r="F78" s="34"/>
      <c r="G78" s="34"/>
      <c r="H78" s="25" t="s">
        <v>148</v>
      </c>
    </row>
    <row r="79" spans="1:8" x14ac:dyDescent="0.2">
      <c r="A79" s="23"/>
      <c r="B79" s="23"/>
      <c r="C79" s="24" t="s">
        <v>163</v>
      </c>
      <c r="D79" s="23"/>
      <c r="E79" s="23"/>
      <c r="F79" s="34"/>
      <c r="G79" s="34"/>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164</v>
      </c>
      <c r="D82" s="23"/>
      <c r="E82" s="23"/>
      <c r="F82" s="34"/>
      <c r="G82" s="34"/>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165</v>
      </c>
      <c r="D85" s="23"/>
      <c r="E85" s="23"/>
      <c r="F85" s="34"/>
      <c r="G85" s="34"/>
      <c r="H85" s="25" t="s">
        <v>148</v>
      </c>
    </row>
    <row r="86" spans="1:8" x14ac:dyDescent="0.2">
      <c r="A86" s="26">
        <v>1</v>
      </c>
      <c r="B86" s="27"/>
      <c r="C86" s="27" t="s">
        <v>166</v>
      </c>
      <c r="D86" s="27"/>
      <c r="E86" s="36"/>
      <c r="F86" s="29">
        <v>244.35818699999999</v>
      </c>
      <c r="G86" s="30">
        <v>3.750291E-2</v>
      </c>
      <c r="H86" s="25">
        <v>6.23</v>
      </c>
    </row>
    <row r="87" spans="1:8" x14ac:dyDescent="0.2">
      <c r="A87" s="23"/>
      <c r="B87" s="23"/>
      <c r="C87" s="24" t="s">
        <v>147</v>
      </c>
      <c r="D87" s="23"/>
      <c r="E87" s="23" t="s">
        <v>148</v>
      </c>
      <c r="F87" s="31">
        <v>244.35818699999999</v>
      </c>
      <c r="G87" s="32">
        <v>3.750291E-2</v>
      </c>
      <c r="H87" s="25" t="s">
        <v>148</v>
      </c>
    </row>
    <row r="88" spans="1:8" x14ac:dyDescent="0.2">
      <c r="A88" s="23"/>
      <c r="B88" s="23"/>
      <c r="C88" s="33"/>
      <c r="D88" s="23"/>
      <c r="E88" s="23"/>
      <c r="F88" s="34"/>
      <c r="G88" s="34"/>
      <c r="H88" s="25" t="s">
        <v>148</v>
      </c>
    </row>
    <row r="89" spans="1:8" x14ac:dyDescent="0.2">
      <c r="A89" s="23"/>
      <c r="B89" s="23"/>
      <c r="C89" s="24" t="s">
        <v>167</v>
      </c>
      <c r="D89" s="23"/>
      <c r="E89" s="23"/>
      <c r="F89" s="31">
        <v>244.35818699999999</v>
      </c>
      <c r="G89" s="32">
        <v>3.750291E-2</v>
      </c>
      <c r="H89" s="25" t="s">
        <v>148</v>
      </c>
    </row>
    <row r="90" spans="1:8" x14ac:dyDescent="0.2">
      <c r="A90" s="23"/>
      <c r="B90" s="23"/>
      <c r="C90" s="34"/>
      <c r="D90" s="23"/>
      <c r="E90" s="23"/>
      <c r="F90" s="23"/>
      <c r="G90" s="23"/>
      <c r="H90" s="25" t="s">
        <v>148</v>
      </c>
    </row>
    <row r="91" spans="1:8" x14ac:dyDescent="0.2">
      <c r="A91" s="23"/>
      <c r="B91" s="23"/>
      <c r="C91" s="24" t="s">
        <v>168</v>
      </c>
      <c r="D91" s="23"/>
      <c r="E91" s="23"/>
      <c r="F91" s="23"/>
      <c r="G91" s="23"/>
      <c r="H91" s="25" t="s">
        <v>148</v>
      </c>
    </row>
    <row r="92" spans="1:8" x14ac:dyDescent="0.2">
      <c r="A92" s="23"/>
      <c r="B92" s="23"/>
      <c r="C92" s="24" t="s">
        <v>169</v>
      </c>
      <c r="D92" s="23"/>
      <c r="E92" s="23"/>
      <c r="F92" s="23"/>
      <c r="G92" s="23"/>
      <c r="H92" s="25" t="s">
        <v>148</v>
      </c>
    </row>
    <row r="93" spans="1:8" x14ac:dyDescent="0.2">
      <c r="A93" s="23"/>
      <c r="B93" s="23"/>
      <c r="C93" s="24" t="s">
        <v>147</v>
      </c>
      <c r="D93" s="23"/>
      <c r="E93" s="23" t="s">
        <v>148</v>
      </c>
      <c r="F93" s="35" t="s">
        <v>150</v>
      </c>
      <c r="G93" s="32">
        <v>0</v>
      </c>
      <c r="H93" s="25" t="s">
        <v>148</v>
      </c>
    </row>
    <row r="94" spans="1:8" x14ac:dyDescent="0.2">
      <c r="A94" s="23"/>
      <c r="B94" s="23"/>
      <c r="C94" s="33"/>
      <c r="D94" s="23"/>
      <c r="E94" s="23"/>
      <c r="F94" s="34"/>
      <c r="G94" s="34"/>
      <c r="H94" s="25" t="s">
        <v>148</v>
      </c>
    </row>
    <row r="95" spans="1:8" x14ac:dyDescent="0.2">
      <c r="A95" s="23"/>
      <c r="B95" s="23"/>
      <c r="C95" s="24" t="s">
        <v>172</v>
      </c>
      <c r="D95" s="23"/>
      <c r="E95" s="23"/>
      <c r="F95" s="23"/>
      <c r="G95" s="23"/>
      <c r="H95" s="25" t="s">
        <v>148</v>
      </c>
    </row>
    <row r="96" spans="1:8" x14ac:dyDescent="0.2">
      <c r="A96" s="23"/>
      <c r="B96" s="23"/>
      <c r="C96" s="24" t="s">
        <v>173</v>
      </c>
      <c r="D96" s="23"/>
      <c r="E96" s="23"/>
      <c r="F96" s="23"/>
      <c r="G96" s="23"/>
      <c r="H96" s="25" t="s">
        <v>148</v>
      </c>
    </row>
    <row r="97" spans="1:17" x14ac:dyDescent="0.2">
      <c r="A97" s="23"/>
      <c r="B97" s="23"/>
      <c r="C97" s="24" t="s">
        <v>147</v>
      </c>
      <c r="D97" s="23"/>
      <c r="E97" s="23" t="s">
        <v>148</v>
      </c>
      <c r="F97" s="35" t="s">
        <v>150</v>
      </c>
      <c r="G97" s="32">
        <v>0</v>
      </c>
      <c r="H97" s="25" t="s">
        <v>148</v>
      </c>
    </row>
    <row r="98" spans="1:17" x14ac:dyDescent="0.2">
      <c r="A98" s="23"/>
      <c r="B98" s="23"/>
      <c r="C98" s="33"/>
      <c r="D98" s="23"/>
      <c r="E98" s="23"/>
      <c r="F98" s="34"/>
      <c r="G98" s="34"/>
      <c r="H98" s="25" t="s">
        <v>148</v>
      </c>
    </row>
    <row r="99" spans="1:17" x14ac:dyDescent="0.2">
      <c r="A99" s="23"/>
      <c r="B99" s="23"/>
      <c r="C99" s="24" t="s">
        <v>174</v>
      </c>
      <c r="D99" s="23"/>
      <c r="E99" s="23"/>
      <c r="F99" s="34"/>
      <c r="G99" s="34"/>
      <c r="H99" s="25" t="s">
        <v>148</v>
      </c>
    </row>
    <row r="100" spans="1:17" x14ac:dyDescent="0.2">
      <c r="A100" s="23"/>
      <c r="B100" s="23"/>
      <c r="C100" s="24" t="s">
        <v>147</v>
      </c>
      <c r="D100" s="23"/>
      <c r="E100" s="23" t="s">
        <v>148</v>
      </c>
      <c r="F100" s="35" t="s">
        <v>150</v>
      </c>
      <c r="G100" s="32">
        <v>0</v>
      </c>
      <c r="H100" s="25" t="s">
        <v>148</v>
      </c>
    </row>
    <row r="101" spans="1:17" x14ac:dyDescent="0.2">
      <c r="A101" s="23"/>
      <c r="B101" s="23"/>
      <c r="C101" s="33"/>
      <c r="D101" s="23"/>
      <c r="E101" s="23"/>
      <c r="F101" s="34"/>
      <c r="G101" s="34"/>
      <c r="H101" s="25" t="s">
        <v>148</v>
      </c>
    </row>
    <row r="102" spans="1:17" x14ac:dyDescent="0.2">
      <c r="A102" s="36"/>
      <c r="B102" s="27"/>
      <c r="C102" s="27" t="s">
        <v>175</v>
      </c>
      <c r="D102" s="27"/>
      <c r="E102" s="36"/>
      <c r="F102" s="29">
        <v>-3.4777925000000001</v>
      </c>
      <c r="G102" s="30">
        <v>-5.3375999999999999E-4</v>
      </c>
      <c r="H102" s="25" t="s">
        <v>148</v>
      </c>
    </row>
    <row r="103" spans="1:17" x14ac:dyDescent="0.2">
      <c r="A103" s="33"/>
      <c r="B103" s="33"/>
      <c r="C103" s="24" t="s">
        <v>176</v>
      </c>
      <c r="D103" s="34"/>
      <c r="E103" s="34"/>
      <c r="F103" s="31">
        <v>6515.7133642999997</v>
      </c>
      <c r="G103" s="39">
        <v>1.0000000200000001</v>
      </c>
      <c r="H103" s="25" t="s">
        <v>148</v>
      </c>
    </row>
    <row r="104" spans="1:17" x14ac:dyDescent="0.2">
      <c r="A104" s="40"/>
      <c r="B104" s="40"/>
      <c r="C104" s="40"/>
      <c r="D104" s="41"/>
      <c r="E104" s="41"/>
      <c r="F104" s="41"/>
      <c r="G104" s="41"/>
    </row>
    <row r="105" spans="1:17" x14ac:dyDescent="0.2">
      <c r="A105" s="42"/>
      <c r="B105" s="237" t="s">
        <v>891</v>
      </c>
      <c r="C105" s="237"/>
      <c r="D105" s="237"/>
      <c r="E105" s="237"/>
      <c r="F105" s="237"/>
      <c r="G105" s="237"/>
      <c r="H105" s="237"/>
      <c r="J105" s="44"/>
    </row>
    <row r="106" spans="1:17" x14ac:dyDescent="0.2">
      <c r="A106" s="42"/>
      <c r="B106" s="237" t="s">
        <v>892</v>
      </c>
      <c r="C106" s="237"/>
      <c r="D106" s="237"/>
      <c r="E106" s="237"/>
      <c r="F106" s="237"/>
      <c r="G106" s="237"/>
      <c r="H106" s="237"/>
      <c r="J106" s="44"/>
    </row>
    <row r="107" spans="1:17" x14ac:dyDescent="0.2">
      <c r="A107" s="42"/>
      <c r="B107" s="237" t="s">
        <v>893</v>
      </c>
      <c r="C107" s="237"/>
      <c r="D107" s="237"/>
      <c r="E107" s="237"/>
      <c r="F107" s="237"/>
      <c r="G107" s="237"/>
      <c r="H107" s="237"/>
      <c r="J107" s="44"/>
    </row>
    <row r="108" spans="1:17" s="46" customFormat="1" ht="66.75" customHeight="1" x14ac:dyDescent="0.25">
      <c r="A108" s="45"/>
      <c r="B108" s="239" t="s">
        <v>894</v>
      </c>
      <c r="C108" s="239"/>
      <c r="D108" s="239"/>
      <c r="E108" s="239"/>
      <c r="F108" s="239"/>
      <c r="G108" s="239"/>
      <c r="H108" s="239"/>
      <c r="I108"/>
      <c r="J108" s="44"/>
      <c r="K108"/>
      <c r="L108"/>
      <c r="M108"/>
      <c r="N108"/>
      <c r="O108"/>
      <c r="P108"/>
      <c r="Q108"/>
    </row>
    <row r="109" spans="1:17" x14ac:dyDescent="0.2">
      <c r="A109" s="42"/>
      <c r="B109" s="237" t="s">
        <v>895</v>
      </c>
      <c r="C109" s="237"/>
      <c r="D109" s="237"/>
      <c r="E109" s="237"/>
      <c r="F109" s="237"/>
      <c r="G109" s="237"/>
      <c r="H109" s="237"/>
      <c r="J109" s="44"/>
    </row>
    <row r="110" spans="1:17" x14ac:dyDescent="0.2">
      <c r="A110" s="47"/>
      <c r="B110" s="47"/>
      <c r="C110" s="47"/>
      <c r="D110" s="48"/>
      <c r="E110" s="48"/>
      <c r="F110" s="48"/>
      <c r="G110" s="48"/>
    </row>
    <row r="111" spans="1:17" x14ac:dyDescent="0.2">
      <c r="A111" s="47"/>
      <c r="B111" s="234" t="s">
        <v>177</v>
      </c>
      <c r="C111" s="235"/>
      <c r="D111" s="236"/>
      <c r="E111" s="49"/>
      <c r="F111" s="48"/>
      <c r="G111" s="48"/>
    </row>
    <row r="112" spans="1:17" x14ac:dyDescent="0.2">
      <c r="A112" s="47"/>
      <c r="B112" s="232" t="s">
        <v>178</v>
      </c>
      <c r="C112" s="233"/>
      <c r="D112" s="24" t="s">
        <v>179</v>
      </c>
      <c r="E112" s="49"/>
      <c r="F112" s="48"/>
      <c r="G112" s="48"/>
    </row>
    <row r="113" spans="1:10" ht="12.75" customHeight="1" x14ac:dyDescent="0.2">
      <c r="A113" s="47"/>
      <c r="B113" s="240" t="s">
        <v>897</v>
      </c>
      <c r="C113" s="241"/>
      <c r="D113" s="24" t="s">
        <v>179</v>
      </c>
      <c r="E113" s="49"/>
      <c r="F113" s="48"/>
      <c r="G113" s="48"/>
    </row>
    <row r="114" spans="1:10" x14ac:dyDescent="0.2">
      <c r="A114" s="47"/>
      <c r="B114" s="232" t="s">
        <v>181</v>
      </c>
      <c r="C114" s="233"/>
      <c r="D114" s="34" t="s">
        <v>148</v>
      </c>
      <c r="E114" s="49"/>
      <c r="F114" s="48"/>
      <c r="G114" s="48"/>
    </row>
    <row r="115" spans="1:10" x14ac:dyDescent="0.2">
      <c r="A115" s="50"/>
      <c r="B115" s="51" t="s">
        <v>148</v>
      </c>
      <c r="C115" s="51" t="s">
        <v>896</v>
      </c>
      <c r="D115" s="51" t="s">
        <v>182</v>
      </c>
      <c r="E115" s="50"/>
      <c r="F115" s="50"/>
      <c r="G115" s="50"/>
      <c r="H115" s="50"/>
      <c r="J115" s="44"/>
    </row>
    <row r="116" spans="1:10" x14ac:dyDescent="0.2">
      <c r="A116" s="50"/>
      <c r="B116" s="52" t="s">
        <v>183</v>
      </c>
      <c r="C116" s="53">
        <v>45688</v>
      </c>
      <c r="D116" s="53">
        <v>45716</v>
      </c>
      <c r="E116" s="50"/>
      <c r="F116" s="50"/>
      <c r="G116" s="50"/>
      <c r="J116" s="44"/>
    </row>
    <row r="117" spans="1:10" x14ac:dyDescent="0.2">
      <c r="A117" s="54"/>
      <c r="B117" s="27" t="s">
        <v>184</v>
      </c>
      <c r="C117" s="55">
        <v>31.802499999999998</v>
      </c>
      <c r="D117" s="55">
        <v>27.816700000000001</v>
      </c>
      <c r="E117" s="54"/>
      <c r="F117" s="56"/>
      <c r="G117" s="57"/>
    </row>
    <row r="118" spans="1:10" x14ac:dyDescent="0.2">
      <c r="A118" s="54"/>
      <c r="B118" s="27" t="s">
        <v>1070</v>
      </c>
      <c r="C118" s="55">
        <v>27.889700000000001</v>
      </c>
      <c r="D118" s="55">
        <v>24.394300000000001</v>
      </c>
      <c r="E118" s="54"/>
      <c r="F118" s="56"/>
      <c r="G118" s="57"/>
    </row>
    <row r="119" spans="1:10" x14ac:dyDescent="0.2">
      <c r="A119" s="54"/>
      <c r="B119" s="27" t="s">
        <v>186</v>
      </c>
      <c r="C119" s="55">
        <v>30.908899999999999</v>
      </c>
      <c r="D119" s="55">
        <v>27.031400000000001</v>
      </c>
      <c r="E119" s="54"/>
      <c r="F119" s="56"/>
      <c r="G119" s="57"/>
    </row>
    <row r="120" spans="1:10" x14ac:dyDescent="0.2">
      <c r="A120" s="54"/>
      <c r="B120" s="27" t="s">
        <v>1071</v>
      </c>
      <c r="C120" s="55">
        <v>27.042999999999999</v>
      </c>
      <c r="D120" s="55">
        <v>23.650400000000001</v>
      </c>
      <c r="E120" s="54"/>
      <c r="F120" s="56"/>
      <c r="G120" s="57"/>
    </row>
    <row r="121" spans="1:10" x14ac:dyDescent="0.2">
      <c r="A121" s="54"/>
      <c r="B121" s="54"/>
      <c r="C121" s="54"/>
      <c r="D121" s="54"/>
      <c r="E121" s="54"/>
      <c r="F121" s="54"/>
      <c r="G121" s="54"/>
    </row>
    <row r="122" spans="1:10" x14ac:dyDescent="0.2">
      <c r="A122" s="50"/>
      <c r="B122" s="240" t="s">
        <v>898</v>
      </c>
      <c r="C122" s="241"/>
      <c r="D122" s="58" t="s">
        <v>179</v>
      </c>
      <c r="E122" s="50"/>
      <c r="F122" s="50"/>
      <c r="G122" s="50"/>
    </row>
    <row r="123" spans="1:10" x14ac:dyDescent="0.2">
      <c r="A123" s="50"/>
      <c r="B123" s="59"/>
      <c r="C123" s="59"/>
      <c r="D123" s="59"/>
      <c r="E123" s="50"/>
      <c r="F123" s="50"/>
      <c r="G123" s="50"/>
    </row>
    <row r="124" spans="1:10" x14ac:dyDescent="0.2">
      <c r="A124" s="50"/>
      <c r="B124" s="240" t="s">
        <v>188</v>
      </c>
      <c r="C124" s="241"/>
      <c r="D124" s="58" t="s">
        <v>179</v>
      </c>
      <c r="E124" s="60"/>
      <c r="F124" s="50"/>
      <c r="G124" s="50"/>
    </row>
    <row r="125" spans="1:10" x14ac:dyDescent="0.2">
      <c r="A125" s="50"/>
      <c r="B125" s="240" t="s">
        <v>189</v>
      </c>
      <c r="C125" s="241"/>
      <c r="D125" s="58" t="s">
        <v>179</v>
      </c>
      <c r="E125" s="60"/>
      <c r="F125" s="50"/>
      <c r="G125" s="50"/>
    </row>
    <row r="126" spans="1:10" x14ac:dyDescent="0.2">
      <c r="A126" s="50"/>
      <c r="B126" s="240" t="s">
        <v>190</v>
      </c>
      <c r="C126" s="241"/>
      <c r="D126" s="58" t="s">
        <v>179</v>
      </c>
      <c r="E126" s="60"/>
      <c r="F126" s="50"/>
      <c r="G126" s="50"/>
    </row>
    <row r="127" spans="1:10" x14ac:dyDescent="0.2">
      <c r="A127" s="50"/>
      <c r="B127" s="240" t="s">
        <v>191</v>
      </c>
      <c r="C127" s="241"/>
      <c r="D127" s="61">
        <v>0.30604655153390597</v>
      </c>
      <c r="E127" s="50"/>
      <c r="F127" s="43"/>
      <c r="G127" s="62"/>
    </row>
    <row r="129" spans="2:10" x14ac:dyDescent="0.2">
      <c r="B129" s="238" t="s">
        <v>899</v>
      </c>
      <c r="C129" s="238"/>
    </row>
    <row r="131" spans="2:10" ht="153.75" customHeight="1" x14ac:dyDescent="0.2"/>
    <row r="134" spans="2:10" x14ac:dyDescent="0.2">
      <c r="B134" s="68" t="s">
        <v>900</v>
      </c>
      <c r="C134" s="69"/>
      <c r="D134" s="68"/>
    </row>
    <row r="135" spans="2:10" x14ac:dyDescent="0.2">
      <c r="B135" s="68" t="s">
        <v>911</v>
      </c>
      <c r="D135" s="68"/>
    </row>
    <row r="136" spans="2:10" ht="165" customHeight="1" x14ac:dyDescent="0.2"/>
    <row r="137" spans="2:10" x14ac:dyDescent="0.2">
      <c r="B137" s="68"/>
      <c r="D137" s="68"/>
    </row>
    <row r="138" spans="2:10" x14ac:dyDescent="0.2">
      <c r="J138" s="22"/>
    </row>
  </sheetData>
  <mergeCells count="18">
    <mergeCell ref="B129:C129"/>
    <mergeCell ref="A3:H3"/>
    <mergeCell ref="A2:H2"/>
    <mergeCell ref="B127:C127"/>
    <mergeCell ref="A1:H1"/>
    <mergeCell ref="B113:C113"/>
    <mergeCell ref="B114:C114"/>
    <mergeCell ref="B122:C122"/>
    <mergeCell ref="B126:C126"/>
    <mergeCell ref="B111:D111"/>
    <mergeCell ref="B112:C112"/>
    <mergeCell ref="B105:H105"/>
    <mergeCell ref="B106:H106"/>
    <mergeCell ref="B107:H107"/>
    <mergeCell ref="B108:H108"/>
    <mergeCell ref="B109:H109"/>
    <mergeCell ref="B124:C124"/>
    <mergeCell ref="B125:C125"/>
  </mergeCells>
  <hyperlinks>
    <hyperlink ref="I1" location="Index!B2" display="Index" xr:uid="{8661F057-2205-4A71-BEBD-7C6062E1D6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7792E-3552-4BD9-BC9E-8E57FDD2EB3B}">
  <sheetPr>
    <outlinePr summaryBelow="0" summaryRight="0"/>
  </sheetPr>
  <dimension ref="A1:Q137"/>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460</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380</v>
      </c>
      <c r="C7" s="27" t="s">
        <v>381</v>
      </c>
      <c r="D7" s="27" t="s">
        <v>51</v>
      </c>
      <c r="E7" s="28">
        <v>9824</v>
      </c>
      <c r="F7" s="29">
        <v>209.845552</v>
      </c>
      <c r="G7" s="30">
        <v>6.8040020000000007E-2</v>
      </c>
      <c r="H7" s="25" t="s">
        <v>148</v>
      </c>
    </row>
    <row r="8" spans="1:9" x14ac:dyDescent="0.2">
      <c r="A8" s="26">
        <v>2</v>
      </c>
      <c r="B8" s="27" t="s">
        <v>351</v>
      </c>
      <c r="C8" s="27" t="s">
        <v>352</v>
      </c>
      <c r="D8" s="27" t="s">
        <v>240</v>
      </c>
      <c r="E8" s="28">
        <v>3746</v>
      </c>
      <c r="F8" s="29">
        <v>186.98720900000001</v>
      </c>
      <c r="G8" s="30">
        <v>6.0628460000000002E-2</v>
      </c>
      <c r="H8" s="25" t="s">
        <v>148</v>
      </c>
    </row>
    <row r="9" spans="1:9" x14ac:dyDescent="0.2">
      <c r="A9" s="26">
        <v>3</v>
      </c>
      <c r="B9" s="27" t="s">
        <v>378</v>
      </c>
      <c r="C9" s="27" t="s">
        <v>379</v>
      </c>
      <c r="D9" s="27" t="s">
        <v>232</v>
      </c>
      <c r="E9" s="28">
        <v>48585</v>
      </c>
      <c r="F9" s="29">
        <v>150.73496249999999</v>
      </c>
      <c r="G9" s="30">
        <v>4.8874090000000002E-2</v>
      </c>
      <c r="H9" s="25" t="s">
        <v>148</v>
      </c>
    </row>
    <row r="10" spans="1:9" x14ac:dyDescent="0.2">
      <c r="A10" s="26">
        <v>4</v>
      </c>
      <c r="B10" s="27" t="s">
        <v>394</v>
      </c>
      <c r="C10" s="27" t="s">
        <v>395</v>
      </c>
      <c r="D10" s="27" t="s">
        <v>240</v>
      </c>
      <c r="E10" s="28">
        <v>6306</v>
      </c>
      <c r="F10" s="29">
        <v>136.786599</v>
      </c>
      <c r="G10" s="30">
        <v>4.435149E-2</v>
      </c>
      <c r="H10" s="25" t="s">
        <v>148</v>
      </c>
    </row>
    <row r="11" spans="1:9" x14ac:dyDescent="0.2">
      <c r="A11" s="26">
        <v>5</v>
      </c>
      <c r="B11" s="27" t="s">
        <v>382</v>
      </c>
      <c r="C11" s="27" t="s">
        <v>383</v>
      </c>
      <c r="D11" s="27" t="s">
        <v>210</v>
      </c>
      <c r="E11" s="28">
        <v>33900</v>
      </c>
      <c r="F11" s="29">
        <v>136.60005000000001</v>
      </c>
      <c r="G11" s="30">
        <v>4.4290999999999997E-2</v>
      </c>
      <c r="H11" s="25" t="s">
        <v>148</v>
      </c>
    </row>
    <row r="12" spans="1:9" x14ac:dyDescent="0.2">
      <c r="A12" s="26">
        <v>6</v>
      </c>
      <c r="B12" s="27" t="s">
        <v>316</v>
      </c>
      <c r="C12" s="27" t="s">
        <v>317</v>
      </c>
      <c r="D12" s="27" t="s">
        <v>267</v>
      </c>
      <c r="E12" s="28">
        <v>3525</v>
      </c>
      <c r="F12" s="29">
        <v>132.61931250000001</v>
      </c>
      <c r="G12" s="30">
        <v>4.3000299999999998E-2</v>
      </c>
      <c r="H12" s="25" t="s">
        <v>148</v>
      </c>
    </row>
    <row r="13" spans="1:9" x14ac:dyDescent="0.2">
      <c r="A13" s="26">
        <v>7</v>
      </c>
      <c r="B13" s="27" t="s">
        <v>357</v>
      </c>
      <c r="C13" s="27" t="s">
        <v>358</v>
      </c>
      <c r="D13" s="27" t="s">
        <v>359</v>
      </c>
      <c r="E13" s="28">
        <v>9043</v>
      </c>
      <c r="F13" s="29">
        <v>126.6246075</v>
      </c>
      <c r="G13" s="30">
        <v>4.1056580000000002E-2</v>
      </c>
      <c r="H13" s="25" t="s">
        <v>148</v>
      </c>
    </row>
    <row r="14" spans="1:9" x14ac:dyDescent="0.2">
      <c r="A14" s="26">
        <v>8</v>
      </c>
      <c r="B14" s="27" t="s">
        <v>142</v>
      </c>
      <c r="C14" s="27" t="s">
        <v>143</v>
      </c>
      <c r="D14" s="27" t="s">
        <v>51</v>
      </c>
      <c r="E14" s="28">
        <v>47004</v>
      </c>
      <c r="F14" s="29">
        <v>126.417258</v>
      </c>
      <c r="G14" s="30">
        <v>4.0989350000000001E-2</v>
      </c>
      <c r="H14" s="25" t="s">
        <v>148</v>
      </c>
    </row>
    <row r="15" spans="1:9" x14ac:dyDescent="0.2">
      <c r="A15" s="26">
        <v>9</v>
      </c>
      <c r="B15" s="27" t="s">
        <v>36</v>
      </c>
      <c r="C15" s="27" t="s">
        <v>37</v>
      </c>
      <c r="D15" s="27" t="s">
        <v>25</v>
      </c>
      <c r="E15" s="28">
        <v>2480</v>
      </c>
      <c r="F15" s="29">
        <v>108.85588</v>
      </c>
      <c r="G15" s="30">
        <v>3.5295269999999997E-2</v>
      </c>
      <c r="H15" s="25" t="s">
        <v>148</v>
      </c>
    </row>
    <row r="16" spans="1:9" x14ac:dyDescent="0.2">
      <c r="A16" s="26">
        <v>10</v>
      </c>
      <c r="B16" s="27" t="s">
        <v>392</v>
      </c>
      <c r="C16" s="27" t="s">
        <v>393</v>
      </c>
      <c r="D16" s="27" t="s">
        <v>28</v>
      </c>
      <c r="E16" s="28">
        <v>187038</v>
      </c>
      <c r="F16" s="29">
        <v>106.36851059999999</v>
      </c>
      <c r="G16" s="30">
        <v>3.4488770000000002E-2</v>
      </c>
      <c r="H16" s="25" t="s">
        <v>148</v>
      </c>
    </row>
    <row r="17" spans="1:8" x14ac:dyDescent="0.2">
      <c r="A17" s="26">
        <v>11</v>
      </c>
      <c r="B17" s="27" t="s">
        <v>384</v>
      </c>
      <c r="C17" s="27" t="s">
        <v>385</v>
      </c>
      <c r="D17" s="27" t="s">
        <v>28</v>
      </c>
      <c r="E17" s="28">
        <v>36437</v>
      </c>
      <c r="F17" s="29">
        <v>103.0256175</v>
      </c>
      <c r="G17" s="30">
        <v>3.3404879999999998E-2</v>
      </c>
      <c r="H17" s="25" t="s">
        <v>148</v>
      </c>
    </row>
    <row r="18" spans="1:8" x14ac:dyDescent="0.2">
      <c r="A18" s="26">
        <v>12</v>
      </c>
      <c r="B18" s="27" t="s">
        <v>74</v>
      </c>
      <c r="C18" s="27" t="s">
        <v>75</v>
      </c>
      <c r="D18" s="27" t="s">
        <v>45</v>
      </c>
      <c r="E18" s="28">
        <v>16174</v>
      </c>
      <c r="F18" s="29">
        <v>99.793580000000006</v>
      </c>
      <c r="G18" s="30">
        <v>3.2356929999999999E-2</v>
      </c>
      <c r="H18" s="25" t="s">
        <v>148</v>
      </c>
    </row>
    <row r="19" spans="1:8" x14ac:dyDescent="0.2">
      <c r="A19" s="26">
        <v>13</v>
      </c>
      <c r="B19" s="27" t="s">
        <v>390</v>
      </c>
      <c r="C19" s="27" t="s">
        <v>391</v>
      </c>
      <c r="D19" s="27" t="s">
        <v>28</v>
      </c>
      <c r="E19" s="28">
        <v>290098</v>
      </c>
      <c r="F19" s="29">
        <v>93.208487399999996</v>
      </c>
      <c r="G19" s="30">
        <v>3.0221789999999998E-2</v>
      </c>
      <c r="H19" s="25" t="s">
        <v>148</v>
      </c>
    </row>
    <row r="20" spans="1:8" x14ac:dyDescent="0.2">
      <c r="A20" s="26">
        <v>14</v>
      </c>
      <c r="B20" s="27" t="s">
        <v>86</v>
      </c>
      <c r="C20" s="27" t="s">
        <v>87</v>
      </c>
      <c r="D20" s="27" t="s">
        <v>45</v>
      </c>
      <c r="E20" s="28">
        <v>2964</v>
      </c>
      <c r="F20" s="29">
        <v>90.999245999999999</v>
      </c>
      <c r="G20" s="30">
        <v>2.9505469999999999E-2</v>
      </c>
      <c r="H20" s="25" t="s">
        <v>148</v>
      </c>
    </row>
    <row r="21" spans="1:8" ht="25.5" x14ac:dyDescent="0.2">
      <c r="A21" s="26">
        <v>15</v>
      </c>
      <c r="B21" s="27" t="s">
        <v>388</v>
      </c>
      <c r="C21" s="27" t="s">
        <v>389</v>
      </c>
      <c r="D21" s="27" t="s">
        <v>202</v>
      </c>
      <c r="E21" s="28">
        <v>1708</v>
      </c>
      <c r="F21" s="29">
        <v>85.981573999999995</v>
      </c>
      <c r="G21" s="30">
        <v>2.787854E-2</v>
      </c>
      <c r="H21" s="25" t="s">
        <v>148</v>
      </c>
    </row>
    <row r="22" spans="1:8" ht="25.5" x14ac:dyDescent="0.2">
      <c r="A22" s="26">
        <v>16</v>
      </c>
      <c r="B22" s="27" t="s">
        <v>398</v>
      </c>
      <c r="C22" s="27" t="s">
        <v>399</v>
      </c>
      <c r="D22" s="27" t="s">
        <v>400</v>
      </c>
      <c r="E22" s="28">
        <v>25470</v>
      </c>
      <c r="F22" s="29">
        <v>77.670765000000003</v>
      </c>
      <c r="G22" s="30">
        <v>2.5183859999999999E-2</v>
      </c>
      <c r="H22" s="25" t="s">
        <v>148</v>
      </c>
    </row>
    <row r="23" spans="1:8" x14ac:dyDescent="0.2">
      <c r="A23" s="26">
        <v>17</v>
      </c>
      <c r="B23" s="27" t="s">
        <v>414</v>
      </c>
      <c r="C23" s="27" t="s">
        <v>415</v>
      </c>
      <c r="D23" s="27" t="s">
        <v>205</v>
      </c>
      <c r="E23" s="28">
        <v>18242</v>
      </c>
      <c r="F23" s="29">
        <v>77.355200999999994</v>
      </c>
      <c r="G23" s="30">
        <v>2.5081539999999999E-2</v>
      </c>
      <c r="H23" s="25" t="s">
        <v>148</v>
      </c>
    </row>
    <row r="24" spans="1:8" x14ac:dyDescent="0.2">
      <c r="A24" s="26">
        <v>18</v>
      </c>
      <c r="B24" s="27" t="s">
        <v>396</v>
      </c>
      <c r="C24" s="27" t="s">
        <v>397</v>
      </c>
      <c r="D24" s="27" t="s">
        <v>205</v>
      </c>
      <c r="E24" s="28">
        <v>15581</v>
      </c>
      <c r="F24" s="29">
        <v>76.346900000000005</v>
      </c>
      <c r="G24" s="30">
        <v>2.475461E-2</v>
      </c>
      <c r="H24" s="25" t="s">
        <v>148</v>
      </c>
    </row>
    <row r="25" spans="1:8" x14ac:dyDescent="0.2">
      <c r="A25" s="26">
        <v>19</v>
      </c>
      <c r="B25" s="27" t="s">
        <v>404</v>
      </c>
      <c r="C25" s="27" t="s">
        <v>405</v>
      </c>
      <c r="D25" s="27" t="s">
        <v>111</v>
      </c>
      <c r="E25" s="28">
        <v>4021</v>
      </c>
      <c r="F25" s="29">
        <v>66.020798999999997</v>
      </c>
      <c r="G25" s="30">
        <v>2.140649E-2</v>
      </c>
      <c r="H25" s="25" t="s">
        <v>148</v>
      </c>
    </row>
    <row r="26" spans="1:8" x14ac:dyDescent="0.2">
      <c r="A26" s="26">
        <v>20</v>
      </c>
      <c r="B26" s="27" t="s">
        <v>43</v>
      </c>
      <c r="C26" s="27" t="s">
        <v>44</v>
      </c>
      <c r="D26" s="27" t="s">
        <v>45</v>
      </c>
      <c r="E26" s="28">
        <v>1446</v>
      </c>
      <c r="F26" s="29">
        <v>65.422100999999998</v>
      </c>
      <c r="G26" s="30">
        <v>2.1212370000000001E-2</v>
      </c>
      <c r="H26" s="25" t="s">
        <v>148</v>
      </c>
    </row>
    <row r="27" spans="1:8" x14ac:dyDescent="0.2">
      <c r="A27" s="26">
        <v>21</v>
      </c>
      <c r="B27" s="27" t="s">
        <v>52</v>
      </c>
      <c r="C27" s="27" t="s">
        <v>53</v>
      </c>
      <c r="D27" s="27" t="s">
        <v>54</v>
      </c>
      <c r="E27" s="28">
        <v>6875</v>
      </c>
      <c r="F27" s="29">
        <v>65.109687500000007</v>
      </c>
      <c r="G27" s="30">
        <v>2.1111069999999999E-2</v>
      </c>
      <c r="H27" s="25" t="s">
        <v>148</v>
      </c>
    </row>
    <row r="28" spans="1:8" x14ac:dyDescent="0.2">
      <c r="A28" s="26">
        <v>22</v>
      </c>
      <c r="B28" s="27" t="s">
        <v>114</v>
      </c>
      <c r="C28" s="27" t="s">
        <v>115</v>
      </c>
      <c r="D28" s="27" t="s">
        <v>45</v>
      </c>
      <c r="E28" s="28">
        <v>4465</v>
      </c>
      <c r="F28" s="29">
        <v>64.200002499999997</v>
      </c>
      <c r="G28" s="30">
        <v>2.081612E-2</v>
      </c>
      <c r="H28" s="25" t="s">
        <v>148</v>
      </c>
    </row>
    <row r="29" spans="1:8" x14ac:dyDescent="0.2">
      <c r="A29" s="26">
        <v>23</v>
      </c>
      <c r="B29" s="27" t="s">
        <v>60</v>
      </c>
      <c r="C29" s="27" t="s">
        <v>61</v>
      </c>
      <c r="D29" s="27" t="s">
        <v>19</v>
      </c>
      <c r="E29" s="28">
        <v>7151</v>
      </c>
      <c r="F29" s="29">
        <v>62.868016500000003</v>
      </c>
      <c r="G29" s="30">
        <v>2.0384240000000001E-2</v>
      </c>
      <c r="H29" s="25" t="s">
        <v>148</v>
      </c>
    </row>
    <row r="30" spans="1:8" x14ac:dyDescent="0.2">
      <c r="A30" s="26">
        <v>24</v>
      </c>
      <c r="B30" s="27" t="s">
        <v>406</v>
      </c>
      <c r="C30" s="27" t="s">
        <v>407</v>
      </c>
      <c r="D30" s="27" t="s">
        <v>232</v>
      </c>
      <c r="E30" s="28">
        <v>9165</v>
      </c>
      <c r="F30" s="29">
        <v>62.601532499999998</v>
      </c>
      <c r="G30" s="30">
        <v>2.0297829999999999E-2</v>
      </c>
      <c r="H30" s="25" t="s">
        <v>148</v>
      </c>
    </row>
    <row r="31" spans="1:8" x14ac:dyDescent="0.2">
      <c r="A31" s="26">
        <v>25</v>
      </c>
      <c r="B31" s="27" t="s">
        <v>408</v>
      </c>
      <c r="C31" s="27" t="s">
        <v>409</v>
      </c>
      <c r="D31" s="27" t="s">
        <v>111</v>
      </c>
      <c r="E31" s="28">
        <v>10638</v>
      </c>
      <c r="F31" s="29">
        <v>61.450406999999998</v>
      </c>
      <c r="G31" s="30">
        <v>1.9924589999999999E-2</v>
      </c>
      <c r="H31" s="25" t="s">
        <v>148</v>
      </c>
    </row>
    <row r="32" spans="1:8" x14ac:dyDescent="0.2">
      <c r="A32" s="26">
        <v>26</v>
      </c>
      <c r="B32" s="27" t="s">
        <v>255</v>
      </c>
      <c r="C32" s="27" t="s">
        <v>256</v>
      </c>
      <c r="D32" s="27" t="s">
        <v>111</v>
      </c>
      <c r="E32" s="28">
        <v>692</v>
      </c>
      <c r="F32" s="29">
        <v>56.640892000000001</v>
      </c>
      <c r="G32" s="30">
        <v>1.8365159999999998E-2</v>
      </c>
      <c r="H32" s="25" t="s">
        <v>148</v>
      </c>
    </row>
    <row r="33" spans="1:8" x14ac:dyDescent="0.2">
      <c r="A33" s="26">
        <v>27</v>
      </c>
      <c r="B33" s="27" t="s">
        <v>401</v>
      </c>
      <c r="C33" s="27" t="s">
        <v>402</v>
      </c>
      <c r="D33" s="27" t="s">
        <v>403</v>
      </c>
      <c r="E33" s="28">
        <v>6011</v>
      </c>
      <c r="F33" s="29">
        <v>54.336434500000003</v>
      </c>
      <c r="G33" s="30">
        <v>1.761797E-2</v>
      </c>
      <c r="H33" s="25" t="s">
        <v>148</v>
      </c>
    </row>
    <row r="34" spans="1:8" x14ac:dyDescent="0.2">
      <c r="A34" s="26">
        <v>28</v>
      </c>
      <c r="B34" s="27" t="s">
        <v>412</v>
      </c>
      <c r="C34" s="27" t="s">
        <v>413</v>
      </c>
      <c r="D34" s="27" t="s">
        <v>45</v>
      </c>
      <c r="E34" s="28">
        <v>13623</v>
      </c>
      <c r="F34" s="29">
        <v>53.361291000000001</v>
      </c>
      <c r="G34" s="30">
        <v>1.7301790000000001E-2</v>
      </c>
      <c r="H34" s="25" t="s">
        <v>148</v>
      </c>
    </row>
    <row r="35" spans="1:8" x14ac:dyDescent="0.2">
      <c r="A35" s="26">
        <v>29</v>
      </c>
      <c r="B35" s="27" t="s">
        <v>458</v>
      </c>
      <c r="C35" s="27" t="s">
        <v>459</v>
      </c>
      <c r="D35" s="27" t="s">
        <v>45</v>
      </c>
      <c r="E35" s="28">
        <v>9769</v>
      </c>
      <c r="F35" s="29">
        <v>39.671908999999999</v>
      </c>
      <c r="G35" s="30">
        <v>1.286316E-2</v>
      </c>
      <c r="H35" s="25" t="s">
        <v>148</v>
      </c>
    </row>
    <row r="36" spans="1:8" x14ac:dyDescent="0.2">
      <c r="A36" s="26">
        <v>30</v>
      </c>
      <c r="B36" s="27" t="s">
        <v>422</v>
      </c>
      <c r="C36" s="27" t="s">
        <v>423</v>
      </c>
      <c r="D36" s="27" t="s">
        <v>359</v>
      </c>
      <c r="E36" s="28">
        <v>12245</v>
      </c>
      <c r="F36" s="29">
        <v>38.859507499999999</v>
      </c>
      <c r="G36" s="30">
        <v>1.259975E-2</v>
      </c>
      <c r="H36" s="25" t="s">
        <v>148</v>
      </c>
    </row>
    <row r="37" spans="1:8" x14ac:dyDescent="0.2">
      <c r="A37" s="26">
        <v>31</v>
      </c>
      <c r="B37" s="27" t="s">
        <v>418</v>
      </c>
      <c r="C37" s="27" t="s">
        <v>419</v>
      </c>
      <c r="D37" s="27" t="s">
        <v>137</v>
      </c>
      <c r="E37" s="28">
        <v>25659</v>
      </c>
      <c r="F37" s="29">
        <v>35.204148000000004</v>
      </c>
      <c r="G37" s="30">
        <v>1.1414540000000001E-2</v>
      </c>
      <c r="H37" s="25" t="s">
        <v>148</v>
      </c>
    </row>
    <row r="38" spans="1:8" x14ac:dyDescent="0.2">
      <c r="A38" s="26">
        <v>32</v>
      </c>
      <c r="B38" s="27" t="s">
        <v>424</v>
      </c>
      <c r="C38" s="27" t="s">
        <v>425</v>
      </c>
      <c r="D38" s="27" t="s">
        <v>51</v>
      </c>
      <c r="E38" s="28">
        <v>5528</v>
      </c>
      <c r="F38" s="29">
        <v>32.239296000000003</v>
      </c>
      <c r="G38" s="30">
        <v>1.0453219999999999E-2</v>
      </c>
      <c r="H38" s="25" t="s">
        <v>148</v>
      </c>
    </row>
    <row r="39" spans="1:8" x14ac:dyDescent="0.2">
      <c r="A39" s="26">
        <v>33</v>
      </c>
      <c r="B39" s="27" t="s">
        <v>420</v>
      </c>
      <c r="C39" s="27" t="s">
        <v>421</v>
      </c>
      <c r="D39" s="27" t="s">
        <v>51</v>
      </c>
      <c r="E39" s="28">
        <v>3447</v>
      </c>
      <c r="F39" s="29">
        <v>24.868381500000002</v>
      </c>
      <c r="G39" s="30">
        <v>8.0632900000000007E-3</v>
      </c>
      <c r="H39" s="25" t="s">
        <v>148</v>
      </c>
    </row>
    <row r="40" spans="1:8" x14ac:dyDescent="0.2">
      <c r="A40" s="26">
        <v>34</v>
      </c>
      <c r="B40" s="27" t="s">
        <v>430</v>
      </c>
      <c r="C40" s="27" t="s">
        <v>431</v>
      </c>
      <c r="D40" s="27" t="s">
        <v>69</v>
      </c>
      <c r="E40" s="28">
        <v>4314</v>
      </c>
      <c r="F40" s="29">
        <v>14.574849</v>
      </c>
      <c r="G40" s="30">
        <v>4.72573E-3</v>
      </c>
      <c r="H40" s="25" t="s">
        <v>148</v>
      </c>
    </row>
    <row r="41" spans="1:8" x14ac:dyDescent="0.2">
      <c r="A41" s="23"/>
      <c r="B41" s="23"/>
      <c r="C41" s="24" t="s">
        <v>147</v>
      </c>
      <c r="D41" s="23"/>
      <c r="E41" s="23" t="s">
        <v>148</v>
      </c>
      <c r="F41" s="31">
        <v>2923.6505665</v>
      </c>
      <c r="G41" s="32">
        <v>0.94796027000000005</v>
      </c>
      <c r="H41" s="25" t="s">
        <v>148</v>
      </c>
    </row>
    <row r="42" spans="1:8" x14ac:dyDescent="0.2">
      <c r="A42" s="23"/>
      <c r="B42" s="23"/>
      <c r="C42" s="33"/>
      <c r="D42" s="23"/>
      <c r="E42" s="23"/>
      <c r="F42" s="34"/>
      <c r="G42" s="34"/>
      <c r="H42" s="25" t="s">
        <v>148</v>
      </c>
    </row>
    <row r="43" spans="1:8" x14ac:dyDescent="0.2">
      <c r="A43" s="23"/>
      <c r="B43" s="23"/>
      <c r="C43" s="24" t="s">
        <v>149</v>
      </c>
      <c r="D43" s="23"/>
      <c r="E43" s="23"/>
      <c r="F43" s="23"/>
      <c r="G43" s="23"/>
      <c r="H43" s="25" t="s">
        <v>148</v>
      </c>
    </row>
    <row r="44" spans="1:8" x14ac:dyDescent="0.2">
      <c r="A44" s="23"/>
      <c r="B44" s="23"/>
      <c r="C44" s="24" t="s">
        <v>147</v>
      </c>
      <c r="D44" s="23"/>
      <c r="E44" s="23" t="s">
        <v>148</v>
      </c>
      <c r="F44" s="35" t="s">
        <v>150</v>
      </c>
      <c r="G44" s="32">
        <v>0</v>
      </c>
      <c r="H44" s="25" t="s">
        <v>148</v>
      </c>
    </row>
    <row r="45" spans="1:8" x14ac:dyDescent="0.2">
      <c r="A45" s="23"/>
      <c r="B45" s="23"/>
      <c r="C45" s="33"/>
      <c r="D45" s="23"/>
      <c r="E45" s="23"/>
      <c r="F45" s="34"/>
      <c r="G45" s="34"/>
      <c r="H45" s="25" t="s">
        <v>148</v>
      </c>
    </row>
    <row r="46" spans="1:8" x14ac:dyDescent="0.2">
      <c r="A46" s="23"/>
      <c r="B46" s="23"/>
      <c r="C46" s="24" t="s">
        <v>151</v>
      </c>
      <c r="D46" s="23"/>
      <c r="E46" s="23"/>
      <c r="F46" s="23"/>
      <c r="G46" s="23"/>
      <c r="H46" s="25" t="s">
        <v>148</v>
      </c>
    </row>
    <row r="47" spans="1:8" x14ac:dyDescent="0.2">
      <c r="A47" s="23"/>
      <c r="B47" s="23"/>
      <c r="C47" s="24" t="s">
        <v>147</v>
      </c>
      <c r="D47" s="23"/>
      <c r="E47" s="23" t="s">
        <v>148</v>
      </c>
      <c r="F47" s="35" t="s">
        <v>150</v>
      </c>
      <c r="G47" s="32">
        <v>0</v>
      </c>
      <c r="H47" s="25" t="s">
        <v>148</v>
      </c>
    </row>
    <row r="48" spans="1:8" x14ac:dyDescent="0.2">
      <c r="A48" s="23"/>
      <c r="B48" s="23"/>
      <c r="C48" s="33"/>
      <c r="D48" s="23"/>
      <c r="E48" s="23"/>
      <c r="F48" s="34"/>
      <c r="G48" s="34"/>
      <c r="H48" s="25" t="s">
        <v>148</v>
      </c>
    </row>
    <row r="49" spans="1:8" x14ac:dyDescent="0.2">
      <c r="A49" s="23"/>
      <c r="B49" s="23"/>
      <c r="C49" s="24" t="s">
        <v>152</v>
      </c>
      <c r="D49" s="23"/>
      <c r="E49" s="23"/>
      <c r="F49" s="23"/>
      <c r="G49" s="23"/>
      <c r="H49" s="25" t="s">
        <v>148</v>
      </c>
    </row>
    <row r="50" spans="1:8" x14ac:dyDescent="0.2">
      <c r="A50" s="23"/>
      <c r="B50" s="23"/>
      <c r="C50" s="24" t="s">
        <v>147</v>
      </c>
      <c r="D50" s="23"/>
      <c r="E50" s="23" t="s">
        <v>148</v>
      </c>
      <c r="F50" s="35" t="s">
        <v>150</v>
      </c>
      <c r="G50" s="32">
        <v>0</v>
      </c>
      <c r="H50" s="25" t="s">
        <v>148</v>
      </c>
    </row>
    <row r="51" spans="1:8" x14ac:dyDescent="0.2">
      <c r="A51" s="23"/>
      <c r="B51" s="23"/>
      <c r="C51" s="33"/>
      <c r="D51" s="23"/>
      <c r="E51" s="23"/>
      <c r="F51" s="34"/>
      <c r="G51" s="34"/>
      <c r="H51" s="25" t="s">
        <v>148</v>
      </c>
    </row>
    <row r="52" spans="1:8" x14ac:dyDescent="0.2">
      <c r="A52" s="23"/>
      <c r="B52" s="23"/>
      <c r="C52" s="24" t="s">
        <v>153</v>
      </c>
      <c r="D52" s="23"/>
      <c r="E52" s="23"/>
      <c r="F52" s="34"/>
      <c r="G52" s="34"/>
      <c r="H52" s="25" t="s">
        <v>148</v>
      </c>
    </row>
    <row r="53" spans="1:8" x14ac:dyDescent="0.2">
      <c r="A53" s="23"/>
      <c r="B53" s="23"/>
      <c r="C53" s="24" t="s">
        <v>147</v>
      </c>
      <c r="D53" s="23"/>
      <c r="E53" s="23" t="s">
        <v>148</v>
      </c>
      <c r="F53" s="35" t="s">
        <v>150</v>
      </c>
      <c r="G53" s="32">
        <v>0</v>
      </c>
      <c r="H53" s="25" t="s">
        <v>148</v>
      </c>
    </row>
    <row r="54" spans="1:8" x14ac:dyDescent="0.2">
      <c r="A54" s="23"/>
      <c r="B54" s="23"/>
      <c r="C54" s="33"/>
      <c r="D54" s="23"/>
      <c r="E54" s="23"/>
      <c r="F54" s="34"/>
      <c r="G54" s="34"/>
      <c r="H54" s="25" t="s">
        <v>148</v>
      </c>
    </row>
    <row r="55" spans="1:8" x14ac:dyDescent="0.2">
      <c r="A55" s="23"/>
      <c r="B55" s="23"/>
      <c r="C55" s="24" t="s">
        <v>154</v>
      </c>
      <c r="D55" s="23"/>
      <c r="E55" s="23"/>
      <c r="F55" s="34"/>
      <c r="G55" s="34"/>
      <c r="H55" s="25" t="s">
        <v>148</v>
      </c>
    </row>
    <row r="56" spans="1:8" x14ac:dyDescent="0.2">
      <c r="A56" s="23"/>
      <c r="B56" s="23"/>
      <c r="C56" s="24" t="s">
        <v>147</v>
      </c>
      <c r="D56" s="23"/>
      <c r="E56" s="23" t="s">
        <v>148</v>
      </c>
      <c r="F56" s="35" t="s">
        <v>150</v>
      </c>
      <c r="G56" s="32">
        <v>0</v>
      </c>
      <c r="H56" s="25" t="s">
        <v>148</v>
      </c>
    </row>
    <row r="57" spans="1:8" x14ac:dyDescent="0.2">
      <c r="A57" s="23"/>
      <c r="B57" s="23"/>
      <c r="C57" s="33"/>
      <c r="D57" s="23"/>
      <c r="E57" s="23"/>
      <c r="F57" s="34"/>
      <c r="G57" s="34"/>
      <c r="H57" s="25" t="s">
        <v>148</v>
      </c>
    </row>
    <row r="58" spans="1:8" x14ac:dyDescent="0.2">
      <c r="A58" s="23"/>
      <c r="B58" s="23"/>
      <c r="C58" s="24" t="s">
        <v>155</v>
      </c>
      <c r="D58" s="23"/>
      <c r="E58" s="23"/>
      <c r="F58" s="31">
        <v>2923.6505665</v>
      </c>
      <c r="G58" s="32">
        <v>0.94796027000000005</v>
      </c>
      <c r="H58" s="25" t="s">
        <v>148</v>
      </c>
    </row>
    <row r="59" spans="1:8" x14ac:dyDescent="0.2">
      <c r="A59" s="23"/>
      <c r="B59" s="23"/>
      <c r="C59" s="33"/>
      <c r="D59" s="23"/>
      <c r="E59" s="23"/>
      <c r="F59" s="34"/>
      <c r="G59" s="34"/>
      <c r="H59" s="25" t="s">
        <v>148</v>
      </c>
    </row>
    <row r="60" spans="1:8" x14ac:dyDescent="0.2">
      <c r="A60" s="23"/>
      <c r="B60" s="23"/>
      <c r="C60" s="24" t="s">
        <v>156</v>
      </c>
      <c r="D60" s="23"/>
      <c r="E60" s="23"/>
      <c r="F60" s="34"/>
      <c r="G60" s="34"/>
      <c r="H60" s="25" t="s">
        <v>148</v>
      </c>
    </row>
    <row r="61" spans="1:8" x14ac:dyDescent="0.2">
      <c r="A61" s="23"/>
      <c r="B61" s="23"/>
      <c r="C61" s="24" t="s">
        <v>10</v>
      </c>
      <c r="D61" s="23"/>
      <c r="E61" s="23"/>
      <c r="F61" s="34"/>
      <c r="G61" s="34"/>
      <c r="H61" s="25" t="s">
        <v>148</v>
      </c>
    </row>
    <row r="62" spans="1:8" x14ac:dyDescent="0.2">
      <c r="A62" s="23"/>
      <c r="B62" s="23"/>
      <c r="C62" s="24" t="s">
        <v>147</v>
      </c>
      <c r="D62" s="23"/>
      <c r="E62" s="23" t="s">
        <v>148</v>
      </c>
      <c r="F62" s="35" t="s">
        <v>150</v>
      </c>
      <c r="G62" s="32">
        <v>0</v>
      </c>
      <c r="H62" s="25" t="s">
        <v>148</v>
      </c>
    </row>
    <row r="63" spans="1:8" x14ac:dyDescent="0.2">
      <c r="A63" s="23"/>
      <c r="B63" s="23"/>
      <c r="C63" s="33"/>
      <c r="D63" s="23"/>
      <c r="E63" s="23"/>
      <c r="F63" s="34"/>
      <c r="G63" s="34"/>
      <c r="H63" s="25" t="s">
        <v>148</v>
      </c>
    </row>
    <row r="64" spans="1:8" x14ac:dyDescent="0.2">
      <c r="A64" s="23"/>
      <c r="B64" s="23"/>
      <c r="C64" s="24" t="s">
        <v>157</v>
      </c>
      <c r="D64" s="23"/>
      <c r="E64" s="23"/>
      <c r="F64" s="23"/>
      <c r="G64" s="23"/>
      <c r="H64" s="25" t="s">
        <v>148</v>
      </c>
    </row>
    <row r="65" spans="1:8" x14ac:dyDescent="0.2">
      <c r="A65" s="23"/>
      <c r="B65" s="23"/>
      <c r="C65" s="24" t="s">
        <v>147</v>
      </c>
      <c r="D65" s="23"/>
      <c r="E65" s="23" t="s">
        <v>148</v>
      </c>
      <c r="F65" s="35" t="s">
        <v>150</v>
      </c>
      <c r="G65" s="32">
        <v>0</v>
      </c>
      <c r="H65" s="25" t="s">
        <v>148</v>
      </c>
    </row>
    <row r="66" spans="1:8" x14ac:dyDescent="0.2">
      <c r="A66" s="23"/>
      <c r="B66" s="23"/>
      <c r="C66" s="33"/>
      <c r="D66" s="23"/>
      <c r="E66" s="23"/>
      <c r="F66" s="34"/>
      <c r="G66" s="34"/>
      <c r="H66" s="25" t="s">
        <v>148</v>
      </c>
    </row>
    <row r="67" spans="1:8" x14ac:dyDescent="0.2">
      <c r="A67" s="23"/>
      <c r="B67" s="23"/>
      <c r="C67" s="24" t="s">
        <v>158</v>
      </c>
      <c r="D67" s="23"/>
      <c r="E67" s="23"/>
      <c r="F67" s="23"/>
      <c r="G67" s="23"/>
      <c r="H67" s="25" t="s">
        <v>148</v>
      </c>
    </row>
    <row r="68" spans="1:8" x14ac:dyDescent="0.2">
      <c r="A68" s="23"/>
      <c r="B68" s="23"/>
      <c r="C68" s="24" t="s">
        <v>147</v>
      </c>
      <c r="D68" s="23"/>
      <c r="E68" s="23" t="s">
        <v>148</v>
      </c>
      <c r="F68" s="35" t="s">
        <v>150</v>
      </c>
      <c r="G68" s="32">
        <v>0</v>
      </c>
      <c r="H68" s="25" t="s">
        <v>148</v>
      </c>
    </row>
    <row r="69" spans="1:8" x14ac:dyDescent="0.2">
      <c r="A69" s="23"/>
      <c r="B69" s="23"/>
      <c r="C69" s="33"/>
      <c r="D69" s="23"/>
      <c r="E69" s="23"/>
      <c r="F69" s="34"/>
      <c r="G69" s="34"/>
      <c r="H69" s="25" t="s">
        <v>148</v>
      </c>
    </row>
    <row r="70" spans="1:8" x14ac:dyDescent="0.2">
      <c r="A70" s="23"/>
      <c r="B70" s="23"/>
      <c r="C70" s="24" t="s">
        <v>159</v>
      </c>
      <c r="D70" s="23"/>
      <c r="E70" s="23"/>
      <c r="F70" s="34"/>
      <c r="G70" s="34"/>
      <c r="H70" s="25" t="s">
        <v>148</v>
      </c>
    </row>
    <row r="71" spans="1:8" x14ac:dyDescent="0.2">
      <c r="A71" s="23"/>
      <c r="B71" s="23"/>
      <c r="C71" s="24" t="s">
        <v>147</v>
      </c>
      <c r="D71" s="23"/>
      <c r="E71" s="23" t="s">
        <v>148</v>
      </c>
      <c r="F71" s="35" t="s">
        <v>150</v>
      </c>
      <c r="G71" s="32">
        <v>0</v>
      </c>
      <c r="H71" s="25" t="s">
        <v>148</v>
      </c>
    </row>
    <row r="72" spans="1:8" x14ac:dyDescent="0.2">
      <c r="A72" s="23"/>
      <c r="B72" s="23"/>
      <c r="C72" s="33"/>
      <c r="D72" s="23"/>
      <c r="E72" s="23"/>
      <c r="F72" s="34"/>
      <c r="G72" s="34"/>
      <c r="H72" s="25" t="s">
        <v>148</v>
      </c>
    </row>
    <row r="73" spans="1:8" x14ac:dyDescent="0.2">
      <c r="A73" s="23"/>
      <c r="B73" s="23"/>
      <c r="C73" s="24" t="s">
        <v>160</v>
      </c>
      <c r="D73" s="23"/>
      <c r="E73" s="23"/>
      <c r="F73" s="31">
        <v>0</v>
      </c>
      <c r="G73" s="32">
        <v>0</v>
      </c>
      <c r="H73" s="25" t="s">
        <v>148</v>
      </c>
    </row>
    <row r="74" spans="1:8" x14ac:dyDescent="0.2">
      <c r="A74" s="23"/>
      <c r="B74" s="23"/>
      <c r="C74" s="33"/>
      <c r="D74" s="23"/>
      <c r="E74" s="23"/>
      <c r="F74" s="34"/>
      <c r="G74" s="34"/>
      <c r="H74" s="25" t="s">
        <v>148</v>
      </c>
    </row>
    <row r="75" spans="1:8" x14ac:dyDescent="0.2">
      <c r="A75" s="23"/>
      <c r="B75" s="23"/>
      <c r="C75" s="24" t="s">
        <v>161</v>
      </c>
      <c r="D75" s="23"/>
      <c r="E75" s="23"/>
      <c r="F75" s="34"/>
      <c r="G75" s="34"/>
      <c r="H75" s="25" t="s">
        <v>148</v>
      </c>
    </row>
    <row r="76" spans="1:8" x14ac:dyDescent="0.2">
      <c r="A76" s="23"/>
      <c r="B76" s="23"/>
      <c r="C76" s="24" t="s">
        <v>162</v>
      </c>
      <c r="D76" s="23"/>
      <c r="E76" s="23"/>
      <c r="F76" s="34"/>
      <c r="G76" s="34"/>
      <c r="H76" s="25" t="s">
        <v>148</v>
      </c>
    </row>
    <row r="77" spans="1:8" x14ac:dyDescent="0.2">
      <c r="A77" s="23"/>
      <c r="B77" s="23"/>
      <c r="C77" s="24" t="s">
        <v>147</v>
      </c>
      <c r="D77" s="23"/>
      <c r="E77" s="23" t="s">
        <v>148</v>
      </c>
      <c r="F77" s="35" t="s">
        <v>150</v>
      </c>
      <c r="G77" s="32">
        <v>0</v>
      </c>
      <c r="H77" s="25" t="s">
        <v>148</v>
      </c>
    </row>
    <row r="78" spans="1:8" x14ac:dyDescent="0.2">
      <c r="A78" s="23"/>
      <c r="B78" s="23"/>
      <c r="C78" s="33"/>
      <c r="D78" s="23"/>
      <c r="E78" s="23"/>
      <c r="F78" s="34"/>
      <c r="G78" s="34"/>
      <c r="H78" s="25" t="s">
        <v>148</v>
      </c>
    </row>
    <row r="79" spans="1:8" x14ac:dyDescent="0.2">
      <c r="A79" s="23"/>
      <c r="B79" s="23"/>
      <c r="C79" s="24" t="s">
        <v>163</v>
      </c>
      <c r="D79" s="23"/>
      <c r="E79" s="23"/>
      <c r="F79" s="34"/>
      <c r="G79" s="34"/>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164</v>
      </c>
      <c r="D82" s="23"/>
      <c r="E82" s="23"/>
      <c r="F82" s="34"/>
      <c r="G82" s="34"/>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165</v>
      </c>
      <c r="D85" s="23"/>
      <c r="E85" s="23"/>
      <c r="F85" s="34"/>
      <c r="G85" s="34"/>
      <c r="H85" s="25" t="s">
        <v>148</v>
      </c>
    </row>
    <row r="86" spans="1:8" x14ac:dyDescent="0.2">
      <c r="A86" s="26">
        <v>1</v>
      </c>
      <c r="B86" s="27"/>
      <c r="C86" s="27" t="s">
        <v>166</v>
      </c>
      <c r="D86" s="27"/>
      <c r="E86" s="36"/>
      <c r="F86" s="29">
        <v>160.52041059999999</v>
      </c>
      <c r="G86" s="30">
        <v>5.2046910000000002E-2</v>
      </c>
      <c r="H86" s="25">
        <v>6.23</v>
      </c>
    </row>
    <row r="87" spans="1:8" x14ac:dyDescent="0.2">
      <c r="A87" s="23"/>
      <c r="B87" s="23"/>
      <c r="C87" s="24" t="s">
        <v>147</v>
      </c>
      <c r="D87" s="23"/>
      <c r="E87" s="23" t="s">
        <v>148</v>
      </c>
      <c r="F87" s="31">
        <v>160.52041059999999</v>
      </c>
      <c r="G87" s="32">
        <v>5.2046910000000002E-2</v>
      </c>
      <c r="H87" s="25" t="s">
        <v>148</v>
      </c>
    </row>
    <row r="88" spans="1:8" x14ac:dyDescent="0.2">
      <c r="A88" s="23"/>
      <c r="B88" s="23"/>
      <c r="C88" s="33"/>
      <c r="D88" s="23"/>
      <c r="E88" s="23"/>
      <c r="F88" s="34"/>
      <c r="G88" s="34"/>
      <c r="H88" s="25" t="s">
        <v>148</v>
      </c>
    </row>
    <row r="89" spans="1:8" x14ac:dyDescent="0.2">
      <c r="A89" s="23"/>
      <c r="B89" s="23"/>
      <c r="C89" s="24" t="s">
        <v>167</v>
      </c>
      <c r="D89" s="23"/>
      <c r="E89" s="23"/>
      <c r="F89" s="31">
        <v>160.52041059999999</v>
      </c>
      <c r="G89" s="32">
        <v>5.2046910000000002E-2</v>
      </c>
      <c r="H89" s="25" t="s">
        <v>148</v>
      </c>
    </row>
    <row r="90" spans="1:8" x14ac:dyDescent="0.2">
      <c r="A90" s="23"/>
      <c r="B90" s="23"/>
      <c r="C90" s="34"/>
      <c r="D90" s="23"/>
      <c r="E90" s="23"/>
      <c r="F90" s="23"/>
      <c r="G90" s="23"/>
      <c r="H90" s="25" t="s">
        <v>148</v>
      </c>
    </row>
    <row r="91" spans="1:8" x14ac:dyDescent="0.2">
      <c r="A91" s="23"/>
      <c r="B91" s="23"/>
      <c r="C91" s="24" t="s">
        <v>168</v>
      </c>
      <c r="D91" s="23"/>
      <c r="E91" s="23"/>
      <c r="F91" s="23"/>
      <c r="G91" s="23"/>
      <c r="H91" s="25" t="s">
        <v>148</v>
      </c>
    </row>
    <row r="92" spans="1:8" x14ac:dyDescent="0.2">
      <c r="A92" s="23"/>
      <c r="B92" s="23"/>
      <c r="C92" s="24" t="s">
        <v>169</v>
      </c>
      <c r="D92" s="23"/>
      <c r="E92" s="23"/>
      <c r="F92" s="23"/>
      <c r="G92" s="23"/>
      <c r="H92" s="25" t="s">
        <v>148</v>
      </c>
    </row>
    <row r="93" spans="1:8" x14ac:dyDescent="0.2">
      <c r="A93" s="23"/>
      <c r="B93" s="23"/>
      <c r="C93" s="24" t="s">
        <v>147</v>
      </c>
      <c r="D93" s="23"/>
      <c r="E93" s="23" t="s">
        <v>148</v>
      </c>
      <c r="F93" s="35" t="s">
        <v>150</v>
      </c>
      <c r="G93" s="32">
        <v>0</v>
      </c>
      <c r="H93" s="25" t="s">
        <v>148</v>
      </c>
    </row>
    <row r="94" spans="1:8" x14ac:dyDescent="0.2">
      <c r="A94" s="23"/>
      <c r="B94" s="23"/>
      <c r="C94" s="33"/>
      <c r="D94" s="23"/>
      <c r="E94" s="23"/>
      <c r="F94" s="34"/>
      <c r="G94" s="34"/>
      <c r="H94" s="25" t="s">
        <v>148</v>
      </c>
    </row>
    <row r="95" spans="1:8" x14ac:dyDescent="0.2">
      <c r="A95" s="23"/>
      <c r="B95" s="23"/>
      <c r="C95" s="24" t="s">
        <v>172</v>
      </c>
      <c r="D95" s="23"/>
      <c r="E95" s="23"/>
      <c r="F95" s="23"/>
      <c r="G95" s="23"/>
      <c r="H95" s="25" t="s">
        <v>148</v>
      </c>
    </row>
    <row r="96" spans="1:8" x14ac:dyDescent="0.2">
      <c r="A96" s="23"/>
      <c r="B96" s="23"/>
      <c r="C96" s="24" t="s">
        <v>173</v>
      </c>
      <c r="D96" s="23"/>
      <c r="E96" s="23"/>
      <c r="F96" s="23"/>
      <c r="G96" s="23"/>
      <c r="H96" s="25" t="s">
        <v>148</v>
      </c>
    </row>
    <row r="97" spans="1:17" x14ac:dyDescent="0.2">
      <c r="A97" s="23"/>
      <c r="B97" s="23"/>
      <c r="C97" s="24" t="s">
        <v>147</v>
      </c>
      <c r="D97" s="23"/>
      <c r="E97" s="23" t="s">
        <v>148</v>
      </c>
      <c r="F97" s="35" t="s">
        <v>150</v>
      </c>
      <c r="G97" s="32">
        <v>0</v>
      </c>
      <c r="H97" s="25" t="s">
        <v>148</v>
      </c>
    </row>
    <row r="98" spans="1:17" x14ac:dyDescent="0.2">
      <c r="A98" s="23"/>
      <c r="B98" s="23"/>
      <c r="C98" s="33"/>
      <c r="D98" s="23"/>
      <c r="E98" s="23"/>
      <c r="F98" s="34"/>
      <c r="G98" s="34"/>
      <c r="H98" s="25" t="s">
        <v>148</v>
      </c>
    </row>
    <row r="99" spans="1:17" x14ac:dyDescent="0.2">
      <c r="A99" s="23"/>
      <c r="B99" s="23"/>
      <c r="C99" s="24" t="s">
        <v>174</v>
      </c>
      <c r="D99" s="23"/>
      <c r="E99" s="23"/>
      <c r="F99" s="34"/>
      <c r="G99" s="34"/>
      <c r="H99" s="25" t="s">
        <v>148</v>
      </c>
    </row>
    <row r="100" spans="1:17" x14ac:dyDescent="0.2">
      <c r="A100" s="23"/>
      <c r="B100" s="23"/>
      <c r="C100" s="24" t="s">
        <v>147</v>
      </c>
      <c r="D100" s="23"/>
      <c r="E100" s="23" t="s">
        <v>148</v>
      </c>
      <c r="F100" s="35" t="s">
        <v>150</v>
      </c>
      <c r="G100" s="32">
        <v>0</v>
      </c>
      <c r="H100" s="25" t="s">
        <v>148</v>
      </c>
    </row>
    <row r="101" spans="1:17" x14ac:dyDescent="0.2">
      <c r="A101" s="23"/>
      <c r="B101" s="23"/>
      <c r="C101" s="33"/>
      <c r="D101" s="23"/>
      <c r="E101" s="23"/>
      <c r="F101" s="34"/>
      <c r="G101" s="34"/>
      <c r="H101" s="25" t="s">
        <v>148</v>
      </c>
    </row>
    <row r="102" spans="1:17" x14ac:dyDescent="0.2">
      <c r="A102" s="36"/>
      <c r="B102" s="27"/>
      <c r="C102" s="27" t="s">
        <v>175</v>
      </c>
      <c r="D102" s="27"/>
      <c r="E102" s="36"/>
      <c r="F102" s="29">
        <v>-2.2110109999999999E-2</v>
      </c>
      <c r="G102" s="30">
        <v>-7.17E-6</v>
      </c>
      <c r="H102" s="25" t="s">
        <v>148</v>
      </c>
    </row>
    <row r="103" spans="1:17" x14ac:dyDescent="0.2">
      <c r="A103" s="33"/>
      <c r="B103" s="33"/>
      <c r="C103" s="24" t="s">
        <v>176</v>
      </c>
      <c r="D103" s="34"/>
      <c r="E103" s="34"/>
      <c r="F103" s="31">
        <v>3084.14886699</v>
      </c>
      <c r="G103" s="39">
        <v>1.0000000099999999</v>
      </c>
      <c r="H103" s="25" t="s">
        <v>148</v>
      </c>
    </row>
    <row r="104" spans="1:17" x14ac:dyDescent="0.2">
      <c r="A104" s="40"/>
      <c r="B104" s="40"/>
      <c r="C104" s="40"/>
      <c r="D104" s="41"/>
      <c r="E104" s="41"/>
      <c r="F104" s="41"/>
      <c r="G104" s="41"/>
    </row>
    <row r="105" spans="1:17" x14ac:dyDescent="0.2">
      <c r="A105" s="42"/>
      <c r="B105" s="237" t="s">
        <v>891</v>
      </c>
      <c r="C105" s="237"/>
      <c r="D105" s="237"/>
      <c r="E105" s="237"/>
      <c r="F105" s="237"/>
      <c r="G105" s="237"/>
      <c r="H105" s="237"/>
      <c r="J105" s="44"/>
    </row>
    <row r="106" spans="1:17" x14ac:dyDescent="0.2">
      <c r="A106" s="42"/>
      <c r="B106" s="237" t="s">
        <v>892</v>
      </c>
      <c r="C106" s="237"/>
      <c r="D106" s="237"/>
      <c r="E106" s="237"/>
      <c r="F106" s="237"/>
      <c r="G106" s="237"/>
      <c r="H106" s="237"/>
      <c r="J106" s="44"/>
    </row>
    <row r="107" spans="1:17" x14ac:dyDescent="0.2">
      <c r="A107" s="42"/>
      <c r="B107" s="237" t="s">
        <v>893</v>
      </c>
      <c r="C107" s="237"/>
      <c r="D107" s="237"/>
      <c r="E107" s="237"/>
      <c r="F107" s="237"/>
      <c r="G107" s="237"/>
      <c r="H107" s="237"/>
      <c r="J107" s="44"/>
    </row>
    <row r="108" spans="1:17" s="46" customFormat="1" ht="66.75" customHeight="1" x14ac:dyDescent="0.25">
      <c r="A108" s="45"/>
      <c r="B108" s="239" t="s">
        <v>894</v>
      </c>
      <c r="C108" s="239"/>
      <c r="D108" s="239"/>
      <c r="E108" s="239"/>
      <c r="F108" s="239"/>
      <c r="G108" s="239"/>
      <c r="H108" s="239"/>
      <c r="I108"/>
      <c r="J108" s="44"/>
      <c r="K108"/>
      <c r="L108"/>
      <c r="M108"/>
      <c r="N108"/>
      <c r="O108"/>
      <c r="P108"/>
      <c r="Q108"/>
    </row>
    <row r="109" spans="1:17" x14ac:dyDescent="0.2">
      <c r="A109" s="42"/>
      <c r="B109" s="237" t="s">
        <v>895</v>
      </c>
      <c r="C109" s="237"/>
      <c r="D109" s="237"/>
      <c r="E109" s="237"/>
      <c r="F109" s="237"/>
      <c r="G109" s="237"/>
      <c r="H109" s="237"/>
      <c r="J109" s="44"/>
    </row>
    <row r="110" spans="1:17" x14ac:dyDescent="0.2">
      <c r="A110" s="47"/>
      <c r="B110" s="47"/>
      <c r="C110" s="47"/>
      <c r="D110" s="48"/>
      <c r="E110" s="48"/>
      <c r="F110" s="48"/>
      <c r="G110" s="48"/>
    </row>
    <row r="111" spans="1:17" x14ac:dyDescent="0.2">
      <c r="A111" s="47"/>
      <c r="B111" s="234" t="s">
        <v>177</v>
      </c>
      <c r="C111" s="235"/>
      <c r="D111" s="236"/>
      <c r="E111" s="49"/>
      <c r="F111" s="48"/>
      <c r="G111" s="48"/>
    </row>
    <row r="112" spans="1:17" x14ac:dyDescent="0.2">
      <c r="A112" s="47"/>
      <c r="B112" s="232" t="s">
        <v>178</v>
      </c>
      <c r="C112" s="233"/>
      <c r="D112" s="24" t="s">
        <v>179</v>
      </c>
      <c r="E112" s="49"/>
      <c r="F112" s="48"/>
      <c r="G112" s="48"/>
    </row>
    <row r="113" spans="1:10" ht="12.75" customHeight="1" x14ac:dyDescent="0.2">
      <c r="A113" s="47"/>
      <c r="B113" s="240" t="s">
        <v>897</v>
      </c>
      <c r="C113" s="241"/>
      <c r="D113" s="24" t="s">
        <v>179</v>
      </c>
      <c r="E113" s="49"/>
      <c r="F113" s="48"/>
      <c r="G113" s="48"/>
    </row>
    <row r="114" spans="1:10" x14ac:dyDescent="0.2">
      <c r="A114" s="47"/>
      <c r="B114" s="232" t="s">
        <v>181</v>
      </c>
      <c r="C114" s="233"/>
      <c r="D114" s="34" t="s">
        <v>148</v>
      </c>
      <c r="E114" s="49"/>
      <c r="F114" s="48"/>
      <c r="G114" s="48"/>
    </row>
    <row r="115" spans="1:10" x14ac:dyDescent="0.2">
      <c r="A115" s="50"/>
      <c r="B115" s="51" t="s">
        <v>148</v>
      </c>
      <c r="C115" s="51" t="s">
        <v>896</v>
      </c>
      <c r="D115" s="51" t="s">
        <v>182</v>
      </c>
      <c r="E115" s="50"/>
      <c r="F115" s="50"/>
      <c r="G115" s="50"/>
      <c r="H115" s="50"/>
      <c r="J115" s="44"/>
    </row>
    <row r="116" spans="1:10" x14ac:dyDescent="0.2">
      <c r="A116" s="50"/>
      <c r="B116" s="52" t="s">
        <v>183</v>
      </c>
      <c r="C116" s="53">
        <v>45688</v>
      </c>
      <c r="D116" s="53">
        <v>45716</v>
      </c>
      <c r="E116" s="50"/>
      <c r="F116" s="50"/>
      <c r="G116" s="50"/>
      <c r="J116" s="44"/>
    </row>
    <row r="117" spans="1:10" x14ac:dyDescent="0.2">
      <c r="A117" s="54"/>
      <c r="B117" s="27" t="s">
        <v>184</v>
      </c>
      <c r="C117" s="55">
        <v>27.4282</v>
      </c>
      <c r="D117" s="55">
        <v>24.070699999999999</v>
      </c>
      <c r="E117" s="54"/>
      <c r="F117" s="56"/>
      <c r="G117" s="57"/>
    </row>
    <row r="118" spans="1:10" x14ac:dyDescent="0.2">
      <c r="A118" s="54"/>
      <c r="B118" s="27" t="s">
        <v>1070</v>
      </c>
      <c r="C118" s="55">
        <v>26.106000000000002</v>
      </c>
      <c r="D118" s="55">
        <v>22.910399999999999</v>
      </c>
      <c r="E118" s="54"/>
      <c r="F118" s="56"/>
      <c r="G118" s="57"/>
    </row>
    <row r="119" spans="1:10" x14ac:dyDescent="0.2">
      <c r="A119" s="54"/>
      <c r="B119" s="27" t="s">
        <v>186</v>
      </c>
      <c r="C119" s="55">
        <v>26.8384</v>
      </c>
      <c r="D119" s="55">
        <v>23.551100000000002</v>
      </c>
      <c r="E119" s="54"/>
      <c r="F119" s="56"/>
      <c r="G119" s="57"/>
    </row>
    <row r="120" spans="1:10" x14ac:dyDescent="0.2">
      <c r="A120" s="54"/>
      <c r="B120" s="27" t="s">
        <v>1071</v>
      </c>
      <c r="C120" s="55">
        <v>25.517600000000002</v>
      </c>
      <c r="D120" s="55">
        <v>22.392099999999999</v>
      </c>
      <c r="E120" s="54"/>
      <c r="F120" s="56"/>
      <c r="G120" s="57"/>
    </row>
    <row r="121" spans="1:10" x14ac:dyDescent="0.2">
      <c r="A121" s="54"/>
      <c r="B121" s="54"/>
      <c r="C121" s="54"/>
      <c r="D121" s="54"/>
      <c r="E121" s="54"/>
      <c r="F121" s="54"/>
      <c r="G121" s="54"/>
    </row>
    <row r="122" spans="1:10" x14ac:dyDescent="0.2">
      <c r="A122" s="50"/>
      <c r="B122" s="240" t="s">
        <v>898</v>
      </c>
      <c r="C122" s="241"/>
      <c r="D122" s="58" t="s">
        <v>179</v>
      </c>
      <c r="E122" s="50"/>
      <c r="F122" s="50"/>
      <c r="G122" s="50"/>
    </row>
    <row r="123" spans="1:10" x14ac:dyDescent="0.2">
      <c r="A123" s="50"/>
      <c r="B123" s="59"/>
      <c r="C123" s="59"/>
      <c r="D123" s="59"/>
      <c r="E123" s="50"/>
      <c r="F123" s="50"/>
      <c r="G123" s="50"/>
    </row>
    <row r="124" spans="1:10" x14ac:dyDescent="0.2">
      <c r="A124" s="50"/>
      <c r="B124" s="240" t="s">
        <v>188</v>
      </c>
      <c r="C124" s="241"/>
      <c r="D124" s="58" t="s">
        <v>179</v>
      </c>
      <c r="E124" s="60"/>
      <c r="F124" s="50"/>
      <c r="G124" s="50"/>
    </row>
    <row r="125" spans="1:10" x14ac:dyDescent="0.2">
      <c r="A125" s="50"/>
      <c r="B125" s="240" t="s">
        <v>189</v>
      </c>
      <c r="C125" s="241"/>
      <c r="D125" s="58" t="s">
        <v>179</v>
      </c>
      <c r="E125" s="60"/>
      <c r="F125" s="50"/>
      <c r="G125" s="50"/>
    </row>
    <row r="126" spans="1:10" x14ac:dyDescent="0.2">
      <c r="A126" s="50"/>
      <c r="B126" s="240" t="s">
        <v>190</v>
      </c>
      <c r="C126" s="241"/>
      <c r="D126" s="58" t="s">
        <v>179</v>
      </c>
      <c r="E126" s="60"/>
      <c r="F126" s="50"/>
      <c r="G126" s="50"/>
    </row>
    <row r="127" spans="1:10" x14ac:dyDescent="0.2">
      <c r="A127" s="50"/>
      <c r="B127" s="240" t="s">
        <v>191</v>
      </c>
      <c r="C127" s="241"/>
      <c r="D127" s="61">
        <v>0.3048788632633409</v>
      </c>
      <c r="E127" s="50"/>
      <c r="F127" s="43"/>
      <c r="G127" s="62"/>
    </row>
    <row r="129" spans="2:10" x14ac:dyDescent="0.2">
      <c r="B129" s="238" t="s">
        <v>899</v>
      </c>
      <c r="C129" s="238"/>
    </row>
    <row r="131" spans="2:10" ht="153.75" customHeight="1" x14ac:dyDescent="0.2"/>
    <row r="134" spans="2:10" x14ac:dyDescent="0.2">
      <c r="B134" s="68" t="s">
        <v>900</v>
      </c>
      <c r="C134" s="69"/>
      <c r="D134" s="68"/>
    </row>
    <row r="135" spans="2:10" x14ac:dyDescent="0.2">
      <c r="B135" s="68" t="s">
        <v>912</v>
      </c>
      <c r="D135" s="68"/>
    </row>
    <row r="136" spans="2:10" ht="165" customHeight="1" x14ac:dyDescent="0.2"/>
    <row r="137" spans="2:10" x14ac:dyDescent="0.2">
      <c r="J137" s="22"/>
    </row>
  </sheetData>
  <mergeCells count="18">
    <mergeCell ref="B129:C129"/>
    <mergeCell ref="A3:H3"/>
    <mergeCell ref="A2:H2"/>
    <mergeCell ref="B127:C127"/>
    <mergeCell ref="A1:H1"/>
    <mergeCell ref="B113:C113"/>
    <mergeCell ref="B114:C114"/>
    <mergeCell ref="B122:C122"/>
    <mergeCell ref="B126:C126"/>
    <mergeCell ref="B111:D111"/>
    <mergeCell ref="B112:C112"/>
    <mergeCell ref="B105:H105"/>
    <mergeCell ref="B106:H106"/>
    <mergeCell ref="B107:H107"/>
    <mergeCell ref="B108:H108"/>
    <mergeCell ref="B109:H109"/>
    <mergeCell ref="B124:C124"/>
    <mergeCell ref="B125:C125"/>
  </mergeCells>
  <hyperlinks>
    <hyperlink ref="I1" location="Index!B2" display="Index" xr:uid="{45C1327A-CB72-4304-86E7-841130F67FB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DC2D-69DC-4B0D-856B-00579125A3A5}">
  <sheetPr>
    <outlinePr summaryBelow="0" summaryRight="0"/>
  </sheetPr>
  <dimension ref="A1:Q138"/>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461</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351</v>
      </c>
      <c r="C7" s="27" t="s">
        <v>352</v>
      </c>
      <c r="D7" s="27" t="s">
        <v>240</v>
      </c>
      <c r="E7" s="28">
        <v>3236</v>
      </c>
      <c r="F7" s="29">
        <v>161.52979400000001</v>
      </c>
      <c r="G7" s="30">
        <v>6.122321E-2</v>
      </c>
      <c r="H7" s="25" t="s">
        <v>148</v>
      </c>
    </row>
    <row r="8" spans="1:9" x14ac:dyDescent="0.2">
      <c r="A8" s="26">
        <v>2</v>
      </c>
      <c r="B8" s="27" t="s">
        <v>380</v>
      </c>
      <c r="C8" s="27" t="s">
        <v>381</v>
      </c>
      <c r="D8" s="27" t="s">
        <v>51</v>
      </c>
      <c r="E8" s="28">
        <v>6658</v>
      </c>
      <c r="F8" s="29">
        <v>142.218209</v>
      </c>
      <c r="G8" s="30">
        <v>5.3903710000000001E-2</v>
      </c>
      <c r="H8" s="25" t="s">
        <v>148</v>
      </c>
    </row>
    <row r="9" spans="1:9" x14ac:dyDescent="0.2">
      <c r="A9" s="26">
        <v>3</v>
      </c>
      <c r="B9" s="27" t="s">
        <v>378</v>
      </c>
      <c r="C9" s="27" t="s">
        <v>379</v>
      </c>
      <c r="D9" s="27" t="s">
        <v>232</v>
      </c>
      <c r="E9" s="28">
        <v>43035</v>
      </c>
      <c r="F9" s="29">
        <v>133.5160875</v>
      </c>
      <c r="G9" s="30">
        <v>5.0605419999999998E-2</v>
      </c>
      <c r="H9" s="25" t="s">
        <v>148</v>
      </c>
    </row>
    <row r="10" spans="1:9" x14ac:dyDescent="0.2">
      <c r="A10" s="26">
        <v>4</v>
      </c>
      <c r="B10" s="27" t="s">
        <v>357</v>
      </c>
      <c r="C10" s="27" t="s">
        <v>358</v>
      </c>
      <c r="D10" s="27" t="s">
        <v>359</v>
      </c>
      <c r="E10" s="28">
        <v>8793</v>
      </c>
      <c r="F10" s="29">
        <v>123.1239825</v>
      </c>
      <c r="G10" s="30">
        <v>4.6666590000000001E-2</v>
      </c>
      <c r="H10" s="25" t="s">
        <v>148</v>
      </c>
    </row>
    <row r="11" spans="1:9" x14ac:dyDescent="0.2">
      <c r="A11" s="26">
        <v>5</v>
      </c>
      <c r="B11" s="27" t="s">
        <v>382</v>
      </c>
      <c r="C11" s="27" t="s">
        <v>383</v>
      </c>
      <c r="D11" s="27" t="s">
        <v>210</v>
      </c>
      <c r="E11" s="28">
        <v>28701</v>
      </c>
      <c r="F11" s="29">
        <v>115.6506795</v>
      </c>
      <c r="G11" s="30">
        <v>4.3834049999999999E-2</v>
      </c>
      <c r="H11" s="25" t="s">
        <v>148</v>
      </c>
    </row>
    <row r="12" spans="1:9" x14ac:dyDescent="0.2">
      <c r="A12" s="26">
        <v>6</v>
      </c>
      <c r="B12" s="27" t="s">
        <v>316</v>
      </c>
      <c r="C12" s="27" t="s">
        <v>317</v>
      </c>
      <c r="D12" s="27" t="s">
        <v>267</v>
      </c>
      <c r="E12" s="28">
        <v>2841</v>
      </c>
      <c r="F12" s="29">
        <v>106.88552249999999</v>
      </c>
      <c r="G12" s="30">
        <v>4.0511869999999998E-2</v>
      </c>
      <c r="H12" s="25" t="s">
        <v>148</v>
      </c>
    </row>
    <row r="13" spans="1:9" x14ac:dyDescent="0.2">
      <c r="A13" s="26">
        <v>7</v>
      </c>
      <c r="B13" s="27" t="s">
        <v>142</v>
      </c>
      <c r="C13" s="27" t="s">
        <v>143</v>
      </c>
      <c r="D13" s="27" t="s">
        <v>51</v>
      </c>
      <c r="E13" s="28">
        <v>39512</v>
      </c>
      <c r="F13" s="29">
        <v>106.26752399999999</v>
      </c>
      <c r="G13" s="30">
        <v>4.0277640000000003E-2</v>
      </c>
      <c r="H13" s="25" t="s">
        <v>148</v>
      </c>
    </row>
    <row r="14" spans="1:9" x14ac:dyDescent="0.2">
      <c r="A14" s="26">
        <v>8</v>
      </c>
      <c r="B14" s="27" t="s">
        <v>394</v>
      </c>
      <c r="C14" s="27" t="s">
        <v>395</v>
      </c>
      <c r="D14" s="27" t="s">
        <v>240</v>
      </c>
      <c r="E14" s="28">
        <v>4435</v>
      </c>
      <c r="F14" s="29">
        <v>96.201802499999999</v>
      </c>
      <c r="G14" s="30">
        <v>3.6462519999999998E-2</v>
      </c>
      <c r="H14" s="25" t="s">
        <v>148</v>
      </c>
    </row>
    <row r="15" spans="1:9" x14ac:dyDescent="0.2">
      <c r="A15" s="26">
        <v>9</v>
      </c>
      <c r="B15" s="27" t="s">
        <v>74</v>
      </c>
      <c r="C15" s="27" t="s">
        <v>75</v>
      </c>
      <c r="D15" s="27" t="s">
        <v>45</v>
      </c>
      <c r="E15" s="28">
        <v>15343</v>
      </c>
      <c r="F15" s="29">
        <v>94.666309999999996</v>
      </c>
      <c r="G15" s="30">
        <v>3.5880530000000001E-2</v>
      </c>
      <c r="H15" s="25" t="s">
        <v>148</v>
      </c>
    </row>
    <row r="16" spans="1:9" x14ac:dyDescent="0.2">
      <c r="A16" s="26">
        <v>10</v>
      </c>
      <c r="B16" s="27" t="s">
        <v>86</v>
      </c>
      <c r="C16" s="27" t="s">
        <v>87</v>
      </c>
      <c r="D16" s="27" t="s">
        <v>45</v>
      </c>
      <c r="E16" s="28">
        <v>2963</v>
      </c>
      <c r="F16" s="29">
        <v>90.968544499999993</v>
      </c>
      <c r="G16" s="30">
        <v>3.4479000000000003E-2</v>
      </c>
      <c r="H16" s="25" t="s">
        <v>148</v>
      </c>
    </row>
    <row r="17" spans="1:8" x14ac:dyDescent="0.2">
      <c r="A17" s="26">
        <v>11</v>
      </c>
      <c r="B17" s="27" t="s">
        <v>384</v>
      </c>
      <c r="C17" s="27" t="s">
        <v>385</v>
      </c>
      <c r="D17" s="27" t="s">
        <v>28</v>
      </c>
      <c r="E17" s="28">
        <v>31040</v>
      </c>
      <c r="F17" s="29">
        <v>87.765600000000006</v>
      </c>
      <c r="G17" s="30">
        <v>3.3265019999999999E-2</v>
      </c>
      <c r="H17" s="25" t="s">
        <v>148</v>
      </c>
    </row>
    <row r="18" spans="1:8" x14ac:dyDescent="0.2">
      <c r="A18" s="26">
        <v>12</v>
      </c>
      <c r="B18" s="27" t="s">
        <v>392</v>
      </c>
      <c r="C18" s="27" t="s">
        <v>393</v>
      </c>
      <c r="D18" s="27" t="s">
        <v>28</v>
      </c>
      <c r="E18" s="28">
        <v>141618</v>
      </c>
      <c r="F18" s="29">
        <v>80.538156599999994</v>
      </c>
      <c r="G18" s="30">
        <v>3.052566E-2</v>
      </c>
      <c r="H18" s="25" t="s">
        <v>148</v>
      </c>
    </row>
    <row r="19" spans="1:8" ht="25.5" x14ac:dyDescent="0.2">
      <c r="A19" s="26">
        <v>13</v>
      </c>
      <c r="B19" s="27" t="s">
        <v>410</v>
      </c>
      <c r="C19" s="27" t="s">
        <v>411</v>
      </c>
      <c r="D19" s="27" t="s">
        <v>202</v>
      </c>
      <c r="E19" s="28">
        <v>15078</v>
      </c>
      <c r="F19" s="29">
        <v>79.491215999999994</v>
      </c>
      <c r="G19" s="30">
        <v>3.0128849999999999E-2</v>
      </c>
      <c r="H19" s="25" t="s">
        <v>148</v>
      </c>
    </row>
    <row r="20" spans="1:8" ht="25.5" x14ac:dyDescent="0.2">
      <c r="A20" s="26">
        <v>14</v>
      </c>
      <c r="B20" s="27" t="s">
        <v>388</v>
      </c>
      <c r="C20" s="27" t="s">
        <v>389</v>
      </c>
      <c r="D20" s="27" t="s">
        <v>202</v>
      </c>
      <c r="E20" s="28">
        <v>1573</v>
      </c>
      <c r="F20" s="29">
        <v>79.185606500000006</v>
      </c>
      <c r="G20" s="30">
        <v>3.0013020000000001E-2</v>
      </c>
      <c r="H20" s="25" t="s">
        <v>148</v>
      </c>
    </row>
    <row r="21" spans="1:8" x14ac:dyDescent="0.2">
      <c r="A21" s="26">
        <v>15</v>
      </c>
      <c r="B21" s="27" t="s">
        <v>390</v>
      </c>
      <c r="C21" s="27" t="s">
        <v>391</v>
      </c>
      <c r="D21" s="27" t="s">
        <v>28</v>
      </c>
      <c r="E21" s="28">
        <v>241296</v>
      </c>
      <c r="F21" s="29">
        <v>77.528404800000004</v>
      </c>
      <c r="G21" s="30">
        <v>2.9384899999999999E-2</v>
      </c>
      <c r="H21" s="25" t="s">
        <v>148</v>
      </c>
    </row>
    <row r="22" spans="1:8" ht="25.5" x14ac:dyDescent="0.2">
      <c r="A22" s="26">
        <v>16</v>
      </c>
      <c r="B22" s="27" t="s">
        <v>398</v>
      </c>
      <c r="C22" s="27" t="s">
        <v>399</v>
      </c>
      <c r="D22" s="27" t="s">
        <v>400</v>
      </c>
      <c r="E22" s="28">
        <v>21854</v>
      </c>
      <c r="F22" s="29">
        <v>66.643772999999996</v>
      </c>
      <c r="G22" s="30">
        <v>2.5259400000000001E-2</v>
      </c>
      <c r="H22" s="25" t="s">
        <v>148</v>
      </c>
    </row>
    <row r="23" spans="1:8" x14ac:dyDescent="0.2">
      <c r="A23" s="26">
        <v>17</v>
      </c>
      <c r="B23" s="27" t="s">
        <v>414</v>
      </c>
      <c r="C23" s="27" t="s">
        <v>415</v>
      </c>
      <c r="D23" s="27" t="s">
        <v>205</v>
      </c>
      <c r="E23" s="28">
        <v>15429</v>
      </c>
      <c r="F23" s="29">
        <v>65.426674500000004</v>
      </c>
      <c r="G23" s="30">
        <v>2.4798089999999998E-2</v>
      </c>
      <c r="H23" s="25" t="s">
        <v>148</v>
      </c>
    </row>
    <row r="24" spans="1:8" x14ac:dyDescent="0.2">
      <c r="A24" s="26">
        <v>18</v>
      </c>
      <c r="B24" s="27" t="s">
        <v>396</v>
      </c>
      <c r="C24" s="27" t="s">
        <v>397</v>
      </c>
      <c r="D24" s="27" t="s">
        <v>205</v>
      </c>
      <c r="E24" s="28">
        <v>13180</v>
      </c>
      <c r="F24" s="29">
        <v>64.581999999999994</v>
      </c>
      <c r="G24" s="30">
        <v>2.447794E-2</v>
      </c>
      <c r="H24" s="25" t="s">
        <v>148</v>
      </c>
    </row>
    <row r="25" spans="1:8" x14ac:dyDescent="0.2">
      <c r="A25" s="26">
        <v>19</v>
      </c>
      <c r="B25" s="27" t="s">
        <v>408</v>
      </c>
      <c r="C25" s="27" t="s">
        <v>409</v>
      </c>
      <c r="D25" s="27" t="s">
        <v>111</v>
      </c>
      <c r="E25" s="28">
        <v>10672</v>
      </c>
      <c r="F25" s="29">
        <v>61.646808</v>
      </c>
      <c r="G25" s="30">
        <v>2.3365440000000001E-2</v>
      </c>
      <c r="H25" s="25" t="s">
        <v>148</v>
      </c>
    </row>
    <row r="26" spans="1:8" x14ac:dyDescent="0.2">
      <c r="A26" s="26">
        <v>20</v>
      </c>
      <c r="B26" s="27" t="s">
        <v>43</v>
      </c>
      <c r="C26" s="27" t="s">
        <v>44</v>
      </c>
      <c r="D26" s="27" t="s">
        <v>45</v>
      </c>
      <c r="E26" s="28">
        <v>1222</v>
      </c>
      <c r="F26" s="29">
        <v>55.287557</v>
      </c>
      <c r="G26" s="30">
        <v>2.0955149999999999E-2</v>
      </c>
      <c r="H26" s="25" t="s">
        <v>148</v>
      </c>
    </row>
    <row r="27" spans="1:8" x14ac:dyDescent="0.2">
      <c r="A27" s="26">
        <v>21</v>
      </c>
      <c r="B27" s="27" t="s">
        <v>406</v>
      </c>
      <c r="C27" s="27" t="s">
        <v>407</v>
      </c>
      <c r="D27" s="27" t="s">
        <v>232</v>
      </c>
      <c r="E27" s="28">
        <v>8090</v>
      </c>
      <c r="F27" s="29">
        <v>55.258744999999998</v>
      </c>
      <c r="G27" s="30">
        <v>2.0944230000000001E-2</v>
      </c>
      <c r="H27" s="25" t="s">
        <v>148</v>
      </c>
    </row>
    <row r="28" spans="1:8" x14ac:dyDescent="0.2">
      <c r="A28" s="26">
        <v>22</v>
      </c>
      <c r="B28" s="27" t="s">
        <v>36</v>
      </c>
      <c r="C28" s="27" t="s">
        <v>37</v>
      </c>
      <c r="D28" s="27" t="s">
        <v>25</v>
      </c>
      <c r="E28" s="28">
        <v>1255</v>
      </c>
      <c r="F28" s="29">
        <v>55.086342500000001</v>
      </c>
      <c r="G28" s="30">
        <v>2.0878890000000001E-2</v>
      </c>
      <c r="H28" s="25" t="s">
        <v>148</v>
      </c>
    </row>
    <row r="29" spans="1:8" x14ac:dyDescent="0.2">
      <c r="A29" s="26">
        <v>23</v>
      </c>
      <c r="B29" s="27" t="s">
        <v>404</v>
      </c>
      <c r="C29" s="27" t="s">
        <v>405</v>
      </c>
      <c r="D29" s="27" t="s">
        <v>111</v>
      </c>
      <c r="E29" s="28">
        <v>3287</v>
      </c>
      <c r="F29" s="29">
        <v>53.969253000000002</v>
      </c>
      <c r="G29" s="30">
        <v>2.045549E-2</v>
      </c>
      <c r="H29" s="25" t="s">
        <v>148</v>
      </c>
    </row>
    <row r="30" spans="1:8" x14ac:dyDescent="0.2">
      <c r="A30" s="26">
        <v>24</v>
      </c>
      <c r="B30" s="27" t="s">
        <v>60</v>
      </c>
      <c r="C30" s="27" t="s">
        <v>61</v>
      </c>
      <c r="D30" s="27" t="s">
        <v>19</v>
      </c>
      <c r="E30" s="28">
        <v>6049</v>
      </c>
      <c r="F30" s="29">
        <v>53.179783499999999</v>
      </c>
      <c r="G30" s="30">
        <v>2.0156259999999999E-2</v>
      </c>
      <c r="H30" s="25" t="s">
        <v>148</v>
      </c>
    </row>
    <row r="31" spans="1:8" x14ac:dyDescent="0.2">
      <c r="A31" s="26">
        <v>25</v>
      </c>
      <c r="B31" s="27" t="s">
        <v>401</v>
      </c>
      <c r="C31" s="27" t="s">
        <v>402</v>
      </c>
      <c r="D31" s="27" t="s">
        <v>403</v>
      </c>
      <c r="E31" s="28">
        <v>5857</v>
      </c>
      <c r="F31" s="29">
        <v>52.944351500000003</v>
      </c>
      <c r="G31" s="30">
        <v>2.006703E-2</v>
      </c>
      <c r="H31" s="25" t="s">
        <v>148</v>
      </c>
    </row>
    <row r="32" spans="1:8" x14ac:dyDescent="0.2">
      <c r="A32" s="26">
        <v>26</v>
      </c>
      <c r="B32" s="27" t="s">
        <v>52</v>
      </c>
      <c r="C32" s="27" t="s">
        <v>53</v>
      </c>
      <c r="D32" s="27" t="s">
        <v>54</v>
      </c>
      <c r="E32" s="28">
        <v>5587</v>
      </c>
      <c r="F32" s="29">
        <v>52.911683500000002</v>
      </c>
      <c r="G32" s="30">
        <v>2.005465E-2</v>
      </c>
      <c r="H32" s="25" t="s">
        <v>148</v>
      </c>
    </row>
    <row r="33" spans="1:8" x14ac:dyDescent="0.2">
      <c r="A33" s="26">
        <v>27</v>
      </c>
      <c r="B33" s="27" t="s">
        <v>255</v>
      </c>
      <c r="C33" s="27" t="s">
        <v>256</v>
      </c>
      <c r="D33" s="27" t="s">
        <v>111</v>
      </c>
      <c r="E33" s="28">
        <v>601</v>
      </c>
      <c r="F33" s="29">
        <v>49.192450999999998</v>
      </c>
      <c r="G33" s="30">
        <v>1.8644979999999998E-2</v>
      </c>
      <c r="H33" s="25" t="s">
        <v>148</v>
      </c>
    </row>
    <row r="34" spans="1:8" x14ac:dyDescent="0.2">
      <c r="A34" s="26">
        <v>28</v>
      </c>
      <c r="B34" s="27" t="s">
        <v>412</v>
      </c>
      <c r="C34" s="27" t="s">
        <v>413</v>
      </c>
      <c r="D34" s="27" t="s">
        <v>45</v>
      </c>
      <c r="E34" s="28">
        <v>11627</v>
      </c>
      <c r="F34" s="29">
        <v>45.542959000000003</v>
      </c>
      <c r="G34" s="30">
        <v>1.7261740000000001E-2</v>
      </c>
      <c r="H34" s="25" t="s">
        <v>148</v>
      </c>
    </row>
    <row r="35" spans="1:8" x14ac:dyDescent="0.2">
      <c r="A35" s="26">
        <v>29</v>
      </c>
      <c r="B35" s="27" t="s">
        <v>114</v>
      </c>
      <c r="C35" s="27" t="s">
        <v>115</v>
      </c>
      <c r="D35" s="27" t="s">
        <v>45</v>
      </c>
      <c r="E35" s="28">
        <v>3026</v>
      </c>
      <c r="F35" s="29">
        <v>43.509340999999999</v>
      </c>
      <c r="G35" s="30">
        <v>1.6490959999999999E-2</v>
      </c>
      <c r="H35" s="25" t="s">
        <v>148</v>
      </c>
    </row>
    <row r="36" spans="1:8" x14ac:dyDescent="0.2">
      <c r="A36" s="26">
        <v>30</v>
      </c>
      <c r="B36" s="27" t="s">
        <v>458</v>
      </c>
      <c r="C36" s="27" t="s">
        <v>459</v>
      </c>
      <c r="D36" s="27" t="s">
        <v>45</v>
      </c>
      <c r="E36" s="28">
        <v>8418</v>
      </c>
      <c r="F36" s="29">
        <v>34.185498000000003</v>
      </c>
      <c r="G36" s="30">
        <v>1.295703E-2</v>
      </c>
      <c r="H36" s="25" t="s">
        <v>148</v>
      </c>
    </row>
    <row r="37" spans="1:8" x14ac:dyDescent="0.2">
      <c r="A37" s="26">
        <v>31</v>
      </c>
      <c r="B37" s="27" t="s">
        <v>422</v>
      </c>
      <c r="C37" s="27" t="s">
        <v>423</v>
      </c>
      <c r="D37" s="27" t="s">
        <v>359</v>
      </c>
      <c r="E37" s="28">
        <v>10471</v>
      </c>
      <c r="F37" s="29">
        <v>33.229718499999997</v>
      </c>
      <c r="G37" s="30">
        <v>1.259477E-2</v>
      </c>
      <c r="H37" s="25" t="s">
        <v>148</v>
      </c>
    </row>
    <row r="38" spans="1:8" x14ac:dyDescent="0.2">
      <c r="A38" s="26">
        <v>32</v>
      </c>
      <c r="B38" s="27" t="s">
        <v>424</v>
      </c>
      <c r="C38" s="27" t="s">
        <v>425</v>
      </c>
      <c r="D38" s="27" t="s">
        <v>51</v>
      </c>
      <c r="E38" s="28">
        <v>4636</v>
      </c>
      <c r="F38" s="29">
        <v>27.037151999999999</v>
      </c>
      <c r="G38" s="30">
        <v>1.0247650000000001E-2</v>
      </c>
      <c r="H38" s="25" t="s">
        <v>148</v>
      </c>
    </row>
    <row r="39" spans="1:8" x14ac:dyDescent="0.2">
      <c r="A39" s="26">
        <v>33</v>
      </c>
      <c r="B39" s="27" t="s">
        <v>418</v>
      </c>
      <c r="C39" s="27" t="s">
        <v>419</v>
      </c>
      <c r="D39" s="27" t="s">
        <v>137</v>
      </c>
      <c r="E39" s="28">
        <v>19513</v>
      </c>
      <c r="F39" s="29">
        <v>26.771836</v>
      </c>
      <c r="G39" s="30">
        <v>1.0147089999999999E-2</v>
      </c>
      <c r="H39" s="25" t="s">
        <v>148</v>
      </c>
    </row>
    <row r="40" spans="1:8" x14ac:dyDescent="0.2">
      <c r="A40" s="26">
        <v>34</v>
      </c>
      <c r="B40" s="27" t="s">
        <v>420</v>
      </c>
      <c r="C40" s="27" t="s">
        <v>421</v>
      </c>
      <c r="D40" s="27" t="s">
        <v>51</v>
      </c>
      <c r="E40" s="28">
        <v>3000</v>
      </c>
      <c r="F40" s="29">
        <v>21.6435</v>
      </c>
      <c r="G40" s="30">
        <v>8.2033399999999999E-3</v>
      </c>
      <c r="H40" s="25" t="s">
        <v>148</v>
      </c>
    </row>
    <row r="41" spans="1:8" x14ac:dyDescent="0.2">
      <c r="A41" s="26">
        <v>35</v>
      </c>
      <c r="B41" s="27" t="s">
        <v>430</v>
      </c>
      <c r="C41" s="27" t="s">
        <v>431</v>
      </c>
      <c r="D41" s="27" t="s">
        <v>69</v>
      </c>
      <c r="E41" s="28">
        <v>4242</v>
      </c>
      <c r="F41" s="29">
        <v>14.331597</v>
      </c>
      <c r="G41" s="30">
        <v>5.4319800000000003E-3</v>
      </c>
      <c r="H41" s="25" t="s">
        <v>148</v>
      </c>
    </row>
    <row r="42" spans="1:8" x14ac:dyDescent="0.2">
      <c r="A42" s="23"/>
      <c r="B42" s="23"/>
      <c r="C42" s="24" t="s">
        <v>147</v>
      </c>
      <c r="D42" s="23"/>
      <c r="E42" s="23" t="s">
        <v>148</v>
      </c>
      <c r="F42" s="31">
        <v>2507.9184639</v>
      </c>
      <c r="G42" s="32">
        <v>0.95055409999999996</v>
      </c>
      <c r="H42" s="25" t="s">
        <v>148</v>
      </c>
    </row>
    <row r="43" spans="1:8" x14ac:dyDescent="0.2">
      <c r="A43" s="23"/>
      <c r="B43" s="23"/>
      <c r="C43" s="33"/>
      <c r="D43" s="23"/>
      <c r="E43" s="23"/>
      <c r="F43" s="34"/>
      <c r="G43" s="34"/>
      <c r="H43" s="25" t="s">
        <v>148</v>
      </c>
    </row>
    <row r="44" spans="1:8" x14ac:dyDescent="0.2">
      <c r="A44" s="23"/>
      <c r="B44" s="23"/>
      <c r="C44" s="24" t="s">
        <v>149</v>
      </c>
      <c r="D44" s="23"/>
      <c r="E44" s="23"/>
      <c r="F44" s="23"/>
      <c r="G44" s="23"/>
      <c r="H44" s="25" t="s">
        <v>148</v>
      </c>
    </row>
    <row r="45" spans="1:8" x14ac:dyDescent="0.2">
      <c r="A45" s="23"/>
      <c r="B45" s="23"/>
      <c r="C45" s="24" t="s">
        <v>147</v>
      </c>
      <c r="D45" s="23"/>
      <c r="E45" s="23" t="s">
        <v>148</v>
      </c>
      <c r="F45" s="35" t="s">
        <v>150</v>
      </c>
      <c r="G45" s="32">
        <v>0</v>
      </c>
      <c r="H45" s="25" t="s">
        <v>148</v>
      </c>
    </row>
    <row r="46" spans="1:8" x14ac:dyDescent="0.2">
      <c r="A46" s="23"/>
      <c r="B46" s="23"/>
      <c r="C46" s="33"/>
      <c r="D46" s="23"/>
      <c r="E46" s="23"/>
      <c r="F46" s="34"/>
      <c r="G46" s="34"/>
      <c r="H46" s="25" t="s">
        <v>148</v>
      </c>
    </row>
    <row r="47" spans="1:8" x14ac:dyDescent="0.2">
      <c r="A47" s="23"/>
      <c r="B47" s="23"/>
      <c r="C47" s="24" t="s">
        <v>151</v>
      </c>
      <c r="D47" s="23"/>
      <c r="E47" s="23"/>
      <c r="F47" s="23"/>
      <c r="G47" s="23"/>
      <c r="H47" s="25" t="s">
        <v>148</v>
      </c>
    </row>
    <row r="48" spans="1:8" x14ac:dyDescent="0.2">
      <c r="A48" s="23"/>
      <c r="B48" s="23"/>
      <c r="C48" s="24" t="s">
        <v>147</v>
      </c>
      <c r="D48" s="23"/>
      <c r="E48" s="23" t="s">
        <v>148</v>
      </c>
      <c r="F48" s="35" t="s">
        <v>150</v>
      </c>
      <c r="G48" s="32">
        <v>0</v>
      </c>
      <c r="H48" s="25" t="s">
        <v>148</v>
      </c>
    </row>
    <row r="49" spans="1:8" x14ac:dyDescent="0.2">
      <c r="A49" s="23"/>
      <c r="B49" s="23"/>
      <c r="C49" s="33"/>
      <c r="D49" s="23"/>
      <c r="E49" s="23"/>
      <c r="F49" s="34"/>
      <c r="G49" s="34"/>
      <c r="H49" s="25" t="s">
        <v>148</v>
      </c>
    </row>
    <row r="50" spans="1:8" x14ac:dyDescent="0.2">
      <c r="A50" s="23"/>
      <c r="B50" s="23"/>
      <c r="C50" s="24" t="s">
        <v>152</v>
      </c>
      <c r="D50" s="23"/>
      <c r="E50" s="23"/>
      <c r="F50" s="23"/>
      <c r="G50" s="23"/>
      <c r="H50" s="25" t="s">
        <v>148</v>
      </c>
    </row>
    <row r="51" spans="1:8" x14ac:dyDescent="0.2">
      <c r="A51" s="23"/>
      <c r="B51" s="23"/>
      <c r="C51" s="24" t="s">
        <v>147</v>
      </c>
      <c r="D51" s="23"/>
      <c r="E51" s="23" t="s">
        <v>148</v>
      </c>
      <c r="F51" s="35" t="s">
        <v>150</v>
      </c>
      <c r="G51" s="32">
        <v>0</v>
      </c>
      <c r="H51" s="25" t="s">
        <v>148</v>
      </c>
    </row>
    <row r="52" spans="1:8" x14ac:dyDescent="0.2">
      <c r="A52" s="23"/>
      <c r="B52" s="23"/>
      <c r="C52" s="33"/>
      <c r="D52" s="23"/>
      <c r="E52" s="23"/>
      <c r="F52" s="34"/>
      <c r="G52" s="34"/>
      <c r="H52" s="25" t="s">
        <v>148</v>
      </c>
    </row>
    <row r="53" spans="1:8" x14ac:dyDescent="0.2">
      <c r="A53" s="23"/>
      <c r="B53" s="23"/>
      <c r="C53" s="24" t="s">
        <v>153</v>
      </c>
      <c r="D53" s="23"/>
      <c r="E53" s="23"/>
      <c r="F53" s="34"/>
      <c r="G53" s="34"/>
      <c r="H53" s="25" t="s">
        <v>148</v>
      </c>
    </row>
    <row r="54" spans="1:8" x14ac:dyDescent="0.2">
      <c r="A54" s="23"/>
      <c r="B54" s="23"/>
      <c r="C54" s="24" t="s">
        <v>147</v>
      </c>
      <c r="D54" s="23"/>
      <c r="E54" s="23" t="s">
        <v>148</v>
      </c>
      <c r="F54" s="35" t="s">
        <v>150</v>
      </c>
      <c r="G54" s="32">
        <v>0</v>
      </c>
      <c r="H54" s="25" t="s">
        <v>148</v>
      </c>
    </row>
    <row r="55" spans="1:8" x14ac:dyDescent="0.2">
      <c r="A55" s="23"/>
      <c r="B55" s="23"/>
      <c r="C55" s="33"/>
      <c r="D55" s="23"/>
      <c r="E55" s="23"/>
      <c r="F55" s="34"/>
      <c r="G55" s="34"/>
      <c r="H55" s="25" t="s">
        <v>148</v>
      </c>
    </row>
    <row r="56" spans="1:8" x14ac:dyDescent="0.2">
      <c r="A56" s="23"/>
      <c r="B56" s="23"/>
      <c r="C56" s="24" t="s">
        <v>154</v>
      </c>
      <c r="D56" s="23"/>
      <c r="E56" s="23"/>
      <c r="F56" s="34"/>
      <c r="G56" s="34"/>
      <c r="H56" s="25" t="s">
        <v>148</v>
      </c>
    </row>
    <row r="57" spans="1:8" x14ac:dyDescent="0.2">
      <c r="A57" s="23"/>
      <c r="B57" s="23"/>
      <c r="C57" s="24" t="s">
        <v>147</v>
      </c>
      <c r="D57" s="23"/>
      <c r="E57" s="23" t="s">
        <v>148</v>
      </c>
      <c r="F57" s="35" t="s">
        <v>150</v>
      </c>
      <c r="G57" s="32">
        <v>0</v>
      </c>
      <c r="H57" s="25" t="s">
        <v>148</v>
      </c>
    </row>
    <row r="58" spans="1:8" x14ac:dyDescent="0.2">
      <c r="A58" s="23"/>
      <c r="B58" s="23"/>
      <c r="C58" s="33"/>
      <c r="D58" s="23"/>
      <c r="E58" s="23"/>
      <c r="F58" s="34"/>
      <c r="G58" s="34"/>
      <c r="H58" s="25" t="s">
        <v>148</v>
      </c>
    </row>
    <row r="59" spans="1:8" x14ac:dyDescent="0.2">
      <c r="A59" s="23"/>
      <c r="B59" s="23"/>
      <c r="C59" s="24" t="s">
        <v>155</v>
      </c>
      <c r="D59" s="23"/>
      <c r="E59" s="23"/>
      <c r="F59" s="31">
        <v>2507.9184639</v>
      </c>
      <c r="G59" s="32">
        <v>0.95055409999999996</v>
      </c>
      <c r="H59" s="25" t="s">
        <v>148</v>
      </c>
    </row>
    <row r="60" spans="1:8" x14ac:dyDescent="0.2">
      <c r="A60" s="23"/>
      <c r="B60" s="23"/>
      <c r="C60" s="33"/>
      <c r="D60" s="23"/>
      <c r="E60" s="23"/>
      <c r="F60" s="34"/>
      <c r="G60" s="34"/>
      <c r="H60" s="25" t="s">
        <v>148</v>
      </c>
    </row>
    <row r="61" spans="1:8" x14ac:dyDescent="0.2">
      <c r="A61" s="23"/>
      <c r="B61" s="23"/>
      <c r="C61" s="24" t="s">
        <v>156</v>
      </c>
      <c r="D61" s="23"/>
      <c r="E61" s="23"/>
      <c r="F61" s="34"/>
      <c r="G61" s="34"/>
      <c r="H61" s="25" t="s">
        <v>148</v>
      </c>
    </row>
    <row r="62" spans="1:8" x14ac:dyDescent="0.2">
      <c r="A62" s="23"/>
      <c r="B62" s="23"/>
      <c r="C62" s="24" t="s">
        <v>10</v>
      </c>
      <c r="D62" s="23"/>
      <c r="E62" s="23"/>
      <c r="F62" s="34"/>
      <c r="G62" s="34"/>
      <c r="H62" s="25" t="s">
        <v>148</v>
      </c>
    </row>
    <row r="63" spans="1:8" x14ac:dyDescent="0.2">
      <c r="A63" s="23"/>
      <c r="B63" s="23"/>
      <c r="C63" s="24" t="s">
        <v>147</v>
      </c>
      <c r="D63" s="23"/>
      <c r="E63" s="23" t="s">
        <v>148</v>
      </c>
      <c r="F63" s="35" t="s">
        <v>150</v>
      </c>
      <c r="G63" s="32">
        <v>0</v>
      </c>
      <c r="H63" s="25" t="s">
        <v>148</v>
      </c>
    </row>
    <row r="64" spans="1:8" x14ac:dyDescent="0.2">
      <c r="A64" s="23"/>
      <c r="B64" s="23"/>
      <c r="C64" s="33"/>
      <c r="D64" s="23"/>
      <c r="E64" s="23"/>
      <c r="F64" s="34"/>
      <c r="G64" s="34"/>
      <c r="H64" s="25" t="s">
        <v>148</v>
      </c>
    </row>
    <row r="65" spans="1:8" x14ac:dyDescent="0.2">
      <c r="A65" s="23"/>
      <c r="B65" s="23"/>
      <c r="C65" s="24" t="s">
        <v>157</v>
      </c>
      <c r="D65" s="23"/>
      <c r="E65" s="23"/>
      <c r="F65" s="23"/>
      <c r="G65" s="23"/>
      <c r="H65" s="25" t="s">
        <v>148</v>
      </c>
    </row>
    <row r="66" spans="1:8" x14ac:dyDescent="0.2">
      <c r="A66" s="23"/>
      <c r="B66" s="23"/>
      <c r="C66" s="24" t="s">
        <v>147</v>
      </c>
      <c r="D66" s="23"/>
      <c r="E66" s="23" t="s">
        <v>148</v>
      </c>
      <c r="F66" s="35" t="s">
        <v>150</v>
      </c>
      <c r="G66" s="32">
        <v>0</v>
      </c>
      <c r="H66" s="25" t="s">
        <v>148</v>
      </c>
    </row>
    <row r="67" spans="1:8" x14ac:dyDescent="0.2">
      <c r="A67" s="23"/>
      <c r="B67" s="23"/>
      <c r="C67" s="33"/>
      <c r="D67" s="23"/>
      <c r="E67" s="23"/>
      <c r="F67" s="34"/>
      <c r="G67" s="34"/>
      <c r="H67" s="25" t="s">
        <v>148</v>
      </c>
    </row>
    <row r="68" spans="1:8" x14ac:dyDescent="0.2">
      <c r="A68" s="23"/>
      <c r="B68" s="23"/>
      <c r="C68" s="24" t="s">
        <v>158</v>
      </c>
      <c r="D68" s="23"/>
      <c r="E68" s="23"/>
      <c r="F68" s="23"/>
      <c r="G68" s="23"/>
      <c r="H68" s="25" t="s">
        <v>148</v>
      </c>
    </row>
    <row r="69" spans="1:8" x14ac:dyDescent="0.2">
      <c r="A69" s="23"/>
      <c r="B69" s="23"/>
      <c r="C69" s="24" t="s">
        <v>147</v>
      </c>
      <c r="D69" s="23"/>
      <c r="E69" s="23" t="s">
        <v>148</v>
      </c>
      <c r="F69" s="35" t="s">
        <v>150</v>
      </c>
      <c r="G69" s="32">
        <v>0</v>
      </c>
      <c r="H69" s="25" t="s">
        <v>148</v>
      </c>
    </row>
    <row r="70" spans="1:8" x14ac:dyDescent="0.2">
      <c r="A70" s="23"/>
      <c r="B70" s="23"/>
      <c r="C70" s="33"/>
      <c r="D70" s="23"/>
      <c r="E70" s="23"/>
      <c r="F70" s="34"/>
      <c r="G70" s="34"/>
      <c r="H70" s="25" t="s">
        <v>148</v>
      </c>
    </row>
    <row r="71" spans="1:8" x14ac:dyDescent="0.2">
      <c r="A71" s="23"/>
      <c r="B71" s="23"/>
      <c r="C71" s="24" t="s">
        <v>159</v>
      </c>
      <c r="D71" s="23"/>
      <c r="E71" s="23"/>
      <c r="F71" s="34"/>
      <c r="G71" s="34"/>
      <c r="H71" s="25" t="s">
        <v>148</v>
      </c>
    </row>
    <row r="72" spans="1:8" x14ac:dyDescent="0.2">
      <c r="A72" s="23"/>
      <c r="B72" s="23"/>
      <c r="C72" s="24" t="s">
        <v>147</v>
      </c>
      <c r="D72" s="23"/>
      <c r="E72" s="23" t="s">
        <v>148</v>
      </c>
      <c r="F72" s="35" t="s">
        <v>150</v>
      </c>
      <c r="G72" s="32">
        <v>0</v>
      </c>
      <c r="H72" s="25" t="s">
        <v>148</v>
      </c>
    </row>
    <row r="73" spans="1:8" x14ac:dyDescent="0.2">
      <c r="A73" s="23"/>
      <c r="B73" s="23"/>
      <c r="C73" s="33"/>
      <c r="D73" s="23"/>
      <c r="E73" s="23"/>
      <c r="F73" s="34"/>
      <c r="G73" s="34"/>
      <c r="H73" s="25" t="s">
        <v>148</v>
      </c>
    </row>
    <row r="74" spans="1:8" x14ac:dyDescent="0.2">
      <c r="A74" s="23"/>
      <c r="B74" s="23"/>
      <c r="C74" s="24" t="s">
        <v>160</v>
      </c>
      <c r="D74" s="23"/>
      <c r="E74" s="23"/>
      <c r="F74" s="31">
        <v>0</v>
      </c>
      <c r="G74" s="32">
        <v>0</v>
      </c>
      <c r="H74" s="25" t="s">
        <v>148</v>
      </c>
    </row>
    <row r="75" spans="1:8" x14ac:dyDescent="0.2">
      <c r="A75" s="23"/>
      <c r="B75" s="23"/>
      <c r="C75" s="33"/>
      <c r="D75" s="23"/>
      <c r="E75" s="23"/>
      <c r="F75" s="34"/>
      <c r="G75" s="34"/>
      <c r="H75" s="25" t="s">
        <v>148</v>
      </c>
    </row>
    <row r="76" spans="1:8" x14ac:dyDescent="0.2">
      <c r="A76" s="23"/>
      <c r="B76" s="23"/>
      <c r="C76" s="24" t="s">
        <v>161</v>
      </c>
      <c r="D76" s="23"/>
      <c r="E76" s="23"/>
      <c r="F76" s="34"/>
      <c r="G76" s="34"/>
      <c r="H76" s="25" t="s">
        <v>148</v>
      </c>
    </row>
    <row r="77" spans="1:8" x14ac:dyDescent="0.2">
      <c r="A77" s="23"/>
      <c r="B77" s="23"/>
      <c r="C77" s="24" t="s">
        <v>162</v>
      </c>
      <c r="D77" s="23"/>
      <c r="E77" s="23"/>
      <c r="F77" s="34"/>
      <c r="G77" s="34"/>
      <c r="H77" s="25" t="s">
        <v>148</v>
      </c>
    </row>
    <row r="78" spans="1:8" x14ac:dyDescent="0.2">
      <c r="A78" s="23"/>
      <c r="B78" s="23"/>
      <c r="C78" s="24" t="s">
        <v>147</v>
      </c>
      <c r="D78" s="23"/>
      <c r="E78" s="23" t="s">
        <v>148</v>
      </c>
      <c r="F78" s="35" t="s">
        <v>150</v>
      </c>
      <c r="G78" s="32">
        <v>0</v>
      </c>
      <c r="H78" s="25" t="s">
        <v>148</v>
      </c>
    </row>
    <row r="79" spans="1:8" x14ac:dyDescent="0.2">
      <c r="A79" s="23"/>
      <c r="B79" s="23"/>
      <c r="C79" s="33"/>
      <c r="D79" s="23"/>
      <c r="E79" s="23"/>
      <c r="F79" s="34"/>
      <c r="G79" s="34"/>
      <c r="H79" s="25" t="s">
        <v>148</v>
      </c>
    </row>
    <row r="80" spans="1:8" x14ac:dyDescent="0.2">
      <c r="A80" s="23"/>
      <c r="B80" s="23"/>
      <c r="C80" s="24" t="s">
        <v>163</v>
      </c>
      <c r="D80" s="23"/>
      <c r="E80" s="23"/>
      <c r="F80" s="34"/>
      <c r="G80" s="34"/>
      <c r="H80" s="25" t="s">
        <v>148</v>
      </c>
    </row>
    <row r="81" spans="1:8" x14ac:dyDescent="0.2">
      <c r="A81" s="23"/>
      <c r="B81" s="23"/>
      <c r="C81" s="24" t="s">
        <v>147</v>
      </c>
      <c r="D81" s="23"/>
      <c r="E81" s="23" t="s">
        <v>148</v>
      </c>
      <c r="F81" s="35" t="s">
        <v>150</v>
      </c>
      <c r="G81" s="32">
        <v>0</v>
      </c>
      <c r="H81" s="25" t="s">
        <v>148</v>
      </c>
    </row>
    <row r="82" spans="1:8" x14ac:dyDescent="0.2">
      <c r="A82" s="23"/>
      <c r="B82" s="23"/>
      <c r="C82" s="33"/>
      <c r="D82" s="23"/>
      <c r="E82" s="23"/>
      <c r="F82" s="34"/>
      <c r="G82" s="34"/>
      <c r="H82" s="25" t="s">
        <v>148</v>
      </c>
    </row>
    <row r="83" spans="1:8" x14ac:dyDescent="0.2">
      <c r="A83" s="23"/>
      <c r="B83" s="23"/>
      <c r="C83" s="24" t="s">
        <v>164</v>
      </c>
      <c r="D83" s="23"/>
      <c r="E83" s="23"/>
      <c r="F83" s="34"/>
      <c r="G83" s="34"/>
      <c r="H83" s="25" t="s">
        <v>148</v>
      </c>
    </row>
    <row r="84" spans="1:8" x14ac:dyDescent="0.2">
      <c r="A84" s="23"/>
      <c r="B84" s="23"/>
      <c r="C84" s="24" t="s">
        <v>147</v>
      </c>
      <c r="D84" s="23"/>
      <c r="E84" s="23" t="s">
        <v>148</v>
      </c>
      <c r="F84" s="35" t="s">
        <v>150</v>
      </c>
      <c r="G84" s="32">
        <v>0</v>
      </c>
      <c r="H84" s="25" t="s">
        <v>148</v>
      </c>
    </row>
    <row r="85" spans="1:8" x14ac:dyDescent="0.2">
      <c r="A85" s="23"/>
      <c r="B85" s="23"/>
      <c r="C85" s="33"/>
      <c r="D85" s="23"/>
      <c r="E85" s="23"/>
      <c r="F85" s="34"/>
      <c r="G85" s="34"/>
      <c r="H85" s="25" t="s">
        <v>148</v>
      </c>
    </row>
    <row r="86" spans="1:8" x14ac:dyDescent="0.2">
      <c r="A86" s="23"/>
      <c r="B86" s="23"/>
      <c r="C86" s="24" t="s">
        <v>165</v>
      </c>
      <c r="D86" s="23"/>
      <c r="E86" s="23"/>
      <c r="F86" s="34"/>
      <c r="G86" s="34"/>
      <c r="H86" s="25" t="s">
        <v>148</v>
      </c>
    </row>
    <row r="87" spans="1:8" x14ac:dyDescent="0.2">
      <c r="A87" s="26">
        <v>1</v>
      </c>
      <c r="B87" s="27"/>
      <c r="C87" s="27" t="s">
        <v>166</v>
      </c>
      <c r="D87" s="27"/>
      <c r="E87" s="36"/>
      <c r="F87" s="29">
        <v>129.97263560100001</v>
      </c>
      <c r="G87" s="30">
        <v>4.9262380000000001E-2</v>
      </c>
      <c r="H87" s="25">
        <v>6.23</v>
      </c>
    </row>
    <row r="88" spans="1:8" x14ac:dyDescent="0.2">
      <c r="A88" s="23"/>
      <c r="B88" s="23"/>
      <c r="C88" s="24" t="s">
        <v>147</v>
      </c>
      <c r="D88" s="23"/>
      <c r="E88" s="23" t="s">
        <v>148</v>
      </c>
      <c r="F88" s="31">
        <v>129.97263560100001</v>
      </c>
      <c r="G88" s="32">
        <v>4.9262380000000001E-2</v>
      </c>
      <c r="H88" s="25" t="s">
        <v>148</v>
      </c>
    </row>
    <row r="89" spans="1:8" x14ac:dyDescent="0.2">
      <c r="A89" s="23"/>
      <c r="B89" s="23"/>
      <c r="C89" s="33"/>
      <c r="D89" s="23"/>
      <c r="E89" s="23"/>
      <c r="F89" s="34"/>
      <c r="G89" s="34"/>
      <c r="H89" s="25" t="s">
        <v>148</v>
      </c>
    </row>
    <row r="90" spans="1:8" x14ac:dyDescent="0.2">
      <c r="A90" s="23"/>
      <c r="B90" s="23"/>
      <c r="C90" s="24" t="s">
        <v>167</v>
      </c>
      <c r="D90" s="23"/>
      <c r="E90" s="23"/>
      <c r="F90" s="31">
        <v>129.97263560100001</v>
      </c>
      <c r="G90" s="32">
        <v>4.9262380000000001E-2</v>
      </c>
      <c r="H90" s="25" t="s">
        <v>148</v>
      </c>
    </row>
    <row r="91" spans="1:8" x14ac:dyDescent="0.2">
      <c r="A91" s="23"/>
      <c r="B91" s="23"/>
      <c r="C91" s="34"/>
      <c r="D91" s="23"/>
      <c r="E91" s="23"/>
      <c r="F91" s="23"/>
      <c r="G91" s="23"/>
      <c r="H91" s="25" t="s">
        <v>148</v>
      </c>
    </row>
    <row r="92" spans="1:8" x14ac:dyDescent="0.2">
      <c r="A92" s="23"/>
      <c r="B92" s="23"/>
      <c r="C92" s="24" t="s">
        <v>168</v>
      </c>
      <c r="D92" s="23"/>
      <c r="E92" s="23"/>
      <c r="F92" s="23"/>
      <c r="G92" s="23"/>
      <c r="H92" s="25" t="s">
        <v>148</v>
      </c>
    </row>
    <row r="93" spans="1:8" x14ac:dyDescent="0.2">
      <c r="A93" s="23"/>
      <c r="B93" s="23"/>
      <c r="C93" s="24" t="s">
        <v>169</v>
      </c>
      <c r="D93" s="23"/>
      <c r="E93" s="23"/>
      <c r="F93" s="23"/>
      <c r="G93" s="23"/>
      <c r="H93" s="25" t="s">
        <v>148</v>
      </c>
    </row>
    <row r="94" spans="1:8" x14ac:dyDescent="0.2">
      <c r="A94" s="23"/>
      <c r="B94" s="23"/>
      <c r="C94" s="24" t="s">
        <v>147</v>
      </c>
      <c r="D94" s="23"/>
      <c r="E94" s="23" t="s">
        <v>148</v>
      </c>
      <c r="F94" s="35" t="s">
        <v>150</v>
      </c>
      <c r="G94" s="32">
        <v>0</v>
      </c>
      <c r="H94" s="25" t="s">
        <v>148</v>
      </c>
    </row>
    <row r="95" spans="1:8" x14ac:dyDescent="0.2">
      <c r="A95" s="23"/>
      <c r="B95" s="23"/>
      <c r="C95" s="33"/>
      <c r="D95" s="23"/>
      <c r="E95" s="23"/>
      <c r="F95" s="34"/>
      <c r="G95" s="34"/>
      <c r="H95" s="25" t="s">
        <v>148</v>
      </c>
    </row>
    <row r="96" spans="1:8" x14ac:dyDescent="0.2">
      <c r="A96" s="23"/>
      <c r="B96" s="23"/>
      <c r="C96" s="24" t="s">
        <v>172</v>
      </c>
      <c r="D96" s="23"/>
      <c r="E96" s="23"/>
      <c r="F96" s="23"/>
      <c r="G96" s="23"/>
      <c r="H96" s="25" t="s">
        <v>148</v>
      </c>
    </row>
    <row r="97" spans="1:17" x14ac:dyDescent="0.2">
      <c r="A97" s="23"/>
      <c r="B97" s="23"/>
      <c r="C97" s="24" t="s">
        <v>173</v>
      </c>
      <c r="D97" s="23"/>
      <c r="E97" s="23"/>
      <c r="F97" s="23"/>
      <c r="G97" s="23"/>
      <c r="H97" s="25" t="s">
        <v>148</v>
      </c>
    </row>
    <row r="98" spans="1:17" x14ac:dyDescent="0.2">
      <c r="A98" s="23"/>
      <c r="B98" s="23"/>
      <c r="C98" s="24" t="s">
        <v>147</v>
      </c>
      <c r="D98" s="23"/>
      <c r="E98" s="23" t="s">
        <v>148</v>
      </c>
      <c r="F98" s="35" t="s">
        <v>150</v>
      </c>
      <c r="G98" s="32">
        <v>0</v>
      </c>
      <c r="H98" s="25" t="s">
        <v>148</v>
      </c>
    </row>
    <row r="99" spans="1:17" x14ac:dyDescent="0.2">
      <c r="A99" s="23"/>
      <c r="B99" s="23"/>
      <c r="C99" s="33"/>
      <c r="D99" s="23"/>
      <c r="E99" s="23"/>
      <c r="F99" s="34"/>
      <c r="G99" s="34"/>
      <c r="H99" s="25" t="s">
        <v>148</v>
      </c>
    </row>
    <row r="100" spans="1:17" x14ac:dyDescent="0.2">
      <c r="A100" s="23"/>
      <c r="B100" s="23"/>
      <c r="C100" s="24" t="s">
        <v>174</v>
      </c>
      <c r="D100" s="23"/>
      <c r="E100" s="23"/>
      <c r="F100" s="34"/>
      <c r="G100" s="34"/>
      <c r="H100" s="25" t="s">
        <v>148</v>
      </c>
    </row>
    <row r="101" spans="1:17" x14ac:dyDescent="0.2">
      <c r="A101" s="23"/>
      <c r="B101" s="23"/>
      <c r="C101" s="24" t="s">
        <v>147</v>
      </c>
      <c r="D101" s="23"/>
      <c r="E101" s="23" t="s">
        <v>148</v>
      </c>
      <c r="F101" s="35" t="s">
        <v>150</v>
      </c>
      <c r="G101" s="32">
        <v>0</v>
      </c>
      <c r="H101" s="25" t="s">
        <v>148</v>
      </c>
    </row>
    <row r="102" spans="1:17" x14ac:dyDescent="0.2">
      <c r="A102" s="23"/>
      <c r="B102" s="23"/>
      <c r="C102" s="33"/>
      <c r="D102" s="23"/>
      <c r="E102" s="23"/>
      <c r="F102" s="34"/>
      <c r="G102" s="34"/>
      <c r="H102" s="25" t="s">
        <v>148</v>
      </c>
    </row>
    <row r="103" spans="1:17" x14ac:dyDescent="0.2">
      <c r="A103" s="36"/>
      <c r="B103" s="27"/>
      <c r="C103" s="27" t="s">
        <v>175</v>
      </c>
      <c r="D103" s="27"/>
      <c r="E103" s="36"/>
      <c r="F103" s="29">
        <v>0.48422015000000002</v>
      </c>
      <c r="G103" s="30">
        <v>1.8353E-4</v>
      </c>
      <c r="H103" s="25" t="s">
        <v>148</v>
      </c>
    </row>
    <row r="104" spans="1:17" x14ac:dyDescent="0.2">
      <c r="A104" s="33"/>
      <c r="B104" s="33"/>
      <c r="C104" s="24" t="s">
        <v>176</v>
      </c>
      <c r="D104" s="34"/>
      <c r="E104" s="34"/>
      <c r="F104" s="31">
        <v>2638.3753196510002</v>
      </c>
      <c r="G104" s="39">
        <v>1.0000000099999999</v>
      </c>
      <c r="H104" s="25" t="s">
        <v>148</v>
      </c>
    </row>
    <row r="105" spans="1:17" x14ac:dyDescent="0.2">
      <c r="A105" s="40"/>
      <c r="B105" s="40"/>
      <c r="C105" s="40"/>
      <c r="D105" s="41"/>
      <c r="E105" s="41"/>
      <c r="F105" s="41"/>
      <c r="G105" s="41"/>
    </row>
    <row r="106" spans="1:17" x14ac:dyDescent="0.2">
      <c r="A106" s="42"/>
      <c r="B106" s="237" t="s">
        <v>891</v>
      </c>
      <c r="C106" s="237"/>
      <c r="D106" s="237"/>
      <c r="E106" s="237"/>
      <c r="F106" s="237"/>
      <c r="G106" s="237"/>
      <c r="H106" s="237"/>
      <c r="J106" s="44"/>
    </row>
    <row r="107" spans="1:17" x14ac:dyDescent="0.2">
      <c r="A107" s="42"/>
      <c r="B107" s="237" t="s">
        <v>892</v>
      </c>
      <c r="C107" s="237"/>
      <c r="D107" s="237"/>
      <c r="E107" s="237"/>
      <c r="F107" s="237"/>
      <c r="G107" s="237"/>
      <c r="H107" s="237"/>
      <c r="J107" s="44"/>
    </row>
    <row r="108" spans="1:17" x14ac:dyDescent="0.2">
      <c r="A108" s="42"/>
      <c r="B108" s="237" t="s">
        <v>893</v>
      </c>
      <c r="C108" s="237"/>
      <c r="D108" s="237"/>
      <c r="E108" s="237"/>
      <c r="F108" s="237"/>
      <c r="G108" s="237"/>
      <c r="H108" s="237"/>
      <c r="J108" s="44"/>
    </row>
    <row r="109" spans="1:17" s="46" customFormat="1" ht="66.75" customHeight="1" x14ac:dyDescent="0.25">
      <c r="A109" s="45"/>
      <c r="B109" s="239" t="s">
        <v>894</v>
      </c>
      <c r="C109" s="239"/>
      <c r="D109" s="239"/>
      <c r="E109" s="239"/>
      <c r="F109" s="239"/>
      <c r="G109" s="239"/>
      <c r="H109" s="239"/>
      <c r="I109"/>
      <c r="J109" s="44"/>
      <c r="K109"/>
      <c r="L109"/>
      <c r="M109"/>
      <c r="N109"/>
      <c r="O109"/>
      <c r="P109"/>
      <c r="Q109"/>
    </row>
    <row r="110" spans="1:17" x14ac:dyDescent="0.2">
      <c r="A110" s="42"/>
      <c r="B110" s="237" t="s">
        <v>895</v>
      </c>
      <c r="C110" s="237"/>
      <c r="D110" s="237"/>
      <c r="E110" s="237"/>
      <c r="F110" s="237"/>
      <c r="G110" s="237"/>
      <c r="H110" s="237"/>
      <c r="J110" s="44"/>
    </row>
    <row r="111" spans="1:17" x14ac:dyDescent="0.2">
      <c r="A111" s="47"/>
      <c r="B111" s="47"/>
      <c r="C111" s="47"/>
      <c r="D111" s="48"/>
      <c r="E111" s="48"/>
      <c r="F111" s="48"/>
      <c r="G111" s="48"/>
    </row>
    <row r="112" spans="1:17" x14ac:dyDescent="0.2">
      <c r="A112" s="47"/>
      <c r="B112" s="234" t="s">
        <v>177</v>
      </c>
      <c r="C112" s="235"/>
      <c r="D112" s="236"/>
      <c r="E112" s="49"/>
      <c r="F112" s="48"/>
      <c r="G112" s="48"/>
    </row>
    <row r="113" spans="1:10" x14ac:dyDescent="0.2">
      <c r="A113" s="47"/>
      <c r="B113" s="232" t="s">
        <v>178</v>
      </c>
      <c r="C113" s="233"/>
      <c r="D113" s="24" t="s">
        <v>179</v>
      </c>
      <c r="E113" s="49"/>
      <c r="F113" s="48"/>
      <c r="G113" s="48"/>
    </row>
    <row r="114" spans="1:10" ht="12.75" customHeight="1" x14ac:dyDescent="0.2">
      <c r="A114" s="47"/>
      <c r="B114" s="240" t="s">
        <v>897</v>
      </c>
      <c r="C114" s="241"/>
      <c r="D114" s="24" t="s">
        <v>179</v>
      </c>
      <c r="E114" s="49"/>
      <c r="F114" s="48"/>
      <c r="G114" s="48"/>
    </row>
    <row r="115" spans="1:10" x14ac:dyDescent="0.2">
      <c r="A115" s="47"/>
      <c r="B115" s="232" t="s">
        <v>181</v>
      </c>
      <c r="C115" s="233"/>
      <c r="D115" s="34" t="s">
        <v>148</v>
      </c>
      <c r="E115" s="49"/>
      <c r="F115" s="48"/>
      <c r="G115" s="48"/>
    </row>
    <row r="116" spans="1:10" x14ac:dyDescent="0.2">
      <c r="A116" s="50"/>
      <c r="B116" s="51" t="s">
        <v>148</v>
      </c>
      <c r="C116" s="51" t="s">
        <v>896</v>
      </c>
      <c r="D116" s="51" t="s">
        <v>182</v>
      </c>
      <c r="E116" s="50"/>
      <c r="F116" s="50"/>
      <c r="G116" s="50"/>
      <c r="H116" s="50"/>
      <c r="J116" s="44"/>
    </row>
    <row r="117" spans="1:10" x14ac:dyDescent="0.2">
      <c r="A117" s="50"/>
      <c r="B117" s="52" t="s">
        <v>183</v>
      </c>
      <c r="C117" s="53">
        <v>45688</v>
      </c>
      <c r="D117" s="53">
        <v>45716</v>
      </c>
      <c r="E117" s="50"/>
      <c r="F117" s="50"/>
      <c r="G117" s="50"/>
      <c r="J117" s="44"/>
    </row>
    <row r="118" spans="1:10" x14ac:dyDescent="0.2">
      <c r="A118" s="54"/>
      <c r="B118" s="27" t="s">
        <v>184</v>
      </c>
      <c r="C118" s="55">
        <v>26.683499999999999</v>
      </c>
      <c r="D118" s="55">
        <v>23.4207</v>
      </c>
      <c r="E118" s="54"/>
      <c r="F118" s="56"/>
      <c r="G118" s="57"/>
    </row>
    <row r="119" spans="1:10" x14ac:dyDescent="0.2">
      <c r="A119" s="54"/>
      <c r="B119" s="27" t="s">
        <v>1070</v>
      </c>
      <c r="C119" s="55">
        <v>25.4041</v>
      </c>
      <c r="D119" s="55">
        <v>22.297799999999999</v>
      </c>
      <c r="E119" s="54"/>
      <c r="F119" s="56"/>
      <c r="G119" s="57"/>
    </row>
    <row r="120" spans="1:10" x14ac:dyDescent="0.2">
      <c r="A120" s="54"/>
      <c r="B120" s="27" t="s">
        <v>186</v>
      </c>
      <c r="C120" s="55">
        <v>25.970600000000001</v>
      </c>
      <c r="D120" s="55">
        <v>22.7911</v>
      </c>
      <c r="E120" s="54"/>
      <c r="F120" s="56"/>
      <c r="G120" s="57"/>
    </row>
    <row r="121" spans="1:10" x14ac:dyDescent="0.2">
      <c r="A121" s="54"/>
      <c r="B121" s="27" t="s">
        <v>1071</v>
      </c>
      <c r="C121" s="55">
        <v>24.694500000000001</v>
      </c>
      <c r="D121" s="55">
        <v>21.671199999999999</v>
      </c>
      <c r="E121" s="54"/>
      <c r="F121" s="56"/>
      <c r="G121" s="57"/>
    </row>
    <row r="122" spans="1:10" x14ac:dyDescent="0.2">
      <c r="A122" s="54"/>
      <c r="B122" s="54"/>
      <c r="C122" s="54"/>
      <c r="D122" s="54"/>
      <c r="E122" s="54"/>
      <c r="F122" s="54"/>
      <c r="G122" s="54"/>
    </row>
    <row r="123" spans="1:10" x14ac:dyDescent="0.2">
      <c r="A123" s="50"/>
      <c r="B123" s="240" t="s">
        <v>898</v>
      </c>
      <c r="C123" s="241"/>
      <c r="D123" s="58" t="s">
        <v>179</v>
      </c>
      <c r="E123" s="50"/>
      <c r="F123" s="50"/>
      <c r="G123" s="50"/>
    </row>
    <row r="124" spans="1:10" x14ac:dyDescent="0.2">
      <c r="A124" s="50"/>
      <c r="B124" s="59"/>
      <c r="C124" s="59"/>
      <c r="D124" s="59"/>
      <c r="E124" s="50"/>
      <c r="F124" s="50"/>
      <c r="G124" s="50"/>
    </row>
    <row r="125" spans="1:10" x14ac:dyDescent="0.2">
      <c r="A125" s="50"/>
      <c r="B125" s="240" t="s">
        <v>188</v>
      </c>
      <c r="C125" s="241"/>
      <c r="D125" s="58" t="s">
        <v>179</v>
      </c>
      <c r="E125" s="60"/>
      <c r="F125" s="50"/>
      <c r="G125" s="50"/>
    </row>
    <row r="126" spans="1:10" x14ac:dyDescent="0.2">
      <c r="A126" s="50"/>
      <c r="B126" s="240" t="s">
        <v>189</v>
      </c>
      <c r="C126" s="241"/>
      <c r="D126" s="58" t="s">
        <v>179</v>
      </c>
      <c r="E126" s="60"/>
      <c r="F126" s="50"/>
      <c r="G126" s="50"/>
    </row>
    <row r="127" spans="1:10" x14ac:dyDescent="0.2">
      <c r="A127" s="50"/>
      <c r="B127" s="240" t="s">
        <v>190</v>
      </c>
      <c r="C127" s="241"/>
      <c r="D127" s="58" t="s">
        <v>179</v>
      </c>
      <c r="E127" s="60"/>
      <c r="F127" s="50"/>
      <c r="G127" s="50"/>
    </row>
    <row r="128" spans="1:10" x14ac:dyDescent="0.2">
      <c r="A128" s="50"/>
      <c r="B128" s="240" t="s">
        <v>191</v>
      </c>
      <c r="C128" s="241"/>
      <c r="D128" s="61">
        <v>0.29800754196847151</v>
      </c>
      <c r="E128" s="50"/>
      <c r="F128" s="43"/>
      <c r="G128" s="62"/>
    </row>
    <row r="130" spans="2:10" x14ac:dyDescent="0.2">
      <c r="B130" s="238" t="s">
        <v>899</v>
      </c>
      <c r="C130" s="238"/>
    </row>
    <row r="132" spans="2:10" ht="153.75" customHeight="1" x14ac:dyDescent="0.2"/>
    <row r="135" spans="2:10" x14ac:dyDescent="0.2">
      <c r="B135" s="68" t="s">
        <v>900</v>
      </c>
      <c r="C135" s="69"/>
      <c r="D135" s="68"/>
    </row>
    <row r="136" spans="2:10" x14ac:dyDescent="0.2">
      <c r="B136" s="68" t="s">
        <v>913</v>
      </c>
      <c r="D136" s="68"/>
    </row>
    <row r="137" spans="2:10" ht="165" customHeight="1" x14ac:dyDescent="0.2"/>
    <row r="138" spans="2:10" x14ac:dyDescent="0.2">
      <c r="J138" s="22"/>
    </row>
  </sheetData>
  <mergeCells count="18">
    <mergeCell ref="B130:C130"/>
    <mergeCell ref="A3:H3"/>
    <mergeCell ref="A2:H2"/>
    <mergeCell ref="B128:C128"/>
    <mergeCell ref="A1:H1"/>
    <mergeCell ref="B114:C114"/>
    <mergeCell ref="B115:C115"/>
    <mergeCell ref="B123:C123"/>
    <mergeCell ref="B127:C127"/>
    <mergeCell ref="B112:D112"/>
    <mergeCell ref="B113:C113"/>
    <mergeCell ref="B106:H106"/>
    <mergeCell ref="B107:H107"/>
    <mergeCell ref="B108:H108"/>
    <mergeCell ref="B109:H109"/>
    <mergeCell ref="B110:H110"/>
    <mergeCell ref="B125:C125"/>
    <mergeCell ref="B126:C126"/>
  </mergeCells>
  <hyperlinks>
    <hyperlink ref="I1" location="Index!B2" display="Index" xr:uid="{E3B03548-2404-4EA4-952A-4FD724DB01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7CEEA-9012-40AF-8E0A-23E941DFE5AC}">
  <sheetPr>
    <outlinePr summaryBelow="0" summaryRight="0"/>
  </sheetPr>
  <dimension ref="A1:Q136"/>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462</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380</v>
      </c>
      <c r="C7" s="27" t="s">
        <v>381</v>
      </c>
      <c r="D7" s="27" t="s">
        <v>51</v>
      </c>
      <c r="E7" s="28">
        <v>8097</v>
      </c>
      <c r="F7" s="29">
        <v>172.95596850000001</v>
      </c>
      <c r="G7" s="30">
        <v>5.5060940000000003E-2</v>
      </c>
      <c r="H7" s="25" t="s">
        <v>148</v>
      </c>
    </row>
    <row r="8" spans="1:9" x14ac:dyDescent="0.2">
      <c r="A8" s="26">
        <v>2</v>
      </c>
      <c r="B8" s="27" t="s">
        <v>378</v>
      </c>
      <c r="C8" s="27" t="s">
        <v>379</v>
      </c>
      <c r="D8" s="27" t="s">
        <v>232</v>
      </c>
      <c r="E8" s="28">
        <v>53380</v>
      </c>
      <c r="F8" s="29">
        <v>165.61144999999999</v>
      </c>
      <c r="G8" s="30">
        <v>5.27228E-2</v>
      </c>
      <c r="H8" s="25" t="s">
        <v>148</v>
      </c>
    </row>
    <row r="9" spans="1:9" x14ac:dyDescent="0.2">
      <c r="A9" s="26">
        <v>3</v>
      </c>
      <c r="B9" s="27" t="s">
        <v>351</v>
      </c>
      <c r="C9" s="27" t="s">
        <v>352</v>
      </c>
      <c r="D9" s="27" t="s">
        <v>240</v>
      </c>
      <c r="E9" s="28">
        <v>3121</v>
      </c>
      <c r="F9" s="29">
        <v>155.78939650000001</v>
      </c>
      <c r="G9" s="30">
        <v>4.9595920000000002E-2</v>
      </c>
      <c r="H9" s="25" t="s">
        <v>148</v>
      </c>
    </row>
    <row r="10" spans="1:9" x14ac:dyDescent="0.2">
      <c r="A10" s="26">
        <v>4</v>
      </c>
      <c r="B10" s="27" t="s">
        <v>357</v>
      </c>
      <c r="C10" s="27" t="s">
        <v>358</v>
      </c>
      <c r="D10" s="27" t="s">
        <v>359</v>
      </c>
      <c r="E10" s="28">
        <v>10679</v>
      </c>
      <c r="F10" s="29">
        <v>149.53269750000001</v>
      </c>
      <c r="G10" s="30">
        <v>4.7604090000000002E-2</v>
      </c>
      <c r="H10" s="25" t="s">
        <v>148</v>
      </c>
    </row>
    <row r="11" spans="1:9" x14ac:dyDescent="0.2">
      <c r="A11" s="26">
        <v>5</v>
      </c>
      <c r="B11" s="27" t="s">
        <v>382</v>
      </c>
      <c r="C11" s="27" t="s">
        <v>383</v>
      </c>
      <c r="D11" s="27" t="s">
        <v>210</v>
      </c>
      <c r="E11" s="28">
        <v>35553</v>
      </c>
      <c r="F11" s="29">
        <v>143.26081350000001</v>
      </c>
      <c r="G11" s="30">
        <v>4.5607420000000003E-2</v>
      </c>
      <c r="H11" s="25" t="s">
        <v>148</v>
      </c>
    </row>
    <row r="12" spans="1:9" x14ac:dyDescent="0.2">
      <c r="A12" s="26">
        <v>6</v>
      </c>
      <c r="B12" s="27" t="s">
        <v>74</v>
      </c>
      <c r="C12" s="27" t="s">
        <v>75</v>
      </c>
      <c r="D12" s="27" t="s">
        <v>45</v>
      </c>
      <c r="E12" s="28">
        <v>22800</v>
      </c>
      <c r="F12" s="29">
        <v>140.67599999999999</v>
      </c>
      <c r="G12" s="30">
        <v>4.4784539999999998E-2</v>
      </c>
      <c r="H12" s="25" t="s">
        <v>148</v>
      </c>
    </row>
    <row r="13" spans="1:9" x14ac:dyDescent="0.2">
      <c r="A13" s="26">
        <v>7</v>
      </c>
      <c r="B13" s="27" t="s">
        <v>394</v>
      </c>
      <c r="C13" s="27" t="s">
        <v>395</v>
      </c>
      <c r="D13" s="27" t="s">
        <v>240</v>
      </c>
      <c r="E13" s="28">
        <v>5956</v>
      </c>
      <c r="F13" s="29">
        <v>129.19457399999999</v>
      </c>
      <c r="G13" s="30">
        <v>4.1129400000000003E-2</v>
      </c>
      <c r="H13" s="25" t="s">
        <v>148</v>
      </c>
    </row>
    <row r="14" spans="1:9" x14ac:dyDescent="0.2">
      <c r="A14" s="26">
        <v>8</v>
      </c>
      <c r="B14" s="27" t="s">
        <v>316</v>
      </c>
      <c r="C14" s="27" t="s">
        <v>317</v>
      </c>
      <c r="D14" s="27" t="s">
        <v>267</v>
      </c>
      <c r="E14" s="28">
        <v>3361</v>
      </c>
      <c r="F14" s="29">
        <v>126.4492225</v>
      </c>
      <c r="G14" s="30">
        <v>4.0255409999999998E-2</v>
      </c>
      <c r="H14" s="25" t="s">
        <v>148</v>
      </c>
    </row>
    <row r="15" spans="1:9" x14ac:dyDescent="0.2">
      <c r="A15" s="26">
        <v>9</v>
      </c>
      <c r="B15" s="27" t="s">
        <v>142</v>
      </c>
      <c r="C15" s="27" t="s">
        <v>143</v>
      </c>
      <c r="D15" s="27" t="s">
        <v>51</v>
      </c>
      <c r="E15" s="28">
        <v>46205</v>
      </c>
      <c r="F15" s="29">
        <v>124.2683475</v>
      </c>
      <c r="G15" s="30">
        <v>3.9561119999999998E-2</v>
      </c>
      <c r="H15" s="25" t="s">
        <v>148</v>
      </c>
    </row>
    <row r="16" spans="1:9" x14ac:dyDescent="0.2">
      <c r="A16" s="26">
        <v>10</v>
      </c>
      <c r="B16" s="27" t="s">
        <v>384</v>
      </c>
      <c r="C16" s="27" t="s">
        <v>385</v>
      </c>
      <c r="D16" s="27" t="s">
        <v>28</v>
      </c>
      <c r="E16" s="28">
        <v>37549</v>
      </c>
      <c r="F16" s="29">
        <v>106.1697975</v>
      </c>
      <c r="G16" s="30">
        <v>3.3799410000000002E-2</v>
      </c>
      <c r="H16" s="25" t="s">
        <v>148</v>
      </c>
    </row>
    <row r="17" spans="1:8" x14ac:dyDescent="0.2">
      <c r="A17" s="26">
        <v>11</v>
      </c>
      <c r="B17" s="27" t="s">
        <v>86</v>
      </c>
      <c r="C17" s="27" t="s">
        <v>87</v>
      </c>
      <c r="D17" s="27" t="s">
        <v>45</v>
      </c>
      <c r="E17" s="28">
        <v>3360</v>
      </c>
      <c r="F17" s="29">
        <v>103.15703999999999</v>
      </c>
      <c r="G17" s="30">
        <v>3.2840290000000001E-2</v>
      </c>
      <c r="H17" s="25" t="s">
        <v>148</v>
      </c>
    </row>
    <row r="18" spans="1:8" x14ac:dyDescent="0.2">
      <c r="A18" s="26">
        <v>12</v>
      </c>
      <c r="B18" s="27" t="s">
        <v>392</v>
      </c>
      <c r="C18" s="27" t="s">
        <v>393</v>
      </c>
      <c r="D18" s="27" t="s">
        <v>28</v>
      </c>
      <c r="E18" s="28">
        <v>180840</v>
      </c>
      <c r="F18" s="29">
        <v>102.84370800000001</v>
      </c>
      <c r="G18" s="30">
        <v>3.2740539999999999E-2</v>
      </c>
      <c r="H18" s="25" t="s">
        <v>148</v>
      </c>
    </row>
    <row r="19" spans="1:8" x14ac:dyDescent="0.2">
      <c r="A19" s="26">
        <v>13</v>
      </c>
      <c r="B19" s="27" t="s">
        <v>36</v>
      </c>
      <c r="C19" s="27" t="s">
        <v>37</v>
      </c>
      <c r="D19" s="27" t="s">
        <v>25</v>
      </c>
      <c r="E19" s="28">
        <v>2267</v>
      </c>
      <c r="F19" s="29">
        <v>99.506564499999996</v>
      </c>
      <c r="G19" s="30">
        <v>3.1678150000000002E-2</v>
      </c>
      <c r="H19" s="25" t="s">
        <v>148</v>
      </c>
    </row>
    <row r="20" spans="1:8" x14ac:dyDescent="0.2">
      <c r="A20" s="26">
        <v>14</v>
      </c>
      <c r="B20" s="27" t="s">
        <v>390</v>
      </c>
      <c r="C20" s="27" t="s">
        <v>391</v>
      </c>
      <c r="D20" s="27" t="s">
        <v>28</v>
      </c>
      <c r="E20" s="28">
        <v>298383</v>
      </c>
      <c r="F20" s="29">
        <v>95.870457900000005</v>
      </c>
      <c r="G20" s="30">
        <v>3.052059E-2</v>
      </c>
      <c r="H20" s="25" t="s">
        <v>148</v>
      </c>
    </row>
    <row r="21" spans="1:8" ht="25.5" x14ac:dyDescent="0.2">
      <c r="A21" s="26">
        <v>15</v>
      </c>
      <c r="B21" s="27" t="s">
        <v>388</v>
      </c>
      <c r="C21" s="27" t="s">
        <v>389</v>
      </c>
      <c r="D21" s="27" t="s">
        <v>202</v>
      </c>
      <c r="E21" s="28">
        <v>1831</v>
      </c>
      <c r="F21" s="29">
        <v>92.173455500000003</v>
      </c>
      <c r="G21" s="30">
        <v>2.9343640000000001E-2</v>
      </c>
      <c r="H21" s="25" t="s">
        <v>148</v>
      </c>
    </row>
    <row r="22" spans="1:8" ht="25.5" x14ac:dyDescent="0.2">
      <c r="A22" s="26">
        <v>16</v>
      </c>
      <c r="B22" s="27" t="s">
        <v>398</v>
      </c>
      <c r="C22" s="27" t="s">
        <v>399</v>
      </c>
      <c r="D22" s="27" t="s">
        <v>400</v>
      </c>
      <c r="E22" s="28">
        <v>26872</v>
      </c>
      <c r="F22" s="29">
        <v>81.946163999999996</v>
      </c>
      <c r="G22" s="30">
        <v>2.6087760000000002E-2</v>
      </c>
      <c r="H22" s="25" t="s">
        <v>148</v>
      </c>
    </row>
    <row r="23" spans="1:8" x14ac:dyDescent="0.2">
      <c r="A23" s="26">
        <v>17</v>
      </c>
      <c r="B23" s="27" t="s">
        <v>414</v>
      </c>
      <c r="C23" s="27" t="s">
        <v>415</v>
      </c>
      <c r="D23" s="27" t="s">
        <v>205</v>
      </c>
      <c r="E23" s="28">
        <v>19125</v>
      </c>
      <c r="F23" s="29">
        <v>81.099562500000005</v>
      </c>
      <c r="G23" s="30">
        <v>2.5818239999999999E-2</v>
      </c>
      <c r="H23" s="25" t="s">
        <v>148</v>
      </c>
    </row>
    <row r="24" spans="1:8" x14ac:dyDescent="0.2">
      <c r="A24" s="26">
        <v>18</v>
      </c>
      <c r="B24" s="27" t="s">
        <v>396</v>
      </c>
      <c r="C24" s="27" t="s">
        <v>397</v>
      </c>
      <c r="D24" s="27" t="s">
        <v>205</v>
      </c>
      <c r="E24" s="28">
        <v>16328</v>
      </c>
      <c r="F24" s="29">
        <v>80.007199999999997</v>
      </c>
      <c r="G24" s="30">
        <v>2.547048E-2</v>
      </c>
      <c r="H24" s="25" t="s">
        <v>148</v>
      </c>
    </row>
    <row r="25" spans="1:8" x14ac:dyDescent="0.2">
      <c r="A25" s="26">
        <v>19</v>
      </c>
      <c r="B25" s="27" t="s">
        <v>52</v>
      </c>
      <c r="C25" s="27" t="s">
        <v>53</v>
      </c>
      <c r="D25" s="27" t="s">
        <v>54</v>
      </c>
      <c r="E25" s="28">
        <v>7562</v>
      </c>
      <c r="F25" s="29">
        <v>71.615921</v>
      </c>
      <c r="G25" s="30">
        <v>2.2799099999999999E-2</v>
      </c>
      <c r="H25" s="25" t="s">
        <v>148</v>
      </c>
    </row>
    <row r="26" spans="1:8" x14ac:dyDescent="0.2">
      <c r="A26" s="26">
        <v>20</v>
      </c>
      <c r="B26" s="27" t="s">
        <v>43</v>
      </c>
      <c r="C26" s="27" t="s">
        <v>44</v>
      </c>
      <c r="D26" s="27" t="s">
        <v>45</v>
      </c>
      <c r="E26" s="28">
        <v>1517</v>
      </c>
      <c r="F26" s="29">
        <v>68.634389499999997</v>
      </c>
      <c r="G26" s="30">
        <v>2.1849919999999998E-2</v>
      </c>
      <c r="H26" s="25" t="s">
        <v>148</v>
      </c>
    </row>
    <row r="27" spans="1:8" x14ac:dyDescent="0.2">
      <c r="A27" s="26">
        <v>21</v>
      </c>
      <c r="B27" s="27" t="s">
        <v>401</v>
      </c>
      <c r="C27" s="27" t="s">
        <v>402</v>
      </c>
      <c r="D27" s="27" t="s">
        <v>403</v>
      </c>
      <c r="E27" s="28">
        <v>7495</v>
      </c>
      <c r="F27" s="29">
        <v>67.7510525</v>
      </c>
      <c r="G27" s="30">
        <v>2.1568710000000001E-2</v>
      </c>
      <c r="H27" s="25" t="s">
        <v>148</v>
      </c>
    </row>
    <row r="28" spans="1:8" x14ac:dyDescent="0.2">
      <c r="A28" s="26">
        <v>22</v>
      </c>
      <c r="B28" s="27" t="s">
        <v>404</v>
      </c>
      <c r="C28" s="27" t="s">
        <v>405</v>
      </c>
      <c r="D28" s="27" t="s">
        <v>111</v>
      </c>
      <c r="E28" s="28">
        <v>4105</v>
      </c>
      <c r="F28" s="29">
        <v>67.399995000000004</v>
      </c>
      <c r="G28" s="30">
        <v>2.1456949999999999E-2</v>
      </c>
      <c r="H28" s="25" t="s">
        <v>148</v>
      </c>
    </row>
    <row r="29" spans="1:8" x14ac:dyDescent="0.2">
      <c r="A29" s="26">
        <v>23</v>
      </c>
      <c r="B29" s="27" t="s">
        <v>60</v>
      </c>
      <c r="C29" s="27" t="s">
        <v>61</v>
      </c>
      <c r="D29" s="27" t="s">
        <v>19</v>
      </c>
      <c r="E29" s="28">
        <v>7465</v>
      </c>
      <c r="F29" s="29">
        <v>65.628547499999996</v>
      </c>
      <c r="G29" s="30">
        <v>2.0892999999999998E-2</v>
      </c>
      <c r="H29" s="25" t="s">
        <v>148</v>
      </c>
    </row>
    <row r="30" spans="1:8" x14ac:dyDescent="0.2">
      <c r="A30" s="26">
        <v>24</v>
      </c>
      <c r="B30" s="27" t="s">
        <v>406</v>
      </c>
      <c r="C30" s="27" t="s">
        <v>407</v>
      </c>
      <c r="D30" s="27" t="s">
        <v>232</v>
      </c>
      <c r="E30" s="28">
        <v>9506</v>
      </c>
      <c r="F30" s="29">
        <v>64.930733000000004</v>
      </c>
      <c r="G30" s="30">
        <v>2.0670850000000001E-2</v>
      </c>
      <c r="H30" s="25" t="s">
        <v>148</v>
      </c>
    </row>
    <row r="31" spans="1:8" x14ac:dyDescent="0.2">
      <c r="A31" s="26">
        <v>25</v>
      </c>
      <c r="B31" s="27" t="s">
        <v>255</v>
      </c>
      <c r="C31" s="27" t="s">
        <v>256</v>
      </c>
      <c r="D31" s="27" t="s">
        <v>111</v>
      </c>
      <c r="E31" s="28">
        <v>707</v>
      </c>
      <c r="F31" s="29">
        <v>57.868656999999999</v>
      </c>
      <c r="G31" s="30">
        <v>1.8422620000000001E-2</v>
      </c>
      <c r="H31" s="25" t="s">
        <v>148</v>
      </c>
    </row>
    <row r="32" spans="1:8" x14ac:dyDescent="0.2">
      <c r="A32" s="26">
        <v>26</v>
      </c>
      <c r="B32" s="27" t="s">
        <v>412</v>
      </c>
      <c r="C32" s="27" t="s">
        <v>413</v>
      </c>
      <c r="D32" s="27" t="s">
        <v>45</v>
      </c>
      <c r="E32" s="28">
        <v>14157</v>
      </c>
      <c r="F32" s="29">
        <v>55.452969000000003</v>
      </c>
      <c r="G32" s="30">
        <v>1.7653579999999999E-2</v>
      </c>
      <c r="H32" s="25" t="s">
        <v>148</v>
      </c>
    </row>
    <row r="33" spans="1:8" ht="25.5" x14ac:dyDescent="0.2">
      <c r="A33" s="26">
        <v>27</v>
      </c>
      <c r="B33" s="27" t="s">
        <v>410</v>
      </c>
      <c r="C33" s="27" t="s">
        <v>411</v>
      </c>
      <c r="D33" s="27" t="s">
        <v>202</v>
      </c>
      <c r="E33" s="28">
        <v>10194</v>
      </c>
      <c r="F33" s="29">
        <v>53.742767999999998</v>
      </c>
      <c r="G33" s="30">
        <v>1.7109139999999998E-2</v>
      </c>
      <c r="H33" s="25" t="s">
        <v>148</v>
      </c>
    </row>
    <row r="34" spans="1:8" x14ac:dyDescent="0.2">
      <c r="A34" s="26">
        <v>28</v>
      </c>
      <c r="B34" s="27" t="s">
        <v>408</v>
      </c>
      <c r="C34" s="27" t="s">
        <v>409</v>
      </c>
      <c r="D34" s="27" t="s">
        <v>111</v>
      </c>
      <c r="E34" s="28">
        <v>9140</v>
      </c>
      <c r="F34" s="29">
        <v>52.79721</v>
      </c>
      <c r="G34" s="30">
        <v>1.6808119999999999E-2</v>
      </c>
      <c r="H34" s="25" t="s">
        <v>148</v>
      </c>
    </row>
    <row r="35" spans="1:8" x14ac:dyDescent="0.2">
      <c r="A35" s="26">
        <v>29</v>
      </c>
      <c r="B35" s="27" t="s">
        <v>458</v>
      </c>
      <c r="C35" s="27" t="s">
        <v>459</v>
      </c>
      <c r="D35" s="27" t="s">
        <v>45</v>
      </c>
      <c r="E35" s="28">
        <v>10251</v>
      </c>
      <c r="F35" s="29">
        <v>41.629311000000001</v>
      </c>
      <c r="G35" s="30">
        <v>1.325279E-2</v>
      </c>
      <c r="H35" s="25" t="s">
        <v>148</v>
      </c>
    </row>
    <row r="36" spans="1:8" x14ac:dyDescent="0.2">
      <c r="A36" s="26">
        <v>30</v>
      </c>
      <c r="B36" s="27" t="s">
        <v>422</v>
      </c>
      <c r="C36" s="27" t="s">
        <v>423</v>
      </c>
      <c r="D36" s="27" t="s">
        <v>359</v>
      </c>
      <c r="E36" s="28">
        <v>12789</v>
      </c>
      <c r="F36" s="29">
        <v>40.585891500000002</v>
      </c>
      <c r="G36" s="30">
        <v>1.2920620000000001E-2</v>
      </c>
      <c r="H36" s="25" t="s">
        <v>148</v>
      </c>
    </row>
    <row r="37" spans="1:8" x14ac:dyDescent="0.2">
      <c r="A37" s="26">
        <v>31</v>
      </c>
      <c r="B37" s="27" t="s">
        <v>424</v>
      </c>
      <c r="C37" s="27" t="s">
        <v>425</v>
      </c>
      <c r="D37" s="27" t="s">
        <v>51</v>
      </c>
      <c r="E37" s="28">
        <v>5457</v>
      </c>
      <c r="F37" s="29">
        <v>31.825223999999999</v>
      </c>
      <c r="G37" s="30">
        <v>1.0131640000000001E-2</v>
      </c>
      <c r="H37" s="25" t="s">
        <v>148</v>
      </c>
    </row>
    <row r="38" spans="1:8" x14ac:dyDescent="0.2">
      <c r="A38" s="26">
        <v>32</v>
      </c>
      <c r="B38" s="27" t="s">
        <v>420</v>
      </c>
      <c r="C38" s="27" t="s">
        <v>421</v>
      </c>
      <c r="D38" s="27" t="s">
        <v>51</v>
      </c>
      <c r="E38" s="28">
        <v>3365</v>
      </c>
      <c r="F38" s="29">
        <v>24.276792499999999</v>
      </c>
      <c r="G38" s="30">
        <v>7.7285799999999997E-3</v>
      </c>
      <c r="H38" s="25" t="s">
        <v>148</v>
      </c>
    </row>
    <row r="39" spans="1:8" x14ac:dyDescent="0.2">
      <c r="A39" s="26">
        <v>33</v>
      </c>
      <c r="B39" s="27" t="s">
        <v>430</v>
      </c>
      <c r="C39" s="27" t="s">
        <v>431</v>
      </c>
      <c r="D39" s="27" t="s">
        <v>69</v>
      </c>
      <c r="E39" s="28">
        <v>4604</v>
      </c>
      <c r="F39" s="29">
        <v>15.554614000000001</v>
      </c>
      <c r="G39" s="30">
        <v>4.9518499999999998E-3</v>
      </c>
      <c r="H39" s="25" t="s">
        <v>148</v>
      </c>
    </row>
    <row r="40" spans="1:8" x14ac:dyDescent="0.2">
      <c r="A40" s="23"/>
      <c r="B40" s="23"/>
      <c r="C40" s="24" t="s">
        <v>147</v>
      </c>
      <c r="D40" s="23"/>
      <c r="E40" s="23" t="s">
        <v>148</v>
      </c>
      <c r="F40" s="31">
        <v>2930.2064954000002</v>
      </c>
      <c r="G40" s="32">
        <v>0.93283821</v>
      </c>
      <c r="H40" s="25" t="s">
        <v>148</v>
      </c>
    </row>
    <row r="41" spans="1:8" x14ac:dyDescent="0.2">
      <c r="A41" s="23"/>
      <c r="B41" s="23"/>
      <c r="C41" s="33"/>
      <c r="D41" s="23"/>
      <c r="E41" s="23"/>
      <c r="F41" s="34"/>
      <c r="G41" s="34"/>
      <c r="H41" s="25" t="s">
        <v>148</v>
      </c>
    </row>
    <row r="42" spans="1:8" x14ac:dyDescent="0.2">
      <c r="A42" s="23"/>
      <c r="B42" s="23"/>
      <c r="C42" s="24" t="s">
        <v>149</v>
      </c>
      <c r="D42" s="23"/>
      <c r="E42" s="23"/>
      <c r="F42" s="23"/>
      <c r="G42" s="23"/>
      <c r="H42" s="25" t="s">
        <v>148</v>
      </c>
    </row>
    <row r="43" spans="1:8" x14ac:dyDescent="0.2">
      <c r="A43" s="23"/>
      <c r="B43" s="23"/>
      <c r="C43" s="24" t="s">
        <v>147</v>
      </c>
      <c r="D43" s="23"/>
      <c r="E43" s="23" t="s">
        <v>148</v>
      </c>
      <c r="F43" s="35" t="s">
        <v>150</v>
      </c>
      <c r="G43" s="32">
        <v>0</v>
      </c>
      <c r="H43" s="25" t="s">
        <v>148</v>
      </c>
    </row>
    <row r="44" spans="1:8" x14ac:dyDescent="0.2">
      <c r="A44" s="23"/>
      <c r="B44" s="23"/>
      <c r="C44" s="33"/>
      <c r="D44" s="23"/>
      <c r="E44" s="23"/>
      <c r="F44" s="34"/>
      <c r="G44" s="34"/>
      <c r="H44" s="25" t="s">
        <v>148</v>
      </c>
    </row>
    <row r="45" spans="1:8" x14ac:dyDescent="0.2">
      <c r="A45" s="23"/>
      <c r="B45" s="23"/>
      <c r="C45" s="24" t="s">
        <v>151</v>
      </c>
      <c r="D45" s="23"/>
      <c r="E45" s="23"/>
      <c r="F45" s="23"/>
      <c r="G45" s="23"/>
      <c r="H45" s="25" t="s">
        <v>148</v>
      </c>
    </row>
    <row r="46" spans="1:8" x14ac:dyDescent="0.2">
      <c r="A46" s="23"/>
      <c r="B46" s="23"/>
      <c r="C46" s="24" t="s">
        <v>147</v>
      </c>
      <c r="D46" s="23"/>
      <c r="E46" s="23" t="s">
        <v>148</v>
      </c>
      <c r="F46" s="35" t="s">
        <v>150</v>
      </c>
      <c r="G46" s="32">
        <v>0</v>
      </c>
      <c r="H46" s="25" t="s">
        <v>148</v>
      </c>
    </row>
    <row r="47" spans="1:8" x14ac:dyDescent="0.2">
      <c r="A47" s="23"/>
      <c r="B47" s="23"/>
      <c r="C47" s="33"/>
      <c r="D47" s="23"/>
      <c r="E47" s="23"/>
      <c r="F47" s="34"/>
      <c r="G47" s="34"/>
      <c r="H47" s="25" t="s">
        <v>148</v>
      </c>
    </row>
    <row r="48" spans="1:8" x14ac:dyDescent="0.2">
      <c r="A48" s="23"/>
      <c r="B48" s="23"/>
      <c r="C48" s="24" t="s">
        <v>152</v>
      </c>
      <c r="D48" s="23"/>
      <c r="E48" s="23"/>
      <c r="F48" s="23"/>
      <c r="G48" s="23"/>
      <c r="H48" s="25" t="s">
        <v>148</v>
      </c>
    </row>
    <row r="49" spans="1:8" x14ac:dyDescent="0.2">
      <c r="A49" s="23"/>
      <c r="B49" s="23"/>
      <c r="C49" s="24" t="s">
        <v>147</v>
      </c>
      <c r="D49" s="23"/>
      <c r="E49" s="23" t="s">
        <v>148</v>
      </c>
      <c r="F49" s="35" t="s">
        <v>150</v>
      </c>
      <c r="G49" s="32">
        <v>0</v>
      </c>
      <c r="H49" s="25" t="s">
        <v>148</v>
      </c>
    </row>
    <row r="50" spans="1:8" x14ac:dyDescent="0.2">
      <c r="A50" s="23"/>
      <c r="B50" s="23"/>
      <c r="C50" s="33"/>
      <c r="D50" s="23"/>
      <c r="E50" s="23"/>
      <c r="F50" s="34"/>
      <c r="G50" s="34"/>
      <c r="H50" s="25" t="s">
        <v>148</v>
      </c>
    </row>
    <row r="51" spans="1:8" x14ac:dyDescent="0.2">
      <c r="A51" s="23"/>
      <c r="B51" s="23"/>
      <c r="C51" s="24" t="s">
        <v>153</v>
      </c>
      <c r="D51" s="23"/>
      <c r="E51" s="23"/>
      <c r="F51" s="34"/>
      <c r="G51" s="34"/>
      <c r="H51" s="25" t="s">
        <v>148</v>
      </c>
    </row>
    <row r="52" spans="1:8" x14ac:dyDescent="0.2">
      <c r="A52" s="23"/>
      <c r="B52" s="23"/>
      <c r="C52" s="24" t="s">
        <v>147</v>
      </c>
      <c r="D52" s="23"/>
      <c r="E52" s="23" t="s">
        <v>148</v>
      </c>
      <c r="F52" s="35" t="s">
        <v>150</v>
      </c>
      <c r="G52" s="32">
        <v>0</v>
      </c>
      <c r="H52" s="25" t="s">
        <v>148</v>
      </c>
    </row>
    <row r="53" spans="1:8" x14ac:dyDescent="0.2">
      <c r="A53" s="23"/>
      <c r="B53" s="23"/>
      <c r="C53" s="33"/>
      <c r="D53" s="23"/>
      <c r="E53" s="23"/>
      <c r="F53" s="34"/>
      <c r="G53" s="34"/>
      <c r="H53" s="25" t="s">
        <v>148</v>
      </c>
    </row>
    <row r="54" spans="1:8" x14ac:dyDescent="0.2">
      <c r="A54" s="23"/>
      <c r="B54" s="23"/>
      <c r="C54" s="24" t="s">
        <v>154</v>
      </c>
      <c r="D54" s="23"/>
      <c r="E54" s="23"/>
      <c r="F54" s="34"/>
      <c r="G54" s="34"/>
      <c r="H54" s="25" t="s">
        <v>148</v>
      </c>
    </row>
    <row r="55" spans="1:8" x14ac:dyDescent="0.2">
      <c r="A55" s="23"/>
      <c r="B55" s="23"/>
      <c r="C55" s="24" t="s">
        <v>147</v>
      </c>
      <c r="D55" s="23"/>
      <c r="E55" s="23" t="s">
        <v>148</v>
      </c>
      <c r="F55" s="35" t="s">
        <v>150</v>
      </c>
      <c r="G55" s="32">
        <v>0</v>
      </c>
      <c r="H55" s="25" t="s">
        <v>148</v>
      </c>
    </row>
    <row r="56" spans="1:8" x14ac:dyDescent="0.2">
      <c r="A56" s="23"/>
      <c r="B56" s="23"/>
      <c r="C56" s="33"/>
      <c r="D56" s="23"/>
      <c r="E56" s="23"/>
      <c r="F56" s="34"/>
      <c r="G56" s="34"/>
      <c r="H56" s="25" t="s">
        <v>148</v>
      </c>
    </row>
    <row r="57" spans="1:8" x14ac:dyDescent="0.2">
      <c r="A57" s="23"/>
      <c r="B57" s="23"/>
      <c r="C57" s="24" t="s">
        <v>155</v>
      </c>
      <c r="D57" s="23"/>
      <c r="E57" s="23"/>
      <c r="F57" s="31">
        <v>2930.2064954000002</v>
      </c>
      <c r="G57" s="32">
        <v>0.93283821</v>
      </c>
      <c r="H57" s="25" t="s">
        <v>148</v>
      </c>
    </row>
    <row r="58" spans="1:8" x14ac:dyDescent="0.2">
      <c r="A58" s="23"/>
      <c r="B58" s="23"/>
      <c r="C58" s="33"/>
      <c r="D58" s="23"/>
      <c r="E58" s="23"/>
      <c r="F58" s="34"/>
      <c r="G58" s="34"/>
      <c r="H58" s="25" t="s">
        <v>148</v>
      </c>
    </row>
    <row r="59" spans="1:8" x14ac:dyDescent="0.2">
      <c r="A59" s="23"/>
      <c r="B59" s="23"/>
      <c r="C59" s="24" t="s">
        <v>156</v>
      </c>
      <c r="D59" s="23"/>
      <c r="E59" s="23"/>
      <c r="F59" s="34"/>
      <c r="G59" s="34"/>
      <c r="H59" s="25" t="s">
        <v>148</v>
      </c>
    </row>
    <row r="60" spans="1:8" x14ac:dyDescent="0.2">
      <c r="A60" s="23"/>
      <c r="B60" s="23"/>
      <c r="C60" s="24" t="s">
        <v>10</v>
      </c>
      <c r="D60" s="23"/>
      <c r="E60" s="23"/>
      <c r="F60" s="34"/>
      <c r="G60" s="34"/>
      <c r="H60" s="25" t="s">
        <v>148</v>
      </c>
    </row>
    <row r="61" spans="1:8" x14ac:dyDescent="0.2">
      <c r="A61" s="23"/>
      <c r="B61" s="23"/>
      <c r="C61" s="24" t="s">
        <v>147</v>
      </c>
      <c r="D61" s="23"/>
      <c r="E61" s="23" t="s">
        <v>148</v>
      </c>
      <c r="F61" s="35" t="s">
        <v>150</v>
      </c>
      <c r="G61" s="32">
        <v>0</v>
      </c>
      <c r="H61" s="25" t="s">
        <v>148</v>
      </c>
    </row>
    <row r="62" spans="1:8" x14ac:dyDescent="0.2">
      <c r="A62" s="23"/>
      <c r="B62" s="23"/>
      <c r="C62" s="33"/>
      <c r="D62" s="23"/>
      <c r="E62" s="23"/>
      <c r="F62" s="34"/>
      <c r="G62" s="34"/>
      <c r="H62" s="25" t="s">
        <v>148</v>
      </c>
    </row>
    <row r="63" spans="1:8" x14ac:dyDescent="0.2">
      <c r="A63" s="23"/>
      <c r="B63" s="23"/>
      <c r="C63" s="24" t="s">
        <v>157</v>
      </c>
      <c r="D63" s="23"/>
      <c r="E63" s="23"/>
      <c r="F63" s="23"/>
      <c r="G63" s="23"/>
      <c r="H63" s="25" t="s">
        <v>148</v>
      </c>
    </row>
    <row r="64" spans="1:8" x14ac:dyDescent="0.2">
      <c r="A64" s="23"/>
      <c r="B64" s="23"/>
      <c r="C64" s="24" t="s">
        <v>147</v>
      </c>
      <c r="D64" s="23"/>
      <c r="E64" s="23" t="s">
        <v>148</v>
      </c>
      <c r="F64" s="35" t="s">
        <v>150</v>
      </c>
      <c r="G64" s="32">
        <v>0</v>
      </c>
      <c r="H64" s="25" t="s">
        <v>148</v>
      </c>
    </row>
    <row r="65" spans="1:8" x14ac:dyDescent="0.2">
      <c r="A65" s="23"/>
      <c r="B65" s="23"/>
      <c r="C65" s="33"/>
      <c r="D65" s="23"/>
      <c r="E65" s="23"/>
      <c r="F65" s="34"/>
      <c r="G65" s="34"/>
      <c r="H65" s="25" t="s">
        <v>148</v>
      </c>
    </row>
    <row r="66" spans="1:8" x14ac:dyDescent="0.2">
      <c r="A66" s="23"/>
      <c r="B66" s="23"/>
      <c r="C66" s="24" t="s">
        <v>158</v>
      </c>
      <c r="D66" s="23"/>
      <c r="E66" s="23"/>
      <c r="F66" s="23"/>
      <c r="G66" s="23"/>
      <c r="H66" s="25" t="s">
        <v>148</v>
      </c>
    </row>
    <row r="67" spans="1:8" x14ac:dyDescent="0.2">
      <c r="A67" s="23"/>
      <c r="B67" s="23"/>
      <c r="C67" s="24" t="s">
        <v>147</v>
      </c>
      <c r="D67" s="23"/>
      <c r="E67" s="23" t="s">
        <v>148</v>
      </c>
      <c r="F67" s="35" t="s">
        <v>150</v>
      </c>
      <c r="G67" s="32">
        <v>0</v>
      </c>
      <c r="H67" s="25" t="s">
        <v>148</v>
      </c>
    </row>
    <row r="68" spans="1:8" x14ac:dyDescent="0.2">
      <c r="A68" s="23"/>
      <c r="B68" s="23"/>
      <c r="C68" s="33"/>
      <c r="D68" s="23"/>
      <c r="E68" s="23"/>
      <c r="F68" s="34"/>
      <c r="G68" s="34"/>
      <c r="H68" s="25" t="s">
        <v>148</v>
      </c>
    </row>
    <row r="69" spans="1:8" x14ac:dyDescent="0.2">
      <c r="A69" s="23"/>
      <c r="B69" s="23"/>
      <c r="C69" s="24" t="s">
        <v>159</v>
      </c>
      <c r="D69" s="23"/>
      <c r="E69" s="23"/>
      <c r="F69" s="34"/>
      <c r="G69" s="34"/>
      <c r="H69" s="25" t="s">
        <v>148</v>
      </c>
    </row>
    <row r="70" spans="1:8" x14ac:dyDescent="0.2">
      <c r="A70" s="23"/>
      <c r="B70" s="23"/>
      <c r="C70" s="24" t="s">
        <v>147</v>
      </c>
      <c r="D70" s="23"/>
      <c r="E70" s="23" t="s">
        <v>148</v>
      </c>
      <c r="F70" s="35" t="s">
        <v>150</v>
      </c>
      <c r="G70" s="32">
        <v>0</v>
      </c>
      <c r="H70" s="25" t="s">
        <v>148</v>
      </c>
    </row>
    <row r="71" spans="1:8" x14ac:dyDescent="0.2">
      <c r="A71" s="23"/>
      <c r="B71" s="23"/>
      <c r="C71" s="33"/>
      <c r="D71" s="23"/>
      <c r="E71" s="23"/>
      <c r="F71" s="34"/>
      <c r="G71" s="34"/>
      <c r="H71" s="25" t="s">
        <v>148</v>
      </c>
    </row>
    <row r="72" spans="1:8" x14ac:dyDescent="0.2">
      <c r="A72" s="23"/>
      <c r="B72" s="23"/>
      <c r="C72" s="24" t="s">
        <v>160</v>
      </c>
      <c r="D72" s="23"/>
      <c r="E72" s="23"/>
      <c r="F72" s="31">
        <v>0</v>
      </c>
      <c r="G72" s="32">
        <v>0</v>
      </c>
      <c r="H72" s="25" t="s">
        <v>148</v>
      </c>
    </row>
    <row r="73" spans="1:8" x14ac:dyDescent="0.2">
      <c r="A73" s="23"/>
      <c r="B73" s="23"/>
      <c r="C73" s="33"/>
      <c r="D73" s="23"/>
      <c r="E73" s="23"/>
      <c r="F73" s="34"/>
      <c r="G73" s="34"/>
      <c r="H73" s="25" t="s">
        <v>148</v>
      </c>
    </row>
    <row r="74" spans="1:8" x14ac:dyDescent="0.2">
      <c r="A74" s="23"/>
      <c r="B74" s="23"/>
      <c r="C74" s="24" t="s">
        <v>161</v>
      </c>
      <c r="D74" s="23"/>
      <c r="E74" s="23"/>
      <c r="F74" s="34"/>
      <c r="G74" s="34"/>
      <c r="H74" s="25" t="s">
        <v>148</v>
      </c>
    </row>
    <row r="75" spans="1:8" x14ac:dyDescent="0.2">
      <c r="A75" s="23"/>
      <c r="B75" s="23"/>
      <c r="C75" s="24" t="s">
        <v>162</v>
      </c>
      <c r="D75" s="23"/>
      <c r="E75" s="23"/>
      <c r="F75" s="34"/>
      <c r="G75" s="34"/>
      <c r="H75" s="25" t="s">
        <v>148</v>
      </c>
    </row>
    <row r="76" spans="1:8" x14ac:dyDescent="0.2">
      <c r="A76" s="23"/>
      <c r="B76" s="23"/>
      <c r="C76" s="24" t="s">
        <v>147</v>
      </c>
      <c r="D76" s="23"/>
      <c r="E76" s="23" t="s">
        <v>148</v>
      </c>
      <c r="F76" s="35" t="s">
        <v>150</v>
      </c>
      <c r="G76" s="32">
        <v>0</v>
      </c>
      <c r="H76" s="25" t="s">
        <v>148</v>
      </c>
    </row>
    <row r="77" spans="1:8" x14ac:dyDescent="0.2">
      <c r="A77" s="23"/>
      <c r="B77" s="23"/>
      <c r="C77" s="33"/>
      <c r="D77" s="23"/>
      <c r="E77" s="23"/>
      <c r="F77" s="34"/>
      <c r="G77" s="34"/>
      <c r="H77" s="25" t="s">
        <v>148</v>
      </c>
    </row>
    <row r="78" spans="1:8" x14ac:dyDescent="0.2">
      <c r="A78" s="23"/>
      <c r="B78" s="23"/>
      <c r="C78" s="24" t="s">
        <v>163</v>
      </c>
      <c r="D78" s="23"/>
      <c r="E78" s="23"/>
      <c r="F78" s="34"/>
      <c r="G78" s="34"/>
      <c r="H78" s="25" t="s">
        <v>148</v>
      </c>
    </row>
    <row r="79" spans="1:8" x14ac:dyDescent="0.2">
      <c r="A79" s="23"/>
      <c r="B79" s="23"/>
      <c r="C79" s="24" t="s">
        <v>147</v>
      </c>
      <c r="D79" s="23"/>
      <c r="E79" s="23" t="s">
        <v>148</v>
      </c>
      <c r="F79" s="35" t="s">
        <v>150</v>
      </c>
      <c r="G79" s="32">
        <v>0</v>
      </c>
      <c r="H79" s="25" t="s">
        <v>148</v>
      </c>
    </row>
    <row r="80" spans="1:8" x14ac:dyDescent="0.2">
      <c r="A80" s="23"/>
      <c r="B80" s="23"/>
      <c r="C80" s="33"/>
      <c r="D80" s="23"/>
      <c r="E80" s="23"/>
      <c r="F80" s="34"/>
      <c r="G80" s="34"/>
      <c r="H80" s="25" t="s">
        <v>148</v>
      </c>
    </row>
    <row r="81" spans="1:8" x14ac:dyDescent="0.2">
      <c r="A81" s="23"/>
      <c r="B81" s="23"/>
      <c r="C81" s="24" t="s">
        <v>164</v>
      </c>
      <c r="D81" s="23"/>
      <c r="E81" s="23"/>
      <c r="F81" s="34"/>
      <c r="G81" s="34"/>
      <c r="H81" s="25" t="s">
        <v>148</v>
      </c>
    </row>
    <row r="82" spans="1:8" x14ac:dyDescent="0.2">
      <c r="A82" s="23"/>
      <c r="B82" s="23"/>
      <c r="C82" s="24" t="s">
        <v>147</v>
      </c>
      <c r="D82" s="23"/>
      <c r="E82" s="23" t="s">
        <v>148</v>
      </c>
      <c r="F82" s="35" t="s">
        <v>150</v>
      </c>
      <c r="G82" s="32">
        <v>0</v>
      </c>
      <c r="H82" s="25" t="s">
        <v>148</v>
      </c>
    </row>
    <row r="83" spans="1:8" x14ac:dyDescent="0.2">
      <c r="A83" s="23"/>
      <c r="B83" s="23"/>
      <c r="C83" s="33"/>
      <c r="D83" s="23"/>
      <c r="E83" s="23"/>
      <c r="F83" s="34"/>
      <c r="G83" s="34"/>
      <c r="H83" s="25" t="s">
        <v>148</v>
      </c>
    </row>
    <row r="84" spans="1:8" x14ac:dyDescent="0.2">
      <c r="A84" s="23"/>
      <c r="B84" s="23"/>
      <c r="C84" s="24" t="s">
        <v>165</v>
      </c>
      <c r="D84" s="23"/>
      <c r="E84" s="23"/>
      <c r="F84" s="34"/>
      <c r="G84" s="34"/>
      <c r="H84" s="25" t="s">
        <v>148</v>
      </c>
    </row>
    <row r="85" spans="1:8" x14ac:dyDescent="0.2">
      <c r="A85" s="26">
        <v>1</v>
      </c>
      <c r="B85" s="27"/>
      <c r="C85" s="27" t="s">
        <v>166</v>
      </c>
      <c r="D85" s="27"/>
      <c r="E85" s="36"/>
      <c r="F85" s="29">
        <v>211.14960300000001</v>
      </c>
      <c r="G85" s="30">
        <v>6.7219979999999999E-2</v>
      </c>
      <c r="H85" s="25">
        <v>6.23</v>
      </c>
    </row>
    <row r="86" spans="1:8" x14ac:dyDescent="0.2">
      <c r="A86" s="23"/>
      <c r="B86" s="23"/>
      <c r="C86" s="24" t="s">
        <v>147</v>
      </c>
      <c r="D86" s="23"/>
      <c r="E86" s="23" t="s">
        <v>148</v>
      </c>
      <c r="F86" s="31">
        <v>211.14960300000001</v>
      </c>
      <c r="G86" s="32">
        <v>6.7219979999999999E-2</v>
      </c>
      <c r="H86" s="25" t="s">
        <v>148</v>
      </c>
    </row>
    <row r="87" spans="1:8" x14ac:dyDescent="0.2">
      <c r="A87" s="23"/>
      <c r="B87" s="23"/>
      <c r="C87" s="33"/>
      <c r="D87" s="23"/>
      <c r="E87" s="23"/>
      <c r="F87" s="34"/>
      <c r="G87" s="34"/>
      <c r="H87" s="25" t="s">
        <v>148</v>
      </c>
    </row>
    <row r="88" spans="1:8" x14ac:dyDescent="0.2">
      <c r="A88" s="23"/>
      <c r="B88" s="23"/>
      <c r="C88" s="24" t="s">
        <v>167</v>
      </c>
      <c r="D88" s="23"/>
      <c r="E88" s="23"/>
      <c r="F88" s="31">
        <v>211.14960300000001</v>
      </c>
      <c r="G88" s="32">
        <v>6.7219979999999999E-2</v>
      </c>
      <c r="H88" s="25" t="s">
        <v>148</v>
      </c>
    </row>
    <row r="89" spans="1:8" x14ac:dyDescent="0.2">
      <c r="A89" s="23"/>
      <c r="B89" s="23"/>
      <c r="C89" s="34"/>
      <c r="D89" s="23"/>
      <c r="E89" s="23"/>
      <c r="F89" s="23"/>
      <c r="G89" s="23"/>
      <c r="H89" s="25" t="s">
        <v>148</v>
      </c>
    </row>
    <row r="90" spans="1:8" x14ac:dyDescent="0.2">
      <c r="A90" s="23"/>
      <c r="B90" s="23"/>
      <c r="C90" s="24" t="s">
        <v>168</v>
      </c>
      <c r="D90" s="23"/>
      <c r="E90" s="23"/>
      <c r="F90" s="23"/>
      <c r="G90" s="23"/>
      <c r="H90" s="25" t="s">
        <v>148</v>
      </c>
    </row>
    <row r="91" spans="1:8" x14ac:dyDescent="0.2">
      <c r="A91" s="23"/>
      <c r="B91" s="23"/>
      <c r="C91" s="24" t="s">
        <v>169</v>
      </c>
      <c r="D91" s="23"/>
      <c r="E91" s="23"/>
      <c r="F91" s="23"/>
      <c r="G91" s="23"/>
      <c r="H91" s="25" t="s">
        <v>148</v>
      </c>
    </row>
    <row r="92" spans="1:8" x14ac:dyDescent="0.2">
      <c r="A92" s="23"/>
      <c r="B92" s="23"/>
      <c r="C92" s="24" t="s">
        <v>147</v>
      </c>
      <c r="D92" s="23"/>
      <c r="E92" s="23" t="s">
        <v>148</v>
      </c>
      <c r="F92" s="35" t="s">
        <v>150</v>
      </c>
      <c r="G92" s="32">
        <v>0</v>
      </c>
      <c r="H92" s="25" t="s">
        <v>148</v>
      </c>
    </row>
    <row r="93" spans="1:8" x14ac:dyDescent="0.2">
      <c r="A93" s="23"/>
      <c r="B93" s="23"/>
      <c r="C93" s="33"/>
      <c r="D93" s="23"/>
      <c r="E93" s="23"/>
      <c r="F93" s="34"/>
      <c r="G93" s="34"/>
      <c r="H93" s="25" t="s">
        <v>148</v>
      </c>
    </row>
    <row r="94" spans="1:8" x14ac:dyDescent="0.2">
      <c r="A94" s="23"/>
      <c r="B94" s="23"/>
      <c r="C94" s="24" t="s">
        <v>172</v>
      </c>
      <c r="D94" s="23"/>
      <c r="E94" s="23"/>
      <c r="F94" s="23"/>
      <c r="G94" s="23"/>
      <c r="H94" s="25" t="s">
        <v>148</v>
      </c>
    </row>
    <row r="95" spans="1:8" x14ac:dyDescent="0.2">
      <c r="A95" s="23"/>
      <c r="B95" s="23"/>
      <c r="C95" s="24" t="s">
        <v>173</v>
      </c>
      <c r="D95" s="23"/>
      <c r="E95" s="23"/>
      <c r="F95" s="23"/>
      <c r="G95" s="23"/>
      <c r="H95" s="25" t="s">
        <v>148</v>
      </c>
    </row>
    <row r="96" spans="1:8" x14ac:dyDescent="0.2">
      <c r="A96" s="23"/>
      <c r="B96" s="23"/>
      <c r="C96" s="24" t="s">
        <v>147</v>
      </c>
      <c r="D96" s="23"/>
      <c r="E96" s="23" t="s">
        <v>148</v>
      </c>
      <c r="F96" s="35" t="s">
        <v>150</v>
      </c>
      <c r="G96" s="32">
        <v>0</v>
      </c>
      <c r="H96" s="25" t="s">
        <v>148</v>
      </c>
    </row>
    <row r="97" spans="1:17" x14ac:dyDescent="0.2">
      <c r="A97" s="23"/>
      <c r="B97" s="23"/>
      <c r="C97" s="33"/>
      <c r="D97" s="23"/>
      <c r="E97" s="23"/>
      <c r="F97" s="34"/>
      <c r="G97" s="34"/>
      <c r="H97" s="25" t="s">
        <v>148</v>
      </c>
    </row>
    <row r="98" spans="1:17" x14ac:dyDescent="0.2">
      <c r="A98" s="23"/>
      <c r="B98" s="23"/>
      <c r="C98" s="24" t="s">
        <v>174</v>
      </c>
      <c r="D98" s="23"/>
      <c r="E98" s="23"/>
      <c r="F98" s="34"/>
      <c r="G98" s="34"/>
      <c r="H98" s="25" t="s">
        <v>148</v>
      </c>
    </row>
    <row r="99" spans="1:17" x14ac:dyDescent="0.2">
      <c r="A99" s="23"/>
      <c r="B99" s="23"/>
      <c r="C99" s="24" t="s">
        <v>147</v>
      </c>
      <c r="D99" s="23"/>
      <c r="E99" s="23" t="s">
        <v>148</v>
      </c>
      <c r="F99" s="35" t="s">
        <v>150</v>
      </c>
      <c r="G99" s="32">
        <v>0</v>
      </c>
      <c r="H99" s="25" t="s">
        <v>148</v>
      </c>
    </row>
    <row r="100" spans="1:17" x14ac:dyDescent="0.2">
      <c r="A100" s="23"/>
      <c r="B100" s="23"/>
      <c r="C100" s="33"/>
      <c r="D100" s="23"/>
      <c r="E100" s="23"/>
      <c r="F100" s="34"/>
      <c r="G100" s="34"/>
      <c r="H100" s="25" t="s">
        <v>148</v>
      </c>
    </row>
    <row r="101" spans="1:17" x14ac:dyDescent="0.2">
      <c r="A101" s="36"/>
      <c r="B101" s="27"/>
      <c r="C101" s="27" t="s">
        <v>175</v>
      </c>
      <c r="D101" s="27"/>
      <c r="E101" s="36"/>
      <c r="F101" s="29">
        <v>-0.18272290999999999</v>
      </c>
      <c r="G101" s="30">
        <v>-5.817E-5</v>
      </c>
      <c r="H101" s="25" t="s">
        <v>148</v>
      </c>
    </row>
    <row r="102" spans="1:17" x14ac:dyDescent="0.2">
      <c r="A102" s="33"/>
      <c r="B102" s="33"/>
      <c r="C102" s="24" t="s">
        <v>176</v>
      </c>
      <c r="D102" s="34"/>
      <c r="E102" s="34"/>
      <c r="F102" s="31">
        <v>3141.1733754900001</v>
      </c>
      <c r="G102" s="39">
        <v>1.0000000200000001</v>
      </c>
      <c r="H102" s="25" t="s">
        <v>148</v>
      </c>
    </row>
    <row r="103" spans="1:17" x14ac:dyDescent="0.2">
      <c r="A103" s="40"/>
      <c r="B103" s="40"/>
      <c r="C103" s="40"/>
      <c r="D103" s="41"/>
      <c r="E103" s="41"/>
      <c r="F103" s="41"/>
      <c r="G103" s="41"/>
    </row>
    <row r="104" spans="1:17" x14ac:dyDescent="0.2">
      <c r="A104" s="42"/>
      <c r="B104" s="237" t="s">
        <v>891</v>
      </c>
      <c r="C104" s="237"/>
      <c r="D104" s="237"/>
      <c r="E104" s="237"/>
      <c r="F104" s="237"/>
      <c r="G104" s="237"/>
      <c r="H104" s="237"/>
      <c r="J104" s="44"/>
    </row>
    <row r="105" spans="1:17" x14ac:dyDescent="0.2">
      <c r="A105" s="42"/>
      <c r="B105" s="237" t="s">
        <v>892</v>
      </c>
      <c r="C105" s="237"/>
      <c r="D105" s="237"/>
      <c r="E105" s="237"/>
      <c r="F105" s="237"/>
      <c r="G105" s="237"/>
      <c r="H105" s="237"/>
      <c r="J105" s="44"/>
    </row>
    <row r="106" spans="1:17" x14ac:dyDescent="0.2">
      <c r="A106" s="42"/>
      <c r="B106" s="237" t="s">
        <v>893</v>
      </c>
      <c r="C106" s="237"/>
      <c r="D106" s="237"/>
      <c r="E106" s="237"/>
      <c r="F106" s="237"/>
      <c r="G106" s="237"/>
      <c r="H106" s="237"/>
      <c r="J106" s="44"/>
    </row>
    <row r="107" spans="1:17" s="46" customFormat="1" ht="66.75" customHeight="1" x14ac:dyDescent="0.25">
      <c r="A107" s="45"/>
      <c r="B107" s="239" t="s">
        <v>894</v>
      </c>
      <c r="C107" s="239"/>
      <c r="D107" s="239"/>
      <c r="E107" s="239"/>
      <c r="F107" s="239"/>
      <c r="G107" s="239"/>
      <c r="H107" s="239"/>
      <c r="I107"/>
      <c r="J107" s="44"/>
      <c r="K107"/>
      <c r="L107"/>
      <c r="M107"/>
      <c r="N107"/>
      <c r="O107"/>
      <c r="P107"/>
      <c r="Q107"/>
    </row>
    <row r="108" spans="1:17" x14ac:dyDescent="0.2">
      <c r="A108" s="42"/>
      <c r="B108" s="237" t="s">
        <v>895</v>
      </c>
      <c r="C108" s="237"/>
      <c r="D108" s="237"/>
      <c r="E108" s="237"/>
      <c r="F108" s="237"/>
      <c r="G108" s="237"/>
      <c r="H108" s="237"/>
      <c r="J108" s="44"/>
    </row>
    <row r="109" spans="1:17" x14ac:dyDescent="0.2">
      <c r="A109" s="47"/>
      <c r="B109" s="47"/>
      <c r="C109" s="47"/>
      <c r="D109" s="48"/>
      <c r="E109" s="48"/>
      <c r="F109" s="48"/>
      <c r="G109" s="48"/>
    </row>
    <row r="110" spans="1:17" x14ac:dyDescent="0.2">
      <c r="A110" s="47"/>
      <c r="B110" s="234" t="s">
        <v>177</v>
      </c>
      <c r="C110" s="235"/>
      <c r="D110" s="236"/>
      <c r="E110" s="49"/>
      <c r="F110" s="48"/>
      <c r="G110" s="48"/>
    </row>
    <row r="111" spans="1:17" x14ac:dyDescent="0.2">
      <c r="A111" s="47"/>
      <c r="B111" s="232" t="s">
        <v>178</v>
      </c>
      <c r="C111" s="233"/>
      <c r="D111" s="24" t="s">
        <v>179</v>
      </c>
      <c r="E111" s="49"/>
      <c r="F111" s="48"/>
      <c r="G111" s="48"/>
    </row>
    <row r="112" spans="1:17" ht="12.75" customHeight="1" x14ac:dyDescent="0.2">
      <c r="A112" s="47"/>
      <c r="B112" s="240" t="s">
        <v>897</v>
      </c>
      <c r="C112" s="241"/>
      <c r="D112" s="24" t="s">
        <v>179</v>
      </c>
      <c r="E112" s="49"/>
      <c r="F112" s="48"/>
      <c r="G112" s="48"/>
    </row>
    <row r="113" spans="1:10" x14ac:dyDescent="0.2">
      <c r="A113" s="47"/>
      <c r="B113" s="232" t="s">
        <v>181</v>
      </c>
      <c r="C113" s="233"/>
      <c r="D113" s="34" t="s">
        <v>148</v>
      </c>
      <c r="E113" s="49"/>
      <c r="F113" s="48"/>
      <c r="G113" s="48"/>
    </row>
    <row r="114" spans="1:10" x14ac:dyDescent="0.2">
      <c r="A114" s="50"/>
      <c r="B114" s="51" t="s">
        <v>148</v>
      </c>
      <c r="C114" s="51" t="s">
        <v>896</v>
      </c>
      <c r="D114" s="51" t="s">
        <v>182</v>
      </c>
      <c r="E114" s="50"/>
      <c r="F114" s="50"/>
      <c r="G114" s="50"/>
      <c r="H114" s="50"/>
      <c r="J114" s="44"/>
    </row>
    <row r="115" spans="1:10" x14ac:dyDescent="0.2">
      <c r="A115" s="50"/>
      <c r="B115" s="52" t="s">
        <v>183</v>
      </c>
      <c r="C115" s="53">
        <v>45688</v>
      </c>
      <c r="D115" s="53">
        <v>45716</v>
      </c>
      <c r="E115" s="50"/>
      <c r="F115" s="50"/>
      <c r="G115" s="50"/>
      <c r="J115" s="44"/>
    </row>
    <row r="116" spans="1:10" x14ac:dyDescent="0.2">
      <c r="A116" s="54"/>
      <c r="B116" s="27" t="s">
        <v>184</v>
      </c>
      <c r="C116" s="55">
        <v>25.966999999999999</v>
      </c>
      <c r="D116" s="55">
        <v>22.8748</v>
      </c>
      <c r="E116" s="54"/>
      <c r="F116" s="56"/>
      <c r="G116" s="57"/>
    </row>
    <row r="117" spans="1:10" x14ac:dyDescent="0.2">
      <c r="A117" s="54"/>
      <c r="B117" s="27" t="s">
        <v>1070</v>
      </c>
      <c r="C117" s="55">
        <v>25.132300000000001</v>
      </c>
      <c r="D117" s="55">
        <v>22.139500000000002</v>
      </c>
      <c r="E117" s="54"/>
      <c r="F117" s="56"/>
      <c r="G117" s="57"/>
    </row>
    <row r="118" spans="1:10" x14ac:dyDescent="0.2">
      <c r="A118" s="54"/>
      <c r="B118" s="27" t="s">
        <v>186</v>
      </c>
      <c r="C118" s="55">
        <v>24.799199999999999</v>
      </c>
      <c r="D118" s="55">
        <v>21.841999999999999</v>
      </c>
      <c r="E118" s="54"/>
      <c r="F118" s="56"/>
      <c r="G118" s="57"/>
    </row>
    <row r="119" spans="1:10" x14ac:dyDescent="0.2">
      <c r="A119" s="54"/>
      <c r="B119" s="27" t="s">
        <v>1071</v>
      </c>
      <c r="C119" s="55">
        <v>23.966799999999999</v>
      </c>
      <c r="D119" s="55">
        <v>21.108899999999998</v>
      </c>
      <c r="E119" s="54"/>
      <c r="F119" s="56"/>
      <c r="G119" s="57"/>
    </row>
    <row r="120" spans="1:10" x14ac:dyDescent="0.2">
      <c r="A120" s="54"/>
      <c r="B120" s="54"/>
      <c r="C120" s="54"/>
      <c r="D120" s="54"/>
      <c r="E120" s="54"/>
      <c r="F120" s="54"/>
      <c r="G120" s="54"/>
    </row>
    <row r="121" spans="1:10" x14ac:dyDescent="0.2">
      <c r="A121" s="50"/>
      <c r="B121" s="240" t="s">
        <v>898</v>
      </c>
      <c r="C121" s="241"/>
      <c r="D121" s="58" t="s">
        <v>179</v>
      </c>
      <c r="E121" s="50"/>
      <c r="F121" s="50"/>
      <c r="G121" s="50"/>
    </row>
    <row r="122" spans="1:10" x14ac:dyDescent="0.2">
      <c r="A122" s="50"/>
      <c r="B122" s="59"/>
      <c r="C122" s="59"/>
      <c r="D122" s="59"/>
      <c r="E122" s="50"/>
      <c r="F122" s="50"/>
      <c r="G122" s="50"/>
    </row>
    <row r="123" spans="1:10" x14ac:dyDescent="0.2">
      <c r="A123" s="50"/>
      <c r="B123" s="240" t="s">
        <v>188</v>
      </c>
      <c r="C123" s="241"/>
      <c r="D123" s="58" t="s">
        <v>179</v>
      </c>
      <c r="E123" s="60"/>
      <c r="F123" s="50"/>
      <c r="G123" s="50"/>
    </row>
    <row r="124" spans="1:10" x14ac:dyDescent="0.2">
      <c r="A124" s="50"/>
      <c r="B124" s="240" t="s">
        <v>189</v>
      </c>
      <c r="C124" s="241"/>
      <c r="D124" s="58" t="s">
        <v>179</v>
      </c>
      <c r="E124" s="60"/>
      <c r="F124" s="50"/>
      <c r="G124" s="50"/>
    </row>
    <row r="125" spans="1:10" x14ac:dyDescent="0.2">
      <c r="A125" s="50"/>
      <c r="B125" s="240" t="s">
        <v>190</v>
      </c>
      <c r="C125" s="241"/>
      <c r="D125" s="58" t="s">
        <v>179</v>
      </c>
      <c r="E125" s="60"/>
      <c r="F125" s="50"/>
      <c r="G125" s="50"/>
    </row>
    <row r="126" spans="1:10" x14ac:dyDescent="0.2">
      <c r="A126" s="50"/>
      <c r="B126" s="240" t="s">
        <v>191</v>
      </c>
      <c r="C126" s="241"/>
      <c r="D126" s="61">
        <v>0.30226926328426484</v>
      </c>
      <c r="E126" s="50"/>
      <c r="F126" s="43"/>
      <c r="G126" s="62"/>
    </row>
    <row r="128" spans="1:10" x14ac:dyDescent="0.2">
      <c r="B128" s="238" t="s">
        <v>899</v>
      </c>
      <c r="C128" s="238"/>
    </row>
    <row r="130" spans="2:10" ht="153.75" customHeight="1" x14ac:dyDescent="0.2"/>
    <row r="133" spans="2:10" x14ac:dyDescent="0.2">
      <c r="B133" s="68" t="s">
        <v>900</v>
      </c>
      <c r="C133" s="69"/>
      <c r="D133" s="68"/>
    </row>
    <row r="134" spans="2:10" x14ac:dyDescent="0.2">
      <c r="B134" s="68" t="s">
        <v>914</v>
      </c>
      <c r="D134" s="68"/>
    </row>
    <row r="135" spans="2:10" ht="165" customHeight="1" x14ac:dyDescent="0.2"/>
    <row r="136" spans="2:10" x14ac:dyDescent="0.2">
      <c r="J136" s="22"/>
    </row>
  </sheetData>
  <mergeCells count="18">
    <mergeCell ref="B128:C128"/>
    <mergeCell ref="A3:H3"/>
    <mergeCell ref="A2:H2"/>
    <mergeCell ref="B126:C126"/>
    <mergeCell ref="A1:H1"/>
    <mergeCell ref="B112:C112"/>
    <mergeCell ref="B113:C113"/>
    <mergeCell ref="B121:C121"/>
    <mergeCell ref="B125:C125"/>
    <mergeCell ref="B110:D110"/>
    <mergeCell ref="B111:C111"/>
    <mergeCell ref="B104:H104"/>
    <mergeCell ref="B105:H105"/>
    <mergeCell ref="B106:H106"/>
    <mergeCell ref="B107:H107"/>
    <mergeCell ref="B108:H108"/>
    <mergeCell ref="B123:C123"/>
    <mergeCell ref="B124:C124"/>
  </mergeCells>
  <hyperlinks>
    <hyperlink ref="I1" location="Index!B2" display="Index" xr:uid="{09CCED7D-4C21-4DB7-9DC5-68BB7F7BB57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A8FC2-7A02-41FD-95B6-916DCD5587CE}">
  <sheetPr>
    <outlinePr summaryBelow="0" summaryRight="0"/>
  </sheetPr>
  <dimension ref="A1:Q184"/>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463</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380</v>
      </c>
      <c r="C7" s="27" t="s">
        <v>381</v>
      </c>
      <c r="D7" s="27" t="s">
        <v>51</v>
      </c>
      <c r="E7" s="28">
        <v>376813</v>
      </c>
      <c r="F7" s="29">
        <v>8048.9140864999999</v>
      </c>
      <c r="G7" s="30">
        <v>2.9131890000000001E-2</v>
      </c>
      <c r="H7" s="25" t="s">
        <v>148</v>
      </c>
    </row>
    <row r="8" spans="1:9" x14ac:dyDescent="0.2">
      <c r="A8" s="26">
        <v>2</v>
      </c>
      <c r="B8" s="27" t="s">
        <v>404</v>
      </c>
      <c r="C8" s="27" t="s">
        <v>405</v>
      </c>
      <c r="D8" s="27" t="s">
        <v>111</v>
      </c>
      <c r="E8" s="28">
        <v>483211</v>
      </c>
      <c r="F8" s="29">
        <v>7933.8414089999997</v>
      </c>
      <c r="G8" s="30">
        <v>2.8715399999999999E-2</v>
      </c>
      <c r="H8" s="25" t="s">
        <v>148</v>
      </c>
    </row>
    <row r="9" spans="1:9" x14ac:dyDescent="0.2">
      <c r="A9" s="26">
        <v>3</v>
      </c>
      <c r="B9" s="27" t="s">
        <v>382</v>
      </c>
      <c r="C9" s="27" t="s">
        <v>383</v>
      </c>
      <c r="D9" s="27" t="s">
        <v>210</v>
      </c>
      <c r="E9" s="28">
        <v>1898655</v>
      </c>
      <c r="F9" s="29">
        <v>7650.6303225000001</v>
      </c>
      <c r="G9" s="30">
        <v>2.7690360000000001E-2</v>
      </c>
      <c r="H9" s="25" t="s">
        <v>148</v>
      </c>
    </row>
    <row r="10" spans="1:9" x14ac:dyDescent="0.2">
      <c r="A10" s="26">
        <v>4</v>
      </c>
      <c r="B10" s="27" t="s">
        <v>357</v>
      </c>
      <c r="C10" s="27" t="s">
        <v>358</v>
      </c>
      <c r="D10" s="27" t="s">
        <v>359</v>
      </c>
      <c r="E10" s="28">
        <v>509862</v>
      </c>
      <c r="F10" s="29">
        <v>7139.3426550000004</v>
      </c>
      <c r="G10" s="30">
        <v>2.5839830000000001E-2</v>
      </c>
      <c r="H10" s="25" t="s">
        <v>148</v>
      </c>
    </row>
    <row r="11" spans="1:9" x14ac:dyDescent="0.2">
      <c r="A11" s="26">
        <v>5</v>
      </c>
      <c r="B11" s="27" t="s">
        <v>67</v>
      </c>
      <c r="C11" s="27" t="s">
        <v>68</v>
      </c>
      <c r="D11" s="27" t="s">
        <v>69</v>
      </c>
      <c r="E11" s="28">
        <v>134546</v>
      </c>
      <c r="F11" s="29">
        <v>6057.0591009999998</v>
      </c>
      <c r="G11" s="30">
        <v>2.192266E-2</v>
      </c>
      <c r="H11" s="25" t="s">
        <v>148</v>
      </c>
    </row>
    <row r="12" spans="1:9" x14ac:dyDescent="0.2">
      <c r="A12" s="26">
        <v>6</v>
      </c>
      <c r="B12" s="27" t="s">
        <v>390</v>
      </c>
      <c r="C12" s="27" t="s">
        <v>391</v>
      </c>
      <c r="D12" s="27" t="s">
        <v>28</v>
      </c>
      <c r="E12" s="28">
        <v>18825767</v>
      </c>
      <c r="F12" s="29">
        <v>6048.7189371000004</v>
      </c>
      <c r="G12" s="30">
        <v>2.1892470000000001E-2</v>
      </c>
      <c r="H12" s="25" t="s">
        <v>148</v>
      </c>
    </row>
    <row r="13" spans="1:9" x14ac:dyDescent="0.2">
      <c r="A13" s="26">
        <v>7</v>
      </c>
      <c r="B13" s="27" t="s">
        <v>464</v>
      </c>
      <c r="C13" s="27" t="s">
        <v>465</v>
      </c>
      <c r="D13" s="27" t="s">
        <v>111</v>
      </c>
      <c r="E13" s="28">
        <v>759818</v>
      </c>
      <c r="F13" s="29">
        <v>5800.0707030000003</v>
      </c>
      <c r="G13" s="30">
        <v>2.0992520000000001E-2</v>
      </c>
      <c r="H13" s="25" t="s">
        <v>148</v>
      </c>
    </row>
    <row r="14" spans="1:9" x14ac:dyDescent="0.2">
      <c r="A14" s="26">
        <v>8</v>
      </c>
      <c r="B14" s="27" t="s">
        <v>74</v>
      </c>
      <c r="C14" s="27" t="s">
        <v>75</v>
      </c>
      <c r="D14" s="27" t="s">
        <v>45</v>
      </c>
      <c r="E14" s="28">
        <v>936780</v>
      </c>
      <c r="F14" s="29">
        <v>5779.9326000000001</v>
      </c>
      <c r="G14" s="30">
        <v>2.091964E-2</v>
      </c>
      <c r="H14" s="25" t="s">
        <v>148</v>
      </c>
    </row>
    <row r="15" spans="1:9" x14ac:dyDescent="0.2">
      <c r="A15" s="26">
        <v>9</v>
      </c>
      <c r="B15" s="27" t="s">
        <v>142</v>
      </c>
      <c r="C15" s="27" t="s">
        <v>143</v>
      </c>
      <c r="D15" s="27" t="s">
        <v>51</v>
      </c>
      <c r="E15" s="28">
        <v>2131308</v>
      </c>
      <c r="F15" s="29">
        <v>5732.1528660000004</v>
      </c>
      <c r="G15" s="30">
        <v>2.0746710000000002E-2</v>
      </c>
      <c r="H15" s="25" t="s">
        <v>148</v>
      </c>
    </row>
    <row r="16" spans="1:9" x14ac:dyDescent="0.2">
      <c r="A16" s="26">
        <v>10</v>
      </c>
      <c r="B16" s="27" t="s">
        <v>466</v>
      </c>
      <c r="C16" s="27" t="s">
        <v>467</v>
      </c>
      <c r="D16" s="27" t="s">
        <v>33</v>
      </c>
      <c r="E16" s="28">
        <v>421865</v>
      </c>
      <c r="F16" s="29">
        <v>5433.1993350000002</v>
      </c>
      <c r="G16" s="30">
        <v>1.9664689999999999E-2</v>
      </c>
      <c r="H16" s="25" t="s">
        <v>148</v>
      </c>
    </row>
    <row r="17" spans="1:8" x14ac:dyDescent="0.2">
      <c r="A17" s="26">
        <v>11</v>
      </c>
      <c r="B17" s="27" t="s">
        <v>396</v>
      </c>
      <c r="C17" s="27" t="s">
        <v>397</v>
      </c>
      <c r="D17" s="27" t="s">
        <v>205</v>
      </c>
      <c r="E17" s="28">
        <v>1089195</v>
      </c>
      <c r="F17" s="29">
        <v>5337.0555000000004</v>
      </c>
      <c r="G17" s="30">
        <v>1.9316710000000001E-2</v>
      </c>
      <c r="H17" s="25" t="s">
        <v>148</v>
      </c>
    </row>
    <row r="18" spans="1:8" x14ac:dyDescent="0.2">
      <c r="A18" s="26">
        <v>12</v>
      </c>
      <c r="B18" s="27" t="s">
        <v>392</v>
      </c>
      <c r="C18" s="27" t="s">
        <v>393</v>
      </c>
      <c r="D18" s="27" t="s">
        <v>28</v>
      </c>
      <c r="E18" s="28">
        <v>9377207</v>
      </c>
      <c r="F18" s="29">
        <v>5332.8176209000003</v>
      </c>
      <c r="G18" s="30">
        <v>1.9301370000000002E-2</v>
      </c>
      <c r="H18" s="25" t="s">
        <v>148</v>
      </c>
    </row>
    <row r="19" spans="1:8" ht="25.5" x14ac:dyDescent="0.2">
      <c r="A19" s="26">
        <v>13</v>
      </c>
      <c r="B19" s="27" t="s">
        <v>468</v>
      </c>
      <c r="C19" s="27" t="s">
        <v>469</v>
      </c>
      <c r="D19" s="27" t="s">
        <v>202</v>
      </c>
      <c r="E19" s="28">
        <v>115943</v>
      </c>
      <c r="F19" s="29">
        <v>5278.1891320000004</v>
      </c>
      <c r="G19" s="30">
        <v>1.910365E-2</v>
      </c>
      <c r="H19" s="25" t="s">
        <v>148</v>
      </c>
    </row>
    <row r="20" spans="1:8" ht="25.5" x14ac:dyDescent="0.2">
      <c r="A20" s="26">
        <v>14</v>
      </c>
      <c r="B20" s="27" t="s">
        <v>470</v>
      </c>
      <c r="C20" s="27" t="s">
        <v>471</v>
      </c>
      <c r="D20" s="27" t="s">
        <v>217</v>
      </c>
      <c r="E20" s="28">
        <v>1184520</v>
      </c>
      <c r="F20" s="29">
        <v>5262.2300999999998</v>
      </c>
      <c r="G20" s="30">
        <v>1.9045889999999999E-2</v>
      </c>
      <c r="H20" s="25" t="s">
        <v>148</v>
      </c>
    </row>
    <row r="21" spans="1:8" x14ac:dyDescent="0.2">
      <c r="A21" s="26">
        <v>15</v>
      </c>
      <c r="B21" s="27" t="s">
        <v>472</v>
      </c>
      <c r="C21" s="27" t="s">
        <v>473</v>
      </c>
      <c r="D21" s="27" t="s">
        <v>197</v>
      </c>
      <c r="E21" s="28">
        <v>787577</v>
      </c>
      <c r="F21" s="29">
        <v>5230.2988569999998</v>
      </c>
      <c r="G21" s="30">
        <v>1.893032E-2</v>
      </c>
      <c r="H21" s="25" t="s">
        <v>148</v>
      </c>
    </row>
    <row r="22" spans="1:8" x14ac:dyDescent="0.2">
      <c r="A22" s="26">
        <v>16</v>
      </c>
      <c r="B22" s="27" t="s">
        <v>406</v>
      </c>
      <c r="C22" s="27" t="s">
        <v>407</v>
      </c>
      <c r="D22" s="27" t="s">
        <v>232</v>
      </c>
      <c r="E22" s="28">
        <v>724141</v>
      </c>
      <c r="F22" s="29">
        <v>4946.2451005000003</v>
      </c>
      <c r="G22" s="30">
        <v>1.7902230000000002E-2</v>
      </c>
      <c r="H22" s="25" t="s">
        <v>148</v>
      </c>
    </row>
    <row r="23" spans="1:8" x14ac:dyDescent="0.2">
      <c r="A23" s="26">
        <v>17</v>
      </c>
      <c r="B23" s="27" t="s">
        <v>247</v>
      </c>
      <c r="C23" s="27" t="s">
        <v>248</v>
      </c>
      <c r="D23" s="27" t="s">
        <v>232</v>
      </c>
      <c r="E23" s="28">
        <v>669376</v>
      </c>
      <c r="F23" s="29">
        <v>4933.635808</v>
      </c>
      <c r="G23" s="30">
        <v>1.7856589999999999E-2</v>
      </c>
      <c r="H23" s="25" t="s">
        <v>148</v>
      </c>
    </row>
    <row r="24" spans="1:8" x14ac:dyDescent="0.2">
      <c r="A24" s="26">
        <v>18</v>
      </c>
      <c r="B24" s="27" t="s">
        <v>82</v>
      </c>
      <c r="C24" s="27" t="s">
        <v>83</v>
      </c>
      <c r="D24" s="27" t="s">
        <v>69</v>
      </c>
      <c r="E24" s="28">
        <v>561481</v>
      </c>
      <c r="F24" s="29">
        <v>4788.8714490000002</v>
      </c>
      <c r="G24" s="30">
        <v>1.7332630000000002E-2</v>
      </c>
      <c r="H24" s="25" t="s">
        <v>148</v>
      </c>
    </row>
    <row r="25" spans="1:8" x14ac:dyDescent="0.2">
      <c r="A25" s="26">
        <v>19</v>
      </c>
      <c r="B25" s="27" t="s">
        <v>316</v>
      </c>
      <c r="C25" s="27" t="s">
        <v>317</v>
      </c>
      <c r="D25" s="27" t="s">
        <v>267</v>
      </c>
      <c r="E25" s="28">
        <v>126668</v>
      </c>
      <c r="F25" s="29">
        <v>4765.5668299999998</v>
      </c>
      <c r="G25" s="30">
        <v>1.7248289999999999E-2</v>
      </c>
      <c r="H25" s="25" t="s">
        <v>148</v>
      </c>
    </row>
    <row r="26" spans="1:8" x14ac:dyDescent="0.2">
      <c r="A26" s="26">
        <v>20</v>
      </c>
      <c r="B26" s="27" t="s">
        <v>80</v>
      </c>
      <c r="C26" s="27" t="s">
        <v>81</v>
      </c>
      <c r="D26" s="27" t="s">
        <v>54</v>
      </c>
      <c r="E26" s="28">
        <v>383979</v>
      </c>
      <c r="F26" s="29">
        <v>4610.0518739999998</v>
      </c>
      <c r="G26" s="30">
        <v>1.6685419999999999E-2</v>
      </c>
      <c r="H26" s="25" t="s">
        <v>148</v>
      </c>
    </row>
    <row r="27" spans="1:8" x14ac:dyDescent="0.2">
      <c r="A27" s="26">
        <v>21</v>
      </c>
      <c r="B27" s="27" t="s">
        <v>52</v>
      </c>
      <c r="C27" s="27" t="s">
        <v>53</v>
      </c>
      <c r="D27" s="27" t="s">
        <v>54</v>
      </c>
      <c r="E27" s="28">
        <v>476538</v>
      </c>
      <c r="F27" s="29">
        <v>4513.0531289999999</v>
      </c>
      <c r="G27" s="30">
        <v>1.6334350000000001E-2</v>
      </c>
      <c r="H27" s="25" t="s">
        <v>148</v>
      </c>
    </row>
    <row r="28" spans="1:8" x14ac:dyDescent="0.2">
      <c r="A28" s="26">
        <v>22</v>
      </c>
      <c r="B28" s="27" t="s">
        <v>384</v>
      </c>
      <c r="C28" s="27" t="s">
        <v>385</v>
      </c>
      <c r="D28" s="27" t="s">
        <v>28</v>
      </c>
      <c r="E28" s="28">
        <v>1535716</v>
      </c>
      <c r="F28" s="29">
        <v>4342.2369900000003</v>
      </c>
      <c r="G28" s="30">
        <v>1.57161E-2</v>
      </c>
      <c r="H28" s="25" t="s">
        <v>148</v>
      </c>
    </row>
    <row r="29" spans="1:8" ht="25.5" x14ac:dyDescent="0.2">
      <c r="A29" s="26">
        <v>23</v>
      </c>
      <c r="B29" s="27" t="s">
        <v>474</v>
      </c>
      <c r="C29" s="27" t="s">
        <v>475</v>
      </c>
      <c r="D29" s="27" t="s">
        <v>202</v>
      </c>
      <c r="E29" s="28">
        <v>40411</v>
      </c>
      <c r="F29" s="29">
        <v>4288.0112099999997</v>
      </c>
      <c r="G29" s="30">
        <v>1.551984E-2</v>
      </c>
      <c r="H29" s="25" t="s">
        <v>148</v>
      </c>
    </row>
    <row r="30" spans="1:8" x14ac:dyDescent="0.2">
      <c r="A30" s="26">
        <v>24</v>
      </c>
      <c r="B30" s="27" t="s">
        <v>57</v>
      </c>
      <c r="C30" s="27" t="s">
        <v>58</v>
      </c>
      <c r="D30" s="27" t="s">
        <v>59</v>
      </c>
      <c r="E30" s="28">
        <v>390188</v>
      </c>
      <c r="F30" s="29">
        <v>4172.6704719999998</v>
      </c>
      <c r="G30" s="30">
        <v>1.510238E-2</v>
      </c>
      <c r="H30" s="25" t="s">
        <v>148</v>
      </c>
    </row>
    <row r="31" spans="1:8" x14ac:dyDescent="0.2">
      <c r="A31" s="26">
        <v>25</v>
      </c>
      <c r="B31" s="27" t="s">
        <v>476</v>
      </c>
      <c r="C31" s="27" t="s">
        <v>477</v>
      </c>
      <c r="D31" s="27" t="s">
        <v>210</v>
      </c>
      <c r="E31" s="28">
        <v>75317</v>
      </c>
      <c r="F31" s="29">
        <v>4048.740652</v>
      </c>
      <c r="G31" s="30">
        <v>1.465384E-2</v>
      </c>
      <c r="H31" s="25" t="s">
        <v>148</v>
      </c>
    </row>
    <row r="32" spans="1:8" x14ac:dyDescent="0.2">
      <c r="A32" s="26">
        <v>26</v>
      </c>
      <c r="B32" s="27" t="s">
        <v>412</v>
      </c>
      <c r="C32" s="27" t="s">
        <v>413</v>
      </c>
      <c r="D32" s="27" t="s">
        <v>45</v>
      </c>
      <c r="E32" s="28">
        <v>1005408</v>
      </c>
      <c r="F32" s="29">
        <v>3938.1831360000001</v>
      </c>
      <c r="G32" s="30">
        <v>1.4253689999999999E-2</v>
      </c>
      <c r="H32" s="25" t="s">
        <v>148</v>
      </c>
    </row>
    <row r="33" spans="1:8" x14ac:dyDescent="0.2">
      <c r="A33" s="26">
        <v>27</v>
      </c>
      <c r="B33" s="27" t="s">
        <v>478</v>
      </c>
      <c r="C33" s="27" t="s">
        <v>479</v>
      </c>
      <c r="D33" s="27" t="s">
        <v>28</v>
      </c>
      <c r="E33" s="28">
        <v>3754816</v>
      </c>
      <c r="F33" s="29">
        <v>3914.3956800000001</v>
      </c>
      <c r="G33" s="30">
        <v>1.4167590000000001E-2</v>
      </c>
      <c r="H33" s="25" t="s">
        <v>148</v>
      </c>
    </row>
    <row r="34" spans="1:8" x14ac:dyDescent="0.2">
      <c r="A34" s="26">
        <v>28</v>
      </c>
      <c r="B34" s="27" t="s">
        <v>17</v>
      </c>
      <c r="C34" s="27" t="s">
        <v>18</v>
      </c>
      <c r="D34" s="27" t="s">
        <v>19</v>
      </c>
      <c r="E34" s="28">
        <v>119155</v>
      </c>
      <c r="F34" s="29">
        <v>3769.8854674999998</v>
      </c>
      <c r="G34" s="30">
        <v>1.364456E-2</v>
      </c>
      <c r="H34" s="25" t="s">
        <v>148</v>
      </c>
    </row>
    <row r="35" spans="1:8" x14ac:dyDescent="0.2">
      <c r="A35" s="26">
        <v>29</v>
      </c>
      <c r="B35" s="27" t="s">
        <v>480</v>
      </c>
      <c r="C35" s="27" t="s">
        <v>481</v>
      </c>
      <c r="D35" s="27" t="s">
        <v>482</v>
      </c>
      <c r="E35" s="28">
        <v>735981</v>
      </c>
      <c r="F35" s="29">
        <v>3679.1690189999999</v>
      </c>
      <c r="G35" s="30">
        <v>1.331623E-2</v>
      </c>
      <c r="H35" s="25" t="s">
        <v>148</v>
      </c>
    </row>
    <row r="36" spans="1:8" x14ac:dyDescent="0.2">
      <c r="A36" s="26">
        <v>30</v>
      </c>
      <c r="B36" s="27" t="s">
        <v>351</v>
      </c>
      <c r="C36" s="27" t="s">
        <v>352</v>
      </c>
      <c r="D36" s="27" t="s">
        <v>240</v>
      </c>
      <c r="E36" s="28">
        <v>73404</v>
      </c>
      <c r="F36" s="29">
        <v>3664.0707659999998</v>
      </c>
      <c r="G36" s="30">
        <v>1.326158E-2</v>
      </c>
      <c r="H36" s="25" t="s">
        <v>148</v>
      </c>
    </row>
    <row r="37" spans="1:8" x14ac:dyDescent="0.2">
      <c r="A37" s="26">
        <v>31</v>
      </c>
      <c r="B37" s="27" t="s">
        <v>483</v>
      </c>
      <c r="C37" s="27" t="s">
        <v>484</v>
      </c>
      <c r="D37" s="27" t="s">
        <v>69</v>
      </c>
      <c r="E37" s="28">
        <v>140438</v>
      </c>
      <c r="F37" s="29">
        <v>3556.5923499999999</v>
      </c>
      <c r="G37" s="30">
        <v>1.287258E-2</v>
      </c>
      <c r="H37" s="25" t="s">
        <v>148</v>
      </c>
    </row>
    <row r="38" spans="1:8" x14ac:dyDescent="0.2">
      <c r="A38" s="26">
        <v>32</v>
      </c>
      <c r="B38" s="27" t="s">
        <v>485</v>
      </c>
      <c r="C38" s="27" t="s">
        <v>486</v>
      </c>
      <c r="D38" s="27" t="s">
        <v>487</v>
      </c>
      <c r="E38" s="28">
        <v>840776</v>
      </c>
      <c r="F38" s="29">
        <v>3530.838812</v>
      </c>
      <c r="G38" s="30">
        <v>1.277937E-2</v>
      </c>
      <c r="H38" s="25" t="s">
        <v>148</v>
      </c>
    </row>
    <row r="39" spans="1:8" x14ac:dyDescent="0.2">
      <c r="A39" s="26">
        <v>33</v>
      </c>
      <c r="B39" s="27" t="s">
        <v>78</v>
      </c>
      <c r="C39" s="27" t="s">
        <v>79</v>
      </c>
      <c r="D39" s="27" t="s">
        <v>42</v>
      </c>
      <c r="E39" s="28">
        <v>1099317</v>
      </c>
      <c r="F39" s="29">
        <v>3395.2405545000001</v>
      </c>
      <c r="G39" s="30">
        <v>1.228859E-2</v>
      </c>
      <c r="H39" s="25" t="s">
        <v>148</v>
      </c>
    </row>
    <row r="40" spans="1:8" x14ac:dyDescent="0.2">
      <c r="A40" s="26">
        <v>34</v>
      </c>
      <c r="B40" s="27" t="s">
        <v>488</v>
      </c>
      <c r="C40" s="27" t="s">
        <v>489</v>
      </c>
      <c r="D40" s="27" t="s">
        <v>120</v>
      </c>
      <c r="E40" s="28">
        <v>255466</v>
      </c>
      <c r="F40" s="29">
        <v>3379.4319810000002</v>
      </c>
      <c r="G40" s="30">
        <v>1.223137E-2</v>
      </c>
      <c r="H40" s="25" t="s">
        <v>148</v>
      </c>
    </row>
    <row r="41" spans="1:8" x14ac:dyDescent="0.2">
      <c r="A41" s="26">
        <v>35</v>
      </c>
      <c r="B41" s="27" t="s">
        <v>304</v>
      </c>
      <c r="C41" s="27" t="s">
        <v>305</v>
      </c>
      <c r="D41" s="27" t="s">
        <v>94</v>
      </c>
      <c r="E41" s="28">
        <v>1234878</v>
      </c>
      <c r="F41" s="29">
        <v>3361.9553550000001</v>
      </c>
      <c r="G41" s="30">
        <v>1.2168119999999999E-2</v>
      </c>
      <c r="H41" s="25" t="s">
        <v>148</v>
      </c>
    </row>
    <row r="42" spans="1:8" x14ac:dyDescent="0.2">
      <c r="A42" s="26">
        <v>36</v>
      </c>
      <c r="B42" s="27" t="s">
        <v>318</v>
      </c>
      <c r="C42" s="27" t="s">
        <v>319</v>
      </c>
      <c r="D42" s="27" t="s">
        <v>320</v>
      </c>
      <c r="E42" s="28">
        <v>615179</v>
      </c>
      <c r="F42" s="29">
        <v>3260.1411105000002</v>
      </c>
      <c r="G42" s="30">
        <v>1.179961E-2</v>
      </c>
      <c r="H42" s="25" t="s">
        <v>148</v>
      </c>
    </row>
    <row r="43" spans="1:8" x14ac:dyDescent="0.2">
      <c r="A43" s="26">
        <v>37</v>
      </c>
      <c r="B43" s="27" t="s">
        <v>422</v>
      </c>
      <c r="C43" s="27" t="s">
        <v>423</v>
      </c>
      <c r="D43" s="27" t="s">
        <v>359</v>
      </c>
      <c r="E43" s="28">
        <v>1017426</v>
      </c>
      <c r="F43" s="29">
        <v>3228.8014109999999</v>
      </c>
      <c r="G43" s="30">
        <v>1.1686179999999999E-2</v>
      </c>
      <c r="H43" s="25" t="s">
        <v>148</v>
      </c>
    </row>
    <row r="44" spans="1:8" x14ac:dyDescent="0.2">
      <c r="A44" s="26">
        <v>38</v>
      </c>
      <c r="B44" s="27" t="s">
        <v>490</v>
      </c>
      <c r="C44" s="27" t="s">
        <v>491</v>
      </c>
      <c r="D44" s="27" t="s">
        <v>51</v>
      </c>
      <c r="E44" s="28">
        <v>1603225</v>
      </c>
      <c r="F44" s="29">
        <v>3177.7522724999999</v>
      </c>
      <c r="G44" s="30">
        <v>1.150142E-2</v>
      </c>
      <c r="H44" s="25" t="s">
        <v>148</v>
      </c>
    </row>
    <row r="45" spans="1:8" x14ac:dyDescent="0.2">
      <c r="A45" s="26">
        <v>39</v>
      </c>
      <c r="B45" s="27" t="s">
        <v>300</v>
      </c>
      <c r="C45" s="27" t="s">
        <v>301</v>
      </c>
      <c r="D45" s="27" t="s">
        <v>111</v>
      </c>
      <c r="E45" s="28">
        <v>872038</v>
      </c>
      <c r="F45" s="29">
        <v>3176.8344339999999</v>
      </c>
      <c r="G45" s="30">
        <v>1.1498100000000001E-2</v>
      </c>
      <c r="H45" s="25" t="s">
        <v>148</v>
      </c>
    </row>
    <row r="46" spans="1:8" x14ac:dyDescent="0.2">
      <c r="A46" s="26">
        <v>40</v>
      </c>
      <c r="B46" s="27" t="s">
        <v>60</v>
      </c>
      <c r="C46" s="27" t="s">
        <v>61</v>
      </c>
      <c r="D46" s="27" t="s">
        <v>19</v>
      </c>
      <c r="E46" s="28">
        <v>337012</v>
      </c>
      <c r="F46" s="29">
        <v>2962.8409980000001</v>
      </c>
      <c r="G46" s="30">
        <v>1.072358E-2</v>
      </c>
      <c r="H46" s="25" t="s">
        <v>148</v>
      </c>
    </row>
    <row r="47" spans="1:8" x14ac:dyDescent="0.2">
      <c r="A47" s="26">
        <v>41</v>
      </c>
      <c r="B47" s="27" t="s">
        <v>492</v>
      </c>
      <c r="C47" s="27" t="s">
        <v>493</v>
      </c>
      <c r="D47" s="27" t="s">
        <v>267</v>
      </c>
      <c r="E47" s="28">
        <v>176665</v>
      </c>
      <c r="F47" s="29">
        <v>2948.7155149999999</v>
      </c>
      <c r="G47" s="30">
        <v>1.067245E-2</v>
      </c>
      <c r="H47" s="25" t="s">
        <v>148</v>
      </c>
    </row>
    <row r="48" spans="1:8" ht="25.5" x14ac:dyDescent="0.2">
      <c r="A48" s="26">
        <v>42</v>
      </c>
      <c r="B48" s="27" t="s">
        <v>386</v>
      </c>
      <c r="C48" s="27" t="s">
        <v>387</v>
      </c>
      <c r="D48" s="27" t="s">
        <v>202</v>
      </c>
      <c r="E48" s="28">
        <v>177419</v>
      </c>
      <c r="F48" s="29">
        <v>2917.3893265000002</v>
      </c>
      <c r="G48" s="30">
        <v>1.055907E-2</v>
      </c>
      <c r="H48" s="25" t="s">
        <v>148</v>
      </c>
    </row>
    <row r="49" spans="1:8" x14ac:dyDescent="0.2">
      <c r="A49" s="26">
        <v>43</v>
      </c>
      <c r="B49" s="27" t="s">
        <v>446</v>
      </c>
      <c r="C49" s="27" t="s">
        <v>447</v>
      </c>
      <c r="D49" s="27" t="s">
        <v>25</v>
      </c>
      <c r="E49" s="28">
        <v>297739</v>
      </c>
      <c r="F49" s="29">
        <v>2895.809514</v>
      </c>
      <c r="G49" s="30">
        <v>1.0480969999999999E-2</v>
      </c>
      <c r="H49" s="25" t="s">
        <v>148</v>
      </c>
    </row>
    <row r="50" spans="1:8" x14ac:dyDescent="0.2">
      <c r="A50" s="26">
        <v>44</v>
      </c>
      <c r="B50" s="27" t="s">
        <v>494</v>
      </c>
      <c r="C50" s="27" t="s">
        <v>495</v>
      </c>
      <c r="D50" s="27" t="s">
        <v>359</v>
      </c>
      <c r="E50" s="28">
        <v>223242</v>
      </c>
      <c r="F50" s="29">
        <v>2828.8110029999998</v>
      </c>
      <c r="G50" s="30">
        <v>1.0238479999999999E-2</v>
      </c>
      <c r="H50" s="25" t="s">
        <v>148</v>
      </c>
    </row>
    <row r="51" spans="1:8" x14ac:dyDescent="0.2">
      <c r="A51" s="26">
        <v>45</v>
      </c>
      <c r="B51" s="27" t="s">
        <v>401</v>
      </c>
      <c r="C51" s="27" t="s">
        <v>402</v>
      </c>
      <c r="D51" s="27" t="s">
        <v>403</v>
      </c>
      <c r="E51" s="28">
        <v>308127</v>
      </c>
      <c r="F51" s="29">
        <v>2785.3140165</v>
      </c>
      <c r="G51" s="30">
        <v>1.0081049999999999E-2</v>
      </c>
      <c r="H51" s="25" t="s">
        <v>148</v>
      </c>
    </row>
    <row r="52" spans="1:8" x14ac:dyDescent="0.2">
      <c r="A52" s="26">
        <v>46</v>
      </c>
      <c r="B52" s="27" t="s">
        <v>43</v>
      </c>
      <c r="C52" s="27" t="s">
        <v>44</v>
      </c>
      <c r="D52" s="27" t="s">
        <v>45</v>
      </c>
      <c r="E52" s="28">
        <v>60539</v>
      </c>
      <c r="F52" s="29">
        <v>2738.9962464999999</v>
      </c>
      <c r="G52" s="30">
        <v>9.9133999999999993E-3</v>
      </c>
      <c r="H52" s="25" t="s">
        <v>148</v>
      </c>
    </row>
    <row r="53" spans="1:8" x14ac:dyDescent="0.2">
      <c r="A53" s="26">
        <v>47</v>
      </c>
      <c r="B53" s="27" t="s">
        <v>496</v>
      </c>
      <c r="C53" s="27" t="s">
        <v>497</v>
      </c>
      <c r="D53" s="27" t="s">
        <v>45</v>
      </c>
      <c r="E53" s="28">
        <v>74038</v>
      </c>
      <c r="F53" s="29">
        <v>2732.224314</v>
      </c>
      <c r="G53" s="30">
        <v>9.8888899999999991E-3</v>
      </c>
      <c r="H53" s="25" t="s">
        <v>148</v>
      </c>
    </row>
    <row r="54" spans="1:8" ht="25.5" x14ac:dyDescent="0.2">
      <c r="A54" s="26">
        <v>48</v>
      </c>
      <c r="B54" s="27" t="s">
        <v>410</v>
      </c>
      <c r="C54" s="27" t="s">
        <v>411</v>
      </c>
      <c r="D54" s="27" t="s">
        <v>202</v>
      </c>
      <c r="E54" s="28">
        <v>499667</v>
      </c>
      <c r="F54" s="29">
        <v>2634.244424</v>
      </c>
      <c r="G54" s="30">
        <v>9.5342699999999992E-3</v>
      </c>
      <c r="H54" s="25" t="s">
        <v>148</v>
      </c>
    </row>
    <row r="55" spans="1:8" x14ac:dyDescent="0.2">
      <c r="A55" s="26">
        <v>49</v>
      </c>
      <c r="B55" s="27" t="s">
        <v>498</v>
      </c>
      <c r="C55" s="27" t="s">
        <v>499</v>
      </c>
      <c r="D55" s="27" t="s">
        <v>270</v>
      </c>
      <c r="E55" s="28">
        <v>564515</v>
      </c>
      <c r="F55" s="29">
        <v>2549.9142550000001</v>
      </c>
      <c r="G55" s="30">
        <v>9.2290500000000008E-3</v>
      </c>
      <c r="H55" s="25" t="s">
        <v>148</v>
      </c>
    </row>
    <row r="56" spans="1:8" x14ac:dyDescent="0.2">
      <c r="A56" s="26">
        <v>50</v>
      </c>
      <c r="B56" s="27" t="s">
        <v>416</v>
      </c>
      <c r="C56" s="27" t="s">
        <v>417</v>
      </c>
      <c r="D56" s="27" t="s">
        <v>111</v>
      </c>
      <c r="E56" s="28">
        <v>273810</v>
      </c>
      <c r="F56" s="29">
        <v>2516.5877099999998</v>
      </c>
      <c r="G56" s="30">
        <v>9.1084300000000007E-3</v>
      </c>
      <c r="H56" s="25" t="s">
        <v>148</v>
      </c>
    </row>
    <row r="57" spans="1:8" x14ac:dyDescent="0.2">
      <c r="A57" s="26">
        <v>51</v>
      </c>
      <c r="B57" s="27" t="s">
        <v>458</v>
      </c>
      <c r="C57" s="27" t="s">
        <v>459</v>
      </c>
      <c r="D57" s="27" t="s">
        <v>45</v>
      </c>
      <c r="E57" s="28">
        <v>608663</v>
      </c>
      <c r="F57" s="29">
        <v>2471.7804430000001</v>
      </c>
      <c r="G57" s="30">
        <v>8.9462599999999993E-3</v>
      </c>
      <c r="H57" s="25" t="s">
        <v>148</v>
      </c>
    </row>
    <row r="58" spans="1:8" x14ac:dyDescent="0.2">
      <c r="A58" s="26">
        <v>52</v>
      </c>
      <c r="B58" s="27" t="s">
        <v>338</v>
      </c>
      <c r="C58" s="27" t="s">
        <v>339</v>
      </c>
      <c r="D58" s="27" t="s">
        <v>229</v>
      </c>
      <c r="E58" s="28">
        <v>1074606</v>
      </c>
      <c r="F58" s="29">
        <v>2386.6999259999998</v>
      </c>
      <c r="G58" s="30">
        <v>8.6383199999999997E-3</v>
      </c>
      <c r="H58" s="25" t="s">
        <v>148</v>
      </c>
    </row>
    <row r="59" spans="1:8" x14ac:dyDescent="0.2">
      <c r="A59" s="26">
        <v>53</v>
      </c>
      <c r="B59" s="27" t="s">
        <v>500</v>
      </c>
      <c r="C59" s="27" t="s">
        <v>501</v>
      </c>
      <c r="D59" s="27" t="s">
        <v>240</v>
      </c>
      <c r="E59" s="28">
        <v>143580</v>
      </c>
      <c r="F59" s="29">
        <v>2375.74647</v>
      </c>
      <c r="G59" s="30">
        <v>8.5986699999999992E-3</v>
      </c>
      <c r="H59" s="25" t="s">
        <v>148</v>
      </c>
    </row>
    <row r="60" spans="1:8" x14ac:dyDescent="0.2">
      <c r="A60" s="26">
        <v>54</v>
      </c>
      <c r="B60" s="27" t="s">
        <v>502</v>
      </c>
      <c r="C60" s="27" t="s">
        <v>503</v>
      </c>
      <c r="D60" s="27" t="s">
        <v>240</v>
      </c>
      <c r="E60" s="28">
        <v>251901</v>
      </c>
      <c r="F60" s="29">
        <v>2370.1365089999999</v>
      </c>
      <c r="G60" s="30">
        <v>8.5783700000000001E-3</v>
      </c>
      <c r="H60" s="25" t="s">
        <v>148</v>
      </c>
    </row>
    <row r="61" spans="1:8" x14ac:dyDescent="0.2">
      <c r="A61" s="26">
        <v>55</v>
      </c>
      <c r="B61" s="27" t="s">
        <v>36</v>
      </c>
      <c r="C61" s="27" t="s">
        <v>37</v>
      </c>
      <c r="D61" s="27" t="s">
        <v>25</v>
      </c>
      <c r="E61" s="28">
        <v>52854</v>
      </c>
      <c r="F61" s="29">
        <v>2319.9470489999999</v>
      </c>
      <c r="G61" s="30">
        <v>8.3967199999999999E-3</v>
      </c>
      <c r="H61" s="25" t="s">
        <v>148</v>
      </c>
    </row>
    <row r="62" spans="1:8" x14ac:dyDescent="0.2">
      <c r="A62" s="26">
        <v>56</v>
      </c>
      <c r="B62" s="27" t="s">
        <v>428</v>
      </c>
      <c r="C62" s="27" t="s">
        <v>429</v>
      </c>
      <c r="D62" s="27" t="s">
        <v>45</v>
      </c>
      <c r="E62" s="28">
        <v>275772</v>
      </c>
      <c r="F62" s="29">
        <v>2293.4578379999998</v>
      </c>
      <c r="G62" s="30">
        <v>8.3008400000000003E-3</v>
      </c>
      <c r="H62" s="25" t="s">
        <v>148</v>
      </c>
    </row>
    <row r="63" spans="1:8" x14ac:dyDescent="0.2">
      <c r="A63" s="26">
        <v>57</v>
      </c>
      <c r="B63" s="27" t="s">
        <v>504</v>
      </c>
      <c r="C63" s="27" t="s">
        <v>505</v>
      </c>
      <c r="D63" s="27" t="s">
        <v>51</v>
      </c>
      <c r="E63" s="28">
        <v>749032</v>
      </c>
      <c r="F63" s="29">
        <v>2200.2815000000001</v>
      </c>
      <c r="G63" s="30">
        <v>7.9635999999999995E-3</v>
      </c>
      <c r="H63" s="25" t="s">
        <v>148</v>
      </c>
    </row>
    <row r="64" spans="1:8" x14ac:dyDescent="0.2">
      <c r="A64" s="26">
        <v>58</v>
      </c>
      <c r="B64" s="27" t="s">
        <v>506</v>
      </c>
      <c r="C64" s="27" t="s">
        <v>507</v>
      </c>
      <c r="D64" s="27" t="s">
        <v>229</v>
      </c>
      <c r="E64" s="28">
        <v>1735817</v>
      </c>
      <c r="F64" s="29">
        <v>2187.6501650999999</v>
      </c>
      <c r="G64" s="30">
        <v>7.9178900000000003E-3</v>
      </c>
      <c r="H64" s="25" t="s">
        <v>148</v>
      </c>
    </row>
    <row r="65" spans="1:8" x14ac:dyDescent="0.2">
      <c r="A65" s="26">
        <v>59</v>
      </c>
      <c r="B65" s="27" t="s">
        <v>49</v>
      </c>
      <c r="C65" s="27" t="s">
        <v>50</v>
      </c>
      <c r="D65" s="27" t="s">
        <v>51</v>
      </c>
      <c r="E65" s="28">
        <v>38742</v>
      </c>
      <c r="F65" s="29">
        <v>2180.6515829999998</v>
      </c>
      <c r="G65" s="30">
        <v>7.8925599999999999E-3</v>
      </c>
      <c r="H65" s="25" t="s">
        <v>148</v>
      </c>
    </row>
    <row r="66" spans="1:8" x14ac:dyDescent="0.2">
      <c r="A66" s="26">
        <v>60</v>
      </c>
      <c r="B66" s="27" t="s">
        <v>306</v>
      </c>
      <c r="C66" s="27" t="s">
        <v>307</v>
      </c>
      <c r="D66" s="27" t="s">
        <v>69</v>
      </c>
      <c r="E66" s="28">
        <v>86208</v>
      </c>
      <c r="F66" s="29">
        <v>2122.5702719999999</v>
      </c>
      <c r="G66" s="30">
        <v>7.6823400000000002E-3</v>
      </c>
      <c r="H66" s="25" t="s">
        <v>148</v>
      </c>
    </row>
    <row r="67" spans="1:8" x14ac:dyDescent="0.2">
      <c r="A67" s="26">
        <v>61</v>
      </c>
      <c r="B67" s="27" t="s">
        <v>414</v>
      </c>
      <c r="C67" s="27" t="s">
        <v>415</v>
      </c>
      <c r="D67" s="27" t="s">
        <v>205</v>
      </c>
      <c r="E67" s="28">
        <v>498569</v>
      </c>
      <c r="F67" s="29">
        <v>2114.1818444999999</v>
      </c>
      <c r="G67" s="30">
        <v>7.6519800000000001E-3</v>
      </c>
      <c r="H67" s="25" t="s">
        <v>148</v>
      </c>
    </row>
    <row r="68" spans="1:8" x14ac:dyDescent="0.2">
      <c r="A68" s="26">
        <v>62</v>
      </c>
      <c r="B68" s="27" t="s">
        <v>508</v>
      </c>
      <c r="C68" s="27" t="s">
        <v>509</v>
      </c>
      <c r="D68" s="27" t="s">
        <v>510</v>
      </c>
      <c r="E68" s="28">
        <v>258182</v>
      </c>
      <c r="F68" s="29">
        <v>2069.5869120000002</v>
      </c>
      <c r="G68" s="30">
        <v>7.4905700000000002E-3</v>
      </c>
      <c r="H68" s="25" t="s">
        <v>148</v>
      </c>
    </row>
    <row r="69" spans="1:8" x14ac:dyDescent="0.2">
      <c r="A69" s="26">
        <v>63</v>
      </c>
      <c r="B69" s="27" t="s">
        <v>364</v>
      </c>
      <c r="C69" s="27" t="s">
        <v>365</v>
      </c>
      <c r="D69" s="27" t="s">
        <v>275</v>
      </c>
      <c r="E69" s="28">
        <v>276702</v>
      </c>
      <c r="F69" s="29">
        <v>1717.3509630000001</v>
      </c>
      <c r="G69" s="30">
        <v>6.2157100000000002E-3</v>
      </c>
      <c r="H69" s="25" t="s">
        <v>148</v>
      </c>
    </row>
    <row r="70" spans="1:8" x14ac:dyDescent="0.2">
      <c r="A70" s="26">
        <v>64</v>
      </c>
      <c r="B70" s="27" t="s">
        <v>511</v>
      </c>
      <c r="C70" s="27" t="s">
        <v>512</v>
      </c>
      <c r="D70" s="27" t="s">
        <v>235</v>
      </c>
      <c r="E70" s="28">
        <v>75504</v>
      </c>
      <c r="F70" s="29">
        <v>1565.235672</v>
      </c>
      <c r="G70" s="30">
        <v>5.6651499999999999E-3</v>
      </c>
      <c r="H70" s="25" t="s">
        <v>148</v>
      </c>
    </row>
    <row r="71" spans="1:8" x14ac:dyDescent="0.2">
      <c r="A71" s="26">
        <v>65</v>
      </c>
      <c r="B71" s="27" t="s">
        <v>513</v>
      </c>
      <c r="C71" s="27" t="s">
        <v>514</v>
      </c>
      <c r="D71" s="27" t="s">
        <v>28</v>
      </c>
      <c r="E71" s="28">
        <v>1431261</v>
      </c>
      <c r="F71" s="29">
        <v>1361.9879676</v>
      </c>
      <c r="G71" s="30">
        <v>4.9295199999999997E-3</v>
      </c>
      <c r="H71" s="25" t="s">
        <v>148</v>
      </c>
    </row>
    <row r="72" spans="1:8" x14ac:dyDescent="0.2">
      <c r="A72" s="26">
        <v>66</v>
      </c>
      <c r="B72" s="27" t="s">
        <v>265</v>
      </c>
      <c r="C72" s="27" t="s">
        <v>266</v>
      </c>
      <c r="D72" s="27" t="s">
        <v>267</v>
      </c>
      <c r="E72" s="28">
        <v>65271</v>
      </c>
      <c r="F72" s="29">
        <v>1208.3620229999999</v>
      </c>
      <c r="G72" s="30">
        <v>4.3734899999999998E-3</v>
      </c>
      <c r="H72" s="25" t="s">
        <v>148</v>
      </c>
    </row>
    <row r="73" spans="1:8" x14ac:dyDescent="0.2">
      <c r="A73" s="26">
        <v>67</v>
      </c>
      <c r="B73" s="27" t="s">
        <v>86</v>
      </c>
      <c r="C73" s="27" t="s">
        <v>87</v>
      </c>
      <c r="D73" s="27" t="s">
        <v>45</v>
      </c>
      <c r="E73" s="28">
        <v>36168</v>
      </c>
      <c r="F73" s="29">
        <v>1110.411852</v>
      </c>
      <c r="G73" s="30">
        <v>4.0189800000000001E-3</v>
      </c>
      <c r="H73" s="25" t="s">
        <v>148</v>
      </c>
    </row>
    <row r="74" spans="1:8" x14ac:dyDescent="0.2">
      <c r="A74" s="26">
        <v>68</v>
      </c>
      <c r="B74" s="27" t="s">
        <v>515</v>
      </c>
      <c r="C74" s="27" t="s">
        <v>516</v>
      </c>
      <c r="D74" s="27" t="s">
        <v>51</v>
      </c>
      <c r="E74" s="28">
        <v>199530</v>
      </c>
      <c r="F74" s="29">
        <v>1105.19667</v>
      </c>
      <c r="G74" s="30">
        <v>4.0001000000000004E-3</v>
      </c>
      <c r="H74" s="25" t="s">
        <v>148</v>
      </c>
    </row>
    <row r="75" spans="1:8" x14ac:dyDescent="0.2">
      <c r="A75" s="26">
        <v>69</v>
      </c>
      <c r="B75" s="27" t="s">
        <v>430</v>
      </c>
      <c r="C75" s="27" t="s">
        <v>431</v>
      </c>
      <c r="D75" s="27" t="s">
        <v>69</v>
      </c>
      <c r="E75" s="28">
        <v>286238</v>
      </c>
      <c r="F75" s="29">
        <v>967.05508299999997</v>
      </c>
      <c r="G75" s="30">
        <v>3.5001199999999998E-3</v>
      </c>
      <c r="H75" s="25" t="s">
        <v>148</v>
      </c>
    </row>
    <row r="76" spans="1:8" x14ac:dyDescent="0.2">
      <c r="A76" s="26">
        <v>70</v>
      </c>
      <c r="B76" s="27" t="s">
        <v>424</v>
      </c>
      <c r="C76" s="27" t="s">
        <v>425</v>
      </c>
      <c r="D76" s="27" t="s">
        <v>51</v>
      </c>
      <c r="E76" s="28">
        <v>143771</v>
      </c>
      <c r="F76" s="29">
        <v>838.47247200000004</v>
      </c>
      <c r="G76" s="30">
        <v>3.0347299999999998E-3</v>
      </c>
      <c r="H76" s="25" t="s">
        <v>148</v>
      </c>
    </row>
    <row r="77" spans="1:8" x14ac:dyDescent="0.2">
      <c r="A77" s="26">
        <v>71</v>
      </c>
      <c r="B77" s="27" t="s">
        <v>288</v>
      </c>
      <c r="C77" s="27" t="s">
        <v>289</v>
      </c>
      <c r="D77" s="27" t="s">
        <v>240</v>
      </c>
      <c r="E77" s="28">
        <v>26463</v>
      </c>
      <c r="F77" s="29">
        <v>831.75855300000001</v>
      </c>
      <c r="G77" s="30">
        <v>3.0104300000000001E-3</v>
      </c>
      <c r="H77" s="25" t="s">
        <v>148</v>
      </c>
    </row>
    <row r="78" spans="1:8" x14ac:dyDescent="0.2">
      <c r="A78" s="26">
        <v>72</v>
      </c>
      <c r="B78" s="27" t="s">
        <v>140</v>
      </c>
      <c r="C78" s="27" t="s">
        <v>141</v>
      </c>
      <c r="D78" s="27" t="s">
        <v>19</v>
      </c>
      <c r="E78" s="28">
        <v>252704</v>
      </c>
      <c r="F78" s="29">
        <v>645.53236800000002</v>
      </c>
      <c r="G78" s="30">
        <v>2.3364100000000001E-3</v>
      </c>
      <c r="H78" s="25" t="s">
        <v>148</v>
      </c>
    </row>
    <row r="79" spans="1:8" x14ac:dyDescent="0.2">
      <c r="A79" s="26">
        <v>73</v>
      </c>
      <c r="B79" s="27" t="s">
        <v>517</v>
      </c>
      <c r="C79" s="27" t="s">
        <v>518</v>
      </c>
      <c r="D79" s="27" t="s">
        <v>69</v>
      </c>
      <c r="E79" s="28">
        <v>163359</v>
      </c>
      <c r="F79" s="29">
        <v>526.17933900000003</v>
      </c>
      <c r="G79" s="30">
        <v>1.9044299999999999E-3</v>
      </c>
      <c r="H79" s="25" t="s">
        <v>148</v>
      </c>
    </row>
    <row r="80" spans="1:8" x14ac:dyDescent="0.2">
      <c r="A80" s="26">
        <v>74</v>
      </c>
      <c r="B80" s="27" t="s">
        <v>394</v>
      </c>
      <c r="C80" s="27" t="s">
        <v>395</v>
      </c>
      <c r="D80" s="27" t="s">
        <v>240</v>
      </c>
      <c r="E80" s="28">
        <v>185</v>
      </c>
      <c r="F80" s="29">
        <v>4.0129275</v>
      </c>
      <c r="G80" s="36" t="s">
        <v>146</v>
      </c>
      <c r="H80" s="25" t="s">
        <v>148</v>
      </c>
    </row>
    <row r="81" spans="1:8" x14ac:dyDescent="0.2">
      <c r="A81" s="23"/>
      <c r="B81" s="23"/>
      <c r="C81" s="24" t="s">
        <v>147</v>
      </c>
      <c r="D81" s="23"/>
      <c r="E81" s="23" t="s">
        <v>148</v>
      </c>
      <c r="F81" s="31">
        <v>255991.92282021901</v>
      </c>
      <c r="G81" s="32">
        <v>0.92652612000000001</v>
      </c>
      <c r="H81" s="25" t="s">
        <v>148</v>
      </c>
    </row>
    <row r="82" spans="1:8" x14ac:dyDescent="0.2">
      <c r="A82" s="23"/>
      <c r="B82" s="23"/>
      <c r="C82" s="33"/>
      <c r="D82" s="23"/>
      <c r="E82" s="23"/>
      <c r="F82" s="34"/>
      <c r="G82" s="34"/>
      <c r="H82" s="25" t="s">
        <v>148</v>
      </c>
    </row>
    <row r="83" spans="1:8" x14ac:dyDescent="0.2">
      <c r="A83" s="23"/>
      <c r="B83" s="23"/>
      <c r="C83" s="24" t="s">
        <v>149</v>
      </c>
      <c r="D83" s="23"/>
      <c r="E83" s="23"/>
      <c r="F83" s="23"/>
      <c r="G83" s="23"/>
      <c r="H83" s="25" t="s">
        <v>148</v>
      </c>
    </row>
    <row r="84" spans="1:8" x14ac:dyDescent="0.2">
      <c r="A84" s="23"/>
      <c r="B84" s="23"/>
      <c r="C84" s="24" t="s">
        <v>147</v>
      </c>
      <c r="D84" s="23"/>
      <c r="E84" s="23" t="s">
        <v>148</v>
      </c>
      <c r="F84" s="35" t="s">
        <v>150</v>
      </c>
      <c r="G84" s="32">
        <v>0</v>
      </c>
      <c r="H84" s="25" t="s">
        <v>148</v>
      </c>
    </row>
    <row r="85" spans="1:8" x14ac:dyDescent="0.2">
      <c r="A85" s="23"/>
      <c r="B85" s="23"/>
      <c r="C85" s="33"/>
      <c r="D85" s="23"/>
      <c r="E85" s="23"/>
      <c r="F85" s="34"/>
      <c r="G85" s="34"/>
      <c r="H85" s="25" t="s">
        <v>148</v>
      </c>
    </row>
    <row r="86" spans="1:8" x14ac:dyDescent="0.2">
      <c r="A86" s="23"/>
      <c r="B86" s="23"/>
      <c r="C86" s="24" t="s">
        <v>151</v>
      </c>
      <c r="D86" s="23"/>
      <c r="E86" s="23"/>
      <c r="F86" s="23"/>
      <c r="G86" s="23"/>
      <c r="H86" s="25" t="s">
        <v>148</v>
      </c>
    </row>
    <row r="87" spans="1:8" x14ac:dyDescent="0.2">
      <c r="A87" s="26">
        <v>75</v>
      </c>
      <c r="B87" s="27" t="s">
        <v>144</v>
      </c>
      <c r="C87" s="38" t="s">
        <v>890</v>
      </c>
      <c r="D87" s="27" t="s">
        <v>145</v>
      </c>
      <c r="E87" s="28">
        <v>375961</v>
      </c>
      <c r="F87" s="29">
        <v>7.5190000000000003E-6</v>
      </c>
      <c r="G87" s="36" t="s">
        <v>146</v>
      </c>
      <c r="H87" s="25" t="s">
        <v>148</v>
      </c>
    </row>
    <row r="88" spans="1:8" x14ac:dyDescent="0.2">
      <c r="A88" s="23"/>
      <c r="B88" s="23"/>
      <c r="C88" s="24" t="s">
        <v>147</v>
      </c>
      <c r="D88" s="23"/>
      <c r="E88" s="23" t="s">
        <v>148</v>
      </c>
      <c r="F88" s="35" t="s">
        <v>150</v>
      </c>
      <c r="G88" s="32">
        <v>0</v>
      </c>
      <c r="H88" s="25" t="s">
        <v>148</v>
      </c>
    </row>
    <row r="89" spans="1:8" x14ac:dyDescent="0.2">
      <c r="A89" s="23"/>
      <c r="B89" s="23"/>
      <c r="C89" s="33"/>
      <c r="D89" s="23"/>
      <c r="E89" s="23"/>
      <c r="F89" s="34"/>
      <c r="G89" s="34"/>
      <c r="H89" s="25" t="s">
        <v>148</v>
      </c>
    </row>
    <row r="90" spans="1:8" x14ac:dyDescent="0.2">
      <c r="A90" s="23"/>
      <c r="B90" s="23"/>
      <c r="C90" s="24" t="s">
        <v>152</v>
      </c>
      <c r="D90" s="23"/>
      <c r="E90" s="23"/>
      <c r="F90" s="23"/>
      <c r="G90" s="23"/>
      <c r="H90" s="25" t="s">
        <v>148</v>
      </c>
    </row>
    <row r="91" spans="1:8" x14ac:dyDescent="0.2">
      <c r="A91" s="23"/>
      <c r="B91" s="23"/>
      <c r="C91" s="24" t="s">
        <v>147</v>
      </c>
      <c r="D91" s="23"/>
      <c r="E91" s="23" t="s">
        <v>148</v>
      </c>
      <c r="F91" s="35" t="s">
        <v>150</v>
      </c>
      <c r="G91" s="32">
        <v>0</v>
      </c>
      <c r="H91" s="25" t="s">
        <v>148</v>
      </c>
    </row>
    <row r="92" spans="1:8" x14ac:dyDescent="0.2">
      <c r="A92" s="23"/>
      <c r="B92" s="23"/>
      <c r="C92" s="33"/>
      <c r="D92" s="23"/>
      <c r="E92" s="23"/>
      <c r="F92" s="34"/>
      <c r="G92" s="34"/>
      <c r="H92" s="25" t="s">
        <v>148</v>
      </c>
    </row>
    <row r="93" spans="1:8" x14ac:dyDescent="0.2">
      <c r="A93" s="23"/>
      <c r="B93" s="23"/>
      <c r="C93" s="24" t="s">
        <v>153</v>
      </c>
      <c r="D93" s="23"/>
      <c r="E93" s="23"/>
      <c r="F93" s="34"/>
      <c r="G93" s="34"/>
      <c r="H93" s="25" t="s">
        <v>148</v>
      </c>
    </row>
    <row r="94" spans="1:8" x14ac:dyDescent="0.2">
      <c r="A94" s="23"/>
      <c r="B94" s="23"/>
      <c r="C94" s="24" t="s">
        <v>147</v>
      </c>
      <c r="D94" s="23"/>
      <c r="E94" s="23" t="s">
        <v>148</v>
      </c>
      <c r="F94" s="35" t="s">
        <v>150</v>
      </c>
      <c r="G94" s="32">
        <v>0</v>
      </c>
      <c r="H94" s="25" t="s">
        <v>148</v>
      </c>
    </row>
    <row r="95" spans="1:8" x14ac:dyDescent="0.2">
      <c r="A95" s="23"/>
      <c r="B95" s="23"/>
      <c r="C95" s="33"/>
      <c r="D95" s="23"/>
      <c r="E95" s="23"/>
      <c r="F95" s="34"/>
      <c r="G95" s="34"/>
      <c r="H95" s="25" t="s">
        <v>148</v>
      </c>
    </row>
    <row r="96" spans="1:8" x14ac:dyDescent="0.2">
      <c r="A96" s="23"/>
      <c r="B96" s="23"/>
      <c r="C96" s="24" t="s">
        <v>154</v>
      </c>
      <c r="D96" s="23"/>
      <c r="E96" s="23"/>
      <c r="F96" s="34"/>
      <c r="G96" s="34"/>
      <c r="H96" s="25" t="s">
        <v>148</v>
      </c>
    </row>
    <row r="97" spans="1:8" x14ac:dyDescent="0.2">
      <c r="A97" s="26">
        <v>1</v>
      </c>
      <c r="B97" s="27"/>
      <c r="C97" s="27" t="s">
        <v>915</v>
      </c>
      <c r="D97" s="27" t="s">
        <v>519</v>
      </c>
      <c r="E97" s="28">
        <v>224600</v>
      </c>
      <c r="F97" s="29">
        <v>4397.6679999999997</v>
      </c>
      <c r="G97" s="30">
        <v>1.591673E-2</v>
      </c>
      <c r="H97" s="25" t="s">
        <v>148</v>
      </c>
    </row>
    <row r="98" spans="1:8" x14ac:dyDescent="0.2">
      <c r="A98" s="26">
        <v>2</v>
      </c>
      <c r="B98" s="27"/>
      <c r="C98" s="27" t="s">
        <v>916</v>
      </c>
      <c r="D98" s="27" t="s">
        <v>519</v>
      </c>
      <c r="E98" s="28">
        <v>75000</v>
      </c>
      <c r="F98" s="29">
        <v>2241.9749999999999</v>
      </c>
      <c r="G98" s="30">
        <v>8.1145100000000001E-3</v>
      </c>
      <c r="H98" s="25" t="s">
        <v>148</v>
      </c>
    </row>
    <row r="99" spans="1:8" x14ac:dyDescent="0.2">
      <c r="A99" s="23"/>
      <c r="B99" s="23"/>
      <c r="C99" s="24" t="s">
        <v>147</v>
      </c>
      <c r="D99" s="23"/>
      <c r="E99" s="23" t="s">
        <v>148</v>
      </c>
      <c r="F99" s="31">
        <v>6639.643</v>
      </c>
      <c r="G99" s="32">
        <v>2.4031239999999999E-2</v>
      </c>
      <c r="H99" s="25" t="s">
        <v>148</v>
      </c>
    </row>
    <row r="100" spans="1:8" x14ac:dyDescent="0.2">
      <c r="A100" s="23"/>
      <c r="B100" s="23"/>
      <c r="C100" s="33"/>
      <c r="D100" s="23"/>
      <c r="E100" s="23"/>
      <c r="F100" s="34"/>
      <c r="G100" s="34"/>
      <c r="H100" s="25" t="s">
        <v>148</v>
      </c>
    </row>
    <row r="101" spans="1:8" x14ac:dyDescent="0.2">
      <c r="A101" s="23"/>
      <c r="B101" s="23"/>
      <c r="C101" s="24" t="s">
        <v>155</v>
      </c>
      <c r="D101" s="23"/>
      <c r="E101" s="23"/>
      <c r="F101" s="31">
        <v>262631.565820219</v>
      </c>
      <c r="G101" s="32">
        <v>0.95055736000000002</v>
      </c>
      <c r="H101" s="25" t="s">
        <v>148</v>
      </c>
    </row>
    <row r="102" spans="1:8" x14ac:dyDescent="0.2">
      <c r="A102" s="23"/>
      <c r="B102" s="23"/>
      <c r="C102" s="33"/>
      <c r="D102" s="23"/>
      <c r="E102" s="23"/>
      <c r="F102" s="34"/>
      <c r="G102" s="34"/>
      <c r="H102" s="25" t="s">
        <v>148</v>
      </c>
    </row>
    <row r="103" spans="1:8" x14ac:dyDescent="0.2">
      <c r="A103" s="23"/>
      <c r="B103" s="23"/>
      <c r="C103" s="24" t="s">
        <v>156</v>
      </c>
      <c r="D103" s="23"/>
      <c r="E103" s="23"/>
      <c r="F103" s="34"/>
      <c r="G103" s="34"/>
      <c r="H103" s="25" t="s">
        <v>148</v>
      </c>
    </row>
    <row r="104" spans="1:8" x14ac:dyDescent="0.2">
      <c r="A104" s="23"/>
      <c r="B104" s="23"/>
      <c r="C104" s="24" t="s">
        <v>10</v>
      </c>
      <c r="D104" s="23"/>
      <c r="E104" s="23"/>
      <c r="F104" s="34"/>
      <c r="G104" s="34"/>
      <c r="H104" s="25" t="s">
        <v>148</v>
      </c>
    </row>
    <row r="105" spans="1:8" x14ac:dyDescent="0.2">
      <c r="A105" s="23"/>
      <c r="B105" s="23"/>
      <c r="C105" s="24" t="s">
        <v>147</v>
      </c>
      <c r="D105" s="23"/>
      <c r="E105" s="23" t="s">
        <v>148</v>
      </c>
      <c r="F105" s="35" t="s">
        <v>150</v>
      </c>
      <c r="G105" s="32">
        <v>0</v>
      </c>
      <c r="H105" s="25" t="s">
        <v>148</v>
      </c>
    </row>
    <row r="106" spans="1:8" x14ac:dyDescent="0.2">
      <c r="A106" s="23"/>
      <c r="B106" s="23"/>
      <c r="C106" s="33"/>
      <c r="D106" s="23"/>
      <c r="E106" s="23"/>
      <c r="F106" s="34"/>
      <c r="G106" s="34"/>
      <c r="H106" s="25" t="s">
        <v>148</v>
      </c>
    </row>
    <row r="107" spans="1:8" x14ac:dyDescent="0.2">
      <c r="A107" s="23"/>
      <c r="B107" s="23"/>
      <c r="C107" s="24" t="s">
        <v>157</v>
      </c>
      <c r="D107" s="23"/>
      <c r="E107" s="23"/>
      <c r="F107" s="23"/>
      <c r="G107" s="23"/>
      <c r="H107" s="25" t="s">
        <v>148</v>
      </c>
    </row>
    <row r="108" spans="1:8" x14ac:dyDescent="0.2">
      <c r="A108" s="23"/>
      <c r="B108" s="23"/>
      <c r="C108" s="24" t="s">
        <v>147</v>
      </c>
      <c r="D108" s="23"/>
      <c r="E108" s="23" t="s">
        <v>148</v>
      </c>
      <c r="F108" s="35" t="s">
        <v>150</v>
      </c>
      <c r="G108" s="32">
        <v>0</v>
      </c>
      <c r="H108" s="25" t="s">
        <v>148</v>
      </c>
    </row>
    <row r="109" spans="1:8" x14ac:dyDescent="0.2">
      <c r="A109" s="23"/>
      <c r="B109" s="23"/>
      <c r="C109" s="33"/>
      <c r="D109" s="23"/>
      <c r="E109" s="23"/>
      <c r="F109" s="34"/>
      <c r="G109" s="34"/>
      <c r="H109" s="25" t="s">
        <v>148</v>
      </c>
    </row>
    <row r="110" spans="1:8" x14ac:dyDescent="0.2">
      <c r="A110" s="23"/>
      <c r="B110" s="23"/>
      <c r="C110" s="24" t="s">
        <v>158</v>
      </c>
      <c r="D110" s="23"/>
      <c r="E110" s="23"/>
      <c r="F110" s="23"/>
      <c r="G110" s="23"/>
      <c r="H110" s="25" t="s">
        <v>148</v>
      </c>
    </row>
    <row r="111" spans="1:8" x14ac:dyDescent="0.2">
      <c r="A111" s="23"/>
      <c r="B111" s="23"/>
      <c r="C111" s="24" t="s">
        <v>147</v>
      </c>
      <c r="D111" s="23"/>
      <c r="E111" s="23" t="s">
        <v>148</v>
      </c>
      <c r="F111" s="35" t="s">
        <v>150</v>
      </c>
      <c r="G111" s="32">
        <v>0</v>
      </c>
      <c r="H111" s="25" t="s">
        <v>148</v>
      </c>
    </row>
    <row r="112" spans="1:8" x14ac:dyDescent="0.2">
      <c r="A112" s="23"/>
      <c r="B112" s="23"/>
      <c r="C112" s="33"/>
      <c r="D112" s="23"/>
      <c r="E112" s="23"/>
      <c r="F112" s="34"/>
      <c r="G112" s="34"/>
      <c r="H112" s="25" t="s">
        <v>148</v>
      </c>
    </row>
    <row r="113" spans="1:8" x14ac:dyDescent="0.2">
      <c r="A113" s="23"/>
      <c r="B113" s="23"/>
      <c r="C113" s="24" t="s">
        <v>159</v>
      </c>
      <c r="D113" s="23"/>
      <c r="E113" s="23"/>
      <c r="F113" s="34"/>
      <c r="G113" s="34"/>
      <c r="H113" s="25" t="s">
        <v>148</v>
      </c>
    </row>
    <row r="114" spans="1:8" x14ac:dyDescent="0.2">
      <c r="A114" s="23"/>
      <c r="B114" s="23"/>
      <c r="C114" s="24" t="s">
        <v>147</v>
      </c>
      <c r="D114" s="23"/>
      <c r="E114" s="23" t="s">
        <v>148</v>
      </c>
      <c r="F114" s="35" t="s">
        <v>150</v>
      </c>
      <c r="G114" s="32">
        <v>0</v>
      </c>
      <c r="H114" s="25" t="s">
        <v>148</v>
      </c>
    </row>
    <row r="115" spans="1:8" x14ac:dyDescent="0.2">
      <c r="A115" s="23"/>
      <c r="B115" s="23"/>
      <c r="C115" s="33"/>
      <c r="D115" s="23"/>
      <c r="E115" s="23"/>
      <c r="F115" s="34"/>
      <c r="G115" s="34"/>
      <c r="H115" s="25" t="s">
        <v>148</v>
      </c>
    </row>
    <row r="116" spans="1:8" x14ac:dyDescent="0.2">
      <c r="A116" s="23"/>
      <c r="B116" s="23"/>
      <c r="C116" s="24" t="s">
        <v>160</v>
      </c>
      <c r="D116" s="23"/>
      <c r="E116" s="23"/>
      <c r="F116" s="31">
        <v>0</v>
      </c>
      <c r="G116" s="32">
        <v>0</v>
      </c>
      <c r="H116" s="25" t="s">
        <v>148</v>
      </c>
    </row>
    <row r="117" spans="1:8" x14ac:dyDescent="0.2">
      <c r="A117" s="23"/>
      <c r="B117" s="23"/>
      <c r="C117" s="33"/>
      <c r="D117" s="23"/>
      <c r="E117" s="23"/>
      <c r="F117" s="34"/>
      <c r="G117" s="34"/>
      <c r="H117" s="25" t="s">
        <v>148</v>
      </c>
    </row>
    <row r="118" spans="1:8" x14ac:dyDescent="0.2">
      <c r="A118" s="23"/>
      <c r="B118" s="23"/>
      <c r="C118" s="24" t="s">
        <v>161</v>
      </c>
      <c r="D118" s="23"/>
      <c r="E118" s="23"/>
      <c r="F118" s="34"/>
      <c r="G118" s="34"/>
      <c r="H118" s="25" t="s">
        <v>148</v>
      </c>
    </row>
    <row r="119" spans="1:8" x14ac:dyDescent="0.2">
      <c r="A119" s="23"/>
      <c r="B119" s="23"/>
      <c r="C119" s="24" t="s">
        <v>162</v>
      </c>
      <c r="D119" s="23"/>
      <c r="E119" s="23"/>
      <c r="F119" s="34"/>
      <c r="G119" s="34"/>
      <c r="H119" s="25" t="s">
        <v>148</v>
      </c>
    </row>
    <row r="120" spans="1:8" x14ac:dyDescent="0.2">
      <c r="A120" s="23"/>
      <c r="B120" s="23"/>
      <c r="C120" s="24" t="s">
        <v>147</v>
      </c>
      <c r="D120" s="23"/>
      <c r="E120" s="23" t="s">
        <v>148</v>
      </c>
      <c r="F120" s="35" t="s">
        <v>150</v>
      </c>
      <c r="G120" s="32">
        <v>0</v>
      </c>
      <c r="H120" s="25" t="s">
        <v>148</v>
      </c>
    </row>
    <row r="121" spans="1:8" x14ac:dyDescent="0.2">
      <c r="A121" s="23"/>
      <c r="B121" s="23"/>
      <c r="C121" s="33"/>
      <c r="D121" s="23"/>
      <c r="E121" s="23"/>
      <c r="F121" s="34"/>
      <c r="G121" s="34"/>
      <c r="H121" s="25" t="s">
        <v>148</v>
      </c>
    </row>
    <row r="122" spans="1:8" x14ac:dyDescent="0.2">
      <c r="A122" s="23"/>
      <c r="B122" s="23"/>
      <c r="C122" s="24" t="s">
        <v>163</v>
      </c>
      <c r="D122" s="23"/>
      <c r="E122" s="23"/>
      <c r="F122" s="34"/>
      <c r="G122" s="34"/>
      <c r="H122" s="25" t="s">
        <v>148</v>
      </c>
    </row>
    <row r="123" spans="1:8" x14ac:dyDescent="0.2">
      <c r="A123" s="23"/>
      <c r="B123" s="23"/>
      <c r="C123" s="24" t="s">
        <v>147</v>
      </c>
      <c r="D123" s="23"/>
      <c r="E123" s="23" t="s">
        <v>148</v>
      </c>
      <c r="F123" s="35" t="s">
        <v>150</v>
      </c>
      <c r="G123" s="32">
        <v>0</v>
      </c>
      <c r="H123" s="25" t="s">
        <v>148</v>
      </c>
    </row>
    <row r="124" spans="1:8" x14ac:dyDescent="0.2">
      <c r="A124" s="23"/>
      <c r="B124" s="23"/>
      <c r="C124" s="33"/>
      <c r="D124" s="23"/>
      <c r="E124" s="23"/>
      <c r="F124" s="34"/>
      <c r="G124" s="34"/>
      <c r="H124" s="25" t="s">
        <v>148</v>
      </c>
    </row>
    <row r="125" spans="1:8" x14ac:dyDescent="0.2">
      <c r="A125" s="23"/>
      <c r="B125" s="23"/>
      <c r="C125" s="24" t="s">
        <v>164</v>
      </c>
      <c r="D125" s="23"/>
      <c r="E125" s="23"/>
      <c r="F125" s="34"/>
      <c r="G125" s="34"/>
      <c r="H125" s="25" t="s">
        <v>148</v>
      </c>
    </row>
    <row r="126" spans="1:8" x14ac:dyDescent="0.2">
      <c r="A126" s="26">
        <v>1</v>
      </c>
      <c r="B126" s="27" t="s">
        <v>520</v>
      </c>
      <c r="C126" s="27" t="s">
        <v>1082</v>
      </c>
      <c r="D126" s="27" t="s">
        <v>521</v>
      </c>
      <c r="E126" s="28">
        <v>2000000</v>
      </c>
      <c r="F126" s="29">
        <v>1978.2260000000001</v>
      </c>
      <c r="G126" s="30">
        <v>7.1599100000000002E-3</v>
      </c>
      <c r="H126" s="25">
        <v>6.48</v>
      </c>
    </row>
    <row r="127" spans="1:8" x14ac:dyDescent="0.2">
      <c r="A127" s="23"/>
      <c r="B127" s="23"/>
      <c r="C127" s="24" t="s">
        <v>147</v>
      </c>
      <c r="D127" s="23"/>
      <c r="E127" s="23" t="s">
        <v>148</v>
      </c>
      <c r="F127" s="31">
        <v>1978.2260000000001</v>
      </c>
      <c r="G127" s="32">
        <v>7.1599100000000002E-3</v>
      </c>
      <c r="H127" s="25" t="s">
        <v>148</v>
      </c>
    </row>
    <row r="128" spans="1:8" x14ac:dyDescent="0.2">
      <c r="A128" s="23"/>
      <c r="B128" s="23"/>
      <c r="C128" s="33"/>
      <c r="D128" s="23"/>
      <c r="E128" s="23"/>
      <c r="F128" s="34"/>
      <c r="G128" s="34"/>
      <c r="H128" s="25" t="s">
        <v>148</v>
      </c>
    </row>
    <row r="129" spans="1:8" x14ac:dyDescent="0.2">
      <c r="A129" s="23"/>
      <c r="B129" s="23"/>
      <c r="C129" s="24" t="s">
        <v>165</v>
      </c>
      <c r="D129" s="23"/>
      <c r="E129" s="23"/>
      <c r="F129" s="34"/>
      <c r="G129" s="34"/>
      <c r="H129" s="25" t="s">
        <v>148</v>
      </c>
    </row>
    <row r="130" spans="1:8" x14ac:dyDescent="0.2">
      <c r="A130" s="26">
        <v>1</v>
      </c>
      <c r="B130" s="27"/>
      <c r="C130" s="27" t="s">
        <v>166</v>
      </c>
      <c r="D130" s="27"/>
      <c r="E130" s="36"/>
      <c r="F130" s="29">
        <v>8884.237681089</v>
      </c>
      <c r="G130" s="30">
        <v>3.2155219999999998E-2</v>
      </c>
      <c r="H130" s="25">
        <v>6.23</v>
      </c>
    </row>
    <row r="131" spans="1:8" x14ac:dyDescent="0.2">
      <c r="A131" s="23"/>
      <c r="B131" s="23"/>
      <c r="C131" s="24" t="s">
        <v>147</v>
      </c>
      <c r="D131" s="23"/>
      <c r="E131" s="23" t="s">
        <v>148</v>
      </c>
      <c r="F131" s="31">
        <v>8884.237681089</v>
      </c>
      <c r="G131" s="32">
        <v>3.2155219999999998E-2</v>
      </c>
      <c r="H131" s="25" t="s">
        <v>148</v>
      </c>
    </row>
    <row r="132" spans="1:8" x14ac:dyDescent="0.2">
      <c r="A132" s="23"/>
      <c r="B132" s="23"/>
      <c r="C132" s="33"/>
      <c r="D132" s="23"/>
      <c r="E132" s="23"/>
      <c r="F132" s="34"/>
      <c r="G132" s="34"/>
      <c r="H132" s="25" t="s">
        <v>148</v>
      </c>
    </row>
    <row r="133" spans="1:8" x14ac:dyDescent="0.2">
      <c r="A133" s="23"/>
      <c r="B133" s="23"/>
      <c r="C133" s="24" t="s">
        <v>167</v>
      </c>
      <c r="D133" s="23"/>
      <c r="E133" s="23"/>
      <c r="F133" s="31">
        <v>10862.463681089001</v>
      </c>
      <c r="G133" s="32">
        <v>3.9315129999999997E-2</v>
      </c>
      <c r="H133" s="25" t="s">
        <v>148</v>
      </c>
    </row>
    <row r="134" spans="1:8" x14ac:dyDescent="0.2">
      <c r="A134" s="23"/>
      <c r="B134" s="23"/>
      <c r="C134" s="34"/>
      <c r="D134" s="23"/>
      <c r="E134" s="23"/>
      <c r="F134" s="23"/>
      <c r="G134" s="23"/>
      <c r="H134" s="25" t="s">
        <v>148</v>
      </c>
    </row>
    <row r="135" spans="1:8" x14ac:dyDescent="0.2">
      <c r="A135" s="23"/>
      <c r="B135" s="23"/>
      <c r="C135" s="24" t="s">
        <v>168</v>
      </c>
      <c r="D135" s="23"/>
      <c r="E135" s="23"/>
      <c r="F135" s="23"/>
      <c r="G135" s="23"/>
      <c r="H135" s="25" t="s">
        <v>148</v>
      </c>
    </row>
    <row r="136" spans="1:8" x14ac:dyDescent="0.2">
      <c r="A136" s="23"/>
      <c r="B136" s="23"/>
      <c r="C136" s="24" t="s">
        <v>169</v>
      </c>
      <c r="D136" s="23"/>
      <c r="E136" s="23"/>
      <c r="F136" s="23"/>
      <c r="G136" s="23"/>
      <c r="H136" s="25" t="s">
        <v>148</v>
      </c>
    </row>
    <row r="137" spans="1:8" ht="25.5" x14ac:dyDescent="0.2">
      <c r="A137" s="26">
        <v>1</v>
      </c>
      <c r="B137" s="27" t="s">
        <v>170</v>
      </c>
      <c r="C137" s="27" t="s">
        <v>171</v>
      </c>
      <c r="D137" s="27"/>
      <c r="E137" s="37">
        <v>34095636.308200002</v>
      </c>
      <c r="F137" s="29">
        <v>5002.989098047</v>
      </c>
      <c r="G137" s="30">
        <v>1.8107600000000001E-2</v>
      </c>
      <c r="H137" s="25" t="s">
        <v>148</v>
      </c>
    </row>
    <row r="138" spans="1:8" x14ac:dyDescent="0.2">
      <c r="A138" s="23"/>
      <c r="B138" s="23"/>
      <c r="C138" s="24" t="s">
        <v>147</v>
      </c>
      <c r="D138" s="23"/>
      <c r="E138" s="23" t="s">
        <v>148</v>
      </c>
      <c r="F138" s="31">
        <v>5002.989098047</v>
      </c>
      <c r="G138" s="32">
        <v>1.8107600000000001E-2</v>
      </c>
      <c r="H138" s="25" t="s">
        <v>148</v>
      </c>
    </row>
    <row r="139" spans="1:8" x14ac:dyDescent="0.2">
      <c r="A139" s="23"/>
      <c r="B139" s="23"/>
      <c r="C139" s="33"/>
      <c r="D139" s="23"/>
      <c r="E139" s="23"/>
      <c r="F139" s="34"/>
      <c r="G139" s="34"/>
      <c r="H139" s="25" t="s">
        <v>148</v>
      </c>
    </row>
    <row r="140" spans="1:8" x14ac:dyDescent="0.2">
      <c r="A140" s="23"/>
      <c r="B140" s="23"/>
      <c r="C140" s="24" t="s">
        <v>172</v>
      </c>
      <c r="D140" s="23"/>
      <c r="E140" s="23"/>
      <c r="F140" s="23"/>
      <c r="G140" s="23"/>
      <c r="H140" s="25" t="s">
        <v>148</v>
      </c>
    </row>
    <row r="141" spans="1:8" x14ac:dyDescent="0.2">
      <c r="A141" s="23"/>
      <c r="B141" s="23"/>
      <c r="C141" s="24" t="s">
        <v>173</v>
      </c>
      <c r="D141" s="23"/>
      <c r="E141" s="23"/>
      <c r="F141" s="23"/>
      <c r="G141" s="23"/>
      <c r="H141" s="25" t="s">
        <v>148</v>
      </c>
    </row>
    <row r="142" spans="1:8" x14ac:dyDescent="0.2">
      <c r="A142" s="23"/>
      <c r="B142" s="23"/>
      <c r="C142" s="24" t="s">
        <v>147</v>
      </c>
      <c r="D142" s="23"/>
      <c r="E142" s="23" t="s">
        <v>148</v>
      </c>
      <c r="F142" s="35" t="s">
        <v>150</v>
      </c>
      <c r="G142" s="32">
        <v>0</v>
      </c>
      <c r="H142" s="25" t="s">
        <v>148</v>
      </c>
    </row>
    <row r="143" spans="1:8" x14ac:dyDescent="0.2">
      <c r="A143" s="23"/>
      <c r="B143" s="23"/>
      <c r="C143" s="33"/>
      <c r="D143" s="23"/>
      <c r="E143" s="23"/>
      <c r="F143" s="34"/>
      <c r="G143" s="34"/>
      <c r="H143" s="25" t="s">
        <v>148</v>
      </c>
    </row>
    <row r="144" spans="1:8" x14ac:dyDescent="0.2">
      <c r="A144" s="23"/>
      <c r="B144" s="23"/>
      <c r="C144" s="24" t="s">
        <v>174</v>
      </c>
      <c r="D144" s="23"/>
      <c r="E144" s="23"/>
      <c r="F144" s="34"/>
      <c r="G144" s="34"/>
      <c r="H144" s="25" t="s">
        <v>148</v>
      </c>
    </row>
    <row r="145" spans="1:17" x14ac:dyDescent="0.2">
      <c r="A145" s="23"/>
      <c r="B145" s="23"/>
      <c r="C145" s="24" t="s">
        <v>147</v>
      </c>
      <c r="D145" s="23"/>
      <c r="E145" s="23" t="s">
        <v>148</v>
      </c>
      <c r="F145" s="35" t="s">
        <v>150</v>
      </c>
      <c r="G145" s="32">
        <v>0</v>
      </c>
      <c r="H145" s="25" t="s">
        <v>148</v>
      </c>
    </row>
    <row r="146" spans="1:17" x14ac:dyDescent="0.2">
      <c r="A146" s="23"/>
      <c r="B146" s="23"/>
      <c r="C146" s="33"/>
      <c r="D146" s="23"/>
      <c r="E146" s="23"/>
      <c r="F146" s="34"/>
      <c r="G146" s="34"/>
      <c r="H146" s="25" t="s">
        <v>148</v>
      </c>
    </row>
    <row r="147" spans="1:17" x14ac:dyDescent="0.2">
      <c r="A147" s="36"/>
      <c r="B147" s="27"/>
      <c r="C147" s="27" t="s">
        <v>522</v>
      </c>
      <c r="D147" s="27"/>
      <c r="E147" s="36"/>
      <c r="F147" s="29">
        <v>3984.7038882000002</v>
      </c>
      <c r="G147" s="30">
        <v>1.442206E-2</v>
      </c>
      <c r="H147" s="25" t="s">
        <v>148</v>
      </c>
    </row>
    <row r="148" spans="1:17" x14ac:dyDescent="0.2">
      <c r="A148" s="36"/>
      <c r="B148" s="27"/>
      <c r="C148" s="38" t="s">
        <v>917</v>
      </c>
      <c r="D148" s="27"/>
      <c r="E148" s="36"/>
      <c r="F148" s="29">
        <f>-6189.51873095+0.00216297500610352</f>
        <v>-6189.5165679749934</v>
      </c>
      <c r="G148" s="30">
        <v>-2.2402080000000001E-2</v>
      </c>
      <c r="H148" s="25" t="s">
        <v>148</v>
      </c>
    </row>
    <row r="149" spans="1:17" x14ac:dyDescent="0.2">
      <c r="A149" s="33"/>
      <c r="B149" s="33"/>
      <c r="C149" s="24" t="s">
        <v>176</v>
      </c>
      <c r="D149" s="34"/>
      <c r="E149" s="34"/>
      <c r="F149" s="31">
        <f>276292.203756605+0.00216297500610352</f>
        <v>276292.20591958001</v>
      </c>
      <c r="G149" s="39">
        <v>1.00000007</v>
      </c>
      <c r="H149" s="25" t="s">
        <v>148</v>
      </c>
    </row>
    <row r="150" spans="1:17" x14ac:dyDescent="0.2">
      <c r="A150" s="40"/>
      <c r="B150" s="40"/>
      <c r="C150" s="40"/>
      <c r="D150" s="41"/>
      <c r="E150" s="41"/>
      <c r="F150" s="41"/>
      <c r="G150" s="41"/>
    </row>
    <row r="151" spans="1:17" x14ac:dyDescent="0.2">
      <c r="A151" s="42"/>
      <c r="B151" s="237" t="s">
        <v>891</v>
      </c>
      <c r="C151" s="237"/>
      <c r="D151" s="237"/>
      <c r="E151" s="237"/>
      <c r="F151" s="237"/>
      <c r="G151" s="237"/>
      <c r="H151" s="237"/>
      <c r="J151" s="44"/>
    </row>
    <row r="152" spans="1:17" x14ac:dyDescent="0.2">
      <c r="A152" s="42"/>
      <c r="B152" s="237" t="s">
        <v>892</v>
      </c>
      <c r="C152" s="237"/>
      <c r="D152" s="237"/>
      <c r="E152" s="237"/>
      <c r="F152" s="237"/>
      <c r="G152" s="237"/>
      <c r="H152" s="237"/>
      <c r="J152" s="44"/>
    </row>
    <row r="153" spans="1:17" x14ac:dyDescent="0.2">
      <c r="A153" s="42"/>
      <c r="B153" s="237" t="s">
        <v>893</v>
      </c>
      <c r="C153" s="237"/>
      <c r="D153" s="237"/>
      <c r="E153" s="237"/>
      <c r="F153" s="237"/>
      <c r="G153" s="237"/>
      <c r="H153" s="237"/>
      <c r="J153" s="44"/>
    </row>
    <row r="154" spans="1:17" s="46" customFormat="1" ht="66.75" customHeight="1" x14ac:dyDescent="0.25">
      <c r="A154" s="45"/>
      <c r="B154" s="239" t="s">
        <v>894</v>
      </c>
      <c r="C154" s="239"/>
      <c r="D154" s="239"/>
      <c r="E154" s="239"/>
      <c r="F154" s="239"/>
      <c r="G154" s="239"/>
      <c r="H154" s="239"/>
      <c r="I154"/>
      <c r="J154" s="44"/>
      <c r="K154"/>
      <c r="L154"/>
      <c r="M154"/>
      <c r="N154"/>
      <c r="O154"/>
      <c r="P154"/>
      <c r="Q154"/>
    </row>
    <row r="155" spans="1:17" x14ac:dyDescent="0.2">
      <c r="A155" s="42"/>
      <c r="B155" s="237" t="s">
        <v>895</v>
      </c>
      <c r="C155" s="237"/>
      <c r="D155" s="237"/>
      <c r="E155" s="237"/>
      <c r="F155" s="237"/>
      <c r="G155" s="237"/>
      <c r="H155" s="237"/>
      <c r="J155" s="44"/>
    </row>
    <row r="156" spans="1:17" x14ac:dyDescent="0.2">
      <c r="A156" s="47"/>
      <c r="B156" s="47"/>
      <c r="C156" s="47"/>
      <c r="D156" s="48"/>
      <c r="E156" s="48"/>
      <c r="F156" s="48"/>
      <c r="G156" s="48"/>
    </row>
    <row r="157" spans="1:17" x14ac:dyDescent="0.2">
      <c r="A157" s="47"/>
      <c r="B157" s="234" t="s">
        <v>177</v>
      </c>
      <c r="C157" s="235"/>
      <c r="D157" s="236"/>
      <c r="E157" s="49"/>
      <c r="F157" s="48"/>
      <c r="G157" s="48"/>
    </row>
    <row r="158" spans="1:17" x14ac:dyDescent="0.2">
      <c r="A158" s="47"/>
      <c r="B158" s="232" t="s">
        <v>178</v>
      </c>
      <c r="C158" s="233"/>
      <c r="D158" s="24" t="s">
        <v>179</v>
      </c>
      <c r="E158" s="49"/>
      <c r="F158" s="48"/>
      <c r="G158" s="48"/>
    </row>
    <row r="159" spans="1:17" ht="12.75" customHeight="1" x14ac:dyDescent="0.2">
      <c r="A159" s="47"/>
      <c r="B159" s="240" t="s">
        <v>897</v>
      </c>
      <c r="C159" s="241"/>
      <c r="D159" s="58" t="str">
        <f>"Rs. "&amp;TEXT(F92,"0.00")&amp;" lacs/ #"</f>
        <v>Rs. 0.00 lacs/ #</v>
      </c>
      <c r="E159" s="49"/>
      <c r="F159" s="48"/>
      <c r="G159" s="48"/>
    </row>
    <row r="160" spans="1:17" x14ac:dyDescent="0.2">
      <c r="A160" s="47"/>
      <c r="B160" s="232" t="s">
        <v>181</v>
      </c>
      <c r="C160" s="233"/>
      <c r="D160" s="34" t="s">
        <v>148</v>
      </c>
      <c r="E160" s="49"/>
      <c r="F160" s="48"/>
      <c r="G160" s="48"/>
    </row>
    <row r="161" spans="1:10" x14ac:dyDescent="0.2">
      <c r="A161" s="50"/>
      <c r="B161" s="51" t="s">
        <v>148</v>
      </c>
      <c r="C161" s="51" t="s">
        <v>896</v>
      </c>
      <c r="D161" s="51" t="s">
        <v>182</v>
      </c>
      <c r="E161" s="50"/>
      <c r="F161" s="50"/>
      <c r="G161" s="50"/>
      <c r="H161" s="50"/>
      <c r="J161" s="44"/>
    </row>
    <row r="162" spans="1:10" x14ac:dyDescent="0.2">
      <c r="A162" s="50"/>
      <c r="B162" s="52" t="s">
        <v>183</v>
      </c>
      <c r="C162" s="53">
        <v>45688</v>
      </c>
      <c r="D162" s="53">
        <v>45716</v>
      </c>
      <c r="E162" s="50"/>
      <c r="F162" s="50"/>
      <c r="G162" s="50"/>
      <c r="J162" s="44"/>
    </row>
    <row r="163" spans="1:10" x14ac:dyDescent="0.2">
      <c r="A163" s="54"/>
      <c r="B163" s="27" t="s">
        <v>184</v>
      </c>
      <c r="C163" s="55">
        <v>265.18209999999999</v>
      </c>
      <c r="D163" s="55">
        <v>231.09119999999999</v>
      </c>
      <c r="E163" s="54"/>
      <c r="F163" s="56"/>
      <c r="G163" s="57"/>
    </row>
    <row r="164" spans="1:10" x14ac:dyDescent="0.2">
      <c r="A164" s="54"/>
      <c r="B164" s="27" t="s">
        <v>1070</v>
      </c>
      <c r="C164" s="55">
        <v>37.287799999999997</v>
      </c>
      <c r="D164" s="55">
        <v>32.494199999999999</v>
      </c>
      <c r="E164" s="54"/>
      <c r="F164" s="56"/>
      <c r="G164" s="57"/>
    </row>
    <row r="165" spans="1:10" x14ac:dyDescent="0.2">
      <c r="A165" s="54"/>
      <c r="B165" s="27" t="s">
        <v>186</v>
      </c>
      <c r="C165" s="55">
        <v>240.71899999999999</v>
      </c>
      <c r="D165" s="55">
        <v>209.6053</v>
      </c>
      <c r="E165" s="54"/>
      <c r="F165" s="56"/>
      <c r="G165" s="57"/>
    </row>
    <row r="166" spans="1:10" x14ac:dyDescent="0.2">
      <c r="A166" s="54"/>
      <c r="B166" s="27" t="s">
        <v>1071</v>
      </c>
      <c r="C166" s="55">
        <v>32.938499999999998</v>
      </c>
      <c r="D166" s="55">
        <v>28.681100000000001</v>
      </c>
      <c r="E166" s="54"/>
      <c r="F166" s="56"/>
      <c r="G166" s="57"/>
    </row>
    <row r="167" spans="1:10" x14ac:dyDescent="0.2">
      <c r="A167" s="54"/>
      <c r="B167" s="54"/>
      <c r="C167" s="54"/>
      <c r="D167" s="54"/>
      <c r="E167" s="54"/>
      <c r="F167" s="54"/>
      <c r="G167" s="54"/>
    </row>
    <row r="168" spans="1:10" x14ac:dyDescent="0.2">
      <c r="A168" s="50"/>
      <c r="B168" s="240" t="s">
        <v>898</v>
      </c>
      <c r="C168" s="241"/>
      <c r="D168" s="58" t="s">
        <v>179</v>
      </c>
      <c r="E168" s="50"/>
      <c r="F168" s="50"/>
      <c r="G168" s="50"/>
    </row>
    <row r="169" spans="1:10" x14ac:dyDescent="0.2">
      <c r="A169" s="50"/>
      <c r="B169" s="59"/>
      <c r="C169" s="59"/>
      <c r="D169" s="59"/>
      <c r="E169" s="50"/>
      <c r="F169" s="50"/>
      <c r="G169" s="50"/>
    </row>
    <row r="170" spans="1:10" ht="25.5" customHeight="1" x14ac:dyDescent="0.2">
      <c r="A170" s="50"/>
      <c r="B170" s="240" t="s">
        <v>188</v>
      </c>
      <c r="C170" s="241"/>
      <c r="D170" s="58" t="s">
        <v>918</v>
      </c>
      <c r="E170" s="60"/>
      <c r="F170" s="50"/>
      <c r="G170" s="50"/>
    </row>
    <row r="171" spans="1:10" ht="24.75" customHeight="1" x14ac:dyDescent="0.2">
      <c r="A171" s="50"/>
      <c r="B171" s="240" t="s">
        <v>189</v>
      </c>
      <c r="C171" s="241"/>
      <c r="D171" s="58" t="s">
        <v>179</v>
      </c>
      <c r="E171" s="60"/>
      <c r="F171" s="50"/>
      <c r="G171" s="50"/>
    </row>
    <row r="172" spans="1:10" x14ac:dyDescent="0.2">
      <c r="A172" s="50"/>
      <c r="B172" s="240" t="s">
        <v>190</v>
      </c>
      <c r="C172" s="241"/>
      <c r="D172" s="58" t="s">
        <v>179</v>
      </c>
      <c r="E172" s="60"/>
      <c r="F172" s="50"/>
      <c r="G172" s="50"/>
    </row>
    <row r="173" spans="1:10" x14ac:dyDescent="0.2">
      <c r="A173" s="50"/>
      <c r="B173" s="240" t="s">
        <v>191</v>
      </c>
      <c r="C173" s="241"/>
      <c r="D173" s="61">
        <v>0.79329916712670134</v>
      </c>
      <c r="E173" s="50"/>
      <c r="F173" s="43"/>
      <c r="G173" s="62"/>
    </row>
    <row r="175" spans="1:10" x14ac:dyDescent="0.2">
      <c r="B175" s="238" t="s">
        <v>899</v>
      </c>
      <c r="C175" s="238"/>
    </row>
    <row r="177" spans="2:10" ht="153.75" customHeight="1" x14ac:dyDescent="0.2"/>
    <row r="180" spans="2:10" x14ac:dyDescent="0.2">
      <c r="B180" s="68" t="s">
        <v>900</v>
      </c>
      <c r="C180" s="69"/>
      <c r="D180" s="68" t="s">
        <v>903</v>
      </c>
    </row>
    <row r="181" spans="2:10" x14ac:dyDescent="0.2">
      <c r="B181" s="68" t="s">
        <v>919</v>
      </c>
      <c r="D181" s="68" t="s">
        <v>920</v>
      </c>
    </row>
    <row r="182" spans="2:10" ht="165" customHeight="1" x14ac:dyDescent="0.2"/>
    <row r="184" spans="2:10" x14ac:dyDescent="0.2">
      <c r="J184" s="22"/>
    </row>
  </sheetData>
  <mergeCells count="18">
    <mergeCell ref="B175:C175"/>
    <mergeCell ref="A3:H3"/>
    <mergeCell ref="A2:H2"/>
    <mergeCell ref="B173:C173"/>
    <mergeCell ref="A1:H1"/>
    <mergeCell ref="B159:C159"/>
    <mergeCell ref="B160:C160"/>
    <mergeCell ref="B168:C168"/>
    <mergeCell ref="B172:C172"/>
    <mergeCell ref="B157:D157"/>
    <mergeCell ref="B158:C158"/>
    <mergeCell ref="B151:H151"/>
    <mergeCell ref="B152:H152"/>
    <mergeCell ref="B153:H153"/>
    <mergeCell ref="B154:H154"/>
    <mergeCell ref="B155:H155"/>
    <mergeCell ref="B170:C170"/>
    <mergeCell ref="B171:C171"/>
  </mergeCells>
  <hyperlinks>
    <hyperlink ref="I1" location="Index!B2" display="Index" xr:uid="{80AFF719-AFC6-469A-AD57-C0FEB45EEE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A655-A0CC-4EFB-9D20-E920D6FD2529}">
  <sheetPr>
    <outlinePr summaryBelow="0" summaryRight="0"/>
  </sheetPr>
  <dimension ref="A1:Q245"/>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 bestFit="1" customWidth="1"/>
    <col min="5" max="5" width="14.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523</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927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26</v>
      </c>
      <c r="C7" s="27" t="s">
        <v>27</v>
      </c>
      <c r="D7" s="27" t="s">
        <v>28</v>
      </c>
      <c r="E7" s="28">
        <v>1975966</v>
      </c>
      <c r="F7" s="29">
        <v>23792.606606000001</v>
      </c>
      <c r="G7" s="30">
        <v>4.5437199999999997E-2</v>
      </c>
      <c r="H7" s="25" t="s">
        <v>148</v>
      </c>
    </row>
    <row r="8" spans="1:9" x14ac:dyDescent="0.2">
      <c r="A8" s="26">
        <v>2</v>
      </c>
      <c r="B8" s="27" t="s">
        <v>332</v>
      </c>
      <c r="C8" s="27" t="s">
        <v>333</v>
      </c>
      <c r="D8" s="27" t="s">
        <v>28</v>
      </c>
      <c r="E8" s="28">
        <v>1300750</v>
      </c>
      <c r="F8" s="29">
        <v>22534.192999999999</v>
      </c>
      <c r="G8" s="30">
        <v>4.3033979999999999E-2</v>
      </c>
      <c r="H8" s="25" t="s">
        <v>148</v>
      </c>
    </row>
    <row r="9" spans="1:9" x14ac:dyDescent="0.2">
      <c r="A9" s="26">
        <v>3</v>
      </c>
      <c r="B9" s="27" t="s">
        <v>14</v>
      </c>
      <c r="C9" s="27" t="s">
        <v>15</v>
      </c>
      <c r="D9" s="27" t="s">
        <v>16</v>
      </c>
      <c r="E9" s="28">
        <v>1785802</v>
      </c>
      <c r="F9" s="29">
        <v>21431.409801999998</v>
      </c>
      <c r="G9" s="30">
        <v>4.0927980000000003E-2</v>
      </c>
      <c r="H9" s="25" t="s">
        <v>148</v>
      </c>
    </row>
    <row r="10" spans="1:9" x14ac:dyDescent="0.2">
      <c r="A10" s="26">
        <v>4</v>
      </c>
      <c r="B10" s="27" t="s">
        <v>11</v>
      </c>
      <c r="C10" s="27" t="s">
        <v>12</v>
      </c>
      <c r="D10" s="27" t="s">
        <v>13</v>
      </c>
      <c r="E10" s="28">
        <v>1000000</v>
      </c>
      <c r="F10" s="29">
        <v>15702</v>
      </c>
      <c r="G10" s="30">
        <v>2.9986410000000002E-2</v>
      </c>
      <c r="H10" s="25" t="s">
        <v>148</v>
      </c>
    </row>
    <row r="11" spans="1:9" x14ac:dyDescent="0.2">
      <c r="A11" s="26">
        <v>5</v>
      </c>
      <c r="B11" s="27" t="s">
        <v>334</v>
      </c>
      <c r="C11" s="27" t="s">
        <v>335</v>
      </c>
      <c r="D11" s="27" t="s">
        <v>205</v>
      </c>
      <c r="E11" s="28">
        <v>930000</v>
      </c>
      <c r="F11" s="29">
        <v>15695.61</v>
      </c>
      <c r="G11" s="30">
        <v>2.9974210000000001E-2</v>
      </c>
      <c r="H11" s="25" t="s">
        <v>148</v>
      </c>
    </row>
    <row r="12" spans="1:9" x14ac:dyDescent="0.2">
      <c r="A12" s="26">
        <v>6</v>
      </c>
      <c r="B12" s="27" t="s">
        <v>38</v>
      </c>
      <c r="C12" s="27" t="s">
        <v>39</v>
      </c>
      <c r="D12" s="27" t="s">
        <v>28</v>
      </c>
      <c r="E12" s="28">
        <v>1931920</v>
      </c>
      <c r="F12" s="29">
        <v>13307.06496</v>
      </c>
      <c r="G12" s="30">
        <v>2.541276E-2</v>
      </c>
      <c r="H12" s="25" t="s">
        <v>148</v>
      </c>
    </row>
    <row r="13" spans="1:9" x14ac:dyDescent="0.2">
      <c r="A13" s="26">
        <v>7</v>
      </c>
      <c r="B13" s="27" t="s">
        <v>17</v>
      </c>
      <c r="C13" s="27" t="s">
        <v>18</v>
      </c>
      <c r="D13" s="27" t="s">
        <v>19</v>
      </c>
      <c r="E13" s="28">
        <v>316000</v>
      </c>
      <c r="F13" s="29">
        <v>9997.7659999999996</v>
      </c>
      <c r="G13" s="30">
        <v>1.9092930000000001E-2</v>
      </c>
      <c r="H13" s="25" t="s">
        <v>148</v>
      </c>
    </row>
    <row r="14" spans="1:9" x14ac:dyDescent="0.2">
      <c r="A14" s="26">
        <v>8</v>
      </c>
      <c r="B14" s="27" t="s">
        <v>336</v>
      </c>
      <c r="C14" s="27" t="s">
        <v>337</v>
      </c>
      <c r="D14" s="27" t="s">
        <v>28</v>
      </c>
      <c r="E14" s="28">
        <v>913144</v>
      </c>
      <c r="F14" s="29">
        <v>9273.4338919999991</v>
      </c>
      <c r="G14" s="30">
        <v>1.7709659999999999E-2</v>
      </c>
      <c r="H14" s="25" t="s">
        <v>148</v>
      </c>
    </row>
    <row r="15" spans="1:9" x14ac:dyDescent="0.2">
      <c r="A15" s="26">
        <v>9</v>
      </c>
      <c r="B15" s="27" t="s">
        <v>101</v>
      </c>
      <c r="C15" s="27" t="s">
        <v>102</v>
      </c>
      <c r="D15" s="27" t="s">
        <v>28</v>
      </c>
      <c r="E15" s="28">
        <v>486117</v>
      </c>
      <c r="F15" s="29">
        <v>9250.5634515000002</v>
      </c>
      <c r="G15" s="30">
        <v>1.7665980000000001E-2</v>
      </c>
      <c r="H15" s="25" t="s">
        <v>148</v>
      </c>
    </row>
    <row r="16" spans="1:9" x14ac:dyDescent="0.2">
      <c r="A16" s="26">
        <v>10</v>
      </c>
      <c r="B16" s="27" t="s">
        <v>342</v>
      </c>
      <c r="C16" s="27" t="s">
        <v>343</v>
      </c>
      <c r="D16" s="27" t="s">
        <v>205</v>
      </c>
      <c r="E16" s="28">
        <v>252500</v>
      </c>
      <c r="F16" s="29">
        <v>8795.2062499999993</v>
      </c>
      <c r="G16" s="30">
        <v>1.679638E-2</v>
      </c>
      <c r="H16" s="25" t="s">
        <v>148</v>
      </c>
    </row>
    <row r="17" spans="1:8" x14ac:dyDescent="0.2">
      <c r="A17" s="26">
        <v>11</v>
      </c>
      <c r="B17" s="27" t="s">
        <v>198</v>
      </c>
      <c r="C17" s="27" t="s">
        <v>199</v>
      </c>
      <c r="D17" s="27" t="s">
        <v>51</v>
      </c>
      <c r="E17" s="28">
        <v>1850000</v>
      </c>
      <c r="F17" s="29">
        <v>8551.625</v>
      </c>
      <c r="G17" s="30">
        <v>1.6331200000000001E-2</v>
      </c>
      <c r="H17" s="25" t="s">
        <v>148</v>
      </c>
    </row>
    <row r="18" spans="1:8" ht="25.5" x14ac:dyDescent="0.2">
      <c r="A18" s="26">
        <v>12</v>
      </c>
      <c r="B18" s="27" t="s">
        <v>340</v>
      </c>
      <c r="C18" s="27" t="s">
        <v>341</v>
      </c>
      <c r="D18" s="27" t="s">
        <v>202</v>
      </c>
      <c r="E18" s="28">
        <v>525000</v>
      </c>
      <c r="F18" s="29">
        <v>8364.5625</v>
      </c>
      <c r="G18" s="30">
        <v>1.5973970000000001E-2</v>
      </c>
      <c r="H18" s="25" t="s">
        <v>148</v>
      </c>
    </row>
    <row r="19" spans="1:8" x14ac:dyDescent="0.2">
      <c r="A19" s="26">
        <v>13</v>
      </c>
      <c r="B19" s="27" t="s">
        <v>251</v>
      </c>
      <c r="C19" s="27" t="s">
        <v>252</v>
      </c>
      <c r="D19" s="27" t="s">
        <v>111</v>
      </c>
      <c r="E19" s="28">
        <v>1332500</v>
      </c>
      <c r="F19" s="29">
        <v>8225.5224999999991</v>
      </c>
      <c r="G19" s="30">
        <v>1.5708440000000001E-2</v>
      </c>
      <c r="H19" s="25" t="s">
        <v>148</v>
      </c>
    </row>
    <row r="20" spans="1:8" x14ac:dyDescent="0.2">
      <c r="A20" s="26">
        <v>14</v>
      </c>
      <c r="B20" s="27" t="s">
        <v>435</v>
      </c>
      <c r="C20" s="27" t="s">
        <v>436</v>
      </c>
      <c r="D20" s="27" t="s">
        <v>205</v>
      </c>
      <c r="E20" s="28">
        <v>486000</v>
      </c>
      <c r="F20" s="29">
        <v>7654.7430000000004</v>
      </c>
      <c r="G20" s="30">
        <v>1.461841E-2</v>
      </c>
      <c r="H20" s="25" t="s">
        <v>148</v>
      </c>
    </row>
    <row r="21" spans="1:8" x14ac:dyDescent="0.2">
      <c r="A21" s="26">
        <v>15</v>
      </c>
      <c r="B21" s="27" t="s">
        <v>524</v>
      </c>
      <c r="C21" s="27" t="s">
        <v>525</v>
      </c>
      <c r="D21" s="27" t="s">
        <v>275</v>
      </c>
      <c r="E21" s="28">
        <v>57000</v>
      </c>
      <c r="F21" s="29">
        <v>6809.1345000000001</v>
      </c>
      <c r="G21" s="30">
        <v>1.3003539999999999E-2</v>
      </c>
      <c r="H21" s="25" t="s">
        <v>148</v>
      </c>
    </row>
    <row r="22" spans="1:8" x14ac:dyDescent="0.2">
      <c r="A22" s="26">
        <v>16</v>
      </c>
      <c r="B22" s="27" t="s">
        <v>526</v>
      </c>
      <c r="C22" s="27" t="s">
        <v>527</v>
      </c>
      <c r="D22" s="27" t="s">
        <v>235</v>
      </c>
      <c r="E22" s="28">
        <v>500000</v>
      </c>
      <c r="F22" s="29">
        <v>6422.25</v>
      </c>
      <c r="G22" s="30">
        <v>1.22647E-2</v>
      </c>
      <c r="H22" s="25" t="s">
        <v>148</v>
      </c>
    </row>
    <row r="23" spans="1:8" x14ac:dyDescent="0.2">
      <c r="A23" s="26">
        <v>17</v>
      </c>
      <c r="B23" s="27" t="s">
        <v>49</v>
      </c>
      <c r="C23" s="27" t="s">
        <v>50</v>
      </c>
      <c r="D23" s="27" t="s">
        <v>51</v>
      </c>
      <c r="E23" s="28">
        <v>113905</v>
      </c>
      <c r="F23" s="29">
        <v>6411.3137825000003</v>
      </c>
      <c r="G23" s="30">
        <v>1.2243810000000001E-2</v>
      </c>
      <c r="H23" s="25" t="s">
        <v>148</v>
      </c>
    </row>
    <row r="24" spans="1:8" x14ac:dyDescent="0.2">
      <c r="A24" s="26">
        <v>18</v>
      </c>
      <c r="B24" s="27" t="s">
        <v>195</v>
      </c>
      <c r="C24" s="27" t="s">
        <v>196</v>
      </c>
      <c r="D24" s="27" t="s">
        <v>197</v>
      </c>
      <c r="E24" s="28">
        <v>350000</v>
      </c>
      <c r="F24" s="29">
        <v>5834.3249999999998</v>
      </c>
      <c r="G24" s="30">
        <v>1.114192E-2</v>
      </c>
      <c r="H24" s="25" t="s">
        <v>148</v>
      </c>
    </row>
    <row r="25" spans="1:8" x14ac:dyDescent="0.2">
      <c r="A25" s="26">
        <v>19</v>
      </c>
      <c r="B25" s="27" t="s">
        <v>20</v>
      </c>
      <c r="C25" s="27" t="s">
        <v>21</v>
      </c>
      <c r="D25" s="27" t="s">
        <v>22</v>
      </c>
      <c r="E25" s="28">
        <v>1855000</v>
      </c>
      <c r="F25" s="29">
        <v>5777.3975</v>
      </c>
      <c r="G25" s="30">
        <v>1.103321E-2</v>
      </c>
      <c r="H25" s="25" t="s">
        <v>148</v>
      </c>
    </row>
    <row r="26" spans="1:8" x14ac:dyDescent="0.2">
      <c r="A26" s="26">
        <v>20</v>
      </c>
      <c r="B26" s="27" t="s">
        <v>483</v>
      </c>
      <c r="C26" s="27" t="s">
        <v>484</v>
      </c>
      <c r="D26" s="27" t="s">
        <v>69</v>
      </c>
      <c r="E26" s="28">
        <v>225000</v>
      </c>
      <c r="F26" s="29">
        <v>5698.125</v>
      </c>
      <c r="G26" s="30">
        <v>1.088182E-2</v>
      </c>
      <c r="H26" s="25" t="s">
        <v>148</v>
      </c>
    </row>
    <row r="27" spans="1:8" x14ac:dyDescent="0.2">
      <c r="A27" s="26">
        <v>21</v>
      </c>
      <c r="B27" s="27" t="s">
        <v>34</v>
      </c>
      <c r="C27" s="27" t="s">
        <v>35</v>
      </c>
      <c r="D27" s="27" t="s">
        <v>16</v>
      </c>
      <c r="E27" s="28">
        <v>2400000</v>
      </c>
      <c r="F27" s="29">
        <v>5695.2</v>
      </c>
      <c r="G27" s="30">
        <v>1.0876230000000001E-2</v>
      </c>
      <c r="H27" s="25" t="s">
        <v>148</v>
      </c>
    </row>
    <row r="28" spans="1:8" ht="25.5" x14ac:dyDescent="0.2">
      <c r="A28" s="26">
        <v>22</v>
      </c>
      <c r="B28" s="27" t="s">
        <v>225</v>
      </c>
      <c r="C28" s="27" t="s">
        <v>226</v>
      </c>
      <c r="D28" s="27" t="s">
        <v>202</v>
      </c>
      <c r="E28" s="28">
        <v>110000</v>
      </c>
      <c r="F28" s="29">
        <v>5110.82</v>
      </c>
      <c r="G28" s="30">
        <v>9.7602299999999999E-3</v>
      </c>
      <c r="H28" s="25" t="s">
        <v>148</v>
      </c>
    </row>
    <row r="29" spans="1:8" x14ac:dyDescent="0.2">
      <c r="A29" s="26">
        <v>23</v>
      </c>
      <c r="B29" s="27" t="s">
        <v>280</v>
      </c>
      <c r="C29" s="27" t="s">
        <v>281</v>
      </c>
      <c r="D29" s="27" t="s">
        <v>69</v>
      </c>
      <c r="E29" s="28">
        <v>600000</v>
      </c>
      <c r="F29" s="29">
        <v>4955.3999999999996</v>
      </c>
      <c r="G29" s="30">
        <v>9.4634200000000002E-3</v>
      </c>
      <c r="H29" s="25" t="s">
        <v>148</v>
      </c>
    </row>
    <row r="30" spans="1:8" x14ac:dyDescent="0.2">
      <c r="A30" s="26">
        <v>24</v>
      </c>
      <c r="B30" s="27" t="s">
        <v>23</v>
      </c>
      <c r="C30" s="27" t="s">
        <v>24</v>
      </c>
      <c r="D30" s="27" t="s">
        <v>25</v>
      </c>
      <c r="E30" s="28">
        <v>48500</v>
      </c>
      <c r="F30" s="29">
        <v>4912.2982499999998</v>
      </c>
      <c r="G30" s="30">
        <v>9.3811099999999998E-3</v>
      </c>
      <c r="H30" s="25" t="s">
        <v>148</v>
      </c>
    </row>
    <row r="31" spans="1:8" x14ac:dyDescent="0.2">
      <c r="A31" s="26">
        <v>25</v>
      </c>
      <c r="B31" s="27" t="s">
        <v>348</v>
      </c>
      <c r="C31" s="27" t="s">
        <v>349</v>
      </c>
      <c r="D31" s="27" t="s">
        <v>350</v>
      </c>
      <c r="E31" s="28">
        <v>1169771</v>
      </c>
      <c r="F31" s="29">
        <v>4620.5954499999998</v>
      </c>
      <c r="G31" s="30">
        <v>8.82404E-3</v>
      </c>
      <c r="H31" s="25" t="s">
        <v>148</v>
      </c>
    </row>
    <row r="32" spans="1:8" x14ac:dyDescent="0.2">
      <c r="A32" s="26">
        <v>26</v>
      </c>
      <c r="B32" s="27" t="s">
        <v>528</v>
      </c>
      <c r="C32" s="27" t="s">
        <v>529</v>
      </c>
      <c r="D32" s="27" t="s">
        <v>275</v>
      </c>
      <c r="E32" s="28">
        <v>57000</v>
      </c>
      <c r="F32" s="29">
        <v>4504.6530000000002</v>
      </c>
      <c r="G32" s="30">
        <v>8.6026200000000001E-3</v>
      </c>
      <c r="H32" s="25" t="s">
        <v>148</v>
      </c>
    </row>
    <row r="33" spans="1:8" ht="25.5" x14ac:dyDescent="0.2">
      <c r="A33" s="26">
        <v>27</v>
      </c>
      <c r="B33" s="27" t="s">
        <v>444</v>
      </c>
      <c r="C33" s="27" t="s">
        <v>445</v>
      </c>
      <c r="D33" s="27" t="s">
        <v>217</v>
      </c>
      <c r="E33" s="28">
        <v>464623</v>
      </c>
      <c r="F33" s="29">
        <v>4477.5718509999997</v>
      </c>
      <c r="G33" s="30">
        <v>8.5509100000000001E-3</v>
      </c>
      <c r="H33" s="25" t="s">
        <v>148</v>
      </c>
    </row>
    <row r="34" spans="1:8" x14ac:dyDescent="0.2">
      <c r="A34" s="26">
        <v>28</v>
      </c>
      <c r="B34" s="27" t="s">
        <v>368</v>
      </c>
      <c r="C34" s="27" t="s">
        <v>369</v>
      </c>
      <c r="D34" s="27" t="s">
        <v>25</v>
      </c>
      <c r="E34" s="28">
        <v>186860</v>
      </c>
      <c r="F34" s="29">
        <v>4310.2061899999999</v>
      </c>
      <c r="G34" s="30">
        <v>8.2312800000000005E-3</v>
      </c>
      <c r="H34" s="25" t="s">
        <v>148</v>
      </c>
    </row>
    <row r="35" spans="1:8" ht="25.5" x14ac:dyDescent="0.2">
      <c r="A35" s="26">
        <v>29</v>
      </c>
      <c r="B35" s="27" t="s">
        <v>286</v>
      </c>
      <c r="C35" s="27" t="s">
        <v>287</v>
      </c>
      <c r="D35" s="27" t="s">
        <v>202</v>
      </c>
      <c r="E35" s="28">
        <v>480000</v>
      </c>
      <c r="F35" s="29">
        <v>4207.68</v>
      </c>
      <c r="G35" s="30">
        <v>8.0354899999999993E-3</v>
      </c>
      <c r="H35" s="25" t="s">
        <v>148</v>
      </c>
    </row>
    <row r="36" spans="1:8" x14ac:dyDescent="0.2">
      <c r="A36" s="26">
        <v>30</v>
      </c>
      <c r="B36" s="27" t="s">
        <v>360</v>
      </c>
      <c r="C36" s="27" t="s">
        <v>361</v>
      </c>
      <c r="D36" s="27" t="s">
        <v>235</v>
      </c>
      <c r="E36" s="28">
        <v>960000</v>
      </c>
      <c r="F36" s="29">
        <v>4186.08</v>
      </c>
      <c r="G36" s="30">
        <v>7.9942399999999997E-3</v>
      </c>
      <c r="H36" s="25" t="s">
        <v>148</v>
      </c>
    </row>
    <row r="37" spans="1:8" ht="25.5" x14ac:dyDescent="0.2">
      <c r="A37" s="26">
        <v>31</v>
      </c>
      <c r="B37" s="27" t="s">
        <v>362</v>
      </c>
      <c r="C37" s="27" t="s">
        <v>363</v>
      </c>
      <c r="D37" s="27" t="s">
        <v>202</v>
      </c>
      <c r="E37" s="28">
        <v>365000</v>
      </c>
      <c r="F37" s="29">
        <v>4075.2249999999999</v>
      </c>
      <c r="G37" s="30">
        <v>7.7825400000000001E-3</v>
      </c>
      <c r="H37" s="25" t="s">
        <v>148</v>
      </c>
    </row>
    <row r="38" spans="1:8" x14ac:dyDescent="0.2">
      <c r="A38" s="26">
        <v>32</v>
      </c>
      <c r="B38" s="27" t="s">
        <v>206</v>
      </c>
      <c r="C38" s="27" t="s">
        <v>207</v>
      </c>
      <c r="D38" s="27" t="s">
        <v>28</v>
      </c>
      <c r="E38" s="28">
        <v>790000</v>
      </c>
      <c r="F38" s="29">
        <v>4035.32</v>
      </c>
      <c r="G38" s="30">
        <v>7.70633E-3</v>
      </c>
      <c r="H38" s="25" t="s">
        <v>148</v>
      </c>
    </row>
    <row r="39" spans="1:8" x14ac:dyDescent="0.2">
      <c r="A39" s="26">
        <v>33</v>
      </c>
      <c r="B39" s="27" t="s">
        <v>288</v>
      </c>
      <c r="C39" s="27" t="s">
        <v>289</v>
      </c>
      <c r="D39" s="27" t="s">
        <v>240</v>
      </c>
      <c r="E39" s="28">
        <v>125000</v>
      </c>
      <c r="F39" s="29">
        <v>3928.875</v>
      </c>
      <c r="G39" s="30">
        <v>7.5030499999999998E-3</v>
      </c>
      <c r="H39" s="25" t="s">
        <v>148</v>
      </c>
    </row>
    <row r="40" spans="1:8" x14ac:dyDescent="0.2">
      <c r="A40" s="26">
        <v>34</v>
      </c>
      <c r="B40" s="27" t="s">
        <v>530</v>
      </c>
      <c r="C40" s="27" t="s">
        <v>531</v>
      </c>
      <c r="D40" s="27" t="s">
        <v>205</v>
      </c>
      <c r="E40" s="28">
        <v>254000</v>
      </c>
      <c r="F40" s="29">
        <v>3779.1390000000001</v>
      </c>
      <c r="G40" s="30">
        <v>7.2170999999999997E-3</v>
      </c>
      <c r="H40" s="25" t="s">
        <v>148</v>
      </c>
    </row>
    <row r="41" spans="1:8" x14ac:dyDescent="0.2">
      <c r="A41" s="26">
        <v>35</v>
      </c>
      <c r="B41" s="27" t="s">
        <v>532</v>
      </c>
      <c r="C41" s="27" t="s">
        <v>533</v>
      </c>
      <c r="D41" s="27" t="s">
        <v>111</v>
      </c>
      <c r="E41" s="28">
        <v>365785</v>
      </c>
      <c r="F41" s="29">
        <v>3726.0689025000001</v>
      </c>
      <c r="G41" s="30">
        <v>7.1157499999999997E-3</v>
      </c>
      <c r="H41" s="25" t="s">
        <v>148</v>
      </c>
    </row>
    <row r="42" spans="1:8" x14ac:dyDescent="0.2">
      <c r="A42" s="26">
        <v>36</v>
      </c>
      <c r="B42" s="27" t="s">
        <v>268</v>
      </c>
      <c r="C42" s="27" t="s">
        <v>269</v>
      </c>
      <c r="D42" s="27" t="s">
        <v>270</v>
      </c>
      <c r="E42" s="28">
        <v>675000</v>
      </c>
      <c r="F42" s="29">
        <v>3723.3</v>
      </c>
      <c r="G42" s="30">
        <v>7.1104599999999999E-3</v>
      </c>
      <c r="H42" s="25" t="s">
        <v>148</v>
      </c>
    </row>
    <row r="43" spans="1:8" ht="25.5" x14ac:dyDescent="0.2">
      <c r="A43" s="26">
        <v>37</v>
      </c>
      <c r="B43" s="27" t="s">
        <v>200</v>
      </c>
      <c r="C43" s="27" t="s">
        <v>201</v>
      </c>
      <c r="D43" s="27" t="s">
        <v>202</v>
      </c>
      <c r="E43" s="28">
        <v>195000</v>
      </c>
      <c r="F43" s="29">
        <v>3714.0675000000001</v>
      </c>
      <c r="G43" s="30">
        <v>7.0928299999999996E-3</v>
      </c>
      <c r="H43" s="25" t="s">
        <v>148</v>
      </c>
    </row>
    <row r="44" spans="1:8" x14ac:dyDescent="0.2">
      <c r="A44" s="26">
        <v>38</v>
      </c>
      <c r="B44" s="27" t="s">
        <v>31</v>
      </c>
      <c r="C44" s="27" t="s">
        <v>32</v>
      </c>
      <c r="D44" s="27" t="s">
        <v>33</v>
      </c>
      <c r="E44" s="28">
        <v>1498789</v>
      </c>
      <c r="F44" s="29">
        <v>3690.7679125</v>
      </c>
      <c r="G44" s="30">
        <v>7.0483300000000002E-3</v>
      </c>
      <c r="H44" s="25" t="s">
        <v>148</v>
      </c>
    </row>
    <row r="45" spans="1:8" ht="25.5" x14ac:dyDescent="0.2">
      <c r="A45" s="26">
        <v>39</v>
      </c>
      <c r="B45" s="27" t="s">
        <v>215</v>
      </c>
      <c r="C45" s="27" t="s">
        <v>216</v>
      </c>
      <c r="D45" s="27" t="s">
        <v>217</v>
      </c>
      <c r="E45" s="28">
        <v>605000</v>
      </c>
      <c r="F45" s="29">
        <v>3633.63</v>
      </c>
      <c r="G45" s="30">
        <v>6.9392100000000003E-3</v>
      </c>
      <c r="H45" s="25" t="s">
        <v>148</v>
      </c>
    </row>
    <row r="46" spans="1:8" x14ac:dyDescent="0.2">
      <c r="A46" s="26">
        <v>40</v>
      </c>
      <c r="B46" s="27" t="s">
        <v>230</v>
      </c>
      <c r="C46" s="27" t="s">
        <v>231</v>
      </c>
      <c r="D46" s="27" t="s">
        <v>232</v>
      </c>
      <c r="E46" s="28">
        <v>569100</v>
      </c>
      <c r="F46" s="29">
        <v>3563.1351</v>
      </c>
      <c r="G46" s="30">
        <v>6.8045900000000001E-3</v>
      </c>
      <c r="H46" s="25" t="s">
        <v>148</v>
      </c>
    </row>
    <row r="47" spans="1:8" x14ac:dyDescent="0.2">
      <c r="A47" s="26">
        <v>41</v>
      </c>
      <c r="B47" s="27" t="s">
        <v>95</v>
      </c>
      <c r="C47" s="27" t="s">
        <v>96</v>
      </c>
      <c r="D47" s="27" t="s">
        <v>45</v>
      </c>
      <c r="E47" s="28">
        <v>125000</v>
      </c>
      <c r="F47" s="29">
        <v>3397.4375</v>
      </c>
      <c r="G47" s="30">
        <v>6.4881499999999998E-3</v>
      </c>
      <c r="H47" s="25" t="s">
        <v>148</v>
      </c>
    </row>
    <row r="48" spans="1:8" x14ac:dyDescent="0.2">
      <c r="A48" s="26">
        <v>42</v>
      </c>
      <c r="B48" s="27" t="s">
        <v>534</v>
      </c>
      <c r="C48" s="27" t="s">
        <v>535</v>
      </c>
      <c r="D48" s="27" t="s">
        <v>275</v>
      </c>
      <c r="E48" s="28">
        <v>130000</v>
      </c>
      <c r="F48" s="29">
        <v>3360.63</v>
      </c>
      <c r="G48" s="30">
        <v>6.4178600000000001E-3</v>
      </c>
      <c r="H48" s="25" t="s">
        <v>148</v>
      </c>
    </row>
    <row r="49" spans="1:8" x14ac:dyDescent="0.2">
      <c r="A49" s="26">
        <v>43</v>
      </c>
      <c r="B49" s="27" t="s">
        <v>440</v>
      </c>
      <c r="C49" s="27" t="s">
        <v>441</v>
      </c>
      <c r="D49" s="27" t="s">
        <v>270</v>
      </c>
      <c r="E49" s="28">
        <v>225000</v>
      </c>
      <c r="F49" s="29">
        <v>3218.625</v>
      </c>
      <c r="G49" s="30">
        <v>6.1466699999999999E-3</v>
      </c>
      <c r="H49" s="25" t="s">
        <v>148</v>
      </c>
    </row>
    <row r="50" spans="1:8" x14ac:dyDescent="0.2">
      <c r="A50" s="26">
        <v>44</v>
      </c>
      <c r="B50" s="27" t="s">
        <v>55</v>
      </c>
      <c r="C50" s="27" t="s">
        <v>56</v>
      </c>
      <c r="D50" s="27" t="s">
        <v>22</v>
      </c>
      <c r="E50" s="28">
        <v>925000</v>
      </c>
      <c r="F50" s="29">
        <v>3137.6</v>
      </c>
      <c r="G50" s="30">
        <v>5.9919400000000003E-3</v>
      </c>
      <c r="H50" s="25" t="s">
        <v>148</v>
      </c>
    </row>
    <row r="51" spans="1:8" x14ac:dyDescent="0.2">
      <c r="A51" s="26">
        <v>45</v>
      </c>
      <c r="B51" s="27" t="s">
        <v>208</v>
      </c>
      <c r="C51" s="27" t="s">
        <v>209</v>
      </c>
      <c r="D51" s="27" t="s">
        <v>210</v>
      </c>
      <c r="E51" s="28">
        <v>500000</v>
      </c>
      <c r="F51" s="29">
        <v>3063.5</v>
      </c>
      <c r="G51" s="30">
        <v>5.8504300000000002E-3</v>
      </c>
      <c r="H51" s="25" t="s">
        <v>148</v>
      </c>
    </row>
    <row r="52" spans="1:8" x14ac:dyDescent="0.2">
      <c r="A52" s="26">
        <v>46</v>
      </c>
      <c r="B52" s="27" t="s">
        <v>338</v>
      </c>
      <c r="C52" s="27" t="s">
        <v>339</v>
      </c>
      <c r="D52" s="27" t="s">
        <v>229</v>
      </c>
      <c r="E52" s="28">
        <v>1330000</v>
      </c>
      <c r="F52" s="29">
        <v>2953.93</v>
      </c>
      <c r="G52" s="30">
        <v>5.64118E-3</v>
      </c>
      <c r="H52" s="25" t="s">
        <v>148</v>
      </c>
    </row>
    <row r="53" spans="1:8" x14ac:dyDescent="0.2">
      <c r="A53" s="26">
        <v>47</v>
      </c>
      <c r="B53" s="27" t="s">
        <v>536</v>
      </c>
      <c r="C53" s="27" t="s">
        <v>537</v>
      </c>
      <c r="D53" s="27" t="s">
        <v>69</v>
      </c>
      <c r="E53" s="28">
        <v>289043</v>
      </c>
      <c r="F53" s="29">
        <v>2830.1645345000002</v>
      </c>
      <c r="G53" s="30">
        <v>5.4048200000000003E-3</v>
      </c>
      <c r="H53" s="25" t="s">
        <v>148</v>
      </c>
    </row>
    <row r="54" spans="1:8" x14ac:dyDescent="0.2">
      <c r="A54" s="26">
        <v>48</v>
      </c>
      <c r="B54" s="27" t="s">
        <v>67</v>
      </c>
      <c r="C54" s="27" t="s">
        <v>68</v>
      </c>
      <c r="D54" s="27" t="s">
        <v>69</v>
      </c>
      <c r="E54" s="28">
        <v>62642</v>
      </c>
      <c r="F54" s="29">
        <v>2820.0488770000002</v>
      </c>
      <c r="G54" s="30">
        <v>5.3854999999999997E-3</v>
      </c>
      <c r="H54" s="25" t="s">
        <v>148</v>
      </c>
    </row>
    <row r="55" spans="1:8" x14ac:dyDescent="0.2">
      <c r="A55" s="26">
        <v>49</v>
      </c>
      <c r="B55" s="27" t="s">
        <v>99</v>
      </c>
      <c r="C55" s="27" t="s">
        <v>100</v>
      </c>
      <c r="D55" s="27" t="s">
        <v>69</v>
      </c>
      <c r="E55" s="28">
        <v>85500</v>
      </c>
      <c r="F55" s="29">
        <v>2617.3687500000001</v>
      </c>
      <c r="G55" s="30">
        <v>4.9984399999999998E-3</v>
      </c>
      <c r="H55" s="25" t="s">
        <v>148</v>
      </c>
    </row>
    <row r="56" spans="1:8" x14ac:dyDescent="0.2">
      <c r="A56" s="26">
        <v>50</v>
      </c>
      <c r="B56" s="27" t="s">
        <v>364</v>
      </c>
      <c r="C56" s="27" t="s">
        <v>365</v>
      </c>
      <c r="D56" s="27" t="s">
        <v>275</v>
      </c>
      <c r="E56" s="28">
        <v>400000</v>
      </c>
      <c r="F56" s="29">
        <v>2482.6</v>
      </c>
      <c r="G56" s="30">
        <v>4.74107E-3</v>
      </c>
      <c r="H56" s="25" t="s">
        <v>148</v>
      </c>
    </row>
    <row r="57" spans="1:8" x14ac:dyDescent="0.2">
      <c r="A57" s="26">
        <v>51</v>
      </c>
      <c r="B57" s="27" t="s">
        <v>306</v>
      </c>
      <c r="C57" s="27" t="s">
        <v>307</v>
      </c>
      <c r="D57" s="27" t="s">
        <v>69</v>
      </c>
      <c r="E57" s="28">
        <v>99022</v>
      </c>
      <c r="F57" s="29">
        <v>2438.0701730000001</v>
      </c>
      <c r="G57" s="30">
        <v>4.6560300000000002E-3</v>
      </c>
      <c r="H57" s="25" t="s">
        <v>148</v>
      </c>
    </row>
    <row r="58" spans="1:8" x14ac:dyDescent="0.2">
      <c r="A58" s="26">
        <v>52</v>
      </c>
      <c r="B58" s="27" t="s">
        <v>65</v>
      </c>
      <c r="C58" s="27" t="s">
        <v>66</v>
      </c>
      <c r="D58" s="27" t="s">
        <v>13</v>
      </c>
      <c r="E58" s="28">
        <v>748686</v>
      </c>
      <c r="F58" s="29">
        <v>2420.8761810000001</v>
      </c>
      <c r="G58" s="30">
        <v>4.6231900000000001E-3</v>
      </c>
      <c r="H58" s="25" t="s">
        <v>148</v>
      </c>
    </row>
    <row r="59" spans="1:8" x14ac:dyDescent="0.2">
      <c r="A59" s="26">
        <v>53</v>
      </c>
      <c r="B59" s="27" t="s">
        <v>314</v>
      </c>
      <c r="C59" s="27" t="s">
        <v>315</v>
      </c>
      <c r="D59" s="27" t="s">
        <v>232</v>
      </c>
      <c r="E59" s="28">
        <v>300000</v>
      </c>
      <c r="F59" s="29">
        <v>2148.3000000000002</v>
      </c>
      <c r="G59" s="30">
        <v>4.1026500000000002E-3</v>
      </c>
      <c r="H59" s="25" t="s">
        <v>148</v>
      </c>
    </row>
    <row r="60" spans="1:8" x14ac:dyDescent="0.2">
      <c r="A60" s="26">
        <v>54</v>
      </c>
      <c r="B60" s="27" t="s">
        <v>36</v>
      </c>
      <c r="C60" s="27" t="s">
        <v>37</v>
      </c>
      <c r="D60" s="27" t="s">
        <v>25</v>
      </c>
      <c r="E60" s="28">
        <v>46710</v>
      </c>
      <c r="F60" s="29">
        <v>2050.2653850000002</v>
      </c>
      <c r="G60" s="30">
        <v>3.9154300000000001E-3</v>
      </c>
      <c r="H60" s="25" t="s">
        <v>148</v>
      </c>
    </row>
    <row r="61" spans="1:8" x14ac:dyDescent="0.2">
      <c r="A61" s="26">
        <v>55</v>
      </c>
      <c r="B61" s="27" t="s">
        <v>253</v>
      </c>
      <c r="C61" s="27" t="s">
        <v>254</v>
      </c>
      <c r="D61" s="27" t="s">
        <v>205</v>
      </c>
      <c r="E61" s="28">
        <v>26082</v>
      </c>
      <c r="F61" s="29">
        <v>1920.1959629999999</v>
      </c>
      <c r="G61" s="30">
        <v>3.6670399999999999E-3</v>
      </c>
      <c r="H61" s="25" t="s">
        <v>148</v>
      </c>
    </row>
    <row r="62" spans="1:8" x14ac:dyDescent="0.2">
      <c r="A62" s="26">
        <v>56</v>
      </c>
      <c r="B62" s="27" t="s">
        <v>538</v>
      </c>
      <c r="C62" s="27" t="s">
        <v>539</v>
      </c>
      <c r="D62" s="27" t="s">
        <v>45</v>
      </c>
      <c r="E62" s="28">
        <v>1050000</v>
      </c>
      <c r="F62" s="29">
        <v>1793.2950000000001</v>
      </c>
      <c r="G62" s="30">
        <v>3.4246900000000002E-3</v>
      </c>
      <c r="H62" s="25" t="s">
        <v>148</v>
      </c>
    </row>
    <row r="63" spans="1:8" x14ac:dyDescent="0.2">
      <c r="A63" s="26">
        <v>57</v>
      </c>
      <c r="B63" s="27" t="s">
        <v>271</v>
      </c>
      <c r="C63" s="27" t="s">
        <v>272</v>
      </c>
      <c r="D63" s="27" t="s">
        <v>45</v>
      </c>
      <c r="E63" s="28">
        <v>37500</v>
      </c>
      <c r="F63" s="29">
        <v>1767.5250000000001</v>
      </c>
      <c r="G63" s="30">
        <v>3.3754800000000001E-3</v>
      </c>
      <c r="H63" s="25" t="s">
        <v>148</v>
      </c>
    </row>
    <row r="64" spans="1:8" x14ac:dyDescent="0.2">
      <c r="A64" s="26">
        <v>58</v>
      </c>
      <c r="B64" s="27" t="s">
        <v>92</v>
      </c>
      <c r="C64" s="27" t="s">
        <v>93</v>
      </c>
      <c r="D64" s="27" t="s">
        <v>94</v>
      </c>
      <c r="E64" s="28">
        <v>1100000</v>
      </c>
      <c r="F64" s="29">
        <v>1716.44</v>
      </c>
      <c r="G64" s="30">
        <v>3.2779200000000001E-3</v>
      </c>
      <c r="H64" s="25" t="s">
        <v>148</v>
      </c>
    </row>
    <row r="65" spans="1:8" x14ac:dyDescent="0.2">
      <c r="A65" s="26">
        <v>59</v>
      </c>
      <c r="B65" s="27" t="s">
        <v>249</v>
      </c>
      <c r="C65" s="27" t="s">
        <v>250</v>
      </c>
      <c r="D65" s="27" t="s">
        <v>205</v>
      </c>
      <c r="E65" s="28">
        <v>75625</v>
      </c>
      <c r="F65" s="29">
        <v>1699.4828124999999</v>
      </c>
      <c r="G65" s="30">
        <v>3.2455399999999999E-3</v>
      </c>
      <c r="H65" s="25" t="s">
        <v>148</v>
      </c>
    </row>
    <row r="66" spans="1:8" x14ac:dyDescent="0.2">
      <c r="A66" s="26">
        <v>60</v>
      </c>
      <c r="B66" s="27" t="s">
        <v>125</v>
      </c>
      <c r="C66" s="27" t="s">
        <v>126</v>
      </c>
      <c r="D66" s="27" t="s">
        <v>64</v>
      </c>
      <c r="E66" s="28">
        <v>675000</v>
      </c>
      <c r="F66" s="29">
        <v>1686.4875</v>
      </c>
      <c r="G66" s="30">
        <v>3.2207199999999998E-3</v>
      </c>
      <c r="H66" s="25" t="s">
        <v>148</v>
      </c>
    </row>
    <row r="67" spans="1:8" x14ac:dyDescent="0.2">
      <c r="A67" s="26">
        <v>61</v>
      </c>
      <c r="B67" s="27" t="s">
        <v>236</v>
      </c>
      <c r="C67" s="27" t="s">
        <v>237</v>
      </c>
      <c r="D67" s="27" t="s">
        <v>69</v>
      </c>
      <c r="E67" s="28">
        <v>450000</v>
      </c>
      <c r="F67" s="29">
        <v>1684.35</v>
      </c>
      <c r="G67" s="30">
        <v>3.2166400000000002E-3</v>
      </c>
      <c r="H67" s="25" t="s">
        <v>148</v>
      </c>
    </row>
    <row r="68" spans="1:8" x14ac:dyDescent="0.2">
      <c r="A68" s="26">
        <v>62</v>
      </c>
      <c r="B68" s="27" t="s">
        <v>127</v>
      </c>
      <c r="C68" s="27" t="s">
        <v>128</v>
      </c>
      <c r="D68" s="27" t="s">
        <v>45</v>
      </c>
      <c r="E68" s="28">
        <v>290000</v>
      </c>
      <c r="F68" s="29">
        <v>1670.69</v>
      </c>
      <c r="G68" s="30">
        <v>3.1905499999999999E-3</v>
      </c>
      <c r="H68" s="25" t="s">
        <v>148</v>
      </c>
    </row>
    <row r="69" spans="1:8" x14ac:dyDescent="0.2">
      <c r="A69" s="26">
        <v>63</v>
      </c>
      <c r="B69" s="27" t="s">
        <v>374</v>
      </c>
      <c r="C69" s="27" t="s">
        <v>375</v>
      </c>
      <c r="D69" s="27" t="s">
        <v>376</v>
      </c>
      <c r="E69" s="28">
        <v>440000</v>
      </c>
      <c r="F69" s="29">
        <v>1625.14</v>
      </c>
      <c r="G69" s="30">
        <v>3.10356E-3</v>
      </c>
      <c r="H69" s="25" t="s">
        <v>148</v>
      </c>
    </row>
    <row r="70" spans="1:8" x14ac:dyDescent="0.2">
      <c r="A70" s="26">
        <v>64</v>
      </c>
      <c r="B70" s="27" t="s">
        <v>114</v>
      </c>
      <c r="C70" s="27" t="s">
        <v>115</v>
      </c>
      <c r="D70" s="27" t="s">
        <v>45</v>
      </c>
      <c r="E70" s="28">
        <v>107500</v>
      </c>
      <c r="F70" s="29">
        <v>1545.68875</v>
      </c>
      <c r="G70" s="30">
        <v>2.9518299999999999E-3</v>
      </c>
      <c r="H70" s="25" t="s">
        <v>148</v>
      </c>
    </row>
    <row r="71" spans="1:8" x14ac:dyDescent="0.2">
      <c r="A71" s="26">
        <v>65</v>
      </c>
      <c r="B71" s="27" t="s">
        <v>500</v>
      </c>
      <c r="C71" s="27" t="s">
        <v>501</v>
      </c>
      <c r="D71" s="27" t="s">
        <v>240</v>
      </c>
      <c r="E71" s="28">
        <v>78363</v>
      </c>
      <c r="F71" s="29">
        <v>1296.6333795</v>
      </c>
      <c r="G71" s="30">
        <v>2.47621E-3</v>
      </c>
      <c r="H71" s="25" t="s">
        <v>148</v>
      </c>
    </row>
    <row r="72" spans="1:8" x14ac:dyDescent="0.2">
      <c r="A72" s="26">
        <v>66</v>
      </c>
      <c r="B72" s="27" t="s">
        <v>323</v>
      </c>
      <c r="C72" s="27" t="s">
        <v>324</v>
      </c>
      <c r="D72" s="27" t="s">
        <v>51</v>
      </c>
      <c r="E72" s="28">
        <v>53084</v>
      </c>
      <c r="F72" s="29">
        <v>452.434932</v>
      </c>
      <c r="G72" s="30">
        <v>8.6401999999999996E-4</v>
      </c>
      <c r="H72" s="25" t="s">
        <v>148</v>
      </c>
    </row>
    <row r="73" spans="1:8" x14ac:dyDescent="0.2">
      <c r="A73" s="23"/>
      <c r="B73" s="23"/>
      <c r="C73" s="24" t="s">
        <v>147</v>
      </c>
      <c r="D73" s="23"/>
      <c r="E73" s="23" t="s">
        <v>148</v>
      </c>
      <c r="F73" s="31">
        <f>SUM(F7:F72)</f>
        <v>362176.66563749983</v>
      </c>
      <c r="G73" s="32">
        <f>SUM(G7:G72)</f>
        <v>0.69165583000000019</v>
      </c>
      <c r="H73" s="25" t="s">
        <v>148</v>
      </c>
    </row>
    <row r="74" spans="1:8" x14ac:dyDescent="0.2">
      <c r="A74" s="23"/>
      <c r="B74" s="23"/>
      <c r="C74" s="33"/>
      <c r="D74" s="23"/>
      <c r="E74" s="23"/>
      <c r="F74" s="34"/>
      <c r="G74" s="34"/>
      <c r="H74" s="25" t="s">
        <v>148</v>
      </c>
    </row>
    <row r="75" spans="1:8" x14ac:dyDescent="0.2">
      <c r="A75" s="23"/>
      <c r="B75" s="23"/>
      <c r="C75" s="24" t="s">
        <v>149</v>
      </c>
      <c r="D75" s="23"/>
      <c r="E75" s="23"/>
      <c r="F75" s="23"/>
      <c r="G75" s="23"/>
      <c r="H75" s="25" t="s">
        <v>148</v>
      </c>
    </row>
    <row r="76" spans="1:8" x14ac:dyDescent="0.2">
      <c r="A76" s="23"/>
      <c r="B76" s="23"/>
      <c r="C76" s="24" t="s">
        <v>147</v>
      </c>
      <c r="D76" s="23"/>
      <c r="E76" s="23" t="s">
        <v>148</v>
      </c>
      <c r="F76" s="35" t="s">
        <v>150</v>
      </c>
      <c r="G76" s="32">
        <v>0</v>
      </c>
      <c r="H76" s="25" t="s">
        <v>148</v>
      </c>
    </row>
    <row r="77" spans="1:8" x14ac:dyDescent="0.2">
      <c r="A77" s="23"/>
      <c r="B77" s="23"/>
      <c r="C77" s="33"/>
      <c r="D77" s="23"/>
      <c r="E77" s="23"/>
      <c r="F77" s="34"/>
      <c r="G77" s="34"/>
      <c r="H77" s="25" t="s">
        <v>148</v>
      </c>
    </row>
    <row r="78" spans="1:8" x14ac:dyDescent="0.2">
      <c r="A78" s="23"/>
      <c r="B78" s="23"/>
      <c r="C78" s="24" t="s">
        <v>151</v>
      </c>
      <c r="D78" s="23"/>
      <c r="E78" s="23"/>
      <c r="F78" s="23"/>
      <c r="G78" s="23"/>
      <c r="H78" s="25" t="s">
        <v>148</v>
      </c>
    </row>
    <row r="79" spans="1:8" x14ac:dyDescent="0.2">
      <c r="A79" s="26">
        <v>1</v>
      </c>
      <c r="B79" s="27" t="s">
        <v>540</v>
      </c>
      <c r="C79" s="27" t="s">
        <v>921</v>
      </c>
      <c r="D79" s="27" t="s">
        <v>232</v>
      </c>
      <c r="E79" s="28">
        <v>30579</v>
      </c>
      <c r="F79" s="29">
        <v>5.3604986999999999</v>
      </c>
      <c r="G79" s="30" t="s">
        <v>146</v>
      </c>
      <c r="H79" s="25" t="s">
        <v>148</v>
      </c>
    </row>
    <row r="80" spans="1:8" x14ac:dyDescent="0.2">
      <c r="A80" s="23"/>
      <c r="B80" s="23"/>
      <c r="C80" s="24" t="s">
        <v>147</v>
      </c>
      <c r="D80" s="23"/>
      <c r="E80" s="23" t="s">
        <v>148</v>
      </c>
      <c r="F80" s="31">
        <f>SUM(F79)</f>
        <v>5.3604986999999999</v>
      </c>
      <c r="G80" s="32">
        <v>0</v>
      </c>
      <c r="H80" s="25" t="s">
        <v>148</v>
      </c>
    </row>
    <row r="81" spans="1:8" x14ac:dyDescent="0.2">
      <c r="A81" s="23"/>
      <c r="B81" s="23"/>
      <c r="C81" s="33"/>
      <c r="D81" s="23"/>
      <c r="E81" s="23"/>
      <c r="F81" s="34"/>
      <c r="G81" s="34"/>
      <c r="H81" s="25" t="s">
        <v>148</v>
      </c>
    </row>
    <row r="82" spans="1:8" x14ac:dyDescent="0.2">
      <c r="A82" s="23"/>
      <c r="B82" s="23"/>
      <c r="C82" s="24" t="s">
        <v>152</v>
      </c>
      <c r="D82" s="23"/>
      <c r="E82" s="23"/>
      <c r="F82" s="23"/>
      <c r="G82" s="23"/>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153</v>
      </c>
      <c r="D85" s="23"/>
      <c r="E85" s="23"/>
      <c r="F85" s="34"/>
      <c r="G85" s="34"/>
      <c r="H85" s="25" t="s">
        <v>148</v>
      </c>
    </row>
    <row r="86" spans="1:8" x14ac:dyDescent="0.2">
      <c r="A86" s="23"/>
      <c r="B86" s="23"/>
      <c r="C86" s="24" t="s">
        <v>147</v>
      </c>
      <c r="D86" s="23"/>
      <c r="E86" s="23" t="s">
        <v>148</v>
      </c>
      <c r="F86" s="35" t="s">
        <v>150</v>
      </c>
      <c r="G86" s="32">
        <v>0</v>
      </c>
      <c r="H86" s="25" t="s">
        <v>148</v>
      </c>
    </row>
    <row r="87" spans="1:8" x14ac:dyDescent="0.2">
      <c r="A87" s="99"/>
      <c r="B87" s="99"/>
      <c r="C87" s="58"/>
      <c r="D87" s="99"/>
      <c r="E87" s="99"/>
      <c r="F87" s="117"/>
      <c r="G87" s="103"/>
      <c r="H87" s="25" t="s">
        <v>148</v>
      </c>
    </row>
    <row r="88" spans="1:8" x14ac:dyDescent="0.2">
      <c r="A88" s="99"/>
      <c r="B88" s="99"/>
      <c r="C88" s="58" t="s">
        <v>922</v>
      </c>
      <c r="D88" s="99"/>
      <c r="E88" s="99"/>
      <c r="F88" s="99"/>
      <c r="G88" s="99"/>
      <c r="H88" s="25" t="s">
        <v>148</v>
      </c>
    </row>
    <row r="89" spans="1:8" ht="25.5" x14ac:dyDescent="0.2">
      <c r="A89" s="87">
        <v>1</v>
      </c>
      <c r="B89" s="38" t="s">
        <v>923</v>
      </c>
      <c r="C89" s="38" t="s">
        <v>924</v>
      </c>
      <c r="D89" s="38" t="s">
        <v>925</v>
      </c>
      <c r="E89" s="88">
        <v>1750</v>
      </c>
      <c r="F89" s="89">
        <v>1979.5754824999999</v>
      </c>
      <c r="G89" s="98">
        <f>F89/F185</f>
        <v>3.780433489705793E-3</v>
      </c>
      <c r="H89" s="25">
        <v>8.27</v>
      </c>
    </row>
    <row r="90" spans="1:8" x14ac:dyDescent="0.2">
      <c r="A90" s="99"/>
      <c r="B90" s="99"/>
      <c r="C90" s="58" t="s">
        <v>147</v>
      </c>
      <c r="D90" s="99"/>
      <c r="E90" s="99" t="s">
        <v>148</v>
      </c>
      <c r="F90" s="102">
        <f>SUM(F89)</f>
        <v>1979.5754824999999</v>
      </c>
      <c r="G90" s="103">
        <f>SUM(G89)</f>
        <v>3.780433489705793E-3</v>
      </c>
      <c r="H90" s="25" t="s">
        <v>148</v>
      </c>
    </row>
    <row r="91" spans="1:8" x14ac:dyDescent="0.2">
      <c r="A91" s="23"/>
      <c r="B91" s="23"/>
      <c r="C91" s="33"/>
      <c r="D91" s="23"/>
      <c r="E91" s="23"/>
      <c r="F91" s="34"/>
      <c r="G91" s="34"/>
      <c r="H91" s="25" t="s">
        <v>148</v>
      </c>
    </row>
    <row r="92" spans="1:8" x14ac:dyDescent="0.2">
      <c r="A92" s="23"/>
      <c r="B92" s="23"/>
      <c r="C92" s="24" t="s">
        <v>154</v>
      </c>
      <c r="D92" s="23"/>
      <c r="E92" s="23"/>
      <c r="F92" s="34"/>
      <c r="G92" s="34"/>
      <c r="H92" s="25" t="s">
        <v>148</v>
      </c>
    </row>
    <row r="93" spans="1:8" x14ac:dyDescent="0.2">
      <c r="A93" s="23"/>
      <c r="B93" s="23"/>
      <c r="C93" s="24" t="s">
        <v>147</v>
      </c>
      <c r="D93" s="23"/>
      <c r="E93" s="23" t="s">
        <v>148</v>
      </c>
      <c r="F93" s="35" t="s">
        <v>150</v>
      </c>
      <c r="G93" s="32">
        <v>0</v>
      </c>
      <c r="H93" s="25" t="s">
        <v>148</v>
      </c>
    </row>
    <row r="94" spans="1:8" x14ac:dyDescent="0.2">
      <c r="A94" s="23"/>
      <c r="B94" s="23"/>
      <c r="C94" s="33"/>
      <c r="D94" s="23"/>
      <c r="E94" s="23"/>
      <c r="F94" s="34"/>
      <c r="G94" s="34"/>
      <c r="H94" s="25" t="s">
        <v>148</v>
      </c>
    </row>
    <row r="95" spans="1:8" x14ac:dyDescent="0.2">
      <c r="A95" s="23"/>
      <c r="B95" s="23"/>
      <c r="C95" s="24" t="s">
        <v>155</v>
      </c>
      <c r="D95" s="23"/>
      <c r="E95" s="23"/>
      <c r="F95" s="31">
        <f>F90+F80+F73</f>
        <v>364161.60161869985</v>
      </c>
      <c r="G95" s="32">
        <f>G90+G80+G73</f>
        <v>0.695436263489706</v>
      </c>
      <c r="H95" s="25" t="s">
        <v>148</v>
      </c>
    </row>
    <row r="96" spans="1:8" x14ac:dyDescent="0.2">
      <c r="A96" s="23"/>
      <c r="B96" s="23"/>
      <c r="C96" s="33"/>
      <c r="D96" s="23"/>
      <c r="E96" s="23"/>
      <c r="F96" s="34"/>
      <c r="G96" s="34"/>
      <c r="H96" s="25" t="s">
        <v>148</v>
      </c>
    </row>
    <row r="97" spans="1:8" x14ac:dyDescent="0.2">
      <c r="A97" s="23"/>
      <c r="B97" s="23"/>
      <c r="C97" s="24" t="s">
        <v>156</v>
      </c>
      <c r="D97" s="23"/>
      <c r="E97" s="23"/>
      <c r="F97" s="34"/>
      <c r="G97" s="34"/>
      <c r="H97" s="25" t="s">
        <v>148</v>
      </c>
    </row>
    <row r="98" spans="1:8" x14ac:dyDescent="0.2">
      <c r="A98" s="23"/>
      <c r="B98" s="23"/>
      <c r="C98" s="24" t="s">
        <v>10</v>
      </c>
      <c r="D98" s="23"/>
      <c r="E98" s="23"/>
      <c r="F98" s="34"/>
      <c r="G98" s="34"/>
      <c r="H98" s="25" t="s">
        <v>148</v>
      </c>
    </row>
    <row r="99" spans="1:8" ht="25.5" x14ac:dyDescent="0.2">
      <c r="A99" s="26">
        <v>1</v>
      </c>
      <c r="B99" s="27" t="s">
        <v>541</v>
      </c>
      <c r="C99" s="27" t="s">
        <v>542</v>
      </c>
      <c r="D99" s="27" t="s">
        <v>543</v>
      </c>
      <c r="E99" s="28">
        <v>4500</v>
      </c>
      <c r="F99" s="29">
        <v>4517.5950000000003</v>
      </c>
      <c r="G99" s="30">
        <v>8.6273400000000007E-3</v>
      </c>
      <c r="H99" s="25">
        <v>7.58</v>
      </c>
    </row>
    <row r="100" spans="1:8" ht="25.5" x14ac:dyDescent="0.2">
      <c r="A100" s="26">
        <v>2</v>
      </c>
      <c r="B100" s="27" t="s">
        <v>544</v>
      </c>
      <c r="C100" s="27" t="s">
        <v>545</v>
      </c>
      <c r="D100" s="27" t="s">
        <v>546</v>
      </c>
      <c r="E100" s="28">
        <v>3500</v>
      </c>
      <c r="F100" s="29">
        <v>3495.3589999999999</v>
      </c>
      <c r="G100" s="30">
        <v>6.6751600000000003E-3</v>
      </c>
      <c r="H100" s="25">
        <v>7.63</v>
      </c>
    </row>
    <row r="101" spans="1:8" ht="25.5" x14ac:dyDescent="0.2">
      <c r="A101" s="26">
        <v>3</v>
      </c>
      <c r="B101" s="27" t="s">
        <v>547</v>
      </c>
      <c r="C101" s="27" t="s">
        <v>548</v>
      </c>
      <c r="D101" s="27" t="s">
        <v>549</v>
      </c>
      <c r="E101" s="28">
        <v>3000</v>
      </c>
      <c r="F101" s="29">
        <v>3024.6179999999999</v>
      </c>
      <c r="G101" s="30">
        <v>5.7761699999999997E-3</v>
      </c>
      <c r="H101" s="25">
        <v>8.2863000000000007</v>
      </c>
    </row>
    <row r="102" spans="1:8" x14ac:dyDescent="0.2">
      <c r="A102" s="26">
        <v>4</v>
      </c>
      <c r="B102" s="27" t="s">
        <v>550</v>
      </c>
      <c r="C102" s="27" t="s">
        <v>551</v>
      </c>
      <c r="D102" s="27" t="s">
        <v>546</v>
      </c>
      <c r="E102" s="28">
        <v>3000</v>
      </c>
      <c r="F102" s="29">
        <v>3018.2249999999999</v>
      </c>
      <c r="G102" s="30">
        <v>5.7639600000000003E-3</v>
      </c>
      <c r="H102" s="25">
        <v>7.53</v>
      </c>
    </row>
    <row r="103" spans="1:8" ht="25.5" x14ac:dyDescent="0.2">
      <c r="A103" s="26">
        <v>5</v>
      </c>
      <c r="B103" s="27" t="s">
        <v>552</v>
      </c>
      <c r="C103" s="27" t="s">
        <v>553</v>
      </c>
      <c r="D103" s="27" t="s">
        <v>546</v>
      </c>
      <c r="E103" s="28">
        <v>2500</v>
      </c>
      <c r="F103" s="29">
        <v>2600.4675000000002</v>
      </c>
      <c r="G103" s="30">
        <v>4.9661599999999998E-3</v>
      </c>
      <c r="H103" s="25">
        <v>7.33</v>
      </c>
    </row>
    <row r="104" spans="1:8" x14ac:dyDescent="0.2">
      <c r="A104" s="26">
        <v>6</v>
      </c>
      <c r="B104" s="27" t="s">
        <v>554</v>
      </c>
      <c r="C104" s="27" t="s">
        <v>555</v>
      </c>
      <c r="D104" s="27" t="s">
        <v>546</v>
      </c>
      <c r="E104" s="28">
        <v>250</v>
      </c>
      <c r="F104" s="29">
        <v>2568.6424999999999</v>
      </c>
      <c r="G104" s="30">
        <v>4.9053899999999999E-3</v>
      </c>
      <c r="H104" s="25">
        <v>7.5549999999999997</v>
      </c>
    </row>
    <row r="105" spans="1:8" ht="25.5" x14ac:dyDescent="0.2">
      <c r="A105" s="26">
        <v>7</v>
      </c>
      <c r="B105" s="27" t="s">
        <v>556</v>
      </c>
      <c r="C105" s="27" t="s">
        <v>557</v>
      </c>
      <c r="D105" s="27" t="s">
        <v>546</v>
      </c>
      <c r="E105" s="28">
        <v>2500</v>
      </c>
      <c r="F105" s="29">
        <v>2563.8150000000001</v>
      </c>
      <c r="G105" s="30">
        <v>4.89617E-3</v>
      </c>
      <c r="H105" s="25">
        <v>7.3449999999999998</v>
      </c>
    </row>
    <row r="106" spans="1:8" ht="25.5" x14ac:dyDescent="0.2">
      <c r="A106" s="26">
        <v>8</v>
      </c>
      <c r="B106" s="27" t="s">
        <v>558</v>
      </c>
      <c r="C106" s="27" t="s">
        <v>559</v>
      </c>
      <c r="D106" s="27" t="s">
        <v>546</v>
      </c>
      <c r="E106" s="28">
        <v>2500</v>
      </c>
      <c r="F106" s="29">
        <v>2511.8850000000002</v>
      </c>
      <c r="G106" s="30">
        <v>4.797E-3</v>
      </c>
      <c r="H106" s="25">
        <v>7.5549999999999997</v>
      </c>
    </row>
    <row r="107" spans="1:8" ht="25.5" x14ac:dyDescent="0.2">
      <c r="A107" s="26">
        <v>9</v>
      </c>
      <c r="B107" s="27" t="s">
        <v>560</v>
      </c>
      <c r="C107" s="27" t="s">
        <v>561</v>
      </c>
      <c r="D107" s="27" t="s">
        <v>546</v>
      </c>
      <c r="E107" s="28">
        <v>2500</v>
      </c>
      <c r="F107" s="29">
        <v>2510.5625</v>
      </c>
      <c r="G107" s="30">
        <v>4.7944700000000003E-3</v>
      </c>
      <c r="H107" s="25">
        <v>7.4824999999999999</v>
      </c>
    </row>
    <row r="108" spans="1:8" ht="25.5" x14ac:dyDescent="0.2">
      <c r="A108" s="26">
        <v>10</v>
      </c>
      <c r="B108" s="27" t="s">
        <v>562</v>
      </c>
      <c r="C108" s="27" t="s">
        <v>563</v>
      </c>
      <c r="D108" s="27" t="s">
        <v>543</v>
      </c>
      <c r="E108" s="28">
        <v>2500</v>
      </c>
      <c r="F108" s="29">
        <v>2507.2975000000001</v>
      </c>
      <c r="G108" s="30">
        <v>4.7882300000000001E-3</v>
      </c>
      <c r="H108" s="25">
        <v>7.4898999999999996</v>
      </c>
    </row>
    <row r="109" spans="1:8" x14ac:dyDescent="0.2">
      <c r="A109" s="26">
        <v>11</v>
      </c>
      <c r="B109" s="27" t="s">
        <v>564</v>
      </c>
      <c r="C109" s="27" t="s">
        <v>565</v>
      </c>
      <c r="D109" s="27" t="s">
        <v>546</v>
      </c>
      <c r="E109" s="28">
        <v>2500</v>
      </c>
      <c r="F109" s="29">
        <v>2504.5100000000002</v>
      </c>
      <c r="G109" s="30">
        <v>4.7829099999999996E-3</v>
      </c>
      <c r="H109" s="25">
        <v>7.6174999999999997</v>
      </c>
    </row>
    <row r="110" spans="1:8" x14ac:dyDescent="0.2">
      <c r="A110" s="26">
        <v>12</v>
      </c>
      <c r="B110" s="27" t="s">
        <v>566</v>
      </c>
      <c r="C110" s="27" t="s">
        <v>567</v>
      </c>
      <c r="D110" s="27" t="s">
        <v>568</v>
      </c>
      <c r="E110" s="28">
        <v>2500</v>
      </c>
      <c r="F110" s="29">
        <v>2499.5949999999998</v>
      </c>
      <c r="G110" s="30">
        <v>4.7735299999999998E-3</v>
      </c>
      <c r="H110" s="25">
        <v>8.8049999999999997</v>
      </c>
    </row>
    <row r="111" spans="1:8" ht="25.5" x14ac:dyDescent="0.2">
      <c r="A111" s="26">
        <v>13</v>
      </c>
      <c r="B111" s="27" t="s">
        <v>569</v>
      </c>
      <c r="C111" s="27" t="s">
        <v>570</v>
      </c>
      <c r="D111" s="27" t="s">
        <v>546</v>
      </c>
      <c r="E111" s="28">
        <v>2500</v>
      </c>
      <c r="F111" s="29">
        <v>2496.4324999999999</v>
      </c>
      <c r="G111" s="30">
        <v>4.7674900000000001E-3</v>
      </c>
      <c r="H111" s="25">
        <v>7.33</v>
      </c>
    </row>
    <row r="112" spans="1:8" ht="25.5" x14ac:dyDescent="0.2">
      <c r="A112" s="26">
        <v>14</v>
      </c>
      <c r="B112" s="27" t="s">
        <v>571</v>
      </c>
      <c r="C112" s="27" t="s">
        <v>572</v>
      </c>
      <c r="D112" s="27" t="s">
        <v>546</v>
      </c>
      <c r="E112" s="28">
        <v>2500</v>
      </c>
      <c r="F112" s="29">
        <v>2491.4450000000002</v>
      </c>
      <c r="G112" s="30">
        <v>4.7579600000000003E-3</v>
      </c>
      <c r="H112" s="25">
        <v>7.63</v>
      </c>
    </row>
    <row r="113" spans="1:8" x14ac:dyDescent="0.2">
      <c r="A113" s="26">
        <v>15</v>
      </c>
      <c r="B113" s="27" t="s">
        <v>573</v>
      </c>
      <c r="C113" s="27" t="s">
        <v>574</v>
      </c>
      <c r="D113" s="27" t="s">
        <v>546</v>
      </c>
      <c r="E113" s="28">
        <v>2000</v>
      </c>
      <c r="F113" s="29">
        <v>2015.402</v>
      </c>
      <c r="G113" s="30">
        <v>3.84885E-3</v>
      </c>
      <c r="H113" s="25">
        <v>7.7450000000000001</v>
      </c>
    </row>
    <row r="114" spans="1:8" ht="25.5" x14ac:dyDescent="0.2">
      <c r="A114" s="26">
        <v>16</v>
      </c>
      <c r="B114" s="27" t="s">
        <v>575</v>
      </c>
      <c r="C114" s="27" t="s">
        <v>576</v>
      </c>
      <c r="D114" s="27" t="s">
        <v>546</v>
      </c>
      <c r="E114" s="28">
        <v>2000</v>
      </c>
      <c r="F114" s="29">
        <v>2005.396</v>
      </c>
      <c r="G114" s="30">
        <v>3.8297399999999999E-3</v>
      </c>
      <c r="H114" s="25">
        <v>7.38</v>
      </c>
    </row>
    <row r="115" spans="1:8" ht="25.5" x14ac:dyDescent="0.2">
      <c r="A115" s="26">
        <v>17</v>
      </c>
      <c r="B115" s="27" t="s">
        <v>577</v>
      </c>
      <c r="C115" s="27" t="s">
        <v>578</v>
      </c>
      <c r="D115" s="27" t="s">
        <v>546</v>
      </c>
      <c r="E115" s="28">
        <v>2000</v>
      </c>
      <c r="F115" s="29">
        <v>2003.018</v>
      </c>
      <c r="G115" s="30">
        <v>3.8252E-3</v>
      </c>
      <c r="H115" s="25">
        <v>7.5575000000000001</v>
      </c>
    </row>
    <row r="116" spans="1:8" x14ac:dyDescent="0.2">
      <c r="A116" s="26">
        <v>18</v>
      </c>
      <c r="B116" s="27" t="s">
        <v>579</v>
      </c>
      <c r="C116" s="27" t="s">
        <v>580</v>
      </c>
      <c r="D116" s="27" t="s">
        <v>543</v>
      </c>
      <c r="E116" s="28">
        <v>2000</v>
      </c>
      <c r="F116" s="29">
        <v>2001.5039999999999</v>
      </c>
      <c r="G116" s="30">
        <v>3.8223100000000002E-3</v>
      </c>
      <c r="H116" s="25">
        <v>7.4950000000000001</v>
      </c>
    </row>
    <row r="117" spans="1:8" ht="25.5" x14ac:dyDescent="0.2">
      <c r="A117" s="26">
        <v>19</v>
      </c>
      <c r="B117" s="27" t="s">
        <v>581</v>
      </c>
      <c r="C117" s="27" t="s">
        <v>582</v>
      </c>
      <c r="D117" s="27" t="s">
        <v>546</v>
      </c>
      <c r="E117" s="28">
        <v>1500</v>
      </c>
      <c r="F117" s="29">
        <v>1554.4365</v>
      </c>
      <c r="G117" s="30">
        <v>2.96854E-3</v>
      </c>
      <c r="H117" s="25">
        <v>7.2965999999999998</v>
      </c>
    </row>
    <row r="118" spans="1:8" ht="25.5" x14ac:dyDescent="0.2">
      <c r="A118" s="26">
        <v>20</v>
      </c>
      <c r="B118" s="27" t="s">
        <v>583</v>
      </c>
      <c r="C118" s="27" t="s">
        <v>584</v>
      </c>
      <c r="D118" s="27" t="s">
        <v>546</v>
      </c>
      <c r="E118" s="28">
        <v>1500</v>
      </c>
      <c r="F118" s="29">
        <v>1527.5235</v>
      </c>
      <c r="G118" s="30">
        <v>2.9171399999999999E-3</v>
      </c>
      <c r="H118" s="25">
        <v>7.4850000000000003</v>
      </c>
    </row>
    <row r="119" spans="1:8" ht="25.5" x14ac:dyDescent="0.2">
      <c r="A119" s="26">
        <v>21</v>
      </c>
      <c r="B119" s="27" t="s">
        <v>585</v>
      </c>
      <c r="C119" s="27" t="s">
        <v>586</v>
      </c>
      <c r="D119" s="27" t="s">
        <v>546</v>
      </c>
      <c r="E119" s="28">
        <v>1500</v>
      </c>
      <c r="F119" s="29">
        <v>1512.7349999999999</v>
      </c>
      <c r="G119" s="30">
        <v>2.8888999999999998E-3</v>
      </c>
      <c r="H119" s="25">
        <v>7.4507000000000003</v>
      </c>
    </row>
    <row r="120" spans="1:8" ht="25.5" x14ac:dyDescent="0.2">
      <c r="A120" s="26">
        <v>22</v>
      </c>
      <c r="B120" s="27" t="s">
        <v>587</v>
      </c>
      <c r="C120" s="27" t="s">
        <v>588</v>
      </c>
      <c r="D120" s="27" t="s">
        <v>546</v>
      </c>
      <c r="E120" s="28">
        <v>1500</v>
      </c>
      <c r="F120" s="29">
        <v>1506.5070000000001</v>
      </c>
      <c r="G120" s="30">
        <v>2.8770100000000002E-3</v>
      </c>
      <c r="H120" s="25">
        <v>7.2850000000000001</v>
      </c>
    </row>
    <row r="121" spans="1:8" ht="25.5" x14ac:dyDescent="0.2">
      <c r="A121" s="26">
        <v>23</v>
      </c>
      <c r="B121" s="27" t="s">
        <v>589</v>
      </c>
      <c r="C121" s="27" t="s">
        <v>590</v>
      </c>
      <c r="D121" s="27" t="s">
        <v>546</v>
      </c>
      <c r="E121" s="28">
        <v>1500</v>
      </c>
      <c r="F121" s="29">
        <v>1503.9345000000001</v>
      </c>
      <c r="G121" s="30">
        <v>2.8720899999999999E-3</v>
      </c>
      <c r="H121" s="25">
        <v>7.6</v>
      </c>
    </row>
    <row r="122" spans="1:8" x14ac:dyDescent="0.2">
      <c r="A122" s="26">
        <v>24</v>
      </c>
      <c r="B122" s="27" t="s">
        <v>591</v>
      </c>
      <c r="C122" s="27" t="s">
        <v>592</v>
      </c>
      <c r="D122" s="27" t="s">
        <v>546</v>
      </c>
      <c r="E122" s="28">
        <v>1500</v>
      </c>
      <c r="F122" s="29">
        <v>1499.538</v>
      </c>
      <c r="G122" s="30">
        <v>2.8636999999999998E-3</v>
      </c>
      <c r="H122" s="25">
        <v>8.125</v>
      </c>
    </row>
    <row r="123" spans="1:8" ht="25.5" x14ac:dyDescent="0.2">
      <c r="A123" s="26">
        <v>25</v>
      </c>
      <c r="B123" s="27" t="s">
        <v>593</v>
      </c>
      <c r="C123" s="27" t="s">
        <v>594</v>
      </c>
      <c r="D123" s="27" t="s">
        <v>546</v>
      </c>
      <c r="E123" s="28">
        <v>150</v>
      </c>
      <c r="F123" s="29">
        <v>1496.0445</v>
      </c>
      <c r="G123" s="30">
        <v>2.85703E-3</v>
      </c>
      <c r="H123" s="25">
        <v>7.7350000000000003</v>
      </c>
    </row>
    <row r="124" spans="1:8" x14ac:dyDescent="0.2">
      <c r="A124" s="26">
        <v>26</v>
      </c>
      <c r="B124" s="27" t="s">
        <v>595</v>
      </c>
      <c r="C124" s="27" t="s">
        <v>596</v>
      </c>
      <c r="D124" s="27" t="s">
        <v>546</v>
      </c>
      <c r="E124" s="28">
        <v>150</v>
      </c>
      <c r="F124" s="29">
        <v>1466.8544999999999</v>
      </c>
      <c r="G124" s="30">
        <v>2.8012800000000002E-3</v>
      </c>
      <c r="H124" s="25">
        <v>7.7350000000000003</v>
      </c>
    </row>
    <row r="125" spans="1:8" ht="25.5" x14ac:dyDescent="0.2">
      <c r="A125" s="26">
        <v>27</v>
      </c>
      <c r="B125" s="27" t="s">
        <v>597</v>
      </c>
      <c r="C125" s="27" t="s">
        <v>598</v>
      </c>
      <c r="D125" s="27" t="s">
        <v>546</v>
      </c>
      <c r="E125" s="28">
        <v>1000</v>
      </c>
      <c r="F125" s="29">
        <v>1002.957</v>
      </c>
      <c r="G125" s="30">
        <v>1.91537E-3</v>
      </c>
      <c r="H125" s="25">
        <v>7.56</v>
      </c>
    </row>
    <row r="126" spans="1:8" x14ac:dyDescent="0.2">
      <c r="A126" s="26">
        <v>28</v>
      </c>
      <c r="B126" s="27" t="s">
        <v>599</v>
      </c>
      <c r="C126" s="27" t="s">
        <v>600</v>
      </c>
      <c r="D126" s="27" t="s">
        <v>601</v>
      </c>
      <c r="E126" s="28">
        <v>1000</v>
      </c>
      <c r="F126" s="29">
        <v>1000.934</v>
      </c>
      <c r="G126" s="30">
        <v>1.9115E-3</v>
      </c>
      <c r="H126" s="25">
        <v>8.0950000000000006</v>
      </c>
    </row>
    <row r="127" spans="1:8" x14ac:dyDescent="0.2">
      <c r="A127" s="26">
        <v>29</v>
      </c>
      <c r="B127" s="27" t="s">
        <v>602</v>
      </c>
      <c r="C127" s="27" t="s">
        <v>603</v>
      </c>
      <c r="D127" s="27" t="s">
        <v>546</v>
      </c>
      <c r="E127" s="28">
        <v>1000</v>
      </c>
      <c r="F127" s="29">
        <v>998.42399999999998</v>
      </c>
      <c r="G127" s="30">
        <v>1.90671E-3</v>
      </c>
      <c r="H127" s="25">
        <v>7.58</v>
      </c>
    </row>
    <row r="128" spans="1:8" x14ac:dyDescent="0.2">
      <c r="A128" s="26">
        <v>30</v>
      </c>
      <c r="B128" s="27" t="s">
        <v>604</v>
      </c>
      <c r="C128" s="27" t="s">
        <v>605</v>
      </c>
      <c r="D128" s="27" t="s">
        <v>546</v>
      </c>
      <c r="E128" s="28">
        <v>1000</v>
      </c>
      <c r="F128" s="29">
        <v>998.024</v>
      </c>
      <c r="G128" s="30">
        <v>1.90595E-3</v>
      </c>
      <c r="H128" s="25">
        <v>7.6</v>
      </c>
    </row>
    <row r="129" spans="1:8" x14ac:dyDescent="0.2">
      <c r="A129" s="26">
        <v>31</v>
      </c>
      <c r="B129" s="27" t="s">
        <v>606</v>
      </c>
      <c r="C129" s="27" t="s">
        <v>607</v>
      </c>
      <c r="D129" s="27" t="s">
        <v>546</v>
      </c>
      <c r="E129" s="28">
        <v>1000</v>
      </c>
      <c r="F129" s="29">
        <v>995.875</v>
      </c>
      <c r="G129" s="30">
        <v>1.9018399999999999E-3</v>
      </c>
      <c r="H129" s="25">
        <v>7.53</v>
      </c>
    </row>
    <row r="130" spans="1:8" x14ac:dyDescent="0.2">
      <c r="A130" s="23"/>
      <c r="B130" s="23"/>
      <c r="C130" s="24" t="s">
        <v>147</v>
      </c>
      <c r="D130" s="23"/>
      <c r="E130" s="23" t="s">
        <v>148</v>
      </c>
      <c r="F130" s="31">
        <v>64399.557000000001</v>
      </c>
      <c r="G130" s="32">
        <v>0.1229851</v>
      </c>
      <c r="H130" s="25" t="s">
        <v>148</v>
      </c>
    </row>
    <row r="131" spans="1:8" x14ac:dyDescent="0.2">
      <c r="A131" s="23"/>
      <c r="B131" s="23"/>
      <c r="C131" s="33"/>
      <c r="D131" s="23"/>
      <c r="E131" s="23"/>
      <c r="F131" s="34"/>
      <c r="G131" s="34"/>
      <c r="H131" s="25" t="s">
        <v>148</v>
      </c>
    </row>
    <row r="132" spans="1:8" x14ac:dyDescent="0.2">
      <c r="A132" s="23"/>
      <c r="B132" s="23"/>
      <c r="C132" s="24" t="s">
        <v>157</v>
      </c>
      <c r="D132" s="23"/>
      <c r="E132" s="23"/>
      <c r="F132" s="23"/>
      <c r="G132" s="23"/>
      <c r="H132" s="25" t="s">
        <v>148</v>
      </c>
    </row>
    <row r="133" spans="1:8" x14ac:dyDescent="0.2">
      <c r="A133" s="23"/>
      <c r="B133" s="23"/>
      <c r="C133" s="24" t="s">
        <v>147</v>
      </c>
      <c r="D133" s="23"/>
      <c r="E133" s="23" t="s">
        <v>148</v>
      </c>
      <c r="F133" s="35" t="s">
        <v>150</v>
      </c>
      <c r="G133" s="32">
        <v>0</v>
      </c>
      <c r="H133" s="25" t="s">
        <v>148</v>
      </c>
    </row>
    <row r="134" spans="1:8" x14ac:dyDescent="0.2">
      <c r="A134" s="23"/>
      <c r="B134" s="23"/>
      <c r="C134" s="33"/>
      <c r="D134" s="23"/>
      <c r="E134" s="23"/>
      <c r="F134" s="34"/>
      <c r="G134" s="34"/>
      <c r="H134" s="25" t="s">
        <v>148</v>
      </c>
    </row>
    <row r="135" spans="1:8" x14ac:dyDescent="0.2">
      <c r="A135" s="23"/>
      <c r="B135" s="23"/>
      <c r="C135" s="24" t="s">
        <v>158</v>
      </c>
      <c r="D135" s="23"/>
      <c r="E135" s="23"/>
      <c r="F135" s="23"/>
      <c r="G135" s="23"/>
      <c r="H135" s="25" t="s">
        <v>148</v>
      </c>
    </row>
    <row r="136" spans="1:8" x14ac:dyDescent="0.2">
      <c r="A136" s="26">
        <v>1</v>
      </c>
      <c r="B136" s="27" t="s">
        <v>608</v>
      </c>
      <c r="C136" s="27" t="s">
        <v>609</v>
      </c>
      <c r="D136" s="27" t="s">
        <v>521</v>
      </c>
      <c r="E136" s="28">
        <v>30000000</v>
      </c>
      <c r="F136" s="29">
        <v>30640.5</v>
      </c>
      <c r="G136" s="30">
        <v>5.8514749999999997E-2</v>
      </c>
      <c r="H136" s="25">
        <v>6.8952999999999998</v>
      </c>
    </row>
    <row r="137" spans="1:8" x14ac:dyDescent="0.2">
      <c r="A137" s="26">
        <v>2</v>
      </c>
      <c r="B137" s="27" t="s">
        <v>610</v>
      </c>
      <c r="C137" s="27" t="s">
        <v>1084</v>
      </c>
      <c r="D137" s="27" t="s">
        <v>521</v>
      </c>
      <c r="E137" s="28">
        <v>10000000</v>
      </c>
      <c r="F137" s="29">
        <v>10281.530000000001</v>
      </c>
      <c r="G137" s="30">
        <v>1.9634840000000001E-2</v>
      </c>
      <c r="H137" s="25">
        <v>7.0327999999999999</v>
      </c>
    </row>
    <row r="138" spans="1:8" x14ac:dyDescent="0.2">
      <c r="A138" s="26">
        <v>3</v>
      </c>
      <c r="B138" s="27" t="s">
        <v>611</v>
      </c>
      <c r="C138" s="27" t="s">
        <v>612</v>
      </c>
      <c r="D138" s="27" t="s">
        <v>521</v>
      </c>
      <c r="E138" s="28">
        <v>3000000</v>
      </c>
      <c r="F138" s="29">
        <v>3073.4279999999999</v>
      </c>
      <c r="G138" s="30">
        <v>5.8693900000000004E-3</v>
      </c>
      <c r="H138" s="25">
        <v>7.2798999999999996</v>
      </c>
    </row>
    <row r="139" spans="1:8" x14ac:dyDescent="0.2">
      <c r="A139" s="26">
        <v>4</v>
      </c>
      <c r="B139" s="27" t="s">
        <v>613</v>
      </c>
      <c r="C139" s="27" t="s">
        <v>614</v>
      </c>
      <c r="D139" s="27" t="s">
        <v>521</v>
      </c>
      <c r="E139" s="28">
        <v>3000000</v>
      </c>
      <c r="F139" s="29">
        <v>3065.6010000000001</v>
      </c>
      <c r="G139" s="30">
        <v>5.8544399999999998E-3</v>
      </c>
      <c r="H139" s="25">
        <v>7.0327999999999999</v>
      </c>
    </row>
    <row r="140" spans="1:8" x14ac:dyDescent="0.2">
      <c r="A140" s="26">
        <v>5</v>
      </c>
      <c r="B140" s="27" t="s">
        <v>615</v>
      </c>
      <c r="C140" s="27" t="s">
        <v>616</v>
      </c>
      <c r="D140" s="27" t="s">
        <v>521</v>
      </c>
      <c r="E140" s="28">
        <v>2500000</v>
      </c>
      <c r="F140" s="29">
        <v>2553.4775</v>
      </c>
      <c r="G140" s="30">
        <v>4.8764300000000002E-3</v>
      </c>
      <c r="H140" s="25">
        <v>7.2488000000000001</v>
      </c>
    </row>
    <row r="141" spans="1:8" x14ac:dyDescent="0.2">
      <c r="A141" s="26">
        <v>6</v>
      </c>
      <c r="B141" s="27" t="s">
        <v>617</v>
      </c>
      <c r="C141" s="27" t="s">
        <v>1083</v>
      </c>
      <c r="D141" s="27" t="s">
        <v>521</v>
      </c>
      <c r="E141" s="28">
        <v>2500000</v>
      </c>
      <c r="F141" s="29">
        <v>2541.71</v>
      </c>
      <c r="G141" s="30">
        <v>4.8539500000000001E-3</v>
      </c>
      <c r="H141" s="25">
        <v>6.7382999999999997</v>
      </c>
    </row>
    <row r="142" spans="1:8" ht="25.5" x14ac:dyDescent="0.2">
      <c r="A142" s="26">
        <v>7</v>
      </c>
      <c r="B142" s="27" t="s">
        <v>618</v>
      </c>
      <c r="C142" s="27" t="s">
        <v>619</v>
      </c>
      <c r="D142" s="27" t="s">
        <v>521</v>
      </c>
      <c r="E142" s="28">
        <v>2000000</v>
      </c>
      <c r="F142" s="29">
        <v>2037.816</v>
      </c>
      <c r="G142" s="30">
        <v>3.8916599999999999E-3</v>
      </c>
      <c r="H142" s="25">
        <v>6.7743000000000002</v>
      </c>
    </row>
    <row r="143" spans="1:8" x14ac:dyDescent="0.2">
      <c r="A143" s="26">
        <v>8</v>
      </c>
      <c r="B143" s="27" t="s">
        <v>620</v>
      </c>
      <c r="C143" s="27" t="s">
        <v>621</v>
      </c>
      <c r="D143" s="27" t="s">
        <v>521</v>
      </c>
      <c r="E143" s="28">
        <v>1500000</v>
      </c>
      <c r="F143" s="29">
        <v>1522.4055000000001</v>
      </c>
      <c r="G143" s="30">
        <v>2.9073699999999998E-3</v>
      </c>
      <c r="H143" s="25">
        <v>6.8353999999999999</v>
      </c>
    </row>
    <row r="144" spans="1:8" ht="25.5" x14ac:dyDescent="0.2">
      <c r="A144" s="26">
        <v>9</v>
      </c>
      <c r="B144" s="27" t="s">
        <v>622</v>
      </c>
      <c r="C144" s="38" t="s">
        <v>926</v>
      </c>
      <c r="D144" s="27" t="s">
        <v>521</v>
      </c>
      <c r="E144" s="28">
        <v>1500000</v>
      </c>
      <c r="F144" s="29">
        <v>1508.1315</v>
      </c>
      <c r="G144" s="30">
        <v>2.88011E-3</v>
      </c>
      <c r="H144" s="25">
        <v>7.0515776214481294</v>
      </c>
    </row>
    <row r="145" spans="1:8" ht="25.5" x14ac:dyDescent="0.2">
      <c r="A145" s="26">
        <v>10</v>
      </c>
      <c r="B145" s="27" t="s">
        <v>623</v>
      </c>
      <c r="C145" s="27" t="s">
        <v>624</v>
      </c>
      <c r="D145" s="27" t="s">
        <v>521</v>
      </c>
      <c r="E145" s="28">
        <v>1270000</v>
      </c>
      <c r="F145" s="29">
        <v>1292.9476299999999</v>
      </c>
      <c r="G145" s="30">
        <v>2.4691700000000001E-3</v>
      </c>
      <c r="H145" s="25">
        <v>7.2927</v>
      </c>
    </row>
    <row r="146" spans="1:8" x14ac:dyDescent="0.2">
      <c r="A146" s="23"/>
      <c r="B146" s="23"/>
      <c r="C146" s="24" t="s">
        <v>147</v>
      </c>
      <c r="D146" s="23"/>
      <c r="E146" s="23" t="s">
        <v>148</v>
      </c>
      <c r="F146" s="31">
        <v>58517.547129999999</v>
      </c>
      <c r="G146" s="32">
        <v>0.11175211</v>
      </c>
      <c r="H146" s="25" t="s">
        <v>148</v>
      </c>
    </row>
    <row r="147" spans="1:8" x14ac:dyDescent="0.2">
      <c r="A147" s="23"/>
      <c r="B147" s="23"/>
      <c r="C147" s="33"/>
      <c r="D147" s="23"/>
      <c r="E147" s="23"/>
      <c r="F147" s="34"/>
      <c r="G147" s="34"/>
      <c r="H147" s="25" t="s">
        <v>148</v>
      </c>
    </row>
    <row r="148" spans="1:8" x14ac:dyDescent="0.2">
      <c r="A148" s="23"/>
      <c r="B148" s="23"/>
      <c r="C148" s="24" t="s">
        <v>159</v>
      </c>
      <c r="D148" s="23"/>
      <c r="E148" s="23"/>
      <c r="F148" s="34"/>
      <c r="G148" s="34"/>
      <c r="H148" s="25" t="s">
        <v>148</v>
      </c>
    </row>
    <row r="149" spans="1:8" x14ac:dyDescent="0.2">
      <c r="A149" s="23"/>
      <c r="B149" s="23"/>
      <c r="C149" s="24" t="s">
        <v>147</v>
      </c>
      <c r="D149" s="23"/>
      <c r="E149" s="23" t="s">
        <v>148</v>
      </c>
      <c r="F149" s="35" t="s">
        <v>150</v>
      </c>
      <c r="G149" s="32">
        <v>0</v>
      </c>
      <c r="H149" s="25" t="s">
        <v>148</v>
      </c>
    </row>
    <row r="150" spans="1:8" x14ac:dyDescent="0.2">
      <c r="A150" s="23"/>
      <c r="B150" s="23"/>
      <c r="C150" s="33"/>
      <c r="D150" s="23"/>
      <c r="E150" s="23"/>
      <c r="F150" s="34"/>
      <c r="G150" s="34"/>
      <c r="H150" s="25" t="s">
        <v>148</v>
      </c>
    </row>
    <row r="151" spans="1:8" x14ac:dyDescent="0.2">
      <c r="A151" s="23"/>
      <c r="B151" s="23"/>
      <c r="C151" s="24" t="s">
        <v>160</v>
      </c>
      <c r="D151" s="23"/>
      <c r="E151" s="23"/>
      <c r="F151" s="31">
        <v>122917.10413000001</v>
      </c>
      <c r="G151" s="32">
        <v>0.23473721</v>
      </c>
      <c r="H151" s="25" t="s">
        <v>148</v>
      </c>
    </row>
    <row r="152" spans="1:8" x14ac:dyDescent="0.2">
      <c r="A152" s="23"/>
      <c r="B152" s="23"/>
      <c r="C152" s="33"/>
      <c r="D152" s="23"/>
      <c r="E152" s="23"/>
      <c r="F152" s="34"/>
      <c r="G152" s="34"/>
      <c r="H152" s="25" t="s">
        <v>148</v>
      </c>
    </row>
    <row r="153" spans="1:8" x14ac:dyDescent="0.2">
      <c r="A153" s="23"/>
      <c r="B153" s="23"/>
      <c r="C153" s="24" t="s">
        <v>161</v>
      </c>
      <c r="D153" s="23"/>
      <c r="E153" s="23"/>
      <c r="F153" s="34"/>
      <c r="G153" s="34"/>
      <c r="H153" s="25" t="s">
        <v>148</v>
      </c>
    </row>
    <row r="154" spans="1:8" x14ac:dyDescent="0.2">
      <c r="A154" s="23"/>
      <c r="B154" s="23"/>
      <c r="C154" s="24" t="s">
        <v>162</v>
      </c>
      <c r="D154" s="23"/>
      <c r="E154" s="23"/>
      <c r="F154" s="34"/>
      <c r="G154" s="34"/>
      <c r="H154" s="25" t="s">
        <v>148</v>
      </c>
    </row>
    <row r="155" spans="1:8" ht="25.5" x14ac:dyDescent="0.2">
      <c r="A155" s="26">
        <v>1</v>
      </c>
      <c r="B155" s="27" t="s">
        <v>625</v>
      </c>
      <c r="C155" s="27" t="s">
        <v>626</v>
      </c>
      <c r="D155" s="27" t="s">
        <v>627</v>
      </c>
      <c r="E155" s="28">
        <v>500</v>
      </c>
      <c r="F155" s="29">
        <v>2333.9575</v>
      </c>
      <c r="G155" s="30">
        <v>4.4571999999999997E-3</v>
      </c>
      <c r="H155" s="25">
        <v>7.6150000000000002</v>
      </c>
    </row>
    <row r="156" spans="1:8" x14ac:dyDescent="0.2">
      <c r="A156" s="26">
        <v>2</v>
      </c>
      <c r="B156" s="27" t="s">
        <v>628</v>
      </c>
      <c r="C156" s="27" t="s">
        <v>629</v>
      </c>
      <c r="D156" s="27" t="s">
        <v>627</v>
      </c>
      <c r="E156" s="28">
        <v>400</v>
      </c>
      <c r="F156" s="29">
        <v>1953.62</v>
      </c>
      <c r="G156" s="30">
        <v>3.7308699999999998E-3</v>
      </c>
      <c r="H156" s="25">
        <v>7.5350000000000001</v>
      </c>
    </row>
    <row r="157" spans="1:8" x14ac:dyDescent="0.2">
      <c r="A157" s="23"/>
      <c r="B157" s="23"/>
      <c r="C157" s="24" t="s">
        <v>147</v>
      </c>
      <c r="D157" s="23"/>
      <c r="E157" s="23" t="s">
        <v>148</v>
      </c>
      <c r="F157" s="31">
        <v>4287.5775000000003</v>
      </c>
      <c r="G157" s="32">
        <v>8.1880700000000004E-3</v>
      </c>
      <c r="H157" s="25" t="s">
        <v>148</v>
      </c>
    </row>
    <row r="158" spans="1:8" x14ac:dyDescent="0.2">
      <c r="A158" s="23"/>
      <c r="B158" s="23"/>
      <c r="C158" s="33"/>
      <c r="D158" s="23"/>
      <c r="E158" s="23"/>
      <c r="F158" s="34"/>
      <c r="G158" s="34"/>
      <c r="H158" s="25" t="s">
        <v>148</v>
      </c>
    </row>
    <row r="159" spans="1:8" x14ac:dyDescent="0.2">
      <c r="A159" s="23"/>
      <c r="B159" s="23"/>
      <c r="C159" s="24" t="s">
        <v>163</v>
      </c>
      <c r="D159" s="23"/>
      <c r="E159" s="23"/>
      <c r="F159" s="34"/>
      <c r="G159" s="34"/>
      <c r="H159" s="25" t="s">
        <v>148</v>
      </c>
    </row>
    <row r="160" spans="1:8" x14ac:dyDescent="0.2">
      <c r="A160" s="26">
        <v>1</v>
      </c>
      <c r="B160" s="27" t="s">
        <v>630</v>
      </c>
      <c r="C160" s="27" t="s">
        <v>631</v>
      </c>
      <c r="D160" s="27" t="s">
        <v>627</v>
      </c>
      <c r="E160" s="28">
        <v>300</v>
      </c>
      <c r="F160" s="29">
        <v>1494.249</v>
      </c>
      <c r="G160" s="30">
        <v>2.8536E-3</v>
      </c>
      <c r="H160" s="25">
        <v>7.0250000000000004</v>
      </c>
    </row>
    <row r="161" spans="1:8" x14ac:dyDescent="0.2">
      <c r="A161" s="23"/>
      <c r="B161" s="23"/>
      <c r="C161" s="24" t="s">
        <v>147</v>
      </c>
      <c r="D161" s="23"/>
      <c r="E161" s="23" t="s">
        <v>148</v>
      </c>
      <c r="F161" s="31">
        <v>1494.249</v>
      </c>
      <c r="G161" s="32">
        <v>2.8536E-3</v>
      </c>
      <c r="H161" s="25" t="s">
        <v>148</v>
      </c>
    </row>
    <row r="162" spans="1:8" x14ac:dyDescent="0.2">
      <c r="A162" s="23"/>
      <c r="B162" s="23"/>
      <c r="C162" s="33"/>
      <c r="D162" s="23"/>
      <c r="E162" s="23"/>
      <c r="F162" s="34"/>
      <c r="G162" s="34"/>
      <c r="H162" s="25" t="s">
        <v>148</v>
      </c>
    </row>
    <row r="163" spans="1:8" x14ac:dyDescent="0.2">
      <c r="A163" s="23"/>
      <c r="B163" s="23"/>
      <c r="C163" s="24" t="s">
        <v>164</v>
      </c>
      <c r="D163" s="23"/>
      <c r="E163" s="23"/>
      <c r="F163" s="34"/>
      <c r="G163" s="34"/>
      <c r="H163" s="25" t="s">
        <v>148</v>
      </c>
    </row>
    <row r="164" spans="1:8" x14ac:dyDescent="0.2">
      <c r="A164" s="23"/>
      <c r="B164" s="23"/>
      <c r="C164" s="24" t="s">
        <v>147</v>
      </c>
      <c r="D164" s="23"/>
      <c r="E164" s="23" t="s">
        <v>148</v>
      </c>
      <c r="F164" s="35" t="s">
        <v>150</v>
      </c>
      <c r="G164" s="32">
        <v>0</v>
      </c>
      <c r="H164" s="25" t="s">
        <v>148</v>
      </c>
    </row>
    <row r="165" spans="1:8" x14ac:dyDescent="0.2">
      <c r="A165" s="23"/>
      <c r="B165" s="23"/>
      <c r="C165" s="33"/>
      <c r="D165" s="23"/>
      <c r="E165" s="23"/>
      <c r="F165" s="34"/>
      <c r="G165" s="34"/>
      <c r="H165" s="25" t="s">
        <v>148</v>
      </c>
    </row>
    <row r="166" spans="1:8" x14ac:dyDescent="0.2">
      <c r="A166" s="23"/>
      <c r="B166" s="23"/>
      <c r="C166" s="24" t="s">
        <v>165</v>
      </c>
      <c r="D166" s="23"/>
      <c r="E166" s="23"/>
      <c r="F166" s="34"/>
      <c r="G166" s="34"/>
      <c r="H166" s="25" t="s">
        <v>148</v>
      </c>
    </row>
    <row r="167" spans="1:8" x14ac:dyDescent="0.2">
      <c r="A167" s="26">
        <v>1</v>
      </c>
      <c r="B167" s="27"/>
      <c r="C167" s="27" t="s">
        <v>166</v>
      </c>
      <c r="D167" s="27"/>
      <c r="E167" s="36"/>
      <c r="F167" s="29">
        <v>3577.3197066910002</v>
      </c>
      <c r="G167" s="30">
        <v>6.8316799999999997E-3</v>
      </c>
      <c r="H167" s="25">
        <v>6.23</v>
      </c>
    </row>
    <row r="168" spans="1:8" x14ac:dyDescent="0.2">
      <c r="A168" s="23"/>
      <c r="B168" s="23"/>
      <c r="C168" s="24" t="s">
        <v>147</v>
      </c>
      <c r="D168" s="23"/>
      <c r="E168" s="23" t="s">
        <v>148</v>
      </c>
      <c r="F168" s="31">
        <v>3577.3197066910002</v>
      </c>
      <c r="G168" s="32">
        <v>6.8316799999999997E-3</v>
      </c>
      <c r="H168" s="25" t="s">
        <v>148</v>
      </c>
    </row>
    <row r="169" spans="1:8" x14ac:dyDescent="0.2">
      <c r="A169" s="23"/>
      <c r="B169" s="23"/>
      <c r="C169" s="33"/>
      <c r="D169" s="23"/>
      <c r="E169" s="23"/>
      <c r="F169" s="34"/>
      <c r="G169" s="34"/>
      <c r="H169" s="25" t="s">
        <v>148</v>
      </c>
    </row>
    <row r="170" spans="1:8" x14ac:dyDescent="0.2">
      <c r="A170" s="23"/>
      <c r="B170" s="23"/>
      <c r="C170" s="24" t="s">
        <v>167</v>
      </c>
      <c r="D170" s="23"/>
      <c r="E170" s="23"/>
      <c r="F170" s="31">
        <v>9359.1462066910008</v>
      </c>
      <c r="G170" s="32">
        <v>1.787335E-2</v>
      </c>
      <c r="H170" s="25" t="s">
        <v>148</v>
      </c>
    </row>
    <row r="171" spans="1:8" x14ac:dyDescent="0.2">
      <c r="A171" s="23"/>
      <c r="B171" s="23"/>
      <c r="C171" s="34"/>
      <c r="D171" s="23"/>
      <c r="E171" s="23"/>
      <c r="F171" s="23"/>
      <c r="G171" s="23"/>
      <c r="H171" s="25" t="s">
        <v>148</v>
      </c>
    </row>
    <row r="172" spans="1:8" x14ac:dyDescent="0.2">
      <c r="A172" s="23"/>
      <c r="B172" s="23"/>
      <c r="C172" s="24" t="s">
        <v>168</v>
      </c>
      <c r="D172" s="23"/>
      <c r="E172" s="23"/>
      <c r="F172" s="23"/>
      <c r="G172" s="23"/>
      <c r="H172" s="25" t="s">
        <v>148</v>
      </c>
    </row>
    <row r="173" spans="1:8" x14ac:dyDescent="0.2">
      <c r="A173" s="23"/>
      <c r="B173" s="23"/>
      <c r="C173" s="24" t="s">
        <v>169</v>
      </c>
      <c r="D173" s="23"/>
      <c r="E173" s="23"/>
      <c r="F173" s="23"/>
      <c r="G173" s="23"/>
      <c r="H173" s="25" t="s">
        <v>148</v>
      </c>
    </row>
    <row r="174" spans="1:8" ht="25.5" x14ac:dyDescent="0.2">
      <c r="A174" s="26">
        <v>1</v>
      </c>
      <c r="B174" s="27" t="s">
        <v>170</v>
      </c>
      <c r="C174" s="27" t="s">
        <v>1085</v>
      </c>
      <c r="D174" s="27"/>
      <c r="E174" s="37">
        <v>165325002.92550001</v>
      </c>
      <c r="F174" s="29">
        <v>24258.798979269999</v>
      </c>
      <c r="G174" s="30">
        <v>4.6327500000000001E-2</v>
      </c>
      <c r="H174" s="25" t="s">
        <v>148</v>
      </c>
    </row>
    <row r="175" spans="1:8" x14ac:dyDescent="0.2">
      <c r="A175" s="23"/>
      <c r="B175" s="23"/>
      <c r="C175" s="24" t="s">
        <v>147</v>
      </c>
      <c r="D175" s="23"/>
      <c r="E175" s="23" t="s">
        <v>148</v>
      </c>
      <c r="F175" s="31">
        <v>24258.798979269999</v>
      </c>
      <c r="G175" s="32">
        <v>4.6327500000000001E-2</v>
      </c>
      <c r="H175" s="25" t="s">
        <v>148</v>
      </c>
    </row>
    <row r="176" spans="1:8" x14ac:dyDescent="0.2">
      <c r="A176" s="23"/>
      <c r="B176" s="23"/>
      <c r="C176" s="33"/>
      <c r="D176" s="23"/>
      <c r="E176" s="23"/>
      <c r="F176" s="34"/>
      <c r="G176" s="34"/>
      <c r="H176" s="25" t="s">
        <v>148</v>
      </c>
    </row>
    <row r="177" spans="1:17" x14ac:dyDescent="0.2">
      <c r="A177" s="23"/>
      <c r="B177" s="23"/>
      <c r="C177" s="24" t="s">
        <v>172</v>
      </c>
      <c r="D177" s="23"/>
      <c r="E177" s="23"/>
      <c r="F177" s="23"/>
      <c r="G177" s="23"/>
      <c r="H177" s="25" t="s">
        <v>148</v>
      </c>
    </row>
    <row r="178" spans="1:17" x14ac:dyDescent="0.2">
      <c r="A178" s="23"/>
      <c r="B178" s="23"/>
      <c r="C178" s="24" t="s">
        <v>173</v>
      </c>
      <c r="D178" s="23"/>
      <c r="E178" s="23"/>
      <c r="F178" s="23"/>
      <c r="G178" s="23"/>
      <c r="H178" s="25" t="s">
        <v>148</v>
      </c>
    </row>
    <row r="179" spans="1:17" x14ac:dyDescent="0.2">
      <c r="A179" s="23"/>
      <c r="B179" s="23"/>
      <c r="C179" s="24" t="s">
        <v>147</v>
      </c>
      <c r="D179" s="23"/>
      <c r="E179" s="23" t="s">
        <v>148</v>
      </c>
      <c r="F179" s="35" t="s">
        <v>150</v>
      </c>
      <c r="G179" s="32">
        <v>0</v>
      </c>
      <c r="H179" s="25" t="s">
        <v>148</v>
      </c>
    </row>
    <row r="180" spans="1:17" x14ac:dyDescent="0.2">
      <c r="A180" s="23"/>
      <c r="B180" s="23"/>
      <c r="C180" s="33"/>
      <c r="D180" s="23"/>
      <c r="E180" s="23"/>
      <c r="F180" s="34"/>
      <c r="G180" s="34"/>
      <c r="H180" s="25" t="s">
        <v>148</v>
      </c>
    </row>
    <row r="181" spans="1:17" x14ac:dyDescent="0.2">
      <c r="A181" s="23"/>
      <c r="B181" s="23"/>
      <c r="C181" s="24" t="s">
        <v>174</v>
      </c>
      <c r="D181" s="23"/>
      <c r="E181" s="23"/>
      <c r="F181" s="34"/>
      <c r="G181" s="34"/>
      <c r="H181" s="25" t="s">
        <v>148</v>
      </c>
    </row>
    <row r="182" spans="1:17" x14ac:dyDescent="0.2">
      <c r="A182" s="23"/>
      <c r="B182" s="23"/>
      <c r="C182" s="24" t="s">
        <v>147</v>
      </c>
      <c r="D182" s="23"/>
      <c r="E182" s="23" t="s">
        <v>148</v>
      </c>
      <c r="F182" s="35" t="s">
        <v>150</v>
      </c>
      <c r="G182" s="32">
        <v>0</v>
      </c>
      <c r="H182" s="25" t="s">
        <v>148</v>
      </c>
    </row>
    <row r="183" spans="1:17" x14ac:dyDescent="0.2">
      <c r="A183" s="23"/>
      <c r="B183" s="23"/>
      <c r="C183" s="33"/>
      <c r="D183" s="23"/>
      <c r="E183" s="23"/>
      <c r="F183" s="34"/>
      <c r="G183" s="34"/>
      <c r="H183" s="25" t="s">
        <v>148</v>
      </c>
    </row>
    <row r="184" spans="1:17" x14ac:dyDescent="0.2">
      <c r="A184" s="36"/>
      <c r="B184" s="27"/>
      <c r="C184" s="27" t="s">
        <v>917</v>
      </c>
      <c r="D184" s="27"/>
      <c r="E184" s="36"/>
      <c r="F184" s="29">
        <v>2940.5160437899999</v>
      </c>
      <c r="G184" s="30">
        <v>5.6155600000000003E-3</v>
      </c>
      <c r="H184" s="25" t="s">
        <v>148</v>
      </c>
    </row>
    <row r="185" spans="1:17" x14ac:dyDescent="0.2">
      <c r="A185" s="33"/>
      <c r="B185" s="33"/>
      <c r="C185" s="24" t="s">
        <v>176</v>
      </c>
      <c r="D185" s="34"/>
      <c r="E185" s="34"/>
      <c r="F185" s="31">
        <f>F184+F175+F170+F151+F95</f>
        <v>523637.16697845084</v>
      </c>
      <c r="G185" s="39">
        <f>G184+G175+G170+G151+G95</f>
        <v>0.99998988348970597</v>
      </c>
      <c r="H185" s="25" t="s">
        <v>148</v>
      </c>
    </row>
    <row r="186" spans="1:17" x14ac:dyDescent="0.2">
      <c r="A186" s="40"/>
      <c r="B186" s="40"/>
      <c r="C186" s="40"/>
      <c r="D186" s="41"/>
      <c r="E186" s="41"/>
      <c r="F186" s="41"/>
      <c r="G186" s="41"/>
    </row>
    <row r="187" spans="1:17" x14ac:dyDescent="0.2">
      <c r="A187" s="42"/>
      <c r="B187" s="237" t="s">
        <v>891</v>
      </c>
      <c r="C187" s="237"/>
      <c r="D187" s="237"/>
      <c r="E187" s="237"/>
      <c r="F187" s="237"/>
      <c r="G187" s="237"/>
      <c r="H187" s="237"/>
      <c r="J187" s="44"/>
    </row>
    <row r="188" spans="1:17" x14ac:dyDescent="0.2">
      <c r="A188" s="42"/>
      <c r="B188" s="237" t="s">
        <v>892</v>
      </c>
      <c r="C188" s="237"/>
      <c r="D188" s="237"/>
      <c r="E188" s="237"/>
      <c r="F188" s="237"/>
      <c r="G188" s="237"/>
      <c r="H188" s="237"/>
      <c r="J188" s="44"/>
    </row>
    <row r="189" spans="1:17" x14ac:dyDescent="0.2">
      <c r="A189" s="42"/>
      <c r="B189" s="237" t="s">
        <v>893</v>
      </c>
      <c r="C189" s="237"/>
      <c r="D189" s="237"/>
      <c r="E189" s="237"/>
      <c r="F189" s="237"/>
      <c r="G189" s="237"/>
      <c r="H189" s="237"/>
      <c r="J189" s="44"/>
    </row>
    <row r="190" spans="1:17" s="46" customFormat="1" ht="66.75" customHeight="1" x14ac:dyDescent="0.25">
      <c r="A190" s="45"/>
      <c r="B190" s="239" t="s">
        <v>894</v>
      </c>
      <c r="C190" s="239"/>
      <c r="D190" s="239"/>
      <c r="E190" s="239"/>
      <c r="F190" s="239"/>
      <c r="G190" s="239"/>
      <c r="H190" s="239"/>
      <c r="I190"/>
      <c r="J190" s="44"/>
      <c r="K190"/>
      <c r="L190"/>
      <c r="M190"/>
      <c r="N190"/>
      <c r="O190"/>
      <c r="P190"/>
      <c r="Q190"/>
    </row>
    <row r="191" spans="1:17" x14ac:dyDescent="0.2">
      <c r="A191" s="42"/>
      <c r="B191" s="237" t="s">
        <v>895</v>
      </c>
      <c r="C191" s="237"/>
      <c r="D191" s="237"/>
      <c r="E191" s="237"/>
      <c r="F191" s="237"/>
      <c r="G191" s="237"/>
      <c r="H191" s="237"/>
      <c r="J191" s="44"/>
    </row>
    <row r="192" spans="1:17" x14ac:dyDescent="0.2">
      <c r="A192" s="47"/>
      <c r="B192" s="47"/>
      <c r="C192" s="47"/>
      <c r="D192" s="48"/>
      <c r="E192" s="48"/>
      <c r="F192" s="48"/>
      <c r="G192" s="48"/>
    </row>
    <row r="193" spans="1:10" x14ac:dyDescent="0.2">
      <c r="A193" s="47"/>
      <c r="B193" s="234" t="s">
        <v>177</v>
      </c>
      <c r="C193" s="235"/>
      <c r="D193" s="236"/>
      <c r="E193" s="49"/>
      <c r="F193" s="48"/>
      <c r="G193" s="48"/>
    </row>
    <row r="194" spans="1:10" x14ac:dyDescent="0.2">
      <c r="A194" s="47"/>
      <c r="B194" s="232" t="s">
        <v>178</v>
      </c>
      <c r="C194" s="233"/>
      <c r="D194" s="58" t="s">
        <v>928</v>
      </c>
      <c r="E194" s="49"/>
      <c r="F194" s="48"/>
      <c r="G194" s="48"/>
    </row>
    <row r="195" spans="1:10" ht="12.75" customHeight="1" x14ac:dyDescent="0.2">
      <c r="A195" s="47"/>
      <c r="B195" s="240" t="s">
        <v>897</v>
      </c>
      <c r="C195" s="241"/>
      <c r="D195" s="58" t="str">
        <f>"Rs. "&amp;TEXT(F79,"0.00")&amp;" lacs/ #"</f>
        <v>Rs. 5.36 lacs/ #</v>
      </c>
      <c r="E195" s="49"/>
      <c r="F195" s="48"/>
      <c r="G195" s="48"/>
    </row>
    <row r="196" spans="1:10" x14ac:dyDescent="0.2">
      <c r="A196" s="47"/>
      <c r="B196" s="232" t="s">
        <v>181</v>
      </c>
      <c r="C196" s="233"/>
      <c r="D196" s="34" t="s">
        <v>148</v>
      </c>
      <c r="E196" s="49"/>
      <c r="F196" s="48"/>
      <c r="G196" s="48"/>
    </row>
    <row r="197" spans="1:10" x14ac:dyDescent="0.2">
      <c r="A197" s="50"/>
      <c r="B197" s="51" t="s">
        <v>148</v>
      </c>
      <c r="C197" s="51" t="s">
        <v>896</v>
      </c>
      <c r="D197" s="51" t="s">
        <v>182</v>
      </c>
      <c r="E197" s="50"/>
      <c r="F197" s="50"/>
      <c r="G197" s="50"/>
      <c r="H197" s="50"/>
      <c r="J197" s="44"/>
    </row>
    <row r="198" spans="1:10" x14ac:dyDescent="0.2">
      <c r="A198" s="50"/>
      <c r="B198" s="52" t="s">
        <v>183</v>
      </c>
      <c r="C198" s="53">
        <v>45688</v>
      </c>
      <c r="D198" s="53">
        <v>45716</v>
      </c>
      <c r="E198" s="50"/>
      <c r="F198" s="50"/>
      <c r="G198" s="50"/>
      <c r="J198" s="44"/>
    </row>
    <row r="199" spans="1:10" x14ac:dyDescent="0.2">
      <c r="A199" s="54"/>
      <c r="B199" s="118" t="s">
        <v>184</v>
      </c>
      <c r="C199" s="55">
        <v>173.1011</v>
      </c>
      <c r="D199" s="55">
        <v>164.0651</v>
      </c>
      <c r="E199" s="54"/>
      <c r="F199" s="56"/>
      <c r="G199" s="57"/>
    </row>
    <row r="200" spans="1:10" x14ac:dyDescent="0.2">
      <c r="A200" s="54"/>
      <c r="B200" s="118" t="s">
        <v>993</v>
      </c>
      <c r="C200" s="55">
        <v>42.223500000000001</v>
      </c>
      <c r="D200" s="55">
        <v>39.678600000000003</v>
      </c>
      <c r="E200" s="54"/>
      <c r="F200" s="56"/>
      <c r="G200" s="57"/>
    </row>
    <row r="201" spans="1:10" x14ac:dyDescent="0.2">
      <c r="A201" s="54"/>
      <c r="B201" s="118" t="s">
        <v>186</v>
      </c>
      <c r="C201" s="55">
        <v>151.774</v>
      </c>
      <c r="D201" s="55">
        <v>143.73609999999999</v>
      </c>
      <c r="E201" s="54"/>
      <c r="F201" s="56"/>
      <c r="G201" s="57"/>
    </row>
    <row r="202" spans="1:10" ht="25.5" x14ac:dyDescent="0.2">
      <c r="A202" s="54"/>
      <c r="B202" s="118" t="s">
        <v>994</v>
      </c>
      <c r="C202" s="55">
        <v>27.706</v>
      </c>
      <c r="D202" s="55">
        <v>25.9954</v>
      </c>
      <c r="E202" s="54"/>
      <c r="F202" s="56"/>
      <c r="G202" s="57"/>
    </row>
    <row r="203" spans="1:10" x14ac:dyDescent="0.2">
      <c r="A203" s="54"/>
      <c r="B203" s="54"/>
      <c r="C203" s="54"/>
      <c r="D203" s="54"/>
      <c r="E203" s="54"/>
      <c r="F203" s="54"/>
      <c r="G203" s="54"/>
    </row>
    <row r="204" spans="1:10" x14ac:dyDescent="0.2">
      <c r="A204" s="54"/>
      <c r="B204" s="232" t="s">
        <v>898</v>
      </c>
      <c r="C204" s="233"/>
      <c r="D204" s="24" t="s">
        <v>148</v>
      </c>
      <c r="E204" s="54"/>
      <c r="F204" s="54"/>
      <c r="G204" s="54"/>
    </row>
    <row r="205" spans="1:10" x14ac:dyDescent="0.2">
      <c r="A205" s="54"/>
      <c r="B205" s="104" t="s">
        <v>183</v>
      </c>
      <c r="C205" s="105" t="s">
        <v>632</v>
      </c>
      <c r="D205" s="105" t="s">
        <v>633</v>
      </c>
      <c r="E205" s="54"/>
      <c r="F205" s="54"/>
      <c r="G205" s="54"/>
    </row>
    <row r="206" spans="1:10" x14ac:dyDescent="0.2">
      <c r="A206" s="54"/>
      <c r="B206" s="118" t="s">
        <v>993</v>
      </c>
      <c r="C206" s="106">
        <v>0.35</v>
      </c>
      <c r="D206" s="106">
        <v>0.35</v>
      </c>
      <c r="E206" s="54"/>
      <c r="F206" s="56"/>
      <c r="G206" s="57"/>
    </row>
    <row r="207" spans="1:10" ht="25.5" x14ac:dyDescent="0.2">
      <c r="A207" s="54"/>
      <c r="B207" s="118" t="s">
        <v>994</v>
      </c>
      <c r="C207" s="106">
        <v>0.25</v>
      </c>
      <c r="D207" s="106">
        <v>0.25</v>
      </c>
      <c r="E207" s="54"/>
      <c r="F207" s="56"/>
      <c r="G207" s="57"/>
    </row>
    <row r="208" spans="1:10" x14ac:dyDescent="0.2">
      <c r="A208" s="54"/>
      <c r="B208" s="107"/>
      <c r="C208" s="107"/>
      <c r="D208" s="108"/>
      <c r="E208" s="54"/>
      <c r="F208" s="56"/>
      <c r="G208" s="57"/>
    </row>
    <row r="209" spans="1:15" ht="24.75" customHeight="1" x14ac:dyDescent="0.2">
      <c r="A209" s="50"/>
      <c r="B209" s="240" t="s">
        <v>188</v>
      </c>
      <c r="C209" s="241"/>
      <c r="D209" s="58" t="s">
        <v>179</v>
      </c>
      <c r="E209" s="60"/>
      <c r="F209" s="50"/>
      <c r="G209" s="50"/>
    </row>
    <row r="210" spans="1:15" ht="24" customHeight="1" x14ac:dyDescent="0.2">
      <c r="A210" s="50"/>
      <c r="B210" s="240" t="s">
        <v>189</v>
      </c>
      <c r="C210" s="241"/>
      <c r="D210" s="58" t="s">
        <v>179</v>
      </c>
      <c r="E210" s="60"/>
      <c r="F210" s="50"/>
      <c r="G210" s="50"/>
    </row>
    <row r="211" spans="1:15" x14ac:dyDescent="0.2">
      <c r="A211" s="50"/>
      <c r="B211" s="240" t="s">
        <v>190</v>
      </c>
      <c r="C211" s="241"/>
      <c r="D211" s="58" t="s">
        <v>179</v>
      </c>
      <c r="E211" s="60"/>
      <c r="F211" s="50"/>
      <c r="G211" s="50"/>
    </row>
    <row r="212" spans="1:15" x14ac:dyDescent="0.2">
      <c r="A212" s="50"/>
      <c r="B212" s="240" t="s">
        <v>191</v>
      </c>
      <c r="C212" s="241"/>
      <c r="D212" s="61">
        <v>0.92060661273057032</v>
      </c>
      <c r="E212" s="50"/>
      <c r="F212" s="43"/>
      <c r="G212" s="62"/>
    </row>
    <row r="214" spans="1:15" s="91" customFormat="1" x14ac:dyDescent="0.2">
      <c r="B214" s="119" t="s">
        <v>1066</v>
      </c>
      <c r="C214" s="116"/>
      <c r="D214" s="116"/>
      <c r="E214" s="116"/>
      <c r="F214" s="116"/>
      <c r="G214" s="116"/>
      <c r="I214"/>
      <c r="J214"/>
      <c r="K214"/>
      <c r="L214"/>
      <c r="M214"/>
      <c r="N214"/>
      <c r="O214"/>
    </row>
    <row r="215" spans="1:15" s="91" customFormat="1" ht="63.75" x14ac:dyDescent="0.2">
      <c r="B215" s="111" t="s">
        <v>929</v>
      </c>
      <c r="C215" s="111" t="s">
        <v>930</v>
      </c>
      <c r="D215" s="111" t="s">
        <v>931</v>
      </c>
      <c r="E215" s="111" t="s">
        <v>932</v>
      </c>
      <c r="F215" s="111" t="s">
        <v>933</v>
      </c>
      <c r="G215" s="116"/>
      <c r="I215"/>
      <c r="J215"/>
      <c r="K215"/>
      <c r="L215"/>
      <c r="M215"/>
      <c r="N215"/>
      <c r="O215"/>
    </row>
    <row r="216" spans="1:15" s="91" customFormat="1" ht="25.5" x14ac:dyDescent="0.2">
      <c r="B216" s="112" t="s">
        <v>934</v>
      </c>
      <c r="C216" s="113" t="s">
        <v>935</v>
      </c>
      <c r="D216" s="114">
        <v>0</v>
      </c>
      <c r="E216" s="7">
        <v>0</v>
      </c>
      <c r="F216" s="115">
        <v>1000</v>
      </c>
      <c r="G216" s="116"/>
      <c r="I216"/>
      <c r="J216"/>
      <c r="K216"/>
      <c r="L216"/>
      <c r="M216"/>
      <c r="N216"/>
      <c r="O216"/>
    </row>
    <row r="217" spans="1:15" s="91" customFormat="1" x14ac:dyDescent="0.2">
      <c r="B217" s="119"/>
      <c r="C217" s="116"/>
      <c r="D217" s="116"/>
      <c r="E217" s="116"/>
      <c r="F217" s="116"/>
      <c r="G217" s="116"/>
      <c r="I217"/>
      <c r="J217"/>
      <c r="K217"/>
      <c r="L217"/>
      <c r="M217"/>
      <c r="N217"/>
      <c r="O217"/>
    </row>
    <row r="218" spans="1:15" s="91" customFormat="1" x14ac:dyDescent="0.2">
      <c r="B218" s="120" t="s">
        <v>936</v>
      </c>
      <c r="C218" s="120" t="s">
        <v>937</v>
      </c>
      <c r="D218" s="254" t="s">
        <v>938</v>
      </c>
      <c r="E218" s="255"/>
      <c r="F218" s="256" t="s">
        <v>939</v>
      </c>
      <c r="G218" s="256"/>
      <c r="I218"/>
      <c r="J218"/>
      <c r="K218"/>
      <c r="L218"/>
      <c r="M218"/>
      <c r="N218"/>
      <c r="O218"/>
    </row>
    <row r="219" spans="1:15" s="91" customFormat="1" ht="25.5" x14ac:dyDescent="0.2">
      <c r="B219" s="121" t="s">
        <v>940</v>
      </c>
      <c r="C219" s="122" t="s">
        <v>941</v>
      </c>
      <c r="D219" s="257">
        <v>0</v>
      </c>
      <c r="E219" s="258"/>
      <c r="F219" s="257">
        <v>0</v>
      </c>
      <c r="G219" s="258"/>
      <c r="I219"/>
      <c r="J219"/>
      <c r="K219"/>
      <c r="L219"/>
      <c r="M219"/>
      <c r="N219"/>
      <c r="O219"/>
    </row>
    <row r="220" spans="1:15" s="91" customFormat="1" x14ac:dyDescent="0.2">
      <c r="B220" s="259" t="s">
        <v>942</v>
      </c>
      <c r="C220" s="260"/>
      <c r="D220" s="260"/>
      <c r="E220" s="260"/>
      <c r="F220" s="260"/>
      <c r="G220" s="261"/>
      <c r="I220"/>
      <c r="J220"/>
      <c r="K220"/>
      <c r="L220"/>
      <c r="M220"/>
      <c r="N220"/>
      <c r="O220"/>
    </row>
    <row r="221" spans="1:15" s="91" customFormat="1" x14ac:dyDescent="0.2">
      <c r="B221" s="256" t="s">
        <v>936</v>
      </c>
      <c r="C221" s="256" t="s">
        <v>937</v>
      </c>
      <c r="D221" s="259" t="s">
        <v>943</v>
      </c>
      <c r="E221" s="260"/>
      <c r="F221" s="261"/>
      <c r="G221" s="121"/>
      <c r="I221"/>
      <c r="J221"/>
      <c r="K221"/>
      <c r="L221"/>
      <c r="M221"/>
      <c r="N221"/>
      <c r="O221"/>
    </row>
    <row r="222" spans="1:15" s="91" customFormat="1" ht="38.25" x14ac:dyDescent="0.2">
      <c r="B222" s="256"/>
      <c r="C222" s="256"/>
      <c r="D222" s="123" t="s">
        <v>944</v>
      </c>
      <c r="E222" s="123" t="s">
        <v>945</v>
      </c>
      <c r="F222" s="123" t="s">
        <v>946</v>
      </c>
      <c r="G222" s="123" t="s">
        <v>1067</v>
      </c>
      <c r="H222" s="124"/>
      <c r="I222"/>
      <c r="J222"/>
      <c r="K222"/>
      <c r="L222"/>
      <c r="M222"/>
      <c r="N222"/>
      <c r="O222"/>
    </row>
    <row r="223" spans="1:15" s="91" customFormat="1" ht="25.5" x14ac:dyDescent="0.2">
      <c r="B223" s="125" t="s">
        <v>940</v>
      </c>
      <c r="C223" s="122" t="s">
        <v>941</v>
      </c>
      <c r="D223" s="126">
        <v>700</v>
      </c>
      <c r="E223" s="126">
        <v>24.098357999999998</v>
      </c>
      <c r="F223" s="127">
        <v>724.09835799999996</v>
      </c>
      <c r="G223" s="128">
        <f>F223/F185</f>
        <v>1.3828246038727016E-3</v>
      </c>
      <c r="H223" s="129"/>
      <c r="I223"/>
      <c r="J223"/>
      <c r="K223"/>
      <c r="L223"/>
      <c r="M223"/>
      <c r="N223"/>
      <c r="O223"/>
    </row>
    <row r="224" spans="1:15" s="91" customFormat="1" ht="29.25" customHeight="1" x14ac:dyDescent="0.2">
      <c r="B224" s="262" t="s">
        <v>947</v>
      </c>
      <c r="C224" s="263"/>
      <c r="D224" s="263"/>
      <c r="E224" s="263"/>
      <c r="F224" s="263"/>
      <c r="G224" s="264"/>
      <c r="I224"/>
      <c r="J224"/>
      <c r="K224"/>
      <c r="L224"/>
      <c r="M224"/>
      <c r="N224"/>
      <c r="O224"/>
    </row>
    <row r="225" spans="2:15" s="91" customFormat="1" x14ac:dyDescent="0.2">
      <c r="I225"/>
      <c r="J225"/>
      <c r="K225"/>
      <c r="L225"/>
      <c r="M225"/>
      <c r="N225"/>
      <c r="O225"/>
    </row>
    <row r="226" spans="2:15" s="91" customFormat="1" x14ac:dyDescent="0.2">
      <c r="B226" s="265" t="s">
        <v>948</v>
      </c>
      <c r="C226" s="266"/>
      <c r="D226" s="267"/>
      <c r="I226"/>
      <c r="J226"/>
      <c r="K226"/>
      <c r="L226"/>
      <c r="M226"/>
      <c r="N226"/>
      <c r="O226"/>
    </row>
    <row r="227" spans="2:15" s="91" customFormat="1" ht="25.5" x14ac:dyDescent="0.2">
      <c r="B227" s="268" t="s">
        <v>949</v>
      </c>
      <c r="C227" s="268"/>
      <c r="D227" s="86" t="s">
        <v>523</v>
      </c>
      <c r="I227"/>
      <c r="J227"/>
      <c r="K227"/>
      <c r="L227"/>
      <c r="M227"/>
      <c r="N227"/>
      <c r="O227"/>
    </row>
    <row r="228" spans="2:15" s="91" customFormat="1" x14ac:dyDescent="0.2">
      <c r="B228" s="268" t="s">
        <v>950</v>
      </c>
      <c r="C228" s="268"/>
      <c r="D228" s="86"/>
      <c r="I228"/>
      <c r="J228"/>
      <c r="K228"/>
      <c r="L228"/>
      <c r="M228"/>
      <c r="N228"/>
      <c r="O228"/>
    </row>
    <row r="229" spans="2:15" s="91" customFormat="1" x14ac:dyDescent="0.2">
      <c r="B229" s="269"/>
      <c r="C229" s="270"/>
      <c r="D229" s="65"/>
      <c r="I229"/>
      <c r="J229"/>
      <c r="K229"/>
      <c r="L229"/>
      <c r="M229"/>
      <c r="N229"/>
      <c r="O229"/>
    </row>
    <row r="230" spans="2:15" s="91" customFormat="1" x14ac:dyDescent="0.2">
      <c r="B230" s="268" t="s">
        <v>951</v>
      </c>
      <c r="C230" s="268"/>
      <c r="D230" s="66">
        <v>6.2246518890989302</v>
      </c>
      <c r="I230"/>
      <c r="J230"/>
      <c r="K230"/>
      <c r="L230"/>
      <c r="M230"/>
      <c r="N230"/>
      <c r="O230"/>
    </row>
    <row r="231" spans="2:15" s="91" customFormat="1" x14ac:dyDescent="0.2">
      <c r="B231" s="269"/>
      <c r="C231" s="270"/>
      <c r="D231" s="130"/>
      <c r="I231"/>
      <c r="J231"/>
      <c r="K231"/>
      <c r="L231"/>
      <c r="M231"/>
      <c r="N231"/>
      <c r="O231"/>
    </row>
    <row r="232" spans="2:15" s="91" customFormat="1" x14ac:dyDescent="0.2">
      <c r="B232" s="268" t="s">
        <v>952</v>
      </c>
      <c r="C232" s="268"/>
      <c r="D232" s="66">
        <v>4.2652556171127047</v>
      </c>
      <c r="I232"/>
      <c r="J232"/>
      <c r="K232"/>
      <c r="L232"/>
      <c r="M232"/>
      <c r="N232"/>
      <c r="O232"/>
    </row>
    <row r="233" spans="2:15" s="91" customFormat="1" x14ac:dyDescent="0.2">
      <c r="B233" s="268" t="s">
        <v>953</v>
      </c>
      <c r="C233" s="268"/>
      <c r="D233" s="66">
        <v>6.6597630242143637</v>
      </c>
      <c r="I233"/>
      <c r="J233"/>
      <c r="K233"/>
      <c r="L233"/>
      <c r="M233"/>
      <c r="N233"/>
      <c r="O233"/>
    </row>
    <row r="234" spans="2:15" s="91" customFormat="1" x14ac:dyDescent="0.2">
      <c r="B234" s="269"/>
      <c r="C234" s="270"/>
      <c r="D234" s="65"/>
      <c r="I234"/>
      <c r="J234"/>
      <c r="K234"/>
      <c r="L234"/>
      <c r="M234"/>
      <c r="N234"/>
      <c r="O234"/>
    </row>
    <row r="235" spans="2:15" s="91" customFormat="1" x14ac:dyDescent="0.2">
      <c r="B235" s="268" t="s">
        <v>954</v>
      </c>
      <c r="C235" s="268"/>
      <c r="D235" s="67" t="s">
        <v>1068</v>
      </c>
      <c r="I235"/>
      <c r="J235"/>
      <c r="K235"/>
      <c r="L235"/>
      <c r="M235"/>
      <c r="N235"/>
      <c r="O235"/>
    </row>
    <row r="236" spans="2:15" s="91" customFormat="1" x14ac:dyDescent="0.2">
      <c r="B236" s="269" t="s">
        <v>955</v>
      </c>
      <c r="C236" s="271"/>
      <c r="D236" s="270"/>
      <c r="I236"/>
      <c r="J236"/>
      <c r="K236"/>
      <c r="L236"/>
      <c r="M236"/>
      <c r="N236"/>
      <c r="O236"/>
    </row>
    <row r="238" spans="2:15" x14ac:dyDescent="0.2">
      <c r="B238" s="238" t="s">
        <v>899</v>
      </c>
      <c r="C238" s="238"/>
    </row>
    <row r="240" spans="2:15" ht="153.75" customHeight="1" x14ac:dyDescent="0.2"/>
    <row r="243" spans="2:4" x14ac:dyDescent="0.2">
      <c r="B243" s="68" t="s">
        <v>900</v>
      </c>
      <c r="C243" s="69"/>
      <c r="D243" s="68"/>
    </row>
    <row r="244" spans="2:4" x14ac:dyDescent="0.2">
      <c r="B244" s="68" t="s">
        <v>956</v>
      </c>
      <c r="D244" s="68"/>
    </row>
    <row r="245" spans="2:4" ht="165" customHeight="1" x14ac:dyDescent="0.2"/>
  </sheetData>
  <mergeCells count="38">
    <mergeCell ref="B235:C235"/>
    <mergeCell ref="B236:D236"/>
    <mergeCell ref="B238:C238"/>
    <mergeCell ref="B230:C230"/>
    <mergeCell ref="B231:C231"/>
    <mergeCell ref="B232:C232"/>
    <mergeCell ref="B233:C233"/>
    <mergeCell ref="B234:C234"/>
    <mergeCell ref="B224:G224"/>
    <mergeCell ref="B226:D226"/>
    <mergeCell ref="B227:C227"/>
    <mergeCell ref="B228:C228"/>
    <mergeCell ref="B229:C229"/>
    <mergeCell ref="D219:E219"/>
    <mergeCell ref="F219:G219"/>
    <mergeCell ref="B220:G220"/>
    <mergeCell ref="B221:B222"/>
    <mergeCell ref="C221:C222"/>
    <mergeCell ref="D221:F221"/>
    <mergeCell ref="B209:C209"/>
    <mergeCell ref="D218:E218"/>
    <mergeCell ref="F218:G218"/>
    <mergeCell ref="B204:C204"/>
    <mergeCell ref="B210:C210"/>
    <mergeCell ref="B211:C211"/>
    <mergeCell ref="B212:C212"/>
    <mergeCell ref="A3:H3"/>
    <mergeCell ref="A2:H2"/>
    <mergeCell ref="A1:H1"/>
    <mergeCell ref="B195:C195"/>
    <mergeCell ref="B196:C196"/>
    <mergeCell ref="B193:D193"/>
    <mergeCell ref="B194:C194"/>
    <mergeCell ref="B187:H187"/>
    <mergeCell ref="B188:H188"/>
    <mergeCell ref="B189:H189"/>
    <mergeCell ref="B190:H190"/>
    <mergeCell ref="B191:H191"/>
  </mergeCells>
  <hyperlinks>
    <hyperlink ref="I1" location="Index!B2" display="Index" xr:uid="{6D86AFEB-EC15-415D-876A-7D7F9F48DD5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3FDC-8621-4980-8984-07361A5F456C}">
  <sheetPr>
    <outlinePr summaryBelow="0" summaryRight="0"/>
  </sheetPr>
  <dimension ref="A1:Q224"/>
  <sheetViews>
    <sheetView showGridLines="0" workbookViewId="0">
      <selection sqref="A1:H1"/>
    </sheetView>
  </sheetViews>
  <sheetFormatPr defaultRowHeight="12.75" x14ac:dyDescent="0.2"/>
  <cols>
    <col min="1" max="1" width="5.85546875" bestFit="1" customWidth="1"/>
    <col min="2" max="2" width="25.140625" customWidth="1"/>
    <col min="3" max="3" width="45.85546875" customWidth="1"/>
    <col min="4" max="4" width="23.85546875"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634</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21" t="s">
        <v>927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14</v>
      </c>
      <c r="C7" s="27" t="s">
        <v>15</v>
      </c>
      <c r="D7" s="27" t="s">
        <v>16</v>
      </c>
      <c r="E7" s="28">
        <v>158000</v>
      </c>
      <c r="F7" s="29">
        <v>1896.1579999999999</v>
      </c>
      <c r="G7" s="30">
        <v>8.6148939999999993E-2</v>
      </c>
      <c r="H7" s="25" t="s">
        <v>148</v>
      </c>
    </row>
    <row r="8" spans="1:9" x14ac:dyDescent="0.2">
      <c r="A8" s="26">
        <v>2</v>
      </c>
      <c r="B8" s="27" t="s">
        <v>26</v>
      </c>
      <c r="C8" s="27" t="s">
        <v>27</v>
      </c>
      <c r="D8" s="27" t="s">
        <v>28</v>
      </c>
      <c r="E8" s="28">
        <v>116200</v>
      </c>
      <c r="F8" s="29">
        <v>1399.1641999999999</v>
      </c>
      <c r="G8" s="30">
        <v>6.3568810000000003E-2</v>
      </c>
      <c r="H8" s="25" t="s">
        <v>148</v>
      </c>
    </row>
    <row r="9" spans="1:9" x14ac:dyDescent="0.2">
      <c r="A9" s="26">
        <v>3</v>
      </c>
      <c r="B9" s="27" t="s">
        <v>336</v>
      </c>
      <c r="C9" s="27" t="s">
        <v>337</v>
      </c>
      <c r="D9" s="27" t="s">
        <v>28</v>
      </c>
      <c r="E9" s="28">
        <v>121250</v>
      </c>
      <c r="F9" s="29">
        <v>1231.3543749999999</v>
      </c>
      <c r="G9" s="30">
        <v>5.5944639999999997E-2</v>
      </c>
      <c r="H9" s="25" t="s">
        <v>148</v>
      </c>
    </row>
    <row r="10" spans="1:9" x14ac:dyDescent="0.2">
      <c r="A10" s="26">
        <v>4</v>
      </c>
      <c r="B10" s="27" t="s">
        <v>125</v>
      </c>
      <c r="C10" s="27" t="s">
        <v>126</v>
      </c>
      <c r="D10" s="27" t="s">
        <v>64</v>
      </c>
      <c r="E10" s="28">
        <v>390400</v>
      </c>
      <c r="F10" s="29">
        <v>975.4144</v>
      </c>
      <c r="G10" s="30">
        <v>4.4316410000000001E-2</v>
      </c>
      <c r="H10" s="25" t="s">
        <v>148</v>
      </c>
    </row>
    <row r="11" spans="1:9" x14ac:dyDescent="0.2">
      <c r="A11" s="26">
        <v>5</v>
      </c>
      <c r="B11" s="27" t="s">
        <v>65</v>
      </c>
      <c r="C11" s="27" t="s">
        <v>66</v>
      </c>
      <c r="D11" s="27" t="s">
        <v>13</v>
      </c>
      <c r="E11" s="28">
        <v>285600</v>
      </c>
      <c r="F11" s="29">
        <v>923.48760000000004</v>
      </c>
      <c r="G11" s="30">
        <v>4.19572E-2</v>
      </c>
      <c r="H11" s="25" t="s">
        <v>148</v>
      </c>
    </row>
    <row r="12" spans="1:9" x14ac:dyDescent="0.2">
      <c r="A12" s="26">
        <v>6</v>
      </c>
      <c r="B12" s="27" t="s">
        <v>348</v>
      </c>
      <c r="C12" s="27" t="s">
        <v>349</v>
      </c>
      <c r="D12" s="27" t="s">
        <v>350</v>
      </c>
      <c r="E12" s="28">
        <v>228800</v>
      </c>
      <c r="F12" s="29">
        <v>903.76</v>
      </c>
      <c r="G12" s="30">
        <v>4.1060909999999999E-2</v>
      </c>
      <c r="H12" s="25" t="s">
        <v>148</v>
      </c>
    </row>
    <row r="13" spans="1:9" x14ac:dyDescent="0.2">
      <c r="A13" s="26">
        <v>7</v>
      </c>
      <c r="B13" s="27" t="s">
        <v>364</v>
      </c>
      <c r="C13" s="27" t="s">
        <v>365</v>
      </c>
      <c r="D13" s="27" t="s">
        <v>275</v>
      </c>
      <c r="E13" s="28">
        <v>125400</v>
      </c>
      <c r="F13" s="29">
        <v>778.29510000000005</v>
      </c>
      <c r="G13" s="30">
        <v>3.5360610000000001E-2</v>
      </c>
      <c r="H13" s="25" t="s">
        <v>148</v>
      </c>
    </row>
    <row r="14" spans="1:9" x14ac:dyDescent="0.2">
      <c r="A14" s="26">
        <v>8</v>
      </c>
      <c r="B14" s="27" t="s">
        <v>97</v>
      </c>
      <c r="C14" s="27" t="s">
        <v>98</v>
      </c>
      <c r="D14" s="27" t="s">
        <v>25</v>
      </c>
      <c r="E14" s="28">
        <v>144000</v>
      </c>
      <c r="F14" s="29">
        <v>669.52800000000002</v>
      </c>
      <c r="G14" s="30">
        <v>3.041895E-2</v>
      </c>
      <c r="H14" s="25" t="s">
        <v>148</v>
      </c>
    </row>
    <row r="15" spans="1:9" x14ac:dyDescent="0.2">
      <c r="A15" s="26">
        <v>9</v>
      </c>
      <c r="B15" s="27" t="s">
        <v>17</v>
      </c>
      <c r="C15" s="27" t="s">
        <v>18</v>
      </c>
      <c r="D15" s="27" t="s">
        <v>19</v>
      </c>
      <c r="E15" s="28">
        <v>18750</v>
      </c>
      <c r="F15" s="29">
        <v>593.22187499999995</v>
      </c>
      <c r="G15" s="30">
        <v>2.69521E-2</v>
      </c>
      <c r="H15" s="25" t="s">
        <v>148</v>
      </c>
    </row>
    <row r="16" spans="1:9" x14ac:dyDescent="0.2">
      <c r="A16" s="26">
        <v>10</v>
      </c>
      <c r="B16" s="27" t="s">
        <v>342</v>
      </c>
      <c r="C16" s="27" t="s">
        <v>343</v>
      </c>
      <c r="D16" s="27" t="s">
        <v>205</v>
      </c>
      <c r="E16" s="28">
        <v>16975</v>
      </c>
      <c r="F16" s="29">
        <v>591.28168749999998</v>
      </c>
      <c r="G16" s="30">
        <v>2.6863950000000001E-2</v>
      </c>
      <c r="H16" s="25" t="s">
        <v>148</v>
      </c>
    </row>
    <row r="17" spans="1:8" x14ac:dyDescent="0.2">
      <c r="A17" s="26">
        <v>11</v>
      </c>
      <c r="B17" s="27" t="s">
        <v>635</v>
      </c>
      <c r="C17" s="27" t="s">
        <v>636</v>
      </c>
      <c r="D17" s="27" t="s">
        <v>637</v>
      </c>
      <c r="E17" s="28">
        <v>27600</v>
      </c>
      <c r="F17" s="29">
        <v>578.49599999999998</v>
      </c>
      <c r="G17" s="30">
        <v>2.6283049999999999E-2</v>
      </c>
      <c r="H17" s="25" t="s">
        <v>148</v>
      </c>
    </row>
    <row r="18" spans="1:8" x14ac:dyDescent="0.2">
      <c r="A18" s="26">
        <v>12</v>
      </c>
      <c r="B18" s="27" t="s">
        <v>638</v>
      </c>
      <c r="C18" s="27" t="s">
        <v>639</v>
      </c>
      <c r="D18" s="27" t="s">
        <v>54</v>
      </c>
      <c r="E18" s="28">
        <v>85800</v>
      </c>
      <c r="F18" s="29">
        <v>545.30190000000005</v>
      </c>
      <c r="G18" s="30">
        <v>2.4774930000000001E-2</v>
      </c>
      <c r="H18" s="25" t="s">
        <v>148</v>
      </c>
    </row>
    <row r="19" spans="1:8" ht="25.5" x14ac:dyDescent="0.2">
      <c r="A19" s="26">
        <v>13</v>
      </c>
      <c r="B19" s="27" t="s">
        <v>340</v>
      </c>
      <c r="C19" s="27" t="s">
        <v>341</v>
      </c>
      <c r="D19" s="27" t="s">
        <v>202</v>
      </c>
      <c r="E19" s="28">
        <v>32900</v>
      </c>
      <c r="F19" s="29">
        <v>524.17925000000002</v>
      </c>
      <c r="G19" s="30">
        <v>2.3815260000000001E-2</v>
      </c>
      <c r="H19" s="25" t="s">
        <v>148</v>
      </c>
    </row>
    <row r="20" spans="1:8" x14ac:dyDescent="0.2">
      <c r="A20" s="26">
        <v>14</v>
      </c>
      <c r="B20" s="27" t="s">
        <v>437</v>
      </c>
      <c r="C20" s="27" t="s">
        <v>438</v>
      </c>
      <c r="D20" s="27" t="s">
        <v>439</v>
      </c>
      <c r="E20" s="28">
        <v>81200</v>
      </c>
      <c r="F20" s="29">
        <v>515.09220000000005</v>
      </c>
      <c r="G20" s="30">
        <v>2.34024E-2</v>
      </c>
      <c r="H20" s="25" t="s">
        <v>148</v>
      </c>
    </row>
    <row r="21" spans="1:8" x14ac:dyDescent="0.2">
      <c r="A21" s="26">
        <v>15</v>
      </c>
      <c r="B21" s="27" t="s">
        <v>314</v>
      </c>
      <c r="C21" s="27" t="s">
        <v>315</v>
      </c>
      <c r="D21" s="27" t="s">
        <v>232</v>
      </c>
      <c r="E21" s="28">
        <v>58000</v>
      </c>
      <c r="F21" s="29">
        <v>415.33800000000002</v>
      </c>
      <c r="G21" s="30">
        <v>1.8870230000000002E-2</v>
      </c>
      <c r="H21" s="25" t="s">
        <v>148</v>
      </c>
    </row>
    <row r="22" spans="1:8" x14ac:dyDescent="0.2">
      <c r="A22" s="26">
        <v>16</v>
      </c>
      <c r="B22" s="27" t="s">
        <v>344</v>
      </c>
      <c r="C22" s="27" t="s">
        <v>345</v>
      </c>
      <c r="D22" s="27" t="s">
        <v>111</v>
      </c>
      <c r="E22" s="28">
        <v>4500</v>
      </c>
      <c r="F22" s="29">
        <v>383.86349999999999</v>
      </c>
      <c r="G22" s="30">
        <v>1.7440230000000001E-2</v>
      </c>
      <c r="H22" s="25" t="s">
        <v>148</v>
      </c>
    </row>
    <row r="23" spans="1:8" x14ac:dyDescent="0.2">
      <c r="A23" s="26">
        <v>17</v>
      </c>
      <c r="B23" s="27" t="s">
        <v>11</v>
      </c>
      <c r="C23" s="27" t="s">
        <v>12</v>
      </c>
      <c r="D23" s="27" t="s">
        <v>13</v>
      </c>
      <c r="E23" s="28">
        <v>22800</v>
      </c>
      <c r="F23" s="29">
        <v>358.00560000000002</v>
      </c>
      <c r="G23" s="30">
        <v>1.6265419999999999E-2</v>
      </c>
      <c r="H23" s="25" t="s">
        <v>148</v>
      </c>
    </row>
    <row r="24" spans="1:8" x14ac:dyDescent="0.2">
      <c r="A24" s="26">
        <v>18</v>
      </c>
      <c r="B24" s="27" t="s">
        <v>640</v>
      </c>
      <c r="C24" s="27" t="s">
        <v>641</v>
      </c>
      <c r="D24" s="27" t="s">
        <v>28</v>
      </c>
      <c r="E24" s="28">
        <v>400000</v>
      </c>
      <c r="F24" s="29">
        <v>349.56</v>
      </c>
      <c r="G24" s="30">
        <v>1.588171E-2</v>
      </c>
      <c r="H24" s="25" t="s">
        <v>148</v>
      </c>
    </row>
    <row r="25" spans="1:8" x14ac:dyDescent="0.2">
      <c r="A25" s="26">
        <v>19</v>
      </c>
      <c r="B25" s="27" t="s">
        <v>346</v>
      </c>
      <c r="C25" s="27" t="s">
        <v>347</v>
      </c>
      <c r="D25" s="27" t="s">
        <v>28</v>
      </c>
      <c r="E25" s="28">
        <v>157950</v>
      </c>
      <c r="F25" s="29">
        <v>311.272065</v>
      </c>
      <c r="G25" s="30">
        <v>1.4142149999999999E-2</v>
      </c>
      <c r="H25" s="25" t="s">
        <v>148</v>
      </c>
    </row>
    <row r="26" spans="1:8" x14ac:dyDescent="0.2">
      <c r="A26" s="26">
        <v>20</v>
      </c>
      <c r="B26" s="27" t="s">
        <v>101</v>
      </c>
      <c r="C26" s="27" t="s">
        <v>102</v>
      </c>
      <c r="D26" s="27" t="s">
        <v>28</v>
      </c>
      <c r="E26" s="28">
        <v>14000</v>
      </c>
      <c r="F26" s="29">
        <v>266.41300000000001</v>
      </c>
      <c r="G26" s="30">
        <v>1.210405E-2</v>
      </c>
      <c r="H26" s="25" t="s">
        <v>148</v>
      </c>
    </row>
    <row r="27" spans="1:8" x14ac:dyDescent="0.2">
      <c r="A27" s="26">
        <v>21</v>
      </c>
      <c r="B27" s="27" t="s">
        <v>55</v>
      </c>
      <c r="C27" s="27" t="s">
        <v>56</v>
      </c>
      <c r="D27" s="27" t="s">
        <v>22</v>
      </c>
      <c r="E27" s="28">
        <v>74250</v>
      </c>
      <c r="F27" s="29">
        <v>251.85599999999999</v>
      </c>
      <c r="G27" s="30">
        <v>1.144268E-2</v>
      </c>
      <c r="H27" s="25" t="s">
        <v>148</v>
      </c>
    </row>
    <row r="28" spans="1:8" x14ac:dyDescent="0.2">
      <c r="A28" s="26">
        <v>22</v>
      </c>
      <c r="B28" s="27" t="s">
        <v>418</v>
      </c>
      <c r="C28" s="27" t="s">
        <v>419</v>
      </c>
      <c r="D28" s="27" t="s">
        <v>137</v>
      </c>
      <c r="E28" s="28">
        <v>137500</v>
      </c>
      <c r="F28" s="29">
        <v>188.65</v>
      </c>
      <c r="G28" s="30">
        <v>8.5710100000000004E-3</v>
      </c>
      <c r="H28" s="25" t="s">
        <v>148</v>
      </c>
    </row>
    <row r="29" spans="1:8" ht="25.5" x14ac:dyDescent="0.2">
      <c r="A29" s="26">
        <v>23</v>
      </c>
      <c r="B29" s="27" t="s">
        <v>442</v>
      </c>
      <c r="C29" s="27" t="s">
        <v>443</v>
      </c>
      <c r="D29" s="27" t="s">
        <v>202</v>
      </c>
      <c r="E29" s="28">
        <v>13000</v>
      </c>
      <c r="F29" s="29">
        <v>182.97499999999999</v>
      </c>
      <c r="G29" s="30">
        <v>8.3131799999999999E-3</v>
      </c>
      <c r="H29" s="25" t="s">
        <v>148</v>
      </c>
    </row>
    <row r="30" spans="1:8" x14ac:dyDescent="0.2">
      <c r="A30" s="26">
        <v>24</v>
      </c>
      <c r="B30" s="27" t="s">
        <v>440</v>
      </c>
      <c r="C30" s="27" t="s">
        <v>441</v>
      </c>
      <c r="D30" s="27" t="s">
        <v>270</v>
      </c>
      <c r="E30" s="28">
        <v>12375</v>
      </c>
      <c r="F30" s="29">
        <v>177.02437499999999</v>
      </c>
      <c r="G30" s="30">
        <v>8.0428199999999991E-3</v>
      </c>
      <c r="H30" s="25" t="s">
        <v>148</v>
      </c>
    </row>
    <row r="31" spans="1:8" x14ac:dyDescent="0.2">
      <c r="A31" s="26">
        <v>25</v>
      </c>
      <c r="B31" s="27" t="s">
        <v>642</v>
      </c>
      <c r="C31" s="27" t="s">
        <v>643</v>
      </c>
      <c r="D31" s="27" t="s">
        <v>111</v>
      </c>
      <c r="E31" s="28">
        <v>102600</v>
      </c>
      <c r="F31" s="29">
        <v>160.39457999999999</v>
      </c>
      <c r="G31" s="30">
        <v>7.2872700000000002E-3</v>
      </c>
      <c r="H31" s="25" t="s">
        <v>148</v>
      </c>
    </row>
    <row r="32" spans="1:8" ht="25.5" x14ac:dyDescent="0.2">
      <c r="A32" s="26">
        <v>26</v>
      </c>
      <c r="B32" s="27" t="s">
        <v>644</v>
      </c>
      <c r="C32" s="27" t="s">
        <v>645</v>
      </c>
      <c r="D32" s="27" t="s">
        <v>202</v>
      </c>
      <c r="E32" s="28">
        <v>13200</v>
      </c>
      <c r="F32" s="29">
        <v>139.69560000000001</v>
      </c>
      <c r="G32" s="30">
        <v>6.3468500000000002E-3</v>
      </c>
      <c r="H32" s="25" t="s">
        <v>148</v>
      </c>
    </row>
    <row r="33" spans="1:8" x14ac:dyDescent="0.2">
      <c r="A33" s="26">
        <v>27</v>
      </c>
      <c r="B33" s="27" t="s">
        <v>646</v>
      </c>
      <c r="C33" s="27" t="s">
        <v>647</v>
      </c>
      <c r="D33" s="27" t="s">
        <v>28</v>
      </c>
      <c r="E33" s="28">
        <v>168750</v>
      </c>
      <c r="F33" s="29">
        <v>136.51875000000001</v>
      </c>
      <c r="G33" s="30">
        <v>6.2025099999999996E-3</v>
      </c>
      <c r="H33" s="25" t="s">
        <v>148</v>
      </c>
    </row>
    <row r="34" spans="1:8" x14ac:dyDescent="0.2">
      <c r="A34" s="26">
        <v>28</v>
      </c>
      <c r="B34" s="27" t="s">
        <v>332</v>
      </c>
      <c r="C34" s="27" t="s">
        <v>333</v>
      </c>
      <c r="D34" s="27" t="s">
        <v>28</v>
      </c>
      <c r="E34" s="28">
        <v>7150</v>
      </c>
      <c r="F34" s="29">
        <v>123.86660000000001</v>
      </c>
      <c r="G34" s="30">
        <v>5.6276800000000004E-3</v>
      </c>
      <c r="H34" s="25" t="s">
        <v>148</v>
      </c>
    </row>
    <row r="35" spans="1:8" x14ac:dyDescent="0.2">
      <c r="A35" s="26">
        <v>29</v>
      </c>
      <c r="B35" s="27" t="s">
        <v>648</v>
      </c>
      <c r="C35" s="27" t="s">
        <v>649</v>
      </c>
      <c r="D35" s="27" t="s">
        <v>229</v>
      </c>
      <c r="E35" s="28">
        <v>46800</v>
      </c>
      <c r="F35" s="29">
        <v>113.3262</v>
      </c>
      <c r="G35" s="30">
        <v>5.1488000000000003E-3</v>
      </c>
      <c r="H35" s="25" t="s">
        <v>148</v>
      </c>
    </row>
    <row r="36" spans="1:8" x14ac:dyDescent="0.2">
      <c r="A36" s="26">
        <v>30</v>
      </c>
      <c r="B36" s="27" t="s">
        <v>534</v>
      </c>
      <c r="C36" s="27" t="s">
        <v>535</v>
      </c>
      <c r="D36" s="27" t="s">
        <v>275</v>
      </c>
      <c r="E36" s="28">
        <v>3850</v>
      </c>
      <c r="F36" s="29">
        <v>99.526349999999994</v>
      </c>
      <c r="G36" s="30">
        <v>4.5218200000000002E-3</v>
      </c>
      <c r="H36" s="25" t="s">
        <v>148</v>
      </c>
    </row>
    <row r="37" spans="1:8" x14ac:dyDescent="0.2">
      <c r="A37" s="26">
        <v>31</v>
      </c>
      <c r="B37" s="27" t="s">
        <v>650</v>
      </c>
      <c r="C37" s="27" t="s">
        <v>651</v>
      </c>
      <c r="D37" s="27" t="s">
        <v>111</v>
      </c>
      <c r="E37" s="28">
        <v>3500</v>
      </c>
      <c r="F37" s="29">
        <v>65.530500000000004</v>
      </c>
      <c r="G37" s="30">
        <v>2.9772800000000001E-3</v>
      </c>
      <c r="H37" s="25" t="s">
        <v>148</v>
      </c>
    </row>
    <row r="38" spans="1:8" x14ac:dyDescent="0.2">
      <c r="A38" s="26">
        <v>32</v>
      </c>
      <c r="B38" s="27" t="s">
        <v>370</v>
      </c>
      <c r="C38" s="27" t="s">
        <v>371</v>
      </c>
      <c r="D38" s="27" t="s">
        <v>51</v>
      </c>
      <c r="E38" s="28">
        <v>2100</v>
      </c>
      <c r="F38" s="29">
        <v>64.622249999999994</v>
      </c>
      <c r="G38" s="30">
        <v>2.9360100000000002E-3</v>
      </c>
      <c r="H38" s="25" t="s">
        <v>148</v>
      </c>
    </row>
    <row r="39" spans="1:8" x14ac:dyDescent="0.2">
      <c r="A39" s="26">
        <v>33</v>
      </c>
      <c r="B39" s="27" t="s">
        <v>374</v>
      </c>
      <c r="C39" s="27" t="s">
        <v>375</v>
      </c>
      <c r="D39" s="27" t="s">
        <v>376</v>
      </c>
      <c r="E39" s="28">
        <v>15750</v>
      </c>
      <c r="F39" s="29">
        <v>58.172624999999996</v>
      </c>
      <c r="G39" s="30">
        <v>2.6429800000000001E-3</v>
      </c>
      <c r="H39" s="25" t="s">
        <v>148</v>
      </c>
    </row>
    <row r="40" spans="1:8" x14ac:dyDescent="0.2">
      <c r="A40" s="26">
        <v>34</v>
      </c>
      <c r="B40" s="27" t="s">
        <v>20</v>
      </c>
      <c r="C40" s="27" t="s">
        <v>21</v>
      </c>
      <c r="D40" s="27" t="s">
        <v>22</v>
      </c>
      <c r="E40" s="28">
        <v>13500</v>
      </c>
      <c r="F40" s="29">
        <v>42.045749999999998</v>
      </c>
      <c r="G40" s="30">
        <v>1.9102800000000001E-3</v>
      </c>
      <c r="H40" s="25" t="s">
        <v>148</v>
      </c>
    </row>
    <row r="41" spans="1:8" x14ac:dyDescent="0.2">
      <c r="A41" s="26">
        <v>35</v>
      </c>
      <c r="B41" s="27" t="s">
        <v>652</v>
      </c>
      <c r="C41" s="27" t="s">
        <v>653</v>
      </c>
      <c r="D41" s="27" t="s">
        <v>16</v>
      </c>
      <c r="E41" s="28">
        <v>19500</v>
      </c>
      <c r="F41" s="29">
        <v>22.130549999999999</v>
      </c>
      <c r="G41" s="30">
        <v>1.0054700000000001E-3</v>
      </c>
      <c r="H41" s="25" t="s">
        <v>148</v>
      </c>
    </row>
    <row r="42" spans="1:8" x14ac:dyDescent="0.2">
      <c r="A42" s="26">
        <v>36</v>
      </c>
      <c r="B42" s="27" t="s">
        <v>654</v>
      </c>
      <c r="C42" s="27" t="s">
        <v>655</v>
      </c>
      <c r="D42" s="27" t="s">
        <v>267</v>
      </c>
      <c r="E42" s="28">
        <v>3000</v>
      </c>
      <c r="F42" s="29">
        <v>11.28</v>
      </c>
      <c r="G42" s="30">
        <v>5.1248999999999999E-4</v>
      </c>
      <c r="H42" s="25" t="s">
        <v>148</v>
      </c>
    </row>
    <row r="43" spans="1:8" x14ac:dyDescent="0.2">
      <c r="A43" s="23"/>
      <c r="B43" s="23"/>
      <c r="C43" s="24" t="s">
        <v>147</v>
      </c>
      <c r="D43" s="23"/>
      <c r="E43" s="23" t="s">
        <v>148</v>
      </c>
      <c r="F43" s="31">
        <v>16046.8018825</v>
      </c>
      <c r="G43" s="32">
        <v>0.72906108000000003</v>
      </c>
      <c r="H43" s="25" t="s">
        <v>148</v>
      </c>
    </row>
    <row r="44" spans="1:8" x14ac:dyDescent="0.2">
      <c r="A44" s="23"/>
      <c r="B44" s="23"/>
      <c r="C44" s="33"/>
      <c r="D44" s="23"/>
      <c r="E44" s="23"/>
      <c r="F44" s="34"/>
      <c r="G44" s="34"/>
      <c r="H44" s="25" t="s">
        <v>148</v>
      </c>
    </row>
    <row r="45" spans="1:8" x14ac:dyDescent="0.2">
      <c r="A45" s="23"/>
      <c r="B45" s="23"/>
      <c r="C45" s="24" t="s">
        <v>149</v>
      </c>
      <c r="D45" s="23"/>
      <c r="E45" s="23"/>
      <c r="F45" s="23"/>
      <c r="G45" s="23"/>
      <c r="H45" s="25" t="s">
        <v>148</v>
      </c>
    </row>
    <row r="46" spans="1:8" x14ac:dyDescent="0.2">
      <c r="A46" s="23"/>
      <c r="B46" s="23"/>
      <c r="C46" s="24" t="s">
        <v>147</v>
      </c>
      <c r="D46" s="23"/>
      <c r="E46" s="23" t="s">
        <v>148</v>
      </c>
      <c r="F46" s="35" t="s">
        <v>150</v>
      </c>
      <c r="G46" s="32">
        <v>0</v>
      </c>
      <c r="H46" s="25" t="s">
        <v>148</v>
      </c>
    </row>
    <row r="47" spans="1:8" x14ac:dyDescent="0.2">
      <c r="A47" s="23"/>
      <c r="B47" s="23"/>
      <c r="C47" s="33"/>
      <c r="D47" s="23"/>
      <c r="E47" s="23"/>
      <c r="F47" s="34"/>
      <c r="G47" s="34"/>
      <c r="H47" s="25" t="s">
        <v>148</v>
      </c>
    </row>
    <row r="48" spans="1:8" x14ac:dyDescent="0.2">
      <c r="A48" s="23"/>
      <c r="B48" s="23"/>
      <c r="C48" s="24" t="s">
        <v>151</v>
      </c>
      <c r="D48" s="23"/>
      <c r="E48" s="23"/>
      <c r="F48" s="23"/>
      <c r="G48" s="23"/>
      <c r="H48" s="25" t="s">
        <v>148</v>
      </c>
    </row>
    <row r="49" spans="1:8" x14ac:dyDescent="0.2">
      <c r="A49" s="23"/>
      <c r="B49" s="23"/>
      <c r="C49" s="24" t="s">
        <v>147</v>
      </c>
      <c r="D49" s="23"/>
      <c r="E49" s="23" t="s">
        <v>148</v>
      </c>
      <c r="F49" s="35" t="s">
        <v>150</v>
      </c>
      <c r="G49" s="32">
        <v>0</v>
      </c>
      <c r="H49" s="25" t="s">
        <v>148</v>
      </c>
    </row>
    <row r="50" spans="1:8" x14ac:dyDescent="0.2">
      <c r="A50" s="23"/>
      <c r="B50" s="23"/>
      <c r="C50" s="33"/>
      <c r="D50" s="23"/>
      <c r="E50" s="23"/>
      <c r="F50" s="34"/>
      <c r="G50" s="34"/>
      <c r="H50" s="25" t="s">
        <v>148</v>
      </c>
    </row>
    <row r="51" spans="1:8" x14ac:dyDescent="0.2">
      <c r="A51" s="23"/>
      <c r="B51" s="23"/>
      <c r="C51" s="24" t="s">
        <v>152</v>
      </c>
      <c r="D51" s="23"/>
      <c r="E51" s="23"/>
      <c r="F51" s="23"/>
      <c r="G51" s="23"/>
      <c r="H51" s="25" t="s">
        <v>148</v>
      </c>
    </row>
    <row r="52" spans="1:8" x14ac:dyDescent="0.2">
      <c r="A52" s="23"/>
      <c r="B52" s="23"/>
      <c r="C52" s="24" t="s">
        <v>147</v>
      </c>
      <c r="D52" s="23"/>
      <c r="E52" s="23" t="s">
        <v>148</v>
      </c>
      <c r="F52" s="35" t="s">
        <v>150</v>
      </c>
      <c r="G52" s="32">
        <v>0</v>
      </c>
      <c r="H52" s="25" t="s">
        <v>148</v>
      </c>
    </row>
    <row r="53" spans="1:8" x14ac:dyDescent="0.2">
      <c r="A53" s="23"/>
      <c r="B53" s="23"/>
      <c r="C53" s="33"/>
      <c r="D53" s="23"/>
      <c r="E53" s="23"/>
      <c r="F53" s="34"/>
      <c r="G53" s="34"/>
      <c r="H53" s="25" t="s">
        <v>148</v>
      </c>
    </row>
    <row r="54" spans="1:8" x14ac:dyDescent="0.2">
      <c r="A54" s="23"/>
      <c r="B54" s="23"/>
      <c r="C54" s="24" t="s">
        <v>153</v>
      </c>
      <c r="D54" s="23"/>
      <c r="E54" s="23"/>
      <c r="F54" s="34"/>
      <c r="G54" s="34"/>
      <c r="H54" s="25" t="s">
        <v>148</v>
      </c>
    </row>
    <row r="55" spans="1:8" x14ac:dyDescent="0.2">
      <c r="A55" s="23"/>
      <c r="B55" s="23"/>
      <c r="C55" s="24" t="s">
        <v>147</v>
      </c>
      <c r="D55" s="23"/>
      <c r="E55" s="23" t="s">
        <v>148</v>
      </c>
      <c r="F55" s="35" t="s">
        <v>150</v>
      </c>
      <c r="G55" s="32">
        <v>0</v>
      </c>
      <c r="H55" s="25" t="s">
        <v>148</v>
      </c>
    </row>
    <row r="56" spans="1:8" x14ac:dyDescent="0.2">
      <c r="A56" s="23"/>
      <c r="B56" s="23"/>
      <c r="C56" s="33"/>
      <c r="D56" s="23"/>
      <c r="E56" s="23"/>
      <c r="F56" s="34"/>
      <c r="G56" s="34"/>
      <c r="H56" s="25" t="s">
        <v>148</v>
      </c>
    </row>
    <row r="57" spans="1:8" x14ac:dyDescent="0.2">
      <c r="A57" s="23"/>
      <c r="B57" s="23"/>
      <c r="C57" s="24" t="s">
        <v>154</v>
      </c>
      <c r="D57" s="23"/>
      <c r="E57" s="23"/>
      <c r="F57" s="34"/>
      <c r="G57" s="34"/>
      <c r="H57" s="25" t="s">
        <v>148</v>
      </c>
    </row>
    <row r="58" spans="1:8" x14ac:dyDescent="0.2">
      <c r="A58" s="26">
        <v>1</v>
      </c>
      <c r="B58" s="27"/>
      <c r="C58" s="27" t="s">
        <v>957</v>
      </c>
      <c r="D58" s="27" t="s">
        <v>519</v>
      </c>
      <c r="E58" s="28">
        <v>-3000</v>
      </c>
      <c r="F58" s="29">
        <v>-11.352</v>
      </c>
      <c r="G58" s="30">
        <f>F58/$F$149</f>
        <v>-5.1576016759657007E-4</v>
      </c>
      <c r="H58" s="25" t="s">
        <v>148</v>
      </c>
    </row>
    <row r="59" spans="1:8" x14ac:dyDescent="0.2">
      <c r="A59" s="26">
        <v>2</v>
      </c>
      <c r="B59" s="27"/>
      <c r="C59" s="27" t="s">
        <v>958</v>
      </c>
      <c r="D59" s="27" t="s">
        <v>519</v>
      </c>
      <c r="E59" s="28">
        <v>-19500</v>
      </c>
      <c r="F59" s="29">
        <v>-22.2651</v>
      </c>
      <c r="G59" s="30">
        <f t="shared" ref="G59:G93" si="0">F59/$F$149</f>
        <v>-1.0115796077831566E-3</v>
      </c>
      <c r="H59" s="25" t="s">
        <v>148</v>
      </c>
    </row>
    <row r="60" spans="1:8" x14ac:dyDescent="0.2">
      <c r="A60" s="26">
        <v>3</v>
      </c>
      <c r="B60" s="27"/>
      <c r="C60" s="27" t="s">
        <v>959</v>
      </c>
      <c r="D60" s="27" t="s">
        <v>519</v>
      </c>
      <c r="E60" s="28">
        <v>-13500</v>
      </c>
      <c r="F60" s="29">
        <v>-42.214500000000001</v>
      </c>
      <c r="G60" s="30">
        <f t="shared" si="0"/>
        <v>-1.9179490481858184E-3</v>
      </c>
      <c r="H60" s="25" t="s">
        <v>148</v>
      </c>
    </row>
    <row r="61" spans="1:8" x14ac:dyDescent="0.2">
      <c r="A61" s="26">
        <v>4</v>
      </c>
      <c r="B61" s="27"/>
      <c r="C61" s="27" t="s">
        <v>960</v>
      </c>
      <c r="D61" s="27" t="s">
        <v>519</v>
      </c>
      <c r="E61" s="28">
        <v>-15750</v>
      </c>
      <c r="F61" s="29">
        <v>-58.487625000000001</v>
      </c>
      <c r="G61" s="30">
        <f t="shared" si="0"/>
        <v>-2.6572927477383143E-3</v>
      </c>
      <c r="H61" s="25" t="s">
        <v>148</v>
      </c>
    </row>
    <row r="62" spans="1:8" x14ac:dyDescent="0.2">
      <c r="A62" s="26">
        <v>5</v>
      </c>
      <c r="B62" s="27"/>
      <c r="C62" s="27" t="s">
        <v>961</v>
      </c>
      <c r="D62" s="27" t="s">
        <v>519</v>
      </c>
      <c r="E62" s="28">
        <v>-2100</v>
      </c>
      <c r="F62" s="29">
        <v>-64.997100000000003</v>
      </c>
      <c r="G62" s="30">
        <f t="shared" si="0"/>
        <v>-2.9530404500784911E-3</v>
      </c>
      <c r="H62" s="25" t="s">
        <v>148</v>
      </c>
    </row>
    <row r="63" spans="1:8" x14ac:dyDescent="0.2">
      <c r="A63" s="26">
        <v>6</v>
      </c>
      <c r="B63" s="27"/>
      <c r="C63" s="27" t="s">
        <v>962</v>
      </c>
      <c r="D63" s="27" t="s">
        <v>519</v>
      </c>
      <c r="E63" s="28">
        <v>-3500</v>
      </c>
      <c r="F63" s="29">
        <v>-65.918999999999997</v>
      </c>
      <c r="G63" s="30">
        <f t="shared" si="0"/>
        <v>-2.9949255186573556E-3</v>
      </c>
      <c r="H63" s="25" t="s">
        <v>148</v>
      </c>
    </row>
    <row r="64" spans="1:8" x14ac:dyDescent="0.2">
      <c r="A64" s="26">
        <v>7</v>
      </c>
      <c r="B64" s="27"/>
      <c r="C64" s="27" t="s">
        <v>963</v>
      </c>
      <c r="D64" s="27" t="s">
        <v>519</v>
      </c>
      <c r="E64" s="28">
        <v>-3850</v>
      </c>
      <c r="F64" s="29">
        <v>-100.13464999999999</v>
      </c>
      <c r="G64" s="30">
        <f t="shared" si="0"/>
        <v>-4.5494594667216245E-3</v>
      </c>
      <c r="H64" s="25" t="s">
        <v>148</v>
      </c>
    </row>
    <row r="65" spans="1:8" x14ac:dyDescent="0.2">
      <c r="A65" s="26">
        <v>8</v>
      </c>
      <c r="B65" s="27"/>
      <c r="C65" s="27" t="s">
        <v>964</v>
      </c>
      <c r="D65" s="27" t="s">
        <v>519</v>
      </c>
      <c r="E65" s="28">
        <v>-46800</v>
      </c>
      <c r="F65" s="29">
        <v>-113.6772</v>
      </c>
      <c r="G65" s="30">
        <f t="shared" si="0"/>
        <v>-5.1647438093647656E-3</v>
      </c>
      <c r="H65" s="25" t="s">
        <v>148</v>
      </c>
    </row>
    <row r="66" spans="1:8" x14ac:dyDescent="0.2">
      <c r="A66" s="26">
        <v>9</v>
      </c>
      <c r="B66" s="27"/>
      <c r="C66" s="27" t="s">
        <v>965</v>
      </c>
      <c r="D66" s="27" t="s">
        <v>519</v>
      </c>
      <c r="E66" s="28">
        <v>-7150</v>
      </c>
      <c r="F66" s="29">
        <v>-124.267</v>
      </c>
      <c r="G66" s="30">
        <f t="shared" si="0"/>
        <v>-5.6458746253279573E-3</v>
      </c>
      <c r="H66" s="25" t="s">
        <v>148</v>
      </c>
    </row>
    <row r="67" spans="1:8" x14ac:dyDescent="0.2">
      <c r="A67" s="26">
        <v>10</v>
      </c>
      <c r="B67" s="27"/>
      <c r="C67" s="27" t="s">
        <v>966</v>
      </c>
      <c r="D67" s="27" t="s">
        <v>519</v>
      </c>
      <c r="E67" s="28">
        <v>-168750</v>
      </c>
      <c r="F67" s="29">
        <v>-137.37937500000001</v>
      </c>
      <c r="G67" s="30">
        <f t="shared" si="0"/>
        <v>-6.2416146471381308E-3</v>
      </c>
      <c r="H67" s="25" t="s">
        <v>148</v>
      </c>
    </row>
    <row r="68" spans="1:8" x14ac:dyDescent="0.2">
      <c r="A68" s="26">
        <v>11</v>
      </c>
      <c r="B68" s="27"/>
      <c r="C68" s="27" t="s">
        <v>967</v>
      </c>
      <c r="D68" s="27" t="s">
        <v>519</v>
      </c>
      <c r="E68" s="28">
        <v>-13200</v>
      </c>
      <c r="F68" s="29">
        <v>-140.547</v>
      </c>
      <c r="G68" s="30">
        <f t="shared" si="0"/>
        <v>-6.3855306796331167E-3</v>
      </c>
      <c r="H68" s="25" t="s">
        <v>148</v>
      </c>
    </row>
    <row r="69" spans="1:8" x14ac:dyDescent="0.2">
      <c r="A69" s="26">
        <v>12</v>
      </c>
      <c r="B69" s="27"/>
      <c r="C69" s="27" t="s">
        <v>968</v>
      </c>
      <c r="D69" s="27" t="s">
        <v>519</v>
      </c>
      <c r="E69" s="28">
        <v>-102600</v>
      </c>
      <c r="F69" s="29">
        <v>-161.12304</v>
      </c>
      <c r="G69" s="30">
        <f t="shared" si="0"/>
        <v>-7.320370517447927E-3</v>
      </c>
      <c r="H69" s="25" t="s">
        <v>148</v>
      </c>
    </row>
    <row r="70" spans="1:8" x14ac:dyDescent="0.2">
      <c r="A70" s="26">
        <v>13</v>
      </c>
      <c r="B70" s="27"/>
      <c r="C70" s="27" t="s">
        <v>969</v>
      </c>
      <c r="D70" s="27" t="s">
        <v>519</v>
      </c>
      <c r="E70" s="28">
        <v>-12375</v>
      </c>
      <c r="F70" s="29">
        <v>-177.27187499999999</v>
      </c>
      <c r="G70" s="30">
        <f t="shared" si="0"/>
        <v>-8.0540672974064673E-3</v>
      </c>
      <c r="H70" s="25" t="s">
        <v>148</v>
      </c>
    </row>
    <row r="71" spans="1:8" x14ac:dyDescent="0.2">
      <c r="A71" s="26">
        <v>14</v>
      </c>
      <c r="B71" s="27"/>
      <c r="C71" s="27" t="s">
        <v>970</v>
      </c>
      <c r="D71" s="27" t="s">
        <v>519</v>
      </c>
      <c r="E71" s="28">
        <v>-13000</v>
      </c>
      <c r="F71" s="29">
        <v>-183.976</v>
      </c>
      <c r="G71" s="30">
        <f t="shared" si="0"/>
        <v>-8.3586586146711227E-3</v>
      </c>
      <c r="H71" s="25" t="s">
        <v>148</v>
      </c>
    </row>
    <row r="72" spans="1:8" x14ac:dyDescent="0.2">
      <c r="A72" s="26">
        <v>15</v>
      </c>
      <c r="B72" s="27"/>
      <c r="C72" s="27" t="s">
        <v>971</v>
      </c>
      <c r="D72" s="27" t="s">
        <v>519</v>
      </c>
      <c r="E72" s="28">
        <v>-137500</v>
      </c>
      <c r="F72" s="29">
        <v>-189.255</v>
      </c>
      <c r="G72" s="30">
        <f t="shared" si="0"/>
        <v>-8.5985016312974689E-3</v>
      </c>
      <c r="H72" s="25" t="s">
        <v>148</v>
      </c>
    </row>
    <row r="73" spans="1:8" x14ac:dyDescent="0.2">
      <c r="A73" s="26">
        <v>16</v>
      </c>
      <c r="B73" s="27"/>
      <c r="C73" s="27" t="s">
        <v>972</v>
      </c>
      <c r="D73" s="27" t="s">
        <v>519</v>
      </c>
      <c r="E73" s="28">
        <v>-74250</v>
      </c>
      <c r="F73" s="29">
        <v>-252.5985</v>
      </c>
      <c r="G73" s="30">
        <f t="shared" si="0"/>
        <v>-1.1476413380430076E-2</v>
      </c>
      <c r="H73" s="25" t="s">
        <v>148</v>
      </c>
    </row>
    <row r="74" spans="1:8" x14ac:dyDescent="0.2">
      <c r="A74" s="26">
        <v>17</v>
      </c>
      <c r="B74" s="27"/>
      <c r="C74" s="27" t="s">
        <v>973</v>
      </c>
      <c r="D74" s="27" t="s">
        <v>519</v>
      </c>
      <c r="E74" s="28">
        <v>-14000</v>
      </c>
      <c r="F74" s="29">
        <v>-268.00200000000001</v>
      </c>
      <c r="G74" s="30">
        <f t="shared" si="0"/>
        <v>-1.2176247043359407E-2</v>
      </c>
      <c r="H74" s="25" t="s">
        <v>148</v>
      </c>
    </row>
    <row r="75" spans="1:8" x14ac:dyDescent="0.2">
      <c r="A75" s="26">
        <v>18</v>
      </c>
      <c r="B75" s="27"/>
      <c r="C75" s="27" t="s">
        <v>974</v>
      </c>
      <c r="D75" s="27" t="s">
        <v>519</v>
      </c>
      <c r="E75" s="28">
        <v>-157950</v>
      </c>
      <c r="F75" s="29">
        <v>-312.69361500000002</v>
      </c>
      <c r="G75" s="30">
        <f t="shared" si="0"/>
        <v>-1.4206739894184054E-2</v>
      </c>
      <c r="H75" s="25" t="s">
        <v>148</v>
      </c>
    </row>
    <row r="76" spans="1:8" x14ac:dyDescent="0.2">
      <c r="A76" s="26">
        <v>19</v>
      </c>
      <c r="B76" s="27"/>
      <c r="C76" s="27" t="s">
        <v>975</v>
      </c>
      <c r="D76" s="27" t="s">
        <v>519</v>
      </c>
      <c r="E76" s="28">
        <v>-400000</v>
      </c>
      <c r="F76" s="29">
        <v>-351.32</v>
      </c>
      <c r="G76" s="30">
        <f t="shared" si="0"/>
        <v>-1.5961668611700758E-2</v>
      </c>
      <c r="H76" s="25" t="s">
        <v>148</v>
      </c>
    </row>
    <row r="77" spans="1:8" x14ac:dyDescent="0.2">
      <c r="A77" s="26">
        <v>20</v>
      </c>
      <c r="B77" s="27"/>
      <c r="C77" s="27" t="s">
        <v>976</v>
      </c>
      <c r="D77" s="27" t="s">
        <v>519</v>
      </c>
      <c r="E77" s="28">
        <v>-22800</v>
      </c>
      <c r="F77" s="29">
        <v>-360.0804</v>
      </c>
      <c r="G77" s="30">
        <f t="shared" si="0"/>
        <v>-1.6359683531733615E-2</v>
      </c>
      <c r="H77" s="25" t="s">
        <v>148</v>
      </c>
    </row>
    <row r="78" spans="1:8" x14ac:dyDescent="0.2">
      <c r="A78" s="26">
        <v>21</v>
      </c>
      <c r="B78" s="27"/>
      <c r="C78" s="27" t="s">
        <v>977</v>
      </c>
      <c r="D78" s="27" t="s">
        <v>519</v>
      </c>
      <c r="E78" s="28">
        <v>-4500</v>
      </c>
      <c r="F78" s="29">
        <v>-385.96724999999998</v>
      </c>
      <c r="G78" s="30">
        <f t="shared" si="0"/>
        <v>-1.7535811623219457E-2</v>
      </c>
      <c r="H78" s="25" t="s">
        <v>148</v>
      </c>
    </row>
    <row r="79" spans="1:8" x14ac:dyDescent="0.2">
      <c r="A79" s="26">
        <v>22</v>
      </c>
      <c r="B79" s="27"/>
      <c r="C79" s="27" t="s">
        <v>978</v>
      </c>
      <c r="D79" s="27" t="s">
        <v>519</v>
      </c>
      <c r="E79" s="28">
        <v>-58000</v>
      </c>
      <c r="F79" s="29">
        <v>-416.23700000000002</v>
      </c>
      <c r="G79" s="30">
        <f t="shared" si="0"/>
        <v>-1.8911069844951865E-2</v>
      </c>
      <c r="H79" s="25" t="s">
        <v>148</v>
      </c>
    </row>
    <row r="80" spans="1:8" x14ac:dyDescent="0.2">
      <c r="A80" s="26">
        <v>23</v>
      </c>
      <c r="B80" s="27"/>
      <c r="C80" s="27" t="s">
        <v>979</v>
      </c>
      <c r="D80" s="27" t="s">
        <v>519</v>
      </c>
      <c r="E80" s="28">
        <v>-81200</v>
      </c>
      <c r="F80" s="29">
        <v>-516.47260000000006</v>
      </c>
      <c r="G80" s="30">
        <f t="shared" si="0"/>
        <v>-2.3465115815278041E-2</v>
      </c>
      <c r="H80" s="25" t="s">
        <v>148</v>
      </c>
    </row>
    <row r="81" spans="1:8" x14ac:dyDescent="0.2">
      <c r="A81" s="26">
        <v>24</v>
      </c>
      <c r="B81" s="27"/>
      <c r="C81" s="27" t="s">
        <v>980</v>
      </c>
      <c r="D81" s="27" t="s">
        <v>519</v>
      </c>
      <c r="E81" s="28">
        <v>-32900</v>
      </c>
      <c r="F81" s="29">
        <v>-527.27184999999997</v>
      </c>
      <c r="G81" s="30">
        <f t="shared" si="0"/>
        <v>-2.3955762660760532E-2</v>
      </c>
      <c r="H81" s="25" t="s">
        <v>148</v>
      </c>
    </row>
    <row r="82" spans="1:8" x14ac:dyDescent="0.2">
      <c r="A82" s="26">
        <v>25</v>
      </c>
      <c r="B82" s="27"/>
      <c r="C82" s="27" t="s">
        <v>981</v>
      </c>
      <c r="D82" s="27" t="s">
        <v>519</v>
      </c>
      <c r="E82" s="28">
        <v>-85800</v>
      </c>
      <c r="F82" s="29">
        <v>-546.76049999999998</v>
      </c>
      <c r="G82" s="30">
        <f t="shared" si="0"/>
        <v>-2.4841198653557474E-2</v>
      </c>
      <c r="H82" s="25" t="s">
        <v>148</v>
      </c>
    </row>
    <row r="83" spans="1:8" x14ac:dyDescent="0.2">
      <c r="A83" s="26">
        <v>26</v>
      </c>
      <c r="B83" s="27"/>
      <c r="C83" s="27" t="s">
        <v>982</v>
      </c>
      <c r="D83" s="27" t="s">
        <v>519</v>
      </c>
      <c r="E83" s="28">
        <v>-27600</v>
      </c>
      <c r="F83" s="29">
        <v>-580.1934</v>
      </c>
      <c r="G83" s="30">
        <f t="shared" si="0"/>
        <v>-2.6360169593236771E-2</v>
      </c>
      <c r="H83" s="25" t="s">
        <v>148</v>
      </c>
    </row>
    <row r="84" spans="1:8" x14ac:dyDescent="0.2">
      <c r="A84" s="26">
        <v>27</v>
      </c>
      <c r="B84" s="27"/>
      <c r="C84" s="27" t="s">
        <v>983</v>
      </c>
      <c r="D84" s="27" t="s">
        <v>519</v>
      </c>
      <c r="E84" s="28">
        <v>-16975</v>
      </c>
      <c r="F84" s="29">
        <v>-594.79551249999997</v>
      </c>
      <c r="G84" s="30">
        <f t="shared" si="0"/>
        <v>-2.7023593482442546E-2</v>
      </c>
      <c r="H84" s="25" t="s">
        <v>148</v>
      </c>
    </row>
    <row r="85" spans="1:8" x14ac:dyDescent="0.2">
      <c r="A85" s="26">
        <v>28</v>
      </c>
      <c r="B85" s="27"/>
      <c r="C85" s="27" t="s">
        <v>984</v>
      </c>
      <c r="D85" s="27" t="s">
        <v>519</v>
      </c>
      <c r="E85" s="28">
        <v>-18750</v>
      </c>
      <c r="F85" s="29">
        <v>-596.53125</v>
      </c>
      <c r="G85" s="30">
        <f t="shared" si="0"/>
        <v>-2.7102453970806153E-2</v>
      </c>
      <c r="H85" s="25" t="s">
        <v>148</v>
      </c>
    </row>
    <row r="86" spans="1:8" x14ac:dyDescent="0.2">
      <c r="A86" s="26">
        <v>29</v>
      </c>
      <c r="B86" s="27"/>
      <c r="C86" s="27" t="s">
        <v>985</v>
      </c>
      <c r="D86" s="27" t="s">
        <v>519</v>
      </c>
      <c r="E86" s="28">
        <v>-144000</v>
      </c>
      <c r="F86" s="29">
        <v>-671.54399999999998</v>
      </c>
      <c r="G86" s="30">
        <f t="shared" si="0"/>
        <v>-3.0510539639576381E-2</v>
      </c>
      <c r="H86" s="25" t="s">
        <v>148</v>
      </c>
    </row>
    <row r="87" spans="1:8" x14ac:dyDescent="0.2">
      <c r="A87" s="26">
        <v>30</v>
      </c>
      <c r="B87" s="27"/>
      <c r="C87" s="27" t="s">
        <v>986</v>
      </c>
      <c r="D87" s="27" t="s">
        <v>519</v>
      </c>
      <c r="E87" s="28">
        <v>-125400</v>
      </c>
      <c r="F87" s="29">
        <v>-782.74680000000001</v>
      </c>
      <c r="G87" s="30">
        <f t="shared" si="0"/>
        <v>-3.5562862998033733E-2</v>
      </c>
      <c r="H87" s="25" t="s">
        <v>148</v>
      </c>
    </row>
    <row r="88" spans="1:8" x14ac:dyDescent="0.2">
      <c r="A88" s="26">
        <v>31</v>
      </c>
      <c r="B88" s="27"/>
      <c r="C88" s="27" t="s">
        <v>987</v>
      </c>
      <c r="D88" s="27" t="s">
        <v>519</v>
      </c>
      <c r="E88" s="28">
        <v>-228800</v>
      </c>
      <c r="F88" s="29">
        <v>-907.87840000000006</v>
      </c>
      <c r="G88" s="30">
        <f t="shared" si="0"/>
        <v>-4.1248019357056548E-2</v>
      </c>
      <c r="H88" s="25" t="s">
        <v>148</v>
      </c>
    </row>
    <row r="89" spans="1:8" x14ac:dyDescent="0.2">
      <c r="A89" s="26">
        <v>32</v>
      </c>
      <c r="B89" s="27"/>
      <c r="C89" s="27" t="s">
        <v>988</v>
      </c>
      <c r="D89" s="27" t="s">
        <v>519</v>
      </c>
      <c r="E89" s="28">
        <v>-285600</v>
      </c>
      <c r="F89" s="29">
        <v>-928.77120000000002</v>
      </c>
      <c r="G89" s="30">
        <f t="shared" si="0"/>
        <v>-4.2197250684537307E-2</v>
      </c>
      <c r="H89" s="25" t="s">
        <v>148</v>
      </c>
    </row>
    <row r="90" spans="1:8" x14ac:dyDescent="0.2">
      <c r="A90" s="26">
        <v>33</v>
      </c>
      <c r="B90" s="27"/>
      <c r="C90" s="27" t="s">
        <v>989</v>
      </c>
      <c r="D90" s="27" t="s">
        <v>519</v>
      </c>
      <c r="E90" s="28">
        <v>-390400</v>
      </c>
      <c r="F90" s="29">
        <v>-973.2672</v>
      </c>
      <c r="G90" s="30">
        <f t="shared" si="0"/>
        <v>-4.4218856077188562E-2</v>
      </c>
      <c r="H90" s="25" t="s">
        <v>148</v>
      </c>
    </row>
    <row r="91" spans="1:8" x14ac:dyDescent="0.2">
      <c r="A91" s="26">
        <v>34</v>
      </c>
      <c r="B91" s="27"/>
      <c r="C91" s="27" t="s">
        <v>990</v>
      </c>
      <c r="D91" s="27" t="s">
        <v>519</v>
      </c>
      <c r="E91" s="28">
        <v>-121250</v>
      </c>
      <c r="F91" s="29">
        <v>-1238.4475</v>
      </c>
      <c r="G91" s="30">
        <f t="shared" si="0"/>
        <v>-5.6266903643371495E-2</v>
      </c>
      <c r="H91" s="25" t="s">
        <v>148</v>
      </c>
    </row>
    <row r="92" spans="1:8" x14ac:dyDescent="0.2">
      <c r="A92" s="26">
        <v>35</v>
      </c>
      <c r="B92" s="27"/>
      <c r="C92" s="27" t="s">
        <v>991</v>
      </c>
      <c r="D92" s="27" t="s">
        <v>519</v>
      </c>
      <c r="E92" s="28">
        <v>-116200</v>
      </c>
      <c r="F92" s="29">
        <v>-1407.5306</v>
      </c>
      <c r="G92" s="30">
        <f t="shared" si="0"/>
        <v>-6.3948926898634684E-2</v>
      </c>
      <c r="H92" s="25" t="s">
        <v>148</v>
      </c>
    </row>
    <row r="93" spans="1:8" x14ac:dyDescent="0.2">
      <c r="A93" s="26">
        <v>36</v>
      </c>
      <c r="B93" s="27"/>
      <c r="C93" s="27" t="s">
        <v>992</v>
      </c>
      <c r="D93" s="27" t="s">
        <v>519</v>
      </c>
      <c r="E93" s="28">
        <v>-158000</v>
      </c>
      <c r="F93" s="29">
        <v>-1906.27</v>
      </c>
      <c r="G93" s="30">
        <f t="shared" si="0"/>
        <v>-8.6608362815742926E-2</v>
      </c>
      <c r="H93" s="25" t="s">
        <v>148</v>
      </c>
    </row>
    <row r="94" spans="1:8" x14ac:dyDescent="0.2">
      <c r="A94" s="23"/>
      <c r="B94" s="23"/>
      <c r="C94" s="24" t="s">
        <v>147</v>
      </c>
      <c r="D94" s="23"/>
      <c r="E94" s="23" t="s">
        <v>148</v>
      </c>
      <c r="F94" s="31">
        <v>-16118.246042500001</v>
      </c>
      <c r="G94" s="32">
        <v>-0.73230702000000003</v>
      </c>
      <c r="H94" s="25" t="s">
        <v>148</v>
      </c>
    </row>
    <row r="95" spans="1:8" x14ac:dyDescent="0.2">
      <c r="A95" s="23"/>
      <c r="B95" s="23"/>
      <c r="C95" s="33"/>
      <c r="D95" s="23"/>
      <c r="E95" s="23"/>
      <c r="F95" s="34"/>
      <c r="G95" s="34"/>
      <c r="H95" s="25" t="s">
        <v>148</v>
      </c>
    </row>
    <row r="96" spans="1:8" x14ac:dyDescent="0.2">
      <c r="A96" s="23"/>
      <c r="B96" s="23"/>
      <c r="C96" s="24" t="s">
        <v>155</v>
      </c>
      <c r="D96" s="23"/>
      <c r="E96" s="23"/>
      <c r="F96" s="31">
        <f>F43</f>
        <v>16046.8018825</v>
      </c>
      <c r="G96" s="32">
        <f>G43</f>
        <v>0.72906108000000003</v>
      </c>
      <c r="H96" s="25" t="s">
        <v>148</v>
      </c>
    </row>
    <row r="97" spans="1:8" x14ac:dyDescent="0.2">
      <c r="A97" s="23"/>
      <c r="B97" s="23"/>
      <c r="C97" s="33"/>
      <c r="D97" s="23"/>
      <c r="E97" s="23"/>
      <c r="F97" s="34"/>
      <c r="G97" s="34"/>
      <c r="H97" s="25" t="s">
        <v>148</v>
      </c>
    </row>
    <row r="98" spans="1:8" x14ac:dyDescent="0.2">
      <c r="A98" s="23"/>
      <c r="B98" s="23"/>
      <c r="C98" s="24" t="s">
        <v>156</v>
      </c>
      <c r="D98" s="23"/>
      <c r="E98" s="23"/>
      <c r="F98" s="34"/>
      <c r="G98" s="34"/>
      <c r="H98" s="25" t="s">
        <v>148</v>
      </c>
    </row>
    <row r="99" spans="1:8" x14ac:dyDescent="0.2">
      <c r="A99" s="23"/>
      <c r="B99" s="23"/>
      <c r="C99" s="24" t="s">
        <v>10</v>
      </c>
      <c r="D99" s="23"/>
      <c r="E99" s="23"/>
      <c r="F99" s="34"/>
      <c r="G99" s="34"/>
      <c r="H99" s="25" t="s">
        <v>148</v>
      </c>
    </row>
    <row r="100" spans="1:8" x14ac:dyDescent="0.2">
      <c r="A100" s="23"/>
      <c r="B100" s="23"/>
      <c r="C100" s="24" t="s">
        <v>147</v>
      </c>
      <c r="D100" s="23"/>
      <c r="E100" s="23" t="s">
        <v>148</v>
      </c>
      <c r="F100" s="35" t="s">
        <v>150</v>
      </c>
      <c r="G100" s="32">
        <v>0</v>
      </c>
      <c r="H100" s="25" t="s">
        <v>148</v>
      </c>
    </row>
    <row r="101" spans="1:8" x14ac:dyDescent="0.2">
      <c r="A101" s="23"/>
      <c r="B101" s="23"/>
      <c r="C101" s="33"/>
      <c r="D101" s="23"/>
      <c r="E101" s="23"/>
      <c r="F101" s="34"/>
      <c r="G101" s="34"/>
      <c r="H101" s="25" t="s">
        <v>148</v>
      </c>
    </row>
    <row r="102" spans="1:8" x14ac:dyDescent="0.2">
      <c r="A102" s="23"/>
      <c r="B102" s="23"/>
      <c r="C102" s="24" t="s">
        <v>157</v>
      </c>
      <c r="D102" s="23"/>
      <c r="E102" s="23"/>
      <c r="F102" s="23"/>
      <c r="G102" s="23"/>
      <c r="H102" s="25" t="s">
        <v>148</v>
      </c>
    </row>
    <row r="103" spans="1:8" x14ac:dyDescent="0.2">
      <c r="A103" s="23"/>
      <c r="B103" s="23"/>
      <c r="C103" s="24" t="s">
        <v>147</v>
      </c>
      <c r="D103" s="23"/>
      <c r="E103" s="23" t="s">
        <v>148</v>
      </c>
      <c r="F103" s="35" t="s">
        <v>150</v>
      </c>
      <c r="G103" s="32">
        <v>0</v>
      </c>
      <c r="H103" s="25" t="s">
        <v>148</v>
      </c>
    </row>
    <row r="104" spans="1:8" x14ac:dyDescent="0.2">
      <c r="A104" s="23"/>
      <c r="B104" s="23"/>
      <c r="C104" s="33"/>
      <c r="D104" s="23"/>
      <c r="E104" s="23"/>
      <c r="F104" s="34"/>
      <c r="G104" s="34"/>
      <c r="H104" s="25" t="s">
        <v>148</v>
      </c>
    </row>
    <row r="105" spans="1:8" x14ac:dyDescent="0.2">
      <c r="A105" s="23"/>
      <c r="B105" s="23"/>
      <c r="C105" s="24" t="s">
        <v>158</v>
      </c>
      <c r="D105" s="23"/>
      <c r="E105" s="23"/>
      <c r="F105" s="23"/>
      <c r="G105" s="23"/>
      <c r="H105" s="25" t="s">
        <v>148</v>
      </c>
    </row>
    <row r="106" spans="1:8" x14ac:dyDescent="0.2">
      <c r="A106" s="26">
        <v>1</v>
      </c>
      <c r="B106" s="27" t="s">
        <v>656</v>
      </c>
      <c r="C106" s="27" t="s">
        <v>1086</v>
      </c>
      <c r="D106" s="27" t="s">
        <v>521</v>
      </c>
      <c r="E106" s="28">
        <v>1000000</v>
      </c>
      <c r="F106" s="29">
        <v>1016.95</v>
      </c>
      <c r="G106" s="30">
        <v>4.6203519999999998E-2</v>
      </c>
      <c r="H106" s="25">
        <v>6.6759000000000004</v>
      </c>
    </row>
    <row r="107" spans="1:8" x14ac:dyDescent="0.2">
      <c r="A107" s="23"/>
      <c r="B107" s="23"/>
      <c r="C107" s="24" t="s">
        <v>147</v>
      </c>
      <c r="D107" s="23"/>
      <c r="E107" s="23" t="s">
        <v>148</v>
      </c>
      <c r="F107" s="31">
        <v>1016.95</v>
      </c>
      <c r="G107" s="32">
        <v>4.6203519999999998E-2</v>
      </c>
      <c r="H107" s="25" t="s">
        <v>148</v>
      </c>
    </row>
    <row r="108" spans="1:8" x14ac:dyDescent="0.2">
      <c r="A108" s="23"/>
      <c r="B108" s="23"/>
      <c r="C108" s="33"/>
      <c r="D108" s="23"/>
      <c r="E108" s="23"/>
      <c r="F108" s="34"/>
      <c r="G108" s="34"/>
      <c r="H108" s="25" t="s">
        <v>148</v>
      </c>
    </row>
    <row r="109" spans="1:8" x14ac:dyDescent="0.2">
      <c r="A109" s="23"/>
      <c r="B109" s="23"/>
      <c r="C109" s="24" t="s">
        <v>159</v>
      </c>
      <c r="D109" s="23"/>
      <c r="E109" s="23"/>
      <c r="F109" s="34"/>
      <c r="G109" s="34"/>
      <c r="H109" s="25" t="s">
        <v>148</v>
      </c>
    </row>
    <row r="110" spans="1:8" x14ac:dyDescent="0.2">
      <c r="A110" s="23"/>
      <c r="B110" s="23"/>
      <c r="C110" s="24" t="s">
        <v>147</v>
      </c>
      <c r="D110" s="23"/>
      <c r="E110" s="23" t="s">
        <v>148</v>
      </c>
      <c r="F110" s="35" t="s">
        <v>150</v>
      </c>
      <c r="G110" s="32">
        <v>0</v>
      </c>
      <c r="H110" s="25" t="s">
        <v>148</v>
      </c>
    </row>
    <row r="111" spans="1:8" x14ac:dyDescent="0.2">
      <c r="A111" s="23"/>
      <c r="B111" s="23"/>
      <c r="C111" s="33"/>
      <c r="D111" s="23"/>
      <c r="E111" s="23"/>
      <c r="F111" s="34"/>
      <c r="G111" s="34"/>
      <c r="H111" s="25" t="s">
        <v>148</v>
      </c>
    </row>
    <row r="112" spans="1:8" x14ac:dyDescent="0.2">
      <c r="A112" s="23"/>
      <c r="B112" s="23"/>
      <c r="C112" s="24" t="s">
        <v>160</v>
      </c>
      <c r="D112" s="23"/>
      <c r="E112" s="23"/>
      <c r="F112" s="31">
        <v>1016.95</v>
      </c>
      <c r="G112" s="32">
        <v>4.6203519999999998E-2</v>
      </c>
      <c r="H112" s="25" t="s">
        <v>148</v>
      </c>
    </row>
    <row r="113" spans="1:8" x14ac:dyDescent="0.2">
      <c r="A113" s="23"/>
      <c r="B113" s="23"/>
      <c r="C113" s="33"/>
      <c r="D113" s="23"/>
      <c r="E113" s="23"/>
      <c r="F113" s="34"/>
      <c r="G113" s="34"/>
      <c r="H113" s="25" t="s">
        <v>148</v>
      </c>
    </row>
    <row r="114" spans="1:8" x14ac:dyDescent="0.2">
      <c r="A114" s="23"/>
      <c r="B114" s="23"/>
      <c r="C114" s="24" t="s">
        <v>161</v>
      </c>
      <c r="D114" s="23"/>
      <c r="E114" s="23"/>
      <c r="F114" s="34"/>
      <c r="G114" s="34"/>
      <c r="H114" s="25" t="s">
        <v>148</v>
      </c>
    </row>
    <row r="115" spans="1:8" x14ac:dyDescent="0.2">
      <c r="A115" s="23"/>
      <c r="B115" s="23"/>
      <c r="C115" s="24" t="s">
        <v>162</v>
      </c>
      <c r="D115" s="23"/>
      <c r="E115" s="23"/>
      <c r="F115" s="34"/>
      <c r="G115" s="34"/>
      <c r="H115" s="25" t="s">
        <v>148</v>
      </c>
    </row>
    <row r="116" spans="1:8" x14ac:dyDescent="0.2">
      <c r="A116" s="23"/>
      <c r="B116" s="23"/>
      <c r="C116" s="24" t="s">
        <v>147</v>
      </c>
      <c r="D116" s="23"/>
      <c r="E116" s="23" t="s">
        <v>148</v>
      </c>
      <c r="F116" s="35" t="s">
        <v>150</v>
      </c>
      <c r="G116" s="32">
        <v>0</v>
      </c>
      <c r="H116" s="25" t="s">
        <v>148</v>
      </c>
    </row>
    <row r="117" spans="1:8" x14ac:dyDescent="0.2">
      <c r="A117" s="23"/>
      <c r="B117" s="23"/>
      <c r="C117" s="33"/>
      <c r="D117" s="23"/>
      <c r="E117" s="23"/>
      <c r="F117" s="34"/>
      <c r="G117" s="34"/>
      <c r="H117" s="25" t="s">
        <v>148</v>
      </c>
    </row>
    <row r="118" spans="1:8" x14ac:dyDescent="0.2">
      <c r="A118" s="23"/>
      <c r="B118" s="23"/>
      <c r="C118" s="24" t="s">
        <v>163</v>
      </c>
      <c r="D118" s="23"/>
      <c r="E118" s="23"/>
      <c r="F118" s="34"/>
      <c r="G118" s="34"/>
      <c r="H118" s="25" t="s">
        <v>148</v>
      </c>
    </row>
    <row r="119" spans="1:8" x14ac:dyDescent="0.2">
      <c r="A119" s="23"/>
      <c r="B119" s="23"/>
      <c r="C119" s="24" t="s">
        <v>147</v>
      </c>
      <c r="D119" s="23"/>
      <c r="E119" s="23" t="s">
        <v>148</v>
      </c>
      <c r="F119" s="35" t="s">
        <v>150</v>
      </c>
      <c r="G119" s="32">
        <v>0</v>
      </c>
      <c r="H119" s="25" t="s">
        <v>148</v>
      </c>
    </row>
    <row r="120" spans="1:8" x14ac:dyDescent="0.2">
      <c r="A120" s="23"/>
      <c r="B120" s="23"/>
      <c r="C120" s="33"/>
      <c r="D120" s="23"/>
      <c r="E120" s="23"/>
      <c r="F120" s="34"/>
      <c r="G120" s="34"/>
      <c r="H120" s="25" t="s">
        <v>148</v>
      </c>
    </row>
    <row r="121" spans="1:8" x14ac:dyDescent="0.2">
      <c r="A121" s="23"/>
      <c r="B121" s="23"/>
      <c r="C121" s="24" t="s">
        <v>164</v>
      </c>
      <c r="D121" s="23"/>
      <c r="E121" s="23"/>
      <c r="F121" s="34"/>
      <c r="G121" s="34"/>
      <c r="H121" s="25" t="s">
        <v>148</v>
      </c>
    </row>
    <row r="122" spans="1:8" x14ac:dyDescent="0.2">
      <c r="A122" s="26">
        <v>1</v>
      </c>
      <c r="B122" s="27" t="s">
        <v>658</v>
      </c>
      <c r="C122" s="27" t="s">
        <v>1088</v>
      </c>
      <c r="D122" s="27" t="s">
        <v>521</v>
      </c>
      <c r="E122" s="28">
        <v>500000</v>
      </c>
      <c r="F122" s="29">
        <v>495.77850000000001</v>
      </c>
      <c r="G122" s="30">
        <v>2.2524909999999999E-2</v>
      </c>
      <c r="H122" s="25">
        <v>6.4749999999999996</v>
      </c>
    </row>
    <row r="123" spans="1:8" x14ac:dyDescent="0.2">
      <c r="A123" s="26">
        <v>2</v>
      </c>
      <c r="B123" s="27" t="s">
        <v>659</v>
      </c>
      <c r="C123" s="27" t="s">
        <v>1087</v>
      </c>
      <c r="D123" s="27" t="s">
        <v>521</v>
      </c>
      <c r="E123" s="28">
        <v>500000</v>
      </c>
      <c r="F123" s="29">
        <v>495.25549999999998</v>
      </c>
      <c r="G123" s="30">
        <v>2.2501150000000001E-2</v>
      </c>
      <c r="H123" s="25">
        <v>6.4749999999999996</v>
      </c>
    </row>
    <row r="124" spans="1:8" x14ac:dyDescent="0.2">
      <c r="A124" s="26">
        <v>3</v>
      </c>
      <c r="B124" s="27" t="s">
        <v>520</v>
      </c>
      <c r="C124" s="27" t="s">
        <v>1082</v>
      </c>
      <c r="D124" s="27" t="s">
        <v>521</v>
      </c>
      <c r="E124" s="28">
        <v>500000</v>
      </c>
      <c r="F124" s="29">
        <v>494.55650000000003</v>
      </c>
      <c r="G124" s="30">
        <v>2.2469389999999999E-2</v>
      </c>
      <c r="H124" s="25">
        <v>6.48</v>
      </c>
    </row>
    <row r="125" spans="1:8" x14ac:dyDescent="0.2">
      <c r="A125" s="26">
        <v>4</v>
      </c>
      <c r="B125" s="27" t="s">
        <v>660</v>
      </c>
      <c r="C125" s="27" t="s">
        <v>1089</v>
      </c>
      <c r="D125" s="27" t="s">
        <v>521</v>
      </c>
      <c r="E125" s="28">
        <v>500000</v>
      </c>
      <c r="F125" s="29">
        <v>483.19400000000002</v>
      </c>
      <c r="G125" s="30">
        <v>2.1953159999999999E-2</v>
      </c>
      <c r="H125" s="25">
        <v>6.5438000000000001</v>
      </c>
    </row>
    <row r="126" spans="1:8" x14ac:dyDescent="0.2">
      <c r="A126" s="23"/>
      <c r="B126" s="23"/>
      <c r="C126" s="24" t="s">
        <v>147</v>
      </c>
      <c r="D126" s="23"/>
      <c r="E126" s="23" t="s">
        <v>148</v>
      </c>
      <c r="F126" s="31">
        <v>1968.7845</v>
      </c>
      <c r="G126" s="32">
        <v>8.9448609999999998E-2</v>
      </c>
      <c r="H126" s="25" t="s">
        <v>148</v>
      </c>
    </row>
    <row r="127" spans="1:8" x14ac:dyDescent="0.2">
      <c r="A127" s="23"/>
      <c r="B127" s="23"/>
      <c r="C127" s="33"/>
      <c r="D127" s="23"/>
      <c r="E127" s="23"/>
      <c r="F127" s="34"/>
      <c r="G127" s="34"/>
      <c r="H127" s="25" t="s">
        <v>148</v>
      </c>
    </row>
    <row r="128" spans="1:8" x14ac:dyDescent="0.2">
      <c r="A128" s="23"/>
      <c r="B128" s="23"/>
      <c r="C128" s="24" t="s">
        <v>165</v>
      </c>
      <c r="D128" s="23"/>
      <c r="E128" s="23"/>
      <c r="F128" s="34"/>
      <c r="G128" s="34"/>
      <c r="H128" s="25" t="s">
        <v>148</v>
      </c>
    </row>
    <row r="129" spans="1:8" x14ac:dyDescent="0.2">
      <c r="A129" s="26">
        <v>1</v>
      </c>
      <c r="B129" s="27"/>
      <c r="C129" s="27" t="s">
        <v>166</v>
      </c>
      <c r="D129" s="27"/>
      <c r="E129" s="36"/>
      <c r="F129" s="29">
        <v>1270.486620897</v>
      </c>
      <c r="G129" s="30">
        <v>5.7722549999999997E-2</v>
      </c>
      <c r="H129" s="25">
        <v>6.23</v>
      </c>
    </row>
    <row r="130" spans="1:8" x14ac:dyDescent="0.2">
      <c r="A130" s="23"/>
      <c r="B130" s="23"/>
      <c r="C130" s="24" t="s">
        <v>147</v>
      </c>
      <c r="D130" s="23"/>
      <c r="E130" s="23" t="s">
        <v>148</v>
      </c>
      <c r="F130" s="31">
        <v>1270.486620897</v>
      </c>
      <c r="G130" s="32">
        <v>5.7722549999999997E-2</v>
      </c>
      <c r="H130" s="25" t="s">
        <v>148</v>
      </c>
    </row>
    <row r="131" spans="1:8" x14ac:dyDescent="0.2">
      <c r="A131" s="23"/>
      <c r="B131" s="23"/>
      <c r="C131" s="33"/>
      <c r="D131" s="23"/>
      <c r="E131" s="23"/>
      <c r="F131" s="34"/>
      <c r="G131" s="34"/>
      <c r="H131" s="25" t="s">
        <v>148</v>
      </c>
    </row>
    <row r="132" spans="1:8" x14ac:dyDescent="0.2">
      <c r="A132" s="23"/>
      <c r="B132" s="23"/>
      <c r="C132" s="24" t="s">
        <v>167</v>
      </c>
      <c r="D132" s="23"/>
      <c r="E132" s="23"/>
      <c r="F132" s="31">
        <v>3239.2711208969999</v>
      </c>
      <c r="G132" s="32">
        <v>0.14717116</v>
      </c>
      <c r="H132" s="25" t="s">
        <v>148</v>
      </c>
    </row>
    <row r="133" spans="1:8" x14ac:dyDescent="0.2">
      <c r="A133" s="23"/>
      <c r="B133" s="23"/>
      <c r="C133" s="34"/>
      <c r="D133" s="23"/>
      <c r="E133" s="23"/>
      <c r="F133" s="23"/>
      <c r="G133" s="23"/>
      <c r="H133" s="25" t="s">
        <v>148</v>
      </c>
    </row>
    <row r="134" spans="1:8" x14ac:dyDescent="0.2">
      <c r="A134" s="23"/>
      <c r="B134" s="23"/>
      <c r="C134" s="24" t="s">
        <v>168</v>
      </c>
      <c r="D134" s="23"/>
      <c r="E134" s="23"/>
      <c r="F134" s="23"/>
      <c r="G134" s="23"/>
      <c r="H134" s="25" t="s">
        <v>148</v>
      </c>
    </row>
    <row r="135" spans="1:8" x14ac:dyDescent="0.2">
      <c r="A135" s="23"/>
      <c r="B135" s="23"/>
      <c r="C135" s="24" t="s">
        <v>169</v>
      </c>
      <c r="D135" s="23"/>
      <c r="E135" s="23"/>
      <c r="F135" s="23"/>
      <c r="G135" s="23"/>
      <c r="H135" s="25" t="s">
        <v>148</v>
      </c>
    </row>
    <row r="136" spans="1:8" x14ac:dyDescent="0.2">
      <c r="A136" s="26">
        <v>1</v>
      </c>
      <c r="B136" s="27" t="s">
        <v>170</v>
      </c>
      <c r="C136" s="27" t="s">
        <v>1085</v>
      </c>
      <c r="D136" s="27"/>
      <c r="E136" s="37">
        <v>15134176.558499999</v>
      </c>
      <c r="F136" s="29">
        <v>2220.6982631350002</v>
      </c>
      <c r="G136" s="30">
        <v>0.10089391</v>
      </c>
      <c r="H136" s="25" t="s">
        <v>148</v>
      </c>
    </row>
    <row r="137" spans="1:8" x14ac:dyDescent="0.2">
      <c r="A137" s="26">
        <v>2</v>
      </c>
      <c r="B137" s="27" t="s">
        <v>329</v>
      </c>
      <c r="C137" s="27" t="s">
        <v>330</v>
      </c>
      <c r="D137" s="27"/>
      <c r="E137" s="37">
        <v>13194.71</v>
      </c>
      <c r="F137" s="29">
        <v>300.25893951199998</v>
      </c>
      <c r="G137" s="30">
        <v>1.3641790000000001E-2</v>
      </c>
      <c r="H137" s="25" t="s">
        <v>148</v>
      </c>
    </row>
    <row r="138" spans="1:8" x14ac:dyDescent="0.2">
      <c r="A138" s="23"/>
      <c r="B138" s="23"/>
      <c r="C138" s="24" t="s">
        <v>147</v>
      </c>
      <c r="D138" s="23"/>
      <c r="E138" s="23" t="s">
        <v>148</v>
      </c>
      <c r="F138" s="31">
        <v>2520.957202647</v>
      </c>
      <c r="G138" s="32">
        <v>0.1145357</v>
      </c>
      <c r="H138" s="25" t="s">
        <v>148</v>
      </c>
    </row>
    <row r="139" spans="1:8" x14ac:dyDescent="0.2">
      <c r="A139" s="23"/>
      <c r="B139" s="23"/>
      <c r="C139" s="33"/>
      <c r="D139" s="23"/>
      <c r="E139" s="23"/>
      <c r="F139" s="34"/>
      <c r="G139" s="34"/>
      <c r="H139" s="25" t="s">
        <v>148</v>
      </c>
    </row>
    <row r="140" spans="1:8" x14ac:dyDescent="0.2">
      <c r="A140" s="23"/>
      <c r="B140" s="23"/>
      <c r="C140" s="24" t="s">
        <v>172</v>
      </c>
      <c r="D140" s="23"/>
      <c r="E140" s="23"/>
      <c r="F140" s="23"/>
      <c r="G140" s="23"/>
      <c r="H140" s="25" t="s">
        <v>148</v>
      </c>
    </row>
    <row r="141" spans="1:8" x14ac:dyDescent="0.2">
      <c r="A141" s="23"/>
      <c r="B141" s="23"/>
      <c r="C141" s="24" t="s">
        <v>173</v>
      </c>
      <c r="D141" s="23"/>
      <c r="E141" s="23"/>
      <c r="F141" s="23"/>
      <c r="G141" s="23"/>
      <c r="H141" s="25" t="s">
        <v>148</v>
      </c>
    </row>
    <row r="142" spans="1:8" x14ac:dyDescent="0.2">
      <c r="A142" s="23"/>
      <c r="B142" s="23"/>
      <c r="C142" s="24" t="s">
        <v>147</v>
      </c>
      <c r="D142" s="23"/>
      <c r="E142" s="23" t="s">
        <v>148</v>
      </c>
      <c r="F142" s="35" t="s">
        <v>150</v>
      </c>
      <c r="G142" s="32">
        <v>0</v>
      </c>
      <c r="H142" s="25" t="s">
        <v>148</v>
      </c>
    </row>
    <row r="143" spans="1:8" x14ac:dyDescent="0.2">
      <c r="A143" s="23"/>
      <c r="B143" s="23"/>
      <c r="C143" s="33"/>
      <c r="D143" s="23"/>
      <c r="E143" s="23"/>
      <c r="F143" s="34"/>
      <c r="G143" s="34"/>
      <c r="H143" s="25" t="s">
        <v>148</v>
      </c>
    </row>
    <row r="144" spans="1:8" x14ac:dyDescent="0.2">
      <c r="A144" s="23"/>
      <c r="B144" s="23"/>
      <c r="C144" s="24" t="s">
        <v>174</v>
      </c>
      <c r="D144" s="23"/>
      <c r="E144" s="23"/>
      <c r="F144" s="34"/>
      <c r="G144" s="34"/>
      <c r="H144" s="25" t="s">
        <v>148</v>
      </c>
    </row>
    <row r="145" spans="1:17" x14ac:dyDescent="0.2">
      <c r="A145" s="23"/>
      <c r="B145" s="23"/>
      <c r="C145" s="24" t="s">
        <v>147</v>
      </c>
      <c r="D145" s="23"/>
      <c r="E145" s="23" t="s">
        <v>148</v>
      </c>
      <c r="F145" s="35" t="s">
        <v>150</v>
      </c>
      <c r="G145" s="32">
        <v>0</v>
      </c>
      <c r="H145" s="25" t="s">
        <v>148</v>
      </c>
    </row>
    <row r="146" spans="1:17" x14ac:dyDescent="0.2">
      <c r="A146" s="23"/>
      <c r="B146" s="23"/>
      <c r="C146" s="33"/>
      <c r="D146" s="23"/>
      <c r="E146" s="23"/>
      <c r="F146" s="34"/>
      <c r="G146" s="34"/>
      <c r="H146" s="25" t="s">
        <v>148</v>
      </c>
    </row>
    <row r="147" spans="1:17" x14ac:dyDescent="0.2">
      <c r="A147" s="36"/>
      <c r="B147" s="27"/>
      <c r="C147" s="27" t="s">
        <v>522</v>
      </c>
      <c r="D147" s="27"/>
      <c r="E147" s="36"/>
      <c r="F147" s="29">
        <v>-231.54388510000001</v>
      </c>
      <c r="G147" s="30">
        <v>-1.0519830000000001E-2</v>
      </c>
      <c r="H147" s="25" t="s">
        <v>148</v>
      </c>
    </row>
    <row r="148" spans="1:17" x14ac:dyDescent="0.2">
      <c r="A148" s="36"/>
      <c r="B148" s="27"/>
      <c r="C148" s="38" t="s">
        <v>917</v>
      </c>
      <c r="D148" s="27"/>
      <c r="E148" s="36"/>
      <c r="F148" s="29">
        <f>15536.039889+F94</f>
        <v>-582.20615350000116</v>
      </c>
      <c r="G148" s="30">
        <f>F148/F149</f>
        <v>-2.6451615865478773E-2</v>
      </c>
      <c r="H148" s="25" t="s">
        <v>148</v>
      </c>
    </row>
    <row r="149" spans="1:17" x14ac:dyDescent="0.2">
      <c r="A149" s="33"/>
      <c r="B149" s="33"/>
      <c r="C149" s="24" t="s">
        <v>176</v>
      </c>
      <c r="D149" s="34"/>
      <c r="E149" s="34"/>
      <c r="F149" s="31">
        <f>F148+F147+F138+F132+F112+F96</f>
        <v>22010.230167443999</v>
      </c>
      <c r="G149" s="39">
        <f>G148+G147+G138+G132+G112+G96</f>
        <v>1.0000000141345211</v>
      </c>
      <c r="H149" s="25" t="s">
        <v>148</v>
      </c>
    </row>
    <row r="150" spans="1:17" x14ac:dyDescent="0.2">
      <c r="A150" s="40"/>
      <c r="B150" s="40"/>
      <c r="C150" s="40"/>
      <c r="D150" s="41"/>
      <c r="E150" s="41"/>
      <c r="F150" s="41"/>
      <c r="G150" s="41"/>
    </row>
    <row r="151" spans="1:17" x14ac:dyDescent="0.2">
      <c r="A151" s="42"/>
      <c r="B151" s="237" t="s">
        <v>891</v>
      </c>
      <c r="C151" s="237"/>
      <c r="D151" s="237"/>
      <c r="E151" s="237"/>
      <c r="F151" s="237"/>
      <c r="G151" s="237"/>
      <c r="H151" s="237"/>
      <c r="J151" s="44"/>
    </row>
    <row r="152" spans="1:17" x14ac:dyDescent="0.2">
      <c r="A152" s="42"/>
      <c r="B152" s="237" t="s">
        <v>892</v>
      </c>
      <c r="C152" s="237"/>
      <c r="D152" s="237"/>
      <c r="E152" s="237"/>
      <c r="F152" s="237"/>
      <c r="G152" s="237"/>
      <c r="H152" s="237"/>
      <c r="J152" s="44"/>
    </row>
    <row r="153" spans="1:17" x14ac:dyDescent="0.2">
      <c r="A153" s="42"/>
      <c r="B153" s="237" t="s">
        <v>893</v>
      </c>
      <c r="C153" s="237"/>
      <c r="D153" s="237"/>
      <c r="E153" s="237"/>
      <c r="F153" s="237"/>
      <c r="G153" s="237"/>
      <c r="H153" s="237"/>
      <c r="J153" s="44"/>
    </row>
    <row r="154" spans="1:17" s="46" customFormat="1" ht="54.75" customHeight="1" x14ac:dyDescent="0.25">
      <c r="A154" s="45"/>
      <c r="B154" s="239" t="s">
        <v>894</v>
      </c>
      <c r="C154" s="239"/>
      <c r="D154" s="239"/>
      <c r="E154" s="239"/>
      <c r="F154" s="239"/>
      <c r="G154" s="239"/>
      <c r="H154" s="239"/>
      <c r="I154"/>
      <c r="J154" s="44"/>
      <c r="K154"/>
      <c r="L154"/>
      <c r="M154"/>
      <c r="N154"/>
      <c r="O154"/>
      <c r="P154"/>
      <c r="Q154"/>
    </row>
    <row r="155" spans="1:17" x14ac:dyDescent="0.2">
      <c r="A155" s="42"/>
      <c r="B155" s="237" t="s">
        <v>895</v>
      </c>
      <c r="C155" s="237"/>
      <c r="D155" s="237"/>
      <c r="E155" s="237"/>
      <c r="F155" s="237"/>
      <c r="G155" s="237"/>
      <c r="H155" s="237"/>
      <c r="J155" s="44"/>
    </row>
    <row r="156" spans="1:17" x14ac:dyDescent="0.2">
      <c r="A156" s="47"/>
      <c r="B156" s="47"/>
      <c r="C156" s="47"/>
      <c r="D156" s="48"/>
      <c r="E156" s="48"/>
      <c r="F156" s="48"/>
      <c r="G156" s="48"/>
    </row>
    <row r="157" spans="1:17" x14ac:dyDescent="0.2">
      <c r="A157" s="47"/>
      <c r="B157" s="234" t="s">
        <v>177</v>
      </c>
      <c r="C157" s="235"/>
      <c r="D157" s="236"/>
      <c r="E157" s="49"/>
      <c r="F157" s="48"/>
      <c r="G157" s="48"/>
    </row>
    <row r="158" spans="1:17" x14ac:dyDescent="0.2">
      <c r="A158" s="47"/>
      <c r="B158" s="232" t="s">
        <v>178</v>
      </c>
      <c r="C158" s="233"/>
      <c r="D158" s="109" t="s">
        <v>928</v>
      </c>
      <c r="E158" s="49"/>
      <c r="F158" s="48"/>
      <c r="G158" s="48"/>
    </row>
    <row r="159" spans="1:17" ht="12.75" customHeight="1" x14ac:dyDescent="0.2">
      <c r="A159" s="47"/>
      <c r="B159" s="240" t="s">
        <v>897</v>
      </c>
      <c r="C159" s="241"/>
      <c r="D159" s="24" t="s">
        <v>179</v>
      </c>
      <c r="E159" s="49"/>
      <c r="F159" s="48"/>
      <c r="G159" s="48"/>
    </row>
    <row r="160" spans="1:17" x14ac:dyDescent="0.2">
      <c r="A160" s="47"/>
      <c r="B160" s="232" t="s">
        <v>181</v>
      </c>
      <c r="C160" s="233"/>
      <c r="D160" s="34" t="s">
        <v>148</v>
      </c>
      <c r="E160" s="49"/>
      <c r="F160" s="48"/>
      <c r="G160" s="48"/>
    </row>
    <row r="161" spans="1:14" x14ac:dyDescent="0.2">
      <c r="A161" s="50"/>
      <c r="B161" s="51" t="s">
        <v>148</v>
      </c>
      <c r="C161" s="51" t="s">
        <v>896</v>
      </c>
      <c r="D161" s="51" t="s">
        <v>182</v>
      </c>
      <c r="E161" s="50"/>
      <c r="F161" s="50"/>
      <c r="G161" s="50"/>
      <c r="H161" s="50"/>
      <c r="J161" s="44"/>
    </row>
    <row r="162" spans="1:14" x14ac:dyDescent="0.2">
      <c r="A162" s="50"/>
      <c r="B162" s="52" t="s">
        <v>183</v>
      </c>
      <c r="C162" s="53">
        <v>45688</v>
      </c>
      <c r="D162" s="53">
        <v>45716</v>
      </c>
      <c r="E162" s="50"/>
      <c r="F162" s="50"/>
      <c r="G162" s="50"/>
      <c r="J162" s="44"/>
    </row>
    <row r="163" spans="1:14" x14ac:dyDescent="0.2">
      <c r="A163" s="54"/>
      <c r="B163" s="27" t="s">
        <v>184</v>
      </c>
      <c r="C163" s="55">
        <v>14.7804</v>
      </c>
      <c r="D163" s="55">
        <v>14.858700000000001</v>
      </c>
      <c r="E163" s="54"/>
      <c r="F163" s="56"/>
      <c r="G163" s="57"/>
    </row>
    <row r="164" spans="1:14" x14ac:dyDescent="0.2">
      <c r="A164" s="54"/>
      <c r="B164" s="27" t="s">
        <v>993</v>
      </c>
      <c r="C164" s="55">
        <v>12.780900000000001</v>
      </c>
      <c r="D164" s="55">
        <v>12.8485</v>
      </c>
      <c r="E164" s="54"/>
      <c r="F164" s="56"/>
      <c r="G164" s="57"/>
    </row>
    <row r="165" spans="1:14" x14ac:dyDescent="0.2">
      <c r="A165" s="54"/>
      <c r="B165" s="27" t="s">
        <v>186</v>
      </c>
      <c r="C165" s="55">
        <v>14.069800000000001</v>
      </c>
      <c r="D165" s="55">
        <v>14.1364</v>
      </c>
      <c r="E165" s="54"/>
      <c r="F165" s="56"/>
      <c r="G165" s="57"/>
    </row>
    <row r="166" spans="1:14" x14ac:dyDescent="0.2">
      <c r="A166" s="54"/>
      <c r="B166" s="27" t="s">
        <v>994</v>
      </c>
      <c r="C166" s="55">
        <v>12.3698</v>
      </c>
      <c r="D166" s="55">
        <v>12.4283</v>
      </c>
      <c r="E166" s="54"/>
      <c r="F166" s="56"/>
      <c r="G166" s="57"/>
    </row>
    <row r="167" spans="1:14" x14ac:dyDescent="0.2">
      <c r="A167" s="54"/>
      <c r="B167" s="54"/>
      <c r="C167" s="54"/>
      <c r="D167" s="54"/>
      <c r="E167" s="54"/>
      <c r="F167" s="54"/>
      <c r="G167" s="54"/>
    </row>
    <row r="168" spans="1:14" x14ac:dyDescent="0.2">
      <c r="A168" s="50"/>
      <c r="B168" s="240" t="s">
        <v>898</v>
      </c>
      <c r="C168" s="241"/>
      <c r="D168" s="58" t="s">
        <v>179</v>
      </c>
      <c r="E168" s="50"/>
      <c r="F168" s="50"/>
      <c r="G168" s="50"/>
    </row>
    <row r="169" spans="1:14" x14ac:dyDescent="0.2">
      <c r="A169" s="50"/>
      <c r="B169" s="59"/>
      <c r="C169" s="59"/>
      <c r="D169" s="59"/>
      <c r="E169" s="50"/>
      <c r="F169" s="50"/>
      <c r="G169" s="50"/>
    </row>
    <row r="170" spans="1:14" ht="29.1" customHeight="1" x14ac:dyDescent="0.2">
      <c r="A170" s="50"/>
      <c r="B170" s="240" t="s">
        <v>188</v>
      </c>
      <c r="C170" s="241"/>
      <c r="D170" s="58" t="s">
        <v>995</v>
      </c>
      <c r="E170" s="60"/>
      <c r="F170" s="50"/>
      <c r="G170" s="50"/>
    </row>
    <row r="171" spans="1:14" ht="29.1" customHeight="1" x14ac:dyDescent="0.2">
      <c r="A171" s="50"/>
      <c r="B171" s="240" t="s">
        <v>189</v>
      </c>
      <c r="C171" s="241"/>
      <c r="D171" s="58" t="s">
        <v>179</v>
      </c>
      <c r="E171" s="60"/>
      <c r="F171" s="50"/>
      <c r="G171" s="50"/>
      <c r="I171" s="110"/>
    </row>
    <row r="172" spans="1:14" ht="17.100000000000001" customHeight="1" x14ac:dyDescent="0.2">
      <c r="A172" s="50"/>
      <c r="B172" s="240" t="s">
        <v>190</v>
      </c>
      <c r="C172" s="241"/>
      <c r="D172" s="58" t="s">
        <v>179</v>
      </c>
      <c r="E172" s="60"/>
      <c r="F172" s="50"/>
      <c r="G172" s="50"/>
    </row>
    <row r="173" spans="1:14" ht="17.100000000000001" customHeight="1" x14ac:dyDescent="0.2">
      <c r="A173" s="50"/>
      <c r="B173" s="240" t="s">
        <v>191</v>
      </c>
      <c r="C173" s="241"/>
      <c r="D173" s="61">
        <v>9.7856608654406596</v>
      </c>
      <c r="E173" s="50"/>
      <c r="F173" s="43"/>
      <c r="G173" s="62"/>
    </row>
    <row r="175" spans="1:14" s="91" customFormat="1" x14ac:dyDescent="0.2">
      <c r="B175" s="92" t="s">
        <v>1066</v>
      </c>
      <c r="C175" s="92"/>
      <c r="D175" s="92"/>
      <c r="E175" s="8"/>
      <c r="F175" s="9"/>
      <c r="I175"/>
      <c r="J175"/>
      <c r="K175"/>
      <c r="L175"/>
      <c r="M175"/>
      <c r="N175"/>
    </row>
    <row r="176" spans="1:14" s="91" customFormat="1" ht="63.75" x14ac:dyDescent="0.2">
      <c r="B176" s="111" t="s">
        <v>929</v>
      </c>
      <c r="C176" s="111" t="s">
        <v>930</v>
      </c>
      <c r="D176" s="111" t="s">
        <v>931</v>
      </c>
      <c r="E176" s="111" t="s">
        <v>932</v>
      </c>
      <c r="F176" s="111" t="s">
        <v>933</v>
      </c>
      <c r="I176"/>
      <c r="J176"/>
      <c r="K176"/>
      <c r="L176"/>
      <c r="M176"/>
      <c r="N176"/>
    </row>
    <row r="177" spans="2:16" s="116" customFormat="1" ht="25.5" x14ac:dyDescent="0.2">
      <c r="B177" s="112" t="s">
        <v>934</v>
      </c>
      <c r="C177" s="113" t="s">
        <v>935</v>
      </c>
      <c r="D177" s="114">
        <v>0</v>
      </c>
      <c r="E177" s="7">
        <v>0</v>
      </c>
      <c r="F177" s="115">
        <v>50</v>
      </c>
      <c r="I177"/>
      <c r="J177"/>
      <c r="K177"/>
      <c r="L177"/>
      <c r="M177"/>
      <c r="N177"/>
      <c r="O177" s="91"/>
      <c r="P177" s="91"/>
    </row>
    <row r="178" spans="2:16" s="91" customFormat="1" x14ac:dyDescent="0.2">
      <c r="I178"/>
      <c r="J178"/>
      <c r="K178"/>
      <c r="L178"/>
      <c r="M178"/>
      <c r="N178"/>
      <c r="O178"/>
      <c r="P178"/>
    </row>
    <row r="179" spans="2:16" s="91" customFormat="1" x14ac:dyDescent="0.2">
      <c r="B179" s="265" t="s">
        <v>948</v>
      </c>
      <c r="C179" s="266"/>
      <c r="D179" s="267"/>
      <c r="I179"/>
      <c r="J179"/>
      <c r="K179"/>
      <c r="L179"/>
      <c r="M179"/>
      <c r="N179"/>
      <c r="O179"/>
      <c r="P179"/>
    </row>
    <row r="180" spans="2:16" s="91" customFormat="1" x14ac:dyDescent="0.2">
      <c r="B180" s="268" t="s">
        <v>949</v>
      </c>
      <c r="C180" s="268"/>
      <c r="D180" s="86" t="s">
        <v>634</v>
      </c>
      <c r="I180"/>
      <c r="J180"/>
      <c r="K180"/>
      <c r="L180"/>
      <c r="M180"/>
      <c r="N180"/>
      <c r="O180"/>
      <c r="P180"/>
    </row>
    <row r="181" spans="2:16" s="91" customFormat="1" x14ac:dyDescent="0.2">
      <c r="B181" s="268" t="s">
        <v>950</v>
      </c>
      <c r="C181" s="268"/>
      <c r="D181" s="64"/>
      <c r="I181"/>
      <c r="J181"/>
      <c r="K181"/>
      <c r="L181"/>
      <c r="M181"/>
      <c r="N181"/>
      <c r="O181"/>
      <c r="P181"/>
    </row>
    <row r="182" spans="2:16" s="91" customFormat="1" x14ac:dyDescent="0.2">
      <c r="B182" s="269"/>
      <c r="C182" s="270"/>
      <c r="D182" s="65"/>
      <c r="I182"/>
      <c r="J182"/>
      <c r="K182"/>
      <c r="L182"/>
      <c r="M182"/>
      <c r="N182"/>
      <c r="O182"/>
      <c r="P182"/>
    </row>
    <row r="183" spans="2:16" s="91" customFormat="1" x14ac:dyDescent="0.2">
      <c r="B183" s="268" t="s">
        <v>951</v>
      </c>
      <c r="C183" s="268"/>
      <c r="D183" s="66">
        <v>4.0495677130364713</v>
      </c>
      <c r="I183"/>
      <c r="J183"/>
      <c r="K183"/>
      <c r="L183"/>
      <c r="M183"/>
      <c r="N183"/>
      <c r="O183"/>
      <c r="P183"/>
    </row>
    <row r="184" spans="2:16" s="91" customFormat="1" x14ac:dyDescent="0.2">
      <c r="B184" s="269"/>
      <c r="C184" s="270"/>
      <c r="D184" s="65"/>
      <c r="I184"/>
      <c r="J184"/>
      <c r="K184"/>
      <c r="L184"/>
      <c r="M184"/>
      <c r="N184"/>
      <c r="O184"/>
      <c r="P184"/>
    </row>
    <row r="185" spans="2:16" s="91" customFormat="1" x14ac:dyDescent="0.2">
      <c r="B185" s="268" t="s">
        <v>952</v>
      </c>
      <c r="C185" s="268"/>
      <c r="D185" s="66">
        <v>0.44925619828174485</v>
      </c>
      <c r="I185"/>
      <c r="J185"/>
      <c r="K185"/>
      <c r="L185"/>
      <c r="M185"/>
      <c r="N185"/>
      <c r="O185"/>
      <c r="P185"/>
    </row>
    <row r="186" spans="2:16" s="91" customFormat="1" x14ac:dyDescent="0.2">
      <c r="B186" s="268" t="s">
        <v>953</v>
      </c>
      <c r="C186" s="268"/>
      <c r="D186" s="66">
        <v>0.47987220911938694</v>
      </c>
      <c r="I186"/>
      <c r="J186"/>
      <c r="K186"/>
      <c r="L186"/>
      <c r="M186"/>
      <c r="N186"/>
      <c r="O186"/>
      <c r="P186"/>
    </row>
    <row r="187" spans="2:16" s="91" customFormat="1" x14ac:dyDescent="0.2">
      <c r="B187" s="269"/>
      <c r="C187" s="270"/>
      <c r="D187" s="65"/>
      <c r="I187"/>
      <c r="J187"/>
      <c r="K187"/>
      <c r="L187"/>
      <c r="M187"/>
      <c r="N187"/>
      <c r="O187"/>
      <c r="P187"/>
    </row>
    <row r="188" spans="2:16" s="91" customFormat="1" x14ac:dyDescent="0.2">
      <c r="B188" s="268" t="s">
        <v>954</v>
      </c>
      <c r="C188" s="268"/>
      <c r="D188" s="67" t="s">
        <v>1068</v>
      </c>
      <c r="I188"/>
      <c r="J188"/>
      <c r="K188"/>
      <c r="L188"/>
      <c r="M188"/>
      <c r="N188"/>
      <c r="O188"/>
      <c r="P188"/>
    </row>
    <row r="189" spans="2:16" s="91" customFormat="1" x14ac:dyDescent="0.2">
      <c r="B189" s="269" t="s">
        <v>955</v>
      </c>
      <c r="C189" s="271"/>
      <c r="D189" s="270"/>
      <c r="I189"/>
      <c r="J189"/>
      <c r="K189"/>
      <c r="L189"/>
      <c r="M189"/>
      <c r="N189"/>
      <c r="O189"/>
      <c r="P189"/>
    </row>
    <row r="191" spans="2:16" x14ac:dyDescent="0.2">
      <c r="B191" s="238" t="s">
        <v>899</v>
      </c>
      <c r="C191" s="238"/>
    </row>
    <row r="193" spans="2:10" ht="153.75" customHeight="1" x14ac:dyDescent="0.2"/>
    <row r="196" spans="2:10" x14ac:dyDescent="0.2">
      <c r="B196" s="68" t="s">
        <v>900</v>
      </c>
      <c r="C196" s="69"/>
      <c r="D196" s="68"/>
    </row>
    <row r="197" spans="2:10" x14ac:dyDescent="0.2">
      <c r="B197" s="68" t="s">
        <v>996</v>
      </c>
      <c r="D197" s="68"/>
    </row>
    <row r="198" spans="2:10" ht="165" customHeight="1" x14ac:dyDescent="0.2"/>
    <row r="200" spans="2:10" x14ac:dyDescent="0.2">
      <c r="J200" s="22"/>
    </row>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sheetData>
  <mergeCells count="29">
    <mergeCell ref="B189:D189"/>
    <mergeCell ref="B191:C191"/>
    <mergeCell ref="B184:C184"/>
    <mergeCell ref="B185:C185"/>
    <mergeCell ref="B186:C186"/>
    <mergeCell ref="B187:C187"/>
    <mergeCell ref="B188:C188"/>
    <mergeCell ref="B179:D179"/>
    <mergeCell ref="B180:C180"/>
    <mergeCell ref="B181:C181"/>
    <mergeCell ref="B182:C182"/>
    <mergeCell ref="B183:C183"/>
    <mergeCell ref="A3:H3"/>
    <mergeCell ref="A2:H2"/>
    <mergeCell ref="A1:H1"/>
    <mergeCell ref="B159:C159"/>
    <mergeCell ref="B160:C160"/>
    <mergeCell ref="B153:H153"/>
    <mergeCell ref="B154:H154"/>
    <mergeCell ref="B155:H155"/>
    <mergeCell ref="B172:C172"/>
    <mergeCell ref="B173:C173"/>
    <mergeCell ref="B157:D157"/>
    <mergeCell ref="B158:C158"/>
    <mergeCell ref="B151:H151"/>
    <mergeCell ref="B152:H152"/>
    <mergeCell ref="B170:C170"/>
    <mergeCell ref="B171:C171"/>
    <mergeCell ref="B168:C168"/>
  </mergeCells>
  <hyperlinks>
    <hyperlink ref="I1" location="Index!B2" display="Index" xr:uid="{A284E512-6F1A-4DCA-9EFE-CE7C9DE5FFD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2DF2-5C04-4DE0-9049-723CD8EAE2A5}">
  <sheetPr>
    <outlinePr summaryBelow="0" summaryRight="0"/>
  </sheetPr>
  <dimension ref="A1:Q232"/>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 bestFit="1" customWidth="1"/>
    <col min="5" max="5" width="9.1406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661</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21" t="s">
        <v>927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26</v>
      </c>
      <c r="C7" s="27" t="s">
        <v>27</v>
      </c>
      <c r="D7" s="27" t="s">
        <v>28</v>
      </c>
      <c r="E7" s="28">
        <v>727830</v>
      </c>
      <c r="F7" s="29">
        <v>8763.8010300000005</v>
      </c>
      <c r="G7" s="30">
        <v>6.1078380000000002E-2</v>
      </c>
      <c r="H7" s="25" t="s">
        <v>148</v>
      </c>
    </row>
    <row r="8" spans="1:9" x14ac:dyDescent="0.2">
      <c r="A8" s="26">
        <v>2</v>
      </c>
      <c r="B8" s="27" t="s">
        <v>14</v>
      </c>
      <c r="C8" s="27" t="s">
        <v>15</v>
      </c>
      <c r="D8" s="27" t="s">
        <v>16</v>
      </c>
      <c r="E8" s="28">
        <v>711000</v>
      </c>
      <c r="F8" s="29">
        <v>8532.7109999999993</v>
      </c>
      <c r="G8" s="30">
        <v>5.9467829999999999E-2</v>
      </c>
      <c r="H8" s="25" t="s">
        <v>148</v>
      </c>
    </row>
    <row r="9" spans="1:9" x14ac:dyDescent="0.2">
      <c r="A9" s="26">
        <v>3</v>
      </c>
      <c r="B9" s="27" t="s">
        <v>332</v>
      </c>
      <c r="C9" s="27" t="s">
        <v>333</v>
      </c>
      <c r="D9" s="27" t="s">
        <v>28</v>
      </c>
      <c r="E9" s="28">
        <v>483390</v>
      </c>
      <c r="F9" s="29">
        <v>8374.2483599999996</v>
      </c>
      <c r="G9" s="30">
        <v>5.8363440000000003E-2</v>
      </c>
      <c r="H9" s="25" t="s">
        <v>148</v>
      </c>
    </row>
    <row r="10" spans="1:9" x14ac:dyDescent="0.2">
      <c r="A10" s="26">
        <v>4</v>
      </c>
      <c r="B10" s="27" t="s">
        <v>334</v>
      </c>
      <c r="C10" s="27" t="s">
        <v>335</v>
      </c>
      <c r="D10" s="27" t="s">
        <v>205</v>
      </c>
      <c r="E10" s="28">
        <v>352400</v>
      </c>
      <c r="F10" s="29">
        <v>5947.4548000000004</v>
      </c>
      <c r="G10" s="30">
        <v>4.145016E-2</v>
      </c>
      <c r="H10" s="25" t="s">
        <v>148</v>
      </c>
    </row>
    <row r="11" spans="1:9" x14ac:dyDescent="0.2">
      <c r="A11" s="26">
        <v>5</v>
      </c>
      <c r="B11" s="27" t="s">
        <v>11</v>
      </c>
      <c r="C11" s="27" t="s">
        <v>12</v>
      </c>
      <c r="D11" s="27" t="s">
        <v>13</v>
      </c>
      <c r="E11" s="28">
        <v>351350</v>
      </c>
      <c r="F11" s="29">
        <v>5516.8977000000004</v>
      </c>
      <c r="G11" s="30">
        <v>3.844943E-2</v>
      </c>
      <c r="H11" s="25" t="s">
        <v>148</v>
      </c>
    </row>
    <row r="12" spans="1:9" x14ac:dyDescent="0.2">
      <c r="A12" s="26">
        <v>6</v>
      </c>
      <c r="B12" s="27" t="s">
        <v>101</v>
      </c>
      <c r="C12" s="27" t="s">
        <v>102</v>
      </c>
      <c r="D12" s="27" t="s">
        <v>28</v>
      </c>
      <c r="E12" s="28">
        <v>243220</v>
      </c>
      <c r="F12" s="29">
        <v>4628.3549899999998</v>
      </c>
      <c r="G12" s="30">
        <v>3.225683E-2</v>
      </c>
      <c r="H12" s="25" t="s">
        <v>148</v>
      </c>
    </row>
    <row r="13" spans="1:9" x14ac:dyDescent="0.2">
      <c r="A13" s="26">
        <v>7</v>
      </c>
      <c r="B13" s="27" t="s">
        <v>38</v>
      </c>
      <c r="C13" s="27" t="s">
        <v>39</v>
      </c>
      <c r="D13" s="27" t="s">
        <v>28</v>
      </c>
      <c r="E13" s="28">
        <v>439960</v>
      </c>
      <c r="F13" s="29">
        <v>3030.4444800000001</v>
      </c>
      <c r="G13" s="30">
        <v>2.1120360000000001E-2</v>
      </c>
      <c r="H13" s="25" t="s">
        <v>148</v>
      </c>
    </row>
    <row r="14" spans="1:9" x14ac:dyDescent="0.2">
      <c r="A14" s="26">
        <v>8</v>
      </c>
      <c r="B14" s="27" t="s">
        <v>17</v>
      </c>
      <c r="C14" s="27" t="s">
        <v>18</v>
      </c>
      <c r="D14" s="27" t="s">
        <v>19</v>
      </c>
      <c r="E14" s="28">
        <v>84000</v>
      </c>
      <c r="F14" s="29">
        <v>2657.634</v>
      </c>
      <c r="G14" s="30">
        <v>1.85221E-2</v>
      </c>
      <c r="H14" s="25" t="s">
        <v>148</v>
      </c>
    </row>
    <row r="15" spans="1:9" x14ac:dyDescent="0.2">
      <c r="A15" s="87">
        <v>9</v>
      </c>
      <c r="B15" s="38" t="s">
        <v>997</v>
      </c>
      <c r="C15" s="38" t="s">
        <v>998</v>
      </c>
      <c r="D15" s="38" t="s">
        <v>54</v>
      </c>
      <c r="E15" s="88">
        <v>700000</v>
      </c>
      <c r="F15" s="89">
        <v>2549.6799999999998</v>
      </c>
      <c r="G15" s="90">
        <f>F15/F182</f>
        <v>1.7769724426412656E-2</v>
      </c>
      <c r="H15" s="25" t="s">
        <v>148</v>
      </c>
    </row>
    <row r="16" spans="1:9" x14ac:dyDescent="0.2">
      <c r="A16" s="26">
        <v>10</v>
      </c>
      <c r="B16" s="27" t="s">
        <v>336</v>
      </c>
      <c r="C16" s="27" t="s">
        <v>337</v>
      </c>
      <c r="D16" s="27" t="s">
        <v>28</v>
      </c>
      <c r="E16" s="28">
        <v>247104</v>
      </c>
      <c r="F16" s="29">
        <v>2509.4646720000001</v>
      </c>
      <c r="G16" s="30">
        <v>1.748945E-2</v>
      </c>
      <c r="H16" s="25" t="s">
        <v>148</v>
      </c>
    </row>
    <row r="17" spans="1:8" x14ac:dyDescent="0.2">
      <c r="A17" s="26">
        <v>11</v>
      </c>
      <c r="B17" s="27" t="s">
        <v>534</v>
      </c>
      <c r="C17" s="27" t="s">
        <v>535</v>
      </c>
      <c r="D17" s="27" t="s">
        <v>275</v>
      </c>
      <c r="E17" s="28">
        <v>73850</v>
      </c>
      <c r="F17" s="29">
        <v>1909.09635</v>
      </c>
      <c r="G17" s="30">
        <v>1.3305249999999999E-2</v>
      </c>
      <c r="H17" s="25" t="s">
        <v>148</v>
      </c>
    </row>
    <row r="18" spans="1:8" x14ac:dyDescent="0.2">
      <c r="A18" s="26">
        <v>12</v>
      </c>
      <c r="B18" s="27" t="s">
        <v>342</v>
      </c>
      <c r="C18" s="27" t="s">
        <v>343</v>
      </c>
      <c r="D18" s="27" t="s">
        <v>205</v>
      </c>
      <c r="E18" s="28">
        <v>53225</v>
      </c>
      <c r="F18" s="29">
        <v>1853.9598125</v>
      </c>
      <c r="G18" s="30">
        <v>1.292098E-2</v>
      </c>
      <c r="H18" s="25" t="s">
        <v>148</v>
      </c>
    </row>
    <row r="19" spans="1:8" x14ac:dyDescent="0.2">
      <c r="A19" s="26">
        <v>13</v>
      </c>
      <c r="B19" s="27" t="s">
        <v>251</v>
      </c>
      <c r="C19" s="27" t="s">
        <v>252</v>
      </c>
      <c r="D19" s="27" t="s">
        <v>111</v>
      </c>
      <c r="E19" s="28">
        <v>300000</v>
      </c>
      <c r="F19" s="29">
        <v>1851.9</v>
      </c>
      <c r="G19" s="30">
        <v>1.2906620000000001E-2</v>
      </c>
      <c r="H19" s="25" t="s">
        <v>148</v>
      </c>
    </row>
    <row r="20" spans="1:8" x14ac:dyDescent="0.2">
      <c r="A20" s="26">
        <v>14</v>
      </c>
      <c r="B20" s="27" t="s">
        <v>346</v>
      </c>
      <c r="C20" s="27" t="s">
        <v>347</v>
      </c>
      <c r="D20" s="27" t="s">
        <v>28</v>
      </c>
      <c r="E20" s="28">
        <v>930150</v>
      </c>
      <c r="F20" s="29">
        <v>1833.046605</v>
      </c>
      <c r="G20" s="30">
        <v>1.277522E-2</v>
      </c>
      <c r="H20" s="25" t="s">
        <v>148</v>
      </c>
    </row>
    <row r="21" spans="1:8" ht="25.5" x14ac:dyDescent="0.2">
      <c r="A21" s="26">
        <v>15</v>
      </c>
      <c r="B21" s="27" t="s">
        <v>442</v>
      </c>
      <c r="C21" s="27" t="s">
        <v>443</v>
      </c>
      <c r="D21" s="27" t="s">
        <v>202</v>
      </c>
      <c r="E21" s="28">
        <v>128700</v>
      </c>
      <c r="F21" s="29">
        <v>1811.4525000000001</v>
      </c>
      <c r="G21" s="30">
        <v>1.2624730000000001E-2</v>
      </c>
      <c r="H21" s="25" t="s">
        <v>148</v>
      </c>
    </row>
    <row r="22" spans="1:8" x14ac:dyDescent="0.2">
      <c r="A22" s="26">
        <v>16</v>
      </c>
      <c r="B22" s="27" t="s">
        <v>198</v>
      </c>
      <c r="C22" s="27" t="s">
        <v>199</v>
      </c>
      <c r="D22" s="27" t="s">
        <v>51</v>
      </c>
      <c r="E22" s="28">
        <v>375000</v>
      </c>
      <c r="F22" s="29">
        <v>1733.4375</v>
      </c>
      <c r="G22" s="30">
        <v>1.208101E-2</v>
      </c>
      <c r="H22" s="25" t="s">
        <v>148</v>
      </c>
    </row>
    <row r="23" spans="1:8" x14ac:dyDescent="0.2">
      <c r="A23" s="26">
        <v>17</v>
      </c>
      <c r="B23" s="27" t="s">
        <v>435</v>
      </c>
      <c r="C23" s="27" t="s">
        <v>436</v>
      </c>
      <c r="D23" s="27" t="s">
        <v>205</v>
      </c>
      <c r="E23" s="28">
        <v>105200</v>
      </c>
      <c r="F23" s="29">
        <v>1656.9526000000001</v>
      </c>
      <c r="G23" s="30">
        <v>1.1547959999999999E-2</v>
      </c>
      <c r="H23" s="25" t="s">
        <v>148</v>
      </c>
    </row>
    <row r="24" spans="1:8" x14ac:dyDescent="0.2">
      <c r="A24" s="26">
        <v>18</v>
      </c>
      <c r="B24" s="27" t="s">
        <v>348</v>
      </c>
      <c r="C24" s="27" t="s">
        <v>349</v>
      </c>
      <c r="D24" s="27" t="s">
        <v>350</v>
      </c>
      <c r="E24" s="28">
        <v>399836</v>
      </c>
      <c r="F24" s="29">
        <v>1579.3522</v>
      </c>
      <c r="G24" s="30">
        <v>1.100713E-2</v>
      </c>
      <c r="H24" s="25" t="s">
        <v>148</v>
      </c>
    </row>
    <row r="25" spans="1:8" x14ac:dyDescent="0.2">
      <c r="A25" s="26">
        <v>19</v>
      </c>
      <c r="B25" s="27" t="s">
        <v>524</v>
      </c>
      <c r="C25" s="27" t="s">
        <v>525</v>
      </c>
      <c r="D25" s="27" t="s">
        <v>275</v>
      </c>
      <c r="E25" s="28">
        <v>13100</v>
      </c>
      <c r="F25" s="29">
        <v>1564.90635</v>
      </c>
      <c r="G25" s="30">
        <v>1.090645E-2</v>
      </c>
      <c r="H25" s="25" t="s">
        <v>148</v>
      </c>
    </row>
    <row r="26" spans="1:8" x14ac:dyDescent="0.2">
      <c r="A26" s="26">
        <v>20</v>
      </c>
      <c r="B26" s="27" t="s">
        <v>646</v>
      </c>
      <c r="C26" s="27" t="s">
        <v>647</v>
      </c>
      <c r="D26" s="27" t="s">
        <v>28</v>
      </c>
      <c r="E26" s="28">
        <v>1917000</v>
      </c>
      <c r="F26" s="29">
        <v>1550.8530000000001</v>
      </c>
      <c r="G26" s="30">
        <v>1.080851E-2</v>
      </c>
      <c r="H26" s="25" t="s">
        <v>148</v>
      </c>
    </row>
    <row r="27" spans="1:8" x14ac:dyDescent="0.2">
      <c r="A27" s="26">
        <v>21</v>
      </c>
      <c r="B27" s="27" t="s">
        <v>344</v>
      </c>
      <c r="C27" s="27" t="s">
        <v>345</v>
      </c>
      <c r="D27" s="27" t="s">
        <v>111</v>
      </c>
      <c r="E27" s="28">
        <v>17250</v>
      </c>
      <c r="F27" s="29">
        <v>1471.47675</v>
      </c>
      <c r="G27" s="30">
        <v>1.02553E-2</v>
      </c>
      <c r="H27" s="25" t="s">
        <v>148</v>
      </c>
    </row>
    <row r="28" spans="1:8" x14ac:dyDescent="0.2">
      <c r="A28" s="26">
        <v>22</v>
      </c>
      <c r="B28" s="27" t="s">
        <v>650</v>
      </c>
      <c r="C28" s="27" t="s">
        <v>651</v>
      </c>
      <c r="D28" s="27" t="s">
        <v>111</v>
      </c>
      <c r="E28" s="28">
        <v>76000</v>
      </c>
      <c r="F28" s="29">
        <v>1422.9480000000001</v>
      </c>
      <c r="G28" s="30">
        <v>9.9170899999999999E-3</v>
      </c>
      <c r="H28" s="25" t="s">
        <v>148</v>
      </c>
    </row>
    <row r="29" spans="1:8" ht="25.5" x14ac:dyDescent="0.2">
      <c r="A29" s="26">
        <v>23</v>
      </c>
      <c r="B29" s="27" t="s">
        <v>340</v>
      </c>
      <c r="C29" s="27" t="s">
        <v>341</v>
      </c>
      <c r="D29" s="27" t="s">
        <v>202</v>
      </c>
      <c r="E29" s="28">
        <v>87700</v>
      </c>
      <c r="F29" s="29">
        <v>1397.28025</v>
      </c>
      <c r="G29" s="30">
        <v>9.7382000000000007E-3</v>
      </c>
      <c r="H29" s="25" t="s">
        <v>148</v>
      </c>
    </row>
    <row r="30" spans="1:8" x14ac:dyDescent="0.2">
      <c r="A30" s="26">
        <v>24</v>
      </c>
      <c r="B30" s="27" t="s">
        <v>526</v>
      </c>
      <c r="C30" s="27" t="s">
        <v>527</v>
      </c>
      <c r="D30" s="27" t="s">
        <v>235</v>
      </c>
      <c r="E30" s="28">
        <v>105600</v>
      </c>
      <c r="F30" s="29">
        <v>1356.3792000000001</v>
      </c>
      <c r="G30" s="30">
        <v>9.4531400000000005E-3</v>
      </c>
      <c r="H30" s="25" t="s">
        <v>148</v>
      </c>
    </row>
    <row r="31" spans="1:8" x14ac:dyDescent="0.2">
      <c r="A31" s="26">
        <v>25</v>
      </c>
      <c r="B31" s="27" t="s">
        <v>528</v>
      </c>
      <c r="C31" s="27" t="s">
        <v>529</v>
      </c>
      <c r="D31" s="27" t="s">
        <v>275</v>
      </c>
      <c r="E31" s="28">
        <v>16137</v>
      </c>
      <c r="F31" s="29">
        <v>1275.2909729999999</v>
      </c>
      <c r="G31" s="30">
        <v>8.88801E-3</v>
      </c>
      <c r="H31" s="25" t="s">
        <v>148</v>
      </c>
    </row>
    <row r="32" spans="1:8" ht="25.5" x14ac:dyDescent="0.2">
      <c r="A32" s="26">
        <v>26</v>
      </c>
      <c r="B32" s="27" t="s">
        <v>225</v>
      </c>
      <c r="C32" s="27" t="s">
        <v>226</v>
      </c>
      <c r="D32" s="27" t="s">
        <v>202</v>
      </c>
      <c r="E32" s="28">
        <v>25000</v>
      </c>
      <c r="F32" s="29">
        <v>1161.55</v>
      </c>
      <c r="G32" s="30">
        <v>8.0952999999999997E-3</v>
      </c>
      <c r="H32" s="25" t="s">
        <v>148</v>
      </c>
    </row>
    <row r="33" spans="1:8" x14ac:dyDescent="0.2">
      <c r="A33" s="26">
        <v>27</v>
      </c>
      <c r="B33" s="27" t="s">
        <v>23</v>
      </c>
      <c r="C33" s="27" t="s">
        <v>24</v>
      </c>
      <c r="D33" s="27" t="s">
        <v>25</v>
      </c>
      <c r="E33" s="28">
        <v>11380</v>
      </c>
      <c r="F33" s="29">
        <v>1152.61761</v>
      </c>
      <c r="G33" s="30">
        <v>8.0330499999999999E-3</v>
      </c>
      <c r="H33" s="25" t="s">
        <v>148</v>
      </c>
    </row>
    <row r="34" spans="1:8" x14ac:dyDescent="0.2">
      <c r="A34" s="26">
        <v>28</v>
      </c>
      <c r="B34" s="27" t="s">
        <v>34</v>
      </c>
      <c r="C34" s="27" t="s">
        <v>35</v>
      </c>
      <c r="D34" s="27" t="s">
        <v>16</v>
      </c>
      <c r="E34" s="28">
        <v>475000</v>
      </c>
      <c r="F34" s="29">
        <v>1127.175</v>
      </c>
      <c r="G34" s="30">
        <v>7.85573E-3</v>
      </c>
      <c r="H34" s="25" t="s">
        <v>148</v>
      </c>
    </row>
    <row r="35" spans="1:8" x14ac:dyDescent="0.2">
      <c r="A35" s="26">
        <v>29</v>
      </c>
      <c r="B35" s="27" t="s">
        <v>230</v>
      </c>
      <c r="C35" s="27" t="s">
        <v>231</v>
      </c>
      <c r="D35" s="27" t="s">
        <v>232</v>
      </c>
      <c r="E35" s="28">
        <v>176750</v>
      </c>
      <c r="F35" s="29">
        <v>1106.63175</v>
      </c>
      <c r="G35" s="30">
        <v>7.7125500000000003E-3</v>
      </c>
      <c r="H35" s="25" t="s">
        <v>148</v>
      </c>
    </row>
    <row r="36" spans="1:8" x14ac:dyDescent="0.2">
      <c r="A36" s="26">
        <v>30</v>
      </c>
      <c r="B36" s="27" t="s">
        <v>364</v>
      </c>
      <c r="C36" s="27" t="s">
        <v>365</v>
      </c>
      <c r="D36" s="27" t="s">
        <v>275</v>
      </c>
      <c r="E36" s="28">
        <v>166790</v>
      </c>
      <c r="F36" s="29">
        <v>1035.182135</v>
      </c>
      <c r="G36" s="30">
        <v>7.2145899999999999E-3</v>
      </c>
      <c r="H36" s="25" t="s">
        <v>148</v>
      </c>
    </row>
    <row r="37" spans="1:8" ht="25.5" x14ac:dyDescent="0.2">
      <c r="A37" s="26">
        <v>31</v>
      </c>
      <c r="B37" s="27" t="s">
        <v>286</v>
      </c>
      <c r="C37" s="27" t="s">
        <v>287</v>
      </c>
      <c r="D37" s="27" t="s">
        <v>202</v>
      </c>
      <c r="E37" s="28">
        <v>111300</v>
      </c>
      <c r="F37" s="29">
        <v>975.6558</v>
      </c>
      <c r="G37" s="30">
        <v>6.7997300000000004E-3</v>
      </c>
      <c r="H37" s="25" t="s">
        <v>148</v>
      </c>
    </row>
    <row r="38" spans="1:8" x14ac:dyDescent="0.2">
      <c r="A38" s="26">
        <v>32</v>
      </c>
      <c r="B38" s="27" t="s">
        <v>530</v>
      </c>
      <c r="C38" s="27" t="s">
        <v>531</v>
      </c>
      <c r="D38" s="27" t="s">
        <v>205</v>
      </c>
      <c r="E38" s="28">
        <v>64600</v>
      </c>
      <c r="F38" s="29">
        <v>961.15110000000004</v>
      </c>
      <c r="G38" s="30">
        <v>6.6986399999999996E-3</v>
      </c>
      <c r="H38" s="25" t="s">
        <v>148</v>
      </c>
    </row>
    <row r="39" spans="1:8" x14ac:dyDescent="0.2">
      <c r="A39" s="26">
        <v>33</v>
      </c>
      <c r="B39" s="27" t="s">
        <v>20</v>
      </c>
      <c r="C39" s="27" t="s">
        <v>21</v>
      </c>
      <c r="D39" s="27" t="s">
        <v>22</v>
      </c>
      <c r="E39" s="28">
        <v>305000</v>
      </c>
      <c r="F39" s="29">
        <v>949.92250000000001</v>
      </c>
      <c r="G39" s="30">
        <v>6.6203800000000004E-3</v>
      </c>
      <c r="H39" s="25" t="s">
        <v>148</v>
      </c>
    </row>
    <row r="40" spans="1:8" x14ac:dyDescent="0.2">
      <c r="A40" s="26">
        <v>34</v>
      </c>
      <c r="B40" s="27" t="s">
        <v>368</v>
      </c>
      <c r="C40" s="27" t="s">
        <v>369</v>
      </c>
      <c r="D40" s="27" t="s">
        <v>25</v>
      </c>
      <c r="E40" s="28">
        <v>40900</v>
      </c>
      <c r="F40" s="29">
        <v>943.41985</v>
      </c>
      <c r="G40" s="30">
        <v>6.5750699999999997E-3</v>
      </c>
      <c r="H40" s="25" t="s">
        <v>148</v>
      </c>
    </row>
    <row r="41" spans="1:8" x14ac:dyDescent="0.2">
      <c r="A41" s="26">
        <v>35</v>
      </c>
      <c r="B41" s="27" t="s">
        <v>268</v>
      </c>
      <c r="C41" s="27" t="s">
        <v>269</v>
      </c>
      <c r="D41" s="27" t="s">
        <v>270</v>
      </c>
      <c r="E41" s="28">
        <v>164550</v>
      </c>
      <c r="F41" s="29">
        <v>907.65779999999995</v>
      </c>
      <c r="G41" s="30">
        <v>6.3258300000000002E-3</v>
      </c>
      <c r="H41" s="25" t="s">
        <v>148</v>
      </c>
    </row>
    <row r="42" spans="1:8" ht="25.5" x14ac:dyDescent="0.2">
      <c r="A42" s="26">
        <v>36</v>
      </c>
      <c r="B42" s="27" t="s">
        <v>444</v>
      </c>
      <c r="C42" s="27" t="s">
        <v>445</v>
      </c>
      <c r="D42" s="27" t="s">
        <v>217</v>
      </c>
      <c r="E42" s="28">
        <v>93437</v>
      </c>
      <c r="F42" s="29">
        <v>900.45236899999998</v>
      </c>
      <c r="G42" s="30">
        <v>6.27561E-3</v>
      </c>
      <c r="H42" s="25" t="s">
        <v>148</v>
      </c>
    </row>
    <row r="43" spans="1:8" x14ac:dyDescent="0.2">
      <c r="A43" s="26">
        <v>37</v>
      </c>
      <c r="B43" s="27" t="s">
        <v>55</v>
      </c>
      <c r="C43" s="27" t="s">
        <v>56</v>
      </c>
      <c r="D43" s="27" t="s">
        <v>22</v>
      </c>
      <c r="E43" s="28">
        <v>260000</v>
      </c>
      <c r="F43" s="29">
        <v>881.92</v>
      </c>
      <c r="G43" s="30">
        <v>6.1464500000000004E-3</v>
      </c>
      <c r="H43" s="25" t="s">
        <v>148</v>
      </c>
    </row>
    <row r="44" spans="1:8" x14ac:dyDescent="0.2">
      <c r="A44" s="87">
        <v>38</v>
      </c>
      <c r="B44" s="38" t="s">
        <v>999</v>
      </c>
      <c r="C44" s="38" t="s">
        <v>1000</v>
      </c>
      <c r="D44" s="38" t="s">
        <v>22</v>
      </c>
      <c r="E44" s="88">
        <v>998132</v>
      </c>
      <c r="F44" s="89">
        <v>801.4999959999999</v>
      </c>
      <c r="G44" s="98">
        <f>F44/F182</f>
        <v>5.5859692419012756E-3</v>
      </c>
      <c r="H44" s="25" t="s">
        <v>148</v>
      </c>
    </row>
    <row r="45" spans="1:8" x14ac:dyDescent="0.2">
      <c r="A45" s="26">
        <v>39</v>
      </c>
      <c r="B45" s="27" t="s">
        <v>236</v>
      </c>
      <c r="C45" s="27" t="s">
        <v>237</v>
      </c>
      <c r="D45" s="27" t="s">
        <v>69</v>
      </c>
      <c r="E45" s="28">
        <v>216200</v>
      </c>
      <c r="F45" s="29">
        <v>809.23659999999995</v>
      </c>
      <c r="G45" s="30">
        <v>5.6398899999999998E-3</v>
      </c>
      <c r="H45" s="25" t="s">
        <v>148</v>
      </c>
    </row>
    <row r="46" spans="1:8" x14ac:dyDescent="0.2">
      <c r="A46" s="26">
        <v>40</v>
      </c>
      <c r="B46" s="27" t="s">
        <v>49</v>
      </c>
      <c r="C46" s="27" t="s">
        <v>50</v>
      </c>
      <c r="D46" s="27" t="s">
        <v>51</v>
      </c>
      <c r="E46" s="28">
        <v>14000</v>
      </c>
      <c r="F46" s="29">
        <v>788.01099999999997</v>
      </c>
      <c r="G46" s="30">
        <v>5.4919599999999997E-3</v>
      </c>
      <c r="H46" s="25" t="s">
        <v>148</v>
      </c>
    </row>
    <row r="47" spans="1:8" ht="25.5" x14ac:dyDescent="0.2">
      <c r="A47" s="26">
        <v>41</v>
      </c>
      <c r="B47" s="27" t="s">
        <v>215</v>
      </c>
      <c r="C47" s="27" t="s">
        <v>216</v>
      </c>
      <c r="D47" s="27" t="s">
        <v>217</v>
      </c>
      <c r="E47" s="28">
        <v>129000</v>
      </c>
      <c r="F47" s="29">
        <v>774.774</v>
      </c>
      <c r="G47" s="30">
        <v>5.3997100000000003E-3</v>
      </c>
      <c r="H47" s="25" t="s">
        <v>148</v>
      </c>
    </row>
    <row r="48" spans="1:8" ht="25.5" x14ac:dyDescent="0.2">
      <c r="A48" s="26">
        <v>42</v>
      </c>
      <c r="B48" s="27" t="s">
        <v>362</v>
      </c>
      <c r="C48" s="27" t="s">
        <v>363</v>
      </c>
      <c r="D48" s="27" t="s">
        <v>202</v>
      </c>
      <c r="E48" s="28">
        <v>68900</v>
      </c>
      <c r="F48" s="29">
        <v>769.26850000000002</v>
      </c>
      <c r="G48" s="30">
        <v>5.36134E-3</v>
      </c>
      <c r="H48" s="25" t="s">
        <v>148</v>
      </c>
    </row>
    <row r="49" spans="1:8" x14ac:dyDescent="0.2">
      <c r="A49" s="26">
        <v>43</v>
      </c>
      <c r="B49" s="27" t="s">
        <v>288</v>
      </c>
      <c r="C49" s="27" t="s">
        <v>289</v>
      </c>
      <c r="D49" s="27" t="s">
        <v>240</v>
      </c>
      <c r="E49" s="28">
        <v>22000</v>
      </c>
      <c r="F49" s="29">
        <v>691.48199999999997</v>
      </c>
      <c r="G49" s="30">
        <v>4.81921E-3</v>
      </c>
      <c r="H49" s="25" t="s">
        <v>148</v>
      </c>
    </row>
    <row r="50" spans="1:8" x14ac:dyDescent="0.2">
      <c r="A50" s="26">
        <v>44</v>
      </c>
      <c r="B50" s="27" t="s">
        <v>195</v>
      </c>
      <c r="C50" s="27" t="s">
        <v>196</v>
      </c>
      <c r="D50" s="27" t="s">
        <v>197</v>
      </c>
      <c r="E50" s="28">
        <v>40250</v>
      </c>
      <c r="F50" s="29">
        <v>670.94737499999997</v>
      </c>
      <c r="G50" s="30">
        <v>4.6760999999999999E-3</v>
      </c>
      <c r="H50" s="25" t="s">
        <v>148</v>
      </c>
    </row>
    <row r="51" spans="1:8" ht="25.5" x14ac:dyDescent="0.2">
      <c r="A51" s="26">
        <v>45</v>
      </c>
      <c r="B51" s="27" t="s">
        <v>200</v>
      </c>
      <c r="C51" s="27" t="s">
        <v>201</v>
      </c>
      <c r="D51" s="27" t="s">
        <v>202</v>
      </c>
      <c r="E51" s="28">
        <v>35000</v>
      </c>
      <c r="F51" s="29">
        <v>666.62750000000005</v>
      </c>
      <c r="G51" s="30">
        <v>4.64599E-3</v>
      </c>
      <c r="H51" s="25" t="s">
        <v>148</v>
      </c>
    </row>
    <row r="52" spans="1:8" x14ac:dyDescent="0.2">
      <c r="A52" s="26">
        <v>46</v>
      </c>
      <c r="B52" s="27" t="s">
        <v>31</v>
      </c>
      <c r="C52" s="27" t="s">
        <v>32</v>
      </c>
      <c r="D52" s="27" t="s">
        <v>33</v>
      </c>
      <c r="E52" s="28">
        <v>263000</v>
      </c>
      <c r="F52" s="29">
        <v>647.63750000000005</v>
      </c>
      <c r="G52" s="30">
        <v>4.5136400000000002E-3</v>
      </c>
      <c r="H52" s="25" t="s">
        <v>148</v>
      </c>
    </row>
    <row r="53" spans="1:8" x14ac:dyDescent="0.2">
      <c r="A53" s="26">
        <v>47</v>
      </c>
      <c r="B53" s="27" t="s">
        <v>360</v>
      </c>
      <c r="C53" s="27" t="s">
        <v>361</v>
      </c>
      <c r="D53" s="27" t="s">
        <v>235</v>
      </c>
      <c r="E53" s="28">
        <v>145000</v>
      </c>
      <c r="F53" s="29">
        <v>632.27250000000004</v>
      </c>
      <c r="G53" s="30">
        <v>4.4065600000000003E-3</v>
      </c>
      <c r="H53" s="25" t="s">
        <v>148</v>
      </c>
    </row>
    <row r="54" spans="1:8" x14ac:dyDescent="0.2">
      <c r="A54" s="26">
        <v>48</v>
      </c>
      <c r="B54" s="27" t="s">
        <v>65</v>
      </c>
      <c r="C54" s="27" t="s">
        <v>66</v>
      </c>
      <c r="D54" s="27" t="s">
        <v>13</v>
      </c>
      <c r="E54" s="28">
        <v>195020</v>
      </c>
      <c r="F54" s="29">
        <v>630.59717000000001</v>
      </c>
      <c r="G54" s="30">
        <v>4.3948800000000003E-3</v>
      </c>
      <c r="H54" s="25" t="s">
        <v>148</v>
      </c>
    </row>
    <row r="55" spans="1:8" x14ac:dyDescent="0.2">
      <c r="A55" s="26">
        <v>49</v>
      </c>
      <c r="B55" s="27" t="s">
        <v>271</v>
      </c>
      <c r="C55" s="27" t="s">
        <v>272</v>
      </c>
      <c r="D55" s="27" t="s">
        <v>45</v>
      </c>
      <c r="E55" s="28">
        <v>13200</v>
      </c>
      <c r="F55" s="29">
        <v>622.16880000000003</v>
      </c>
      <c r="G55" s="30">
        <v>4.3361399999999996E-3</v>
      </c>
      <c r="H55" s="25" t="s">
        <v>148</v>
      </c>
    </row>
    <row r="56" spans="1:8" x14ac:dyDescent="0.2">
      <c r="A56" s="26">
        <v>50</v>
      </c>
      <c r="B56" s="27" t="s">
        <v>437</v>
      </c>
      <c r="C56" s="27" t="s">
        <v>438</v>
      </c>
      <c r="D56" s="27" t="s">
        <v>439</v>
      </c>
      <c r="E56" s="28">
        <v>98000</v>
      </c>
      <c r="F56" s="29">
        <v>621.66300000000001</v>
      </c>
      <c r="G56" s="30">
        <v>4.3326099999999998E-3</v>
      </c>
      <c r="H56" s="25" t="s">
        <v>148</v>
      </c>
    </row>
    <row r="57" spans="1:8" x14ac:dyDescent="0.2">
      <c r="A57" s="26">
        <v>51</v>
      </c>
      <c r="B57" s="27" t="s">
        <v>36</v>
      </c>
      <c r="C57" s="27" t="s">
        <v>37</v>
      </c>
      <c r="D57" s="27" t="s">
        <v>25</v>
      </c>
      <c r="E57" s="28">
        <v>14127</v>
      </c>
      <c r="F57" s="29">
        <v>620.08347449999997</v>
      </c>
      <c r="G57" s="30">
        <v>4.32161E-3</v>
      </c>
      <c r="H57" s="25" t="s">
        <v>148</v>
      </c>
    </row>
    <row r="58" spans="1:8" x14ac:dyDescent="0.2">
      <c r="A58" s="26">
        <v>52</v>
      </c>
      <c r="B58" s="27" t="s">
        <v>208</v>
      </c>
      <c r="C58" s="27" t="s">
        <v>209</v>
      </c>
      <c r="D58" s="27" t="s">
        <v>210</v>
      </c>
      <c r="E58" s="28">
        <v>100000</v>
      </c>
      <c r="F58" s="29">
        <v>612.70000000000005</v>
      </c>
      <c r="G58" s="30">
        <v>4.2701500000000003E-3</v>
      </c>
      <c r="H58" s="25" t="s">
        <v>148</v>
      </c>
    </row>
    <row r="59" spans="1:8" x14ac:dyDescent="0.2">
      <c r="A59" s="26">
        <v>53</v>
      </c>
      <c r="B59" s="27" t="s">
        <v>532</v>
      </c>
      <c r="C59" s="27" t="s">
        <v>533</v>
      </c>
      <c r="D59" s="27" t="s">
        <v>111</v>
      </c>
      <c r="E59" s="28">
        <v>60000</v>
      </c>
      <c r="F59" s="29">
        <v>611.19000000000005</v>
      </c>
      <c r="G59" s="30">
        <v>4.2596200000000004E-3</v>
      </c>
      <c r="H59" s="25" t="s">
        <v>148</v>
      </c>
    </row>
    <row r="60" spans="1:8" x14ac:dyDescent="0.2">
      <c r="A60" s="26">
        <v>54</v>
      </c>
      <c r="B60" s="27" t="s">
        <v>114</v>
      </c>
      <c r="C60" s="27" t="s">
        <v>115</v>
      </c>
      <c r="D60" s="27" t="s">
        <v>45</v>
      </c>
      <c r="E60" s="28">
        <v>38470</v>
      </c>
      <c r="F60" s="29">
        <v>553.140895</v>
      </c>
      <c r="G60" s="30">
        <v>3.85506E-3</v>
      </c>
      <c r="H60" s="25" t="s">
        <v>148</v>
      </c>
    </row>
    <row r="61" spans="1:8" x14ac:dyDescent="0.2">
      <c r="A61" s="26">
        <v>55</v>
      </c>
      <c r="B61" s="27" t="s">
        <v>538</v>
      </c>
      <c r="C61" s="27" t="s">
        <v>539</v>
      </c>
      <c r="D61" s="27" t="s">
        <v>45</v>
      </c>
      <c r="E61" s="28">
        <v>300000</v>
      </c>
      <c r="F61" s="29">
        <v>512.37</v>
      </c>
      <c r="G61" s="30">
        <v>3.5709100000000001E-3</v>
      </c>
      <c r="H61" s="25" t="s">
        <v>148</v>
      </c>
    </row>
    <row r="62" spans="1:8" x14ac:dyDescent="0.2">
      <c r="A62" s="26">
        <v>56</v>
      </c>
      <c r="B62" s="27" t="s">
        <v>92</v>
      </c>
      <c r="C62" s="27" t="s">
        <v>93</v>
      </c>
      <c r="D62" s="27" t="s">
        <v>94</v>
      </c>
      <c r="E62" s="28">
        <v>293425</v>
      </c>
      <c r="F62" s="29">
        <v>457.86036999999999</v>
      </c>
      <c r="G62" s="30">
        <v>3.1910100000000002E-3</v>
      </c>
      <c r="H62" s="25" t="s">
        <v>148</v>
      </c>
    </row>
    <row r="63" spans="1:8" x14ac:dyDescent="0.2">
      <c r="A63" s="26">
        <v>57</v>
      </c>
      <c r="B63" s="27" t="s">
        <v>67</v>
      </c>
      <c r="C63" s="27" t="s">
        <v>68</v>
      </c>
      <c r="D63" s="27" t="s">
        <v>69</v>
      </c>
      <c r="E63" s="28">
        <v>9400</v>
      </c>
      <c r="F63" s="29">
        <v>423.1739</v>
      </c>
      <c r="G63" s="30">
        <v>2.9492699999999999E-3</v>
      </c>
      <c r="H63" s="25" t="s">
        <v>148</v>
      </c>
    </row>
    <row r="64" spans="1:8" x14ac:dyDescent="0.2">
      <c r="A64" s="26">
        <v>58</v>
      </c>
      <c r="B64" s="27" t="s">
        <v>253</v>
      </c>
      <c r="C64" s="27" t="s">
        <v>254</v>
      </c>
      <c r="D64" s="27" t="s">
        <v>205</v>
      </c>
      <c r="E64" s="28">
        <v>5000</v>
      </c>
      <c r="F64" s="29">
        <v>368.10750000000002</v>
      </c>
      <c r="G64" s="30">
        <v>2.5654900000000001E-3</v>
      </c>
      <c r="H64" s="25" t="s">
        <v>148</v>
      </c>
    </row>
    <row r="65" spans="1:8" x14ac:dyDescent="0.2">
      <c r="A65" s="26">
        <v>59</v>
      </c>
      <c r="B65" s="27" t="s">
        <v>374</v>
      </c>
      <c r="C65" s="27" t="s">
        <v>375</v>
      </c>
      <c r="D65" s="27" t="s">
        <v>376</v>
      </c>
      <c r="E65" s="28">
        <v>93000</v>
      </c>
      <c r="F65" s="29">
        <v>343.49549999999999</v>
      </c>
      <c r="G65" s="30">
        <v>2.3939600000000001E-3</v>
      </c>
      <c r="H65" s="25" t="s">
        <v>148</v>
      </c>
    </row>
    <row r="66" spans="1:8" x14ac:dyDescent="0.2">
      <c r="A66" s="26">
        <v>60</v>
      </c>
      <c r="B66" s="27" t="s">
        <v>536</v>
      </c>
      <c r="C66" s="27" t="s">
        <v>537</v>
      </c>
      <c r="D66" s="27" t="s">
        <v>69</v>
      </c>
      <c r="E66" s="28">
        <v>32209</v>
      </c>
      <c r="F66" s="29">
        <v>315.37442349999998</v>
      </c>
      <c r="G66" s="30">
        <v>2.19797E-3</v>
      </c>
      <c r="H66" s="25" t="s">
        <v>148</v>
      </c>
    </row>
    <row r="67" spans="1:8" x14ac:dyDescent="0.2">
      <c r="A67" s="26">
        <v>61</v>
      </c>
      <c r="B67" s="27" t="s">
        <v>249</v>
      </c>
      <c r="C67" s="27" t="s">
        <v>250</v>
      </c>
      <c r="D67" s="27" t="s">
        <v>205</v>
      </c>
      <c r="E67" s="28">
        <v>13750</v>
      </c>
      <c r="F67" s="29">
        <v>308.99687499999999</v>
      </c>
      <c r="G67" s="30">
        <v>2.1535199999999999E-3</v>
      </c>
      <c r="H67" s="25" t="s">
        <v>148</v>
      </c>
    </row>
    <row r="68" spans="1:8" x14ac:dyDescent="0.2">
      <c r="A68" s="26">
        <v>62</v>
      </c>
      <c r="B68" s="27" t="s">
        <v>338</v>
      </c>
      <c r="C68" s="27" t="s">
        <v>339</v>
      </c>
      <c r="D68" s="27" t="s">
        <v>229</v>
      </c>
      <c r="E68" s="28">
        <v>126872</v>
      </c>
      <c r="F68" s="29">
        <v>281.782712</v>
      </c>
      <c r="G68" s="30">
        <v>1.96386E-3</v>
      </c>
      <c r="H68" s="25" t="s">
        <v>148</v>
      </c>
    </row>
    <row r="69" spans="1:8" x14ac:dyDescent="0.2">
      <c r="A69" s="26">
        <v>63</v>
      </c>
      <c r="B69" s="27" t="s">
        <v>125</v>
      </c>
      <c r="C69" s="27" t="s">
        <v>126</v>
      </c>
      <c r="D69" s="27" t="s">
        <v>64</v>
      </c>
      <c r="E69" s="28">
        <v>110100</v>
      </c>
      <c r="F69" s="29">
        <v>275.08485000000002</v>
      </c>
      <c r="G69" s="30">
        <v>1.9171800000000001E-3</v>
      </c>
      <c r="H69" s="25" t="s">
        <v>148</v>
      </c>
    </row>
    <row r="70" spans="1:8" x14ac:dyDescent="0.2">
      <c r="A70" s="26">
        <v>64</v>
      </c>
      <c r="B70" s="27" t="s">
        <v>500</v>
      </c>
      <c r="C70" s="27" t="s">
        <v>501</v>
      </c>
      <c r="D70" s="27" t="s">
        <v>240</v>
      </c>
      <c r="E70" s="28">
        <v>15673</v>
      </c>
      <c r="F70" s="29">
        <v>259.33329450000002</v>
      </c>
      <c r="G70" s="30">
        <v>1.8074E-3</v>
      </c>
      <c r="H70" s="25" t="s">
        <v>148</v>
      </c>
    </row>
    <row r="71" spans="1:8" x14ac:dyDescent="0.2">
      <c r="A71" s="26">
        <v>65</v>
      </c>
      <c r="B71" s="27" t="s">
        <v>448</v>
      </c>
      <c r="C71" s="27" t="s">
        <v>449</v>
      </c>
      <c r="D71" s="27" t="s">
        <v>350</v>
      </c>
      <c r="E71" s="28">
        <v>11400</v>
      </c>
      <c r="F71" s="29">
        <v>249.6885</v>
      </c>
      <c r="G71" s="30">
        <v>1.74018E-3</v>
      </c>
      <c r="H71" s="25" t="s">
        <v>148</v>
      </c>
    </row>
    <row r="72" spans="1:8" x14ac:dyDescent="0.2">
      <c r="A72" s="26">
        <v>66</v>
      </c>
      <c r="B72" s="27" t="s">
        <v>127</v>
      </c>
      <c r="C72" s="27" t="s">
        <v>128</v>
      </c>
      <c r="D72" s="27" t="s">
        <v>45</v>
      </c>
      <c r="E72" s="28">
        <v>30000</v>
      </c>
      <c r="F72" s="29">
        <v>172.83</v>
      </c>
      <c r="G72" s="30">
        <v>1.2045199999999999E-3</v>
      </c>
      <c r="H72" s="25" t="s">
        <v>148</v>
      </c>
    </row>
    <row r="73" spans="1:8" x14ac:dyDescent="0.2">
      <c r="A73" s="26">
        <v>66</v>
      </c>
      <c r="B73" s="27" t="s">
        <v>370</v>
      </c>
      <c r="C73" s="27" t="s">
        <v>371</v>
      </c>
      <c r="D73" s="27" t="s">
        <v>51</v>
      </c>
      <c r="E73" s="28">
        <v>3500</v>
      </c>
      <c r="F73" s="29">
        <v>107.70375</v>
      </c>
      <c r="G73" s="30">
        <v>7.5062999999999996E-4</v>
      </c>
      <c r="H73" s="25" t="s">
        <v>148</v>
      </c>
    </row>
    <row r="74" spans="1:8" x14ac:dyDescent="0.2">
      <c r="A74" s="26">
        <v>67</v>
      </c>
      <c r="B74" s="27" t="s">
        <v>662</v>
      </c>
      <c r="C74" s="27" t="s">
        <v>663</v>
      </c>
      <c r="D74" s="27" t="s">
        <v>94</v>
      </c>
      <c r="E74" s="28">
        <v>4400</v>
      </c>
      <c r="F74" s="29">
        <v>54.45</v>
      </c>
      <c r="G74" s="30">
        <v>3.7948000000000002E-4</v>
      </c>
      <c r="H74" s="25" t="s">
        <v>148</v>
      </c>
    </row>
    <row r="75" spans="1:8" x14ac:dyDescent="0.2">
      <c r="A75" s="23"/>
      <c r="B75" s="23"/>
      <c r="C75" s="24" t="s">
        <v>147</v>
      </c>
      <c r="D75" s="23"/>
      <c r="E75" s="23" t="s">
        <v>148</v>
      </c>
      <c r="F75" s="31">
        <f>SUM(F7:F74)</f>
        <v>104535.91102200001</v>
      </c>
      <c r="G75" s="32">
        <f>SUM(G7:G74)</f>
        <v>0.72855205366831355</v>
      </c>
      <c r="H75" s="25" t="s">
        <v>148</v>
      </c>
    </row>
    <row r="76" spans="1:8" x14ac:dyDescent="0.2">
      <c r="A76" s="23"/>
      <c r="B76" s="23"/>
      <c r="C76" s="33"/>
      <c r="D76" s="23"/>
      <c r="E76" s="23"/>
      <c r="F76" s="34"/>
      <c r="G76" s="34"/>
      <c r="H76" s="25" t="s">
        <v>148</v>
      </c>
    </row>
    <row r="77" spans="1:8" x14ac:dyDescent="0.2">
      <c r="A77" s="23"/>
      <c r="B77" s="23"/>
      <c r="C77" s="24" t="s">
        <v>149</v>
      </c>
      <c r="D77" s="23"/>
      <c r="E77" s="23"/>
      <c r="F77" s="23"/>
      <c r="G77" s="23"/>
      <c r="H77" s="25" t="s">
        <v>148</v>
      </c>
    </row>
    <row r="78" spans="1:8" x14ac:dyDescent="0.2">
      <c r="A78" s="23"/>
      <c r="B78" s="23"/>
      <c r="C78" s="24" t="s">
        <v>147</v>
      </c>
      <c r="D78" s="23"/>
      <c r="E78" s="23" t="s">
        <v>148</v>
      </c>
      <c r="F78" s="35" t="s">
        <v>150</v>
      </c>
      <c r="G78" s="32">
        <v>0</v>
      </c>
      <c r="H78" s="25" t="s">
        <v>148</v>
      </c>
    </row>
    <row r="79" spans="1:8" x14ac:dyDescent="0.2">
      <c r="A79" s="23"/>
      <c r="B79" s="23"/>
      <c r="C79" s="33"/>
      <c r="D79" s="23"/>
      <c r="E79" s="23"/>
      <c r="F79" s="34"/>
      <c r="G79" s="34"/>
      <c r="H79" s="25" t="s">
        <v>148</v>
      </c>
    </row>
    <row r="80" spans="1:8" x14ac:dyDescent="0.2">
      <c r="A80" s="23"/>
      <c r="B80" s="23"/>
      <c r="C80" s="24" t="s">
        <v>151</v>
      </c>
      <c r="D80" s="23"/>
      <c r="E80" s="23"/>
      <c r="F80" s="23"/>
      <c r="G80" s="23"/>
      <c r="H80" s="25" t="s">
        <v>148</v>
      </c>
    </row>
    <row r="81" spans="1:8" x14ac:dyDescent="0.2">
      <c r="A81" s="23"/>
      <c r="B81" s="23"/>
      <c r="C81" s="24" t="s">
        <v>147</v>
      </c>
      <c r="D81" s="23"/>
      <c r="E81" s="23" t="s">
        <v>148</v>
      </c>
      <c r="F81" s="35" t="s">
        <v>150</v>
      </c>
      <c r="G81" s="32">
        <v>0</v>
      </c>
      <c r="H81" s="25" t="s">
        <v>148</v>
      </c>
    </row>
    <row r="82" spans="1:8" x14ac:dyDescent="0.2">
      <c r="A82" s="23"/>
      <c r="B82" s="23"/>
      <c r="C82" s="33"/>
      <c r="D82" s="23"/>
      <c r="E82" s="23"/>
      <c r="F82" s="34"/>
      <c r="G82" s="34"/>
      <c r="H82" s="25" t="s">
        <v>148</v>
      </c>
    </row>
    <row r="83" spans="1:8" x14ac:dyDescent="0.2">
      <c r="A83" s="23"/>
      <c r="B83" s="23"/>
      <c r="C83" s="24" t="s">
        <v>152</v>
      </c>
      <c r="D83" s="23"/>
      <c r="E83" s="23"/>
      <c r="F83" s="23"/>
      <c r="G83" s="23"/>
      <c r="H83" s="25" t="s">
        <v>148</v>
      </c>
    </row>
    <row r="84" spans="1:8" x14ac:dyDescent="0.2">
      <c r="A84" s="23"/>
      <c r="B84" s="23"/>
      <c r="C84" s="24" t="s">
        <v>147</v>
      </c>
      <c r="D84" s="23"/>
      <c r="E84" s="23" t="s">
        <v>148</v>
      </c>
      <c r="F84" s="35" t="s">
        <v>150</v>
      </c>
      <c r="G84" s="32">
        <v>0</v>
      </c>
      <c r="H84" s="25" t="s">
        <v>148</v>
      </c>
    </row>
    <row r="85" spans="1:8" x14ac:dyDescent="0.2">
      <c r="A85" s="23"/>
      <c r="B85" s="23"/>
      <c r="C85" s="33"/>
      <c r="D85" s="23"/>
      <c r="E85" s="23"/>
      <c r="F85" s="34"/>
      <c r="G85" s="34"/>
      <c r="H85" s="25" t="s">
        <v>148</v>
      </c>
    </row>
    <row r="86" spans="1:8" x14ac:dyDescent="0.2">
      <c r="A86" s="23"/>
      <c r="B86" s="23"/>
      <c r="C86" s="24" t="s">
        <v>153</v>
      </c>
      <c r="D86" s="23"/>
      <c r="E86" s="23"/>
      <c r="F86" s="34"/>
      <c r="G86" s="34"/>
      <c r="H86" s="25" t="s">
        <v>148</v>
      </c>
    </row>
    <row r="87" spans="1:8" x14ac:dyDescent="0.2">
      <c r="A87" s="23"/>
      <c r="B87" s="23"/>
      <c r="C87" s="24" t="s">
        <v>147</v>
      </c>
      <c r="D87" s="23"/>
      <c r="E87" s="23" t="s">
        <v>148</v>
      </c>
      <c r="F87" s="35" t="s">
        <v>150</v>
      </c>
      <c r="G87" s="32">
        <v>0</v>
      </c>
      <c r="H87" s="25" t="s">
        <v>148</v>
      </c>
    </row>
    <row r="88" spans="1:8" x14ac:dyDescent="0.2">
      <c r="A88" s="99"/>
      <c r="B88" s="99"/>
      <c r="C88" s="100"/>
      <c r="D88" s="99"/>
      <c r="E88" s="99"/>
      <c r="F88" s="101"/>
      <c r="G88" s="101"/>
      <c r="H88" s="25" t="s">
        <v>148</v>
      </c>
    </row>
    <row r="89" spans="1:8" x14ac:dyDescent="0.2">
      <c r="A89" s="99"/>
      <c r="B89" s="99"/>
      <c r="C89" s="58" t="s">
        <v>922</v>
      </c>
      <c r="D89" s="99"/>
      <c r="E89" s="99"/>
      <c r="F89" s="99"/>
      <c r="G89" s="99"/>
      <c r="H89" s="25" t="s">
        <v>148</v>
      </c>
    </row>
    <row r="90" spans="1:8" ht="25.5" x14ac:dyDescent="0.2">
      <c r="A90" s="87">
        <v>1</v>
      </c>
      <c r="B90" s="38" t="s">
        <v>923</v>
      </c>
      <c r="C90" s="38" t="s">
        <v>924</v>
      </c>
      <c r="D90" s="38" t="s">
        <v>925</v>
      </c>
      <c r="E90" s="88">
        <v>750</v>
      </c>
      <c r="F90" s="89">
        <v>848.38949249999996</v>
      </c>
      <c r="G90" s="98">
        <f>F90/F182</f>
        <v>5.9127606162299139E-3</v>
      </c>
      <c r="H90" s="25">
        <v>8.27</v>
      </c>
    </row>
    <row r="91" spans="1:8" x14ac:dyDescent="0.2">
      <c r="A91" s="99"/>
      <c r="B91" s="99"/>
      <c r="C91" s="58" t="s">
        <v>147</v>
      </c>
      <c r="D91" s="99"/>
      <c r="E91" s="99" t="s">
        <v>148</v>
      </c>
      <c r="F91" s="102">
        <f>SUM(F90)</f>
        <v>848.38949249999996</v>
      </c>
      <c r="G91" s="103">
        <f>SUM(G90)</f>
        <v>5.9127606162299139E-3</v>
      </c>
      <c r="H91" s="25" t="s">
        <v>148</v>
      </c>
    </row>
    <row r="92" spans="1:8" x14ac:dyDescent="0.2">
      <c r="A92" s="23"/>
      <c r="B92" s="23"/>
      <c r="C92" s="33"/>
      <c r="D92" s="23"/>
      <c r="E92" s="23"/>
      <c r="F92" s="34"/>
      <c r="G92" s="34"/>
      <c r="H92" s="25" t="s">
        <v>148</v>
      </c>
    </row>
    <row r="93" spans="1:8" x14ac:dyDescent="0.2">
      <c r="A93" s="23"/>
      <c r="B93" s="23"/>
      <c r="C93" s="24" t="s">
        <v>154</v>
      </c>
      <c r="D93" s="23"/>
      <c r="E93" s="23"/>
      <c r="F93" s="34"/>
      <c r="G93" s="34"/>
      <c r="H93" s="25" t="s">
        <v>148</v>
      </c>
    </row>
    <row r="94" spans="1:8" x14ac:dyDescent="0.2">
      <c r="A94" s="26">
        <v>1</v>
      </c>
      <c r="B94" s="27"/>
      <c r="C94" s="27" t="s">
        <v>990</v>
      </c>
      <c r="D94" s="27" t="s">
        <v>519</v>
      </c>
      <c r="E94" s="28">
        <v>-1250</v>
      </c>
      <c r="F94" s="29">
        <v>-12.7675</v>
      </c>
      <c r="G94" s="30">
        <f>F94/$F$182</f>
        <v>-8.8981737556957573E-5</v>
      </c>
      <c r="H94" s="25" t="s">
        <v>148</v>
      </c>
    </row>
    <row r="95" spans="1:8" x14ac:dyDescent="0.2">
      <c r="A95" s="26">
        <v>2</v>
      </c>
      <c r="B95" s="27"/>
      <c r="C95" s="27" t="s">
        <v>1001</v>
      </c>
      <c r="D95" s="27" t="s">
        <v>519</v>
      </c>
      <c r="E95" s="28">
        <v>-1000</v>
      </c>
      <c r="F95" s="29">
        <v>-23.211500000000001</v>
      </c>
      <c r="G95" s="30">
        <f t="shared" ref="G95:G116" si="0">F95/$F$182</f>
        <v>-1.6177008821643399E-4</v>
      </c>
      <c r="H95" s="25" t="s">
        <v>148</v>
      </c>
    </row>
    <row r="96" spans="1:8" x14ac:dyDescent="0.2">
      <c r="A96" s="26">
        <v>3</v>
      </c>
      <c r="B96" s="27"/>
      <c r="C96" s="27" t="s">
        <v>1002</v>
      </c>
      <c r="D96" s="27" t="s">
        <v>519</v>
      </c>
      <c r="E96" s="28">
        <v>-2100</v>
      </c>
      <c r="F96" s="29">
        <v>-33.229349999999997</v>
      </c>
      <c r="G96" s="30">
        <f t="shared" si="0"/>
        <v>-2.3158843163409342E-4</v>
      </c>
      <c r="H96" s="25" t="s">
        <v>148</v>
      </c>
    </row>
    <row r="97" spans="1:8" x14ac:dyDescent="0.2">
      <c r="A97" s="26">
        <v>4</v>
      </c>
      <c r="B97" s="27"/>
      <c r="C97" s="27" t="s">
        <v>1003</v>
      </c>
      <c r="D97" s="27" t="s">
        <v>519</v>
      </c>
      <c r="E97" s="28">
        <v>-4400</v>
      </c>
      <c r="F97" s="29">
        <v>-54.795400000000001</v>
      </c>
      <c r="G97" s="30">
        <f t="shared" si="0"/>
        <v>-3.8189073053679367E-4</v>
      </c>
      <c r="H97" s="25" t="s">
        <v>148</v>
      </c>
    </row>
    <row r="98" spans="1:8" x14ac:dyDescent="0.2">
      <c r="A98" s="26">
        <v>5</v>
      </c>
      <c r="B98" s="27"/>
      <c r="C98" s="27" t="s">
        <v>961</v>
      </c>
      <c r="D98" s="27" t="s">
        <v>519</v>
      </c>
      <c r="E98" s="28">
        <v>-3500</v>
      </c>
      <c r="F98" s="29">
        <v>-108.32850000000001</v>
      </c>
      <c r="G98" s="30">
        <f t="shared" si="0"/>
        <v>-7.5498399506080901E-4</v>
      </c>
      <c r="H98" s="25" t="s">
        <v>148</v>
      </c>
    </row>
    <row r="99" spans="1:8" x14ac:dyDescent="0.2">
      <c r="A99" s="26">
        <v>6</v>
      </c>
      <c r="B99" s="27"/>
      <c r="C99" s="27" t="s">
        <v>1004</v>
      </c>
      <c r="D99" s="27" t="s">
        <v>519</v>
      </c>
      <c r="E99" s="28">
        <v>-70500</v>
      </c>
      <c r="F99" s="29">
        <v>-110.36775</v>
      </c>
      <c r="G99" s="30">
        <f t="shared" si="0"/>
        <v>-7.691963317213162E-4</v>
      </c>
      <c r="H99" s="25" t="s">
        <v>148</v>
      </c>
    </row>
    <row r="100" spans="1:8" x14ac:dyDescent="0.2">
      <c r="A100" s="26">
        <v>7</v>
      </c>
      <c r="B100" s="27"/>
      <c r="C100" s="27" t="s">
        <v>987</v>
      </c>
      <c r="D100" s="27" t="s">
        <v>519</v>
      </c>
      <c r="E100" s="28">
        <v>-44800</v>
      </c>
      <c r="F100" s="29">
        <v>-177.7664</v>
      </c>
      <c r="G100" s="30">
        <f t="shared" si="0"/>
        <v>-1.2389240768549163E-3</v>
      </c>
      <c r="H100" s="25" t="s">
        <v>148</v>
      </c>
    </row>
    <row r="101" spans="1:8" x14ac:dyDescent="0.2">
      <c r="A101" s="26">
        <v>8</v>
      </c>
      <c r="B101" s="27"/>
      <c r="C101" s="27" t="s">
        <v>1005</v>
      </c>
      <c r="D101" s="27" t="s">
        <v>519</v>
      </c>
      <c r="E101" s="28">
        <v>-11400</v>
      </c>
      <c r="F101" s="29">
        <v>-251.1876</v>
      </c>
      <c r="G101" s="30">
        <f t="shared" si="0"/>
        <v>-1.7506253456637585E-3</v>
      </c>
      <c r="H101" s="25" t="s">
        <v>148</v>
      </c>
    </row>
    <row r="102" spans="1:8" x14ac:dyDescent="0.2">
      <c r="A102" s="26">
        <v>9</v>
      </c>
      <c r="B102" s="27"/>
      <c r="C102" s="27" t="s">
        <v>983</v>
      </c>
      <c r="D102" s="27" t="s">
        <v>519</v>
      </c>
      <c r="E102" s="28">
        <v>-8225</v>
      </c>
      <c r="F102" s="29">
        <v>-288.19988749999999</v>
      </c>
      <c r="G102" s="30">
        <f t="shared" si="0"/>
        <v>-2.0085785591125666E-3</v>
      </c>
      <c r="H102" s="25" t="s">
        <v>148</v>
      </c>
    </row>
    <row r="103" spans="1:8" x14ac:dyDescent="0.2">
      <c r="A103" s="26">
        <v>10</v>
      </c>
      <c r="B103" s="27"/>
      <c r="C103" s="27" t="s">
        <v>986</v>
      </c>
      <c r="D103" s="27" t="s">
        <v>519</v>
      </c>
      <c r="E103" s="28">
        <v>-62700</v>
      </c>
      <c r="F103" s="29">
        <v>-391.3734</v>
      </c>
      <c r="G103" s="30">
        <f t="shared" si="0"/>
        <v>-2.7276354153572884E-3</v>
      </c>
      <c r="H103" s="25" t="s">
        <v>148</v>
      </c>
    </row>
    <row r="104" spans="1:8" x14ac:dyDescent="0.2">
      <c r="A104" s="26">
        <v>11</v>
      </c>
      <c r="B104" s="27"/>
      <c r="C104" s="27" t="s">
        <v>965</v>
      </c>
      <c r="D104" s="27" t="s">
        <v>519</v>
      </c>
      <c r="E104" s="28">
        <v>-24750</v>
      </c>
      <c r="F104" s="29">
        <v>-430.15499999999997</v>
      </c>
      <c r="G104" s="30">
        <f t="shared" si="0"/>
        <v>-2.9979196646808758E-3</v>
      </c>
      <c r="H104" s="25" t="s">
        <v>148</v>
      </c>
    </row>
    <row r="105" spans="1:8" x14ac:dyDescent="0.2">
      <c r="A105" s="26">
        <v>12</v>
      </c>
      <c r="B105" s="27"/>
      <c r="C105" s="27" t="s">
        <v>979</v>
      </c>
      <c r="D105" s="27" t="s">
        <v>519</v>
      </c>
      <c r="E105" s="28">
        <v>-98000</v>
      </c>
      <c r="F105" s="29">
        <v>-623.32899999999995</v>
      </c>
      <c r="G105" s="30">
        <f t="shared" si="0"/>
        <v>-4.3442253761222481E-3</v>
      </c>
      <c r="H105" s="25" t="s">
        <v>148</v>
      </c>
    </row>
    <row r="106" spans="1:8" x14ac:dyDescent="0.2">
      <c r="A106" s="26">
        <v>13</v>
      </c>
      <c r="B106" s="27"/>
      <c r="C106" s="27" t="s">
        <v>1006</v>
      </c>
      <c r="D106" s="27" t="s">
        <v>519</v>
      </c>
      <c r="E106" s="28">
        <v>-48400</v>
      </c>
      <c r="F106" s="29">
        <v>-821.95299999999997</v>
      </c>
      <c r="G106" s="30">
        <f t="shared" si="0"/>
        <v>-5.7285142847193224E-3</v>
      </c>
      <c r="H106" s="25" t="s">
        <v>148</v>
      </c>
    </row>
    <row r="107" spans="1:8" x14ac:dyDescent="0.2">
      <c r="A107" s="26">
        <v>14</v>
      </c>
      <c r="B107" s="27"/>
      <c r="C107" s="27" t="s">
        <v>991</v>
      </c>
      <c r="D107" s="27" t="s">
        <v>519</v>
      </c>
      <c r="E107" s="28">
        <v>-114800</v>
      </c>
      <c r="F107" s="29">
        <v>-1390.5724</v>
      </c>
      <c r="G107" s="30">
        <f t="shared" si="0"/>
        <v>-9.6914469043077062E-3</v>
      </c>
      <c r="H107" s="25" t="s">
        <v>148</v>
      </c>
    </row>
    <row r="108" spans="1:8" x14ac:dyDescent="0.2">
      <c r="A108" s="26">
        <v>15</v>
      </c>
      <c r="B108" s="27"/>
      <c r="C108" s="27" t="s">
        <v>962</v>
      </c>
      <c r="D108" s="27" t="s">
        <v>519</v>
      </c>
      <c r="E108" s="28">
        <v>-76000</v>
      </c>
      <c r="F108" s="29">
        <v>-1431.384</v>
      </c>
      <c r="G108" s="30">
        <f t="shared" si="0"/>
        <v>-9.975879023397546E-3</v>
      </c>
      <c r="H108" s="25" t="s">
        <v>148</v>
      </c>
    </row>
    <row r="109" spans="1:8" x14ac:dyDescent="0.2">
      <c r="A109" s="26">
        <v>16</v>
      </c>
      <c r="B109" s="27"/>
      <c r="C109" s="27" t="s">
        <v>977</v>
      </c>
      <c r="D109" s="27" t="s">
        <v>519</v>
      </c>
      <c r="E109" s="28">
        <v>-17250</v>
      </c>
      <c r="F109" s="29">
        <v>-1479.541125</v>
      </c>
      <c r="G109" s="30">
        <f t="shared" si="0"/>
        <v>-1.0311505000154748E-2</v>
      </c>
      <c r="H109" s="25" t="s">
        <v>148</v>
      </c>
    </row>
    <row r="110" spans="1:8" x14ac:dyDescent="0.2">
      <c r="A110" s="26">
        <v>17</v>
      </c>
      <c r="B110" s="27"/>
      <c r="C110" s="27" t="s">
        <v>966</v>
      </c>
      <c r="D110" s="27" t="s">
        <v>519</v>
      </c>
      <c r="E110" s="28">
        <v>-1917000</v>
      </c>
      <c r="F110" s="29">
        <v>-1560.6297</v>
      </c>
      <c r="G110" s="30">
        <f t="shared" si="0"/>
        <v>-1.0876643226081334E-2</v>
      </c>
      <c r="H110" s="25" t="s">
        <v>148</v>
      </c>
    </row>
    <row r="111" spans="1:8" x14ac:dyDescent="0.2">
      <c r="A111" s="26">
        <v>18</v>
      </c>
      <c r="B111" s="27"/>
      <c r="C111" s="27" t="s">
        <v>970</v>
      </c>
      <c r="D111" s="27" t="s">
        <v>519</v>
      </c>
      <c r="E111" s="28">
        <v>-128700</v>
      </c>
      <c r="F111" s="29">
        <v>-1821.3624</v>
      </c>
      <c r="G111" s="30">
        <f t="shared" si="0"/>
        <v>-1.2693792134161769E-2</v>
      </c>
      <c r="H111" s="25" t="s">
        <v>148</v>
      </c>
    </row>
    <row r="112" spans="1:8" x14ac:dyDescent="0.2">
      <c r="A112" s="26">
        <v>19</v>
      </c>
      <c r="B112" s="27"/>
      <c r="C112" s="27" t="s">
        <v>974</v>
      </c>
      <c r="D112" s="27" t="s">
        <v>519</v>
      </c>
      <c r="E112" s="28">
        <v>-930150</v>
      </c>
      <c r="F112" s="29">
        <v>-1841.4179549999999</v>
      </c>
      <c r="G112" s="30">
        <f t="shared" si="0"/>
        <v>-1.2833567198314431E-2</v>
      </c>
      <c r="H112" s="25" t="s">
        <v>148</v>
      </c>
    </row>
    <row r="113" spans="1:8" x14ac:dyDescent="0.2">
      <c r="A113" s="26">
        <v>20</v>
      </c>
      <c r="B113" s="27"/>
      <c r="C113" s="27" t="s">
        <v>963</v>
      </c>
      <c r="D113" s="27" t="s">
        <v>519</v>
      </c>
      <c r="E113" s="28">
        <v>-73850</v>
      </c>
      <c r="F113" s="29">
        <v>-1920.7646500000001</v>
      </c>
      <c r="G113" s="30">
        <f t="shared" si="0"/>
        <v>-1.3386565576266416E-2</v>
      </c>
      <c r="H113" s="25" t="s">
        <v>148</v>
      </c>
    </row>
    <row r="114" spans="1:8" x14ac:dyDescent="0.2">
      <c r="A114" s="26">
        <v>21</v>
      </c>
      <c r="B114" s="27"/>
      <c r="C114" s="27" t="s">
        <v>992</v>
      </c>
      <c r="D114" s="27" t="s">
        <v>519</v>
      </c>
      <c r="E114" s="28">
        <v>-161000</v>
      </c>
      <c r="F114" s="29">
        <v>-1942.4649999999999</v>
      </c>
      <c r="G114" s="30">
        <f t="shared" si="0"/>
        <v>-1.3537803864779759E-2</v>
      </c>
      <c r="H114" s="25" t="s">
        <v>148</v>
      </c>
    </row>
    <row r="115" spans="1:8" x14ac:dyDescent="0.2">
      <c r="A115" s="26">
        <v>22</v>
      </c>
      <c r="B115" s="27"/>
      <c r="C115" s="27" t="s">
        <v>976</v>
      </c>
      <c r="D115" s="27" t="s">
        <v>519</v>
      </c>
      <c r="E115" s="28">
        <v>-126350</v>
      </c>
      <c r="F115" s="29">
        <v>-1995.4455499999999</v>
      </c>
      <c r="G115" s="30">
        <f t="shared" si="0"/>
        <v>-1.3907046190663705E-2</v>
      </c>
      <c r="H115" s="25" t="s">
        <v>148</v>
      </c>
    </row>
    <row r="116" spans="1:8" x14ac:dyDescent="0.2">
      <c r="A116" s="26">
        <v>23</v>
      </c>
      <c r="B116" s="27"/>
      <c r="C116" s="27" t="s">
        <v>973</v>
      </c>
      <c r="D116" s="27" t="s">
        <v>519</v>
      </c>
      <c r="E116" s="28">
        <v>-122800</v>
      </c>
      <c r="F116" s="29">
        <v>-2350.7604000000001</v>
      </c>
      <c r="G116" s="30">
        <f t="shared" si="0"/>
        <v>-1.6383375364957008E-2</v>
      </c>
      <c r="H116" s="25" t="s">
        <v>148</v>
      </c>
    </row>
    <row r="117" spans="1:8" x14ac:dyDescent="0.2">
      <c r="A117" s="23"/>
      <c r="B117" s="23"/>
      <c r="C117" s="24" t="s">
        <v>147</v>
      </c>
      <c r="D117" s="23"/>
      <c r="E117" s="23" t="s">
        <v>148</v>
      </c>
      <c r="F117" s="31">
        <f>SUM(F94:F116)</f>
        <v>-21061.0074675</v>
      </c>
      <c r="G117" s="32">
        <f>SUM(G94:G116)</f>
        <v>-0.14678245852032182</v>
      </c>
      <c r="H117" s="25" t="s">
        <v>148</v>
      </c>
    </row>
    <row r="118" spans="1:8" x14ac:dyDescent="0.2">
      <c r="A118" s="23"/>
      <c r="B118" s="23"/>
      <c r="C118" s="33"/>
      <c r="D118" s="23"/>
      <c r="E118" s="23"/>
      <c r="F118" s="34"/>
      <c r="G118" s="34"/>
      <c r="H118" s="25" t="s">
        <v>148</v>
      </c>
    </row>
    <row r="119" spans="1:8" x14ac:dyDescent="0.2">
      <c r="A119" s="23"/>
      <c r="B119" s="23"/>
      <c r="C119" s="24" t="s">
        <v>155</v>
      </c>
      <c r="D119" s="23"/>
      <c r="E119" s="23"/>
      <c r="F119" s="31">
        <f>F91+F75</f>
        <v>105384.30051450002</v>
      </c>
      <c r="G119" s="32">
        <f>G91+G75</f>
        <v>0.73446481428454347</v>
      </c>
      <c r="H119" s="25" t="s">
        <v>148</v>
      </c>
    </row>
    <row r="120" spans="1:8" x14ac:dyDescent="0.2">
      <c r="A120" s="23"/>
      <c r="B120" s="23"/>
      <c r="C120" s="33"/>
      <c r="D120" s="23"/>
      <c r="E120" s="23"/>
      <c r="F120" s="34"/>
      <c r="G120" s="34"/>
      <c r="H120" s="25" t="s">
        <v>148</v>
      </c>
    </row>
    <row r="121" spans="1:8" x14ac:dyDescent="0.2">
      <c r="A121" s="23"/>
      <c r="B121" s="23"/>
      <c r="C121" s="24" t="s">
        <v>156</v>
      </c>
      <c r="D121" s="23"/>
      <c r="E121" s="23"/>
      <c r="F121" s="34"/>
      <c r="G121" s="34"/>
      <c r="H121" s="25" t="s">
        <v>148</v>
      </c>
    </row>
    <row r="122" spans="1:8" x14ac:dyDescent="0.2">
      <c r="A122" s="23"/>
      <c r="B122" s="23"/>
      <c r="C122" s="24" t="s">
        <v>10</v>
      </c>
      <c r="D122" s="23"/>
      <c r="E122" s="23"/>
      <c r="F122" s="34"/>
      <c r="G122" s="34"/>
      <c r="H122" s="25" t="s">
        <v>148</v>
      </c>
    </row>
    <row r="123" spans="1:8" x14ac:dyDescent="0.2">
      <c r="A123" s="26">
        <v>1</v>
      </c>
      <c r="B123" s="27" t="s">
        <v>664</v>
      </c>
      <c r="C123" s="27" t="s">
        <v>665</v>
      </c>
      <c r="D123" s="27" t="s">
        <v>543</v>
      </c>
      <c r="E123" s="28">
        <v>2500</v>
      </c>
      <c r="F123" s="29">
        <v>2509.0949999999998</v>
      </c>
      <c r="G123" s="30">
        <v>1.7486870000000002E-2</v>
      </c>
      <c r="H123" s="25">
        <v>7.4622000000000002</v>
      </c>
    </row>
    <row r="124" spans="1:8" x14ac:dyDescent="0.2">
      <c r="A124" s="26">
        <v>2</v>
      </c>
      <c r="B124" s="27" t="s">
        <v>554</v>
      </c>
      <c r="C124" s="27" t="s">
        <v>555</v>
      </c>
      <c r="D124" s="27" t="s">
        <v>546</v>
      </c>
      <c r="E124" s="28">
        <v>150</v>
      </c>
      <c r="F124" s="29">
        <v>1541.1855</v>
      </c>
      <c r="G124" s="30">
        <v>1.074113E-2</v>
      </c>
      <c r="H124" s="25">
        <v>7.5549999999999997</v>
      </c>
    </row>
    <row r="125" spans="1:8" ht="25.5" x14ac:dyDescent="0.2">
      <c r="A125" s="26">
        <v>3</v>
      </c>
      <c r="B125" s="27" t="s">
        <v>562</v>
      </c>
      <c r="C125" s="27" t="s">
        <v>563</v>
      </c>
      <c r="D125" s="27" t="s">
        <v>543</v>
      </c>
      <c r="E125" s="28">
        <v>1500</v>
      </c>
      <c r="F125" s="29">
        <v>1504.3785</v>
      </c>
      <c r="G125" s="30">
        <v>1.048461E-2</v>
      </c>
      <c r="H125" s="25">
        <v>7.4898999999999996</v>
      </c>
    </row>
    <row r="126" spans="1:8" ht="25.5" x14ac:dyDescent="0.2">
      <c r="A126" s="26">
        <v>4</v>
      </c>
      <c r="B126" s="27" t="s">
        <v>544</v>
      </c>
      <c r="C126" s="27" t="s">
        <v>545</v>
      </c>
      <c r="D126" s="27" t="s">
        <v>546</v>
      </c>
      <c r="E126" s="28">
        <v>1500</v>
      </c>
      <c r="F126" s="29">
        <v>1498.011</v>
      </c>
      <c r="G126" s="30">
        <v>1.044023E-2</v>
      </c>
      <c r="H126" s="25">
        <v>7.63</v>
      </c>
    </row>
    <row r="127" spans="1:8" ht="25.5" x14ac:dyDescent="0.2">
      <c r="A127" s="26">
        <v>5</v>
      </c>
      <c r="B127" s="27" t="s">
        <v>581</v>
      </c>
      <c r="C127" s="27" t="s">
        <v>582</v>
      </c>
      <c r="D127" s="27" t="s">
        <v>546</v>
      </c>
      <c r="E127" s="28">
        <v>1000</v>
      </c>
      <c r="F127" s="29">
        <v>1036.2909999999999</v>
      </c>
      <c r="G127" s="30">
        <v>7.22232E-3</v>
      </c>
      <c r="H127" s="25">
        <v>7.2965999999999998</v>
      </c>
    </row>
    <row r="128" spans="1:8" ht="25.5" x14ac:dyDescent="0.2">
      <c r="A128" s="26">
        <v>6</v>
      </c>
      <c r="B128" s="27" t="s">
        <v>583</v>
      </c>
      <c r="C128" s="27" t="s">
        <v>584</v>
      </c>
      <c r="D128" s="27" t="s">
        <v>546</v>
      </c>
      <c r="E128" s="28">
        <v>1000</v>
      </c>
      <c r="F128" s="29">
        <v>1018.349</v>
      </c>
      <c r="G128" s="30">
        <v>7.0972800000000001E-3</v>
      </c>
      <c r="H128" s="25">
        <v>7.4850000000000003</v>
      </c>
    </row>
    <row r="129" spans="1:8" x14ac:dyDescent="0.2">
      <c r="A129" s="26">
        <v>7</v>
      </c>
      <c r="B129" s="27" t="s">
        <v>666</v>
      </c>
      <c r="C129" s="27" t="s">
        <v>667</v>
      </c>
      <c r="D129" s="27" t="s">
        <v>546</v>
      </c>
      <c r="E129" s="28">
        <v>100</v>
      </c>
      <c r="F129" s="29">
        <v>999.33399999999995</v>
      </c>
      <c r="G129" s="30">
        <v>6.9647499999999996E-3</v>
      </c>
      <c r="H129" s="25">
        <v>7.76</v>
      </c>
    </row>
    <row r="130" spans="1:8" x14ac:dyDescent="0.2">
      <c r="A130" s="26">
        <v>8</v>
      </c>
      <c r="B130" s="27" t="s">
        <v>602</v>
      </c>
      <c r="C130" s="27" t="s">
        <v>603</v>
      </c>
      <c r="D130" s="27" t="s">
        <v>546</v>
      </c>
      <c r="E130" s="28">
        <v>1000</v>
      </c>
      <c r="F130" s="29">
        <v>998.42399999999998</v>
      </c>
      <c r="G130" s="30">
        <v>6.9584099999999999E-3</v>
      </c>
      <c r="H130" s="25">
        <v>7.58</v>
      </c>
    </row>
    <row r="131" spans="1:8" x14ac:dyDescent="0.2">
      <c r="A131" s="26">
        <v>9</v>
      </c>
      <c r="B131" s="27" t="s">
        <v>595</v>
      </c>
      <c r="C131" s="27" t="s">
        <v>596</v>
      </c>
      <c r="D131" s="27" t="s">
        <v>546</v>
      </c>
      <c r="E131" s="28">
        <v>50</v>
      </c>
      <c r="F131" s="29">
        <v>488.95150000000001</v>
      </c>
      <c r="G131" s="30">
        <v>3.4077000000000001E-3</v>
      </c>
      <c r="H131" s="25">
        <v>7.7350000000000003</v>
      </c>
    </row>
    <row r="132" spans="1:8" x14ac:dyDescent="0.2">
      <c r="A132" s="23"/>
      <c r="B132" s="23"/>
      <c r="C132" s="24" t="s">
        <v>147</v>
      </c>
      <c r="D132" s="23"/>
      <c r="E132" s="23" t="s">
        <v>148</v>
      </c>
      <c r="F132" s="31">
        <v>11594.0195</v>
      </c>
      <c r="G132" s="32">
        <v>8.0803299999999995E-2</v>
      </c>
      <c r="H132" s="25" t="s">
        <v>148</v>
      </c>
    </row>
    <row r="133" spans="1:8" x14ac:dyDescent="0.2">
      <c r="A133" s="23"/>
      <c r="B133" s="23"/>
      <c r="C133" s="33"/>
      <c r="D133" s="23"/>
      <c r="E133" s="23"/>
      <c r="F133" s="34"/>
      <c r="G133" s="34"/>
      <c r="H133" s="25" t="s">
        <v>148</v>
      </c>
    </row>
    <row r="134" spans="1:8" x14ac:dyDescent="0.2">
      <c r="A134" s="23"/>
      <c r="B134" s="23"/>
      <c r="C134" s="24" t="s">
        <v>157</v>
      </c>
      <c r="D134" s="23"/>
      <c r="E134" s="23"/>
      <c r="F134" s="23"/>
      <c r="G134" s="23"/>
      <c r="H134" s="25" t="s">
        <v>148</v>
      </c>
    </row>
    <row r="135" spans="1:8" x14ac:dyDescent="0.2">
      <c r="A135" s="23"/>
      <c r="B135" s="23"/>
      <c r="C135" s="24" t="s">
        <v>147</v>
      </c>
      <c r="D135" s="23"/>
      <c r="E135" s="23" t="s">
        <v>148</v>
      </c>
      <c r="F135" s="35" t="s">
        <v>150</v>
      </c>
      <c r="G135" s="32">
        <v>0</v>
      </c>
      <c r="H135" s="25" t="s">
        <v>148</v>
      </c>
    </row>
    <row r="136" spans="1:8" x14ac:dyDescent="0.2">
      <c r="A136" s="23"/>
      <c r="B136" s="23"/>
      <c r="C136" s="33"/>
      <c r="D136" s="23"/>
      <c r="E136" s="23"/>
      <c r="F136" s="34"/>
      <c r="G136" s="34"/>
      <c r="H136" s="25" t="s">
        <v>148</v>
      </c>
    </row>
    <row r="137" spans="1:8" x14ac:dyDescent="0.2">
      <c r="A137" s="23"/>
      <c r="B137" s="23"/>
      <c r="C137" s="24" t="s">
        <v>158</v>
      </c>
      <c r="D137" s="23"/>
      <c r="E137" s="23"/>
      <c r="F137" s="23"/>
      <c r="G137" s="23"/>
      <c r="H137" s="25" t="s">
        <v>148</v>
      </c>
    </row>
    <row r="138" spans="1:8" x14ac:dyDescent="0.2">
      <c r="A138" s="26">
        <v>1</v>
      </c>
      <c r="B138" s="27" t="s">
        <v>608</v>
      </c>
      <c r="C138" s="27" t="s">
        <v>1091</v>
      </c>
      <c r="D138" s="27" t="s">
        <v>521</v>
      </c>
      <c r="E138" s="28">
        <v>8500000</v>
      </c>
      <c r="F138" s="29">
        <v>8681.4750000000004</v>
      </c>
      <c r="G138" s="30">
        <v>6.0504620000000002E-2</v>
      </c>
      <c r="H138" s="25">
        <v>6.8952999999999998</v>
      </c>
    </row>
    <row r="139" spans="1:8" x14ac:dyDescent="0.2">
      <c r="A139" s="26">
        <v>2</v>
      </c>
      <c r="B139" s="27" t="s">
        <v>668</v>
      </c>
      <c r="C139" s="27" t="s">
        <v>1090</v>
      </c>
      <c r="D139" s="27" t="s">
        <v>521</v>
      </c>
      <c r="E139" s="28">
        <v>3000000</v>
      </c>
      <c r="F139" s="29">
        <v>3088.2570000000001</v>
      </c>
      <c r="G139" s="30">
        <v>2.1523279999999999E-2</v>
      </c>
      <c r="H139" s="25">
        <v>6.7995000000000001</v>
      </c>
    </row>
    <row r="140" spans="1:8" x14ac:dyDescent="0.2">
      <c r="A140" s="26">
        <v>3</v>
      </c>
      <c r="B140" s="27" t="s">
        <v>610</v>
      </c>
      <c r="C140" s="27" t="s">
        <v>1084</v>
      </c>
      <c r="D140" s="27" t="s">
        <v>521</v>
      </c>
      <c r="E140" s="28">
        <v>3000000</v>
      </c>
      <c r="F140" s="29">
        <v>3084.4589999999998</v>
      </c>
      <c r="G140" s="30">
        <v>2.1496810000000002E-2</v>
      </c>
      <c r="H140" s="25">
        <v>7.0327999999999999</v>
      </c>
    </row>
    <row r="141" spans="1:8" x14ac:dyDescent="0.2">
      <c r="A141" s="26">
        <v>4</v>
      </c>
      <c r="B141" s="27" t="s">
        <v>656</v>
      </c>
      <c r="C141" s="27" t="s">
        <v>657</v>
      </c>
      <c r="D141" s="27" t="s">
        <v>521</v>
      </c>
      <c r="E141" s="28">
        <v>3000000</v>
      </c>
      <c r="F141" s="29">
        <v>3050.85</v>
      </c>
      <c r="G141" s="30">
        <v>2.126258E-2</v>
      </c>
      <c r="H141" s="25">
        <v>6.6759000000000004</v>
      </c>
    </row>
    <row r="142" spans="1:8" x14ac:dyDescent="0.2">
      <c r="A142" s="26">
        <v>5</v>
      </c>
      <c r="B142" s="27" t="s">
        <v>611</v>
      </c>
      <c r="C142" s="27" t="s">
        <v>612</v>
      </c>
      <c r="D142" s="27" t="s">
        <v>521</v>
      </c>
      <c r="E142" s="28">
        <v>1500000</v>
      </c>
      <c r="F142" s="29">
        <v>1536.7139999999999</v>
      </c>
      <c r="G142" s="30">
        <v>1.0709969999999999E-2</v>
      </c>
      <c r="H142" s="25">
        <v>7.2798999999999996</v>
      </c>
    </row>
    <row r="143" spans="1:8" x14ac:dyDescent="0.2">
      <c r="A143" s="26">
        <v>6</v>
      </c>
      <c r="B143" s="27" t="s">
        <v>669</v>
      </c>
      <c r="C143" s="27" t="s">
        <v>670</v>
      </c>
      <c r="D143" s="27" t="s">
        <v>521</v>
      </c>
      <c r="E143" s="28">
        <v>1000000</v>
      </c>
      <c r="F143" s="29">
        <v>1020.918</v>
      </c>
      <c r="G143" s="30">
        <v>7.1151799999999996E-3</v>
      </c>
      <c r="H143" s="25">
        <v>6.7904</v>
      </c>
    </row>
    <row r="144" spans="1:8" ht="25.5" x14ac:dyDescent="0.2">
      <c r="A144" s="26">
        <v>7</v>
      </c>
      <c r="B144" s="27" t="s">
        <v>623</v>
      </c>
      <c r="C144" s="27" t="s">
        <v>624</v>
      </c>
      <c r="D144" s="27" t="s">
        <v>521</v>
      </c>
      <c r="E144" s="28">
        <v>500000</v>
      </c>
      <c r="F144" s="29">
        <v>509.03449999999998</v>
      </c>
      <c r="G144" s="30">
        <v>3.5476599999999998E-3</v>
      </c>
      <c r="H144" s="25">
        <v>7.2927</v>
      </c>
    </row>
    <row r="145" spans="1:8" ht="25.5" x14ac:dyDescent="0.2">
      <c r="A145" s="26">
        <v>8</v>
      </c>
      <c r="B145" s="27" t="s">
        <v>622</v>
      </c>
      <c r="C145" s="38" t="s">
        <v>926</v>
      </c>
      <c r="D145" s="27" t="s">
        <v>521</v>
      </c>
      <c r="E145" s="28">
        <v>500000</v>
      </c>
      <c r="F145" s="29">
        <v>502.71050000000002</v>
      </c>
      <c r="G145" s="30">
        <v>3.50359E-3</v>
      </c>
      <c r="H145" s="25">
        <v>7.0515776214481294</v>
      </c>
    </row>
    <row r="146" spans="1:8" x14ac:dyDescent="0.2">
      <c r="A146" s="23"/>
      <c r="B146" s="23"/>
      <c r="C146" s="24" t="s">
        <v>147</v>
      </c>
      <c r="D146" s="23"/>
      <c r="E146" s="23" t="s">
        <v>148</v>
      </c>
      <c r="F146" s="31">
        <v>21474.418000000001</v>
      </c>
      <c r="G146" s="32">
        <v>0.14966368999999999</v>
      </c>
      <c r="H146" s="25" t="s">
        <v>148</v>
      </c>
    </row>
    <row r="147" spans="1:8" x14ac:dyDescent="0.2">
      <c r="A147" s="23"/>
      <c r="B147" s="23"/>
      <c r="C147" s="33"/>
      <c r="D147" s="23"/>
      <c r="E147" s="23"/>
      <c r="F147" s="34"/>
      <c r="G147" s="34"/>
      <c r="H147" s="25" t="s">
        <v>148</v>
      </c>
    </row>
    <row r="148" spans="1:8" x14ac:dyDescent="0.2">
      <c r="A148" s="23"/>
      <c r="B148" s="23"/>
      <c r="C148" s="24" t="s">
        <v>159</v>
      </c>
      <c r="D148" s="23"/>
      <c r="E148" s="23"/>
      <c r="F148" s="34"/>
      <c r="G148" s="34"/>
      <c r="H148" s="25" t="s">
        <v>148</v>
      </c>
    </row>
    <row r="149" spans="1:8" x14ac:dyDescent="0.2">
      <c r="A149" s="23"/>
      <c r="B149" s="23"/>
      <c r="C149" s="24" t="s">
        <v>147</v>
      </c>
      <c r="D149" s="23"/>
      <c r="E149" s="23" t="s">
        <v>148</v>
      </c>
      <c r="F149" s="35" t="s">
        <v>150</v>
      </c>
      <c r="G149" s="32">
        <v>0</v>
      </c>
      <c r="H149" s="25" t="s">
        <v>148</v>
      </c>
    </row>
    <row r="150" spans="1:8" x14ac:dyDescent="0.2">
      <c r="A150" s="23"/>
      <c r="B150" s="23"/>
      <c r="C150" s="33"/>
      <c r="D150" s="23"/>
      <c r="E150" s="23"/>
      <c r="F150" s="34"/>
      <c r="G150" s="34"/>
      <c r="H150" s="25" t="s">
        <v>148</v>
      </c>
    </row>
    <row r="151" spans="1:8" x14ac:dyDescent="0.2">
      <c r="A151" s="23"/>
      <c r="B151" s="23"/>
      <c r="C151" s="24" t="s">
        <v>160</v>
      </c>
      <c r="D151" s="23"/>
      <c r="E151" s="23"/>
      <c r="F151" s="31">
        <v>33068.4375</v>
      </c>
      <c r="G151" s="32">
        <v>0.23046699000000001</v>
      </c>
      <c r="H151" s="25" t="s">
        <v>148</v>
      </c>
    </row>
    <row r="152" spans="1:8" x14ac:dyDescent="0.2">
      <c r="A152" s="23"/>
      <c r="B152" s="23"/>
      <c r="C152" s="33"/>
      <c r="D152" s="23"/>
      <c r="E152" s="23"/>
      <c r="F152" s="34"/>
      <c r="G152" s="34"/>
      <c r="H152" s="25" t="s">
        <v>148</v>
      </c>
    </row>
    <row r="153" spans="1:8" x14ac:dyDescent="0.2">
      <c r="A153" s="23"/>
      <c r="B153" s="23"/>
      <c r="C153" s="24" t="s">
        <v>161</v>
      </c>
      <c r="D153" s="23"/>
      <c r="E153" s="23"/>
      <c r="F153" s="34"/>
      <c r="G153" s="34"/>
      <c r="H153" s="25" t="s">
        <v>148</v>
      </c>
    </row>
    <row r="154" spans="1:8" x14ac:dyDescent="0.2">
      <c r="A154" s="23"/>
      <c r="B154" s="23"/>
      <c r="C154" s="24" t="s">
        <v>162</v>
      </c>
      <c r="D154" s="23"/>
      <c r="E154" s="23"/>
      <c r="F154" s="34"/>
      <c r="G154" s="34"/>
      <c r="H154" s="25" t="s">
        <v>148</v>
      </c>
    </row>
    <row r="155" spans="1:8" x14ac:dyDescent="0.2">
      <c r="A155" s="23"/>
      <c r="B155" s="23"/>
      <c r="C155" s="24" t="s">
        <v>147</v>
      </c>
      <c r="D155" s="23"/>
      <c r="E155" s="23" t="s">
        <v>148</v>
      </c>
      <c r="F155" s="35" t="s">
        <v>150</v>
      </c>
      <c r="G155" s="32">
        <v>0</v>
      </c>
      <c r="H155" s="25" t="s">
        <v>148</v>
      </c>
    </row>
    <row r="156" spans="1:8" x14ac:dyDescent="0.2">
      <c r="A156" s="23"/>
      <c r="B156" s="23"/>
      <c r="C156" s="33"/>
      <c r="D156" s="23"/>
      <c r="E156" s="23"/>
      <c r="F156" s="34"/>
      <c r="G156" s="34"/>
      <c r="H156" s="25" t="s">
        <v>148</v>
      </c>
    </row>
    <row r="157" spans="1:8" x14ac:dyDescent="0.2">
      <c r="A157" s="23"/>
      <c r="B157" s="23"/>
      <c r="C157" s="24" t="s">
        <v>163</v>
      </c>
      <c r="D157" s="23"/>
      <c r="E157" s="23"/>
      <c r="F157" s="34"/>
      <c r="G157" s="34"/>
      <c r="H157" s="25" t="s">
        <v>148</v>
      </c>
    </row>
    <row r="158" spans="1:8" x14ac:dyDescent="0.2">
      <c r="A158" s="23"/>
      <c r="B158" s="23"/>
      <c r="C158" s="24" t="s">
        <v>147</v>
      </c>
      <c r="D158" s="23"/>
      <c r="E158" s="23" t="s">
        <v>148</v>
      </c>
      <c r="F158" s="35" t="s">
        <v>150</v>
      </c>
      <c r="G158" s="32">
        <v>0</v>
      </c>
      <c r="H158" s="25" t="s">
        <v>148</v>
      </c>
    </row>
    <row r="159" spans="1:8" x14ac:dyDescent="0.2">
      <c r="A159" s="23"/>
      <c r="B159" s="23"/>
      <c r="C159" s="33"/>
      <c r="D159" s="23"/>
      <c r="E159" s="23"/>
      <c r="F159" s="34"/>
      <c r="G159" s="34"/>
      <c r="H159" s="25" t="s">
        <v>148</v>
      </c>
    </row>
    <row r="160" spans="1:8" x14ac:dyDescent="0.2">
      <c r="A160" s="23"/>
      <c r="B160" s="23"/>
      <c r="C160" s="24" t="s">
        <v>164</v>
      </c>
      <c r="D160" s="23"/>
      <c r="E160" s="23"/>
      <c r="F160" s="34"/>
      <c r="G160" s="34"/>
      <c r="H160" s="25" t="s">
        <v>148</v>
      </c>
    </row>
    <row r="161" spans="1:8" x14ac:dyDescent="0.2">
      <c r="A161" s="23"/>
      <c r="B161" s="23"/>
      <c r="C161" s="24" t="s">
        <v>147</v>
      </c>
      <c r="D161" s="23"/>
      <c r="E161" s="23" t="s">
        <v>148</v>
      </c>
      <c r="F161" s="35" t="s">
        <v>150</v>
      </c>
      <c r="G161" s="32">
        <v>0</v>
      </c>
      <c r="H161" s="25" t="s">
        <v>148</v>
      </c>
    </row>
    <row r="162" spans="1:8" x14ac:dyDescent="0.2">
      <c r="A162" s="23"/>
      <c r="B162" s="23"/>
      <c r="C162" s="33"/>
      <c r="D162" s="23"/>
      <c r="E162" s="23"/>
      <c r="F162" s="34"/>
      <c r="G162" s="34"/>
      <c r="H162" s="25" t="s">
        <v>148</v>
      </c>
    </row>
    <row r="163" spans="1:8" x14ac:dyDescent="0.2">
      <c r="A163" s="23"/>
      <c r="B163" s="23"/>
      <c r="C163" s="24" t="s">
        <v>165</v>
      </c>
      <c r="D163" s="23"/>
      <c r="E163" s="23"/>
      <c r="F163" s="34"/>
      <c r="G163" s="34"/>
      <c r="H163" s="25" t="s">
        <v>148</v>
      </c>
    </row>
    <row r="164" spans="1:8" x14ac:dyDescent="0.2">
      <c r="A164" s="26">
        <v>1</v>
      </c>
      <c r="B164" s="27"/>
      <c r="C164" s="27" t="s">
        <v>166</v>
      </c>
      <c r="D164" s="27"/>
      <c r="E164" s="36"/>
      <c r="F164" s="29">
        <v>2835.9743975010001</v>
      </c>
      <c r="G164" s="30">
        <v>1.9765020000000001E-2</v>
      </c>
      <c r="H164" s="25">
        <v>6.23</v>
      </c>
    </row>
    <row r="165" spans="1:8" x14ac:dyDescent="0.2">
      <c r="A165" s="23"/>
      <c r="B165" s="23"/>
      <c r="C165" s="24" t="s">
        <v>147</v>
      </c>
      <c r="D165" s="23"/>
      <c r="E165" s="23" t="s">
        <v>148</v>
      </c>
      <c r="F165" s="31">
        <v>2835.9743975010001</v>
      </c>
      <c r="G165" s="32">
        <v>1.9765020000000001E-2</v>
      </c>
      <c r="H165" s="25" t="s">
        <v>148</v>
      </c>
    </row>
    <row r="166" spans="1:8" x14ac:dyDescent="0.2">
      <c r="A166" s="23"/>
      <c r="B166" s="23"/>
      <c r="C166" s="33"/>
      <c r="D166" s="23"/>
      <c r="E166" s="23"/>
      <c r="F166" s="34"/>
      <c r="G166" s="34"/>
      <c r="H166" s="25" t="s">
        <v>148</v>
      </c>
    </row>
    <row r="167" spans="1:8" x14ac:dyDescent="0.2">
      <c r="A167" s="23"/>
      <c r="B167" s="23"/>
      <c r="C167" s="24" t="s">
        <v>167</v>
      </c>
      <c r="D167" s="23"/>
      <c r="E167" s="23"/>
      <c r="F167" s="31">
        <v>2835.9743975010001</v>
      </c>
      <c r="G167" s="32">
        <v>1.9765020000000001E-2</v>
      </c>
      <c r="H167" s="25" t="s">
        <v>148</v>
      </c>
    </row>
    <row r="168" spans="1:8" x14ac:dyDescent="0.2">
      <c r="A168" s="23"/>
      <c r="B168" s="23"/>
      <c r="C168" s="34"/>
      <c r="D168" s="23"/>
      <c r="E168" s="23"/>
      <c r="F168" s="23"/>
      <c r="G168" s="23"/>
      <c r="H168" s="25" t="s">
        <v>148</v>
      </c>
    </row>
    <row r="169" spans="1:8" x14ac:dyDescent="0.2">
      <c r="A169" s="23"/>
      <c r="B169" s="23"/>
      <c r="C169" s="24" t="s">
        <v>168</v>
      </c>
      <c r="D169" s="23"/>
      <c r="E169" s="23"/>
      <c r="F169" s="23"/>
      <c r="G169" s="23"/>
      <c r="H169" s="25" t="s">
        <v>148</v>
      </c>
    </row>
    <row r="170" spans="1:8" x14ac:dyDescent="0.2">
      <c r="A170" s="23"/>
      <c r="B170" s="23"/>
      <c r="C170" s="24" t="s">
        <v>169</v>
      </c>
      <c r="D170" s="23"/>
      <c r="E170" s="23"/>
      <c r="F170" s="23"/>
      <c r="G170" s="23"/>
      <c r="H170" s="25" t="s">
        <v>148</v>
      </c>
    </row>
    <row r="171" spans="1:8" x14ac:dyDescent="0.2">
      <c r="A171" s="23"/>
      <c r="B171" s="23"/>
      <c r="C171" s="24" t="s">
        <v>147</v>
      </c>
      <c r="D171" s="23"/>
      <c r="E171" s="23" t="s">
        <v>148</v>
      </c>
      <c r="F171" s="35" t="s">
        <v>150</v>
      </c>
      <c r="G171" s="32">
        <v>0</v>
      </c>
      <c r="H171" s="25" t="s">
        <v>148</v>
      </c>
    </row>
    <row r="172" spans="1:8" x14ac:dyDescent="0.2">
      <c r="A172" s="23"/>
      <c r="B172" s="23"/>
      <c r="C172" s="33"/>
      <c r="D172" s="23"/>
      <c r="E172" s="23"/>
      <c r="F172" s="34"/>
      <c r="G172" s="34"/>
      <c r="H172" s="25" t="s">
        <v>148</v>
      </c>
    </row>
    <row r="173" spans="1:8" x14ac:dyDescent="0.2">
      <c r="A173" s="23"/>
      <c r="B173" s="23"/>
      <c r="C173" s="24" t="s">
        <v>172</v>
      </c>
      <c r="D173" s="23"/>
      <c r="E173" s="23"/>
      <c r="F173" s="23"/>
      <c r="G173" s="23"/>
      <c r="H173" s="25" t="s">
        <v>148</v>
      </c>
    </row>
    <row r="174" spans="1:8" x14ac:dyDescent="0.2">
      <c r="A174" s="23"/>
      <c r="B174" s="23"/>
      <c r="C174" s="24" t="s">
        <v>173</v>
      </c>
      <c r="D174" s="23"/>
      <c r="E174" s="23"/>
      <c r="F174" s="23"/>
      <c r="G174" s="23"/>
      <c r="H174" s="25" t="s">
        <v>148</v>
      </c>
    </row>
    <row r="175" spans="1:8" x14ac:dyDescent="0.2">
      <c r="A175" s="23"/>
      <c r="B175" s="23"/>
      <c r="C175" s="24" t="s">
        <v>147</v>
      </c>
      <c r="D175" s="23"/>
      <c r="E175" s="23" t="s">
        <v>148</v>
      </c>
      <c r="F175" s="35" t="s">
        <v>150</v>
      </c>
      <c r="G175" s="32">
        <v>0</v>
      </c>
      <c r="H175" s="25" t="s">
        <v>148</v>
      </c>
    </row>
    <row r="176" spans="1:8" x14ac:dyDescent="0.2">
      <c r="A176" s="23"/>
      <c r="B176" s="23"/>
      <c r="C176" s="33"/>
      <c r="D176" s="23"/>
      <c r="E176" s="23"/>
      <c r="F176" s="34"/>
      <c r="G176" s="34"/>
      <c r="H176" s="25" t="s">
        <v>148</v>
      </c>
    </row>
    <row r="177" spans="1:17" x14ac:dyDescent="0.2">
      <c r="A177" s="23"/>
      <c r="B177" s="23"/>
      <c r="C177" s="24" t="s">
        <v>174</v>
      </c>
      <c r="D177" s="23"/>
      <c r="E177" s="23"/>
      <c r="F177" s="34"/>
      <c r="G177" s="34"/>
      <c r="H177" s="25" t="s">
        <v>148</v>
      </c>
    </row>
    <row r="178" spans="1:17" x14ac:dyDescent="0.2">
      <c r="A178" s="23"/>
      <c r="B178" s="23"/>
      <c r="C178" s="24" t="s">
        <v>147</v>
      </c>
      <c r="D178" s="23"/>
      <c r="E178" s="23" t="s">
        <v>148</v>
      </c>
      <c r="F178" s="35" t="s">
        <v>150</v>
      </c>
      <c r="G178" s="32">
        <v>0</v>
      </c>
      <c r="H178" s="25" t="s">
        <v>148</v>
      </c>
    </row>
    <row r="179" spans="1:17" x14ac:dyDescent="0.2">
      <c r="A179" s="23"/>
      <c r="B179" s="23"/>
      <c r="C179" s="33"/>
      <c r="D179" s="23"/>
      <c r="E179" s="23"/>
      <c r="F179" s="34"/>
      <c r="G179" s="34"/>
      <c r="H179" s="25" t="s">
        <v>148</v>
      </c>
    </row>
    <row r="180" spans="1:17" x14ac:dyDescent="0.2">
      <c r="A180" s="36"/>
      <c r="B180" s="27"/>
      <c r="C180" s="27" t="s">
        <v>522</v>
      </c>
      <c r="D180" s="27"/>
      <c r="E180" s="36"/>
      <c r="F180" s="29">
        <v>958.74839699999995</v>
      </c>
      <c r="G180" s="30">
        <v>6.6819000000000002E-3</v>
      </c>
      <c r="H180" s="25" t="s">
        <v>148</v>
      </c>
    </row>
    <row r="181" spans="1:17" x14ac:dyDescent="0.2">
      <c r="A181" s="36"/>
      <c r="B181" s="27"/>
      <c r="C181" s="38" t="s">
        <v>917</v>
      </c>
      <c r="D181" s="27"/>
      <c r="E181" s="36"/>
      <c r="F181" s="29">
        <f>22298.04528191+F117</f>
        <v>1237.0378144099996</v>
      </c>
      <c r="G181" s="30">
        <f>F181/F182</f>
        <v>8.6214038887693738E-3</v>
      </c>
      <c r="H181" s="25" t="s">
        <v>148</v>
      </c>
    </row>
    <row r="182" spans="1:17" x14ac:dyDescent="0.2">
      <c r="A182" s="33"/>
      <c r="B182" s="33"/>
      <c r="C182" s="24" t="s">
        <v>176</v>
      </c>
      <c r="D182" s="34"/>
      <c r="E182" s="34"/>
      <c r="F182" s="31">
        <f>F181+F180+F167+F151+F119</f>
        <v>143484.49862341103</v>
      </c>
      <c r="G182" s="39">
        <f>G181+G180+G167+G151+G119</f>
        <v>1.0000001281733129</v>
      </c>
      <c r="H182" s="25" t="s">
        <v>148</v>
      </c>
    </row>
    <row r="183" spans="1:17" x14ac:dyDescent="0.2">
      <c r="A183" s="40"/>
      <c r="B183" s="40"/>
      <c r="C183" s="40"/>
      <c r="D183" s="41"/>
      <c r="E183" s="41"/>
      <c r="F183" s="41"/>
      <c r="G183" s="41"/>
    </row>
    <row r="184" spans="1:17" x14ac:dyDescent="0.2">
      <c r="A184" s="42"/>
      <c r="B184" s="237" t="s">
        <v>891</v>
      </c>
      <c r="C184" s="237"/>
      <c r="D184" s="237"/>
      <c r="E184" s="237"/>
      <c r="F184" s="237"/>
      <c r="G184" s="237"/>
      <c r="H184" s="237"/>
      <c r="J184" s="44"/>
    </row>
    <row r="185" spans="1:17" x14ac:dyDescent="0.2">
      <c r="A185" s="42"/>
      <c r="B185" s="237" t="s">
        <v>892</v>
      </c>
      <c r="C185" s="237"/>
      <c r="D185" s="237"/>
      <c r="E185" s="237"/>
      <c r="F185" s="237"/>
      <c r="G185" s="237"/>
      <c r="H185" s="237"/>
      <c r="J185" s="44"/>
    </row>
    <row r="186" spans="1:17" x14ac:dyDescent="0.2">
      <c r="A186" s="42"/>
      <c r="B186" s="237" t="s">
        <v>893</v>
      </c>
      <c r="C186" s="237"/>
      <c r="D186" s="237"/>
      <c r="E186" s="237"/>
      <c r="F186" s="237"/>
      <c r="G186" s="237"/>
      <c r="H186" s="237"/>
      <c r="J186" s="44"/>
    </row>
    <row r="187" spans="1:17" s="46" customFormat="1" ht="66.75" customHeight="1" x14ac:dyDescent="0.25">
      <c r="A187" s="45"/>
      <c r="B187" s="239" t="s">
        <v>894</v>
      </c>
      <c r="C187" s="239"/>
      <c r="D187" s="239"/>
      <c r="E187" s="239"/>
      <c r="F187" s="239"/>
      <c r="G187" s="239"/>
      <c r="H187" s="239"/>
      <c r="I187"/>
      <c r="J187" s="44"/>
      <c r="K187"/>
      <c r="L187"/>
      <c r="M187"/>
      <c r="N187"/>
      <c r="O187"/>
      <c r="P187"/>
      <c r="Q187"/>
    </row>
    <row r="188" spans="1:17" x14ac:dyDescent="0.2">
      <c r="A188" s="42"/>
      <c r="B188" s="237" t="s">
        <v>895</v>
      </c>
      <c r="C188" s="237"/>
      <c r="D188" s="237"/>
      <c r="E188" s="237"/>
      <c r="F188" s="237"/>
      <c r="G188" s="237"/>
      <c r="H188" s="237"/>
      <c r="J188" s="44"/>
    </row>
    <row r="189" spans="1:17" x14ac:dyDescent="0.2">
      <c r="A189" s="47"/>
      <c r="B189" s="47"/>
      <c r="C189" s="47"/>
      <c r="D189" s="48"/>
      <c r="E189" s="48"/>
      <c r="F189" s="48"/>
      <c r="G189" s="48"/>
    </row>
    <row r="190" spans="1:17" x14ac:dyDescent="0.2">
      <c r="A190" s="47"/>
      <c r="B190" s="234" t="s">
        <v>177</v>
      </c>
      <c r="C190" s="235"/>
      <c r="D190" s="236"/>
      <c r="E190" s="49"/>
      <c r="F190" s="48"/>
      <c r="G190" s="48"/>
    </row>
    <row r="191" spans="1:17" x14ac:dyDescent="0.2">
      <c r="A191" s="47"/>
      <c r="B191" s="232" t="s">
        <v>178</v>
      </c>
      <c r="C191" s="233"/>
      <c r="D191" s="24" t="s">
        <v>179</v>
      </c>
      <c r="E191" s="49"/>
      <c r="F191" s="48"/>
      <c r="G191" s="48"/>
    </row>
    <row r="192" spans="1:17" ht="12.75" customHeight="1" x14ac:dyDescent="0.2">
      <c r="A192" s="47"/>
      <c r="B192" s="240" t="s">
        <v>897</v>
      </c>
      <c r="C192" s="241"/>
      <c r="D192" s="24" t="s">
        <v>179</v>
      </c>
      <c r="E192" s="49"/>
      <c r="F192" s="48"/>
      <c r="G192" s="48"/>
    </row>
    <row r="193" spans="1:10" x14ac:dyDescent="0.2">
      <c r="A193" s="47"/>
      <c r="B193" s="232" t="s">
        <v>181</v>
      </c>
      <c r="C193" s="233"/>
      <c r="D193" s="34" t="s">
        <v>148</v>
      </c>
      <c r="E193" s="49"/>
      <c r="F193" s="48"/>
      <c r="G193" s="48"/>
    </row>
    <row r="194" spans="1:10" x14ac:dyDescent="0.2">
      <c r="A194" s="50"/>
      <c r="B194" s="51" t="s">
        <v>148</v>
      </c>
      <c r="C194" s="51" t="s">
        <v>896</v>
      </c>
      <c r="D194" s="51" t="s">
        <v>182</v>
      </c>
      <c r="E194" s="50"/>
      <c r="F194" s="50"/>
      <c r="G194" s="50"/>
      <c r="H194" s="50"/>
      <c r="J194" s="44"/>
    </row>
    <row r="195" spans="1:10" x14ac:dyDescent="0.2">
      <c r="A195" s="50"/>
      <c r="B195" s="52" t="s">
        <v>183</v>
      </c>
      <c r="C195" s="53">
        <v>45688</v>
      </c>
      <c r="D195" s="53">
        <v>45716</v>
      </c>
      <c r="E195" s="50"/>
      <c r="F195" s="50"/>
      <c r="G195" s="50"/>
      <c r="J195" s="44"/>
    </row>
    <row r="196" spans="1:10" x14ac:dyDescent="0.2">
      <c r="A196" s="54"/>
      <c r="B196" s="27" t="s">
        <v>184</v>
      </c>
      <c r="C196" s="55">
        <v>38.902000000000001</v>
      </c>
      <c r="D196" s="55">
        <v>37.428899999999999</v>
      </c>
      <c r="E196" s="54"/>
      <c r="F196" s="56"/>
      <c r="G196" s="57"/>
    </row>
    <row r="197" spans="1:10" x14ac:dyDescent="0.2">
      <c r="A197" s="54"/>
      <c r="B197" s="38" t="s">
        <v>993</v>
      </c>
      <c r="C197" s="55">
        <v>18.812899999999999</v>
      </c>
      <c r="D197" s="55">
        <v>17.9635</v>
      </c>
      <c r="E197" s="54"/>
      <c r="F197" s="56"/>
      <c r="G197" s="57"/>
    </row>
    <row r="198" spans="1:10" x14ac:dyDescent="0.2">
      <c r="A198" s="54"/>
      <c r="B198" s="27" t="s">
        <v>186</v>
      </c>
      <c r="C198" s="55">
        <v>33.3812</v>
      </c>
      <c r="D198" s="55">
        <v>32.082700000000003</v>
      </c>
      <c r="E198" s="54"/>
      <c r="F198" s="56"/>
      <c r="G198" s="57"/>
    </row>
    <row r="199" spans="1:10" ht="25.5" x14ac:dyDescent="0.2">
      <c r="A199" s="54"/>
      <c r="B199" s="38" t="s">
        <v>994</v>
      </c>
      <c r="C199" s="55">
        <v>15.4917</v>
      </c>
      <c r="D199" s="55">
        <v>14.7766</v>
      </c>
      <c r="E199" s="54"/>
      <c r="F199" s="56"/>
      <c r="G199" s="57"/>
    </row>
    <row r="200" spans="1:10" x14ac:dyDescent="0.2">
      <c r="A200" s="54"/>
      <c r="B200" s="54"/>
      <c r="C200" s="54"/>
      <c r="D200" s="54"/>
      <c r="E200" s="54"/>
      <c r="F200" s="54"/>
      <c r="G200" s="54"/>
    </row>
    <row r="201" spans="1:10" x14ac:dyDescent="0.2">
      <c r="A201" s="54"/>
      <c r="B201" s="232" t="s">
        <v>898</v>
      </c>
      <c r="C201" s="233"/>
      <c r="D201" s="24" t="s">
        <v>148</v>
      </c>
      <c r="E201" s="54"/>
      <c r="F201" s="54"/>
      <c r="G201" s="54"/>
    </row>
    <row r="202" spans="1:10" x14ac:dyDescent="0.2">
      <c r="A202" s="54"/>
      <c r="B202" s="104" t="s">
        <v>183</v>
      </c>
      <c r="C202" s="105" t="s">
        <v>632</v>
      </c>
      <c r="D202" s="105" t="s">
        <v>633</v>
      </c>
      <c r="E202" s="54"/>
      <c r="F202" s="54"/>
      <c r="G202" s="54"/>
    </row>
    <row r="203" spans="1:10" x14ac:dyDescent="0.2">
      <c r="A203" s="54"/>
      <c r="B203" s="38" t="s">
        <v>993</v>
      </c>
      <c r="C203" s="106">
        <v>0.14000000000000001</v>
      </c>
      <c r="D203" s="36" t="s">
        <v>671</v>
      </c>
      <c r="E203" s="54"/>
      <c r="F203" s="56"/>
      <c r="G203" s="57"/>
    </row>
    <row r="204" spans="1:10" ht="25.5" x14ac:dyDescent="0.2">
      <c r="A204" s="54"/>
      <c r="B204" s="38" t="s">
        <v>994</v>
      </c>
      <c r="C204" s="106">
        <v>0.115</v>
      </c>
      <c r="D204" s="106">
        <v>0.115</v>
      </c>
      <c r="E204" s="54"/>
      <c r="F204" s="56"/>
      <c r="G204" s="57"/>
    </row>
    <row r="205" spans="1:10" x14ac:dyDescent="0.2">
      <c r="A205" s="54"/>
      <c r="B205" s="107"/>
      <c r="C205" s="107"/>
      <c r="D205" s="108"/>
      <c r="E205" s="54"/>
      <c r="F205" s="56"/>
      <c r="G205" s="57"/>
    </row>
    <row r="206" spans="1:10" ht="29.1" customHeight="1" x14ac:dyDescent="0.2">
      <c r="A206" s="50"/>
      <c r="B206" s="240" t="s">
        <v>188</v>
      </c>
      <c r="C206" s="241"/>
      <c r="D206" s="58" t="s">
        <v>995</v>
      </c>
      <c r="E206" s="60"/>
      <c r="F206" s="50"/>
      <c r="G206" s="50"/>
    </row>
    <row r="207" spans="1:10" ht="29.1" customHeight="1" x14ac:dyDescent="0.2">
      <c r="A207" s="50"/>
      <c r="B207" s="240" t="s">
        <v>189</v>
      </c>
      <c r="C207" s="241"/>
      <c r="D207" s="58" t="s">
        <v>179</v>
      </c>
      <c r="E207" s="60"/>
      <c r="F207" s="50"/>
      <c r="G207" s="50"/>
    </row>
    <row r="208" spans="1:10" ht="17.100000000000001" customHeight="1" x14ac:dyDescent="0.2">
      <c r="A208" s="50"/>
      <c r="B208" s="240" t="s">
        <v>190</v>
      </c>
      <c r="C208" s="241"/>
      <c r="D208" s="58" t="s">
        <v>179</v>
      </c>
      <c r="E208" s="60"/>
      <c r="F208" s="50"/>
      <c r="G208" s="50"/>
    </row>
    <row r="209" spans="1:7" ht="17.100000000000001" customHeight="1" x14ac:dyDescent="0.2">
      <c r="A209" s="50"/>
      <c r="B209" s="240" t="s">
        <v>191</v>
      </c>
      <c r="C209" s="241"/>
      <c r="D209" s="61">
        <v>2.7412864935795596</v>
      </c>
      <c r="E209" s="50"/>
      <c r="F209" s="43"/>
      <c r="G209" s="62"/>
    </row>
    <row r="211" spans="1:7" x14ac:dyDescent="0.2">
      <c r="B211" s="265" t="s">
        <v>948</v>
      </c>
      <c r="C211" s="266"/>
      <c r="D211" s="267"/>
      <c r="F211" s="50"/>
      <c r="G211" s="50"/>
    </row>
    <row r="212" spans="1:7" ht="25.5" x14ac:dyDescent="0.2">
      <c r="B212" s="268" t="s">
        <v>949</v>
      </c>
      <c r="C212" s="268"/>
      <c r="D212" s="86" t="s">
        <v>661</v>
      </c>
    </row>
    <row r="213" spans="1:7" x14ac:dyDescent="0.2">
      <c r="B213" s="268" t="s">
        <v>950</v>
      </c>
      <c r="C213" s="268"/>
      <c r="D213" s="64"/>
    </row>
    <row r="214" spans="1:7" x14ac:dyDescent="0.2">
      <c r="B214" s="269"/>
      <c r="C214" s="270"/>
      <c r="D214" s="65"/>
    </row>
    <row r="215" spans="1:7" x14ac:dyDescent="0.2">
      <c r="B215" s="268" t="s">
        <v>951</v>
      </c>
      <c r="C215" s="268"/>
      <c r="D215" s="66">
        <v>7.0739516153352255</v>
      </c>
    </row>
    <row r="216" spans="1:7" x14ac:dyDescent="0.2">
      <c r="B216" s="269"/>
      <c r="C216" s="270"/>
      <c r="D216" s="65"/>
    </row>
    <row r="217" spans="1:7" x14ac:dyDescent="0.2">
      <c r="B217" s="268" t="s">
        <v>952</v>
      </c>
      <c r="C217" s="268"/>
      <c r="D217" s="66">
        <v>4.7065957200625466</v>
      </c>
    </row>
    <row r="218" spans="1:7" x14ac:dyDescent="0.2">
      <c r="B218" s="268" t="s">
        <v>953</v>
      </c>
      <c r="C218" s="268"/>
      <c r="D218" s="66">
        <v>7.2769131226157304</v>
      </c>
    </row>
    <row r="219" spans="1:7" x14ac:dyDescent="0.2">
      <c r="B219" s="269"/>
      <c r="C219" s="270"/>
      <c r="D219" s="65"/>
    </row>
    <row r="220" spans="1:7" x14ac:dyDescent="0.2">
      <c r="B220" s="268" t="s">
        <v>954</v>
      </c>
      <c r="C220" s="268"/>
      <c r="D220" s="67" t="s">
        <v>1068</v>
      </c>
    </row>
    <row r="221" spans="1:7" x14ac:dyDescent="0.2">
      <c r="B221" s="269" t="s">
        <v>955</v>
      </c>
      <c r="C221" s="271"/>
      <c r="D221" s="270"/>
    </row>
    <row r="223" spans="1:7" x14ac:dyDescent="0.2">
      <c r="B223" s="238" t="s">
        <v>899</v>
      </c>
      <c r="C223" s="238"/>
    </row>
    <row r="225" spans="2:10" ht="153.75" customHeight="1" x14ac:dyDescent="0.2"/>
    <row r="228" spans="2:10" x14ac:dyDescent="0.2">
      <c r="B228" s="68" t="s">
        <v>900</v>
      </c>
      <c r="C228" s="69"/>
      <c r="D228" s="68"/>
    </row>
    <row r="229" spans="2:10" x14ac:dyDescent="0.2">
      <c r="B229" s="68" t="s">
        <v>1007</v>
      </c>
      <c r="D229" s="68"/>
    </row>
    <row r="230" spans="2:10" ht="165" customHeight="1" x14ac:dyDescent="0.2"/>
    <row r="232" spans="2:10" x14ac:dyDescent="0.2">
      <c r="J232" s="22"/>
    </row>
  </sheetData>
  <mergeCells count="29">
    <mergeCell ref="B223:C223"/>
    <mergeCell ref="B217:C217"/>
    <mergeCell ref="B218:C218"/>
    <mergeCell ref="B219:C219"/>
    <mergeCell ref="B220:C220"/>
    <mergeCell ref="B221:D221"/>
    <mergeCell ref="B212:C212"/>
    <mergeCell ref="B213:C213"/>
    <mergeCell ref="B214:C214"/>
    <mergeCell ref="B215:C215"/>
    <mergeCell ref="B216:C216"/>
    <mergeCell ref="B206:C206"/>
    <mergeCell ref="B211:D211"/>
    <mergeCell ref="B201:C201"/>
    <mergeCell ref="B207:C207"/>
    <mergeCell ref="B208:C208"/>
    <mergeCell ref="B209:C209"/>
    <mergeCell ref="A3:H3"/>
    <mergeCell ref="A2:H2"/>
    <mergeCell ref="A1:H1"/>
    <mergeCell ref="B192:C192"/>
    <mergeCell ref="B193:C193"/>
    <mergeCell ref="B190:D190"/>
    <mergeCell ref="B191:C191"/>
    <mergeCell ref="B184:H184"/>
    <mergeCell ref="B185:H185"/>
    <mergeCell ref="B186:H186"/>
    <mergeCell ref="B187:H187"/>
    <mergeCell ref="B188:H188"/>
  </mergeCells>
  <hyperlinks>
    <hyperlink ref="I1" location="Index!B2" display="Index" xr:uid="{89C60205-A2E2-42F6-950E-4F2929469F0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C648-5D2E-4A44-8A4C-E68C67F4055B}">
  <sheetPr>
    <outlinePr summaryBelow="0" summaryRight="0"/>
  </sheetPr>
  <dimension ref="A1:S172"/>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 bestFit="1"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672</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360000</v>
      </c>
      <c r="F7" s="29">
        <v>6236.64</v>
      </c>
      <c r="G7" s="30">
        <v>7.7330170000000004E-2</v>
      </c>
      <c r="H7" s="25" t="s">
        <v>148</v>
      </c>
    </row>
    <row r="8" spans="1:9" x14ac:dyDescent="0.2">
      <c r="A8" s="26">
        <v>2</v>
      </c>
      <c r="B8" s="27" t="s">
        <v>26</v>
      </c>
      <c r="C8" s="27" t="s">
        <v>27</v>
      </c>
      <c r="D8" s="27" t="s">
        <v>28</v>
      </c>
      <c r="E8" s="28">
        <v>345000</v>
      </c>
      <c r="F8" s="29">
        <v>4154.1450000000004</v>
      </c>
      <c r="G8" s="30">
        <v>5.1508619999999998E-2</v>
      </c>
      <c r="H8" s="25" t="s">
        <v>148</v>
      </c>
    </row>
    <row r="9" spans="1:9" x14ac:dyDescent="0.2">
      <c r="A9" s="26">
        <v>3</v>
      </c>
      <c r="B9" s="27" t="s">
        <v>334</v>
      </c>
      <c r="C9" s="27" t="s">
        <v>335</v>
      </c>
      <c r="D9" s="27" t="s">
        <v>205</v>
      </c>
      <c r="E9" s="28">
        <v>190000</v>
      </c>
      <c r="F9" s="29">
        <v>3206.63</v>
      </c>
      <c r="G9" s="30">
        <v>3.9760070000000002E-2</v>
      </c>
      <c r="H9" s="25" t="s">
        <v>148</v>
      </c>
    </row>
    <row r="10" spans="1:9" x14ac:dyDescent="0.2">
      <c r="A10" s="26">
        <v>4</v>
      </c>
      <c r="B10" s="27" t="s">
        <v>20</v>
      </c>
      <c r="C10" s="27" t="s">
        <v>21</v>
      </c>
      <c r="D10" s="27" t="s">
        <v>22</v>
      </c>
      <c r="E10" s="28">
        <v>800000</v>
      </c>
      <c r="F10" s="29">
        <v>2491.6</v>
      </c>
      <c r="G10" s="30">
        <v>3.0894169999999999E-2</v>
      </c>
      <c r="H10" s="25" t="s">
        <v>148</v>
      </c>
    </row>
    <row r="11" spans="1:9" x14ac:dyDescent="0.2">
      <c r="A11" s="26">
        <v>5</v>
      </c>
      <c r="B11" s="27" t="s">
        <v>14</v>
      </c>
      <c r="C11" s="27" t="s">
        <v>15</v>
      </c>
      <c r="D11" s="27" t="s">
        <v>16</v>
      </c>
      <c r="E11" s="28">
        <v>205000</v>
      </c>
      <c r="F11" s="29">
        <v>2460.2049999999999</v>
      </c>
      <c r="G11" s="30">
        <v>3.0504900000000001E-2</v>
      </c>
      <c r="H11" s="25" t="s">
        <v>148</v>
      </c>
    </row>
    <row r="12" spans="1:9" x14ac:dyDescent="0.2">
      <c r="A12" s="26">
        <v>6</v>
      </c>
      <c r="B12" s="27" t="s">
        <v>11</v>
      </c>
      <c r="C12" s="27" t="s">
        <v>12</v>
      </c>
      <c r="D12" s="27" t="s">
        <v>13</v>
      </c>
      <c r="E12" s="28">
        <v>145000</v>
      </c>
      <c r="F12" s="29">
        <v>2276.79</v>
      </c>
      <c r="G12" s="30">
        <v>2.8230669999999999E-2</v>
      </c>
      <c r="H12" s="25" t="s">
        <v>148</v>
      </c>
    </row>
    <row r="13" spans="1:9" x14ac:dyDescent="0.2">
      <c r="A13" s="26">
        <v>7</v>
      </c>
      <c r="B13" s="27" t="s">
        <v>524</v>
      </c>
      <c r="C13" s="27" t="s">
        <v>525</v>
      </c>
      <c r="D13" s="27" t="s">
        <v>275</v>
      </c>
      <c r="E13" s="28">
        <v>16000</v>
      </c>
      <c r="F13" s="29">
        <v>1911.336</v>
      </c>
      <c r="G13" s="30">
        <v>2.3699290000000001E-2</v>
      </c>
      <c r="H13" s="25" t="s">
        <v>148</v>
      </c>
    </row>
    <row r="14" spans="1:9" x14ac:dyDescent="0.2">
      <c r="A14" s="26">
        <v>8</v>
      </c>
      <c r="B14" s="27" t="s">
        <v>17</v>
      </c>
      <c r="C14" s="27" t="s">
        <v>18</v>
      </c>
      <c r="D14" s="27" t="s">
        <v>19</v>
      </c>
      <c r="E14" s="28">
        <v>57000</v>
      </c>
      <c r="F14" s="29">
        <v>1803.3945000000001</v>
      </c>
      <c r="G14" s="30">
        <v>2.2360890000000001E-2</v>
      </c>
      <c r="H14" s="25" t="s">
        <v>148</v>
      </c>
    </row>
    <row r="15" spans="1:9" x14ac:dyDescent="0.2">
      <c r="A15" s="26">
        <v>9</v>
      </c>
      <c r="B15" s="27" t="s">
        <v>348</v>
      </c>
      <c r="C15" s="27" t="s">
        <v>349</v>
      </c>
      <c r="D15" s="27" t="s">
        <v>350</v>
      </c>
      <c r="E15" s="28">
        <v>455000</v>
      </c>
      <c r="F15" s="29">
        <v>1797.25</v>
      </c>
      <c r="G15" s="30">
        <v>2.2284700000000001E-2</v>
      </c>
      <c r="H15" s="25" t="s">
        <v>148</v>
      </c>
    </row>
    <row r="16" spans="1:9" x14ac:dyDescent="0.2">
      <c r="A16" s="26">
        <v>10</v>
      </c>
      <c r="B16" s="27" t="s">
        <v>342</v>
      </c>
      <c r="C16" s="27" t="s">
        <v>343</v>
      </c>
      <c r="D16" s="27" t="s">
        <v>205</v>
      </c>
      <c r="E16" s="28">
        <v>51000</v>
      </c>
      <c r="F16" s="29">
        <v>1776.4575</v>
      </c>
      <c r="G16" s="30">
        <v>2.202689E-2</v>
      </c>
      <c r="H16" s="25" t="s">
        <v>148</v>
      </c>
    </row>
    <row r="17" spans="1:8" x14ac:dyDescent="0.2">
      <c r="A17" s="26">
        <v>11</v>
      </c>
      <c r="B17" s="27" t="s">
        <v>38</v>
      </c>
      <c r="C17" s="27" t="s">
        <v>39</v>
      </c>
      <c r="D17" s="27" t="s">
        <v>28</v>
      </c>
      <c r="E17" s="28">
        <v>250000</v>
      </c>
      <c r="F17" s="29">
        <v>1722</v>
      </c>
      <c r="G17" s="30">
        <v>2.135165E-2</v>
      </c>
      <c r="H17" s="25" t="s">
        <v>148</v>
      </c>
    </row>
    <row r="18" spans="1:8" x14ac:dyDescent="0.2">
      <c r="A18" s="26">
        <v>12</v>
      </c>
      <c r="B18" s="27" t="s">
        <v>29</v>
      </c>
      <c r="C18" s="27" t="s">
        <v>30</v>
      </c>
      <c r="D18" s="27" t="s">
        <v>22</v>
      </c>
      <c r="E18" s="28">
        <v>675000</v>
      </c>
      <c r="F18" s="29">
        <v>1693.2375</v>
      </c>
      <c r="G18" s="30">
        <v>2.0995010000000001E-2</v>
      </c>
      <c r="H18" s="25" t="s">
        <v>148</v>
      </c>
    </row>
    <row r="19" spans="1:8" x14ac:dyDescent="0.2">
      <c r="A19" s="26">
        <v>13</v>
      </c>
      <c r="B19" s="27" t="s">
        <v>374</v>
      </c>
      <c r="C19" s="27" t="s">
        <v>375</v>
      </c>
      <c r="D19" s="27" t="s">
        <v>376</v>
      </c>
      <c r="E19" s="28">
        <v>450000</v>
      </c>
      <c r="F19" s="29">
        <v>1662.075</v>
      </c>
      <c r="G19" s="30">
        <v>2.0608620000000001E-2</v>
      </c>
      <c r="H19" s="25" t="s">
        <v>148</v>
      </c>
    </row>
    <row r="20" spans="1:8" x14ac:dyDescent="0.2">
      <c r="A20" s="26">
        <v>14</v>
      </c>
      <c r="B20" s="27" t="s">
        <v>448</v>
      </c>
      <c r="C20" s="27" t="s">
        <v>449</v>
      </c>
      <c r="D20" s="27" t="s">
        <v>350</v>
      </c>
      <c r="E20" s="28">
        <v>73000</v>
      </c>
      <c r="F20" s="29">
        <v>1598.8824999999999</v>
      </c>
      <c r="G20" s="30">
        <v>1.982507E-2</v>
      </c>
      <c r="H20" s="25" t="s">
        <v>148</v>
      </c>
    </row>
    <row r="21" spans="1:8" x14ac:dyDescent="0.2">
      <c r="A21" s="26">
        <v>15</v>
      </c>
      <c r="B21" s="27" t="s">
        <v>382</v>
      </c>
      <c r="C21" s="27" t="s">
        <v>383</v>
      </c>
      <c r="D21" s="27" t="s">
        <v>210</v>
      </c>
      <c r="E21" s="28">
        <v>345000</v>
      </c>
      <c r="F21" s="29">
        <v>1390.1775</v>
      </c>
      <c r="G21" s="30">
        <v>1.7237269999999999E-2</v>
      </c>
      <c r="H21" s="25" t="s">
        <v>148</v>
      </c>
    </row>
    <row r="22" spans="1:8" x14ac:dyDescent="0.2">
      <c r="A22" s="26">
        <v>16</v>
      </c>
      <c r="B22" s="27" t="s">
        <v>101</v>
      </c>
      <c r="C22" s="27" t="s">
        <v>102</v>
      </c>
      <c r="D22" s="27" t="s">
        <v>28</v>
      </c>
      <c r="E22" s="28">
        <v>72000</v>
      </c>
      <c r="F22" s="29">
        <v>1370.124</v>
      </c>
      <c r="G22" s="30">
        <v>1.6988619999999999E-2</v>
      </c>
      <c r="H22" s="25" t="s">
        <v>148</v>
      </c>
    </row>
    <row r="23" spans="1:8" ht="25.5" x14ac:dyDescent="0.2">
      <c r="A23" s="26">
        <v>17</v>
      </c>
      <c r="B23" s="27" t="s">
        <v>340</v>
      </c>
      <c r="C23" s="27" t="s">
        <v>341</v>
      </c>
      <c r="D23" s="27" t="s">
        <v>202</v>
      </c>
      <c r="E23" s="28">
        <v>85000</v>
      </c>
      <c r="F23" s="29">
        <v>1354.2625</v>
      </c>
      <c r="G23" s="30">
        <v>1.679195E-2</v>
      </c>
      <c r="H23" s="25" t="s">
        <v>148</v>
      </c>
    </row>
    <row r="24" spans="1:8" x14ac:dyDescent="0.2">
      <c r="A24" s="26">
        <v>18</v>
      </c>
      <c r="B24" s="27" t="s">
        <v>46</v>
      </c>
      <c r="C24" s="27" t="s">
        <v>47</v>
      </c>
      <c r="D24" s="27" t="s">
        <v>48</v>
      </c>
      <c r="E24" s="28">
        <v>600000</v>
      </c>
      <c r="F24" s="29">
        <v>1351.5</v>
      </c>
      <c r="G24" s="30">
        <v>1.67577E-2</v>
      </c>
      <c r="H24" s="25" t="s">
        <v>148</v>
      </c>
    </row>
    <row r="25" spans="1:8" x14ac:dyDescent="0.2">
      <c r="A25" s="26">
        <v>19</v>
      </c>
      <c r="B25" s="27" t="s">
        <v>346</v>
      </c>
      <c r="C25" s="27" t="s">
        <v>347</v>
      </c>
      <c r="D25" s="27" t="s">
        <v>28</v>
      </c>
      <c r="E25" s="28">
        <v>650000</v>
      </c>
      <c r="F25" s="29">
        <v>1280.9549999999999</v>
      </c>
      <c r="G25" s="30">
        <v>1.588299E-2</v>
      </c>
      <c r="H25" s="25" t="s">
        <v>148</v>
      </c>
    </row>
    <row r="26" spans="1:8" x14ac:dyDescent="0.2">
      <c r="A26" s="26">
        <v>20</v>
      </c>
      <c r="B26" s="27" t="s">
        <v>435</v>
      </c>
      <c r="C26" s="27" t="s">
        <v>436</v>
      </c>
      <c r="D26" s="27" t="s">
        <v>205</v>
      </c>
      <c r="E26" s="28">
        <v>81000</v>
      </c>
      <c r="F26" s="29">
        <v>1275.7905000000001</v>
      </c>
      <c r="G26" s="30">
        <v>1.5818949999999998E-2</v>
      </c>
      <c r="H26" s="25" t="s">
        <v>148</v>
      </c>
    </row>
    <row r="27" spans="1:8" x14ac:dyDescent="0.2">
      <c r="A27" s="26">
        <v>21</v>
      </c>
      <c r="B27" s="27" t="s">
        <v>344</v>
      </c>
      <c r="C27" s="27" t="s">
        <v>345</v>
      </c>
      <c r="D27" s="27" t="s">
        <v>111</v>
      </c>
      <c r="E27" s="28">
        <v>14500</v>
      </c>
      <c r="F27" s="29">
        <v>1236.8934999999999</v>
      </c>
      <c r="G27" s="30">
        <v>1.533665E-2</v>
      </c>
      <c r="H27" s="25" t="s">
        <v>148</v>
      </c>
    </row>
    <row r="28" spans="1:8" x14ac:dyDescent="0.2">
      <c r="A28" s="26">
        <v>22</v>
      </c>
      <c r="B28" s="27" t="s">
        <v>31</v>
      </c>
      <c r="C28" s="27" t="s">
        <v>32</v>
      </c>
      <c r="D28" s="27" t="s">
        <v>33</v>
      </c>
      <c r="E28" s="28">
        <v>475000</v>
      </c>
      <c r="F28" s="29">
        <v>1169.6875</v>
      </c>
      <c r="G28" s="30">
        <v>1.450334E-2</v>
      </c>
      <c r="H28" s="25" t="s">
        <v>148</v>
      </c>
    </row>
    <row r="29" spans="1:8" x14ac:dyDescent="0.2">
      <c r="A29" s="26">
        <v>23</v>
      </c>
      <c r="B29" s="27" t="s">
        <v>336</v>
      </c>
      <c r="C29" s="27" t="s">
        <v>337</v>
      </c>
      <c r="D29" s="27" t="s">
        <v>28</v>
      </c>
      <c r="E29" s="28">
        <v>110000</v>
      </c>
      <c r="F29" s="29">
        <v>1117.105</v>
      </c>
      <c r="G29" s="30">
        <v>1.385136E-2</v>
      </c>
      <c r="H29" s="25" t="s">
        <v>148</v>
      </c>
    </row>
    <row r="30" spans="1:8" x14ac:dyDescent="0.2">
      <c r="A30" s="26">
        <v>24</v>
      </c>
      <c r="B30" s="27" t="s">
        <v>268</v>
      </c>
      <c r="C30" s="27" t="s">
        <v>269</v>
      </c>
      <c r="D30" s="27" t="s">
        <v>270</v>
      </c>
      <c r="E30" s="28">
        <v>200000</v>
      </c>
      <c r="F30" s="29">
        <v>1103.2</v>
      </c>
      <c r="G30" s="30">
        <v>1.3678940000000001E-2</v>
      </c>
      <c r="H30" s="25" t="s">
        <v>148</v>
      </c>
    </row>
    <row r="31" spans="1:8" x14ac:dyDescent="0.2">
      <c r="A31" s="26">
        <v>25</v>
      </c>
      <c r="B31" s="27" t="s">
        <v>526</v>
      </c>
      <c r="C31" s="27" t="s">
        <v>527</v>
      </c>
      <c r="D31" s="27" t="s">
        <v>235</v>
      </c>
      <c r="E31" s="28">
        <v>85000</v>
      </c>
      <c r="F31" s="29">
        <v>1091.7825</v>
      </c>
      <c r="G31" s="30">
        <v>1.353737E-2</v>
      </c>
      <c r="H31" s="25" t="s">
        <v>148</v>
      </c>
    </row>
    <row r="32" spans="1:8" x14ac:dyDescent="0.2">
      <c r="A32" s="26">
        <v>26</v>
      </c>
      <c r="B32" s="27" t="s">
        <v>673</v>
      </c>
      <c r="C32" s="27" t="s">
        <v>674</v>
      </c>
      <c r="D32" s="27" t="s">
        <v>51</v>
      </c>
      <c r="E32" s="28">
        <v>55000</v>
      </c>
      <c r="F32" s="29">
        <v>1054.7075</v>
      </c>
      <c r="G32" s="30">
        <v>1.307767E-2</v>
      </c>
      <c r="H32" s="25" t="s">
        <v>148</v>
      </c>
    </row>
    <row r="33" spans="1:8" ht="25.5" x14ac:dyDescent="0.2">
      <c r="A33" s="26">
        <v>27</v>
      </c>
      <c r="B33" s="27" t="s">
        <v>215</v>
      </c>
      <c r="C33" s="27" t="s">
        <v>216</v>
      </c>
      <c r="D33" s="27" t="s">
        <v>217</v>
      </c>
      <c r="E33" s="28">
        <v>175000</v>
      </c>
      <c r="F33" s="29">
        <v>1051.05</v>
      </c>
      <c r="G33" s="30">
        <v>1.303232E-2</v>
      </c>
      <c r="H33" s="25" t="s">
        <v>148</v>
      </c>
    </row>
    <row r="34" spans="1:8" x14ac:dyDescent="0.2">
      <c r="A34" s="26">
        <v>28</v>
      </c>
      <c r="B34" s="27" t="s">
        <v>368</v>
      </c>
      <c r="C34" s="27" t="s">
        <v>369</v>
      </c>
      <c r="D34" s="27" t="s">
        <v>25</v>
      </c>
      <c r="E34" s="28">
        <v>45000</v>
      </c>
      <c r="F34" s="29">
        <v>1037.9925000000001</v>
      </c>
      <c r="G34" s="30">
        <v>1.2870410000000001E-2</v>
      </c>
      <c r="H34" s="25" t="s">
        <v>148</v>
      </c>
    </row>
    <row r="35" spans="1:8" ht="25.5" x14ac:dyDescent="0.2">
      <c r="A35" s="26">
        <v>29</v>
      </c>
      <c r="B35" s="27" t="s">
        <v>442</v>
      </c>
      <c r="C35" s="27" t="s">
        <v>443</v>
      </c>
      <c r="D35" s="27" t="s">
        <v>202</v>
      </c>
      <c r="E35" s="28">
        <v>72000</v>
      </c>
      <c r="F35" s="29">
        <v>1013.4</v>
      </c>
      <c r="G35" s="30">
        <v>1.256548E-2</v>
      </c>
      <c r="H35" s="25" t="s">
        <v>148</v>
      </c>
    </row>
    <row r="36" spans="1:8" x14ac:dyDescent="0.2">
      <c r="A36" s="26">
        <v>30</v>
      </c>
      <c r="B36" s="27" t="s">
        <v>530</v>
      </c>
      <c r="C36" s="27" t="s">
        <v>531</v>
      </c>
      <c r="D36" s="27" t="s">
        <v>205</v>
      </c>
      <c r="E36" s="28">
        <v>67000</v>
      </c>
      <c r="F36" s="29">
        <v>996.85950000000003</v>
      </c>
      <c r="G36" s="30">
        <v>1.2360390000000001E-2</v>
      </c>
      <c r="H36" s="25" t="s">
        <v>148</v>
      </c>
    </row>
    <row r="37" spans="1:8" x14ac:dyDescent="0.2">
      <c r="A37" s="87">
        <v>31</v>
      </c>
      <c r="B37" s="38" t="s">
        <v>997</v>
      </c>
      <c r="C37" s="38" t="s">
        <v>998</v>
      </c>
      <c r="D37" s="38" t="s">
        <v>54</v>
      </c>
      <c r="E37" s="88">
        <v>275000</v>
      </c>
      <c r="F37" s="89">
        <v>1001.66</v>
      </c>
      <c r="G37" s="90">
        <f>F37/F132</f>
        <v>1.2419914183909798E-2</v>
      </c>
      <c r="H37" s="25" t="s">
        <v>148</v>
      </c>
    </row>
    <row r="38" spans="1:8" x14ac:dyDescent="0.2">
      <c r="A38" s="26">
        <v>32</v>
      </c>
      <c r="B38" s="27" t="s">
        <v>534</v>
      </c>
      <c r="C38" s="27" t="s">
        <v>535</v>
      </c>
      <c r="D38" s="27" t="s">
        <v>275</v>
      </c>
      <c r="E38" s="28">
        <v>37000</v>
      </c>
      <c r="F38" s="29">
        <v>956.48699999999997</v>
      </c>
      <c r="G38" s="30">
        <v>1.18598E-2</v>
      </c>
      <c r="H38" s="25" t="s">
        <v>148</v>
      </c>
    </row>
    <row r="39" spans="1:8" x14ac:dyDescent="0.2">
      <c r="A39" s="26">
        <v>33</v>
      </c>
      <c r="B39" s="27" t="s">
        <v>92</v>
      </c>
      <c r="C39" s="27" t="s">
        <v>93</v>
      </c>
      <c r="D39" s="27" t="s">
        <v>94</v>
      </c>
      <c r="E39" s="28">
        <v>600000</v>
      </c>
      <c r="F39" s="29">
        <v>936.24</v>
      </c>
      <c r="G39" s="30">
        <v>1.1608749999999999E-2</v>
      </c>
      <c r="H39" s="25" t="s">
        <v>148</v>
      </c>
    </row>
    <row r="40" spans="1:8" x14ac:dyDescent="0.2">
      <c r="A40" s="26">
        <v>34</v>
      </c>
      <c r="B40" s="27" t="s">
        <v>418</v>
      </c>
      <c r="C40" s="27" t="s">
        <v>419</v>
      </c>
      <c r="D40" s="27" t="s">
        <v>137</v>
      </c>
      <c r="E40" s="28">
        <v>650000</v>
      </c>
      <c r="F40" s="29">
        <v>891.8</v>
      </c>
      <c r="G40" s="30">
        <v>1.105772E-2</v>
      </c>
      <c r="H40" s="25" t="s">
        <v>148</v>
      </c>
    </row>
    <row r="41" spans="1:8" x14ac:dyDescent="0.2">
      <c r="A41" s="26">
        <v>35</v>
      </c>
      <c r="B41" s="27" t="s">
        <v>23</v>
      </c>
      <c r="C41" s="27" t="s">
        <v>24</v>
      </c>
      <c r="D41" s="27" t="s">
        <v>25</v>
      </c>
      <c r="E41" s="28">
        <v>8500</v>
      </c>
      <c r="F41" s="29">
        <v>860.91824999999994</v>
      </c>
      <c r="G41" s="30">
        <v>1.067481E-2</v>
      </c>
      <c r="H41" s="25" t="s">
        <v>148</v>
      </c>
    </row>
    <row r="42" spans="1:8" x14ac:dyDescent="0.2">
      <c r="A42" s="26">
        <v>36</v>
      </c>
      <c r="B42" s="27" t="s">
        <v>236</v>
      </c>
      <c r="C42" s="27" t="s">
        <v>237</v>
      </c>
      <c r="D42" s="27" t="s">
        <v>69</v>
      </c>
      <c r="E42" s="28">
        <v>225000</v>
      </c>
      <c r="F42" s="29">
        <v>842.17499999999995</v>
      </c>
      <c r="G42" s="30">
        <v>1.0442409999999999E-2</v>
      </c>
      <c r="H42" s="25" t="s">
        <v>148</v>
      </c>
    </row>
    <row r="43" spans="1:8" x14ac:dyDescent="0.2">
      <c r="A43" s="26">
        <v>37</v>
      </c>
      <c r="B43" s="27" t="s">
        <v>675</v>
      </c>
      <c r="C43" s="27" t="s">
        <v>676</v>
      </c>
      <c r="D43" s="27" t="s">
        <v>22</v>
      </c>
      <c r="E43" s="28">
        <v>635000</v>
      </c>
      <c r="F43" s="29">
        <v>830.51649999999995</v>
      </c>
      <c r="G43" s="30">
        <v>1.0297850000000001E-2</v>
      </c>
      <c r="H43" s="25" t="s">
        <v>148</v>
      </c>
    </row>
    <row r="44" spans="1:8" x14ac:dyDescent="0.2">
      <c r="A44" s="26">
        <v>38</v>
      </c>
      <c r="B44" s="27" t="s">
        <v>253</v>
      </c>
      <c r="C44" s="27" t="s">
        <v>254</v>
      </c>
      <c r="D44" s="27" t="s">
        <v>205</v>
      </c>
      <c r="E44" s="28">
        <v>11000</v>
      </c>
      <c r="F44" s="29">
        <v>809.8365</v>
      </c>
      <c r="G44" s="30">
        <v>1.004143E-2</v>
      </c>
      <c r="H44" s="25" t="s">
        <v>148</v>
      </c>
    </row>
    <row r="45" spans="1:8" x14ac:dyDescent="0.2">
      <c r="A45" s="26">
        <v>39</v>
      </c>
      <c r="B45" s="27" t="s">
        <v>249</v>
      </c>
      <c r="C45" s="27" t="s">
        <v>250</v>
      </c>
      <c r="D45" s="27" t="s">
        <v>205</v>
      </c>
      <c r="E45" s="28">
        <v>36000</v>
      </c>
      <c r="F45" s="29">
        <v>809.01</v>
      </c>
      <c r="G45" s="30">
        <v>1.0031180000000001E-2</v>
      </c>
      <c r="H45" s="25" t="s">
        <v>148</v>
      </c>
    </row>
    <row r="46" spans="1:8" x14ac:dyDescent="0.2">
      <c r="A46" s="26">
        <v>40</v>
      </c>
      <c r="B46" s="27" t="s">
        <v>223</v>
      </c>
      <c r="C46" s="27" t="s">
        <v>224</v>
      </c>
      <c r="D46" s="27" t="s">
        <v>16</v>
      </c>
      <c r="E46" s="28">
        <v>275000</v>
      </c>
      <c r="F46" s="29">
        <v>807.8125</v>
      </c>
      <c r="G46" s="30">
        <v>1.001634E-2</v>
      </c>
      <c r="H46" s="25" t="s">
        <v>148</v>
      </c>
    </row>
    <row r="47" spans="1:8" x14ac:dyDescent="0.2">
      <c r="A47" s="26">
        <v>41</v>
      </c>
      <c r="B47" s="27" t="s">
        <v>485</v>
      </c>
      <c r="C47" s="27" t="s">
        <v>486</v>
      </c>
      <c r="D47" s="27" t="s">
        <v>487</v>
      </c>
      <c r="E47" s="28">
        <v>192022</v>
      </c>
      <c r="F47" s="29">
        <v>806.396389</v>
      </c>
      <c r="G47" s="30">
        <v>9.9987800000000005E-3</v>
      </c>
      <c r="H47" s="25" t="s">
        <v>148</v>
      </c>
    </row>
    <row r="48" spans="1:8" x14ac:dyDescent="0.2">
      <c r="A48" s="26">
        <v>42</v>
      </c>
      <c r="B48" s="27" t="s">
        <v>677</v>
      </c>
      <c r="C48" s="27" t="s">
        <v>678</v>
      </c>
      <c r="D48" s="27" t="s">
        <v>679</v>
      </c>
      <c r="E48" s="28">
        <v>17500</v>
      </c>
      <c r="F48" s="29">
        <v>804.20375000000001</v>
      </c>
      <c r="G48" s="30">
        <v>9.9715900000000007E-3</v>
      </c>
      <c r="H48" s="25" t="s">
        <v>148</v>
      </c>
    </row>
    <row r="49" spans="1:8" x14ac:dyDescent="0.2">
      <c r="A49" s="26">
        <v>43</v>
      </c>
      <c r="B49" s="27" t="s">
        <v>680</v>
      </c>
      <c r="C49" s="27" t="s">
        <v>681</v>
      </c>
      <c r="D49" s="27" t="s">
        <v>359</v>
      </c>
      <c r="E49" s="28">
        <v>17500</v>
      </c>
      <c r="F49" s="29">
        <v>793.31</v>
      </c>
      <c r="G49" s="30">
        <v>9.8365099999999997E-3</v>
      </c>
      <c r="H49" s="25" t="s">
        <v>148</v>
      </c>
    </row>
    <row r="50" spans="1:8" x14ac:dyDescent="0.2">
      <c r="A50" s="26">
        <v>44</v>
      </c>
      <c r="B50" s="27" t="s">
        <v>280</v>
      </c>
      <c r="C50" s="27" t="s">
        <v>281</v>
      </c>
      <c r="D50" s="27" t="s">
        <v>69</v>
      </c>
      <c r="E50" s="28">
        <v>95000</v>
      </c>
      <c r="F50" s="29">
        <v>784.60500000000002</v>
      </c>
      <c r="G50" s="30">
        <v>9.7285800000000006E-3</v>
      </c>
      <c r="H50" s="25" t="s">
        <v>148</v>
      </c>
    </row>
    <row r="51" spans="1:8" x14ac:dyDescent="0.2">
      <c r="A51" s="26">
        <v>45</v>
      </c>
      <c r="B51" s="27" t="s">
        <v>251</v>
      </c>
      <c r="C51" s="27" t="s">
        <v>252</v>
      </c>
      <c r="D51" s="27" t="s">
        <v>111</v>
      </c>
      <c r="E51" s="28">
        <v>125000</v>
      </c>
      <c r="F51" s="29">
        <v>771.625</v>
      </c>
      <c r="G51" s="30">
        <v>9.5676300000000006E-3</v>
      </c>
      <c r="H51" s="25" t="s">
        <v>148</v>
      </c>
    </row>
    <row r="52" spans="1:8" x14ac:dyDescent="0.2">
      <c r="A52" s="26">
        <v>46</v>
      </c>
      <c r="B52" s="27" t="s">
        <v>109</v>
      </c>
      <c r="C52" s="27" t="s">
        <v>110</v>
      </c>
      <c r="D52" s="27" t="s">
        <v>111</v>
      </c>
      <c r="E52" s="28">
        <v>210000</v>
      </c>
      <c r="F52" s="29">
        <v>756.63</v>
      </c>
      <c r="G52" s="30">
        <v>9.3817099999999997E-3</v>
      </c>
      <c r="H52" s="25" t="s">
        <v>148</v>
      </c>
    </row>
    <row r="53" spans="1:8" x14ac:dyDescent="0.2">
      <c r="A53" s="26">
        <v>47</v>
      </c>
      <c r="B53" s="27" t="s">
        <v>195</v>
      </c>
      <c r="C53" s="27" t="s">
        <v>196</v>
      </c>
      <c r="D53" s="27" t="s">
        <v>197</v>
      </c>
      <c r="E53" s="28">
        <v>45000</v>
      </c>
      <c r="F53" s="29">
        <v>750.12750000000005</v>
      </c>
      <c r="G53" s="30">
        <v>9.3010799999999998E-3</v>
      </c>
      <c r="H53" s="25" t="s">
        <v>148</v>
      </c>
    </row>
    <row r="54" spans="1:8" x14ac:dyDescent="0.2">
      <c r="A54" s="26">
        <v>48</v>
      </c>
      <c r="B54" s="27" t="s">
        <v>95</v>
      </c>
      <c r="C54" s="27" t="s">
        <v>96</v>
      </c>
      <c r="D54" s="27" t="s">
        <v>45</v>
      </c>
      <c r="E54" s="28">
        <v>27000</v>
      </c>
      <c r="F54" s="29">
        <v>733.84649999999999</v>
      </c>
      <c r="G54" s="30">
        <v>9.0992099999999999E-3</v>
      </c>
      <c r="H54" s="25" t="s">
        <v>148</v>
      </c>
    </row>
    <row r="55" spans="1:8" x14ac:dyDescent="0.2">
      <c r="A55" s="26">
        <v>49</v>
      </c>
      <c r="B55" s="27" t="s">
        <v>372</v>
      </c>
      <c r="C55" s="27" t="s">
        <v>373</v>
      </c>
      <c r="D55" s="27" t="s">
        <v>33</v>
      </c>
      <c r="E55" s="28">
        <v>23000</v>
      </c>
      <c r="F55" s="29">
        <v>710.28599999999994</v>
      </c>
      <c r="G55" s="30">
        <v>8.8070700000000002E-3</v>
      </c>
      <c r="H55" s="25" t="s">
        <v>148</v>
      </c>
    </row>
    <row r="56" spans="1:8" x14ac:dyDescent="0.2">
      <c r="A56" s="26">
        <v>50</v>
      </c>
      <c r="B56" s="27" t="s">
        <v>40</v>
      </c>
      <c r="C56" s="27" t="s">
        <v>41</v>
      </c>
      <c r="D56" s="27" t="s">
        <v>42</v>
      </c>
      <c r="E56" s="28">
        <v>53000</v>
      </c>
      <c r="F56" s="29">
        <v>709.29899999999998</v>
      </c>
      <c r="G56" s="30">
        <v>8.79483E-3</v>
      </c>
      <c r="H56" s="25" t="s">
        <v>148</v>
      </c>
    </row>
    <row r="57" spans="1:8" x14ac:dyDescent="0.2">
      <c r="A57" s="26">
        <v>51</v>
      </c>
      <c r="B57" s="27" t="s">
        <v>450</v>
      </c>
      <c r="C57" s="27" t="s">
        <v>451</v>
      </c>
      <c r="D57" s="27" t="s">
        <v>28</v>
      </c>
      <c r="E57" s="28">
        <v>70000</v>
      </c>
      <c r="F57" s="29">
        <v>693.07</v>
      </c>
      <c r="G57" s="30">
        <v>8.5936099999999998E-3</v>
      </c>
      <c r="H57" s="25" t="s">
        <v>148</v>
      </c>
    </row>
    <row r="58" spans="1:8" x14ac:dyDescent="0.2">
      <c r="A58" s="26">
        <v>52</v>
      </c>
      <c r="B58" s="27" t="s">
        <v>394</v>
      </c>
      <c r="C58" s="27" t="s">
        <v>395</v>
      </c>
      <c r="D58" s="27" t="s">
        <v>240</v>
      </c>
      <c r="E58" s="28">
        <v>30000</v>
      </c>
      <c r="F58" s="29">
        <v>650.745</v>
      </c>
      <c r="G58" s="30">
        <v>8.0687999999999992E-3</v>
      </c>
      <c r="H58" s="25" t="s">
        <v>148</v>
      </c>
    </row>
    <row r="59" spans="1:8" x14ac:dyDescent="0.2">
      <c r="A59" s="26">
        <v>53</v>
      </c>
      <c r="B59" s="27" t="s">
        <v>528</v>
      </c>
      <c r="C59" s="27" t="s">
        <v>529</v>
      </c>
      <c r="D59" s="27" t="s">
        <v>275</v>
      </c>
      <c r="E59" s="28">
        <v>8000</v>
      </c>
      <c r="F59" s="29">
        <v>632.23199999999997</v>
      </c>
      <c r="G59" s="30">
        <v>7.8392500000000007E-3</v>
      </c>
      <c r="H59" s="25" t="s">
        <v>148</v>
      </c>
    </row>
    <row r="60" spans="1:8" x14ac:dyDescent="0.2">
      <c r="A60" s="26">
        <v>54</v>
      </c>
      <c r="B60" s="27" t="s">
        <v>255</v>
      </c>
      <c r="C60" s="27" t="s">
        <v>256</v>
      </c>
      <c r="D60" s="27" t="s">
        <v>111</v>
      </c>
      <c r="E60" s="28">
        <v>7500</v>
      </c>
      <c r="F60" s="29">
        <v>613.88250000000005</v>
      </c>
      <c r="G60" s="30">
        <v>7.6117299999999997E-3</v>
      </c>
      <c r="H60" s="25" t="s">
        <v>148</v>
      </c>
    </row>
    <row r="61" spans="1:8" ht="25.5" x14ac:dyDescent="0.2">
      <c r="A61" s="26">
        <v>55</v>
      </c>
      <c r="B61" s="27" t="s">
        <v>682</v>
      </c>
      <c r="C61" s="27" t="s">
        <v>683</v>
      </c>
      <c r="D61" s="27" t="s">
        <v>202</v>
      </c>
      <c r="E61" s="28">
        <v>11500</v>
      </c>
      <c r="F61" s="29">
        <v>576.32825000000003</v>
      </c>
      <c r="G61" s="30">
        <v>7.1460899999999999E-3</v>
      </c>
      <c r="H61" s="25" t="s">
        <v>148</v>
      </c>
    </row>
    <row r="62" spans="1:8" x14ac:dyDescent="0.2">
      <c r="A62" s="26">
        <v>56</v>
      </c>
      <c r="B62" s="27" t="s">
        <v>78</v>
      </c>
      <c r="C62" s="27" t="s">
        <v>79</v>
      </c>
      <c r="D62" s="27" t="s">
        <v>42</v>
      </c>
      <c r="E62" s="28">
        <v>170000</v>
      </c>
      <c r="F62" s="29">
        <v>525.04499999999996</v>
      </c>
      <c r="G62" s="30">
        <v>6.5102099999999998E-3</v>
      </c>
      <c r="H62" s="25" t="s">
        <v>148</v>
      </c>
    </row>
    <row r="63" spans="1:8" x14ac:dyDescent="0.2">
      <c r="A63" s="26">
        <v>57</v>
      </c>
      <c r="B63" s="27" t="s">
        <v>684</v>
      </c>
      <c r="C63" s="27" t="s">
        <v>685</v>
      </c>
      <c r="D63" s="27" t="s">
        <v>275</v>
      </c>
      <c r="E63" s="28">
        <v>10000</v>
      </c>
      <c r="F63" s="29">
        <v>477.36</v>
      </c>
      <c r="G63" s="30">
        <v>5.9189500000000001E-3</v>
      </c>
      <c r="H63" s="25" t="s">
        <v>148</v>
      </c>
    </row>
    <row r="64" spans="1:8" x14ac:dyDescent="0.2">
      <c r="A64" s="26">
        <v>58</v>
      </c>
      <c r="B64" s="27" t="s">
        <v>686</v>
      </c>
      <c r="C64" s="27" t="s">
        <v>687</v>
      </c>
      <c r="D64" s="27" t="s">
        <v>197</v>
      </c>
      <c r="E64" s="28">
        <v>10000</v>
      </c>
      <c r="F64" s="29">
        <v>472.91</v>
      </c>
      <c r="G64" s="30">
        <v>5.8637699999999999E-3</v>
      </c>
      <c r="H64" s="25" t="s">
        <v>148</v>
      </c>
    </row>
    <row r="65" spans="1:8" x14ac:dyDescent="0.2">
      <c r="A65" s="26">
        <v>59</v>
      </c>
      <c r="B65" s="27" t="s">
        <v>494</v>
      </c>
      <c r="C65" s="27" t="s">
        <v>495</v>
      </c>
      <c r="D65" s="27" t="s">
        <v>359</v>
      </c>
      <c r="E65" s="28">
        <v>36000</v>
      </c>
      <c r="F65" s="29">
        <v>456.17399999999998</v>
      </c>
      <c r="G65" s="30">
        <v>5.6562499999999998E-3</v>
      </c>
      <c r="H65" s="25" t="s">
        <v>148</v>
      </c>
    </row>
    <row r="66" spans="1:8" x14ac:dyDescent="0.2">
      <c r="A66" s="23"/>
      <c r="B66" s="23"/>
      <c r="C66" s="24" t="s">
        <v>147</v>
      </c>
      <c r="D66" s="23"/>
      <c r="E66" s="23" t="s">
        <v>148</v>
      </c>
      <c r="F66" s="31">
        <f>SUM(F7:F65)</f>
        <v>75150.662139000022</v>
      </c>
      <c r="G66" s="32">
        <f>SUM(G7:G65)</f>
        <v>0.93181798418390993</v>
      </c>
      <c r="H66" s="25" t="s">
        <v>148</v>
      </c>
    </row>
    <row r="67" spans="1:8" x14ac:dyDescent="0.2">
      <c r="A67" s="23"/>
      <c r="B67" s="23"/>
      <c r="C67" s="33"/>
      <c r="D67" s="23"/>
      <c r="E67" s="23"/>
      <c r="F67" s="34"/>
      <c r="G67" s="34"/>
      <c r="H67" s="25" t="s">
        <v>148</v>
      </c>
    </row>
    <row r="68" spans="1:8" x14ac:dyDescent="0.2">
      <c r="A68" s="23"/>
      <c r="B68" s="23"/>
      <c r="C68" s="24" t="s">
        <v>149</v>
      </c>
      <c r="D68" s="23"/>
      <c r="E68" s="23"/>
      <c r="F68" s="23"/>
      <c r="G68" s="23"/>
      <c r="H68" s="25" t="s">
        <v>148</v>
      </c>
    </row>
    <row r="69" spans="1:8" x14ac:dyDescent="0.2">
      <c r="A69" s="23"/>
      <c r="B69" s="23"/>
      <c r="C69" s="24" t="s">
        <v>147</v>
      </c>
      <c r="D69" s="23"/>
      <c r="E69" s="23" t="s">
        <v>148</v>
      </c>
      <c r="F69" s="35" t="s">
        <v>150</v>
      </c>
      <c r="G69" s="32">
        <v>0</v>
      </c>
      <c r="H69" s="25" t="s">
        <v>148</v>
      </c>
    </row>
    <row r="70" spans="1:8" x14ac:dyDescent="0.2">
      <c r="A70" s="23"/>
      <c r="B70" s="23"/>
      <c r="C70" s="33"/>
      <c r="D70" s="23"/>
      <c r="E70" s="23"/>
      <c r="F70" s="34"/>
      <c r="G70" s="34"/>
      <c r="H70" s="25" t="s">
        <v>148</v>
      </c>
    </row>
    <row r="71" spans="1:8" x14ac:dyDescent="0.2">
      <c r="A71" s="23"/>
      <c r="B71" s="23"/>
      <c r="C71" s="24" t="s">
        <v>151</v>
      </c>
      <c r="D71" s="23"/>
      <c r="E71" s="23"/>
      <c r="F71" s="23"/>
      <c r="G71" s="23"/>
      <c r="H71" s="25" t="s">
        <v>148</v>
      </c>
    </row>
    <row r="72" spans="1:8" x14ac:dyDescent="0.2">
      <c r="A72" s="26">
        <v>1</v>
      </c>
      <c r="B72" s="27" t="s">
        <v>688</v>
      </c>
      <c r="C72" s="38" t="s">
        <v>1008</v>
      </c>
      <c r="D72" s="27"/>
      <c r="E72" s="28">
        <v>200000</v>
      </c>
      <c r="F72" s="29">
        <v>1.9999999999999999E-6</v>
      </c>
      <c r="G72" s="36" t="s">
        <v>146</v>
      </c>
      <c r="H72" s="25" t="s">
        <v>148</v>
      </c>
    </row>
    <row r="73" spans="1:8" x14ac:dyDescent="0.2">
      <c r="A73" s="26">
        <v>2</v>
      </c>
      <c r="B73" s="27" t="s">
        <v>690</v>
      </c>
      <c r="C73" s="38" t="s">
        <v>1009</v>
      </c>
      <c r="D73" s="27"/>
      <c r="E73" s="28">
        <v>50000</v>
      </c>
      <c r="F73" s="29">
        <v>4.9999999999999998E-7</v>
      </c>
      <c r="G73" s="36" t="s">
        <v>146</v>
      </c>
      <c r="H73" s="25" t="s">
        <v>148</v>
      </c>
    </row>
    <row r="74" spans="1:8" x14ac:dyDescent="0.2">
      <c r="A74" s="26">
        <v>3</v>
      </c>
      <c r="B74" s="27" t="s">
        <v>689</v>
      </c>
      <c r="C74" s="38" t="s">
        <v>1010</v>
      </c>
      <c r="D74" s="27"/>
      <c r="E74" s="28">
        <v>50000</v>
      </c>
      <c r="F74" s="29">
        <v>4.9999999999999998E-7</v>
      </c>
      <c r="G74" s="36" t="s">
        <v>146</v>
      </c>
      <c r="H74" s="25" t="s">
        <v>148</v>
      </c>
    </row>
    <row r="75" spans="1:8" x14ac:dyDescent="0.2">
      <c r="A75" s="26">
        <v>4</v>
      </c>
      <c r="B75" s="27" t="s">
        <v>691</v>
      </c>
      <c r="C75" s="38" t="s">
        <v>1011</v>
      </c>
      <c r="D75" s="27"/>
      <c r="E75" s="28">
        <v>20</v>
      </c>
      <c r="F75" s="29">
        <v>0</v>
      </c>
      <c r="G75" s="36" t="s">
        <v>146</v>
      </c>
      <c r="H75" s="25" t="s">
        <v>148</v>
      </c>
    </row>
    <row r="76" spans="1:8" x14ac:dyDescent="0.2">
      <c r="A76" s="23"/>
      <c r="B76" s="23"/>
      <c r="C76" s="24" t="s">
        <v>147</v>
      </c>
      <c r="D76" s="23"/>
      <c r="E76" s="23" t="s">
        <v>148</v>
      </c>
      <c r="F76" s="35" t="s">
        <v>150</v>
      </c>
      <c r="G76" s="32">
        <v>0</v>
      </c>
      <c r="H76" s="25" t="s">
        <v>148</v>
      </c>
    </row>
    <row r="77" spans="1:8" x14ac:dyDescent="0.2">
      <c r="A77" s="23"/>
      <c r="B77" s="23"/>
      <c r="C77" s="33"/>
      <c r="D77" s="23"/>
      <c r="E77" s="23"/>
      <c r="F77" s="34"/>
      <c r="G77" s="34"/>
      <c r="H77" s="25" t="s">
        <v>148</v>
      </c>
    </row>
    <row r="78" spans="1:8" x14ac:dyDescent="0.2">
      <c r="A78" s="23"/>
      <c r="B78" s="23"/>
      <c r="C78" s="24" t="s">
        <v>152</v>
      </c>
      <c r="D78" s="23"/>
      <c r="E78" s="23"/>
      <c r="F78" s="23"/>
      <c r="G78" s="23"/>
      <c r="H78" s="25" t="s">
        <v>148</v>
      </c>
    </row>
    <row r="79" spans="1:8" x14ac:dyDescent="0.2">
      <c r="A79" s="23"/>
      <c r="B79" s="23"/>
      <c r="C79" s="24" t="s">
        <v>147</v>
      </c>
      <c r="D79" s="23"/>
      <c r="E79" s="23" t="s">
        <v>148</v>
      </c>
      <c r="F79" s="35" t="s">
        <v>150</v>
      </c>
      <c r="G79" s="32">
        <v>0</v>
      </c>
      <c r="H79" s="25" t="s">
        <v>148</v>
      </c>
    </row>
    <row r="80" spans="1:8" x14ac:dyDescent="0.2">
      <c r="A80" s="23"/>
      <c r="B80" s="23"/>
      <c r="C80" s="33"/>
      <c r="D80" s="23"/>
      <c r="E80" s="23"/>
      <c r="F80" s="34"/>
      <c r="G80" s="34"/>
      <c r="H80" s="25" t="s">
        <v>148</v>
      </c>
    </row>
    <row r="81" spans="1:8" x14ac:dyDescent="0.2">
      <c r="A81" s="23"/>
      <c r="B81" s="23"/>
      <c r="C81" s="24" t="s">
        <v>153</v>
      </c>
      <c r="D81" s="23"/>
      <c r="E81" s="23"/>
      <c r="F81" s="34"/>
      <c r="G81" s="34"/>
      <c r="H81" s="25" t="s">
        <v>148</v>
      </c>
    </row>
    <row r="82" spans="1:8" x14ac:dyDescent="0.2">
      <c r="A82" s="23"/>
      <c r="B82" s="23"/>
      <c r="C82" s="24" t="s">
        <v>147</v>
      </c>
      <c r="D82" s="23"/>
      <c r="E82" s="23" t="s">
        <v>148</v>
      </c>
      <c r="F82" s="35" t="s">
        <v>150</v>
      </c>
      <c r="G82" s="32">
        <v>0</v>
      </c>
      <c r="H82" s="25" t="s">
        <v>148</v>
      </c>
    </row>
    <row r="83" spans="1:8" x14ac:dyDescent="0.2">
      <c r="A83" s="23"/>
      <c r="B83" s="23"/>
      <c r="C83" s="33"/>
      <c r="D83" s="23"/>
      <c r="E83" s="23"/>
      <c r="F83" s="34"/>
      <c r="G83" s="34"/>
      <c r="H83" s="25" t="s">
        <v>148</v>
      </c>
    </row>
    <row r="84" spans="1:8" x14ac:dyDescent="0.2">
      <c r="A84" s="23"/>
      <c r="B84" s="23"/>
      <c r="C84" s="24" t="s">
        <v>154</v>
      </c>
      <c r="D84" s="23"/>
      <c r="E84" s="23"/>
      <c r="F84" s="34"/>
      <c r="G84" s="34"/>
      <c r="H84" s="25" t="s">
        <v>148</v>
      </c>
    </row>
    <row r="85" spans="1:8" x14ac:dyDescent="0.2">
      <c r="A85" s="23"/>
      <c r="B85" s="23"/>
      <c r="C85" s="24" t="s">
        <v>147</v>
      </c>
      <c r="D85" s="23"/>
      <c r="E85" s="23" t="s">
        <v>148</v>
      </c>
      <c r="F85" s="35" t="s">
        <v>150</v>
      </c>
      <c r="G85" s="32">
        <v>0</v>
      </c>
      <c r="H85" s="25" t="s">
        <v>148</v>
      </c>
    </row>
    <row r="86" spans="1:8" x14ac:dyDescent="0.2">
      <c r="A86" s="23"/>
      <c r="B86" s="23"/>
      <c r="C86" s="33"/>
      <c r="D86" s="23"/>
      <c r="E86" s="23"/>
      <c r="F86" s="34"/>
      <c r="G86" s="34"/>
      <c r="H86" s="25" t="s">
        <v>148</v>
      </c>
    </row>
    <row r="87" spans="1:8" x14ac:dyDescent="0.2">
      <c r="A87" s="23"/>
      <c r="B87" s="23"/>
      <c r="C87" s="24" t="s">
        <v>155</v>
      </c>
      <c r="D87" s="23"/>
      <c r="E87" s="23"/>
      <c r="F87" s="31">
        <f>F76+F66</f>
        <v>75150.662139000022</v>
      </c>
      <c r="G87" s="32">
        <f>G76+G66</f>
        <v>0.93181798418390993</v>
      </c>
      <c r="H87" s="25" t="s">
        <v>148</v>
      </c>
    </row>
    <row r="88" spans="1:8" x14ac:dyDescent="0.2">
      <c r="A88" s="23"/>
      <c r="B88" s="23"/>
      <c r="C88" s="33"/>
      <c r="D88" s="23"/>
      <c r="E88" s="23"/>
      <c r="F88" s="34"/>
      <c r="G88" s="34"/>
      <c r="H88" s="25" t="s">
        <v>148</v>
      </c>
    </row>
    <row r="89" spans="1:8" x14ac:dyDescent="0.2">
      <c r="A89" s="23"/>
      <c r="B89" s="23"/>
      <c r="C89" s="24" t="s">
        <v>156</v>
      </c>
      <c r="D89" s="23"/>
      <c r="E89" s="23"/>
      <c r="F89" s="34"/>
      <c r="G89" s="34"/>
      <c r="H89" s="25" t="s">
        <v>148</v>
      </c>
    </row>
    <row r="90" spans="1:8" x14ac:dyDescent="0.2">
      <c r="A90" s="23"/>
      <c r="B90" s="23"/>
      <c r="C90" s="24" t="s">
        <v>10</v>
      </c>
      <c r="D90" s="23"/>
      <c r="E90" s="23"/>
      <c r="F90" s="34"/>
      <c r="G90" s="34"/>
      <c r="H90" s="25" t="s">
        <v>148</v>
      </c>
    </row>
    <row r="91" spans="1:8" x14ac:dyDescent="0.2">
      <c r="A91" s="23"/>
      <c r="B91" s="23"/>
      <c r="C91" s="24" t="s">
        <v>147</v>
      </c>
      <c r="D91" s="23"/>
      <c r="E91" s="23" t="s">
        <v>148</v>
      </c>
      <c r="F91" s="35" t="s">
        <v>150</v>
      </c>
      <c r="G91" s="32">
        <v>0</v>
      </c>
      <c r="H91" s="25" t="s">
        <v>148</v>
      </c>
    </row>
    <row r="92" spans="1:8" x14ac:dyDescent="0.2">
      <c r="A92" s="23"/>
      <c r="B92" s="23"/>
      <c r="C92" s="33"/>
      <c r="D92" s="23"/>
      <c r="E92" s="23"/>
      <c r="F92" s="34"/>
      <c r="G92" s="34"/>
      <c r="H92" s="25" t="s">
        <v>148</v>
      </c>
    </row>
    <row r="93" spans="1:8" x14ac:dyDescent="0.2">
      <c r="A93" s="23"/>
      <c r="B93" s="23"/>
      <c r="C93" s="24" t="s">
        <v>157</v>
      </c>
      <c r="D93" s="23"/>
      <c r="E93" s="23"/>
      <c r="F93" s="23"/>
      <c r="G93" s="23"/>
      <c r="H93" s="25" t="s">
        <v>148</v>
      </c>
    </row>
    <row r="94" spans="1:8" x14ac:dyDescent="0.2">
      <c r="A94" s="23"/>
      <c r="B94" s="23"/>
      <c r="C94" s="24" t="s">
        <v>147</v>
      </c>
      <c r="D94" s="23"/>
      <c r="E94" s="23" t="s">
        <v>148</v>
      </c>
      <c r="F94" s="35" t="s">
        <v>150</v>
      </c>
      <c r="G94" s="32">
        <v>0</v>
      </c>
      <c r="H94" s="25" t="s">
        <v>148</v>
      </c>
    </row>
    <row r="95" spans="1:8" x14ac:dyDescent="0.2">
      <c r="A95" s="23"/>
      <c r="B95" s="23"/>
      <c r="C95" s="33"/>
      <c r="D95" s="23"/>
      <c r="E95" s="23"/>
      <c r="F95" s="34"/>
      <c r="G95" s="34"/>
      <c r="H95" s="25" t="s">
        <v>148</v>
      </c>
    </row>
    <row r="96" spans="1:8" x14ac:dyDescent="0.2">
      <c r="A96" s="23"/>
      <c r="B96" s="23"/>
      <c r="C96" s="24" t="s">
        <v>158</v>
      </c>
      <c r="D96" s="23"/>
      <c r="E96" s="23"/>
      <c r="F96" s="23"/>
      <c r="G96" s="23"/>
      <c r="H96" s="25" t="s">
        <v>148</v>
      </c>
    </row>
    <row r="97" spans="1:8" x14ac:dyDescent="0.2">
      <c r="A97" s="23"/>
      <c r="B97" s="23"/>
      <c r="C97" s="24" t="s">
        <v>147</v>
      </c>
      <c r="D97" s="23"/>
      <c r="E97" s="23" t="s">
        <v>148</v>
      </c>
      <c r="F97" s="35" t="s">
        <v>150</v>
      </c>
      <c r="G97" s="32">
        <v>0</v>
      </c>
      <c r="H97" s="25" t="s">
        <v>148</v>
      </c>
    </row>
    <row r="98" spans="1:8" x14ac:dyDescent="0.2">
      <c r="A98" s="23"/>
      <c r="B98" s="23"/>
      <c r="C98" s="33"/>
      <c r="D98" s="23"/>
      <c r="E98" s="23"/>
      <c r="F98" s="34"/>
      <c r="G98" s="34"/>
      <c r="H98" s="25" t="s">
        <v>148</v>
      </c>
    </row>
    <row r="99" spans="1:8" x14ac:dyDescent="0.2">
      <c r="A99" s="23"/>
      <c r="B99" s="23"/>
      <c r="C99" s="24" t="s">
        <v>159</v>
      </c>
      <c r="D99" s="23"/>
      <c r="E99" s="23"/>
      <c r="F99" s="34"/>
      <c r="G99" s="34"/>
      <c r="H99" s="25" t="s">
        <v>148</v>
      </c>
    </row>
    <row r="100" spans="1:8" x14ac:dyDescent="0.2">
      <c r="A100" s="23"/>
      <c r="B100" s="23"/>
      <c r="C100" s="24" t="s">
        <v>147</v>
      </c>
      <c r="D100" s="23"/>
      <c r="E100" s="23" t="s">
        <v>148</v>
      </c>
      <c r="F100" s="35" t="s">
        <v>150</v>
      </c>
      <c r="G100" s="32">
        <v>0</v>
      </c>
      <c r="H100" s="25" t="s">
        <v>148</v>
      </c>
    </row>
    <row r="101" spans="1:8" x14ac:dyDescent="0.2">
      <c r="A101" s="23"/>
      <c r="B101" s="23"/>
      <c r="C101" s="33"/>
      <c r="D101" s="23"/>
      <c r="E101" s="23"/>
      <c r="F101" s="34"/>
      <c r="G101" s="34"/>
      <c r="H101" s="25" t="s">
        <v>148</v>
      </c>
    </row>
    <row r="102" spans="1:8" x14ac:dyDescent="0.2">
      <c r="A102" s="23"/>
      <c r="B102" s="23"/>
      <c r="C102" s="24" t="s">
        <v>160</v>
      </c>
      <c r="D102" s="23"/>
      <c r="E102" s="23"/>
      <c r="F102" s="31">
        <v>0</v>
      </c>
      <c r="G102" s="32">
        <v>0</v>
      </c>
      <c r="H102" s="25" t="s">
        <v>148</v>
      </c>
    </row>
    <row r="103" spans="1:8" x14ac:dyDescent="0.2">
      <c r="A103" s="23"/>
      <c r="B103" s="23"/>
      <c r="C103" s="33"/>
      <c r="D103" s="23"/>
      <c r="E103" s="23"/>
      <c r="F103" s="34"/>
      <c r="G103" s="34"/>
      <c r="H103" s="25" t="s">
        <v>148</v>
      </c>
    </row>
    <row r="104" spans="1:8" x14ac:dyDescent="0.2">
      <c r="A104" s="23"/>
      <c r="B104" s="23"/>
      <c r="C104" s="24" t="s">
        <v>161</v>
      </c>
      <c r="D104" s="23"/>
      <c r="E104" s="23"/>
      <c r="F104" s="34"/>
      <c r="G104" s="34"/>
      <c r="H104" s="25" t="s">
        <v>148</v>
      </c>
    </row>
    <row r="105" spans="1:8" x14ac:dyDescent="0.2">
      <c r="A105" s="23"/>
      <c r="B105" s="23"/>
      <c r="C105" s="24" t="s">
        <v>162</v>
      </c>
      <c r="D105" s="23"/>
      <c r="E105" s="23"/>
      <c r="F105" s="34"/>
      <c r="G105" s="34"/>
      <c r="H105" s="25" t="s">
        <v>148</v>
      </c>
    </row>
    <row r="106" spans="1:8" x14ac:dyDescent="0.2">
      <c r="A106" s="23"/>
      <c r="B106" s="23"/>
      <c r="C106" s="24" t="s">
        <v>147</v>
      </c>
      <c r="D106" s="23"/>
      <c r="E106" s="23" t="s">
        <v>148</v>
      </c>
      <c r="F106" s="35" t="s">
        <v>150</v>
      </c>
      <c r="G106" s="32">
        <v>0</v>
      </c>
      <c r="H106" s="25" t="s">
        <v>148</v>
      </c>
    </row>
    <row r="107" spans="1:8" x14ac:dyDescent="0.2">
      <c r="A107" s="23"/>
      <c r="B107" s="23"/>
      <c r="C107" s="33"/>
      <c r="D107" s="23"/>
      <c r="E107" s="23"/>
      <c r="F107" s="34"/>
      <c r="G107" s="34"/>
      <c r="H107" s="25" t="s">
        <v>148</v>
      </c>
    </row>
    <row r="108" spans="1:8" x14ac:dyDescent="0.2">
      <c r="A108" s="23"/>
      <c r="B108" s="23"/>
      <c r="C108" s="24" t="s">
        <v>163</v>
      </c>
      <c r="D108" s="23"/>
      <c r="E108" s="23"/>
      <c r="F108" s="34"/>
      <c r="G108" s="34"/>
      <c r="H108" s="25" t="s">
        <v>148</v>
      </c>
    </row>
    <row r="109" spans="1:8" x14ac:dyDescent="0.2">
      <c r="A109" s="23"/>
      <c r="B109" s="23"/>
      <c r="C109" s="24" t="s">
        <v>147</v>
      </c>
      <c r="D109" s="23"/>
      <c r="E109" s="23" t="s">
        <v>148</v>
      </c>
      <c r="F109" s="35" t="s">
        <v>150</v>
      </c>
      <c r="G109" s="32">
        <v>0</v>
      </c>
      <c r="H109" s="25" t="s">
        <v>148</v>
      </c>
    </row>
    <row r="110" spans="1:8" x14ac:dyDescent="0.2">
      <c r="A110" s="23"/>
      <c r="B110" s="23"/>
      <c r="C110" s="33"/>
      <c r="D110" s="23"/>
      <c r="E110" s="23"/>
      <c r="F110" s="34"/>
      <c r="G110" s="34"/>
      <c r="H110" s="25" t="s">
        <v>148</v>
      </c>
    </row>
    <row r="111" spans="1:8" x14ac:dyDescent="0.2">
      <c r="A111" s="23"/>
      <c r="B111" s="23"/>
      <c r="C111" s="24" t="s">
        <v>164</v>
      </c>
      <c r="D111" s="23"/>
      <c r="E111" s="23"/>
      <c r="F111" s="34"/>
      <c r="G111" s="34"/>
      <c r="H111" s="25" t="s">
        <v>148</v>
      </c>
    </row>
    <row r="112" spans="1:8" x14ac:dyDescent="0.2">
      <c r="A112" s="23"/>
      <c r="B112" s="23"/>
      <c r="C112" s="24" t="s">
        <v>147</v>
      </c>
      <c r="D112" s="23"/>
      <c r="E112" s="23" t="s">
        <v>148</v>
      </c>
      <c r="F112" s="35" t="s">
        <v>150</v>
      </c>
      <c r="G112" s="32">
        <v>0</v>
      </c>
      <c r="H112" s="25" t="s">
        <v>148</v>
      </c>
    </row>
    <row r="113" spans="1:8" x14ac:dyDescent="0.2">
      <c r="A113" s="23"/>
      <c r="B113" s="23"/>
      <c r="C113" s="33"/>
      <c r="D113" s="23"/>
      <c r="E113" s="23"/>
      <c r="F113" s="34"/>
      <c r="G113" s="34"/>
      <c r="H113" s="25" t="s">
        <v>148</v>
      </c>
    </row>
    <row r="114" spans="1:8" x14ac:dyDescent="0.2">
      <c r="A114" s="23"/>
      <c r="B114" s="23"/>
      <c r="C114" s="24" t="s">
        <v>165</v>
      </c>
      <c r="D114" s="23"/>
      <c r="E114" s="23"/>
      <c r="F114" s="34"/>
      <c r="G114" s="34"/>
      <c r="H114" s="25" t="s">
        <v>148</v>
      </c>
    </row>
    <row r="115" spans="1:8" x14ac:dyDescent="0.2">
      <c r="A115" s="26">
        <v>1</v>
      </c>
      <c r="B115" s="27"/>
      <c r="C115" s="27" t="s">
        <v>166</v>
      </c>
      <c r="D115" s="27"/>
      <c r="E115" s="36"/>
      <c r="F115" s="29">
        <v>4896.8091299910002</v>
      </c>
      <c r="G115" s="30">
        <v>6.0717159999999999E-2</v>
      </c>
      <c r="H115" s="25">
        <v>6.23</v>
      </c>
    </row>
    <row r="116" spans="1:8" x14ac:dyDescent="0.2">
      <c r="A116" s="23"/>
      <c r="B116" s="23"/>
      <c r="C116" s="24" t="s">
        <v>147</v>
      </c>
      <c r="D116" s="23"/>
      <c r="E116" s="23" t="s">
        <v>148</v>
      </c>
      <c r="F116" s="31">
        <v>4896.8091299910002</v>
      </c>
      <c r="G116" s="32">
        <v>6.0717159999999999E-2</v>
      </c>
      <c r="H116" s="25" t="s">
        <v>148</v>
      </c>
    </row>
    <row r="117" spans="1:8" x14ac:dyDescent="0.2">
      <c r="A117" s="23"/>
      <c r="B117" s="23"/>
      <c r="C117" s="33"/>
      <c r="D117" s="23"/>
      <c r="E117" s="23"/>
      <c r="F117" s="34"/>
      <c r="G117" s="34"/>
      <c r="H117" s="25" t="s">
        <v>148</v>
      </c>
    </row>
    <row r="118" spans="1:8" x14ac:dyDescent="0.2">
      <c r="A118" s="23"/>
      <c r="B118" s="23"/>
      <c r="C118" s="24" t="s">
        <v>167</v>
      </c>
      <c r="D118" s="23"/>
      <c r="E118" s="23"/>
      <c r="F118" s="31">
        <v>4896.8091299910002</v>
      </c>
      <c r="G118" s="32">
        <v>6.0717159999999999E-2</v>
      </c>
      <c r="H118" s="25" t="s">
        <v>148</v>
      </c>
    </row>
    <row r="119" spans="1:8" x14ac:dyDescent="0.2">
      <c r="A119" s="23"/>
      <c r="B119" s="23"/>
      <c r="C119" s="34"/>
      <c r="D119" s="23"/>
      <c r="E119" s="23"/>
      <c r="F119" s="23"/>
      <c r="G119" s="23"/>
      <c r="H119" s="25" t="s">
        <v>148</v>
      </c>
    </row>
    <row r="120" spans="1:8" x14ac:dyDescent="0.2">
      <c r="A120" s="23"/>
      <c r="B120" s="23"/>
      <c r="C120" s="24" t="s">
        <v>168</v>
      </c>
      <c r="D120" s="23"/>
      <c r="E120" s="23"/>
      <c r="F120" s="23"/>
      <c r="G120" s="23"/>
      <c r="H120" s="25" t="s">
        <v>148</v>
      </c>
    </row>
    <row r="121" spans="1:8" x14ac:dyDescent="0.2">
      <c r="A121" s="23"/>
      <c r="B121" s="23"/>
      <c r="C121" s="24" t="s">
        <v>169</v>
      </c>
      <c r="D121" s="23"/>
      <c r="E121" s="23"/>
      <c r="F121" s="23"/>
      <c r="G121" s="23"/>
      <c r="H121" s="25" t="s">
        <v>148</v>
      </c>
    </row>
    <row r="122" spans="1:8" x14ac:dyDescent="0.2">
      <c r="A122" s="23"/>
      <c r="B122" s="23"/>
      <c r="C122" s="24" t="s">
        <v>147</v>
      </c>
      <c r="D122" s="23"/>
      <c r="E122" s="23" t="s">
        <v>148</v>
      </c>
      <c r="F122" s="35" t="s">
        <v>150</v>
      </c>
      <c r="G122" s="32">
        <v>0</v>
      </c>
      <c r="H122" s="25" t="s">
        <v>148</v>
      </c>
    </row>
    <row r="123" spans="1:8" x14ac:dyDescent="0.2">
      <c r="A123" s="23"/>
      <c r="B123" s="23"/>
      <c r="C123" s="33"/>
      <c r="D123" s="23"/>
      <c r="E123" s="23"/>
      <c r="F123" s="34"/>
      <c r="G123" s="34"/>
      <c r="H123" s="25" t="s">
        <v>148</v>
      </c>
    </row>
    <row r="124" spans="1:8" x14ac:dyDescent="0.2">
      <c r="A124" s="23"/>
      <c r="B124" s="23"/>
      <c r="C124" s="24" t="s">
        <v>172</v>
      </c>
      <c r="D124" s="23"/>
      <c r="E124" s="23"/>
      <c r="F124" s="23"/>
      <c r="G124" s="23"/>
      <c r="H124" s="25" t="s">
        <v>148</v>
      </c>
    </row>
    <row r="125" spans="1:8" x14ac:dyDescent="0.2">
      <c r="A125" s="23"/>
      <c r="B125" s="23"/>
      <c r="C125" s="24" t="s">
        <v>173</v>
      </c>
      <c r="D125" s="23"/>
      <c r="E125" s="23"/>
      <c r="F125" s="23"/>
      <c r="G125" s="23"/>
      <c r="H125" s="25" t="s">
        <v>148</v>
      </c>
    </row>
    <row r="126" spans="1:8" x14ac:dyDescent="0.2">
      <c r="A126" s="23"/>
      <c r="B126" s="23"/>
      <c r="C126" s="24" t="s">
        <v>147</v>
      </c>
      <c r="D126" s="23"/>
      <c r="E126" s="23" t="s">
        <v>148</v>
      </c>
      <c r="F126" s="35" t="s">
        <v>150</v>
      </c>
      <c r="G126" s="32">
        <v>0</v>
      </c>
      <c r="H126" s="25" t="s">
        <v>148</v>
      </c>
    </row>
    <row r="127" spans="1:8" x14ac:dyDescent="0.2">
      <c r="A127" s="23"/>
      <c r="B127" s="23"/>
      <c r="C127" s="33"/>
      <c r="D127" s="23"/>
      <c r="E127" s="23"/>
      <c r="F127" s="34"/>
      <c r="G127" s="34"/>
      <c r="H127" s="25" t="s">
        <v>148</v>
      </c>
    </row>
    <row r="128" spans="1:8" x14ac:dyDescent="0.2">
      <c r="A128" s="23"/>
      <c r="B128" s="23"/>
      <c r="C128" s="24" t="s">
        <v>174</v>
      </c>
      <c r="D128" s="23"/>
      <c r="E128" s="23"/>
      <c r="F128" s="34"/>
      <c r="G128" s="34"/>
      <c r="H128" s="25" t="s">
        <v>148</v>
      </c>
    </row>
    <row r="129" spans="1:17" x14ac:dyDescent="0.2">
      <c r="A129" s="23"/>
      <c r="B129" s="23"/>
      <c r="C129" s="24" t="s">
        <v>147</v>
      </c>
      <c r="D129" s="23"/>
      <c r="E129" s="23" t="s">
        <v>148</v>
      </c>
      <c r="F129" s="35" t="s">
        <v>150</v>
      </c>
      <c r="G129" s="32">
        <v>0</v>
      </c>
      <c r="H129" s="25" t="s">
        <v>148</v>
      </c>
    </row>
    <row r="130" spans="1:17" x14ac:dyDescent="0.2">
      <c r="A130" s="23"/>
      <c r="B130" s="23"/>
      <c r="C130" s="33"/>
      <c r="D130" s="23"/>
      <c r="E130" s="23"/>
      <c r="F130" s="34"/>
      <c r="G130" s="34"/>
      <c r="H130" s="25" t="s">
        <v>148</v>
      </c>
    </row>
    <row r="131" spans="1:17" x14ac:dyDescent="0.2">
      <c r="A131" s="36"/>
      <c r="B131" s="27"/>
      <c r="C131" s="38" t="s">
        <v>175</v>
      </c>
      <c r="D131" s="27"/>
      <c r="E131" s="36"/>
      <c r="F131" s="29">
        <v>602.03928057999997</v>
      </c>
      <c r="G131" s="30">
        <f>F131/F132</f>
        <v>7.4648844918898559E-3</v>
      </c>
      <c r="H131" s="25" t="s">
        <v>148</v>
      </c>
    </row>
    <row r="132" spans="1:17" x14ac:dyDescent="0.2">
      <c r="A132" s="33"/>
      <c r="B132" s="33"/>
      <c r="C132" s="24" t="s">
        <v>176</v>
      </c>
      <c r="D132" s="34"/>
      <c r="E132" s="34"/>
      <c r="F132" s="31">
        <f>F131+F118+F102+F87</f>
        <v>80649.510549571016</v>
      </c>
      <c r="G132" s="39">
        <f>G131+G118+G102+G87</f>
        <v>1.0000000286757997</v>
      </c>
      <c r="H132" s="25" t="s">
        <v>148</v>
      </c>
    </row>
    <row r="133" spans="1:17" x14ac:dyDescent="0.2">
      <c r="A133" s="40"/>
      <c r="B133" s="40"/>
      <c r="C133" s="40"/>
      <c r="D133" s="41"/>
      <c r="E133" s="41"/>
      <c r="F133" s="41"/>
      <c r="G133" s="41"/>
    </row>
    <row r="134" spans="1:17" x14ac:dyDescent="0.2">
      <c r="A134" s="42"/>
      <c r="B134" s="237" t="s">
        <v>891</v>
      </c>
      <c r="C134" s="237"/>
      <c r="D134" s="237"/>
      <c r="E134" s="237"/>
      <c r="F134" s="237"/>
      <c r="G134" s="237"/>
      <c r="H134" s="237"/>
      <c r="J134" s="44"/>
    </row>
    <row r="135" spans="1:17" x14ac:dyDescent="0.2">
      <c r="A135" s="42"/>
      <c r="B135" s="237" t="s">
        <v>892</v>
      </c>
      <c r="C135" s="237"/>
      <c r="D135" s="237"/>
      <c r="E135" s="237"/>
      <c r="F135" s="237"/>
      <c r="G135" s="237"/>
      <c r="H135" s="237"/>
      <c r="J135" s="44"/>
    </row>
    <row r="136" spans="1:17" x14ac:dyDescent="0.2">
      <c r="A136" s="42"/>
      <c r="B136" s="237" t="s">
        <v>893</v>
      </c>
      <c r="C136" s="237"/>
      <c r="D136" s="237"/>
      <c r="E136" s="237"/>
      <c r="F136" s="237"/>
      <c r="G136" s="237"/>
      <c r="H136" s="237"/>
      <c r="J136" s="44"/>
    </row>
    <row r="137" spans="1:17" s="46" customFormat="1" ht="66.75" customHeight="1" x14ac:dyDescent="0.25">
      <c r="A137" s="45"/>
      <c r="B137" s="239" t="s">
        <v>894</v>
      </c>
      <c r="C137" s="239"/>
      <c r="D137" s="239"/>
      <c r="E137" s="239"/>
      <c r="F137" s="239"/>
      <c r="G137" s="239"/>
      <c r="H137" s="239"/>
      <c r="I137"/>
      <c r="J137" s="44"/>
      <c r="K137"/>
      <c r="L137"/>
      <c r="M137"/>
      <c r="N137"/>
      <c r="O137"/>
      <c r="P137"/>
      <c r="Q137"/>
    </row>
    <row r="138" spans="1:17" x14ac:dyDescent="0.2">
      <c r="A138" s="42"/>
      <c r="B138" s="237" t="s">
        <v>895</v>
      </c>
      <c r="C138" s="237"/>
      <c r="D138" s="237"/>
      <c r="E138" s="237"/>
      <c r="F138" s="237"/>
      <c r="G138" s="237"/>
      <c r="H138" s="237"/>
      <c r="J138" s="44"/>
    </row>
    <row r="139" spans="1:17" x14ac:dyDescent="0.2">
      <c r="A139" s="47"/>
      <c r="B139" s="47"/>
      <c r="C139" s="47"/>
      <c r="D139" s="48"/>
      <c r="E139" s="48"/>
      <c r="F139" s="48"/>
      <c r="G139" s="48"/>
    </row>
    <row r="140" spans="1:17" x14ac:dyDescent="0.2">
      <c r="A140" s="47"/>
      <c r="B140" s="234" t="s">
        <v>177</v>
      </c>
      <c r="C140" s="235"/>
      <c r="D140" s="236"/>
      <c r="E140" s="49"/>
      <c r="F140" s="48"/>
      <c r="G140" s="48"/>
    </row>
    <row r="141" spans="1:17" x14ac:dyDescent="0.2">
      <c r="A141" s="47"/>
      <c r="B141" s="232" t="s">
        <v>178</v>
      </c>
      <c r="C141" s="233"/>
      <c r="D141" s="58" t="s">
        <v>928</v>
      </c>
      <c r="E141" s="49"/>
      <c r="F141" s="48"/>
      <c r="G141" s="48"/>
    </row>
    <row r="142" spans="1:17" ht="12.75" customHeight="1" x14ac:dyDescent="0.2">
      <c r="A142" s="47"/>
      <c r="B142" s="240" t="s">
        <v>897</v>
      </c>
      <c r="C142" s="241"/>
      <c r="D142" s="58" t="str">
        <f>"Rs. "&amp;TEXT(F76+F79,"0.00")&amp;" lacs/ #"</f>
        <v>Rs. 0.00 lacs/ #</v>
      </c>
      <c r="E142" s="49"/>
      <c r="F142" s="48"/>
      <c r="G142" s="48"/>
    </row>
    <row r="143" spans="1:17" x14ac:dyDescent="0.2">
      <c r="A143" s="47"/>
      <c r="B143" s="232" t="s">
        <v>181</v>
      </c>
      <c r="C143" s="233"/>
      <c r="D143" s="34" t="s">
        <v>148</v>
      </c>
      <c r="E143" s="49"/>
      <c r="F143" s="48"/>
      <c r="G143" s="48"/>
    </row>
    <row r="144" spans="1:17" x14ac:dyDescent="0.2">
      <c r="A144" s="50"/>
      <c r="B144" s="51" t="s">
        <v>148</v>
      </c>
      <c r="C144" s="51" t="s">
        <v>896</v>
      </c>
      <c r="D144" s="51" t="s">
        <v>182</v>
      </c>
      <c r="E144" s="50"/>
      <c r="F144" s="50"/>
      <c r="G144" s="50"/>
      <c r="H144" s="50"/>
      <c r="J144" s="44"/>
    </row>
    <row r="145" spans="1:14" x14ac:dyDescent="0.2">
      <c r="A145" s="50"/>
      <c r="B145" s="52" t="s">
        <v>183</v>
      </c>
      <c r="C145" s="53">
        <v>45688</v>
      </c>
      <c r="D145" s="53">
        <v>45716</v>
      </c>
      <c r="E145" s="50"/>
      <c r="F145" s="50"/>
      <c r="G145" s="50"/>
      <c r="J145" s="44"/>
    </row>
    <row r="146" spans="1:14" x14ac:dyDescent="0.2">
      <c r="A146" s="54"/>
      <c r="B146" s="27" t="s">
        <v>184</v>
      </c>
      <c r="C146" s="55">
        <v>141.52869999999999</v>
      </c>
      <c r="D146" s="55">
        <v>129.58709999999999</v>
      </c>
      <c r="E146" s="54"/>
      <c r="F146" s="56"/>
      <c r="G146" s="57"/>
    </row>
    <row r="147" spans="1:14" ht="25.5" x14ac:dyDescent="0.2">
      <c r="A147" s="54"/>
      <c r="B147" s="27" t="s">
        <v>1072</v>
      </c>
      <c r="C147" s="55">
        <v>65.407399999999996</v>
      </c>
      <c r="D147" s="55">
        <v>59.888599999999997</v>
      </c>
      <c r="E147" s="54"/>
      <c r="F147" s="56"/>
      <c r="G147" s="57"/>
    </row>
    <row r="148" spans="1:14" x14ac:dyDescent="0.2">
      <c r="A148" s="54"/>
      <c r="B148" s="27" t="s">
        <v>186</v>
      </c>
      <c r="C148" s="55">
        <v>130.3991</v>
      </c>
      <c r="D148" s="55">
        <v>119.294</v>
      </c>
      <c r="E148" s="54"/>
      <c r="F148" s="56"/>
      <c r="G148" s="57"/>
    </row>
    <row r="149" spans="1:14" ht="25.5" x14ac:dyDescent="0.2">
      <c r="A149" s="54"/>
      <c r="B149" s="27" t="s">
        <v>1073</v>
      </c>
      <c r="C149" s="55">
        <v>39.287799999999997</v>
      </c>
      <c r="D149" s="55">
        <v>35.942</v>
      </c>
      <c r="E149" s="54"/>
      <c r="F149" s="56"/>
      <c r="G149" s="57"/>
    </row>
    <row r="150" spans="1:14" x14ac:dyDescent="0.2">
      <c r="A150" s="54"/>
      <c r="B150" s="54"/>
      <c r="C150" s="54"/>
      <c r="D150" s="54"/>
      <c r="E150" s="54"/>
      <c r="F150" s="54"/>
      <c r="G150" s="54"/>
    </row>
    <row r="151" spans="1:14" x14ac:dyDescent="0.2">
      <c r="A151" s="50"/>
      <c r="B151" s="240" t="s">
        <v>898</v>
      </c>
      <c r="C151" s="241"/>
      <c r="D151" s="58" t="s">
        <v>179</v>
      </c>
      <c r="E151" s="50"/>
      <c r="F151" s="50"/>
      <c r="G151" s="50"/>
    </row>
    <row r="152" spans="1:14" x14ac:dyDescent="0.2">
      <c r="A152" s="50"/>
      <c r="B152" s="59"/>
      <c r="C152" s="59"/>
      <c r="D152" s="59"/>
      <c r="E152" s="50"/>
      <c r="F152" s="50"/>
      <c r="G152" s="50"/>
    </row>
    <row r="153" spans="1:14" x14ac:dyDescent="0.2">
      <c r="A153" s="50"/>
      <c r="B153" s="240" t="s">
        <v>188</v>
      </c>
      <c r="C153" s="241"/>
      <c r="D153" s="58" t="s">
        <v>179</v>
      </c>
      <c r="E153" s="60"/>
      <c r="F153" s="50"/>
      <c r="G153" s="50"/>
    </row>
    <row r="154" spans="1:14" x14ac:dyDescent="0.2">
      <c r="A154" s="50"/>
      <c r="B154" s="240" t="s">
        <v>189</v>
      </c>
      <c r="C154" s="241"/>
      <c r="D154" s="58" t="s">
        <v>179</v>
      </c>
      <c r="E154" s="60"/>
      <c r="F154" s="50"/>
      <c r="G154" s="50"/>
    </row>
    <row r="155" spans="1:14" ht="17.100000000000001" customHeight="1" x14ac:dyDescent="0.2">
      <c r="A155" s="50"/>
      <c r="B155" s="240" t="s">
        <v>190</v>
      </c>
      <c r="C155" s="241"/>
      <c r="D155" s="58" t="s">
        <v>179</v>
      </c>
      <c r="E155" s="60"/>
      <c r="F155" s="50"/>
      <c r="G155" s="50"/>
    </row>
    <row r="156" spans="1:14" ht="17.100000000000001" customHeight="1" x14ac:dyDescent="0.2">
      <c r="A156" s="50"/>
      <c r="B156" s="240" t="s">
        <v>191</v>
      </c>
      <c r="C156" s="241"/>
      <c r="D156" s="61">
        <v>0.56158698668615747</v>
      </c>
      <c r="E156" s="50"/>
      <c r="F156" s="43"/>
      <c r="G156" s="62"/>
    </row>
    <row r="158" spans="1:14" s="91" customFormat="1" x14ac:dyDescent="0.2">
      <c r="B158" s="92" t="s">
        <v>1066</v>
      </c>
      <c r="C158" s="92"/>
      <c r="D158" s="92"/>
      <c r="E158" s="8"/>
      <c r="F158" s="9"/>
      <c r="I158"/>
      <c r="J158"/>
      <c r="K158"/>
      <c r="L158"/>
      <c r="M158"/>
      <c r="N158"/>
    </row>
    <row r="159" spans="1:14" s="91" customFormat="1" ht="63.75" x14ac:dyDescent="0.2">
      <c r="B159" s="93" t="s">
        <v>929</v>
      </c>
      <c r="C159" s="94" t="s">
        <v>930</v>
      </c>
      <c r="D159" s="94" t="s">
        <v>931</v>
      </c>
      <c r="E159" s="94" t="s">
        <v>932</v>
      </c>
      <c r="F159" s="94" t="s">
        <v>933</v>
      </c>
      <c r="I159"/>
      <c r="J159"/>
      <c r="K159"/>
      <c r="L159"/>
      <c r="M159"/>
      <c r="N159"/>
    </row>
    <row r="160" spans="1:14" s="91" customFormat="1" x14ac:dyDescent="0.2">
      <c r="B160" s="95" t="s">
        <v>1012</v>
      </c>
      <c r="C160" s="96" t="s">
        <v>1013</v>
      </c>
      <c r="D160" s="10">
        <v>0</v>
      </c>
      <c r="E160" s="11">
        <v>0</v>
      </c>
      <c r="F160" s="97">
        <v>241.97234</v>
      </c>
      <c r="I160"/>
      <c r="J160"/>
      <c r="K160"/>
      <c r="L160"/>
      <c r="M160"/>
      <c r="N160"/>
    </row>
    <row r="161" spans="2:19" s="91" customFormat="1" ht="25.5" x14ac:dyDescent="0.2">
      <c r="B161" s="95" t="s">
        <v>1014</v>
      </c>
      <c r="C161" s="96" t="s">
        <v>1013</v>
      </c>
      <c r="D161" s="10">
        <v>0</v>
      </c>
      <c r="E161" s="11">
        <v>0</v>
      </c>
      <c r="F161" s="97">
        <v>23.186299999999999</v>
      </c>
      <c r="I161"/>
      <c r="J161"/>
      <c r="K161"/>
      <c r="L161"/>
      <c r="M161"/>
      <c r="N161"/>
      <c r="O161"/>
      <c r="P161"/>
      <c r="Q161"/>
      <c r="R161"/>
      <c r="S161"/>
    </row>
    <row r="163" spans="2:19" x14ac:dyDescent="0.2">
      <c r="B163" s="238" t="s">
        <v>899</v>
      </c>
      <c r="C163" s="238"/>
    </row>
    <row r="165" spans="2:19" ht="153.75" customHeight="1" x14ac:dyDescent="0.2"/>
    <row r="168" spans="2:19" x14ac:dyDescent="0.2">
      <c r="B168" s="68" t="s">
        <v>900</v>
      </c>
      <c r="C168" s="69"/>
      <c r="D168" s="68" t="s">
        <v>903</v>
      </c>
    </row>
    <row r="169" spans="2:19" x14ac:dyDescent="0.2">
      <c r="B169" s="68" t="s">
        <v>1015</v>
      </c>
      <c r="D169" s="68" t="s">
        <v>1081</v>
      </c>
    </row>
    <row r="170" spans="2:19" ht="165" customHeight="1" x14ac:dyDescent="0.2"/>
    <row r="172" spans="2:19" x14ac:dyDescent="0.2">
      <c r="J172" s="22"/>
    </row>
  </sheetData>
  <mergeCells count="18">
    <mergeCell ref="B163:C163"/>
    <mergeCell ref="B136:H136"/>
    <mergeCell ref="B137:H137"/>
    <mergeCell ref="B138:H138"/>
    <mergeCell ref="B153:C153"/>
    <mergeCell ref="B154:C154"/>
    <mergeCell ref="B151:C151"/>
    <mergeCell ref="B155:C155"/>
    <mergeCell ref="B156:C156"/>
    <mergeCell ref="A3:H3"/>
    <mergeCell ref="A2:H2"/>
    <mergeCell ref="A1:H1"/>
    <mergeCell ref="B142:C142"/>
    <mergeCell ref="B143:C143"/>
    <mergeCell ref="B140:D140"/>
    <mergeCell ref="B141:C141"/>
    <mergeCell ref="B134:H134"/>
    <mergeCell ref="B135:H135"/>
  </mergeCells>
  <hyperlinks>
    <hyperlink ref="I1" location="Index!B2" display="Index" xr:uid="{15DCFE98-B544-4D6C-A7A7-CBA47AC5CF8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18A3-AF56-425E-9098-36890EB6873C}">
  <sheetPr>
    <outlinePr summaryBelow="0" summaryRight="0"/>
  </sheetPr>
  <dimension ref="A1:Q247"/>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2.5703125" bestFit="1"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692</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21" t="s">
        <v>927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14</v>
      </c>
      <c r="C7" s="27" t="s">
        <v>15</v>
      </c>
      <c r="D7" s="27" t="s">
        <v>16</v>
      </c>
      <c r="E7" s="28">
        <v>681500</v>
      </c>
      <c r="F7" s="29">
        <v>8178.6814999999997</v>
      </c>
      <c r="G7" s="30">
        <v>7.9178799999999994E-2</v>
      </c>
      <c r="H7" s="25" t="s">
        <v>148</v>
      </c>
    </row>
    <row r="8" spans="1:9" x14ac:dyDescent="0.2">
      <c r="A8" s="26">
        <v>2</v>
      </c>
      <c r="B8" s="27" t="s">
        <v>334</v>
      </c>
      <c r="C8" s="27" t="s">
        <v>335</v>
      </c>
      <c r="D8" s="27" t="s">
        <v>205</v>
      </c>
      <c r="E8" s="28">
        <v>350700</v>
      </c>
      <c r="F8" s="29">
        <v>5918.7638999999999</v>
      </c>
      <c r="G8" s="30">
        <v>5.7300259999999999E-2</v>
      </c>
      <c r="H8" s="25" t="s">
        <v>148</v>
      </c>
    </row>
    <row r="9" spans="1:9" x14ac:dyDescent="0.2">
      <c r="A9" s="26">
        <v>3</v>
      </c>
      <c r="B9" s="27" t="s">
        <v>11</v>
      </c>
      <c r="C9" s="27" t="s">
        <v>12</v>
      </c>
      <c r="D9" s="27" t="s">
        <v>13</v>
      </c>
      <c r="E9" s="28">
        <v>314625</v>
      </c>
      <c r="F9" s="29">
        <v>4940.2417500000001</v>
      </c>
      <c r="G9" s="30">
        <v>4.7827069999999999E-2</v>
      </c>
      <c r="H9" s="25" t="s">
        <v>148</v>
      </c>
    </row>
    <row r="10" spans="1:9" x14ac:dyDescent="0.2">
      <c r="A10" s="26">
        <v>4</v>
      </c>
      <c r="B10" s="27" t="s">
        <v>336</v>
      </c>
      <c r="C10" s="27" t="s">
        <v>337</v>
      </c>
      <c r="D10" s="27" t="s">
        <v>28</v>
      </c>
      <c r="E10" s="28">
        <v>380500</v>
      </c>
      <c r="F10" s="29">
        <v>3864.1677500000001</v>
      </c>
      <c r="G10" s="30">
        <v>3.740947E-2</v>
      </c>
      <c r="H10" s="25" t="s">
        <v>148</v>
      </c>
    </row>
    <row r="11" spans="1:9" x14ac:dyDescent="0.2">
      <c r="A11" s="26">
        <v>5</v>
      </c>
      <c r="B11" s="27" t="s">
        <v>26</v>
      </c>
      <c r="C11" s="27" t="s">
        <v>27</v>
      </c>
      <c r="D11" s="27" t="s">
        <v>28</v>
      </c>
      <c r="E11" s="28">
        <v>298800</v>
      </c>
      <c r="F11" s="29">
        <v>3597.8508000000002</v>
      </c>
      <c r="G11" s="30">
        <v>3.4831229999999998E-2</v>
      </c>
      <c r="H11" s="25" t="s">
        <v>148</v>
      </c>
    </row>
    <row r="12" spans="1:9" x14ac:dyDescent="0.2">
      <c r="A12" s="26">
        <v>6</v>
      </c>
      <c r="B12" s="27" t="s">
        <v>435</v>
      </c>
      <c r="C12" s="27" t="s">
        <v>436</v>
      </c>
      <c r="D12" s="27" t="s">
        <v>205</v>
      </c>
      <c r="E12" s="28">
        <v>191100</v>
      </c>
      <c r="F12" s="29">
        <v>3009.9205499999998</v>
      </c>
      <c r="G12" s="30">
        <v>2.9139399999999999E-2</v>
      </c>
      <c r="H12" s="25" t="s">
        <v>148</v>
      </c>
    </row>
    <row r="13" spans="1:9" x14ac:dyDescent="0.2">
      <c r="A13" s="26">
        <v>7</v>
      </c>
      <c r="B13" s="27" t="s">
        <v>524</v>
      </c>
      <c r="C13" s="27" t="s">
        <v>525</v>
      </c>
      <c r="D13" s="27" t="s">
        <v>275</v>
      </c>
      <c r="E13" s="28">
        <v>23300</v>
      </c>
      <c r="F13" s="29">
        <v>2783.3830499999999</v>
      </c>
      <c r="G13" s="30">
        <v>2.6946270000000001E-2</v>
      </c>
      <c r="H13" s="25" t="s">
        <v>148</v>
      </c>
    </row>
    <row r="14" spans="1:9" x14ac:dyDescent="0.2">
      <c r="A14" s="26">
        <v>8</v>
      </c>
      <c r="B14" s="27" t="s">
        <v>534</v>
      </c>
      <c r="C14" s="27" t="s">
        <v>535</v>
      </c>
      <c r="D14" s="27" t="s">
        <v>275</v>
      </c>
      <c r="E14" s="28">
        <v>104650</v>
      </c>
      <c r="F14" s="29">
        <v>2705.3071500000001</v>
      </c>
      <c r="G14" s="30">
        <v>2.6190399999999999E-2</v>
      </c>
      <c r="H14" s="25" t="s">
        <v>148</v>
      </c>
    </row>
    <row r="15" spans="1:9" x14ac:dyDescent="0.2">
      <c r="A15" s="26">
        <v>9</v>
      </c>
      <c r="B15" s="27" t="s">
        <v>332</v>
      </c>
      <c r="C15" s="27" t="s">
        <v>333</v>
      </c>
      <c r="D15" s="27" t="s">
        <v>28</v>
      </c>
      <c r="E15" s="28">
        <v>155000</v>
      </c>
      <c r="F15" s="29">
        <v>2685.22</v>
      </c>
      <c r="G15" s="30">
        <v>2.5995939999999999E-2</v>
      </c>
      <c r="H15" s="25" t="s">
        <v>148</v>
      </c>
    </row>
    <row r="16" spans="1:9" x14ac:dyDescent="0.2">
      <c r="A16" s="26">
        <v>10</v>
      </c>
      <c r="B16" s="27" t="s">
        <v>101</v>
      </c>
      <c r="C16" s="27" t="s">
        <v>102</v>
      </c>
      <c r="D16" s="27" t="s">
        <v>28</v>
      </c>
      <c r="E16" s="28">
        <v>117600</v>
      </c>
      <c r="F16" s="29">
        <v>2237.8692000000001</v>
      </c>
      <c r="G16" s="30">
        <v>2.166508E-2</v>
      </c>
      <c r="H16" s="25" t="s">
        <v>148</v>
      </c>
    </row>
    <row r="17" spans="1:8" x14ac:dyDescent="0.2">
      <c r="A17" s="26">
        <v>11</v>
      </c>
      <c r="B17" s="27" t="s">
        <v>17</v>
      </c>
      <c r="C17" s="27" t="s">
        <v>18</v>
      </c>
      <c r="D17" s="27" t="s">
        <v>19</v>
      </c>
      <c r="E17" s="28">
        <v>69840</v>
      </c>
      <c r="F17" s="29">
        <v>2209.6328400000002</v>
      </c>
      <c r="G17" s="30">
        <v>2.1391719999999999E-2</v>
      </c>
      <c r="H17" s="25" t="s">
        <v>148</v>
      </c>
    </row>
    <row r="18" spans="1:8" x14ac:dyDescent="0.2">
      <c r="A18" s="26">
        <v>12</v>
      </c>
      <c r="B18" s="27" t="s">
        <v>448</v>
      </c>
      <c r="C18" s="27" t="s">
        <v>449</v>
      </c>
      <c r="D18" s="27" t="s">
        <v>350</v>
      </c>
      <c r="E18" s="28">
        <v>88100</v>
      </c>
      <c r="F18" s="29">
        <v>1929.61025</v>
      </c>
      <c r="G18" s="30">
        <v>1.8680789999999999E-2</v>
      </c>
      <c r="H18" s="25" t="s">
        <v>148</v>
      </c>
    </row>
    <row r="19" spans="1:8" x14ac:dyDescent="0.2">
      <c r="A19" s="26">
        <v>13</v>
      </c>
      <c r="B19" s="27" t="s">
        <v>62</v>
      </c>
      <c r="C19" s="27" t="s">
        <v>63</v>
      </c>
      <c r="D19" s="27" t="s">
        <v>64</v>
      </c>
      <c r="E19" s="28">
        <v>32750</v>
      </c>
      <c r="F19" s="29">
        <v>1466.31575</v>
      </c>
      <c r="G19" s="30">
        <v>1.4195579999999999E-2</v>
      </c>
      <c r="H19" s="25" t="s">
        <v>148</v>
      </c>
    </row>
    <row r="20" spans="1:8" x14ac:dyDescent="0.2">
      <c r="A20" s="26">
        <v>14</v>
      </c>
      <c r="B20" s="27" t="s">
        <v>348</v>
      </c>
      <c r="C20" s="27" t="s">
        <v>349</v>
      </c>
      <c r="D20" s="27" t="s">
        <v>350</v>
      </c>
      <c r="E20" s="28">
        <v>321600</v>
      </c>
      <c r="F20" s="29">
        <v>1270.32</v>
      </c>
      <c r="G20" s="30">
        <v>1.2298119999999999E-2</v>
      </c>
      <c r="H20" s="25" t="s">
        <v>148</v>
      </c>
    </row>
    <row r="21" spans="1:8" x14ac:dyDescent="0.2">
      <c r="A21" s="26">
        <v>15</v>
      </c>
      <c r="B21" s="27" t="s">
        <v>40</v>
      </c>
      <c r="C21" s="27" t="s">
        <v>41</v>
      </c>
      <c r="D21" s="27" t="s">
        <v>42</v>
      </c>
      <c r="E21" s="28">
        <v>91000</v>
      </c>
      <c r="F21" s="29">
        <v>1217.8530000000001</v>
      </c>
      <c r="G21" s="30">
        <v>1.1790180000000001E-2</v>
      </c>
      <c r="H21" s="25" t="s">
        <v>148</v>
      </c>
    </row>
    <row r="22" spans="1:8" x14ac:dyDescent="0.2">
      <c r="A22" s="26">
        <v>16</v>
      </c>
      <c r="B22" s="27" t="s">
        <v>693</v>
      </c>
      <c r="C22" s="27" t="s">
        <v>694</v>
      </c>
      <c r="D22" s="27" t="s">
        <v>51</v>
      </c>
      <c r="E22" s="28">
        <v>70000</v>
      </c>
      <c r="F22" s="29">
        <v>1136.135</v>
      </c>
      <c r="G22" s="30">
        <v>1.099906E-2</v>
      </c>
      <c r="H22" s="25" t="s">
        <v>148</v>
      </c>
    </row>
    <row r="23" spans="1:8" ht="25.5" x14ac:dyDescent="0.2">
      <c r="A23" s="26">
        <v>17</v>
      </c>
      <c r="B23" s="27" t="s">
        <v>644</v>
      </c>
      <c r="C23" s="27" t="s">
        <v>645</v>
      </c>
      <c r="D23" s="27" t="s">
        <v>202</v>
      </c>
      <c r="E23" s="28">
        <v>107000</v>
      </c>
      <c r="F23" s="29">
        <v>1132.3810000000001</v>
      </c>
      <c r="G23" s="30">
        <v>1.096272E-2</v>
      </c>
      <c r="H23" s="25" t="s">
        <v>148</v>
      </c>
    </row>
    <row r="24" spans="1:8" x14ac:dyDescent="0.2">
      <c r="A24" s="26">
        <v>18</v>
      </c>
      <c r="B24" s="27" t="s">
        <v>23</v>
      </c>
      <c r="C24" s="27" t="s">
        <v>24</v>
      </c>
      <c r="D24" s="27" t="s">
        <v>25</v>
      </c>
      <c r="E24" s="28">
        <v>9750</v>
      </c>
      <c r="F24" s="29">
        <v>987.52387499999998</v>
      </c>
      <c r="G24" s="30">
        <v>9.5603400000000005E-3</v>
      </c>
      <c r="H24" s="25" t="s">
        <v>148</v>
      </c>
    </row>
    <row r="25" spans="1:8" x14ac:dyDescent="0.2">
      <c r="A25" s="26">
        <v>19</v>
      </c>
      <c r="B25" s="27" t="s">
        <v>38</v>
      </c>
      <c r="C25" s="27" t="s">
        <v>39</v>
      </c>
      <c r="D25" s="27" t="s">
        <v>28</v>
      </c>
      <c r="E25" s="28">
        <v>139000</v>
      </c>
      <c r="F25" s="29">
        <v>957.43200000000002</v>
      </c>
      <c r="G25" s="30">
        <v>9.2690099999999994E-3</v>
      </c>
      <c r="H25" s="25" t="s">
        <v>148</v>
      </c>
    </row>
    <row r="26" spans="1:8" x14ac:dyDescent="0.2">
      <c r="A26" s="26">
        <v>20</v>
      </c>
      <c r="B26" s="27" t="s">
        <v>437</v>
      </c>
      <c r="C26" s="27" t="s">
        <v>438</v>
      </c>
      <c r="D26" s="27" t="s">
        <v>439</v>
      </c>
      <c r="E26" s="28">
        <v>149800</v>
      </c>
      <c r="F26" s="29">
        <v>950.25630000000001</v>
      </c>
      <c r="G26" s="30">
        <v>9.1995500000000008E-3</v>
      </c>
      <c r="H26" s="25" t="s">
        <v>148</v>
      </c>
    </row>
    <row r="27" spans="1:8" ht="25.5" x14ac:dyDescent="0.2">
      <c r="A27" s="26">
        <v>21</v>
      </c>
      <c r="B27" s="27" t="s">
        <v>340</v>
      </c>
      <c r="C27" s="27" t="s">
        <v>341</v>
      </c>
      <c r="D27" s="27" t="s">
        <v>202</v>
      </c>
      <c r="E27" s="28">
        <v>57950</v>
      </c>
      <c r="F27" s="29">
        <v>923.28837499999997</v>
      </c>
      <c r="G27" s="30">
        <v>8.9384700000000004E-3</v>
      </c>
      <c r="H27" s="25" t="s">
        <v>148</v>
      </c>
    </row>
    <row r="28" spans="1:8" ht="25.5" x14ac:dyDescent="0.2">
      <c r="A28" s="26">
        <v>22</v>
      </c>
      <c r="B28" s="27" t="s">
        <v>353</v>
      </c>
      <c r="C28" s="27" t="s">
        <v>354</v>
      </c>
      <c r="D28" s="27" t="s">
        <v>111</v>
      </c>
      <c r="E28" s="28">
        <v>63625</v>
      </c>
      <c r="F28" s="29">
        <v>891.22718750000001</v>
      </c>
      <c r="G28" s="30">
        <v>8.6280799999999998E-3</v>
      </c>
      <c r="H28" s="25" t="s">
        <v>148</v>
      </c>
    </row>
    <row r="29" spans="1:8" x14ac:dyDescent="0.2">
      <c r="A29" s="26">
        <v>23</v>
      </c>
      <c r="B29" s="27" t="s">
        <v>695</v>
      </c>
      <c r="C29" s="27" t="s">
        <v>696</v>
      </c>
      <c r="D29" s="27" t="s">
        <v>137</v>
      </c>
      <c r="E29" s="28">
        <v>89100</v>
      </c>
      <c r="F29" s="29">
        <v>847.07370000000003</v>
      </c>
      <c r="G29" s="30">
        <v>8.2006200000000005E-3</v>
      </c>
      <c r="H29" s="25" t="s">
        <v>148</v>
      </c>
    </row>
    <row r="30" spans="1:8" x14ac:dyDescent="0.2">
      <c r="A30" s="26">
        <v>24</v>
      </c>
      <c r="B30" s="27" t="s">
        <v>344</v>
      </c>
      <c r="C30" s="27" t="s">
        <v>345</v>
      </c>
      <c r="D30" s="27" t="s">
        <v>111</v>
      </c>
      <c r="E30" s="28">
        <v>9750</v>
      </c>
      <c r="F30" s="29">
        <v>831.70425</v>
      </c>
      <c r="G30" s="30">
        <v>8.0518299999999994E-3</v>
      </c>
      <c r="H30" s="25" t="s">
        <v>148</v>
      </c>
    </row>
    <row r="31" spans="1:8" x14ac:dyDescent="0.2">
      <c r="A31" s="26">
        <v>25</v>
      </c>
      <c r="B31" s="27" t="s">
        <v>450</v>
      </c>
      <c r="C31" s="27" t="s">
        <v>451</v>
      </c>
      <c r="D31" s="27" t="s">
        <v>28</v>
      </c>
      <c r="E31" s="28">
        <v>84000</v>
      </c>
      <c r="F31" s="29">
        <v>831.68399999999997</v>
      </c>
      <c r="G31" s="30">
        <v>8.0516300000000006E-3</v>
      </c>
      <c r="H31" s="25" t="s">
        <v>148</v>
      </c>
    </row>
    <row r="32" spans="1:8" x14ac:dyDescent="0.2">
      <c r="A32" s="26">
        <v>26</v>
      </c>
      <c r="B32" s="27" t="s">
        <v>346</v>
      </c>
      <c r="C32" s="27" t="s">
        <v>347</v>
      </c>
      <c r="D32" s="27" t="s">
        <v>28</v>
      </c>
      <c r="E32" s="28">
        <v>406575</v>
      </c>
      <c r="F32" s="29">
        <v>801.23735250000004</v>
      </c>
      <c r="G32" s="30">
        <v>7.7568799999999999E-3</v>
      </c>
      <c r="H32" s="25" t="s">
        <v>148</v>
      </c>
    </row>
    <row r="33" spans="1:8" x14ac:dyDescent="0.2">
      <c r="A33" s="26">
        <v>27</v>
      </c>
      <c r="B33" s="27" t="s">
        <v>193</v>
      </c>
      <c r="C33" s="27" t="s">
        <v>194</v>
      </c>
      <c r="D33" s="27" t="s">
        <v>28</v>
      </c>
      <c r="E33" s="28">
        <v>410000</v>
      </c>
      <c r="F33" s="29">
        <v>728.24199999999996</v>
      </c>
      <c r="G33" s="30">
        <v>7.0502000000000004E-3</v>
      </c>
      <c r="H33" s="25" t="s">
        <v>148</v>
      </c>
    </row>
    <row r="34" spans="1:8" x14ac:dyDescent="0.2">
      <c r="A34" s="26">
        <v>28</v>
      </c>
      <c r="B34" s="27" t="s">
        <v>530</v>
      </c>
      <c r="C34" s="27" t="s">
        <v>531</v>
      </c>
      <c r="D34" s="27" t="s">
        <v>205</v>
      </c>
      <c r="E34" s="28">
        <v>48000</v>
      </c>
      <c r="F34" s="29">
        <v>714.16800000000001</v>
      </c>
      <c r="G34" s="30">
        <v>6.9139500000000003E-3</v>
      </c>
      <c r="H34" s="25" t="s">
        <v>148</v>
      </c>
    </row>
    <row r="35" spans="1:8" x14ac:dyDescent="0.2">
      <c r="A35" s="26">
        <v>29</v>
      </c>
      <c r="B35" s="27" t="s">
        <v>697</v>
      </c>
      <c r="C35" s="27" t="s">
        <v>698</v>
      </c>
      <c r="D35" s="27" t="s">
        <v>240</v>
      </c>
      <c r="E35" s="28">
        <v>13000</v>
      </c>
      <c r="F35" s="29">
        <v>690.89149999999995</v>
      </c>
      <c r="G35" s="30">
        <v>6.6886000000000003E-3</v>
      </c>
      <c r="H35" s="25" t="s">
        <v>148</v>
      </c>
    </row>
    <row r="36" spans="1:8" x14ac:dyDescent="0.2">
      <c r="A36" s="26">
        <v>30</v>
      </c>
      <c r="B36" s="27" t="s">
        <v>699</v>
      </c>
      <c r="C36" s="27" t="s">
        <v>700</v>
      </c>
      <c r="D36" s="27" t="s">
        <v>275</v>
      </c>
      <c r="E36" s="28">
        <v>10000</v>
      </c>
      <c r="F36" s="29">
        <v>667.11500000000001</v>
      </c>
      <c r="G36" s="30">
        <v>6.4584200000000003E-3</v>
      </c>
      <c r="H36" s="25" t="s">
        <v>148</v>
      </c>
    </row>
    <row r="37" spans="1:8" x14ac:dyDescent="0.2">
      <c r="A37" s="26">
        <v>31</v>
      </c>
      <c r="B37" s="27" t="s">
        <v>701</v>
      </c>
      <c r="C37" s="27" t="s">
        <v>702</v>
      </c>
      <c r="D37" s="27" t="s">
        <v>210</v>
      </c>
      <c r="E37" s="28">
        <v>11000</v>
      </c>
      <c r="F37" s="29">
        <v>665.78599999999994</v>
      </c>
      <c r="G37" s="30">
        <v>6.4455500000000004E-3</v>
      </c>
      <c r="H37" s="25" t="s">
        <v>148</v>
      </c>
    </row>
    <row r="38" spans="1:8" x14ac:dyDescent="0.2">
      <c r="A38" s="26">
        <v>32</v>
      </c>
      <c r="B38" s="27" t="s">
        <v>273</v>
      </c>
      <c r="C38" s="27" t="s">
        <v>274</v>
      </c>
      <c r="D38" s="27" t="s">
        <v>275</v>
      </c>
      <c r="E38" s="28">
        <v>29750</v>
      </c>
      <c r="F38" s="29">
        <v>662.08624999999995</v>
      </c>
      <c r="G38" s="30">
        <v>6.4097399999999997E-3</v>
      </c>
      <c r="H38" s="25" t="s">
        <v>148</v>
      </c>
    </row>
    <row r="39" spans="1:8" x14ac:dyDescent="0.2">
      <c r="A39" s="26">
        <v>33</v>
      </c>
      <c r="B39" s="27" t="s">
        <v>125</v>
      </c>
      <c r="C39" s="27" t="s">
        <v>126</v>
      </c>
      <c r="D39" s="27" t="s">
        <v>64</v>
      </c>
      <c r="E39" s="28">
        <v>263000</v>
      </c>
      <c r="F39" s="29">
        <v>657.10550000000001</v>
      </c>
      <c r="G39" s="30">
        <v>6.3615199999999998E-3</v>
      </c>
      <c r="H39" s="25" t="s">
        <v>148</v>
      </c>
    </row>
    <row r="40" spans="1:8" x14ac:dyDescent="0.2">
      <c r="A40" s="26">
        <v>34</v>
      </c>
      <c r="B40" s="27" t="s">
        <v>364</v>
      </c>
      <c r="C40" s="27" t="s">
        <v>365</v>
      </c>
      <c r="D40" s="27" t="s">
        <v>275</v>
      </c>
      <c r="E40" s="28">
        <v>97750</v>
      </c>
      <c r="F40" s="29">
        <v>606.68537500000002</v>
      </c>
      <c r="G40" s="30">
        <v>5.87339E-3</v>
      </c>
      <c r="H40" s="25" t="s">
        <v>148</v>
      </c>
    </row>
    <row r="41" spans="1:8" x14ac:dyDescent="0.2">
      <c r="A41" s="26">
        <v>35</v>
      </c>
      <c r="B41" s="27" t="s">
        <v>338</v>
      </c>
      <c r="C41" s="27" t="s">
        <v>339</v>
      </c>
      <c r="D41" s="27" t="s">
        <v>229</v>
      </c>
      <c r="E41" s="28">
        <v>266000</v>
      </c>
      <c r="F41" s="29">
        <v>590.78599999999994</v>
      </c>
      <c r="G41" s="30">
        <v>5.7194699999999999E-3</v>
      </c>
      <c r="H41" s="25" t="s">
        <v>148</v>
      </c>
    </row>
    <row r="42" spans="1:8" x14ac:dyDescent="0.2">
      <c r="A42" s="26">
        <v>36</v>
      </c>
      <c r="B42" s="27" t="s">
        <v>243</v>
      </c>
      <c r="C42" s="27" t="s">
        <v>244</v>
      </c>
      <c r="D42" s="27" t="s">
        <v>229</v>
      </c>
      <c r="E42" s="28">
        <v>8000</v>
      </c>
      <c r="F42" s="29">
        <v>559.41200000000003</v>
      </c>
      <c r="G42" s="30">
        <v>5.4157399999999996E-3</v>
      </c>
      <c r="H42" s="25" t="s">
        <v>148</v>
      </c>
    </row>
    <row r="43" spans="1:8" x14ac:dyDescent="0.2">
      <c r="A43" s="26">
        <v>37</v>
      </c>
      <c r="B43" s="27" t="s">
        <v>20</v>
      </c>
      <c r="C43" s="27" t="s">
        <v>21</v>
      </c>
      <c r="D43" s="27" t="s">
        <v>22</v>
      </c>
      <c r="E43" s="28">
        <v>178500</v>
      </c>
      <c r="F43" s="29">
        <v>555.93825000000004</v>
      </c>
      <c r="G43" s="30">
        <v>5.3821099999999998E-3</v>
      </c>
      <c r="H43" s="25" t="s">
        <v>148</v>
      </c>
    </row>
    <row r="44" spans="1:8" x14ac:dyDescent="0.2">
      <c r="A44" s="26">
        <v>38</v>
      </c>
      <c r="B44" s="27" t="s">
        <v>648</v>
      </c>
      <c r="C44" s="27" t="s">
        <v>649</v>
      </c>
      <c r="D44" s="27" t="s">
        <v>229</v>
      </c>
      <c r="E44" s="28">
        <v>208000</v>
      </c>
      <c r="F44" s="29">
        <v>503.67200000000003</v>
      </c>
      <c r="G44" s="30">
        <v>4.8761100000000003E-3</v>
      </c>
      <c r="H44" s="25" t="s">
        <v>148</v>
      </c>
    </row>
    <row r="45" spans="1:8" x14ac:dyDescent="0.2">
      <c r="A45" s="26">
        <v>39</v>
      </c>
      <c r="B45" s="27" t="s">
        <v>703</v>
      </c>
      <c r="C45" s="27" t="s">
        <v>704</v>
      </c>
      <c r="D45" s="27" t="s">
        <v>270</v>
      </c>
      <c r="E45" s="28">
        <v>78100</v>
      </c>
      <c r="F45" s="29">
        <v>475.23849999999999</v>
      </c>
      <c r="G45" s="30">
        <v>4.6008400000000001E-3</v>
      </c>
      <c r="H45" s="25" t="s">
        <v>148</v>
      </c>
    </row>
    <row r="46" spans="1:8" ht="25.5" x14ac:dyDescent="0.2">
      <c r="A46" s="26">
        <v>40</v>
      </c>
      <c r="B46" s="27" t="s">
        <v>362</v>
      </c>
      <c r="C46" s="27" t="s">
        <v>363</v>
      </c>
      <c r="D46" s="27" t="s">
        <v>202</v>
      </c>
      <c r="E46" s="28">
        <v>40000</v>
      </c>
      <c r="F46" s="29">
        <v>446.6</v>
      </c>
      <c r="G46" s="30">
        <v>4.3235900000000004E-3</v>
      </c>
      <c r="H46" s="25" t="s">
        <v>148</v>
      </c>
    </row>
    <row r="47" spans="1:8" x14ac:dyDescent="0.2">
      <c r="A47" s="26">
        <v>41</v>
      </c>
      <c r="B47" s="27" t="s">
        <v>464</v>
      </c>
      <c r="C47" s="27" t="s">
        <v>465</v>
      </c>
      <c r="D47" s="27" t="s">
        <v>111</v>
      </c>
      <c r="E47" s="28">
        <v>58000</v>
      </c>
      <c r="F47" s="29">
        <v>442.74299999999999</v>
      </c>
      <c r="G47" s="30">
        <v>4.2862500000000001E-3</v>
      </c>
      <c r="H47" s="25" t="s">
        <v>148</v>
      </c>
    </row>
    <row r="48" spans="1:8" x14ac:dyDescent="0.2">
      <c r="A48" s="26">
        <v>42</v>
      </c>
      <c r="B48" s="27" t="s">
        <v>288</v>
      </c>
      <c r="C48" s="27" t="s">
        <v>289</v>
      </c>
      <c r="D48" s="27" t="s">
        <v>240</v>
      </c>
      <c r="E48" s="28">
        <v>14000</v>
      </c>
      <c r="F48" s="29">
        <v>440.03399999999999</v>
      </c>
      <c r="G48" s="30">
        <v>4.2600199999999998E-3</v>
      </c>
      <c r="H48" s="25" t="s">
        <v>148</v>
      </c>
    </row>
    <row r="49" spans="1:8" x14ac:dyDescent="0.2">
      <c r="A49" s="26">
        <v>43</v>
      </c>
      <c r="B49" s="27" t="s">
        <v>99</v>
      </c>
      <c r="C49" s="27" t="s">
        <v>100</v>
      </c>
      <c r="D49" s="27" t="s">
        <v>69</v>
      </c>
      <c r="E49" s="28">
        <v>12000</v>
      </c>
      <c r="F49" s="29">
        <v>367.35</v>
      </c>
      <c r="G49" s="30">
        <v>3.5563600000000002E-3</v>
      </c>
      <c r="H49" s="25" t="s">
        <v>148</v>
      </c>
    </row>
    <row r="50" spans="1:8" x14ac:dyDescent="0.2">
      <c r="A50" s="26">
        <v>44</v>
      </c>
      <c r="B50" s="27" t="s">
        <v>342</v>
      </c>
      <c r="C50" s="27" t="s">
        <v>343</v>
      </c>
      <c r="D50" s="27" t="s">
        <v>205</v>
      </c>
      <c r="E50" s="28">
        <v>10408</v>
      </c>
      <c r="F50" s="29">
        <v>362.53665999999998</v>
      </c>
      <c r="G50" s="30">
        <v>3.5097599999999998E-3</v>
      </c>
      <c r="H50" s="25" t="s">
        <v>148</v>
      </c>
    </row>
    <row r="51" spans="1:8" x14ac:dyDescent="0.2">
      <c r="A51" s="26">
        <v>45</v>
      </c>
      <c r="B51" s="27" t="s">
        <v>116</v>
      </c>
      <c r="C51" s="27" t="s">
        <v>117</v>
      </c>
      <c r="D51" s="27" t="s">
        <v>42</v>
      </c>
      <c r="E51" s="28">
        <v>68000</v>
      </c>
      <c r="F51" s="29">
        <v>330.48</v>
      </c>
      <c r="G51" s="30">
        <v>3.1994200000000001E-3</v>
      </c>
      <c r="H51" s="25" t="s">
        <v>148</v>
      </c>
    </row>
    <row r="52" spans="1:8" ht="25.5" x14ac:dyDescent="0.2">
      <c r="A52" s="26">
        <v>46</v>
      </c>
      <c r="B52" s="27" t="s">
        <v>290</v>
      </c>
      <c r="C52" s="27" t="s">
        <v>291</v>
      </c>
      <c r="D52" s="27" t="s">
        <v>202</v>
      </c>
      <c r="E52" s="28">
        <v>12886</v>
      </c>
      <c r="F52" s="29">
        <v>295.16671600000001</v>
      </c>
      <c r="G52" s="30">
        <v>2.85754E-3</v>
      </c>
      <c r="H52" s="25" t="s">
        <v>148</v>
      </c>
    </row>
    <row r="53" spans="1:8" x14ac:dyDescent="0.2">
      <c r="A53" s="26">
        <v>47</v>
      </c>
      <c r="B53" s="27" t="s">
        <v>705</v>
      </c>
      <c r="C53" s="27" t="s">
        <v>706</v>
      </c>
      <c r="D53" s="27" t="s">
        <v>25</v>
      </c>
      <c r="E53" s="28">
        <v>15869</v>
      </c>
      <c r="F53" s="29">
        <v>268.13055850000001</v>
      </c>
      <c r="G53" s="30">
        <v>2.5958000000000001E-3</v>
      </c>
      <c r="H53" s="25" t="s">
        <v>148</v>
      </c>
    </row>
    <row r="54" spans="1:8" x14ac:dyDescent="0.2">
      <c r="A54" s="26">
        <v>48</v>
      </c>
      <c r="B54" s="27" t="s">
        <v>635</v>
      </c>
      <c r="C54" s="27" t="s">
        <v>636</v>
      </c>
      <c r="D54" s="27" t="s">
        <v>637</v>
      </c>
      <c r="E54" s="28">
        <v>12600</v>
      </c>
      <c r="F54" s="29">
        <v>264.096</v>
      </c>
      <c r="G54" s="30">
        <v>2.55675E-3</v>
      </c>
      <c r="H54" s="25" t="s">
        <v>148</v>
      </c>
    </row>
    <row r="55" spans="1:8" x14ac:dyDescent="0.2">
      <c r="A55" s="26">
        <v>49</v>
      </c>
      <c r="B55" s="27" t="s">
        <v>351</v>
      </c>
      <c r="C55" s="27" t="s">
        <v>352</v>
      </c>
      <c r="D55" s="27" t="s">
        <v>240</v>
      </c>
      <c r="E55" s="28">
        <v>5000</v>
      </c>
      <c r="F55" s="29">
        <v>249.58250000000001</v>
      </c>
      <c r="G55" s="30">
        <v>2.4162400000000001E-3</v>
      </c>
      <c r="H55" s="25" t="s">
        <v>148</v>
      </c>
    </row>
    <row r="56" spans="1:8" x14ac:dyDescent="0.2">
      <c r="A56" s="26">
        <v>50</v>
      </c>
      <c r="B56" s="27" t="s">
        <v>57</v>
      </c>
      <c r="C56" s="27" t="s">
        <v>58</v>
      </c>
      <c r="D56" s="27" t="s">
        <v>59</v>
      </c>
      <c r="E56" s="28">
        <v>23000</v>
      </c>
      <c r="F56" s="29">
        <v>245.96199999999999</v>
      </c>
      <c r="G56" s="30">
        <v>2.38119E-3</v>
      </c>
      <c r="H56" s="25" t="s">
        <v>148</v>
      </c>
    </row>
    <row r="57" spans="1:8" x14ac:dyDescent="0.2">
      <c r="A57" s="26">
        <v>51</v>
      </c>
      <c r="B57" s="27" t="s">
        <v>526</v>
      </c>
      <c r="C57" s="27" t="s">
        <v>527</v>
      </c>
      <c r="D57" s="27" t="s">
        <v>235</v>
      </c>
      <c r="E57" s="28">
        <v>18200</v>
      </c>
      <c r="F57" s="29">
        <v>233.76990000000001</v>
      </c>
      <c r="G57" s="30">
        <v>2.2631499999999998E-3</v>
      </c>
      <c r="H57" s="25" t="s">
        <v>148</v>
      </c>
    </row>
    <row r="58" spans="1:8" x14ac:dyDescent="0.2">
      <c r="A58" s="26">
        <v>52</v>
      </c>
      <c r="B58" s="27" t="s">
        <v>638</v>
      </c>
      <c r="C58" s="27" t="s">
        <v>639</v>
      </c>
      <c r="D58" s="27" t="s">
        <v>54</v>
      </c>
      <c r="E58" s="28">
        <v>35475</v>
      </c>
      <c r="F58" s="29">
        <v>225.46136250000001</v>
      </c>
      <c r="G58" s="30">
        <v>2.18272E-3</v>
      </c>
      <c r="H58" s="25" t="s">
        <v>148</v>
      </c>
    </row>
    <row r="59" spans="1:8" x14ac:dyDescent="0.2">
      <c r="A59" s="26">
        <v>53</v>
      </c>
      <c r="B59" s="27" t="s">
        <v>440</v>
      </c>
      <c r="C59" s="27" t="s">
        <v>441</v>
      </c>
      <c r="D59" s="27" t="s">
        <v>270</v>
      </c>
      <c r="E59" s="28">
        <v>15750</v>
      </c>
      <c r="F59" s="29">
        <v>225.30375000000001</v>
      </c>
      <c r="G59" s="30">
        <v>2.18119E-3</v>
      </c>
      <c r="H59" s="25" t="s">
        <v>148</v>
      </c>
    </row>
    <row r="60" spans="1:8" x14ac:dyDescent="0.2">
      <c r="A60" s="26">
        <v>54</v>
      </c>
      <c r="B60" s="27" t="s">
        <v>707</v>
      </c>
      <c r="C60" s="27" t="s">
        <v>708</v>
      </c>
      <c r="D60" s="27" t="s">
        <v>275</v>
      </c>
      <c r="E60" s="28">
        <v>5250</v>
      </c>
      <c r="F60" s="29">
        <v>193.25774999999999</v>
      </c>
      <c r="G60" s="30">
        <v>1.8709499999999999E-3</v>
      </c>
      <c r="H60" s="25" t="s">
        <v>148</v>
      </c>
    </row>
    <row r="61" spans="1:8" x14ac:dyDescent="0.2">
      <c r="A61" s="26">
        <v>55</v>
      </c>
      <c r="B61" s="27" t="s">
        <v>233</v>
      </c>
      <c r="C61" s="27" t="s">
        <v>234</v>
      </c>
      <c r="D61" s="27" t="s">
        <v>235</v>
      </c>
      <c r="E61" s="28">
        <v>8000</v>
      </c>
      <c r="F61" s="29">
        <v>155.69200000000001</v>
      </c>
      <c r="G61" s="30">
        <v>1.50727E-3</v>
      </c>
      <c r="H61" s="25" t="s">
        <v>148</v>
      </c>
    </row>
    <row r="62" spans="1:8" ht="25.5" x14ac:dyDescent="0.2">
      <c r="A62" s="26">
        <v>56</v>
      </c>
      <c r="B62" s="27" t="s">
        <v>200</v>
      </c>
      <c r="C62" s="27" t="s">
        <v>201</v>
      </c>
      <c r="D62" s="27" t="s">
        <v>202</v>
      </c>
      <c r="E62" s="28">
        <v>7650</v>
      </c>
      <c r="F62" s="29">
        <v>145.705725</v>
      </c>
      <c r="G62" s="30">
        <v>1.4105999999999999E-3</v>
      </c>
      <c r="H62" s="25" t="s">
        <v>148</v>
      </c>
    </row>
    <row r="63" spans="1:8" x14ac:dyDescent="0.2">
      <c r="A63" s="26">
        <v>57</v>
      </c>
      <c r="B63" s="27" t="s">
        <v>370</v>
      </c>
      <c r="C63" s="27" t="s">
        <v>371</v>
      </c>
      <c r="D63" s="27" t="s">
        <v>51</v>
      </c>
      <c r="E63" s="28">
        <v>4175</v>
      </c>
      <c r="F63" s="29">
        <v>128.4751875</v>
      </c>
      <c r="G63" s="30">
        <v>1.2437800000000001E-3</v>
      </c>
      <c r="H63" s="25" t="s">
        <v>148</v>
      </c>
    </row>
    <row r="64" spans="1:8" x14ac:dyDescent="0.2">
      <c r="A64" s="26">
        <v>58</v>
      </c>
      <c r="B64" s="27" t="s">
        <v>121</v>
      </c>
      <c r="C64" s="27" t="s">
        <v>122</v>
      </c>
      <c r="D64" s="27" t="s">
        <v>120</v>
      </c>
      <c r="E64" s="28">
        <v>25000</v>
      </c>
      <c r="F64" s="29">
        <v>122.1125</v>
      </c>
      <c r="G64" s="30">
        <v>1.1821900000000001E-3</v>
      </c>
      <c r="H64" s="25" t="s">
        <v>148</v>
      </c>
    </row>
    <row r="65" spans="1:8" x14ac:dyDescent="0.2">
      <c r="A65" s="26">
        <v>59</v>
      </c>
      <c r="B65" s="27" t="s">
        <v>650</v>
      </c>
      <c r="C65" s="27" t="s">
        <v>651</v>
      </c>
      <c r="D65" s="27" t="s">
        <v>111</v>
      </c>
      <c r="E65" s="28">
        <v>6000</v>
      </c>
      <c r="F65" s="29">
        <v>112.33799999999999</v>
      </c>
      <c r="G65" s="30">
        <v>1.08756E-3</v>
      </c>
      <c r="H65" s="25" t="s">
        <v>148</v>
      </c>
    </row>
    <row r="66" spans="1:8" ht="25.5" x14ac:dyDescent="0.2">
      <c r="A66" s="26">
        <v>60</v>
      </c>
      <c r="B66" s="27" t="s">
        <v>474</v>
      </c>
      <c r="C66" s="27" t="s">
        <v>475</v>
      </c>
      <c r="D66" s="27" t="s">
        <v>202</v>
      </c>
      <c r="E66" s="28">
        <v>1058</v>
      </c>
      <c r="F66" s="29">
        <v>112.26438</v>
      </c>
      <c r="G66" s="30">
        <v>1.0868500000000001E-3</v>
      </c>
      <c r="H66" s="25" t="s">
        <v>148</v>
      </c>
    </row>
    <row r="67" spans="1:8" x14ac:dyDescent="0.2">
      <c r="A67" s="26">
        <v>61</v>
      </c>
      <c r="B67" s="27" t="s">
        <v>368</v>
      </c>
      <c r="C67" s="27" t="s">
        <v>369</v>
      </c>
      <c r="D67" s="27" t="s">
        <v>25</v>
      </c>
      <c r="E67" s="28">
        <v>2000</v>
      </c>
      <c r="F67" s="29">
        <v>46.133000000000003</v>
      </c>
      <c r="G67" s="30">
        <v>4.4662E-4</v>
      </c>
      <c r="H67" s="25" t="s">
        <v>148</v>
      </c>
    </row>
    <row r="68" spans="1:8" x14ac:dyDescent="0.2">
      <c r="A68" s="26">
        <v>62</v>
      </c>
      <c r="B68" s="27" t="s">
        <v>97</v>
      </c>
      <c r="C68" s="27" t="s">
        <v>98</v>
      </c>
      <c r="D68" s="27" t="s">
        <v>25</v>
      </c>
      <c r="E68" s="28">
        <v>9000</v>
      </c>
      <c r="F68" s="29">
        <v>41.845500000000001</v>
      </c>
      <c r="G68" s="30">
        <v>4.0510999999999998E-4</v>
      </c>
      <c r="H68" s="25" t="s">
        <v>148</v>
      </c>
    </row>
    <row r="69" spans="1:8" x14ac:dyDescent="0.2">
      <c r="A69" s="26">
        <v>63</v>
      </c>
      <c r="B69" s="27" t="s">
        <v>709</v>
      </c>
      <c r="C69" s="27" t="s">
        <v>710</v>
      </c>
      <c r="D69" s="27" t="s">
        <v>51</v>
      </c>
      <c r="E69" s="28">
        <v>1200</v>
      </c>
      <c r="F69" s="29">
        <v>26.157</v>
      </c>
      <c r="G69" s="30">
        <v>2.5323000000000001E-4</v>
      </c>
      <c r="H69" s="25" t="s">
        <v>148</v>
      </c>
    </row>
    <row r="70" spans="1:8" x14ac:dyDescent="0.2">
      <c r="A70" s="26">
        <v>64</v>
      </c>
      <c r="B70" s="27" t="s">
        <v>65</v>
      </c>
      <c r="C70" s="27" t="s">
        <v>66</v>
      </c>
      <c r="D70" s="27" t="s">
        <v>13</v>
      </c>
      <c r="E70" s="28">
        <v>3400</v>
      </c>
      <c r="F70" s="29">
        <v>10.9939</v>
      </c>
      <c r="G70" s="30">
        <v>1.0643E-4</v>
      </c>
      <c r="H70" s="25" t="s">
        <v>148</v>
      </c>
    </row>
    <row r="71" spans="1:8" x14ac:dyDescent="0.2">
      <c r="A71" s="23"/>
      <c r="B71" s="23"/>
      <c r="C71" s="24" t="s">
        <v>147</v>
      </c>
      <c r="D71" s="23"/>
      <c r="E71" s="23" t="s">
        <v>148</v>
      </c>
      <c r="F71" s="31">
        <v>71874.398294500003</v>
      </c>
      <c r="G71" s="32">
        <v>0.69582471000000001</v>
      </c>
      <c r="H71" s="25" t="s">
        <v>148</v>
      </c>
    </row>
    <row r="72" spans="1:8" x14ac:dyDescent="0.2">
      <c r="A72" s="23"/>
      <c r="B72" s="23"/>
      <c r="C72" s="33"/>
      <c r="D72" s="23"/>
      <c r="E72" s="23"/>
      <c r="F72" s="34"/>
      <c r="G72" s="34"/>
      <c r="H72" s="25" t="s">
        <v>148</v>
      </c>
    </row>
    <row r="73" spans="1:8" x14ac:dyDescent="0.2">
      <c r="A73" s="23"/>
      <c r="B73" s="23"/>
      <c r="C73" s="24" t="s">
        <v>149</v>
      </c>
      <c r="D73" s="23"/>
      <c r="E73" s="23"/>
      <c r="F73" s="23"/>
      <c r="G73" s="23"/>
      <c r="H73" s="25" t="s">
        <v>148</v>
      </c>
    </row>
    <row r="74" spans="1:8" x14ac:dyDescent="0.2">
      <c r="A74" s="23"/>
      <c r="B74" s="23"/>
      <c r="C74" s="24" t="s">
        <v>147</v>
      </c>
      <c r="D74" s="23"/>
      <c r="E74" s="23" t="s">
        <v>148</v>
      </c>
      <c r="F74" s="35" t="s">
        <v>150</v>
      </c>
      <c r="G74" s="32">
        <v>0</v>
      </c>
      <c r="H74" s="25" t="s">
        <v>148</v>
      </c>
    </row>
    <row r="75" spans="1:8" x14ac:dyDescent="0.2">
      <c r="A75" s="23"/>
      <c r="B75" s="23"/>
      <c r="C75" s="33"/>
      <c r="D75" s="23"/>
      <c r="E75" s="23"/>
      <c r="F75" s="34"/>
      <c r="G75" s="34"/>
      <c r="H75" s="25" t="s">
        <v>148</v>
      </c>
    </row>
    <row r="76" spans="1:8" x14ac:dyDescent="0.2">
      <c r="A76" s="23"/>
      <c r="B76" s="23"/>
      <c r="C76" s="24" t="s">
        <v>151</v>
      </c>
      <c r="D76" s="23"/>
      <c r="E76" s="23"/>
      <c r="F76" s="23"/>
      <c r="G76" s="23"/>
      <c r="H76" s="25" t="s">
        <v>148</v>
      </c>
    </row>
    <row r="77" spans="1:8" x14ac:dyDescent="0.2">
      <c r="A77" s="23"/>
      <c r="B77" s="23"/>
      <c r="C77" s="24" t="s">
        <v>147</v>
      </c>
      <c r="D77" s="23"/>
      <c r="E77" s="23" t="s">
        <v>148</v>
      </c>
      <c r="F77" s="35" t="s">
        <v>150</v>
      </c>
      <c r="G77" s="32">
        <v>0</v>
      </c>
      <c r="H77" s="25" t="s">
        <v>148</v>
      </c>
    </row>
    <row r="78" spans="1:8" x14ac:dyDescent="0.2">
      <c r="A78" s="23"/>
      <c r="B78" s="23"/>
      <c r="C78" s="33"/>
      <c r="D78" s="23"/>
      <c r="E78" s="23"/>
      <c r="F78" s="34"/>
      <c r="G78" s="34"/>
      <c r="H78" s="25" t="s">
        <v>148</v>
      </c>
    </row>
    <row r="79" spans="1:8" x14ac:dyDescent="0.2">
      <c r="A79" s="23"/>
      <c r="B79" s="23"/>
      <c r="C79" s="24" t="s">
        <v>152</v>
      </c>
      <c r="D79" s="23"/>
      <c r="E79" s="23"/>
      <c r="F79" s="23"/>
      <c r="G79" s="23"/>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153</v>
      </c>
      <c r="D82" s="23"/>
      <c r="E82" s="23"/>
      <c r="F82" s="34"/>
      <c r="G82" s="34"/>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154</v>
      </c>
      <c r="D85" s="23"/>
      <c r="E85" s="23"/>
      <c r="F85" s="34"/>
      <c r="G85" s="34"/>
      <c r="H85" s="25" t="s">
        <v>148</v>
      </c>
    </row>
    <row r="86" spans="1:8" x14ac:dyDescent="0.2">
      <c r="A86" s="26">
        <v>1</v>
      </c>
      <c r="B86" s="27"/>
      <c r="C86" s="27" t="s">
        <v>961</v>
      </c>
      <c r="D86" s="27" t="s">
        <v>519</v>
      </c>
      <c r="E86" s="28">
        <v>-175</v>
      </c>
      <c r="F86" s="29">
        <v>-5.4164250000000003</v>
      </c>
      <c r="G86" s="30">
        <f>F86/$F$185</f>
        <v>-5.243705947727336E-5</v>
      </c>
      <c r="H86" s="25" t="s">
        <v>148</v>
      </c>
    </row>
    <row r="87" spans="1:8" x14ac:dyDescent="0.2">
      <c r="A87" s="26">
        <v>2</v>
      </c>
      <c r="B87" s="27"/>
      <c r="C87" s="27" t="s">
        <v>988</v>
      </c>
      <c r="D87" s="27" t="s">
        <v>519</v>
      </c>
      <c r="E87" s="28">
        <v>-3400</v>
      </c>
      <c r="F87" s="29">
        <v>-11.056800000000001</v>
      </c>
      <c r="G87" s="30">
        <f t="shared" ref="G87:G123" si="0">F87/$F$185</f>
        <v>-1.0704220574056062E-4</v>
      </c>
      <c r="H87" s="25" t="s">
        <v>148</v>
      </c>
    </row>
    <row r="88" spans="1:8" x14ac:dyDescent="0.2">
      <c r="A88" s="26">
        <v>3</v>
      </c>
      <c r="B88" s="27"/>
      <c r="C88" s="27" t="s">
        <v>985</v>
      </c>
      <c r="D88" s="27" t="s">
        <v>519</v>
      </c>
      <c r="E88" s="28">
        <v>-9000</v>
      </c>
      <c r="F88" s="29">
        <v>-41.971499999999999</v>
      </c>
      <c r="G88" s="30">
        <f t="shared" si="0"/>
        <v>-4.0633112096085121E-4</v>
      </c>
      <c r="H88" s="25" t="s">
        <v>148</v>
      </c>
    </row>
    <row r="89" spans="1:8" x14ac:dyDescent="0.2">
      <c r="A89" s="26">
        <v>4</v>
      </c>
      <c r="B89" s="27"/>
      <c r="C89" s="27" t="s">
        <v>1001</v>
      </c>
      <c r="D89" s="27" t="s">
        <v>519</v>
      </c>
      <c r="E89" s="28">
        <v>-2000</v>
      </c>
      <c r="F89" s="29">
        <v>-46.423000000000002</v>
      </c>
      <c r="G89" s="30">
        <f t="shared" si="0"/>
        <v>-4.4942662588579388E-4</v>
      </c>
      <c r="H89" s="25" t="s">
        <v>148</v>
      </c>
    </row>
    <row r="90" spans="1:8" x14ac:dyDescent="0.2">
      <c r="A90" s="26">
        <v>5</v>
      </c>
      <c r="B90" s="27"/>
      <c r="C90" s="27" t="s">
        <v>977</v>
      </c>
      <c r="D90" s="27" t="s">
        <v>519</v>
      </c>
      <c r="E90" s="28">
        <v>-750</v>
      </c>
      <c r="F90" s="29">
        <v>-64.327875000000006</v>
      </c>
      <c r="G90" s="30">
        <f t="shared" si="0"/>
        <v>-6.2276586630879332E-4</v>
      </c>
      <c r="H90" s="25" t="s">
        <v>148</v>
      </c>
    </row>
    <row r="91" spans="1:8" x14ac:dyDescent="0.2">
      <c r="A91" s="26">
        <v>6</v>
      </c>
      <c r="B91" s="27"/>
      <c r="C91" s="27" t="s">
        <v>962</v>
      </c>
      <c r="D91" s="27" t="s">
        <v>519</v>
      </c>
      <c r="E91" s="28">
        <v>-6000</v>
      </c>
      <c r="F91" s="29">
        <v>-113.004</v>
      </c>
      <c r="G91" s="30">
        <f t="shared" si="0"/>
        <v>-1.0940052653124152E-3</v>
      </c>
      <c r="H91" s="25" t="s">
        <v>148</v>
      </c>
    </row>
    <row r="92" spans="1:8" x14ac:dyDescent="0.2">
      <c r="A92" s="26">
        <v>7</v>
      </c>
      <c r="B92" s="27"/>
      <c r="C92" s="27" t="s">
        <v>1016</v>
      </c>
      <c r="D92" s="27" t="s">
        <v>519</v>
      </c>
      <c r="E92" s="28">
        <v>-7650</v>
      </c>
      <c r="F92" s="29">
        <v>-145.636875</v>
      </c>
      <c r="G92" s="30">
        <f t="shared" si="0"/>
        <v>-1.4099280385972714E-3</v>
      </c>
      <c r="H92" s="25" t="s">
        <v>148</v>
      </c>
    </row>
    <row r="93" spans="1:8" x14ac:dyDescent="0.2">
      <c r="A93" s="26">
        <v>8</v>
      </c>
      <c r="B93" s="27"/>
      <c r="C93" s="27" t="s">
        <v>983</v>
      </c>
      <c r="D93" s="27" t="s">
        <v>519</v>
      </c>
      <c r="E93" s="28">
        <v>-4550</v>
      </c>
      <c r="F93" s="29">
        <v>-159.42972499999999</v>
      </c>
      <c r="G93" s="30">
        <f t="shared" si="0"/>
        <v>-1.5434582722497468E-3</v>
      </c>
      <c r="H93" s="25" t="s">
        <v>148</v>
      </c>
    </row>
    <row r="94" spans="1:8" x14ac:dyDescent="0.2">
      <c r="A94" s="26">
        <v>9</v>
      </c>
      <c r="B94" s="27"/>
      <c r="C94" s="27" t="s">
        <v>986</v>
      </c>
      <c r="D94" s="27" t="s">
        <v>519</v>
      </c>
      <c r="E94" s="28">
        <v>-27500</v>
      </c>
      <c r="F94" s="29">
        <v>-171.655</v>
      </c>
      <c r="G94" s="30">
        <f t="shared" si="0"/>
        <v>-1.6618126244841123E-3</v>
      </c>
      <c r="H94" s="25" t="s">
        <v>148</v>
      </c>
    </row>
    <row r="95" spans="1:8" x14ac:dyDescent="0.2">
      <c r="A95" s="26">
        <v>10</v>
      </c>
      <c r="B95" s="27"/>
      <c r="C95" s="27" t="s">
        <v>1017</v>
      </c>
      <c r="D95" s="27" t="s">
        <v>519</v>
      </c>
      <c r="E95" s="28">
        <v>-1750</v>
      </c>
      <c r="F95" s="29">
        <v>-178.37312499999999</v>
      </c>
      <c r="G95" s="30">
        <f t="shared" si="0"/>
        <v>-1.7268515976445928E-3</v>
      </c>
      <c r="H95" s="25" t="s">
        <v>148</v>
      </c>
    </row>
    <row r="96" spans="1:8" x14ac:dyDescent="0.2">
      <c r="A96" s="26">
        <v>11</v>
      </c>
      <c r="B96" s="27"/>
      <c r="C96" s="27" t="s">
        <v>1018</v>
      </c>
      <c r="D96" s="27" t="s">
        <v>519</v>
      </c>
      <c r="E96" s="28">
        <v>-5250</v>
      </c>
      <c r="F96" s="29">
        <v>-194.0505</v>
      </c>
      <c r="G96" s="30">
        <f t="shared" si="0"/>
        <v>-1.878626143645418E-3</v>
      </c>
      <c r="H96" s="25" t="s">
        <v>148</v>
      </c>
    </row>
    <row r="97" spans="1:8" ht="25.5" x14ac:dyDescent="0.2">
      <c r="A97" s="26">
        <v>12</v>
      </c>
      <c r="B97" s="27"/>
      <c r="C97" s="27" t="s">
        <v>980</v>
      </c>
      <c r="D97" s="27" t="s">
        <v>519</v>
      </c>
      <c r="E97" s="28">
        <v>-12950</v>
      </c>
      <c r="F97" s="29">
        <v>-207.54317499999999</v>
      </c>
      <c r="G97" s="30">
        <f t="shared" si="0"/>
        <v>-2.0092503471528089E-3</v>
      </c>
      <c r="H97" s="25" t="s">
        <v>148</v>
      </c>
    </row>
    <row r="98" spans="1:8" ht="25.5" x14ac:dyDescent="0.2">
      <c r="A98" s="26">
        <v>13</v>
      </c>
      <c r="B98" s="27"/>
      <c r="C98" s="27" t="s">
        <v>1019</v>
      </c>
      <c r="D98" s="27" t="s">
        <v>519</v>
      </c>
      <c r="E98" s="28">
        <v>-15625</v>
      </c>
      <c r="F98" s="29">
        <v>-220.1015625</v>
      </c>
      <c r="G98" s="30">
        <f t="shared" si="0"/>
        <v>-2.1308296014166724E-3</v>
      </c>
      <c r="H98" s="25" t="s">
        <v>148</v>
      </c>
    </row>
    <row r="99" spans="1:8" x14ac:dyDescent="0.2">
      <c r="A99" s="26">
        <v>14</v>
      </c>
      <c r="B99" s="27"/>
      <c r="C99" s="27" t="s">
        <v>969</v>
      </c>
      <c r="D99" s="27" t="s">
        <v>519</v>
      </c>
      <c r="E99" s="28">
        <v>-15750</v>
      </c>
      <c r="F99" s="29">
        <v>-225.61875000000001</v>
      </c>
      <c r="G99" s="30">
        <f t="shared" si="0"/>
        <v>-2.1842421547308543E-3</v>
      </c>
      <c r="H99" s="25" t="s">
        <v>148</v>
      </c>
    </row>
    <row r="100" spans="1:8" x14ac:dyDescent="0.2">
      <c r="A100" s="26">
        <v>15</v>
      </c>
      <c r="B100" s="27"/>
      <c r="C100" s="27" t="s">
        <v>981</v>
      </c>
      <c r="D100" s="27" t="s">
        <v>519</v>
      </c>
      <c r="E100" s="28">
        <v>-35475</v>
      </c>
      <c r="F100" s="29">
        <v>-226.0644375</v>
      </c>
      <c r="G100" s="30">
        <f t="shared" si="0"/>
        <v>-2.1885569088252576E-3</v>
      </c>
      <c r="H100" s="25" t="s">
        <v>148</v>
      </c>
    </row>
    <row r="101" spans="1:8" x14ac:dyDescent="0.2">
      <c r="A101" s="26">
        <v>16</v>
      </c>
      <c r="B101" s="27"/>
      <c r="C101" s="27" t="s">
        <v>1020</v>
      </c>
      <c r="D101" s="27" t="s">
        <v>519</v>
      </c>
      <c r="E101" s="28">
        <v>-18200</v>
      </c>
      <c r="F101" s="29">
        <v>-234.61619999999999</v>
      </c>
      <c r="G101" s="30">
        <f t="shared" si="0"/>
        <v>-2.2713475463487193E-3</v>
      </c>
      <c r="H101" s="25" t="s">
        <v>148</v>
      </c>
    </row>
    <row r="102" spans="1:8" x14ac:dyDescent="0.2">
      <c r="A102" s="26">
        <v>17</v>
      </c>
      <c r="B102" s="27"/>
      <c r="C102" s="27" t="s">
        <v>982</v>
      </c>
      <c r="D102" s="27" t="s">
        <v>519</v>
      </c>
      <c r="E102" s="28">
        <v>-12600</v>
      </c>
      <c r="F102" s="29">
        <v>-264.87090000000001</v>
      </c>
      <c r="G102" s="30">
        <f t="shared" si="0"/>
        <v>-2.564246922480958E-3</v>
      </c>
      <c r="H102" s="25" t="s">
        <v>148</v>
      </c>
    </row>
    <row r="103" spans="1:8" x14ac:dyDescent="0.2">
      <c r="A103" s="26">
        <v>18</v>
      </c>
      <c r="B103" s="27"/>
      <c r="C103" s="27" t="s">
        <v>967</v>
      </c>
      <c r="D103" s="27" t="s">
        <v>519</v>
      </c>
      <c r="E103" s="28">
        <v>-44000</v>
      </c>
      <c r="F103" s="29">
        <v>-468.49</v>
      </c>
      <c r="G103" s="30">
        <f t="shared" si="0"/>
        <v>-4.5355078293353637E-3</v>
      </c>
      <c r="H103" s="25" t="s">
        <v>148</v>
      </c>
    </row>
    <row r="104" spans="1:8" x14ac:dyDescent="0.2">
      <c r="A104" s="26">
        <v>19</v>
      </c>
      <c r="B104" s="27"/>
      <c r="C104" s="27" t="s">
        <v>1021</v>
      </c>
      <c r="D104" s="27" t="s">
        <v>519</v>
      </c>
      <c r="E104" s="28">
        <v>-78100</v>
      </c>
      <c r="F104" s="29">
        <v>-477.89389999999997</v>
      </c>
      <c r="G104" s="30">
        <f t="shared" si="0"/>
        <v>-4.6265481121082865E-3</v>
      </c>
      <c r="H104" s="25" t="s">
        <v>148</v>
      </c>
    </row>
    <row r="105" spans="1:8" ht="25.5" x14ac:dyDescent="0.2">
      <c r="A105" s="26">
        <v>20</v>
      </c>
      <c r="B105" s="27"/>
      <c r="C105" s="27" t="s">
        <v>964</v>
      </c>
      <c r="D105" s="27" t="s">
        <v>519</v>
      </c>
      <c r="E105" s="28">
        <v>-208000</v>
      </c>
      <c r="F105" s="29">
        <v>-505.23200000000003</v>
      </c>
      <c r="G105" s="30">
        <f t="shared" si="0"/>
        <v>-4.8912115341432352E-3</v>
      </c>
      <c r="H105" s="25" t="s">
        <v>148</v>
      </c>
    </row>
    <row r="106" spans="1:8" x14ac:dyDescent="0.2">
      <c r="A106" s="26">
        <v>21</v>
      </c>
      <c r="B106" s="27"/>
      <c r="C106" s="27" t="s">
        <v>959</v>
      </c>
      <c r="D106" s="27" t="s">
        <v>519</v>
      </c>
      <c r="E106" s="28">
        <v>-178500</v>
      </c>
      <c r="F106" s="29">
        <v>-558.16949999999997</v>
      </c>
      <c r="G106" s="30">
        <f t="shared" si="0"/>
        <v>-5.4037058151640482E-3</v>
      </c>
      <c r="H106" s="25" t="s">
        <v>148</v>
      </c>
    </row>
    <row r="107" spans="1:8" x14ac:dyDescent="0.2">
      <c r="A107" s="26">
        <v>22</v>
      </c>
      <c r="B107" s="27"/>
      <c r="C107" s="27" t="s">
        <v>1022</v>
      </c>
      <c r="D107" s="27" t="s">
        <v>519</v>
      </c>
      <c r="E107" s="28">
        <v>-29750</v>
      </c>
      <c r="F107" s="29">
        <v>-664.39187500000003</v>
      </c>
      <c r="G107" s="30">
        <f t="shared" si="0"/>
        <v>-6.4320573562067539E-3</v>
      </c>
      <c r="H107" s="25" t="s">
        <v>148</v>
      </c>
    </row>
    <row r="108" spans="1:8" x14ac:dyDescent="0.2">
      <c r="A108" s="26">
        <v>23</v>
      </c>
      <c r="B108" s="27"/>
      <c r="C108" s="27" t="s">
        <v>1023</v>
      </c>
      <c r="D108" s="27" t="s">
        <v>519</v>
      </c>
      <c r="E108" s="28">
        <v>-15750</v>
      </c>
      <c r="F108" s="29">
        <v>-706.37175000000002</v>
      </c>
      <c r="G108" s="30">
        <f t="shared" si="0"/>
        <v>-6.8384695565461839E-3</v>
      </c>
      <c r="H108" s="25" t="s">
        <v>148</v>
      </c>
    </row>
    <row r="109" spans="1:8" x14ac:dyDescent="0.2">
      <c r="A109" s="26">
        <v>24</v>
      </c>
      <c r="B109" s="27"/>
      <c r="C109" s="27" t="s">
        <v>974</v>
      </c>
      <c r="D109" s="27" t="s">
        <v>519</v>
      </c>
      <c r="E109" s="28">
        <v>-406575</v>
      </c>
      <c r="F109" s="29">
        <v>-804.89652750000005</v>
      </c>
      <c r="G109" s="30">
        <f t="shared" si="0"/>
        <v>-7.7922997337853458E-3</v>
      </c>
      <c r="H109" s="25" t="s">
        <v>148</v>
      </c>
    </row>
    <row r="110" spans="1:8" x14ac:dyDescent="0.2">
      <c r="A110" s="26">
        <v>25</v>
      </c>
      <c r="B110" s="27"/>
      <c r="C110" s="27" t="s">
        <v>1024</v>
      </c>
      <c r="D110" s="27" t="s">
        <v>519</v>
      </c>
      <c r="E110" s="28">
        <v>-89100</v>
      </c>
      <c r="F110" s="29">
        <v>-851.9742</v>
      </c>
      <c r="G110" s="30">
        <f t="shared" si="0"/>
        <v>-8.2480643225932952E-3</v>
      </c>
      <c r="H110" s="25" t="s">
        <v>148</v>
      </c>
    </row>
    <row r="111" spans="1:8" x14ac:dyDescent="0.2">
      <c r="A111" s="26">
        <v>26</v>
      </c>
      <c r="B111" s="27"/>
      <c r="C111" s="27" t="s">
        <v>991</v>
      </c>
      <c r="D111" s="27" t="s">
        <v>519</v>
      </c>
      <c r="E111" s="28">
        <v>-72800</v>
      </c>
      <c r="F111" s="29">
        <v>-881.82640000000004</v>
      </c>
      <c r="G111" s="30">
        <f t="shared" si="0"/>
        <v>-8.5370670479938057E-3</v>
      </c>
      <c r="H111" s="25" t="s">
        <v>148</v>
      </c>
    </row>
    <row r="112" spans="1:8" x14ac:dyDescent="0.2">
      <c r="A112" s="26">
        <v>27</v>
      </c>
      <c r="B112" s="27"/>
      <c r="C112" s="27" t="s">
        <v>979</v>
      </c>
      <c r="D112" s="27" t="s">
        <v>519</v>
      </c>
      <c r="E112" s="28">
        <v>-149800</v>
      </c>
      <c r="F112" s="29">
        <v>-952.80290000000002</v>
      </c>
      <c r="G112" s="30">
        <f t="shared" si="0"/>
        <v>-9.224199049634868E-3</v>
      </c>
      <c r="H112" s="25" t="s">
        <v>148</v>
      </c>
    </row>
    <row r="113" spans="1:8" x14ac:dyDescent="0.2">
      <c r="A113" s="26">
        <v>28</v>
      </c>
      <c r="B113" s="27"/>
      <c r="C113" s="27" t="s">
        <v>1005</v>
      </c>
      <c r="D113" s="27" t="s">
        <v>519</v>
      </c>
      <c r="E113" s="28">
        <v>-47700</v>
      </c>
      <c r="F113" s="29">
        <v>-1051.0218</v>
      </c>
      <c r="G113" s="30">
        <f t="shared" si="0"/>
        <v>-1.0175067990143111E-2</v>
      </c>
      <c r="H113" s="25" t="s">
        <v>148</v>
      </c>
    </row>
    <row r="114" spans="1:8" x14ac:dyDescent="0.2">
      <c r="A114" s="26">
        <v>29</v>
      </c>
      <c r="B114" s="27"/>
      <c r="C114" s="27" t="s">
        <v>1025</v>
      </c>
      <c r="D114" s="27" t="s">
        <v>519</v>
      </c>
      <c r="E114" s="28">
        <v>-10300</v>
      </c>
      <c r="F114" s="29">
        <v>-1235.9691</v>
      </c>
      <c r="G114" s="30">
        <f t="shared" si="0"/>
        <v>-1.1965564963748601E-2</v>
      </c>
      <c r="H114" s="25" t="s">
        <v>148</v>
      </c>
    </row>
    <row r="115" spans="1:8" x14ac:dyDescent="0.2">
      <c r="A115" s="26">
        <v>30</v>
      </c>
      <c r="B115" s="27"/>
      <c r="C115" s="27" t="s">
        <v>987</v>
      </c>
      <c r="D115" s="27" t="s">
        <v>519</v>
      </c>
      <c r="E115" s="28">
        <v>-321600</v>
      </c>
      <c r="F115" s="29">
        <v>-1276.1088</v>
      </c>
      <c r="G115" s="30">
        <f t="shared" si="0"/>
        <v>-1.2354162209404161E-2</v>
      </c>
      <c r="H115" s="25" t="s">
        <v>148</v>
      </c>
    </row>
    <row r="116" spans="1:8" x14ac:dyDescent="0.2">
      <c r="A116" s="26">
        <v>31</v>
      </c>
      <c r="B116" s="27"/>
      <c r="C116" s="27" t="s">
        <v>984</v>
      </c>
      <c r="D116" s="27" t="s">
        <v>519</v>
      </c>
      <c r="E116" s="28">
        <v>-43200</v>
      </c>
      <c r="F116" s="29">
        <v>-1374.4079999999999</v>
      </c>
      <c r="G116" s="30">
        <f t="shared" si="0"/>
        <v>-1.3305808543834783E-2</v>
      </c>
      <c r="H116" s="25" t="s">
        <v>148</v>
      </c>
    </row>
    <row r="117" spans="1:8" x14ac:dyDescent="0.2">
      <c r="A117" s="26">
        <v>32</v>
      </c>
      <c r="B117" s="27"/>
      <c r="C117" s="27" t="s">
        <v>973</v>
      </c>
      <c r="D117" s="27" t="s">
        <v>519</v>
      </c>
      <c r="E117" s="28">
        <v>-117600</v>
      </c>
      <c r="F117" s="29">
        <v>-2251.2168000000001</v>
      </c>
      <c r="G117" s="30">
        <f t="shared" si="0"/>
        <v>-2.1794299604967669E-2</v>
      </c>
      <c r="H117" s="25" t="s">
        <v>148</v>
      </c>
    </row>
    <row r="118" spans="1:8" x14ac:dyDescent="0.2">
      <c r="A118" s="26">
        <v>33</v>
      </c>
      <c r="B118" s="27"/>
      <c r="C118" s="27" t="s">
        <v>963</v>
      </c>
      <c r="D118" s="27" t="s">
        <v>519</v>
      </c>
      <c r="E118" s="28">
        <v>-104650</v>
      </c>
      <c r="F118" s="29">
        <v>-2721.8418499999998</v>
      </c>
      <c r="G118" s="30">
        <f t="shared" si="0"/>
        <v>-2.6350477109196885E-2</v>
      </c>
      <c r="H118" s="25" t="s">
        <v>148</v>
      </c>
    </row>
    <row r="119" spans="1:8" x14ac:dyDescent="0.2">
      <c r="A119" s="26">
        <v>34</v>
      </c>
      <c r="B119" s="27"/>
      <c r="C119" s="27" t="s">
        <v>1002</v>
      </c>
      <c r="D119" s="27" t="s">
        <v>519</v>
      </c>
      <c r="E119" s="28">
        <v>-191100</v>
      </c>
      <c r="F119" s="29">
        <v>-3023.8708499999998</v>
      </c>
      <c r="G119" s="30">
        <f t="shared" si="0"/>
        <v>-2.9274456050447137E-2</v>
      </c>
      <c r="H119" s="25" t="s">
        <v>148</v>
      </c>
    </row>
    <row r="120" spans="1:8" x14ac:dyDescent="0.2">
      <c r="A120" s="26">
        <v>35</v>
      </c>
      <c r="B120" s="27"/>
      <c r="C120" s="27" t="s">
        <v>990</v>
      </c>
      <c r="D120" s="27" t="s">
        <v>519</v>
      </c>
      <c r="E120" s="28">
        <v>-302500</v>
      </c>
      <c r="F120" s="29">
        <v>-3089.7350000000001</v>
      </c>
      <c r="G120" s="30">
        <f t="shared" si="0"/>
        <v>-2.9912094779123353E-2</v>
      </c>
      <c r="H120" s="25" t="s">
        <v>148</v>
      </c>
    </row>
    <row r="121" spans="1:8" x14ac:dyDescent="0.2">
      <c r="A121" s="26">
        <v>36</v>
      </c>
      <c r="B121" s="27"/>
      <c r="C121" s="27" t="s">
        <v>976</v>
      </c>
      <c r="D121" s="27" t="s">
        <v>519</v>
      </c>
      <c r="E121" s="28">
        <v>-244625</v>
      </c>
      <c r="F121" s="29">
        <v>-3863.3626250000002</v>
      </c>
      <c r="G121" s="30">
        <f t="shared" si="0"/>
        <v>-3.7401676520841684E-2</v>
      </c>
      <c r="H121" s="25" t="s">
        <v>148</v>
      </c>
    </row>
    <row r="122" spans="1:8" x14ac:dyDescent="0.2">
      <c r="A122" s="26">
        <v>37</v>
      </c>
      <c r="B122" s="27"/>
      <c r="C122" s="27" t="s">
        <v>1006</v>
      </c>
      <c r="D122" s="27" t="s">
        <v>519</v>
      </c>
      <c r="E122" s="28">
        <v>-312400</v>
      </c>
      <c r="F122" s="29">
        <v>-5305.3329999999996</v>
      </c>
      <c r="G122" s="30">
        <f t="shared" si="0"/>
        <v>-5.1361564513076628E-2</v>
      </c>
      <c r="H122" s="25" t="s">
        <v>148</v>
      </c>
    </row>
    <row r="123" spans="1:8" x14ac:dyDescent="0.2">
      <c r="A123" s="26">
        <v>38</v>
      </c>
      <c r="B123" s="27"/>
      <c r="C123" s="27" t="s">
        <v>992</v>
      </c>
      <c r="D123" s="27" t="s">
        <v>519</v>
      </c>
      <c r="E123" s="28">
        <v>-609500</v>
      </c>
      <c r="F123" s="29">
        <v>-7353.6175000000003</v>
      </c>
      <c r="G123" s="30">
        <f t="shared" si="0"/>
        <v>-7.1191252204289401E-2</v>
      </c>
      <c r="H123" s="25" t="s">
        <v>148</v>
      </c>
    </row>
    <row r="124" spans="1:8" x14ac:dyDescent="0.2">
      <c r="A124" s="23"/>
      <c r="B124" s="23"/>
      <c r="C124" s="24" t="s">
        <v>147</v>
      </c>
      <c r="D124" s="23"/>
      <c r="E124" s="23" t="s">
        <v>148</v>
      </c>
      <c r="F124" s="31">
        <f>SUM(F86:F123)</f>
        <v>-41928.694227500004</v>
      </c>
      <c r="G124" s="32">
        <f>SUM(G86:G123)</f>
        <v>-0.40591671314784666</v>
      </c>
      <c r="H124" s="25" t="s">
        <v>148</v>
      </c>
    </row>
    <row r="125" spans="1:8" x14ac:dyDescent="0.2">
      <c r="A125" s="23"/>
      <c r="B125" s="23"/>
      <c r="C125" s="33"/>
      <c r="D125" s="23"/>
      <c r="E125" s="23"/>
      <c r="F125" s="34"/>
      <c r="G125" s="34"/>
      <c r="H125" s="25" t="s">
        <v>148</v>
      </c>
    </row>
    <row r="126" spans="1:8" x14ac:dyDescent="0.2">
      <c r="A126" s="23"/>
      <c r="B126" s="23"/>
      <c r="C126" s="24" t="s">
        <v>155</v>
      </c>
      <c r="D126" s="23"/>
      <c r="E126" s="23"/>
      <c r="F126" s="31">
        <f>F71</f>
        <v>71874.398294500003</v>
      </c>
      <c r="G126" s="32">
        <f>G71</f>
        <v>0.69582471000000001</v>
      </c>
      <c r="H126" s="25" t="s">
        <v>148</v>
      </c>
    </row>
    <row r="127" spans="1:8" x14ac:dyDescent="0.2">
      <c r="A127" s="23"/>
      <c r="B127" s="23"/>
      <c r="C127" s="33"/>
      <c r="D127" s="23"/>
      <c r="E127" s="23"/>
      <c r="F127" s="34"/>
      <c r="G127" s="34"/>
      <c r="H127" s="25" t="s">
        <v>148</v>
      </c>
    </row>
    <row r="128" spans="1:8" x14ac:dyDescent="0.2">
      <c r="A128" s="23"/>
      <c r="B128" s="23"/>
      <c r="C128" s="24" t="s">
        <v>156</v>
      </c>
      <c r="D128" s="23"/>
      <c r="E128" s="23"/>
      <c r="F128" s="34"/>
      <c r="G128" s="34"/>
      <c r="H128" s="25" t="s">
        <v>148</v>
      </c>
    </row>
    <row r="129" spans="1:8" x14ac:dyDescent="0.2">
      <c r="A129" s="23"/>
      <c r="B129" s="23"/>
      <c r="C129" s="24" t="s">
        <v>10</v>
      </c>
      <c r="D129" s="23"/>
      <c r="E129" s="23"/>
      <c r="F129" s="34"/>
      <c r="G129" s="34"/>
      <c r="H129" s="25" t="s">
        <v>148</v>
      </c>
    </row>
    <row r="130" spans="1:8" x14ac:dyDescent="0.2">
      <c r="A130" s="26">
        <v>1</v>
      </c>
      <c r="B130" s="27" t="s">
        <v>711</v>
      </c>
      <c r="C130" s="27" t="s">
        <v>712</v>
      </c>
      <c r="D130" s="27" t="s">
        <v>546</v>
      </c>
      <c r="E130" s="28">
        <v>250</v>
      </c>
      <c r="F130" s="29">
        <v>2451.875</v>
      </c>
      <c r="G130" s="30">
        <v>2.3736899999999998E-2</v>
      </c>
      <c r="H130" s="25">
        <v>7.74</v>
      </c>
    </row>
    <row r="131" spans="1:8" ht="25.5" x14ac:dyDescent="0.2">
      <c r="A131" s="26">
        <v>2</v>
      </c>
      <c r="B131" s="27" t="s">
        <v>571</v>
      </c>
      <c r="C131" s="27" t="s">
        <v>572</v>
      </c>
      <c r="D131" s="27" t="s">
        <v>546</v>
      </c>
      <c r="E131" s="28">
        <v>1500</v>
      </c>
      <c r="F131" s="29">
        <v>1494.867</v>
      </c>
      <c r="G131" s="30">
        <v>1.4471990000000001E-2</v>
      </c>
      <c r="H131" s="25">
        <v>7.63</v>
      </c>
    </row>
    <row r="132" spans="1:8" ht="25.5" x14ac:dyDescent="0.2">
      <c r="A132" s="26">
        <v>3</v>
      </c>
      <c r="B132" s="27" t="s">
        <v>541</v>
      </c>
      <c r="C132" s="27" t="s">
        <v>542</v>
      </c>
      <c r="D132" s="27" t="s">
        <v>543</v>
      </c>
      <c r="E132" s="28">
        <v>1000</v>
      </c>
      <c r="F132" s="29">
        <v>1003.91</v>
      </c>
      <c r="G132" s="30">
        <v>9.7189700000000004E-3</v>
      </c>
      <c r="H132" s="25">
        <v>7.58</v>
      </c>
    </row>
    <row r="133" spans="1:8" x14ac:dyDescent="0.2">
      <c r="A133" s="26">
        <v>4</v>
      </c>
      <c r="B133" s="27" t="s">
        <v>713</v>
      </c>
      <c r="C133" s="27" t="s">
        <v>714</v>
      </c>
      <c r="D133" s="27" t="s">
        <v>546</v>
      </c>
      <c r="E133" s="28">
        <v>1000</v>
      </c>
      <c r="F133" s="29">
        <v>999.86699999999996</v>
      </c>
      <c r="G133" s="30">
        <v>9.6798300000000004E-3</v>
      </c>
      <c r="H133" s="25">
        <v>7.6</v>
      </c>
    </row>
    <row r="134" spans="1:8" ht="25.5" x14ac:dyDescent="0.2">
      <c r="A134" s="26">
        <v>5</v>
      </c>
      <c r="B134" s="27" t="s">
        <v>569</v>
      </c>
      <c r="C134" s="27" t="s">
        <v>570</v>
      </c>
      <c r="D134" s="27" t="s">
        <v>546</v>
      </c>
      <c r="E134" s="28">
        <v>1000</v>
      </c>
      <c r="F134" s="29">
        <v>998.57299999999998</v>
      </c>
      <c r="G134" s="30">
        <v>9.6673100000000001E-3</v>
      </c>
      <c r="H134" s="25">
        <v>7.33</v>
      </c>
    </row>
    <row r="135" spans="1:8" ht="25.5" x14ac:dyDescent="0.2">
      <c r="A135" s="26">
        <v>6</v>
      </c>
      <c r="B135" s="27" t="s">
        <v>715</v>
      </c>
      <c r="C135" s="27" t="s">
        <v>716</v>
      </c>
      <c r="D135" s="27" t="s">
        <v>546</v>
      </c>
      <c r="E135" s="28">
        <v>1000</v>
      </c>
      <c r="F135" s="29">
        <v>997.53</v>
      </c>
      <c r="G135" s="30">
        <v>9.6572099999999994E-3</v>
      </c>
      <c r="H135" s="25">
        <v>7.63</v>
      </c>
    </row>
    <row r="136" spans="1:8" x14ac:dyDescent="0.2">
      <c r="A136" s="23"/>
      <c r="B136" s="23"/>
      <c r="C136" s="24" t="s">
        <v>147</v>
      </c>
      <c r="D136" s="23"/>
      <c r="E136" s="23" t="s">
        <v>148</v>
      </c>
      <c r="F136" s="31">
        <v>7946.6220000000003</v>
      </c>
      <c r="G136" s="32">
        <v>7.6932210000000001E-2</v>
      </c>
      <c r="H136" s="25" t="s">
        <v>148</v>
      </c>
    </row>
    <row r="137" spans="1:8" x14ac:dyDescent="0.2">
      <c r="A137" s="23"/>
      <c r="B137" s="23"/>
      <c r="C137" s="33"/>
      <c r="D137" s="23"/>
      <c r="E137" s="23"/>
      <c r="F137" s="34"/>
      <c r="G137" s="34"/>
      <c r="H137" s="25" t="s">
        <v>148</v>
      </c>
    </row>
    <row r="138" spans="1:8" x14ac:dyDescent="0.2">
      <c r="A138" s="23"/>
      <c r="B138" s="23"/>
      <c r="C138" s="24" t="s">
        <v>157</v>
      </c>
      <c r="D138" s="23"/>
      <c r="E138" s="23"/>
      <c r="F138" s="23"/>
      <c r="G138" s="23"/>
      <c r="H138" s="25" t="s">
        <v>148</v>
      </c>
    </row>
    <row r="139" spans="1:8" x14ac:dyDescent="0.2">
      <c r="A139" s="23"/>
      <c r="B139" s="23"/>
      <c r="C139" s="24" t="s">
        <v>147</v>
      </c>
      <c r="D139" s="23"/>
      <c r="E139" s="23" t="s">
        <v>148</v>
      </c>
      <c r="F139" s="35" t="s">
        <v>150</v>
      </c>
      <c r="G139" s="32">
        <v>0</v>
      </c>
      <c r="H139" s="25" t="s">
        <v>148</v>
      </c>
    </row>
    <row r="140" spans="1:8" x14ac:dyDescent="0.2">
      <c r="A140" s="23"/>
      <c r="B140" s="23"/>
      <c r="C140" s="33"/>
      <c r="D140" s="23"/>
      <c r="E140" s="23"/>
      <c r="F140" s="34"/>
      <c r="G140" s="34"/>
      <c r="H140" s="25" t="s">
        <v>148</v>
      </c>
    </row>
    <row r="141" spans="1:8" x14ac:dyDescent="0.2">
      <c r="A141" s="23"/>
      <c r="B141" s="23"/>
      <c r="C141" s="24" t="s">
        <v>158</v>
      </c>
      <c r="D141" s="23"/>
      <c r="E141" s="23"/>
      <c r="F141" s="23"/>
      <c r="G141" s="23"/>
      <c r="H141" s="25" t="s">
        <v>148</v>
      </c>
    </row>
    <row r="142" spans="1:8" x14ac:dyDescent="0.2">
      <c r="A142" s="26">
        <v>1</v>
      </c>
      <c r="B142" s="27" t="s">
        <v>608</v>
      </c>
      <c r="C142" s="27" t="s">
        <v>1091</v>
      </c>
      <c r="D142" s="27" t="s">
        <v>521</v>
      </c>
      <c r="E142" s="28">
        <v>6500000</v>
      </c>
      <c r="F142" s="29">
        <v>6638.7749999999996</v>
      </c>
      <c r="G142" s="30">
        <v>6.427078E-2</v>
      </c>
      <c r="H142" s="25">
        <v>6.8952999999999998</v>
      </c>
    </row>
    <row r="143" spans="1:8" x14ac:dyDescent="0.2">
      <c r="A143" s="26">
        <v>2</v>
      </c>
      <c r="B143" s="27" t="s">
        <v>610</v>
      </c>
      <c r="C143" s="27" t="s">
        <v>1084</v>
      </c>
      <c r="D143" s="27" t="s">
        <v>521</v>
      </c>
      <c r="E143" s="28">
        <v>1500000</v>
      </c>
      <c r="F143" s="29">
        <v>1542.2294999999999</v>
      </c>
      <c r="G143" s="30">
        <v>1.4930509999999999E-2</v>
      </c>
      <c r="H143" s="25">
        <v>7.0327999999999999</v>
      </c>
    </row>
    <row r="144" spans="1:8" x14ac:dyDescent="0.2">
      <c r="A144" s="26">
        <v>3</v>
      </c>
      <c r="B144" s="27" t="s">
        <v>717</v>
      </c>
      <c r="C144" s="27" t="s">
        <v>1092</v>
      </c>
      <c r="D144" s="27" t="s">
        <v>521</v>
      </c>
      <c r="E144" s="28">
        <v>1500000</v>
      </c>
      <c r="F144" s="29">
        <v>1536.9075</v>
      </c>
      <c r="G144" s="30">
        <v>1.487899E-2</v>
      </c>
      <c r="H144" s="25">
        <v>6.7043999999999997</v>
      </c>
    </row>
    <row r="145" spans="1:8" x14ac:dyDescent="0.2">
      <c r="A145" s="26">
        <v>4</v>
      </c>
      <c r="B145" s="27" t="s">
        <v>719</v>
      </c>
      <c r="C145" s="27" t="s">
        <v>720</v>
      </c>
      <c r="D145" s="27" t="s">
        <v>521</v>
      </c>
      <c r="E145" s="28">
        <v>500000</v>
      </c>
      <c r="F145" s="29">
        <v>507.40800000000002</v>
      </c>
      <c r="G145" s="30">
        <v>4.9122799999999998E-3</v>
      </c>
      <c r="H145" s="25">
        <v>6.7407000000000004</v>
      </c>
    </row>
    <row r="146" spans="1:8" x14ac:dyDescent="0.2">
      <c r="A146" s="23"/>
      <c r="B146" s="23"/>
      <c r="C146" s="24" t="s">
        <v>147</v>
      </c>
      <c r="D146" s="23"/>
      <c r="E146" s="23" t="s">
        <v>148</v>
      </c>
      <c r="F146" s="31">
        <v>10225.32</v>
      </c>
      <c r="G146" s="32">
        <v>9.8992559999999993E-2</v>
      </c>
      <c r="H146" s="25" t="s">
        <v>148</v>
      </c>
    </row>
    <row r="147" spans="1:8" x14ac:dyDescent="0.2">
      <c r="A147" s="23"/>
      <c r="B147" s="23"/>
      <c r="C147" s="33"/>
      <c r="D147" s="23"/>
      <c r="E147" s="23"/>
      <c r="F147" s="34"/>
      <c r="G147" s="34"/>
      <c r="H147" s="25" t="s">
        <v>148</v>
      </c>
    </row>
    <row r="148" spans="1:8" x14ac:dyDescent="0.2">
      <c r="A148" s="23"/>
      <c r="B148" s="23"/>
      <c r="C148" s="24" t="s">
        <v>159</v>
      </c>
      <c r="D148" s="23"/>
      <c r="E148" s="23"/>
      <c r="F148" s="34"/>
      <c r="G148" s="34"/>
      <c r="H148" s="25" t="s">
        <v>148</v>
      </c>
    </row>
    <row r="149" spans="1:8" x14ac:dyDescent="0.2">
      <c r="A149" s="23"/>
      <c r="B149" s="23"/>
      <c r="C149" s="24" t="s">
        <v>147</v>
      </c>
      <c r="D149" s="23"/>
      <c r="E149" s="23" t="s">
        <v>148</v>
      </c>
      <c r="F149" s="35" t="s">
        <v>150</v>
      </c>
      <c r="G149" s="32">
        <v>0</v>
      </c>
      <c r="H149" s="25" t="s">
        <v>148</v>
      </c>
    </row>
    <row r="150" spans="1:8" x14ac:dyDescent="0.2">
      <c r="A150" s="23"/>
      <c r="B150" s="23"/>
      <c r="C150" s="33"/>
      <c r="D150" s="23"/>
      <c r="E150" s="23"/>
      <c r="F150" s="34"/>
      <c r="G150" s="34"/>
      <c r="H150" s="25" t="s">
        <v>148</v>
      </c>
    </row>
    <row r="151" spans="1:8" x14ac:dyDescent="0.2">
      <c r="A151" s="23"/>
      <c r="B151" s="23"/>
      <c r="C151" s="24" t="s">
        <v>160</v>
      </c>
      <c r="D151" s="23"/>
      <c r="E151" s="23"/>
      <c r="F151" s="31">
        <v>18171.941999999999</v>
      </c>
      <c r="G151" s="32">
        <v>0.17592477000000001</v>
      </c>
      <c r="H151" s="25" t="s">
        <v>148</v>
      </c>
    </row>
    <row r="152" spans="1:8" x14ac:dyDescent="0.2">
      <c r="A152" s="23"/>
      <c r="B152" s="23"/>
      <c r="C152" s="33"/>
      <c r="D152" s="23"/>
      <c r="E152" s="23"/>
      <c r="F152" s="34"/>
      <c r="G152" s="34"/>
      <c r="H152" s="25" t="s">
        <v>148</v>
      </c>
    </row>
    <row r="153" spans="1:8" x14ac:dyDescent="0.2">
      <c r="A153" s="23"/>
      <c r="B153" s="23"/>
      <c r="C153" s="24" t="s">
        <v>161</v>
      </c>
      <c r="D153" s="23"/>
      <c r="E153" s="23"/>
      <c r="F153" s="34"/>
      <c r="G153" s="34"/>
      <c r="H153" s="25" t="s">
        <v>148</v>
      </c>
    </row>
    <row r="154" spans="1:8" x14ac:dyDescent="0.2">
      <c r="A154" s="23"/>
      <c r="B154" s="23"/>
      <c r="C154" s="24" t="s">
        <v>162</v>
      </c>
      <c r="D154" s="23"/>
      <c r="E154" s="23"/>
      <c r="F154" s="34"/>
      <c r="G154" s="34"/>
      <c r="H154" s="25" t="s">
        <v>148</v>
      </c>
    </row>
    <row r="155" spans="1:8" x14ac:dyDescent="0.2">
      <c r="A155" s="26">
        <v>1</v>
      </c>
      <c r="B155" s="27" t="s">
        <v>721</v>
      </c>
      <c r="C155" s="27" t="s">
        <v>722</v>
      </c>
      <c r="D155" s="27" t="s">
        <v>627</v>
      </c>
      <c r="E155" s="28">
        <v>500</v>
      </c>
      <c r="F155" s="29">
        <v>2363.29</v>
      </c>
      <c r="G155" s="30">
        <v>2.287929E-2</v>
      </c>
      <c r="H155" s="25">
        <v>7.5949999999999998</v>
      </c>
    </row>
    <row r="156" spans="1:8" x14ac:dyDescent="0.2">
      <c r="A156" s="26">
        <v>2</v>
      </c>
      <c r="B156" s="27" t="s">
        <v>723</v>
      </c>
      <c r="C156" s="27" t="s">
        <v>724</v>
      </c>
      <c r="D156" s="27" t="s">
        <v>627</v>
      </c>
      <c r="E156" s="28">
        <v>500</v>
      </c>
      <c r="F156" s="29">
        <v>2351.7275</v>
      </c>
      <c r="G156" s="30">
        <v>2.276736E-2</v>
      </c>
      <c r="H156" s="25">
        <v>7.5724999999999998</v>
      </c>
    </row>
    <row r="157" spans="1:8" x14ac:dyDescent="0.2">
      <c r="A157" s="23"/>
      <c r="B157" s="23"/>
      <c r="C157" s="24" t="s">
        <v>147</v>
      </c>
      <c r="D157" s="23"/>
      <c r="E157" s="23" t="s">
        <v>148</v>
      </c>
      <c r="F157" s="31">
        <v>4715.0174999999999</v>
      </c>
      <c r="G157" s="32">
        <v>4.5646649999999997E-2</v>
      </c>
      <c r="H157" s="25" t="s">
        <v>148</v>
      </c>
    </row>
    <row r="158" spans="1:8" x14ac:dyDescent="0.2">
      <c r="A158" s="23"/>
      <c r="B158" s="23"/>
      <c r="C158" s="33"/>
      <c r="D158" s="23"/>
      <c r="E158" s="23"/>
      <c r="F158" s="34"/>
      <c r="G158" s="34"/>
      <c r="H158" s="25" t="s">
        <v>148</v>
      </c>
    </row>
    <row r="159" spans="1:8" x14ac:dyDescent="0.2">
      <c r="A159" s="23"/>
      <c r="B159" s="23"/>
      <c r="C159" s="24" t="s">
        <v>163</v>
      </c>
      <c r="D159" s="23"/>
      <c r="E159" s="23"/>
      <c r="F159" s="34"/>
      <c r="G159" s="34"/>
      <c r="H159" s="25" t="s">
        <v>148</v>
      </c>
    </row>
    <row r="160" spans="1:8" x14ac:dyDescent="0.2">
      <c r="A160" s="23"/>
      <c r="B160" s="23"/>
      <c r="C160" s="24" t="s">
        <v>147</v>
      </c>
      <c r="D160" s="23"/>
      <c r="E160" s="23" t="s">
        <v>148</v>
      </c>
      <c r="F160" s="35" t="s">
        <v>150</v>
      </c>
      <c r="G160" s="32">
        <v>0</v>
      </c>
      <c r="H160" s="25" t="s">
        <v>148</v>
      </c>
    </row>
    <row r="161" spans="1:8" x14ac:dyDescent="0.2">
      <c r="A161" s="23"/>
      <c r="B161" s="23"/>
      <c r="C161" s="33"/>
      <c r="D161" s="23"/>
      <c r="E161" s="23"/>
      <c r="F161" s="34"/>
      <c r="G161" s="34"/>
      <c r="H161" s="25" t="s">
        <v>148</v>
      </c>
    </row>
    <row r="162" spans="1:8" x14ac:dyDescent="0.2">
      <c r="A162" s="23"/>
      <c r="B162" s="23"/>
      <c r="C162" s="24" t="s">
        <v>164</v>
      </c>
      <c r="D162" s="23"/>
      <c r="E162" s="23"/>
      <c r="F162" s="34"/>
      <c r="G162" s="34"/>
      <c r="H162" s="25" t="s">
        <v>148</v>
      </c>
    </row>
    <row r="163" spans="1:8" x14ac:dyDescent="0.2">
      <c r="A163" s="26">
        <v>1</v>
      </c>
      <c r="B163" s="27" t="s">
        <v>725</v>
      </c>
      <c r="C163" s="27" t="s">
        <v>726</v>
      </c>
      <c r="D163" s="27" t="s">
        <v>521</v>
      </c>
      <c r="E163" s="28">
        <v>2500000</v>
      </c>
      <c r="F163" s="29">
        <v>2375.7350000000001</v>
      </c>
      <c r="G163" s="30">
        <v>2.2999780000000001E-2</v>
      </c>
      <c r="H163" s="25">
        <v>6.5381999999999998</v>
      </c>
    </row>
    <row r="164" spans="1:8" x14ac:dyDescent="0.2">
      <c r="A164" s="23"/>
      <c r="B164" s="23"/>
      <c r="C164" s="24" t="s">
        <v>147</v>
      </c>
      <c r="D164" s="23"/>
      <c r="E164" s="23" t="s">
        <v>148</v>
      </c>
      <c r="F164" s="31">
        <v>2375.7350000000001</v>
      </c>
      <c r="G164" s="32">
        <v>2.2999780000000001E-2</v>
      </c>
      <c r="H164" s="25" t="s">
        <v>148</v>
      </c>
    </row>
    <row r="165" spans="1:8" x14ac:dyDescent="0.2">
      <c r="A165" s="23"/>
      <c r="B165" s="23"/>
      <c r="C165" s="33"/>
      <c r="D165" s="23"/>
      <c r="E165" s="23"/>
      <c r="F165" s="34"/>
      <c r="G165" s="34"/>
      <c r="H165" s="25" t="s">
        <v>148</v>
      </c>
    </row>
    <row r="166" spans="1:8" x14ac:dyDescent="0.2">
      <c r="A166" s="23"/>
      <c r="B166" s="23"/>
      <c r="C166" s="24" t="s">
        <v>165</v>
      </c>
      <c r="D166" s="23"/>
      <c r="E166" s="23"/>
      <c r="F166" s="34"/>
      <c r="G166" s="34"/>
      <c r="H166" s="25" t="s">
        <v>148</v>
      </c>
    </row>
    <row r="167" spans="1:8" x14ac:dyDescent="0.2">
      <c r="A167" s="26">
        <v>1</v>
      </c>
      <c r="B167" s="27"/>
      <c r="C167" s="27" t="s">
        <v>166</v>
      </c>
      <c r="D167" s="27"/>
      <c r="E167" s="36"/>
      <c r="F167" s="29">
        <v>3643.856781595</v>
      </c>
      <c r="G167" s="30">
        <v>3.527661E-2</v>
      </c>
      <c r="H167" s="25">
        <v>6.23</v>
      </c>
    </row>
    <row r="168" spans="1:8" x14ac:dyDescent="0.2">
      <c r="A168" s="23"/>
      <c r="B168" s="23"/>
      <c r="C168" s="24" t="s">
        <v>147</v>
      </c>
      <c r="D168" s="23"/>
      <c r="E168" s="23" t="s">
        <v>148</v>
      </c>
      <c r="F168" s="31">
        <v>3643.856781595</v>
      </c>
      <c r="G168" s="32">
        <v>3.527661E-2</v>
      </c>
      <c r="H168" s="25" t="s">
        <v>148</v>
      </c>
    </row>
    <row r="169" spans="1:8" x14ac:dyDescent="0.2">
      <c r="A169" s="23"/>
      <c r="B169" s="23"/>
      <c r="C169" s="33"/>
      <c r="D169" s="23"/>
      <c r="E169" s="23"/>
      <c r="F169" s="34"/>
      <c r="G169" s="34"/>
      <c r="H169" s="25" t="s">
        <v>148</v>
      </c>
    </row>
    <row r="170" spans="1:8" x14ac:dyDescent="0.2">
      <c r="A170" s="23"/>
      <c r="B170" s="23"/>
      <c r="C170" s="24" t="s">
        <v>167</v>
      </c>
      <c r="D170" s="23"/>
      <c r="E170" s="23"/>
      <c r="F170" s="31">
        <v>10734.609281595</v>
      </c>
      <c r="G170" s="32">
        <v>0.10392303999999999</v>
      </c>
      <c r="H170" s="25" t="s">
        <v>148</v>
      </c>
    </row>
    <row r="171" spans="1:8" x14ac:dyDescent="0.2">
      <c r="A171" s="23"/>
      <c r="B171" s="23"/>
      <c r="C171" s="34"/>
      <c r="D171" s="23"/>
      <c r="E171" s="23"/>
      <c r="F171" s="23"/>
      <c r="G171" s="23"/>
      <c r="H171" s="25" t="s">
        <v>148</v>
      </c>
    </row>
    <row r="172" spans="1:8" x14ac:dyDescent="0.2">
      <c r="A172" s="23"/>
      <c r="B172" s="23"/>
      <c r="C172" s="24" t="s">
        <v>168</v>
      </c>
      <c r="D172" s="23"/>
      <c r="E172" s="23"/>
      <c r="F172" s="23"/>
      <c r="G172" s="23"/>
      <c r="H172" s="25" t="s">
        <v>148</v>
      </c>
    </row>
    <row r="173" spans="1:8" x14ac:dyDescent="0.2">
      <c r="A173" s="23"/>
      <c r="B173" s="23"/>
      <c r="C173" s="24" t="s">
        <v>169</v>
      </c>
      <c r="D173" s="23"/>
      <c r="E173" s="23"/>
      <c r="F173" s="23"/>
      <c r="G173" s="23"/>
      <c r="H173" s="25" t="s">
        <v>148</v>
      </c>
    </row>
    <row r="174" spans="1:8" x14ac:dyDescent="0.2">
      <c r="A174" s="23"/>
      <c r="B174" s="23"/>
      <c r="C174" s="24" t="s">
        <v>147</v>
      </c>
      <c r="D174" s="23"/>
      <c r="E174" s="23" t="s">
        <v>148</v>
      </c>
      <c r="F174" s="35" t="s">
        <v>150</v>
      </c>
      <c r="G174" s="32">
        <v>0</v>
      </c>
      <c r="H174" s="25" t="s">
        <v>148</v>
      </c>
    </row>
    <row r="175" spans="1:8" x14ac:dyDescent="0.2">
      <c r="A175" s="23"/>
      <c r="B175" s="23"/>
      <c r="C175" s="33"/>
      <c r="D175" s="23"/>
      <c r="E175" s="23"/>
      <c r="F175" s="34"/>
      <c r="G175" s="34"/>
      <c r="H175" s="25" t="s">
        <v>148</v>
      </c>
    </row>
    <row r="176" spans="1:8" x14ac:dyDescent="0.2">
      <c r="A176" s="23"/>
      <c r="B176" s="23"/>
      <c r="C176" s="24" t="s">
        <v>172</v>
      </c>
      <c r="D176" s="23"/>
      <c r="E176" s="23"/>
      <c r="F176" s="23"/>
      <c r="G176" s="23"/>
      <c r="H176" s="25" t="s">
        <v>148</v>
      </c>
    </row>
    <row r="177" spans="1:17" x14ac:dyDescent="0.2">
      <c r="A177" s="23"/>
      <c r="B177" s="23"/>
      <c r="C177" s="24" t="s">
        <v>173</v>
      </c>
      <c r="D177" s="23"/>
      <c r="E177" s="23"/>
      <c r="F177" s="23"/>
      <c r="G177" s="23"/>
      <c r="H177" s="25" t="s">
        <v>148</v>
      </c>
    </row>
    <row r="178" spans="1:17" x14ac:dyDescent="0.2">
      <c r="A178" s="23"/>
      <c r="B178" s="23"/>
      <c r="C178" s="24" t="s">
        <v>147</v>
      </c>
      <c r="D178" s="23"/>
      <c r="E178" s="23" t="s">
        <v>148</v>
      </c>
      <c r="F178" s="35" t="s">
        <v>150</v>
      </c>
      <c r="G178" s="32">
        <v>0</v>
      </c>
      <c r="H178" s="25" t="s">
        <v>148</v>
      </c>
    </row>
    <row r="179" spans="1:17" x14ac:dyDescent="0.2">
      <c r="A179" s="23"/>
      <c r="B179" s="23"/>
      <c r="C179" s="33"/>
      <c r="D179" s="23"/>
      <c r="E179" s="23"/>
      <c r="F179" s="34"/>
      <c r="G179" s="34"/>
      <c r="H179" s="25" t="s">
        <v>148</v>
      </c>
    </row>
    <row r="180" spans="1:17" x14ac:dyDescent="0.2">
      <c r="A180" s="23"/>
      <c r="B180" s="23"/>
      <c r="C180" s="24" t="s">
        <v>174</v>
      </c>
      <c r="D180" s="23"/>
      <c r="E180" s="23"/>
      <c r="F180" s="34"/>
      <c r="G180" s="34"/>
      <c r="H180" s="25" t="s">
        <v>148</v>
      </c>
    </row>
    <row r="181" spans="1:17" x14ac:dyDescent="0.2">
      <c r="A181" s="23"/>
      <c r="B181" s="23"/>
      <c r="C181" s="24" t="s">
        <v>147</v>
      </c>
      <c r="D181" s="23"/>
      <c r="E181" s="23" t="s">
        <v>148</v>
      </c>
      <c r="F181" s="35" t="s">
        <v>150</v>
      </c>
      <c r="G181" s="32">
        <v>0</v>
      </c>
      <c r="H181" s="25" t="s">
        <v>148</v>
      </c>
    </row>
    <row r="182" spans="1:17" x14ac:dyDescent="0.2">
      <c r="A182" s="23"/>
      <c r="B182" s="23"/>
      <c r="C182" s="33"/>
      <c r="D182" s="23"/>
      <c r="E182" s="23"/>
      <c r="F182" s="34"/>
      <c r="G182" s="34"/>
      <c r="H182" s="25" t="s">
        <v>148</v>
      </c>
    </row>
    <row r="183" spans="1:17" x14ac:dyDescent="0.2">
      <c r="A183" s="36"/>
      <c r="B183" s="27"/>
      <c r="C183" s="27" t="s">
        <v>522</v>
      </c>
      <c r="D183" s="27"/>
      <c r="E183" s="36"/>
      <c r="F183" s="29">
        <v>1250.4257026</v>
      </c>
      <c r="G183" s="30">
        <v>1.210552E-2</v>
      </c>
      <c r="H183" s="25" t="s">
        <v>148</v>
      </c>
    </row>
    <row r="184" spans="1:17" x14ac:dyDescent="0.2">
      <c r="A184" s="36"/>
      <c r="B184" s="27"/>
      <c r="C184" s="38" t="s">
        <v>917</v>
      </c>
      <c r="D184" s="27"/>
      <c r="E184" s="36"/>
      <c r="F184" s="29">
        <f>43191.15452987+F124</f>
        <v>1262.4603023699965</v>
      </c>
      <c r="G184" s="30">
        <f>F184/F185</f>
        <v>1.222202946834342E-2</v>
      </c>
      <c r="H184" s="25" t="s">
        <v>148</v>
      </c>
    </row>
    <row r="185" spans="1:17" x14ac:dyDescent="0.2">
      <c r="A185" s="33"/>
      <c r="B185" s="33"/>
      <c r="C185" s="24" t="s">
        <v>176</v>
      </c>
      <c r="D185" s="34"/>
      <c r="E185" s="34"/>
      <c r="F185" s="31">
        <f>F184+F183+F170+F151+F126</f>
        <v>103293.835581065</v>
      </c>
      <c r="G185" s="39">
        <f>G184+G183+G170+G151+G126</f>
        <v>1.0000000694683435</v>
      </c>
      <c r="H185" s="25" t="s">
        <v>148</v>
      </c>
    </row>
    <row r="186" spans="1:17" x14ac:dyDescent="0.2">
      <c r="A186" s="40"/>
      <c r="B186" s="40"/>
      <c r="C186" s="40"/>
      <c r="D186" s="41"/>
      <c r="E186" s="41"/>
      <c r="F186" s="41"/>
      <c r="G186" s="41"/>
    </row>
    <row r="187" spans="1:17" x14ac:dyDescent="0.2">
      <c r="A187" s="42"/>
      <c r="B187" s="237" t="s">
        <v>891</v>
      </c>
      <c r="C187" s="237"/>
      <c r="D187" s="237"/>
      <c r="E187" s="237"/>
      <c r="F187" s="237"/>
      <c r="G187" s="237"/>
      <c r="H187" s="237"/>
      <c r="J187" s="44"/>
    </row>
    <row r="188" spans="1:17" x14ac:dyDescent="0.2">
      <c r="A188" s="42"/>
      <c r="B188" s="237" t="s">
        <v>892</v>
      </c>
      <c r="C188" s="237"/>
      <c r="D188" s="237"/>
      <c r="E188" s="237"/>
      <c r="F188" s="237"/>
      <c r="G188" s="237"/>
      <c r="H188" s="237"/>
      <c r="J188" s="44"/>
    </row>
    <row r="189" spans="1:17" x14ac:dyDescent="0.2">
      <c r="A189" s="42"/>
      <c r="B189" s="237" t="s">
        <v>893</v>
      </c>
      <c r="C189" s="237"/>
      <c r="D189" s="237"/>
      <c r="E189" s="237"/>
      <c r="F189" s="237"/>
      <c r="G189" s="237"/>
      <c r="H189" s="237"/>
      <c r="J189" s="44"/>
    </row>
    <row r="190" spans="1:17" s="46" customFormat="1" ht="66.75" customHeight="1" x14ac:dyDescent="0.25">
      <c r="A190" s="45"/>
      <c r="B190" s="239" t="s">
        <v>894</v>
      </c>
      <c r="C190" s="239"/>
      <c r="D190" s="239"/>
      <c r="E190" s="239"/>
      <c r="F190" s="239"/>
      <c r="G190" s="239"/>
      <c r="H190" s="239"/>
      <c r="I190"/>
      <c r="J190" s="44"/>
      <c r="K190"/>
      <c r="L190"/>
      <c r="M190"/>
      <c r="N190"/>
      <c r="O190"/>
      <c r="P190"/>
      <c r="Q190"/>
    </row>
    <row r="191" spans="1:17" x14ac:dyDescent="0.2">
      <c r="A191" s="42"/>
      <c r="B191" s="237" t="s">
        <v>895</v>
      </c>
      <c r="C191" s="237"/>
      <c r="D191" s="237"/>
      <c r="E191" s="237"/>
      <c r="F191" s="237"/>
      <c r="G191" s="237"/>
      <c r="H191" s="237"/>
      <c r="J191" s="44"/>
    </row>
    <row r="192" spans="1:17" x14ac:dyDescent="0.2">
      <c r="A192" s="47"/>
      <c r="B192" s="47"/>
      <c r="C192" s="47"/>
      <c r="D192" s="48"/>
      <c r="E192" s="48"/>
      <c r="F192" s="48"/>
      <c r="G192" s="48"/>
    </row>
    <row r="193" spans="1:10" x14ac:dyDescent="0.2">
      <c r="A193" s="47"/>
      <c r="B193" s="234" t="s">
        <v>177</v>
      </c>
      <c r="C193" s="235"/>
      <c r="D193" s="236"/>
      <c r="E193" s="49"/>
      <c r="F193" s="48"/>
      <c r="G193" s="48"/>
    </row>
    <row r="194" spans="1:10" x14ac:dyDescent="0.2">
      <c r="A194" s="47"/>
      <c r="B194" s="232" t="s">
        <v>178</v>
      </c>
      <c r="C194" s="233"/>
      <c r="D194" s="24" t="s">
        <v>179</v>
      </c>
      <c r="E194" s="49"/>
      <c r="F194" s="48"/>
      <c r="G194" s="48"/>
    </row>
    <row r="195" spans="1:10" ht="12.75" customHeight="1" x14ac:dyDescent="0.2">
      <c r="A195" s="47"/>
      <c r="B195" s="240" t="s">
        <v>897</v>
      </c>
      <c r="C195" s="241"/>
      <c r="D195" s="24" t="s">
        <v>179</v>
      </c>
      <c r="E195" s="49"/>
      <c r="F195" s="48"/>
      <c r="G195" s="48"/>
    </row>
    <row r="196" spans="1:10" x14ac:dyDescent="0.2">
      <c r="A196" s="47"/>
      <c r="B196" s="232" t="s">
        <v>181</v>
      </c>
      <c r="C196" s="233"/>
      <c r="D196" s="34" t="s">
        <v>148</v>
      </c>
      <c r="E196" s="49"/>
      <c r="F196" s="48"/>
      <c r="G196" s="48"/>
    </row>
    <row r="197" spans="1:10" x14ac:dyDescent="0.2">
      <c r="A197" s="50"/>
      <c r="B197" s="51" t="s">
        <v>148</v>
      </c>
      <c r="C197" s="51" t="s">
        <v>896</v>
      </c>
      <c r="D197" s="51" t="s">
        <v>182</v>
      </c>
      <c r="E197" s="50"/>
      <c r="F197" s="50"/>
      <c r="G197" s="50"/>
      <c r="H197" s="50"/>
      <c r="J197" s="44"/>
    </row>
    <row r="198" spans="1:10" x14ac:dyDescent="0.2">
      <c r="A198" s="50"/>
      <c r="B198" s="52" t="s">
        <v>183</v>
      </c>
      <c r="C198" s="53">
        <v>45688</v>
      </c>
      <c r="D198" s="53">
        <v>45716</v>
      </c>
      <c r="E198" s="50"/>
      <c r="F198" s="50"/>
      <c r="G198" s="50"/>
      <c r="J198" s="44"/>
    </row>
    <row r="199" spans="1:10" x14ac:dyDescent="0.2">
      <c r="A199" s="54"/>
      <c r="B199" s="27" t="s">
        <v>184</v>
      </c>
      <c r="C199" s="55">
        <v>77.445599999999999</v>
      </c>
      <c r="D199" s="55">
        <v>75.903999999999996</v>
      </c>
      <c r="E199" s="54"/>
      <c r="F199" s="56"/>
      <c r="G199" s="57"/>
    </row>
    <row r="200" spans="1:10" ht="25.5" x14ac:dyDescent="0.2">
      <c r="A200" s="54"/>
      <c r="B200" s="27" t="s">
        <v>1026</v>
      </c>
      <c r="C200" s="55">
        <v>16.573799999999999</v>
      </c>
      <c r="D200" s="55">
        <v>16.2438</v>
      </c>
      <c r="E200" s="54"/>
      <c r="F200" s="56"/>
      <c r="G200" s="57"/>
    </row>
    <row r="201" spans="1:10" x14ac:dyDescent="0.2">
      <c r="A201" s="54"/>
      <c r="B201" s="27" t="s">
        <v>1074</v>
      </c>
      <c r="C201" s="55">
        <v>24.3309</v>
      </c>
      <c r="D201" s="55">
        <v>23.846499999999999</v>
      </c>
      <c r="E201" s="54"/>
      <c r="F201" s="56"/>
      <c r="G201" s="57"/>
    </row>
    <row r="202" spans="1:10" x14ac:dyDescent="0.2">
      <c r="A202" s="54"/>
      <c r="B202" s="27" t="s">
        <v>186</v>
      </c>
      <c r="C202" s="55">
        <v>67.171199999999999</v>
      </c>
      <c r="D202" s="55">
        <v>65.761200000000002</v>
      </c>
      <c r="E202" s="54"/>
      <c r="F202" s="56"/>
      <c r="G202" s="57"/>
    </row>
    <row r="203" spans="1:10" ht="25.5" x14ac:dyDescent="0.2">
      <c r="A203" s="54"/>
      <c r="B203" s="27" t="s">
        <v>1027</v>
      </c>
      <c r="C203" s="55">
        <v>15.553800000000001</v>
      </c>
      <c r="D203" s="55">
        <v>15.2273</v>
      </c>
      <c r="E203" s="54"/>
      <c r="F203" s="56"/>
      <c r="G203" s="57"/>
    </row>
    <row r="204" spans="1:10" ht="25.5" x14ac:dyDescent="0.2">
      <c r="A204" s="54"/>
      <c r="B204" s="27" t="s">
        <v>1075</v>
      </c>
      <c r="C204" s="55">
        <v>16.780799999999999</v>
      </c>
      <c r="D204" s="55">
        <v>16.428599999999999</v>
      </c>
      <c r="E204" s="54"/>
      <c r="F204" s="56"/>
      <c r="G204" s="57"/>
    </row>
    <row r="205" spans="1:10" x14ac:dyDescent="0.2">
      <c r="A205" s="54"/>
      <c r="B205" s="54"/>
      <c r="C205" s="54"/>
      <c r="D205" s="54"/>
      <c r="E205" s="54"/>
      <c r="F205" s="54"/>
      <c r="G205" s="54"/>
    </row>
    <row r="206" spans="1:10" x14ac:dyDescent="0.2">
      <c r="A206" s="50"/>
      <c r="B206" s="240" t="s">
        <v>898</v>
      </c>
      <c r="C206" s="241"/>
      <c r="D206" s="58" t="s">
        <v>179</v>
      </c>
      <c r="E206" s="50"/>
      <c r="F206" s="50"/>
      <c r="G206" s="50"/>
    </row>
    <row r="207" spans="1:10" x14ac:dyDescent="0.2">
      <c r="A207" s="54"/>
      <c r="B207" s="54"/>
      <c r="C207" s="54"/>
      <c r="D207" s="54"/>
      <c r="E207" s="54"/>
      <c r="F207" s="54"/>
      <c r="G207" s="54"/>
    </row>
    <row r="208" spans="1:10" x14ac:dyDescent="0.2">
      <c r="A208" s="50"/>
      <c r="B208" s="240" t="s">
        <v>188</v>
      </c>
      <c r="C208" s="241"/>
      <c r="D208" s="58" t="s">
        <v>995</v>
      </c>
      <c r="E208" s="60"/>
      <c r="F208" s="50"/>
      <c r="G208" s="50"/>
    </row>
    <row r="209" spans="1:7" x14ac:dyDescent="0.2">
      <c r="A209" s="50"/>
      <c r="B209" s="240" t="s">
        <v>189</v>
      </c>
      <c r="C209" s="241"/>
      <c r="D209" s="58" t="s">
        <v>179</v>
      </c>
      <c r="E209" s="60"/>
      <c r="F209" s="50"/>
      <c r="G209" s="50"/>
    </row>
    <row r="210" spans="1:7" ht="17.100000000000001" customHeight="1" x14ac:dyDescent="0.2">
      <c r="A210" s="50"/>
      <c r="B210" s="240" t="s">
        <v>190</v>
      </c>
      <c r="C210" s="241"/>
      <c r="D210" s="58" t="s">
        <v>179</v>
      </c>
      <c r="E210" s="60"/>
      <c r="F210" s="50"/>
      <c r="G210" s="50"/>
    </row>
    <row r="211" spans="1:7" ht="17.100000000000001" customHeight="1" x14ac:dyDescent="0.2">
      <c r="A211" s="50"/>
      <c r="B211" s="240" t="s">
        <v>191</v>
      </c>
      <c r="C211" s="241"/>
      <c r="D211" s="61">
        <v>5.0553549681788557</v>
      </c>
      <c r="E211" s="50"/>
      <c r="F211" s="43"/>
      <c r="G211" s="62"/>
    </row>
    <row r="213" spans="1:7" x14ac:dyDescent="0.2">
      <c r="B213" s="265" t="s">
        <v>948</v>
      </c>
      <c r="C213" s="266"/>
      <c r="D213" s="267"/>
    </row>
    <row r="214" spans="1:7" ht="25.5" x14ac:dyDescent="0.2">
      <c r="B214" s="268" t="s">
        <v>949</v>
      </c>
      <c r="C214" s="268"/>
      <c r="D214" s="86" t="s">
        <v>692</v>
      </c>
    </row>
    <row r="215" spans="1:7" x14ac:dyDescent="0.2">
      <c r="B215" s="268" t="s">
        <v>950</v>
      </c>
      <c r="C215" s="268"/>
      <c r="D215" s="64"/>
    </row>
    <row r="216" spans="1:7" x14ac:dyDescent="0.2">
      <c r="B216" s="269"/>
      <c r="C216" s="270"/>
      <c r="D216" s="65"/>
    </row>
    <row r="217" spans="1:7" x14ac:dyDescent="0.2">
      <c r="B217" s="268" t="s">
        <v>951</v>
      </c>
      <c r="C217" s="268"/>
      <c r="D217" s="66">
        <v>7.0460684304324417</v>
      </c>
    </row>
    <row r="218" spans="1:7" x14ac:dyDescent="0.2">
      <c r="B218" s="269"/>
      <c r="C218" s="270"/>
      <c r="D218" s="65"/>
    </row>
    <row r="219" spans="1:7" x14ac:dyDescent="0.2">
      <c r="B219" s="268" t="s">
        <v>952</v>
      </c>
      <c r="C219" s="268"/>
      <c r="D219" s="66">
        <v>2.9742671833653227</v>
      </c>
    </row>
    <row r="220" spans="1:7" x14ac:dyDescent="0.2">
      <c r="B220" s="268" t="s">
        <v>953</v>
      </c>
      <c r="C220" s="268"/>
      <c r="D220" s="66">
        <v>3.9895265121238066</v>
      </c>
    </row>
    <row r="221" spans="1:7" x14ac:dyDescent="0.2">
      <c r="B221" s="269"/>
      <c r="C221" s="270"/>
      <c r="D221" s="65"/>
    </row>
    <row r="222" spans="1:7" x14ac:dyDescent="0.2">
      <c r="B222" s="268" t="s">
        <v>954</v>
      </c>
      <c r="C222" s="268"/>
      <c r="D222" s="67" t="s">
        <v>1068</v>
      </c>
    </row>
    <row r="223" spans="1:7" ht="12.75" customHeight="1" x14ac:dyDescent="0.2">
      <c r="B223" s="269" t="s">
        <v>955</v>
      </c>
      <c r="C223" s="271"/>
      <c r="D223" s="270"/>
    </row>
    <row r="225" spans="2:10" x14ac:dyDescent="0.2">
      <c r="B225" s="238" t="s">
        <v>899</v>
      </c>
      <c r="C225" s="238"/>
    </row>
    <row r="227" spans="2:10" ht="153.75" customHeight="1" x14ac:dyDescent="0.2"/>
    <row r="230" spans="2:10" x14ac:dyDescent="0.2">
      <c r="B230" s="68" t="s">
        <v>900</v>
      </c>
      <c r="C230" s="69"/>
      <c r="D230" s="68"/>
    </row>
    <row r="231" spans="2:10" x14ac:dyDescent="0.2">
      <c r="B231" s="68" t="s">
        <v>1028</v>
      </c>
      <c r="D231" s="68"/>
    </row>
    <row r="232" spans="2:10" ht="165" customHeight="1" x14ac:dyDescent="0.2"/>
    <row r="234" spans="2:10" x14ac:dyDescent="0.2">
      <c r="J234" s="22"/>
    </row>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sheetData>
  <mergeCells count="29">
    <mergeCell ref="B225:C225"/>
    <mergeCell ref="B219:C219"/>
    <mergeCell ref="B220:C220"/>
    <mergeCell ref="B221:C221"/>
    <mergeCell ref="B222:C222"/>
    <mergeCell ref="B223:D223"/>
    <mergeCell ref="B213:D213"/>
    <mergeCell ref="B215:C215"/>
    <mergeCell ref="B216:C216"/>
    <mergeCell ref="B217:C217"/>
    <mergeCell ref="B218:C218"/>
    <mergeCell ref="B214:C214"/>
    <mergeCell ref="A3:H3"/>
    <mergeCell ref="A2:H2"/>
    <mergeCell ref="A1:H1"/>
    <mergeCell ref="B195:C195"/>
    <mergeCell ref="B196:C196"/>
    <mergeCell ref="B189:H189"/>
    <mergeCell ref="B190:H190"/>
    <mergeCell ref="B191:H191"/>
    <mergeCell ref="B210:C210"/>
    <mergeCell ref="B211:C211"/>
    <mergeCell ref="B193:D193"/>
    <mergeCell ref="B194:C194"/>
    <mergeCell ref="B187:H187"/>
    <mergeCell ref="B188:H188"/>
    <mergeCell ref="B208:C208"/>
    <mergeCell ref="B209:C209"/>
    <mergeCell ref="B206:C206"/>
  </mergeCells>
  <hyperlinks>
    <hyperlink ref="I1" location="Index!B2" display="Index" xr:uid="{D6EA66E4-D9C4-4A36-BA8F-58B97843BF6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17D63-2D80-4342-B85F-51E7B7E210B3}">
  <sheetPr>
    <outlinePr summaryBelow="0" summaryRight="0"/>
  </sheetPr>
  <dimension ref="A1:Q177"/>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1.7109375" bestFit="1"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727</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550000</v>
      </c>
      <c r="F7" s="29">
        <v>9528.2000000000007</v>
      </c>
      <c r="G7" s="30">
        <v>9.4601930000000001E-2</v>
      </c>
      <c r="H7" s="25" t="s">
        <v>148</v>
      </c>
    </row>
    <row r="8" spans="1:9" x14ac:dyDescent="0.2">
      <c r="A8" s="26">
        <v>2</v>
      </c>
      <c r="B8" s="27" t="s">
        <v>26</v>
      </c>
      <c r="C8" s="27" t="s">
        <v>27</v>
      </c>
      <c r="D8" s="27" t="s">
        <v>28</v>
      </c>
      <c r="E8" s="28">
        <v>696060</v>
      </c>
      <c r="F8" s="29">
        <v>8381.2584599999991</v>
      </c>
      <c r="G8" s="30">
        <v>8.3214380000000004E-2</v>
      </c>
      <c r="H8" s="25" t="s">
        <v>148</v>
      </c>
    </row>
    <row r="9" spans="1:9" x14ac:dyDescent="0.2">
      <c r="A9" s="26">
        <v>3</v>
      </c>
      <c r="B9" s="27" t="s">
        <v>11</v>
      </c>
      <c r="C9" s="27" t="s">
        <v>12</v>
      </c>
      <c r="D9" s="27" t="s">
        <v>13</v>
      </c>
      <c r="E9" s="28">
        <v>345000</v>
      </c>
      <c r="F9" s="29">
        <v>5417.19</v>
      </c>
      <c r="G9" s="30">
        <v>5.378525E-2</v>
      </c>
      <c r="H9" s="25" t="s">
        <v>148</v>
      </c>
    </row>
    <row r="10" spans="1:9" x14ac:dyDescent="0.2">
      <c r="A10" s="26">
        <v>4</v>
      </c>
      <c r="B10" s="27" t="s">
        <v>334</v>
      </c>
      <c r="C10" s="27" t="s">
        <v>335</v>
      </c>
      <c r="D10" s="27" t="s">
        <v>205</v>
      </c>
      <c r="E10" s="28">
        <v>319864</v>
      </c>
      <c r="F10" s="29">
        <v>5398.344728</v>
      </c>
      <c r="G10" s="30">
        <v>5.3598149999999997E-2</v>
      </c>
      <c r="H10" s="25" t="s">
        <v>148</v>
      </c>
    </row>
    <row r="11" spans="1:9" x14ac:dyDescent="0.2">
      <c r="A11" s="26">
        <v>5</v>
      </c>
      <c r="B11" s="27" t="s">
        <v>14</v>
      </c>
      <c r="C11" s="27" t="s">
        <v>15</v>
      </c>
      <c r="D11" s="27" t="s">
        <v>16</v>
      </c>
      <c r="E11" s="28">
        <v>440000</v>
      </c>
      <c r="F11" s="29">
        <v>5280.44</v>
      </c>
      <c r="G11" s="30">
        <v>5.2427509999999997E-2</v>
      </c>
      <c r="H11" s="25" t="s">
        <v>148</v>
      </c>
    </row>
    <row r="12" spans="1:9" x14ac:dyDescent="0.2">
      <c r="A12" s="26">
        <v>6</v>
      </c>
      <c r="B12" s="27" t="s">
        <v>450</v>
      </c>
      <c r="C12" s="27" t="s">
        <v>451</v>
      </c>
      <c r="D12" s="27" t="s">
        <v>28</v>
      </c>
      <c r="E12" s="28">
        <v>493733</v>
      </c>
      <c r="F12" s="29">
        <v>4888.450433</v>
      </c>
      <c r="G12" s="30">
        <v>4.8535599999999998E-2</v>
      </c>
      <c r="H12" s="25" t="s">
        <v>148</v>
      </c>
    </row>
    <row r="13" spans="1:9" x14ac:dyDescent="0.2">
      <c r="A13" s="26">
        <v>7</v>
      </c>
      <c r="B13" s="27" t="s">
        <v>728</v>
      </c>
      <c r="C13" s="27" t="s">
        <v>729</v>
      </c>
      <c r="D13" s="27" t="s">
        <v>270</v>
      </c>
      <c r="E13" s="28">
        <v>244811</v>
      </c>
      <c r="F13" s="29">
        <v>4139.6316045000003</v>
      </c>
      <c r="G13" s="30">
        <v>4.1100850000000001E-2</v>
      </c>
      <c r="H13" s="25" t="s">
        <v>148</v>
      </c>
    </row>
    <row r="14" spans="1:9" ht="25.5" x14ac:dyDescent="0.2">
      <c r="A14" s="26">
        <v>8</v>
      </c>
      <c r="B14" s="27" t="s">
        <v>362</v>
      </c>
      <c r="C14" s="27" t="s">
        <v>363</v>
      </c>
      <c r="D14" s="27" t="s">
        <v>202</v>
      </c>
      <c r="E14" s="28">
        <v>367886</v>
      </c>
      <c r="F14" s="29">
        <v>4107.4471899999999</v>
      </c>
      <c r="G14" s="30">
        <v>4.0781310000000001E-2</v>
      </c>
      <c r="H14" s="25" t="s">
        <v>148</v>
      </c>
    </row>
    <row r="15" spans="1:9" x14ac:dyDescent="0.2">
      <c r="A15" s="26">
        <v>9</v>
      </c>
      <c r="B15" s="27" t="s">
        <v>338</v>
      </c>
      <c r="C15" s="27" t="s">
        <v>339</v>
      </c>
      <c r="D15" s="27" t="s">
        <v>229</v>
      </c>
      <c r="E15" s="28">
        <v>1802657</v>
      </c>
      <c r="F15" s="29">
        <v>4003.7011969999999</v>
      </c>
      <c r="G15" s="30">
        <v>3.9751250000000002E-2</v>
      </c>
      <c r="H15" s="25" t="s">
        <v>148</v>
      </c>
    </row>
    <row r="16" spans="1:9" ht="25.5" x14ac:dyDescent="0.2">
      <c r="A16" s="26">
        <v>10</v>
      </c>
      <c r="B16" s="27" t="s">
        <v>730</v>
      </c>
      <c r="C16" s="27" t="s">
        <v>731</v>
      </c>
      <c r="D16" s="27" t="s">
        <v>202</v>
      </c>
      <c r="E16" s="28">
        <v>240425</v>
      </c>
      <c r="F16" s="29">
        <v>3733.3193999999999</v>
      </c>
      <c r="G16" s="30">
        <v>3.7066729999999999E-2</v>
      </c>
      <c r="H16" s="25" t="s">
        <v>148</v>
      </c>
    </row>
    <row r="17" spans="1:8" x14ac:dyDescent="0.2">
      <c r="A17" s="26">
        <v>11</v>
      </c>
      <c r="B17" s="27" t="s">
        <v>273</v>
      </c>
      <c r="C17" s="27" t="s">
        <v>274</v>
      </c>
      <c r="D17" s="27" t="s">
        <v>275</v>
      </c>
      <c r="E17" s="28">
        <v>167610</v>
      </c>
      <c r="F17" s="29">
        <v>3730.1605500000001</v>
      </c>
      <c r="G17" s="30">
        <v>3.7035369999999998E-2</v>
      </c>
      <c r="H17" s="25" t="s">
        <v>148</v>
      </c>
    </row>
    <row r="18" spans="1:8" x14ac:dyDescent="0.2">
      <c r="A18" s="26">
        <v>12</v>
      </c>
      <c r="B18" s="27" t="s">
        <v>101</v>
      </c>
      <c r="C18" s="27" t="s">
        <v>102</v>
      </c>
      <c r="D18" s="27" t="s">
        <v>28</v>
      </c>
      <c r="E18" s="28">
        <v>190652</v>
      </c>
      <c r="F18" s="29">
        <v>3628.0122339999998</v>
      </c>
      <c r="G18" s="30">
        <v>3.602118E-2</v>
      </c>
      <c r="H18" s="25" t="s">
        <v>148</v>
      </c>
    </row>
    <row r="19" spans="1:8" x14ac:dyDescent="0.2">
      <c r="A19" s="26">
        <v>13</v>
      </c>
      <c r="B19" s="27" t="s">
        <v>67</v>
      </c>
      <c r="C19" s="27" t="s">
        <v>68</v>
      </c>
      <c r="D19" s="27" t="s">
        <v>69</v>
      </c>
      <c r="E19" s="28">
        <v>75675</v>
      </c>
      <c r="F19" s="29">
        <v>3406.7749875</v>
      </c>
      <c r="G19" s="30">
        <v>3.3824600000000003E-2</v>
      </c>
      <c r="H19" s="25" t="s">
        <v>148</v>
      </c>
    </row>
    <row r="20" spans="1:8" x14ac:dyDescent="0.2">
      <c r="A20" s="26">
        <v>14</v>
      </c>
      <c r="B20" s="27" t="s">
        <v>530</v>
      </c>
      <c r="C20" s="27" t="s">
        <v>531</v>
      </c>
      <c r="D20" s="27" t="s">
        <v>205</v>
      </c>
      <c r="E20" s="28">
        <v>225000</v>
      </c>
      <c r="F20" s="29">
        <v>3347.6624999999999</v>
      </c>
      <c r="G20" s="30">
        <v>3.323769E-2</v>
      </c>
      <c r="H20" s="25" t="s">
        <v>148</v>
      </c>
    </row>
    <row r="21" spans="1:8" x14ac:dyDescent="0.2">
      <c r="A21" s="26">
        <v>15</v>
      </c>
      <c r="B21" s="27" t="s">
        <v>243</v>
      </c>
      <c r="C21" s="27" t="s">
        <v>244</v>
      </c>
      <c r="D21" s="27" t="s">
        <v>229</v>
      </c>
      <c r="E21" s="28">
        <v>46000</v>
      </c>
      <c r="F21" s="29">
        <v>3216.6190000000001</v>
      </c>
      <c r="G21" s="30">
        <v>3.1936609999999997E-2</v>
      </c>
      <c r="H21" s="25" t="s">
        <v>148</v>
      </c>
    </row>
    <row r="22" spans="1:8" x14ac:dyDescent="0.2">
      <c r="A22" s="26">
        <v>16</v>
      </c>
      <c r="B22" s="27" t="s">
        <v>116</v>
      </c>
      <c r="C22" s="27" t="s">
        <v>117</v>
      </c>
      <c r="D22" s="27" t="s">
        <v>42</v>
      </c>
      <c r="E22" s="28">
        <v>592632</v>
      </c>
      <c r="F22" s="29">
        <v>2880.1915199999999</v>
      </c>
      <c r="G22" s="30">
        <v>2.8596340000000001E-2</v>
      </c>
      <c r="H22" s="25" t="s">
        <v>148</v>
      </c>
    </row>
    <row r="23" spans="1:8" x14ac:dyDescent="0.2">
      <c r="A23" s="26">
        <v>17</v>
      </c>
      <c r="B23" s="27" t="s">
        <v>17</v>
      </c>
      <c r="C23" s="27" t="s">
        <v>18</v>
      </c>
      <c r="D23" s="27" t="s">
        <v>19</v>
      </c>
      <c r="E23" s="28">
        <v>90723</v>
      </c>
      <c r="F23" s="29">
        <v>2870.3396355</v>
      </c>
      <c r="G23" s="30">
        <v>2.8498530000000001E-2</v>
      </c>
      <c r="H23" s="25" t="s">
        <v>148</v>
      </c>
    </row>
    <row r="24" spans="1:8" x14ac:dyDescent="0.2">
      <c r="A24" s="26">
        <v>18</v>
      </c>
      <c r="B24" s="27" t="s">
        <v>732</v>
      </c>
      <c r="C24" s="27" t="s">
        <v>733</v>
      </c>
      <c r="D24" s="27" t="s">
        <v>45</v>
      </c>
      <c r="E24" s="28">
        <v>335131</v>
      </c>
      <c r="F24" s="29">
        <v>2825.9921574999998</v>
      </c>
      <c r="G24" s="30">
        <v>2.8058219999999998E-2</v>
      </c>
      <c r="H24" s="25" t="s">
        <v>148</v>
      </c>
    </row>
    <row r="25" spans="1:8" x14ac:dyDescent="0.2">
      <c r="A25" s="26">
        <v>19</v>
      </c>
      <c r="B25" s="27" t="s">
        <v>62</v>
      </c>
      <c r="C25" s="27" t="s">
        <v>63</v>
      </c>
      <c r="D25" s="27" t="s">
        <v>64</v>
      </c>
      <c r="E25" s="28">
        <v>55000</v>
      </c>
      <c r="F25" s="29">
        <v>2462.5149999999999</v>
      </c>
      <c r="G25" s="30">
        <v>2.4449390000000001E-2</v>
      </c>
      <c r="H25" s="25" t="s">
        <v>148</v>
      </c>
    </row>
    <row r="26" spans="1:8" ht="25.5" x14ac:dyDescent="0.2">
      <c r="A26" s="26">
        <v>20</v>
      </c>
      <c r="B26" s="27" t="s">
        <v>444</v>
      </c>
      <c r="C26" s="27" t="s">
        <v>445</v>
      </c>
      <c r="D26" s="27" t="s">
        <v>217</v>
      </c>
      <c r="E26" s="28">
        <v>244574</v>
      </c>
      <c r="F26" s="29">
        <v>2356.9596379999998</v>
      </c>
      <c r="G26" s="30">
        <v>2.3401370000000001E-2</v>
      </c>
      <c r="H26" s="25" t="s">
        <v>148</v>
      </c>
    </row>
    <row r="27" spans="1:8" x14ac:dyDescent="0.2">
      <c r="A27" s="26">
        <v>21</v>
      </c>
      <c r="B27" s="27" t="s">
        <v>336</v>
      </c>
      <c r="C27" s="27" t="s">
        <v>337</v>
      </c>
      <c r="D27" s="27" t="s">
        <v>28</v>
      </c>
      <c r="E27" s="28">
        <v>208676</v>
      </c>
      <c r="F27" s="29">
        <v>2119.2091180000002</v>
      </c>
      <c r="G27" s="30">
        <v>2.1040840000000002E-2</v>
      </c>
      <c r="H27" s="25" t="s">
        <v>148</v>
      </c>
    </row>
    <row r="28" spans="1:8" x14ac:dyDescent="0.2">
      <c r="A28" s="26">
        <v>22</v>
      </c>
      <c r="B28" s="27" t="s">
        <v>437</v>
      </c>
      <c r="C28" s="27" t="s">
        <v>438</v>
      </c>
      <c r="D28" s="27" t="s">
        <v>439</v>
      </c>
      <c r="E28" s="28">
        <v>330739</v>
      </c>
      <c r="F28" s="29">
        <v>2098.0428465</v>
      </c>
      <c r="G28" s="30">
        <v>2.0830680000000001E-2</v>
      </c>
      <c r="H28" s="25" t="s">
        <v>148</v>
      </c>
    </row>
    <row r="29" spans="1:8" x14ac:dyDescent="0.2">
      <c r="A29" s="26">
        <v>23</v>
      </c>
      <c r="B29" s="27" t="s">
        <v>38</v>
      </c>
      <c r="C29" s="27" t="s">
        <v>39</v>
      </c>
      <c r="D29" s="27" t="s">
        <v>28</v>
      </c>
      <c r="E29" s="28">
        <v>286247</v>
      </c>
      <c r="F29" s="29">
        <v>1971.6693359999999</v>
      </c>
      <c r="G29" s="30">
        <v>1.9575970000000002E-2</v>
      </c>
      <c r="H29" s="25" t="s">
        <v>148</v>
      </c>
    </row>
    <row r="30" spans="1:8" x14ac:dyDescent="0.2">
      <c r="A30" s="26">
        <v>24</v>
      </c>
      <c r="B30" s="27" t="s">
        <v>528</v>
      </c>
      <c r="C30" s="27" t="s">
        <v>529</v>
      </c>
      <c r="D30" s="27" t="s">
        <v>275</v>
      </c>
      <c r="E30" s="28">
        <v>22619</v>
      </c>
      <c r="F30" s="29">
        <v>1787.556951</v>
      </c>
      <c r="G30" s="30">
        <v>1.774798E-2</v>
      </c>
      <c r="H30" s="25" t="s">
        <v>148</v>
      </c>
    </row>
    <row r="31" spans="1:8" x14ac:dyDescent="0.2">
      <c r="A31" s="26">
        <v>25</v>
      </c>
      <c r="B31" s="27" t="s">
        <v>133</v>
      </c>
      <c r="C31" s="27" t="s">
        <v>134</v>
      </c>
      <c r="D31" s="27" t="s">
        <v>42</v>
      </c>
      <c r="E31" s="28">
        <v>54427</v>
      </c>
      <c r="F31" s="29">
        <v>1768.061095</v>
      </c>
      <c r="G31" s="30">
        <v>1.7554420000000001E-2</v>
      </c>
      <c r="H31" s="25" t="s">
        <v>148</v>
      </c>
    </row>
    <row r="32" spans="1:8" x14ac:dyDescent="0.2">
      <c r="A32" s="26">
        <v>26</v>
      </c>
      <c r="B32" s="27" t="s">
        <v>435</v>
      </c>
      <c r="C32" s="27" t="s">
        <v>436</v>
      </c>
      <c r="D32" s="27" t="s">
        <v>205</v>
      </c>
      <c r="E32" s="28">
        <v>58865</v>
      </c>
      <c r="F32" s="29">
        <v>927.15318249999996</v>
      </c>
      <c r="G32" s="30">
        <v>9.2053599999999992E-3</v>
      </c>
      <c r="H32" s="25" t="s">
        <v>148</v>
      </c>
    </row>
    <row r="33" spans="1:8" x14ac:dyDescent="0.2">
      <c r="A33" s="23"/>
      <c r="B33" s="23"/>
      <c r="C33" s="24" t="s">
        <v>147</v>
      </c>
      <c r="D33" s="23"/>
      <c r="E33" s="23" t="s">
        <v>148</v>
      </c>
      <c r="F33" s="31">
        <v>96274.902763999999</v>
      </c>
      <c r="G33" s="32">
        <v>0.95587750999999999</v>
      </c>
      <c r="H33" s="25" t="s">
        <v>148</v>
      </c>
    </row>
    <row r="34" spans="1:8" x14ac:dyDescent="0.2">
      <c r="A34" s="23"/>
      <c r="B34" s="23"/>
      <c r="C34" s="33"/>
      <c r="D34" s="23"/>
      <c r="E34" s="23"/>
      <c r="F34" s="34"/>
      <c r="G34" s="34"/>
      <c r="H34" s="25" t="s">
        <v>148</v>
      </c>
    </row>
    <row r="35" spans="1:8" x14ac:dyDescent="0.2">
      <c r="A35" s="23"/>
      <c r="B35" s="23"/>
      <c r="C35" s="24" t="s">
        <v>149</v>
      </c>
      <c r="D35" s="23"/>
      <c r="E35" s="23"/>
      <c r="F35" s="23"/>
      <c r="G35" s="23"/>
      <c r="H35" s="25" t="s">
        <v>148</v>
      </c>
    </row>
    <row r="36" spans="1:8" x14ac:dyDescent="0.2">
      <c r="A36" s="23"/>
      <c r="B36" s="23"/>
      <c r="C36" s="24" t="s">
        <v>147</v>
      </c>
      <c r="D36" s="23"/>
      <c r="E36" s="23" t="s">
        <v>148</v>
      </c>
      <c r="F36" s="35" t="s">
        <v>150</v>
      </c>
      <c r="G36" s="32">
        <v>0</v>
      </c>
      <c r="H36" s="25" t="s">
        <v>148</v>
      </c>
    </row>
    <row r="37" spans="1:8" x14ac:dyDescent="0.2">
      <c r="A37" s="23"/>
      <c r="B37" s="23"/>
      <c r="C37" s="33"/>
      <c r="D37" s="23"/>
      <c r="E37" s="23"/>
      <c r="F37" s="34"/>
      <c r="G37" s="34"/>
      <c r="H37" s="25" t="s">
        <v>148</v>
      </c>
    </row>
    <row r="38" spans="1:8" x14ac:dyDescent="0.2">
      <c r="A38" s="23"/>
      <c r="B38" s="23"/>
      <c r="C38" s="24" t="s">
        <v>151</v>
      </c>
      <c r="D38" s="23"/>
      <c r="E38" s="23"/>
      <c r="F38" s="23"/>
      <c r="G38" s="23"/>
      <c r="H38" s="25" t="s">
        <v>148</v>
      </c>
    </row>
    <row r="39" spans="1:8" x14ac:dyDescent="0.2">
      <c r="A39" s="23"/>
      <c r="B39" s="23"/>
      <c r="C39" s="24" t="s">
        <v>147</v>
      </c>
      <c r="D39" s="23"/>
      <c r="E39" s="23" t="s">
        <v>148</v>
      </c>
      <c r="F39" s="35" t="s">
        <v>150</v>
      </c>
      <c r="G39" s="32">
        <v>0</v>
      </c>
      <c r="H39" s="25" t="s">
        <v>148</v>
      </c>
    </row>
    <row r="40" spans="1:8" x14ac:dyDescent="0.2">
      <c r="A40" s="23"/>
      <c r="B40" s="23"/>
      <c r="C40" s="33"/>
      <c r="D40" s="23"/>
      <c r="E40" s="23"/>
      <c r="F40" s="34"/>
      <c r="G40" s="34"/>
      <c r="H40" s="25" t="s">
        <v>148</v>
      </c>
    </row>
    <row r="41" spans="1:8" x14ac:dyDescent="0.2">
      <c r="A41" s="23"/>
      <c r="B41" s="23"/>
      <c r="C41" s="24" t="s">
        <v>152</v>
      </c>
      <c r="D41" s="23"/>
      <c r="E41" s="23"/>
      <c r="F41" s="23"/>
      <c r="G41" s="23"/>
      <c r="H41" s="25" t="s">
        <v>148</v>
      </c>
    </row>
    <row r="42" spans="1:8" x14ac:dyDescent="0.2">
      <c r="A42" s="23"/>
      <c r="B42" s="23"/>
      <c r="C42" s="24" t="s">
        <v>147</v>
      </c>
      <c r="D42" s="23"/>
      <c r="E42" s="23" t="s">
        <v>148</v>
      </c>
      <c r="F42" s="35" t="s">
        <v>150</v>
      </c>
      <c r="G42" s="32">
        <v>0</v>
      </c>
      <c r="H42" s="25" t="s">
        <v>148</v>
      </c>
    </row>
    <row r="43" spans="1:8" x14ac:dyDescent="0.2">
      <c r="A43" s="23"/>
      <c r="B43" s="23"/>
      <c r="C43" s="33"/>
      <c r="D43" s="23"/>
      <c r="E43" s="23"/>
      <c r="F43" s="34"/>
      <c r="G43" s="34"/>
      <c r="H43" s="25" t="s">
        <v>148</v>
      </c>
    </row>
    <row r="44" spans="1:8" x14ac:dyDescent="0.2">
      <c r="A44" s="23"/>
      <c r="B44" s="23"/>
      <c r="C44" s="24" t="s">
        <v>153</v>
      </c>
      <c r="D44" s="23"/>
      <c r="E44" s="23"/>
      <c r="F44" s="34"/>
      <c r="G44" s="34"/>
      <c r="H44" s="25" t="s">
        <v>148</v>
      </c>
    </row>
    <row r="45" spans="1:8" x14ac:dyDescent="0.2">
      <c r="A45" s="23"/>
      <c r="B45" s="23"/>
      <c r="C45" s="24" t="s">
        <v>147</v>
      </c>
      <c r="D45" s="23"/>
      <c r="E45" s="23" t="s">
        <v>148</v>
      </c>
      <c r="F45" s="35" t="s">
        <v>150</v>
      </c>
      <c r="G45" s="32">
        <v>0</v>
      </c>
      <c r="H45" s="25" t="s">
        <v>148</v>
      </c>
    </row>
    <row r="46" spans="1:8" x14ac:dyDescent="0.2">
      <c r="A46" s="23"/>
      <c r="B46" s="23"/>
      <c r="C46" s="33"/>
      <c r="D46" s="23"/>
      <c r="E46" s="23"/>
      <c r="F46" s="34"/>
      <c r="G46" s="34"/>
      <c r="H46" s="25" t="s">
        <v>148</v>
      </c>
    </row>
    <row r="47" spans="1:8" x14ac:dyDescent="0.2">
      <c r="A47" s="23"/>
      <c r="B47" s="23"/>
      <c r="C47" s="24" t="s">
        <v>154</v>
      </c>
      <c r="D47" s="23"/>
      <c r="E47" s="23"/>
      <c r="F47" s="34"/>
      <c r="G47" s="34"/>
      <c r="H47" s="25" t="s">
        <v>148</v>
      </c>
    </row>
    <row r="48" spans="1:8" x14ac:dyDescent="0.2">
      <c r="A48" s="23"/>
      <c r="B48" s="23"/>
      <c r="C48" s="24" t="s">
        <v>147</v>
      </c>
      <c r="D48" s="23"/>
      <c r="E48" s="23" t="s">
        <v>148</v>
      </c>
      <c r="F48" s="35" t="s">
        <v>150</v>
      </c>
      <c r="G48" s="32">
        <v>0</v>
      </c>
      <c r="H48" s="25" t="s">
        <v>148</v>
      </c>
    </row>
    <row r="49" spans="1:8" x14ac:dyDescent="0.2">
      <c r="A49" s="23"/>
      <c r="B49" s="23"/>
      <c r="C49" s="33"/>
      <c r="D49" s="23"/>
      <c r="E49" s="23"/>
      <c r="F49" s="34"/>
      <c r="G49" s="34"/>
      <c r="H49" s="25" t="s">
        <v>148</v>
      </c>
    </row>
    <row r="50" spans="1:8" x14ac:dyDescent="0.2">
      <c r="A50" s="23"/>
      <c r="B50" s="23"/>
      <c r="C50" s="24" t="s">
        <v>155</v>
      </c>
      <c r="D50" s="23"/>
      <c r="E50" s="23"/>
      <c r="F50" s="31">
        <v>96274.902763999999</v>
      </c>
      <c r="G50" s="32">
        <v>0.95587750999999999</v>
      </c>
      <c r="H50" s="25" t="s">
        <v>148</v>
      </c>
    </row>
    <row r="51" spans="1:8" x14ac:dyDescent="0.2">
      <c r="A51" s="23"/>
      <c r="B51" s="23"/>
      <c r="C51" s="33"/>
      <c r="D51" s="23"/>
      <c r="E51" s="23"/>
      <c r="F51" s="34"/>
      <c r="G51" s="34"/>
      <c r="H51" s="25" t="s">
        <v>148</v>
      </c>
    </row>
    <row r="52" spans="1:8" x14ac:dyDescent="0.2">
      <c r="A52" s="23"/>
      <c r="B52" s="23"/>
      <c r="C52" s="24" t="s">
        <v>156</v>
      </c>
      <c r="D52" s="23"/>
      <c r="E52" s="23"/>
      <c r="F52" s="34"/>
      <c r="G52" s="34"/>
      <c r="H52" s="25" t="s">
        <v>148</v>
      </c>
    </row>
    <row r="53" spans="1:8" x14ac:dyDescent="0.2">
      <c r="A53" s="23"/>
      <c r="B53" s="23"/>
      <c r="C53" s="24" t="s">
        <v>10</v>
      </c>
      <c r="D53" s="23"/>
      <c r="E53" s="23"/>
      <c r="F53" s="34"/>
      <c r="G53" s="34"/>
      <c r="H53" s="25" t="s">
        <v>148</v>
      </c>
    </row>
    <row r="54" spans="1:8" x14ac:dyDescent="0.2">
      <c r="A54" s="23"/>
      <c r="B54" s="23"/>
      <c r="C54" s="24" t="s">
        <v>147</v>
      </c>
      <c r="D54" s="23"/>
      <c r="E54" s="23" t="s">
        <v>148</v>
      </c>
      <c r="F54" s="35" t="s">
        <v>150</v>
      </c>
      <c r="G54" s="32">
        <v>0</v>
      </c>
      <c r="H54" s="25" t="s">
        <v>148</v>
      </c>
    </row>
    <row r="55" spans="1:8" x14ac:dyDescent="0.2">
      <c r="A55" s="23"/>
      <c r="B55" s="23"/>
      <c r="C55" s="33"/>
      <c r="D55" s="23"/>
      <c r="E55" s="23"/>
      <c r="F55" s="34"/>
      <c r="G55" s="34"/>
      <c r="H55" s="25" t="s">
        <v>148</v>
      </c>
    </row>
    <row r="56" spans="1:8" x14ac:dyDescent="0.2">
      <c r="A56" s="23"/>
      <c r="B56" s="23"/>
      <c r="C56" s="24" t="s">
        <v>157</v>
      </c>
      <c r="D56" s="23"/>
      <c r="E56" s="23"/>
      <c r="F56" s="23"/>
      <c r="G56" s="23"/>
      <c r="H56" s="25" t="s">
        <v>148</v>
      </c>
    </row>
    <row r="57" spans="1:8" x14ac:dyDescent="0.2">
      <c r="A57" s="23"/>
      <c r="B57" s="23"/>
      <c r="C57" s="24" t="s">
        <v>147</v>
      </c>
      <c r="D57" s="23"/>
      <c r="E57" s="23" t="s">
        <v>148</v>
      </c>
      <c r="F57" s="35" t="s">
        <v>150</v>
      </c>
      <c r="G57" s="32">
        <v>0</v>
      </c>
      <c r="H57" s="25" t="s">
        <v>148</v>
      </c>
    </row>
    <row r="58" spans="1:8" x14ac:dyDescent="0.2">
      <c r="A58" s="23"/>
      <c r="B58" s="23"/>
      <c r="C58" s="33"/>
      <c r="D58" s="23"/>
      <c r="E58" s="23"/>
      <c r="F58" s="34"/>
      <c r="G58" s="34"/>
      <c r="H58" s="25" t="s">
        <v>148</v>
      </c>
    </row>
    <row r="59" spans="1:8" x14ac:dyDescent="0.2">
      <c r="A59" s="23"/>
      <c r="B59" s="23"/>
      <c r="C59" s="24" t="s">
        <v>158</v>
      </c>
      <c r="D59" s="23"/>
      <c r="E59" s="23"/>
      <c r="F59" s="23"/>
      <c r="G59" s="23"/>
      <c r="H59" s="25" t="s">
        <v>148</v>
      </c>
    </row>
    <row r="60" spans="1:8" x14ac:dyDescent="0.2">
      <c r="A60" s="23"/>
      <c r="B60" s="23"/>
      <c r="C60" s="24" t="s">
        <v>147</v>
      </c>
      <c r="D60" s="23"/>
      <c r="E60" s="23" t="s">
        <v>148</v>
      </c>
      <c r="F60" s="35" t="s">
        <v>150</v>
      </c>
      <c r="G60" s="32">
        <v>0</v>
      </c>
      <c r="H60" s="25" t="s">
        <v>148</v>
      </c>
    </row>
    <row r="61" spans="1:8" x14ac:dyDescent="0.2">
      <c r="A61" s="23"/>
      <c r="B61" s="23"/>
      <c r="C61" s="33"/>
      <c r="D61" s="23"/>
      <c r="E61" s="23"/>
      <c r="F61" s="34"/>
      <c r="G61" s="34"/>
      <c r="H61" s="25" t="s">
        <v>148</v>
      </c>
    </row>
    <row r="62" spans="1:8" x14ac:dyDescent="0.2">
      <c r="A62" s="23"/>
      <c r="B62" s="23"/>
      <c r="C62" s="24" t="s">
        <v>159</v>
      </c>
      <c r="D62" s="23"/>
      <c r="E62" s="23"/>
      <c r="F62" s="34"/>
      <c r="G62" s="34"/>
      <c r="H62" s="25" t="s">
        <v>148</v>
      </c>
    </row>
    <row r="63" spans="1:8" x14ac:dyDescent="0.2">
      <c r="A63" s="23"/>
      <c r="B63" s="23"/>
      <c r="C63" s="24" t="s">
        <v>147</v>
      </c>
      <c r="D63" s="23"/>
      <c r="E63" s="23" t="s">
        <v>148</v>
      </c>
      <c r="F63" s="35" t="s">
        <v>150</v>
      </c>
      <c r="G63" s="32">
        <v>0</v>
      </c>
      <c r="H63" s="25" t="s">
        <v>148</v>
      </c>
    </row>
    <row r="64" spans="1:8" x14ac:dyDescent="0.2">
      <c r="A64" s="23"/>
      <c r="B64" s="23"/>
      <c r="C64" s="33"/>
      <c r="D64" s="23"/>
      <c r="E64" s="23"/>
      <c r="F64" s="34"/>
      <c r="G64" s="34"/>
      <c r="H64" s="25" t="s">
        <v>148</v>
      </c>
    </row>
    <row r="65" spans="1:8" x14ac:dyDescent="0.2">
      <c r="A65" s="23"/>
      <c r="B65" s="23"/>
      <c r="C65" s="24" t="s">
        <v>160</v>
      </c>
      <c r="D65" s="23"/>
      <c r="E65" s="23"/>
      <c r="F65" s="31">
        <v>0</v>
      </c>
      <c r="G65" s="32">
        <v>0</v>
      </c>
      <c r="H65" s="25" t="s">
        <v>148</v>
      </c>
    </row>
    <row r="66" spans="1:8" x14ac:dyDescent="0.2">
      <c r="A66" s="23"/>
      <c r="B66" s="23"/>
      <c r="C66" s="33"/>
      <c r="D66" s="23"/>
      <c r="E66" s="23"/>
      <c r="F66" s="34"/>
      <c r="G66" s="34"/>
      <c r="H66" s="25" t="s">
        <v>148</v>
      </c>
    </row>
    <row r="67" spans="1:8" x14ac:dyDescent="0.2">
      <c r="A67" s="23"/>
      <c r="B67" s="23"/>
      <c r="C67" s="24" t="s">
        <v>161</v>
      </c>
      <c r="D67" s="23"/>
      <c r="E67" s="23"/>
      <c r="F67" s="34"/>
      <c r="G67" s="34"/>
      <c r="H67" s="25" t="s">
        <v>148</v>
      </c>
    </row>
    <row r="68" spans="1:8" x14ac:dyDescent="0.2">
      <c r="A68" s="23"/>
      <c r="B68" s="23"/>
      <c r="C68" s="24" t="s">
        <v>162</v>
      </c>
      <c r="D68" s="23"/>
      <c r="E68" s="23"/>
      <c r="F68" s="34"/>
      <c r="G68" s="34"/>
      <c r="H68" s="25" t="s">
        <v>148</v>
      </c>
    </row>
    <row r="69" spans="1:8" x14ac:dyDescent="0.2">
      <c r="A69" s="23"/>
      <c r="B69" s="23"/>
      <c r="C69" s="24" t="s">
        <v>147</v>
      </c>
      <c r="D69" s="23"/>
      <c r="E69" s="23" t="s">
        <v>148</v>
      </c>
      <c r="F69" s="35" t="s">
        <v>150</v>
      </c>
      <c r="G69" s="32">
        <v>0</v>
      </c>
      <c r="H69" s="25" t="s">
        <v>148</v>
      </c>
    </row>
    <row r="70" spans="1:8" x14ac:dyDescent="0.2">
      <c r="A70" s="23"/>
      <c r="B70" s="23"/>
      <c r="C70" s="33"/>
      <c r="D70" s="23"/>
      <c r="E70" s="23"/>
      <c r="F70" s="34"/>
      <c r="G70" s="34"/>
      <c r="H70" s="25" t="s">
        <v>148</v>
      </c>
    </row>
    <row r="71" spans="1:8" x14ac:dyDescent="0.2">
      <c r="A71" s="23"/>
      <c r="B71" s="23"/>
      <c r="C71" s="24" t="s">
        <v>163</v>
      </c>
      <c r="D71" s="23"/>
      <c r="E71" s="23"/>
      <c r="F71" s="34"/>
      <c r="G71" s="34"/>
      <c r="H71" s="25" t="s">
        <v>148</v>
      </c>
    </row>
    <row r="72" spans="1:8" x14ac:dyDescent="0.2">
      <c r="A72" s="23"/>
      <c r="B72" s="23"/>
      <c r="C72" s="24" t="s">
        <v>147</v>
      </c>
      <c r="D72" s="23"/>
      <c r="E72" s="23" t="s">
        <v>148</v>
      </c>
      <c r="F72" s="35" t="s">
        <v>150</v>
      </c>
      <c r="G72" s="32">
        <v>0</v>
      </c>
      <c r="H72" s="25" t="s">
        <v>148</v>
      </c>
    </row>
    <row r="73" spans="1:8" x14ac:dyDescent="0.2">
      <c r="A73" s="23"/>
      <c r="B73" s="23"/>
      <c r="C73" s="33"/>
      <c r="D73" s="23"/>
      <c r="E73" s="23"/>
      <c r="F73" s="34"/>
      <c r="G73" s="34"/>
      <c r="H73" s="25" t="s">
        <v>148</v>
      </c>
    </row>
    <row r="74" spans="1:8" x14ac:dyDescent="0.2">
      <c r="A74" s="23"/>
      <c r="B74" s="23"/>
      <c r="C74" s="24" t="s">
        <v>164</v>
      </c>
      <c r="D74" s="23"/>
      <c r="E74" s="23"/>
      <c r="F74" s="34"/>
      <c r="G74" s="34"/>
      <c r="H74" s="25" t="s">
        <v>148</v>
      </c>
    </row>
    <row r="75" spans="1:8" x14ac:dyDescent="0.2">
      <c r="A75" s="23"/>
      <c r="B75" s="23"/>
      <c r="C75" s="24" t="s">
        <v>147</v>
      </c>
      <c r="D75" s="23"/>
      <c r="E75" s="23" t="s">
        <v>148</v>
      </c>
      <c r="F75" s="35" t="s">
        <v>150</v>
      </c>
      <c r="G75" s="32">
        <v>0</v>
      </c>
      <c r="H75" s="25" t="s">
        <v>148</v>
      </c>
    </row>
    <row r="76" spans="1:8" x14ac:dyDescent="0.2">
      <c r="A76" s="23"/>
      <c r="B76" s="23"/>
      <c r="C76" s="33"/>
      <c r="D76" s="23"/>
      <c r="E76" s="23"/>
      <c r="F76" s="34"/>
      <c r="G76" s="34"/>
      <c r="H76" s="25" t="s">
        <v>148</v>
      </c>
    </row>
    <row r="77" spans="1:8" x14ac:dyDescent="0.2">
      <c r="A77" s="23"/>
      <c r="B77" s="23"/>
      <c r="C77" s="24" t="s">
        <v>165</v>
      </c>
      <c r="D77" s="23"/>
      <c r="E77" s="23"/>
      <c r="F77" s="34"/>
      <c r="G77" s="34"/>
      <c r="H77" s="25" t="s">
        <v>148</v>
      </c>
    </row>
    <row r="78" spans="1:8" x14ac:dyDescent="0.2">
      <c r="A78" s="26">
        <v>1</v>
      </c>
      <c r="B78" s="27"/>
      <c r="C78" s="27" t="s">
        <v>166</v>
      </c>
      <c r="D78" s="27"/>
      <c r="E78" s="36"/>
      <c r="F78" s="29">
        <v>2237.8291565069999</v>
      </c>
      <c r="G78" s="30">
        <v>2.221857E-2</v>
      </c>
      <c r="H78" s="25">
        <v>6.23</v>
      </c>
    </row>
    <row r="79" spans="1:8" x14ac:dyDescent="0.2">
      <c r="A79" s="23"/>
      <c r="B79" s="23"/>
      <c r="C79" s="24" t="s">
        <v>147</v>
      </c>
      <c r="D79" s="23"/>
      <c r="E79" s="23" t="s">
        <v>148</v>
      </c>
      <c r="F79" s="31">
        <v>2237.8291565069999</v>
      </c>
      <c r="G79" s="32">
        <v>2.221857E-2</v>
      </c>
      <c r="H79" s="25" t="s">
        <v>148</v>
      </c>
    </row>
    <row r="80" spans="1:8" x14ac:dyDescent="0.2">
      <c r="A80" s="23"/>
      <c r="B80" s="23"/>
      <c r="C80" s="33"/>
      <c r="D80" s="23"/>
      <c r="E80" s="23"/>
      <c r="F80" s="34"/>
      <c r="G80" s="34"/>
      <c r="H80" s="25" t="s">
        <v>148</v>
      </c>
    </row>
    <row r="81" spans="1:8" x14ac:dyDescent="0.2">
      <c r="A81" s="23"/>
      <c r="B81" s="23"/>
      <c r="C81" s="24" t="s">
        <v>167</v>
      </c>
      <c r="D81" s="23"/>
      <c r="E81" s="23"/>
      <c r="F81" s="31">
        <v>2237.8291565069999</v>
      </c>
      <c r="G81" s="32">
        <v>2.221857E-2</v>
      </c>
      <c r="H81" s="25" t="s">
        <v>148</v>
      </c>
    </row>
    <row r="82" spans="1:8" x14ac:dyDescent="0.2">
      <c r="A82" s="23"/>
      <c r="B82" s="23"/>
      <c r="C82" s="34"/>
      <c r="D82" s="23"/>
      <c r="E82" s="23"/>
      <c r="F82" s="23"/>
      <c r="G82" s="23"/>
      <c r="H82" s="25" t="s">
        <v>148</v>
      </c>
    </row>
    <row r="83" spans="1:8" x14ac:dyDescent="0.2">
      <c r="A83" s="23"/>
      <c r="B83" s="23"/>
      <c r="C83" s="24" t="s">
        <v>168</v>
      </c>
      <c r="D83" s="23"/>
      <c r="E83" s="23"/>
      <c r="F83" s="23"/>
      <c r="G83" s="23"/>
      <c r="H83" s="25" t="s">
        <v>148</v>
      </c>
    </row>
    <row r="84" spans="1:8" x14ac:dyDescent="0.2">
      <c r="A84" s="23"/>
      <c r="B84" s="23"/>
      <c r="C84" s="24" t="s">
        <v>169</v>
      </c>
      <c r="D84" s="23"/>
      <c r="E84" s="23"/>
      <c r="F84" s="23"/>
      <c r="G84" s="23"/>
      <c r="H84" s="25" t="s">
        <v>148</v>
      </c>
    </row>
    <row r="85" spans="1:8" ht="25.5" x14ac:dyDescent="0.2">
      <c r="A85" s="26">
        <v>1</v>
      </c>
      <c r="B85" s="27" t="s">
        <v>170</v>
      </c>
      <c r="C85" s="27" t="s">
        <v>171</v>
      </c>
      <c r="D85" s="27"/>
      <c r="E85" s="37">
        <v>17047818.1527</v>
      </c>
      <c r="F85" s="29">
        <v>2501.4945488180001</v>
      </c>
      <c r="G85" s="30">
        <v>2.4836400000000002E-2</v>
      </c>
      <c r="H85" s="25" t="s">
        <v>148</v>
      </c>
    </row>
    <row r="86" spans="1:8" x14ac:dyDescent="0.2">
      <c r="A86" s="23"/>
      <c r="B86" s="23"/>
      <c r="C86" s="24" t="s">
        <v>147</v>
      </c>
      <c r="D86" s="23"/>
      <c r="E86" s="23" t="s">
        <v>148</v>
      </c>
      <c r="F86" s="31">
        <v>2501.4945488180001</v>
      </c>
      <c r="G86" s="32">
        <v>2.4836400000000002E-2</v>
      </c>
      <c r="H86" s="25" t="s">
        <v>148</v>
      </c>
    </row>
    <row r="87" spans="1:8" x14ac:dyDescent="0.2">
      <c r="A87" s="23"/>
      <c r="B87" s="23"/>
      <c r="C87" s="33"/>
      <c r="D87" s="23"/>
      <c r="E87" s="23"/>
      <c r="F87" s="34"/>
      <c r="G87" s="34"/>
      <c r="H87" s="25" t="s">
        <v>148</v>
      </c>
    </row>
    <row r="88" spans="1:8" x14ac:dyDescent="0.2">
      <c r="A88" s="23"/>
      <c r="B88" s="23"/>
      <c r="C88" s="24" t="s">
        <v>172</v>
      </c>
      <c r="D88" s="23"/>
      <c r="E88" s="23"/>
      <c r="F88" s="23"/>
      <c r="G88" s="23"/>
      <c r="H88" s="25" t="s">
        <v>148</v>
      </c>
    </row>
    <row r="89" spans="1:8" x14ac:dyDescent="0.2">
      <c r="A89" s="23"/>
      <c r="B89" s="23"/>
      <c r="C89" s="24" t="s">
        <v>173</v>
      </c>
      <c r="D89" s="23"/>
      <c r="E89" s="23"/>
      <c r="F89" s="23"/>
      <c r="G89" s="23"/>
      <c r="H89" s="25" t="s">
        <v>148</v>
      </c>
    </row>
    <row r="90" spans="1:8" x14ac:dyDescent="0.2">
      <c r="A90" s="23"/>
      <c r="B90" s="23"/>
      <c r="C90" s="24" t="s">
        <v>147</v>
      </c>
      <c r="D90" s="23"/>
      <c r="E90" s="23" t="s">
        <v>148</v>
      </c>
      <c r="F90" s="35" t="s">
        <v>150</v>
      </c>
      <c r="G90" s="32">
        <v>0</v>
      </c>
      <c r="H90" s="25" t="s">
        <v>148</v>
      </c>
    </row>
    <row r="91" spans="1:8" x14ac:dyDescent="0.2">
      <c r="A91" s="23"/>
      <c r="B91" s="23"/>
      <c r="C91" s="33"/>
      <c r="D91" s="23"/>
      <c r="E91" s="23"/>
      <c r="F91" s="34"/>
      <c r="G91" s="34"/>
      <c r="H91" s="25" t="s">
        <v>148</v>
      </c>
    </row>
    <row r="92" spans="1:8" x14ac:dyDescent="0.2">
      <c r="A92" s="23"/>
      <c r="B92" s="23"/>
      <c r="C92" s="24" t="s">
        <v>174</v>
      </c>
      <c r="D92" s="23"/>
      <c r="E92" s="23"/>
      <c r="F92" s="34"/>
      <c r="G92" s="34"/>
      <c r="H92" s="25" t="s">
        <v>148</v>
      </c>
    </row>
    <row r="93" spans="1:8" x14ac:dyDescent="0.2">
      <c r="A93" s="23"/>
      <c r="B93" s="23"/>
      <c r="C93" s="24" t="s">
        <v>147</v>
      </c>
      <c r="D93" s="23"/>
      <c r="E93" s="23" t="s">
        <v>148</v>
      </c>
      <c r="F93" s="35" t="s">
        <v>150</v>
      </c>
      <c r="G93" s="32">
        <v>0</v>
      </c>
      <c r="H93" s="25" t="s">
        <v>148</v>
      </c>
    </row>
    <row r="94" spans="1:8" x14ac:dyDescent="0.2">
      <c r="A94" s="23"/>
      <c r="B94" s="23"/>
      <c r="C94" s="33"/>
      <c r="D94" s="23"/>
      <c r="E94" s="23"/>
      <c r="F94" s="34"/>
      <c r="G94" s="34"/>
      <c r="H94" s="25" t="s">
        <v>148</v>
      </c>
    </row>
    <row r="95" spans="1:8" x14ac:dyDescent="0.2">
      <c r="A95" s="36"/>
      <c r="B95" s="27"/>
      <c r="C95" s="27" t="s">
        <v>175</v>
      </c>
      <c r="D95" s="27"/>
      <c r="E95" s="36"/>
      <c r="F95" s="29">
        <v>-295.35578856000001</v>
      </c>
      <c r="G95" s="30">
        <v>-2.9324799999999999E-3</v>
      </c>
      <c r="H95" s="25" t="s">
        <v>148</v>
      </c>
    </row>
    <row r="96" spans="1:8" x14ac:dyDescent="0.2">
      <c r="A96" s="33"/>
      <c r="B96" s="33"/>
      <c r="C96" s="24" t="s">
        <v>176</v>
      </c>
      <c r="D96" s="34"/>
      <c r="E96" s="34"/>
      <c r="F96" s="31">
        <v>100718.870680765</v>
      </c>
      <c r="G96" s="39">
        <v>1</v>
      </c>
      <c r="H96" s="25" t="s">
        <v>148</v>
      </c>
    </row>
    <row r="97" spans="1:17" x14ac:dyDescent="0.2">
      <c r="A97" s="40"/>
      <c r="B97" s="40"/>
      <c r="C97" s="40"/>
      <c r="D97" s="41"/>
      <c r="E97" s="41"/>
      <c r="F97" s="41"/>
      <c r="G97" s="41"/>
    </row>
    <row r="98" spans="1:17" x14ac:dyDescent="0.2">
      <c r="A98" s="42"/>
      <c r="B98" s="237" t="s">
        <v>891</v>
      </c>
      <c r="C98" s="237"/>
      <c r="D98" s="237"/>
      <c r="E98" s="237"/>
      <c r="F98" s="237"/>
      <c r="G98" s="237"/>
      <c r="H98" s="237"/>
      <c r="J98" s="44"/>
    </row>
    <row r="99" spans="1:17" x14ac:dyDescent="0.2">
      <c r="A99" s="42"/>
      <c r="B99" s="237" t="s">
        <v>892</v>
      </c>
      <c r="C99" s="237"/>
      <c r="D99" s="237"/>
      <c r="E99" s="237"/>
      <c r="F99" s="237"/>
      <c r="G99" s="237"/>
      <c r="H99" s="237"/>
      <c r="J99" s="44"/>
    </row>
    <row r="100" spans="1:17" x14ac:dyDescent="0.2">
      <c r="A100" s="42"/>
      <c r="B100" s="237" t="s">
        <v>893</v>
      </c>
      <c r="C100" s="237"/>
      <c r="D100" s="237"/>
      <c r="E100" s="237"/>
      <c r="F100" s="237"/>
      <c r="G100" s="237"/>
      <c r="H100" s="237"/>
      <c r="J100" s="44"/>
    </row>
    <row r="101" spans="1:17" s="46" customFormat="1" ht="66.75" customHeight="1" x14ac:dyDescent="0.25">
      <c r="A101" s="45"/>
      <c r="B101" s="239" t="s">
        <v>894</v>
      </c>
      <c r="C101" s="239"/>
      <c r="D101" s="239"/>
      <c r="E101" s="239"/>
      <c r="F101" s="239"/>
      <c r="G101" s="239"/>
      <c r="H101" s="239"/>
      <c r="I101"/>
      <c r="J101" s="44"/>
      <c r="K101"/>
      <c r="L101"/>
      <c r="M101"/>
      <c r="N101"/>
      <c r="O101"/>
      <c r="P101"/>
      <c r="Q101"/>
    </row>
    <row r="102" spans="1:17" x14ac:dyDescent="0.2">
      <c r="A102" s="42"/>
      <c r="B102" s="237" t="s">
        <v>895</v>
      </c>
      <c r="C102" s="237"/>
      <c r="D102" s="237"/>
      <c r="E102" s="237"/>
      <c r="F102" s="237"/>
      <c r="G102" s="237"/>
      <c r="H102" s="237"/>
      <c r="J102" s="44"/>
    </row>
    <row r="103" spans="1:17" x14ac:dyDescent="0.2">
      <c r="A103" s="47"/>
      <c r="B103" s="47"/>
      <c r="C103" s="47"/>
      <c r="D103" s="48"/>
      <c r="E103" s="48"/>
      <c r="F103" s="48"/>
      <c r="G103" s="48"/>
    </row>
    <row r="104" spans="1:17" x14ac:dyDescent="0.2">
      <c r="A104" s="47"/>
      <c r="B104" s="234" t="s">
        <v>177</v>
      </c>
      <c r="C104" s="235"/>
      <c r="D104" s="236"/>
      <c r="E104" s="49"/>
      <c r="F104" s="48"/>
      <c r="G104" s="48"/>
    </row>
    <row r="105" spans="1:17" x14ac:dyDescent="0.2">
      <c r="A105" s="47"/>
      <c r="B105" s="232" t="s">
        <v>178</v>
      </c>
      <c r="C105" s="233"/>
      <c r="D105" s="24" t="s">
        <v>179</v>
      </c>
      <c r="E105" s="49"/>
      <c r="F105" s="48"/>
      <c r="G105" s="48"/>
    </row>
    <row r="106" spans="1:17" ht="12.75" customHeight="1" x14ac:dyDescent="0.2">
      <c r="A106" s="47"/>
      <c r="B106" s="240" t="s">
        <v>897</v>
      </c>
      <c r="C106" s="241"/>
      <c r="D106" s="24" t="s">
        <v>179</v>
      </c>
      <c r="E106" s="49"/>
      <c r="F106" s="48"/>
      <c r="G106" s="48"/>
    </row>
    <row r="107" spans="1:17" x14ac:dyDescent="0.2">
      <c r="A107" s="47"/>
      <c r="B107" s="232" t="s">
        <v>181</v>
      </c>
      <c r="C107" s="233"/>
      <c r="D107" s="34" t="s">
        <v>148</v>
      </c>
      <c r="E107" s="49"/>
      <c r="F107" s="48"/>
      <c r="G107" s="48"/>
    </row>
    <row r="108" spans="1:17" x14ac:dyDescent="0.2">
      <c r="A108" s="50"/>
      <c r="B108" s="51" t="s">
        <v>148</v>
      </c>
      <c r="C108" s="51" t="s">
        <v>896</v>
      </c>
      <c r="D108" s="51" t="s">
        <v>182</v>
      </c>
      <c r="E108" s="50"/>
      <c r="F108" s="50"/>
      <c r="G108" s="50"/>
      <c r="H108" s="50"/>
      <c r="J108" s="44"/>
    </row>
    <row r="109" spans="1:17" x14ac:dyDescent="0.2">
      <c r="A109" s="50"/>
      <c r="B109" s="52" t="s">
        <v>183</v>
      </c>
      <c r="C109" s="53">
        <v>45688</v>
      </c>
      <c r="D109" s="53">
        <v>45716</v>
      </c>
      <c r="E109" s="50"/>
      <c r="F109" s="50"/>
      <c r="G109" s="50"/>
      <c r="J109" s="44"/>
    </row>
    <row r="110" spans="1:17" x14ac:dyDescent="0.2">
      <c r="A110" s="54"/>
      <c r="B110" s="27" t="s">
        <v>184</v>
      </c>
      <c r="C110" s="55">
        <v>169.6121</v>
      </c>
      <c r="D110" s="55">
        <v>160.12469999999999</v>
      </c>
      <c r="E110" s="54"/>
      <c r="F110" s="56"/>
      <c r="G110" s="57"/>
    </row>
    <row r="111" spans="1:17" ht="25.5" x14ac:dyDescent="0.2">
      <c r="A111" s="54"/>
      <c r="B111" s="27" t="s">
        <v>1072</v>
      </c>
      <c r="C111" s="55">
        <v>44.912999999999997</v>
      </c>
      <c r="D111" s="55">
        <v>42.400799999999997</v>
      </c>
      <c r="E111" s="54"/>
      <c r="F111" s="56"/>
      <c r="G111" s="57"/>
    </row>
    <row r="112" spans="1:17" x14ac:dyDescent="0.2">
      <c r="A112" s="54"/>
      <c r="B112" s="27" t="s">
        <v>186</v>
      </c>
      <c r="C112" s="55">
        <v>153.8263</v>
      </c>
      <c r="D112" s="55">
        <v>145.12389999999999</v>
      </c>
      <c r="E112" s="54"/>
      <c r="F112" s="56"/>
      <c r="G112" s="57"/>
    </row>
    <row r="113" spans="1:7" ht="25.5" x14ac:dyDescent="0.2">
      <c r="A113" s="54"/>
      <c r="B113" s="27" t="s">
        <v>1073</v>
      </c>
      <c r="C113" s="55">
        <v>41.4831</v>
      </c>
      <c r="D113" s="55">
        <v>39.136299999999999</v>
      </c>
      <c r="E113" s="54"/>
      <c r="F113" s="56"/>
      <c r="G113" s="57"/>
    </row>
    <row r="114" spans="1:7" x14ac:dyDescent="0.2">
      <c r="A114" s="54"/>
      <c r="B114" s="54"/>
      <c r="C114" s="54"/>
      <c r="D114" s="54"/>
      <c r="E114" s="54"/>
      <c r="F114" s="54"/>
      <c r="G114" s="54"/>
    </row>
    <row r="115" spans="1:7" x14ac:dyDescent="0.2">
      <c r="A115" s="50"/>
      <c r="B115" s="240" t="s">
        <v>898</v>
      </c>
      <c r="C115" s="241"/>
      <c r="D115" s="58" t="s">
        <v>179</v>
      </c>
      <c r="E115" s="50"/>
      <c r="F115" s="50"/>
      <c r="G115" s="50"/>
    </row>
    <row r="116" spans="1:7" x14ac:dyDescent="0.2">
      <c r="A116" s="50"/>
      <c r="B116" s="59"/>
      <c r="C116" s="59"/>
      <c r="D116" s="59"/>
      <c r="E116" s="50"/>
      <c r="F116" s="50"/>
      <c r="G116" s="50"/>
    </row>
    <row r="117" spans="1:7" ht="29.1" customHeight="1" x14ac:dyDescent="0.2">
      <c r="A117" s="50"/>
      <c r="B117" s="240" t="s">
        <v>188</v>
      </c>
      <c r="C117" s="241"/>
      <c r="D117" s="58" t="s">
        <v>179</v>
      </c>
      <c r="E117" s="60"/>
      <c r="F117" s="50"/>
      <c r="G117" s="50"/>
    </row>
    <row r="118" spans="1:7" ht="29.1" customHeight="1" x14ac:dyDescent="0.2">
      <c r="A118" s="50"/>
      <c r="B118" s="240" t="s">
        <v>189</v>
      </c>
      <c r="C118" s="241"/>
      <c r="D118" s="58" t="s">
        <v>179</v>
      </c>
      <c r="E118" s="60"/>
      <c r="F118" s="50"/>
      <c r="G118" s="50"/>
    </row>
    <row r="119" spans="1:7" ht="17.100000000000001" customHeight="1" x14ac:dyDescent="0.2">
      <c r="A119" s="50"/>
      <c r="B119" s="240" t="s">
        <v>190</v>
      </c>
      <c r="C119" s="241"/>
      <c r="D119" s="58" t="s">
        <v>179</v>
      </c>
      <c r="E119" s="60"/>
      <c r="F119" s="50"/>
      <c r="G119" s="50"/>
    </row>
    <row r="120" spans="1:7" ht="17.100000000000001" customHeight="1" x14ac:dyDescent="0.2">
      <c r="A120" s="50"/>
      <c r="B120" s="240" t="s">
        <v>191</v>
      </c>
      <c r="C120" s="241"/>
      <c r="D120" s="61">
        <v>0.69651571048068195</v>
      </c>
      <c r="E120" s="50"/>
      <c r="F120" s="43"/>
      <c r="G120" s="62"/>
    </row>
    <row r="122" spans="1:7" x14ac:dyDescent="0.2">
      <c r="B122" s="238" t="s">
        <v>899</v>
      </c>
      <c r="C122" s="238"/>
    </row>
    <row r="124" spans="1:7" ht="153.75" customHeight="1" x14ac:dyDescent="0.2"/>
    <row r="127" spans="1:7" x14ac:dyDescent="0.2">
      <c r="B127" s="68" t="s">
        <v>900</v>
      </c>
      <c r="C127" s="69"/>
      <c r="D127" s="68" t="s">
        <v>903</v>
      </c>
    </row>
    <row r="128" spans="1:7" x14ac:dyDescent="0.2">
      <c r="B128" s="68" t="s">
        <v>1029</v>
      </c>
      <c r="D128" s="68" t="s">
        <v>1030</v>
      </c>
    </row>
    <row r="129" spans="10:10" ht="165" customHeight="1" x14ac:dyDescent="0.2"/>
    <row r="131" spans="10:10" x14ac:dyDescent="0.2">
      <c r="J131" s="22"/>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sheetData>
  <mergeCells count="18">
    <mergeCell ref="B122:C122"/>
    <mergeCell ref="A3:H3"/>
    <mergeCell ref="A2:H2"/>
    <mergeCell ref="B120:C120"/>
    <mergeCell ref="A1:H1"/>
    <mergeCell ref="B106:C106"/>
    <mergeCell ref="B107:C107"/>
    <mergeCell ref="B115:C115"/>
    <mergeCell ref="B119:C119"/>
    <mergeCell ref="B104:D104"/>
    <mergeCell ref="B105:C105"/>
    <mergeCell ref="B98:H98"/>
    <mergeCell ref="B99:H99"/>
    <mergeCell ref="B100:H100"/>
    <mergeCell ref="B101:H101"/>
    <mergeCell ref="B102:H102"/>
    <mergeCell ref="B117:C117"/>
    <mergeCell ref="B118:C118"/>
  </mergeCells>
  <hyperlinks>
    <hyperlink ref="I1" location="Index!B2" display="Index" xr:uid="{50E0835B-E346-43F8-83E9-829E07C0233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A10F-5B6D-460D-AAD3-9E9A2BEB66CA}">
  <sheetPr>
    <outlinePr summaryBelow="0" summaryRight="0"/>
  </sheetPr>
  <dimension ref="A1:Q179"/>
  <sheetViews>
    <sheetView showGridLines="0" workbookViewId="0">
      <selection sqref="A1:H1"/>
    </sheetView>
  </sheetViews>
  <sheetFormatPr defaultRowHeight="12.75" x14ac:dyDescent="0.2"/>
  <cols>
    <col min="1" max="1" width="5.85546875" bestFit="1" customWidth="1"/>
    <col min="2" max="2" width="24.140625" customWidth="1"/>
    <col min="3" max="3" width="43.7109375" customWidth="1"/>
    <col min="4" max="4" width="23" bestFit="1"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734</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778994</v>
      </c>
      <c r="F7" s="29">
        <v>13495.292056</v>
      </c>
      <c r="G7" s="30">
        <v>5.5844680000000001E-2</v>
      </c>
      <c r="H7" s="25" t="s">
        <v>148</v>
      </c>
    </row>
    <row r="8" spans="1:9" x14ac:dyDescent="0.2">
      <c r="A8" s="26">
        <v>2</v>
      </c>
      <c r="B8" s="27" t="s">
        <v>26</v>
      </c>
      <c r="C8" s="27" t="s">
        <v>27</v>
      </c>
      <c r="D8" s="27" t="s">
        <v>28</v>
      </c>
      <c r="E8" s="28">
        <v>903967</v>
      </c>
      <c r="F8" s="29">
        <v>10884.666647</v>
      </c>
      <c r="G8" s="30">
        <v>4.5041690000000002E-2</v>
      </c>
      <c r="H8" s="25" t="s">
        <v>148</v>
      </c>
    </row>
    <row r="9" spans="1:9" x14ac:dyDescent="0.2">
      <c r="A9" s="26">
        <v>3</v>
      </c>
      <c r="B9" s="27" t="s">
        <v>14</v>
      </c>
      <c r="C9" s="27" t="s">
        <v>15</v>
      </c>
      <c r="D9" s="27" t="s">
        <v>16</v>
      </c>
      <c r="E9" s="28">
        <v>836759</v>
      </c>
      <c r="F9" s="29">
        <v>10041.944759</v>
      </c>
      <c r="G9" s="30">
        <v>4.1554430000000003E-2</v>
      </c>
      <c r="H9" s="25" t="s">
        <v>148</v>
      </c>
    </row>
    <row r="10" spans="1:9" x14ac:dyDescent="0.2">
      <c r="A10" s="26">
        <v>4</v>
      </c>
      <c r="B10" s="27" t="s">
        <v>17</v>
      </c>
      <c r="C10" s="27" t="s">
        <v>18</v>
      </c>
      <c r="D10" s="27" t="s">
        <v>19</v>
      </c>
      <c r="E10" s="28">
        <v>256848</v>
      </c>
      <c r="F10" s="29">
        <v>8126.2854479999996</v>
      </c>
      <c r="G10" s="30">
        <v>3.3627270000000001E-2</v>
      </c>
      <c r="H10" s="25" t="s">
        <v>148</v>
      </c>
    </row>
    <row r="11" spans="1:9" x14ac:dyDescent="0.2">
      <c r="A11" s="26">
        <v>5</v>
      </c>
      <c r="B11" s="27" t="s">
        <v>336</v>
      </c>
      <c r="C11" s="27" t="s">
        <v>337</v>
      </c>
      <c r="D11" s="27" t="s">
        <v>28</v>
      </c>
      <c r="E11" s="28">
        <v>772466</v>
      </c>
      <c r="F11" s="29">
        <v>7844.7784629999996</v>
      </c>
      <c r="G11" s="30">
        <v>3.2462369999999997E-2</v>
      </c>
      <c r="H11" s="25" t="s">
        <v>148</v>
      </c>
    </row>
    <row r="12" spans="1:9" x14ac:dyDescent="0.2">
      <c r="A12" s="26">
        <v>6</v>
      </c>
      <c r="B12" s="27" t="s">
        <v>101</v>
      </c>
      <c r="C12" s="27" t="s">
        <v>102</v>
      </c>
      <c r="D12" s="27" t="s">
        <v>28</v>
      </c>
      <c r="E12" s="28">
        <v>391704</v>
      </c>
      <c r="F12" s="29">
        <v>7453.9312680000003</v>
      </c>
      <c r="G12" s="30">
        <v>3.0845009999999999E-2</v>
      </c>
      <c r="H12" s="25" t="s">
        <v>148</v>
      </c>
    </row>
    <row r="13" spans="1:9" x14ac:dyDescent="0.2">
      <c r="A13" s="26">
        <v>7</v>
      </c>
      <c r="B13" s="27" t="s">
        <v>206</v>
      </c>
      <c r="C13" s="27" t="s">
        <v>207</v>
      </c>
      <c r="D13" s="27" t="s">
        <v>28</v>
      </c>
      <c r="E13" s="28">
        <v>1197042</v>
      </c>
      <c r="F13" s="29">
        <v>6114.4905360000002</v>
      </c>
      <c r="G13" s="30">
        <v>2.5302290000000002E-2</v>
      </c>
      <c r="H13" s="25" t="s">
        <v>148</v>
      </c>
    </row>
    <row r="14" spans="1:9" x14ac:dyDescent="0.2">
      <c r="A14" s="26">
        <v>8</v>
      </c>
      <c r="B14" s="27" t="s">
        <v>334</v>
      </c>
      <c r="C14" s="27" t="s">
        <v>335</v>
      </c>
      <c r="D14" s="27" t="s">
        <v>205</v>
      </c>
      <c r="E14" s="28">
        <v>354987</v>
      </c>
      <c r="F14" s="29">
        <v>5991.1155989999997</v>
      </c>
      <c r="G14" s="30">
        <v>2.4791750000000001E-2</v>
      </c>
      <c r="H14" s="25" t="s">
        <v>148</v>
      </c>
    </row>
    <row r="15" spans="1:9" x14ac:dyDescent="0.2">
      <c r="A15" s="26">
        <v>9</v>
      </c>
      <c r="B15" s="27" t="s">
        <v>11</v>
      </c>
      <c r="C15" s="27" t="s">
        <v>12</v>
      </c>
      <c r="D15" s="27" t="s">
        <v>13</v>
      </c>
      <c r="E15" s="28">
        <v>355661</v>
      </c>
      <c r="F15" s="29">
        <v>5584.5890220000001</v>
      </c>
      <c r="G15" s="30">
        <v>2.310951E-2</v>
      </c>
      <c r="H15" s="25" t="s">
        <v>148</v>
      </c>
    </row>
    <row r="16" spans="1:9" x14ac:dyDescent="0.2">
      <c r="A16" s="26">
        <v>10</v>
      </c>
      <c r="B16" s="27" t="s">
        <v>357</v>
      </c>
      <c r="C16" s="27" t="s">
        <v>358</v>
      </c>
      <c r="D16" s="27" t="s">
        <v>359</v>
      </c>
      <c r="E16" s="28">
        <v>373348</v>
      </c>
      <c r="F16" s="29">
        <v>5227.80537</v>
      </c>
      <c r="G16" s="30">
        <v>2.1633110000000001E-2</v>
      </c>
      <c r="H16" s="25" t="s">
        <v>148</v>
      </c>
    </row>
    <row r="17" spans="1:8" ht="25.5" x14ac:dyDescent="0.2">
      <c r="A17" s="26">
        <v>11</v>
      </c>
      <c r="B17" s="27" t="s">
        <v>200</v>
      </c>
      <c r="C17" s="27" t="s">
        <v>201</v>
      </c>
      <c r="D17" s="27" t="s">
        <v>202</v>
      </c>
      <c r="E17" s="28">
        <v>269345</v>
      </c>
      <c r="F17" s="29">
        <v>5130.0795424999997</v>
      </c>
      <c r="G17" s="30">
        <v>2.1228710000000001E-2</v>
      </c>
      <c r="H17" s="25" t="s">
        <v>148</v>
      </c>
    </row>
    <row r="18" spans="1:8" x14ac:dyDescent="0.2">
      <c r="A18" s="26">
        <v>12</v>
      </c>
      <c r="B18" s="27" t="s">
        <v>230</v>
      </c>
      <c r="C18" s="27" t="s">
        <v>231</v>
      </c>
      <c r="D18" s="27" t="s">
        <v>232</v>
      </c>
      <c r="E18" s="28">
        <v>800364</v>
      </c>
      <c r="F18" s="29">
        <v>5011.0790040000002</v>
      </c>
      <c r="G18" s="30">
        <v>2.0736279999999999E-2</v>
      </c>
      <c r="H18" s="25" t="s">
        <v>148</v>
      </c>
    </row>
    <row r="19" spans="1:8" x14ac:dyDescent="0.2">
      <c r="A19" s="26">
        <v>13</v>
      </c>
      <c r="B19" s="27" t="s">
        <v>86</v>
      </c>
      <c r="C19" s="27" t="s">
        <v>87</v>
      </c>
      <c r="D19" s="27" t="s">
        <v>45</v>
      </c>
      <c r="E19" s="28">
        <v>147730</v>
      </c>
      <c r="F19" s="29">
        <v>4535.5325949999997</v>
      </c>
      <c r="G19" s="30">
        <v>1.8768420000000001E-2</v>
      </c>
      <c r="H19" s="25" t="s">
        <v>148</v>
      </c>
    </row>
    <row r="20" spans="1:8" x14ac:dyDescent="0.2">
      <c r="A20" s="26">
        <v>14</v>
      </c>
      <c r="B20" s="27" t="s">
        <v>49</v>
      </c>
      <c r="C20" s="27" t="s">
        <v>50</v>
      </c>
      <c r="D20" s="27" t="s">
        <v>51</v>
      </c>
      <c r="E20" s="28">
        <v>79949</v>
      </c>
      <c r="F20" s="29">
        <v>4500.0493884999996</v>
      </c>
      <c r="G20" s="30">
        <v>1.862159E-2</v>
      </c>
      <c r="H20" s="25" t="s">
        <v>148</v>
      </c>
    </row>
    <row r="21" spans="1:8" x14ac:dyDescent="0.2">
      <c r="A21" s="26">
        <v>15</v>
      </c>
      <c r="B21" s="27" t="s">
        <v>673</v>
      </c>
      <c r="C21" s="27" t="s">
        <v>674</v>
      </c>
      <c r="D21" s="27" t="s">
        <v>51</v>
      </c>
      <c r="E21" s="28">
        <v>218760</v>
      </c>
      <c r="F21" s="29">
        <v>4195.0511399999996</v>
      </c>
      <c r="G21" s="30">
        <v>1.735948E-2</v>
      </c>
      <c r="H21" s="25" t="s">
        <v>148</v>
      </c>
    </row>
    <row r="22" spans="1:8" x14ac:dyDescent="0.2">
      <c r="A22" s="26">
        <v>16</v>
      </c>
      <c r="B22" s="27" t="s">
        <v>374</v>
      </c>
      <c r="C22" s="27" t="s">
        <v>375</v>
      </c>
      <c r="D22" s="27" t="s">
        <v>376</v>
      </c>
      <c r="E22" s="28">
        <v>1097168</v>
      </c>
      <c r="F22" s="29">
        <v>4052.3900079999999</v>
      </c>
      <c r="G22" s="30">
        <v>1.6769139999999998E-2</v>
      </c>
      <c r="H22" s="25" t="s">
        <v>148</v>
      </c>
    </row>
    <row r="23" spans="1:8" x14ac:dyDescent="0.2">
      <c r="A23" s="26">
        <v>17</v>
      </c>
      <c r="B23" s="27" t="s">
        <v>31</v>
      </c>
      <c r="C23" s="27" t="s">
        <v>32</v>
      </c>
      <c r="D23" s="27" t="s">
        <v>33</v>
      </c>
      <c r="E23" s="28">
        <v>1637569</v>
      </c>
      <c r="F23" s="29">
        <v>4032.5136625</v>
      </c>
      <c r="G23" s="30">
        <v>1.6686889999999999E-2</v>
      </c>
      <c r="H23" s="25" t="s">
        <v>148</v>
      </c>
    </row>
    <row r="24" spans="1:8" x14ac:dyDescent="0.2">
      <c r="A24" s="26">
        <v>18</v>
      </c>
      <c r="B24" s="27" t="s">
        <v>208</v>
      </c>
      <c r="C24" s="27" t="s">
        <v>209</v>
      </c>
      <c r="D24" s="27" t="s">
        <v>210</v>
      </c>
      <c r="E24" s="28">
        <v>652550</v>
      </c>
      <c r="F24" s="29">
        <v>3998.1738500000001</v>
      </c>
      <c r="G24" s="30">
        <v>1.654479E-2</v>
      </c>
      <c r="H24" s="25" t="s">
        <v>148</v>
      </c>
    </row>
    <row r="25" spans="1:8" x14ac:dyDescent="0.2">
      <c r="A25" s="26">
        <v>19</v>
      </c>
      <c r="B25" s="27" t="s">
        <v>67</v>
      </c>
      <c r="C25" s="27" t="s">
        <v>68</v>
      </c>
      <c r="D25" s="27" t="s">
        <v>69</v>
      </c>
      <c r="E25" s="28">
        <v>88568</v>
      </c>
      <c r="F25" s="29">
        <v>3987.1985079999999</v>
      </c>
      <c r="G25" s="30">
        <v>1.6499369999999999E-2</v>
      </c>
      <c r="H25" s="25" t="s">
        <v>148</v>
      </c>
    </row>
    <row r="26" spans="1:8" x14ac:dyDescent="0.2">
      <c r="A26" s="26">
        <v>20</v>
      </c>
      <c r="B26" s="27" t="s">
        <v>36</v>
      </c>
      <c r="C26" s="27" t="s">
        <v>37</v>
      </c>
      <c r="D26" s="27" t="s">
        <v>25</v>
      </c>
      <c r="E26" s="28">
        <v>89197</v>
      </c>
      <c r="F26" s="29">
        <v>3915.1685195</v>
      </c>
      <c r="G26" s="30">
        <v>1.6201299999999998E-2</v>
      </c>
      <c r="H26" s="25" t="s">
        <v>148</v>
      </c>
    </row>
    <row r="27" spans="1:8" x14ac:dyDescent="0.2">
      <c r="A27" s="26">
        <v>21</v>
      </c>
      <c r="B27" s="27" t="s">
        <v>23</v>
      </c>
      <c r="C27" s="27" t="s">
        <v>24</v>
      </c>
      <c r="D27" s="27" t="s">
        <v>25</v>
      </c>
      <c r="E27" s="28">
        <v>38374</v>
      </c>
      <c r="F27" s="29">
        <v>3886.6914029999998</v>
      </c>
      <c r="G27" s="30">
        <v>1.6083460000000001E-2</v>
      </c>
      <c r="H27" s="25" t="s">
        <v>148</v>
      </c>
    </row>
    <row r="28" spans="1:8" x14ac:dyDescent="0.2">
      <c r="A28" s="26">
        <v>22</v>
      </c>
      <c r="B28" s="27" t="s">
        <v>435</v>
      </c>
      <c r="C28" s="27" t="s">
        <v>436</v>
      </c>
      <c r="D28" s="27" t="s">
        <v>205</v>
      </c>
      <c r="E28" s="28">
        <v>239511</v>
      </c>
      <c r="F28" s="29">
        <v>3772.4180055000002</v>
      </c>
      <c r="G28" s="30">
        <v>1.5610590000000001E-2</v>
      </c>
      <c r="H28" s="25" t="s">
        <v>148</v>
      </c>
    </row>
    <row r="29" spans="1:8" x14ac:dyDescent="0.2">
      <c r="A29" s="26">
        <v>23</v>
      </c>
      <c r="B29" s="27" t="s">
        <v>55</v>
      </c>
      <c r="C29" s="27" t="s">
        <v>56</v>
      </c>
      <c r="D29" s="27" t="s">
        <v>22</v>
      </c>
      <c r="E29" s="28">
        <v>1094203</v>
      </c>
      <c r="F29" s="29">
        <v>3711.536576</v>
      </c>
      <c r="G29" s="30">
        <v>1.535866E-2</v>
      </c>
      <c r="H29" s="25" t="s">
        <v>148</v>
      </c>
    </row>
    <row r="30" spans="1:8" ht="25.5" x14ac:dyDescent="0.2">
      <c r="A30" s="26">
        <v>24</v>
      </c>
      <c r="B30" s="27" t="s">
        <v>215</v>
      </c>
      <c r="C30" s="27" t="s">
        <v>216</v>
      </c>
      <c r="D30" s="27" t="s">
        <v>217</v>
      </c>
      <c r="E30" s="28">
        <v>586404</v>
      </c>
      <c r="F30" s="29">
        <v>3521.9424239999998</v>
      </c>
      <c r="G30" s="30">
        <v>1.45741E-2</v>
      </c>
      <c r="H30" s="25" t="s">
        <v>148</v>
      </c>
    </row>
    <row r="31" spans="1:8" x14ac:dyDescent="0.2">
      <c r="A31" s="26">
        <v>25</v>
      </c>
      <c r="B31" s="27" t="s">
        <v>323</v>
      </c>
      <c r="C31" s="27" t="s">
        <v>324</v>
      </c>
      <c r="D31" s="27" t="s">
        <v>51</v>
      </c>
      <c r="E31" s="28">
        <v>410348</v>
      </c>
      <c r="F31" s="29">
        <v>3497.3960040000002</v>
      </c>
      <c r="G31" s="30">
        <v>1.4472530000000001E-2</v>
      </c>
      <c r="H31" s="25" t="s">
        <v>148</v>
      </c>
    </row>
    <row r="32" spans="1:8" x14ac:dyDescent="0.2">
      <c r="A32" s="26">
        <v>26</v>
      </c>
      <c r="B32" s="27" t="s">
        <v>255</v>
      </c>
      <c r="C32" s="27" t="s">
        <v>256</v>
      </c>
      <c r="D32" s="27" t="s">
        <v>111</v>
      </c>
      <c r="E32" s="28">
        <v>41908</v>
      </c>
      <c r="F32" s="29">
        <v>3430.2117079999998</v>
      </c>
      <c r="G32" s="30">
        <v>1.419451E-2</v>
      </c>
      <c r="H32" s="25" t="s">
        <v>148</v>
      </c>
    </row>
    <row r="33" spans="1:8" x14ac:dyDescent="0.2">
      <c r="A33" s="26">
        <v>27</v>
      </c>
      <c r="B33" s="27" t="s">
        <v>735</v>
      </c>
      <c r="C33" s="27" t="s">
        <v>736</v>
      </c>
      <c r="D33" s="27" t="s">
        <v>737</v>
      </c>
      <c r="E33" s="28">
        <v>1040440</v>
      </c>
      <c r="F33" s="29">
        <v>3354.3785600000001</v>
      </c>
      <c r="G33" s="30">
        <v>1.3880709999999999E-2</v>
      </c>
      <c r="H33" s="25" t="s">
        <v>148</v>
      </c>
    </row>
    <row r="34" spans="1:8" x14ac:dyDescent="0.2">
      <c r="A34" s="26">
        <v>28</v>
      </c>
      <c r="B34" s="27" t="s">
        <v>72</v>
      </c>
      <c r="C34" s="27" t="s">
        <v>73</v>
      </c>
      <c r="D34" s="27" t="s">
        <v>42</v>
      </c>
      <c r="E34" s="28">
        <v>72518</v>
      </c>
      <c r="F34" s="29">
        <v>3352.8697299999999</v>
      </c>
      <c r="G34" s="30">
        <v>1.387446E-2</v>
      </c>
      <c r="H34" s="25" t="s">
        <v>148</v>
      </c>
    </row>
    <row r="35" spans="1:8" x14ac:dyDescent="0.2">
      <c r="A35" s="26">
        <v>29</v>
      </c>
      <c r="B35" s="27" t="s">
        <v>223</v>
      </c>
      <c r="C35" s="27" t="s">
        <v>224</v>
      </c>
      <c r="D35" s="27" t="s">
        <v>16</v>
      </c>
      <c r="E35" s="28">
        <v>1092341</v>
      </c>
      <c r="F35" s="29">
        <v>3208.7516875000001</v>
      </c>
      <c r="G35" s="30">
        <v>1.3278089999999999E-2</v>
      </c>
      <c r="H35" s="25" t="s">
        <v>148</v>
      </c>
    </row>
    <row r="36" spans="1:8" x14ac:dyDescent="0.2">
      <c r="A36" s="26">
        <v>30</v>
      </c>
      <c r="B36" s="27" t="s">
        <v>243</v>
      </c>
      <c r="C36" s="27" t="s">
        <v>244</v>
      </c>
      <c r="D36" s="27" t="s">
        <v>229</v>
      </c>
      <c r="E36" s="28">
        <v>45749</v>
      </c>
      <c r="F36" s="29">
        <v>3199.0674485</v>
      </c>
      <c r="G36" s="30">
        <v>1.323802E-2</v>
      </c>
      <c r="H36" s="25" t="s">
        <v>148</v>
      </c>
    </row>
    <row r="37" spans="1:8" ht="25.5" x14ac:dyDescent="0.2">
      <c r="A37" s="26">
        <v>31</v>
      </c>
      <c r="B37" s="27" t="s">
        <v>386</v>
      </c>
      <c r="C37" s="27" t="s">
        <v>387</v>
      </c>
      <c r="D37" s="27" t="s">
        <v>202</v>
      </c>
      <c r="E37" s="28">
        <v>190006</v>
      </c>
      <c r="F37" s="29">
        <v>3124.3636609999999</v>
      </c>
      <c r="G37" s="30">
        <v>1.292889E-2</v>
      </c>
      <c r="H37" s="25" t="s">
        <v>148</v>
      </c>
    </row>
    <row r="38" spans="1:8" x14ac:dyDescent="0.2">
      <c r="A38" s="26">
        <v>32</v>
      </c>
      <c r="B38" s="27" t="s">
        <v>288</v>
      </c>
      <c r="C38" s="27" t="s">
        <v>289</v>
      </c>
      <c r="D38" s="27" t="s">
        <v>240</v>
      </c>
      <c r="E38" s="28">
        <v>99209</v>
      </c>
      <c r="F38" s="29">
        <v>3118.2380790000002</v>
      </c>
      <c r="G38" s="30">
        <v>1.290354E-2</v>
      </c>
      <c r="H38" s="25" t="s">
        <v>148</v>
      </c>
    </row>
    <row r="39" spans="1:8" x14ac:dyDescent="0.2">
      <c r="A39" s="26">
        <v>33</v>
      </c>
      <c r="B39" s="27" t="s">
        <v>247</v>
      </c>
      <c r="C39" s="27" t="s">
        <v>248</v>
      </c>
      <c r="D39" s="27" t="s">
        <v>232</v>
      </c>
      <c r="E39" s="28">
        <v>416636</v>
      </c>
      <c r="F39" s="29">
        <v>3070.815638</v>
      </c>
      <c r="G39" s="30">
        <v>1.2707299999999999E-2</v>
      </c>
      <c r="H39" s="25" t="s">
        <v>148</v>
      </c>
    </row>
    <row r="40" spans="1:8" x14ac:dyDescent="0.2">
      <c r="A40" s="26">
        <v>34</v>
      </c>
      <c r="B40" s="27" t="s">
        <v>95</v>
      </c>
      <c r="C40" s="27" t="s">
        <v>96</v>
      </c>
      <c r="D40" s="27" t="s">
        <v>45</v>
      </c>
      <c r="E40" s="28">
        <v>108339</v>
      </c>
      <c r="F40" s="29">
        <v>2944.5998504999998</v>
      </c>
      <c r="G40" s="30">
        <v>1.218501E-2</v>
      </c>
      <c r="H40" s="25" t="s">
        <v>148</v>
      </c>
    </row>
    <row r="41" spans="1:8" x14ac:dyDescent="0.2">
      <c r="A41" s="26">
        <v>35</v>
      </c>
      <c r="B41" s="27" t="s">
        <v>488</v>
      </c>
      <c r="C41" s="27" t="s">
        <v>489</v>
      </c>
      <c r="D41" s="27" t="s">
        <v>120</v>
      </c>
      <c r="E41" s="28">
        <v>220369</v>
      </c>
      <c r="F41" s="29">
        <v>2915.1513165000001</v>
      </c>
      <c r="G41" s="30">
        <v>1.206315E-2</v>
      </c>
      <c r="H41" s="25" t="s">
        <v>148</v>
      </c>
    </row>
    <row r="42" spans="1:8" x14ac:dyDescent="0.2">
      <c r="A42" s="26">
        <v>36</v>
      </c>
      <c r="B42" s="27" t="s">
        <v>20</v>
      </c>
      <c r="C42" s="27" t="s">
        <v>21</v>
      </c>
      <c r="D42" s="27" t="s">
        <v>22</v>
      </c>
      <c r="E42" s="28">
        <v>905061</v>
      </c>
      <c r="F42" s="29">
        <v>2818.8124845000002</v>
      </c>
      <c r="G42" s="30">
        <v>1.166449E-2</v>
      </c>
      <c r="H42" s="25" t="s">
        <v>148</v>
      </c>
    </row>
    <row r="43" spans="1:8" x14ac:dyDescent="0.2">
      <c r="A43" s="26">
        <v>37</v>
      </c>
      <c r="B43" s="27" t="s">
        <v>282</v>
      </c>
      <c r="C43" s="27" t="s">
        <v>283</v>
      </c>
      <c r="D43" s="27" t="s">
        <v>232</v>
      </c>
      <c r="E43" s="28">
        <v>1698913</v>
      </c>
      <c r="F43" s="29">
        <v>2803.5462326000002</v>
      </c>
      <c r="G43" s="30">
        <v>1.160132E-2</v>
      </c>
      <c r="H43" s="25" t="s">
        <v>148</v>
      </c>
    </row>
    <row r="44" spans="1:8" x14ac:dyDescent="0.2">
      <c r="A44" s="26">
        <v>38</v>
      </c>
      <c r="B44" s="27" t="s">
        <v>496</v>
      </c>
      <c r="C44" s="27" t="s">
        <v>497</v>
      </c>
      <c r="D44" s="27" t="s">
        <v>45</v>
      </c>
      <c r="E44" s="28">
        <v>73004</v>
      </c>
      <c r="F44" s="29">
        <v>2694.0666120000001</v>
      </c>
      <c r="G44" s="30">
        <v>1.114828E-2</v>
      </c>
      <c r="H44" s="25" t="s">
        <v>148</v>
      </c>
    </row>
    <row r="45" spans="1:8" x14ac:dyDescent="0.2">
      <c r="A45" s="26">
        <v>39</v>
      </c>
      <c r="B45" s="27" t="s">
        <v>90</v>
      </c>
      <c r="C45" s="27" t="s">
        <v>91</v>
      </c>
      <c r="D45" s="27" t="s">
        <v>45</v>
      </c>
      <c r="E45" s="28">
        <v>182448</v>
      </c>
      <c r="F45" s="29">
        <v>2625.3354960000001</v>
      </c>
      <c r="G45" s="30">
        <v>1.0863859999999999E-2</v>
      </c>
      <c r="H45" s="25" t="s">
        <v>148</v>
      </c>
    </row>
    <row r="46" spans="1:8" x14ac:dyDescent="0.2">
      <c r="A46" s="26">
        <v>40</v>
      </c>
      <c r="B46" s="27" t="s">
        <v>321</v>
      </c>
      <c r="C46" s="27" t="s">
        <v>322</v>
      </c>
      <c r="D46" s="27" t="s">
        <v>111</v>
      </c>
      <c r="E46" s="28">
        <v>152434</v>
      </c>
      <c r="F46" s="29">
        <v>2569.351287</v>
      </c>
      <c r="G46" s="30">
        <v>1.06322E-2</v>
      </c>
      <c r="H46" s="25" t="s">
        <v>148</v>
      </c>
    </row>
    <row r="47" spans="1:8" x14ac:dyDescent="0.2">
      <c r="A47" s="26">
        <v>41</v>
      </c>
      <c r="B47" s="27" t="s">
        <v>396</v>
      </c>
      <c r="C47" s="27" t="s">
        <v>397</v>
      </c>
      <c r="D47" s="27" t="s">
        <v>205</v>
      </c>
      <c r="E47" s="28">
        <v>522421</v>
      </c>
      <c r="F47" s="29">
        <v>2559.8629000000001</v>
      </c>
      <c r="G47" s="30">
        <v>1.059293E-2</v>
      </c>
      <c r="H47" s="25" t="s">
        <v>148</v>
      </c>
    </row>
    <row r="48" spans="1:8" x14ac:dyDescent="0.2">
      <c r="A48" s="26">
        <v>42</v>
      </c>
      <c r="B48" s="27" t="s">
        <v>249</v>
      </c>
      <c r="C48" s="27" t="s">
        <v>250</v>
      </c>
      <c r="D48" s="27" t="s">
        <v>205</v>
      </c>
      <c r="E48" s="28">
        <v>111574</v>
      </c>
      <c r="F48" s="29">
        <v>2507.3467150000001</v>
      </c>
      <c r="G48" s="30">
        <v>1.037562E-2</v>
      </c>
      <c r="H48" s="25" t="s">
        <v>148</v>
      </c>
    </row>
    <row r="49" spans="1:8" x14ac:dyDescent="0.2">
      <c r="A49" s="26">
        <v>43</v>
      </c>
      <c r="B49" s="27" t="s">
        <v>538</v>
      </c>
      <c r="C49" s="27" t="s">
        <v>539</v>
      </c>
      <c r="D49" s="27" t="s">
        <v>45</v>
      </c>
      <c r="E49" s="28">
        <v>1452490</v>
      </c>
      <c r="F49" s="29">
        <v>2480.7076710000001</v>
      </c>
      <c r="G49" s="30">
        <v>1.0265379999999999E-2</v>
      </c>
      <c r="H49" s="25" t="s">
        <v>148</v>
      </c>
    </row>
    <row r="50" spans="1:8" x14ac:dyDescent="0.2">
      <c r="A50" s="26">
        <v>44</v>
      </c>
      <c r="B50" s="27" t="s">
        <v>278</v>
      </c>
      <c r="C50" s="27" t="s">
        <v>279</v>
      </c>
      <c r="D50" s="27" t="s">
        <v>111</v>
      </c>
      <c r="E50" s="28">
        <v>493726</v>
      </c>
      <c r="F50" s="29">
        <v>2453.324494</v>
      </c>
      <c r="G50" s="30">
        <v>1.0152069999999999E-2</v>
      </c>
      <c r="H50" s="25" t="s">
        <v>148</v>
      </c>
    </row>
    <row r="51" spans="1:8" x14ac:dyDescent="0.2">
      <c r="A51" s="26">
        <v>45</v>
      </c>
      <c r="B51" s="27" t="s">
        <v>198</v>
      </c>
      <c r="C51" s="27" t="s">
        <v>199</v>
      </c>
      <c r="D51" s="27" t="s">
        <v>51</v>
      </c>
      <c r="E51" s="28">
        <v>528822</v>
      </c>
      <c r="F51" s="29">
        <v>2444.479695</v>
      </c>
      <c r="G51" s="30">
        <v>1.011547E-2</v>
      </c>
      <c r="H51" s="25" t="s">
        <v>148</v>
      </c>
    </row>
    <row r="52" spans="1:8" ht="25.5" x14ac:dyDescent="0.2">
      <c r="A52" s="26">
        <v>46</v>
      </c>
      <c r="B52" s="27" t="s">
        <v>362</v>
      </c>
      <c r="C52" s="27" t="s">
        <v>363</v>
      </c>
      <c r="D52" s="27" t="s">
        <v>202</v>
      </c>
      <c r="E52" s="28">
        <v>217943</v>
      </c>
      <c r="F52" s="29">
        <v>2433.3335950000001</v>
      </c>
      <c r="G52" s="30">
        <v>1.006934E-2</v>
      </c>
      <c r="H52" s="25" t="s">
        <v>148</v>
      </c>
    </row>
    <row r="53" spans="1:8" x14ac:dyDescent="0.2">
      <c r="A53" s="26">
        <v>47</v>
      </c>
      <c r="B53" s="27" t="s">
        <v>738</v>
      </c>
      <c r="C53" s="27" t="s">
        <v>739</v>
      </c>
      <c r="D53" s="27" t="s">
        <v>210</v>
      </c>
      <c r="E53" s="28">
        <v>148846</v>
      </c>
      <c r="F53" s="29">
        <v>2358.4648699999998</v>
      </c>
      <c r="G53" s="30">
        <v>9.7595300000000006E-3</v>
      </c>
      <c r="H53" s="25" t="s">
        <v>148</v>
      </c>
    </row>
    <row r="54" spans="1:8" x14ac:dyDescent="0.2">
      <c r="A54" s="26">
        <v>48</v>
      </c>
      <c r="B54" s="27" t="s">
        <v>490</v>
      </c>
      <c r="C54" s="27" t="s">
        <v>491</v>
      </c>
      <c r="D54" s="27" t="s">
        <v>51</v>
      </c>
      <c r="E54" s="28">
        <v>1163835</v>
      </c>
      <c r="F54" s="29">
        <v>2306.8373535000001</v>
      </c>
      <c r="G54" s="30">
        <v>9.5458899999999996E-3</v>
      </c>
      <c r="H54" s="25" t="s">
        <v>148</v>
      </c>
    </row>
    <row r="55" spans="1:8" x14ac:dyDescent="0.2">
      <c r="A55" s="26">
        <v>49</v>
      </c>
      <c r="B55" s="27" t="s">
        <v>127</v>
      </c>
      <c r="C55" s="27" t="s">
        <v>128</v>
      </c>
      <c r="D55" s="27" t="s">
        <v>45</v>
      </c>
      <c r="E55" s="28">
        <v>396735</v>
      </c>
      <c r="F55" s="29">
        <v>2285.5903349999999</v>
      </c>
      <c r="G55" s="30">
        <v>9.4579699999999996E-3</v>
      </c>
      <c r="H55" s="25" t="s">
        <v>148</v>
      </c>
    </row>
    <row r="56" spans="1:8" x14ac:dyDescent="0.2">
      <c r="A56" s="26">
        <v>50</v>
      </c>
      <c r="B56" s="27" t="s">
        <v>534</v>
      </c>
      <c r="C56" s="27" t="s">
        <v>535</v>
      </c>
      <c r="D56" s="27" t="s">
        <v>275</v>
      </c>
      <c r="E56" s="28">
        <v>79346</v>
      </c>
      <c r="F56" s="29">
        <v>2051.1734459999998</v>
      </c>
      <c r="G56" s="30">
        <v>8.4879299999999994E-3</v>
      </c>
      <c r="H56" s="25" t="s">
        <v>148</v>
      </c>
    </row>
    <row r="57" spans="1:8" x14ac:dyDescent="0.2">
      <c r="A57" s="26">
        <v>51</v>
      </c>
      <c r="B57" s="27" t="s">
        <v>233</v>
      </c>
      <c r="C57" s="27" t="s">
        <v>234</v>
      </c>
      <c r="D57" s="27" t="s">
        <v>235</v>
      </c>
      <c r="E57" s="28">
        <v>105063</v>
      </c>
      <c r="F57" s="29">
        <v>2044.6835745000001</v>
      </c>
      <c r="G57" s="30">
        <v>8.4610799999999993E-3</v>
      </c>
      <c r="H57" s="25" t="s">
        <v>148</v>
      </c>
    </row>
    <row r="58" spans="1:8" x14ac:dyDescent="0.2">
      <c r="A58" s="26">
        <v>52</v>
      </c>
      <c r="B58" s="27" t="s">
        <v>536</v>
      </c>
      <c r="C58" s="27" t="s">
        <v>537</v>
      </c>
      <c r="D58" s="27" t="s">
        <v>69</v>
      </c>
      <c r="E58" s="28">
        <v>208295</v>
      </c>
      <c r="F58" s="29">
        <v>2039.5204925</v>
      </c>
      <c r="G58" s="30">
        <v>8.4397099999999996E-3</v>
      </c>
      <c r="H58" s="25" t="s">
        <v>148</v>
      </c>
    </row>
    <row r="59" spans="1:8" x14ac:dyDescent="0.2">
      <c r="A59" s="26">
        <v>53</v>
      </c>
      <c r="B59" s="27" t="s">
        <v>306</v>
      </c>
      <c r="C59" s="27" t="s">
        <v>307</v>
      </c>
      <c r="D59" s="27" t="s">
        <v>69</v>
      </c>
      <c r="E59" s="28">
        <v>82087</v>
      </c>
      <c r="F59" s="29">
        <v>2021.1050705</v>
      </c>
      <c r="G59" s="30">
        <v>8.3635099999999993E-3</v>
      </c>
      <c r="H59" s="25" t="s">
        <v>148</v>
      </c>
    </row>
    <row r="60" spans="1:8" x14ac:dyDescent="0.2">
      <c r="A60" s="26">
        <v>54</v>
      </c>
      <c r="B60" s="27" t="s">
        <v>99</v>
      </c>
      <c r="C60" s="27" t="s">
        <v>100</v>
      </c>
      <c r="D60" s="27" t="s">
        <v>69</v>
      </c>
      <c r="E60" s="28">
        <v>64194</v>
      </c>
      <c r="F60" s="29">
        <v>1965.138825</v>
      </c>
      <c r="G60" s="30">
        <v>8.1319099999999991E-3</v>
      </c>
      <c r="H60" s="25" t="s">
        <v>148</v>
      </c>
    </row>
    <row r="61" spans="1:8" x14ac:dyDescent="0.2">
      <c r="A61" s="26">
        <v>55</v>
      </c>
      <c r="B61" s="27" t="s">
        <v>472</v>
      </c>
      <c r="C61" s="27" t="s">
        <v>473</v>
      </c>
      <c r="D61" s="27" t="s">
        <v>197</v>
      </c>
      <c r="E61" s="28">
        <v>288796</v>
      </c>
      <c r="F61" s="29">
        <v>1917.8942360000001</v>
      </c>
      <c r="G61" s="30">
        <v>7.9364099999999996E-3</v>
      </c>
      <c r="H61" s="25" t="s">
        <v>148</v>
      </c>
    </row>
    <row r="62" spans="1:8" x14ac:dyDescent="0.2">
      <c r="A62" s="26">
        <v>56</v>
      </c>
      <c r="B62" s="27" t="s">
        <v>292</v>
      </c>
      <c r="C62" s="27" t="s">
        <v>293</v>
      </c>
      <c r="D62" s="27" t="s">
        <v>197</v>
      </c>
      <c r="E62" s="28">
        <v>62427</v>
      </c>
      <c r="F62" s="29">
        <v>1881.5185664999999</v>
      </c>
      <c r="G62" s="30">
        <v>7.7858900000000002E-3</v>
      </c>
      <c r="H62" s="25" t="s">
        <v>148</v>
      </c>
    </row>
    <row r="63" spans="1:8" x14ac:dyDescent="0.2">
      <c r="A63" s="26">
        <v>57</v>
      </c>
      <c r="B63" s="27" t="s">
        <v>123</v>
      </c>
      <c r="C63" s="27" t="s">
        <v>124</v>
      </c>
      <c r="D63" s="27" t="s">
        <v>69</v>
      </c>
      <c r="E63" s="28">
        <v>183385</v>
      </c>
      <c r="F63" s="29">
        <v>1864.1085250000001</v>
      </c>
      <c r="G63" s="30">
        <v>7.7138399999999996E-3</v>
      </c>
      <c r="H63" s="25" t="s">
        <v>148</v>
      </c>
    </row>
    <row r="64" spans="1:8" x14ac:dyDescent="0.2">
      <c r="A64" s="26">
        <v>58</v>
      </c>
      <c r="B64" s="27" t="s">
        <v>236</v>
      </c>
      <c r="C64" s="27" t="s">
        <v>237</v>
      </c>
      <c r="D64" s="27" t="s">
        <v>69</v>
      </c>
      <c r="E64" s="28">
        <v>293140</v>
      </c>
      <c r="F64" s="29">
        <v>1097.2230199999999</v>
      </c>
      <c r="G64" s="30">
        <v>4.5404E-3</v>
      </c>
      <c r="H64" s="25" t="s">
        <v>148</v>
      </c>
    </row>
    <row r="65" spans="1:8" ht="25.5" x14ac:dyDescent="0.2">
      <c r="A65" s="26">
        <v>59</v>
      </c>
      <c r="B65" s="27" t="s">
        <v>220</v>
      </c>
      <c r="C65" s="27" t="s">
        <v>221</v>
      </c>
      <c r="D65" s="27" t="s">
        <v>222</v>
      </c>
      <c r="E65" s="28">
        <v>57891</v>
      </c>
      <c r="F65" s="29">
        <v>847.29267600000003</v>
      </c>
      <c r="G65" s="30">
        <v>3.5061699999999999E-3</v>
      </c>
      <c r="H65" s="25" t="s">
        <v>148</v>
      </c>
    </row>
    <row r="66" spans="1:8" x14ac:dyDescent="0.2">
      <c r="A66" s="26">
        <v>60</v>
      </c>
      <c r="B66" s="27" t="s">
        <v>480</v>
      </c>
      <c r="C66" s="27" t="s">
        <v>481</v>
      </c>
      <c r="D66" s="27" t="s">
        <v>482</v>
      </c>
      <c r="E66" s="28">
        <v>143133</v>
      </c>
      <c r="F66" s="29">
        <v>715.52186700000004</v>
      </c>
      <c r="G66" s="30">
        <v>2.9608899999999999E-3</v>
      </c>
      <c r="H66" s="25" t="s">
        <v>148</v>
      </c>
    </row>
    <row r="67" spans="1:8" x14ac:dyDescent="0.2">
      <c r="A67" s="26">
        <v>61</v>
      </c>
      <c r="B67" s="27" t="s">
        <v>485</v>
      </c>
      <c r="C67" s="27" t="s">
        <v>486</v>
      </c>
      <c r="D67" s="27" t="s">
        <v>487</v>
      </c>
      <c r="E67" s="28">
        <v>148801</v>
      </c>
      <c r="F67" s="29">
        <v>624.88979949999998</v>
      </c>
      <c r="G67" s="30">
        <v>2.5858500000000002E-3</v>
      </c>
      <c r="H67" s="25" t="s">
        <v>148</v>
      </c>
    </row>
    <row r="68" spans="1:8" x14ac:dyDescent="0.2">
      <c r="A68" s="26">
        <v>62</v>
      </c>
      <c r="B68" s="27" t="s">
        <v>253</v>
      </c>
      <c r="C68" s="27" t="s">
        <v>254</v>
      </c>
      <c r="D68" s="27" t="s">
        <v>205</v>
      </c>
      <c r="E68" s="28">
        <v>4973</v>
      </c>
      <c r="F68" s="29">
        <v>366.11971949999997</v>
      </c>
      <c r="G68" s="30">
        <v>1.51504E-3</v>
      </c>
      <c r="H68" s="25" t="s">
        <v>148</v>
      </c>
    </row>
    <row r="69" spans="1:8" x14ac:dyDescent="0.2">
      <c r="A69" s="26">
        <v>63</v>
      </c>
      <c r="B69" s="27" t="s">
        <v>261</v>
      </c>
      <c r="C69" s="27" t="s">
        <v>262</v>
      </c>
      <c r="D69" s="27" t="s">
        <v>210</v>
      </c>
      <c r="E69" s="28">
        <v>4735</v>
      </c>
      <c r="F69" s="29">
        <v>109.39980749999999</v>
      </c>
      <c r="G69" s="30">
        <v>4.5270999999999999E-4</v>
      </c>
      <c r="H69" s="25" t="s">
        <v>148</v>
      </c>
    </row>
    <row r="70" spans="1:8" x14ac:dyDescent="0.2">
      <c r="A70" s="23"/>
      <c r="B70" s="23"/>
      <c r="C70" s="24" t="s">
        <v>147</v>
      </c>
      <c r="D70" s="23"/>
      <c r="E70" s="23" t="s">
        <v>148</v>
      </c>
      <c r="F70" s="31">
        <f>SUM(F7:F69)</f>
        <v>229117.21684360006</v>
      </c>
      <c r="G70" s="32">
        <f>SUM(G7:G69)</f>
        <v>0.94810679000000031</v>
      </c>
      <c r="H70" s="25" t="s">
        <v>148</v>
      </c>
    </row>
    <row r="71" spans="1:8" x14ac:dyDescent="0.2">
      <c r="A71" s="23"/>
      <c r="B71" s="23"/>
      <c r="C71" s="33"/>
      <c r="D71" s="23"/>
      <c r="E71" s="23"/>
      <c r="F71" s="34"/>
      <c r="G71" s="34"/>
      <c r="H71" s="25" t="s">
        <v>148</v>
      </c>
    </row>
    <row r="72" spans="1:8" x14ac:dyDescent="0.2">
      <c r="A72" s="23"/>
      <c r="B72" s="23"/>
      <c r="C72" s="24" t="s">
        <v>149</v>
      </c>
      <c r="D72" s="23"/>
      <c r="E72" s="23"/>
      <c r="F72" s="23"/>
      <c r="G72" s="23"/>
      <c r="H72" s="25" t="s">
        <v>148</v>
      </c>
    </row>
    <row r="73" spans="1:8" x14ac:dyDescent="0.2">
      <c r="A73" s="23"/>
      <c r="B73" s="23"/>
      <c r="C73" s="24" t="s">
        <v>147</v>
      </c>
      <c r="D73" s="23"/>
      <c r="E73" s="23" t="s">
        <v>148</v>
      </c>
      <c r="F73" s="35" t="s">
        <v>150</v>
      </c>
      <c r="G73" s="32">
        <v>0</v>
      </c>
      <c r="H73" s="25" t="s">
        <v>148</v>
      </c>
    </row>
    <row r="74" spans="1:8" x14ac:dyDescent="0.2">
      <c r="A74" s="23"/>
      <c r="B74" s="23"/>
      <c r="C74" s="33"/>
      <c r="D74" s="23"/>
      <c r="E74" s="23"/>
      <c r="F74" s="34"/>
      <c r="G74" s="34"/>
      <c r="H74" s="25" t="s">
        <v>148</v>
      </c>
    </row>
    <row r="75" spans="1:8" x14ac:dyDescent="0.2">
      <c r="A75" s="23"/>
      <c r="B75" s="23"/>
      <c r="C75" s="24" t="s">
        <v>151</v>
      </c>
      <c r="D75" s="23"/>
      <c r="E75" s="23"/>
      <c r="F75" s="23"/>
      <c r="G75" s="23"/>
      <c r="H75" s="25" t="s">
        <v>148</v>
      </c>
    </row>
    <row r="76" spans="1:8" x14ac:dyDescent="0.2">
      <c r="A76" s="26">
        <v>1</v>
      </c>
      <c r="B76" s="27" t="s">
        <v>540</v>
      </c>
      <c r="C76" s="27" t="s">
        <v>921</v>
      </c>
      <c r="D76" s="27" t="s">
        <v>232</v>
      </c>
      <c r="E76" s="28">
        <v>511578</v>
      </c>
      <c r="F76" s="29">
        <v>89.679623399999997</v>
      </c>
      <c r="G76" s="30">
        <v>3.7110000000000002E-4</v>
      </c>
      <c r="H76" s="25" t="s">
        <v>148</v>
      </c>
    </row>
    <row r="77" spans="1:8" x14ac:dyDescent="0.2">
      <c r="A77" s="26">
        <v>2</v>
      </c>
      <c r="B77" s="27" t="s">
        <v>740</v>
      </c>
      <c r="C77" s="27" t="s">
        <v>1031</v>
      </c>
      <c r="D77" s="27" t="s">
        <v>240</v>
      </c>
      <c r="E77" s="28">
        <v>39500</v>
      </c>
      <c r="F77" s="29">
        <v>21.764500000000002</v>
      </c>
      <c r="G77" s="30">
        <v>9.0060000000000002E-5</v>
      </c>
      <c r="H77" s="25" t="s">
        <v>148</v>
      </c>
    </row>
    <row r="78" spans="1:8" x14ac:dyDescent="0.2">
      <c r="A78" s="26">
        <v>3</v>
      </c>
      <c r="B78" s="27" t="s">
        <v>747</v>
      </c>
      <c r="C78" s="27" t="s">
        <v>1032</v>
      </c>
      <c r="D78" s="27"/>
      <c r="E78" s="28">
        <v>54000</v>
      </c>
      <c r="F78" s="29">
        <v>5.4000000000000002E-7</v>
      </c>
      <c r="G78" s="36" t="s">
        <v>146</v>
      </c>
      <c r="H78" s="25" t="s">
        <v>148</v>
      </c>
    </row>
    <row r="79" spans="1:8" x14ac:dyDescent="0.2">
      <c r="A79" s="26">
        <v>4</v>
      </c>
      <c r="B79" s="27" t="s">
        <v>744</v>
      </c>
      <c r="C79" s="27" t="s">
        <v>1033</v>
      </c>
      <c r="D79" s="27"/>
      <c r="E79" s="28">
        <v>200</v>
      </c>
      <c r="F79" s="29">
        <v>2.0000000000000001E-9</v>
      </c>
      <c r="G79" s="36" t="s">
        <v>146</v>
      </c>
      <c r="H79" s="25" t="s">
        <v>148</v>
      </c>
    </row>
    <row r="80" spans="1:8" x14ac:dyDescent="0.2">
      <c r="A80" s="26">
        <v>5</v>
      </c>
      <c r="B80" s="27" t="s">
        <v>741</v>
      </c>
      <c r="C80" s="27" t="s">
        <v>1034</v>
      </c>
      <c r="D80" s="27"/>
      <c r="E80" s="28">
        <v>176305</v>
      </c>
      <c r="F80" s="29">
        <v>1.7630000000000001E-6</v>
      </c>
      <c r="G80" s="36" t="s">
        <v>146</v>
      </c>
      <c r="H80" s="25" t="s">
        <v>148</v>
      </c>
    </row>
    <row r="81" spans="1:8" x14ac:dyDescent="0.2">
      <c r="A81" s="26">
        <v>6</v>
      </c>
      <c r="B81" s="27" t="s">
        <v>748</v>
      </c>
      <c r="C81" s="27" t="s">
        <v>1035</v>
      </c>
      <c r="D81" s="27"/>
      <c r="E81" s="28">
        <v>93200</v>
      </c>
      <c r="F81" s="29">
        <v>9.3200000000000003E-7</v>
      </c>
      <c r="G81" s="36" t="s">
        <v>146</v>
      </c>
      <c r="H81" s="25" t="s">
        <v>148</v>
      </c>
    </row>
    <row r="82" spans="1:8" ht="25.5" x14ac:dyDescent="0.2">
      <c r="A82" s="26">
        <v>7</v>
      </c>
      <c r="B82" s="27" t="s">
        <v>742</v>
      </c>
      <c r="C82" s="27" t="s">
        <v>1036</v>
      </c>
      <c r="D82" s="27" t="s">
        <v>743</v>
      </c>
      <c r="E82" s="28">
        <v>200000</v>
      </c>
      <c r="F82" s="29">
        <v>1.9999999999999999E-6</v>
      </c>
      <c r="G82" s="36" t="s">
        <v>146</v>
      </c>
      <c r="H82" s="25" t="s">
        <v>148</v>
      </c>
    </row>
    <row r="83" spans="1:8" ht="25.5" x14ac:dyDescent="0.2">
      <c r="A83" s="26">
        <v>8</v>
      </c>
      <c r="B83" s="27" t="s">
        <v>745</v>
      </c>
      <c r="C83" s="27" t="s">
        <v>1037</v>
      </c>
      <c r="D83" s="27" t="s">
        <v>746</v>
      </c>
      <c r="E83" s="28">
        <v>50800</v>
      </c>
      <c r="F83" s="29">
        <v>5.0800000000000005E-7</v>
      </c>
      <c r="G83" s="36" t="s">
        <v>146</v>
      </c>
      <c r="H83" s="25" t="s">
        <v>148</v>
      </c>
    </row>
    <row r="84" spans="1:8" x14ac:dyDescent="0.2">
      <c r="A84" s="23"/>
      <c r="B84" s="23"/>
      <c r="C84" s="24" t="s">
        <v>147</v>
      </c>
      <c r="D84" s="23"/>
      <c r="E84" s="23" t="s">
        <v>148</v>
      </c>
      <c r="F84" s="31">
        <f>SUM(F76:F83)</f>
        <v>111.44412914499999</v>
      </c>
      <c r="G84" s="32">
        <f>SUM(G76:G83)</f>
        <v>4.6116000000000001E-4</v>
      </c>
      <c r="H84" s="25" t="s">
        <v>148</v>
      </c>
    </row>
    <row r="85" spans="1:8" x14ac:dyDescent="0.2">
      <c r="A85" s="23"/>
      <c r="B85" s="23"/>
      <c r="C85" s="33"/>
      <c r="D85" s="23"/>
      <c r="E85" s="23"/>
      <c r="F85" s="34"/>
      <c r="G85" s="34"/>
      <c r="H85" s="25" t="s">
        <v>148</v>
      </c>
    </row>
    <row r="86" spans="1:8" x14ac:dyDescent="0.2">
      <c r="A86" s="23"/>
      <c r="B86" s="23"/>
      <c r="C86" s="24" t="s">
        <v>152</v>
      </c>
      <c r="D86" s="23"/>
      <c r="E86" s="23"/>
      <c r="F86" s="23"/>
      <c r="G86" s="23"/>
      <c r="H86" s="25" t="s">
        <v>148</v>
      </c>
    </row>
    <row r="87" spans="1:8" x14ac:dyDescent="0.2">
      <c r="A87" s="23"/>
      <c r="B87" s="23"/>
      <c r="C87" s="24" t="s">
        <v>147</v>
      </c>
      <c r="D87" s="23"/>
      <c r="E87" s="23" t="s">
        <v>148</v>
      </c>
      <c r="F87" s="35" t="s">
        <v>150</v>
      </c>
      <c r="G87" s="32">
        <v>0</v>
      </c>
      <c r="H87" s="25" t="s">
        <v>148</v>
      </c>
    </row>
    <row r="88" spans="1:8" x14ac:dyDescent="0.2">
      <c r="A88" s="23"/>
      <c r="B88" s="23"/>
      <c r="C88" s="33"/>
      <c r="D88" s="23"/>
      <c r="E88" s="23"/>
      <c r="F88" s="34"/>
      <c r="G88" s="34"/>
      <c r="H88" s="25" t="s">
        <v>148</v>
      </c>
    </row>
    <row r="89" spans="1:8" x14ac:dyDescent="0.2">
      <c r="A89" s="23"/>
      <c r="B89" s="23"/>
      <c r="C89" s="24" t="s">
        <v>153</v>
      </c>
      <c r="D89" s="23"/>
      <c r="E89" s="23"/>
      <c r="F89" s="34"/>
      <c r="G89" s="34"/>
      <c r="H89" s="25" t="s">
        <v>148</v>
      </c>
    </row>
    <row r="90" spans="1:8" x14ac:dyDescent="0.2">
      <c r="A90" s="23"/>
      <c r="B90" s="23"/>
      <c r="C90" s="24" t="s">
        <v>147</v>
      </c>
      <c r="D90" s="23"/>
      <c r="E90" s="23" t="s">
        <v>148</v>
      </c>
      <c r="F90" s="35" t="s">
        <v>150</v>
      </c>
      <c r="G90" s="32">
        <v>0</v>
      </c>
      <c r="H90" s="25" t="s">
        <v>148</v>
      </c>
    </row>
    <row r="91" spans="1:8" x14ac:dyDescent="0.2">
      <c r="A91" s="23"/>
      <c r="B91" s="23"/>
      <c r="C91" s="33"/>
      <c r="D91" s="23"/>
      <c r="E91" s="23"/>
      <c r="F91" s="34"/>
      <c r="G91" s="34"/>
      <c r="H91" s="25" t="s">
        <v>148</v>
      </c>
    </row>
    <row r="92" spans="1:8" x14ac:dyDescent="0.2">
      <c r="A92" s="23"/>
      <c r="B92" s="23"/>
      <c r="C92" s="24" t="s">
        <v>154</v>
      </c>
      <c r="D92" s="23"/>
      <c r="E92" s="23"/>
      <c r="F92" s="34"/>
      <c r="G92" s="34"/>
      <c r="H92" s="25" t="s">
        <v>148</v>
      </c>
    </row>
    <row r="93" spans="1:8" x14ac:dyDescent="0.2">
      <c r="A93" s="23"/>
      <c r="B93" s="23"/>
      <c r="C93" s="24" t="s">
        <v>147</v>
      </c>
      <c r="D93" s="23"/>
      <c r="E93" s="23" t="s">
        <v>148</v>
      </c>
      <c r="F93" s="35" t="s">
        <v>150</v>
      </c>
      <c r="G93" s="32">
        <v>0</v>
      </c>
      <c r="H93" s="25" t="s">
        <v>148</v>
      </c>
    </row>
    <row r="94" spans="1:8" x14ac:dyDescent="0.2">
      <c r="A94" s="23"/>
      <c r="B94" s="23"/>
      <c r="C94" s="33"/>
      <c r="D94" s="23"/>
      <c r="E94" s="23"/>
      <c r="F94" s="34"/>
      <c r="G94" s="34"/>
      <c r="H94" s="25" t="s">
        <v>148</v>
      </c>
    </row>
    <row r="95" spans="1:8" x14ac:dyDescent="0.2">
      <c r="A95" s="23"/>
      <c r="B95" s="23"/>
      <c r="C95" s="24" t="s">
        <v>155</v>
      </c>
      <c r="D95" s="23"/>
      <c r="E95" s="23"/>
      <c r="F95" s="31">
        <f>F84+F70</f>
        <v>229228.66097274507</v>
      </c>
      <c r="G95" s="32">
        <f>G84+G70</f>
        <v>0.94856795000000027</v>
      </c>
      <c r="H95" s="25" t="s">
        <v>148</v>
      </c>
    </row>
    <row r="96" spans="1:8" x14ac:dyDescent="0.2">
      <c r="A96" s="23"/>
      <c r="B96" s="23"/>
      <c r="C96" s="33"/>
      <c r="D96" s="23"/>
      <c r="E96" s="23"/>
      <c r="F96" s="34"/>
      <c r="G96" s="34"/>
      <c r="H96" s="25" t="s">
        <v>148</v>
      </c>
    </row>
    <row r="97" spans="1:8" x14ac:dyDescent="0.2">
      <c r="A97" s="23"/>
      <c r="B97" s="23"/>
      <c r="C97" s="24" t="s">
        <v>156</v>
      </c>
      <c r="D97" s="23"/>
      <c r="E97" s="23"/>
      <c r="F97" s="34"/>
      <c r="G97" s="34"/>
      <c r="H97" s="25" t="s">
        <v>148</v>
      </c>
    </row>
    <row r="98" spans="1:8" x14ac:dyDescent="0.2">
      <c r="A98" s="23"/>
      <c r="B98" s="23"/>
      <c r="C98" s="24" t="s">
        <v>10</v>
      </c>
      <c r="D98" s="23"/>
      <c r="E98" s="23"/>
      <c r="F98" s="34"/>
      <c r="G98" s="34"/>
      <c r="H98" s="25" t="s">
        <v>148</v>
      </c>
    </row>
    <row r="99" spans="1:8" x14ac:dyDescent="0.2">
      <c r="A99" s="23"/>
      <c r="B99" s="23"/>
      <c r="C99" s="24" t="s">
        <v>147</v>
      </c>
      <c r="D99" s="23"/>
      <c r="E99" s="23" t="s">
        <v>148</v>
      </c>
      <c r="F99" s="35" t="s">
        <v>150</v>
      </c>
      <c r="G99" s="32">
        <v>0</v>
      </c>
      <c r="H99" s="25" t="s">
        <v>148</v>
      </c>
    </row>
    <row r="100" spans="1:8" x14ac:dyDescent="0.2">
      <c r="A100" s="23"/>
      <c r="B100" s="23"/>
      <c r="C100" s="33"/>
      <c r="D100" s="23"/>
      <c r="E100" s="23"/>
      <c r="F100" s="34"/>
      <c r="G100" s="34"/>
      <c r="H100" s="25" t="s">
        <v>148</v>
      </c>
    </row>
    <row r="101" spans="1:8" x14ac:dyDescent="0.2">
      <c r="A101" s="23"/>
      <c r="B101" s="23"/>
      <c r="C101" s="24" t="s">
        <v>157</v>
      </c>
      <c r="D101" s="23"/>
      <c r="E101" s="23"/>
      <c r="F101" s="23"/>
      <c r="G101" s="23"/>
      <c r="H101" s="25" t="s">
        <v>148</v>
      </c>
    </row>
    <row r="102" spans="1:8" x14ac:dyDescent="0.2">
      <c r="A102" s="23"/>
      <c r="B102" s="23"/>
      <c r="C102" s="24" t="s">
        <v>147</v>
      </c>
      <c r="D102" s="23"/>
      <c r="E102" s="23" t="s">
        <v>148</v>
      </c>
      <c r="F102" s="35" t="s">
        <v>150</v>
      </c>
      <c r="G102" s="32">
        <v>0</v>
      </c>
      <c r="H102" s="25" t="s">
        <v>148</v>
      </c>
    </row>
    <row r="103" spans="1:8" x14ac:dyDescent="0.2">
      <c r="A103" s="23"/>
      <c r="B103" s="23"/>
      <c r="C103" s="33"/>
      <c r="D103" s="23"/>
      <c r="E103" s="23"/>
      <c r="F103" s="34"/>
      <c r="G103" s="34"/>
      <c r="H103" s="25" t="s">
        <v>148</v>
      </c>
    </row>
    <row r="104" spans="1:8" x14ac:dyDescent="0.2">
      <c r="A104" s="23"/>
      <c r="B104" s="23"/>
      <c r="C104" s="24" t="s">
        <v>158</v>
      </c>
      <c r="D104" s="23"/>
      <c r="E104" s="23"/>
      <c r="F104" s="23"/>
      <c r="G104" s="23"/>
      <c r="H104" s="25" t="s">
        <v>148</v>
      </c>
    </row>
    <row r="105" spans="1:8" x14ac:dyDescent="0.2">
      <c r="A105" s="23"/>
      <c r="B105" s="23"/>
      <c r="C105" s="24" t="s">
        <v>147</v>
      </c>
      <c r="D105" s="23"/>
      <c r="E105" s="23" t="s">
        <v>148</v>
      </c>
      <c r="F105" s="35" t="s">
        <v>150</v>
      </c>
      <c r="G105" s="32">
        <v>0</v>
      </c>
      <c r="H105" s="25" t="s">
        <v>148</v>
      </c>
    </row>
    <row r="106" spans="1:8" x14ac:dyDescent="0.2">
      <c r="A106" s="23"/>
      <c r="B106" s="23"/>
      <c r="C106" s="33"/>
      <c r="D106" s="23"/>
      <c r="E106" s="23"/>
      <c r="F106" s="34"/>
      <c r="G106" s="34"/>
      <c r="H106" s="25" t="s">
        <v>148</v>
      </c>
    </row>
    <row r="107" spans="1:8" x14ac:dyDescent="0.2">
      <c r="A107" s="23"/>
      <c r="B107" s="23"/>
      <c r="C107" s="24" t="s">
        <v>159</v>
      </c>
      <c r="D107" s="23"/>
      <c r="E107" s="23"/>
      <c r="F107" s="34"/>
      <c r="G107" s="34"/>
      <c r="H107" s="25" t="s">
        <v>148</v>
      </c>
    </row>
    <row r="108" spans="1:8" x14ac:dyDescent="0.2">
      <c r="A108" s="23"/>
      <c r="B108" s="23"/>
      <c r="C108" s="24" t="s">
        <v>147</v>
      </c>
      <c r="D108" s="23"/>
      <c r="E108" s="23" t="s">
        <v>148</v>
      </c>
      <c r="F108" s="35" t="s">
        <v>150</v>
      </c>
      <c r="G108" s="32">
        <v>0</v>
      </c>
      <c r="H108" s="25" t="s">
        <v>148</v>
      </c>
    </row>
    <row r="109" spans="1:8" x14ac:dyDescent="0.2">
      <c r="A109" s="23"/>
      <c r="B109" s="23"/>
      <c r="C109" s="33"/>
      <c r="D109" s="23"/>
      <c r="E109" s="23"/>
      <c r="F109" s="34"/>
      <c r="G109" s="34"/>
      <c r="H109" s="25" t="s">
        <v>148</v>
      </c>
    </row>
    <row r="110" spans="1:8" x14ac:dyDescent="0.2">
      <c r="A110" s="23"/>
      <c r="B110" s="23"/>
      <c r="C110" s="24" t="s">
        <v>160</v>
      </c>
      <c r="D110" s="23"/>
      <c r="E110" s="23"/>
      <c r="F110" s="31">
        <v>0</v>
      </c>
      <c r="G110" s="32">
        <v>0</v>
      </c>
      <c r="H110" s="25" t="s">
        <v>148</v>
      </c>
    </row>
    <row r="111" spans="1:8" x14ac:dyDescent="0.2">
      <c r="A111" s="23"/>
      <c r="B111" s="23"/>
      <c r="C111" s="33"/>
      <c r="D111" s="23"/>
      <c r="E111" s="23"/>
      <c r="F111" s="34"/>
      <c r="G111" s="34"/>
      <c r="H111" s="25" t="s">
        <v>148</v>
      </c>
    </row>
    <row r="112" spans="1:8" x14ac:dyDescent="0.2">
      <c r="A112" s="23"/>
      <c r="B112" s="23"/>
      <c r="C112" s="24" t="s">
        <v>161</v>
      </c>
      <c r="D112" s="23"/>
      <c r="E112" s="23"/>
      <c r="F112" s="34"/>
      <c r="G112" s="34"/>
      <c r="H112" s="25" t="s">
        <v>148</v>
      </c>
    </row>
    <row r="113" spans="1:8" x14ac:dyDescent="0.2">
      <c r="A113" s="23"/>
      <c r="B113" s="23"/>
      <c r="C113" s="24" t="s">
        <v>162</v>
      </c>
      <c r="D113" s="23"/>
      <c r="E113" s="23"/>
      <c r="F113" s="34"/>
      <c r="G113" s="34"/>
      <c r="H113" s="25" t="s">
        <v>148</v>
      </c>
    </row>
    <row r="114" spans="1:8" x14ac:dyDescent="0.2">
      <c r="A114" s="23"/>
      <c r="B114" s="23"/>
      <c r="C114" s="24" t="s">
        <v>147</v>
      </c>
      <c r="D114" s="23"/>
      <c r="E114" s="23" t="s">
        <v>148</v>
      </c>
      <c r="F114" s="35" t="s">
        <v>150</v>
      </c>
      <c r="G114" s="32">
        <v>0</v>
      </c>
      <c r="H114" s="25" t="s">
        <v>148</v>
      </c>
    </row>
    <row r="115" spans="1:8" x14ac:dyDescent="0.2">
      <c r="A115" s="23"/>
      <c r="B115" s="23"/>
      <c r="C115" s="33"/>
      <c r="D115" s="23"/>
      <c r="E115" s="23"/>
      <c r="F115" s="34"/>
      <c r="G115" s="34"/>
      <c r="H115" s="25" t="s">
        <v>148</v>
      </c>
    </row>
    <row r="116" spans="1:8" x14ac:dyDescent="0.2">
      <c r="A116" s="23"/>
      <c r="B116" s="23"/>
      <c r="C116" s="24" t="s">
        <v>163</v>
      </c>
      <c r="D116" s="23"/>
      <c r="E116" s="23"/>
      <c r="F116" s="34"/>
      <c r="G116" s="34"/>
      <c r="H116" s="25" t="s">
        <v>148</v>
      </c>
    </row>
    <row r="117" spans="1:8" x14ac:dyDescent="0.2">
      <c r="A117" s="23"/>
      <c r="B117" s="23"/>
      <c r="C117" s="24" t="s">
        <v>147</v>
      </c>
      <c r="D117" s="23"/>
      <c r="E117" s="23" t="s">
        <v>148</v>
      </c>
      <c r="F117" s="35" t="s">
        <v>150</v>
      </c>
      <c r="G117" s="32">
        <v>0</v>
      </c>
      <c r="H117" s="25" t="s">
        <v>148</v>
      </c>
    </row>
    <row r="118" spans="1:8" x14ac:dyDescent="0.2">
      <c r="A118" s="23"/>
      <c r="B118" s="23"/>
      <c r="C118" s="33"/>
      <c r="D118" s="23"/>
      <c r="E118" s="23"/>
      <c r="F118" s="34"/>
      <c r="G118" s="34"/>
      <c r="H118" s="25" t="s">
        <v>148</v>
      </c>
    </row>
    <row r="119" spans="1:8" x14ac:dyDescent="0.2">
      <c r="A119" s="23"/>
      <c r="B119" s="23"/>
      <c r="C119" s="24" t="s">
        <v>164</v>
      </c>
      <c r="D119" s="23"/>
      <c r="E119" s="23"/>
      <c r="F119" s="34"/>
      <c r="G119" s="34"/>
      <c r="H119" s="25" t="s">
        <v>148</v>
      </c>
    </row>
    <row r="120" spans="1:8" x14ac:dyDescent="0.2">
      <c r="A120" s="23"/>
      <c r="B120" s="23"/>
      <c r="C120" s="24" t="s">
        <v>147</v>
      </c>
      <c r="D120" s="23"/>
      <c r="E120" s="23" t="s">
        <v>148</v>
      </c>
      <c r="F120" s="35" t="s">
        <v>150</v>
      </c>
      <c r="G120" s="32">
        <v>0</v>
      </c>
      <c r="H120" s="25" t="s">
        <v>148</v>
      </c>
    </row>
    <row r="121" spans="1:8" x14ac:dyDescent="0.2">
      <c r="A121" s="23"/>
      <c r="B121" s="23"/>
      <c r="C121" s="33"/>
      <c r="D121" s="23"/>
      <c r="E121" s="23"/>
      <c r="F121" s="34"/>
      <c r="G121" s="34"/>
      <c r="H121" s="25" t="s">
        <v>148</v>
      </c>
    </row>
    <row r="122" spans="1:8" x14ac:dyDescent="0.2">
      <c r="A122" s="23"/>
      <c r="B122" s="23"/>
      <c r="C122" s="24" t="s">
        <v>165</v>
      </c>
      <c r="D122" s="23"/>
      <c r="E122" s="23"/>
      <c r="F122" s="34"/>
      <c r="G122" s="34"/>
      <c r="H122" s="25" t="s">
        <v>148</v>
      </c>
    </row>
    <row r="123" spans="1:8" x14ac:dyDescent="0.2">
      <c r="A123" s="26">
        <v>1</v>
      </c>
      <c r="B123" s="27"/>
      <c r="C123" s="27" t="s">
        <v>166</v>
      </c>
      <c r="D123" s="27"/>
      <c r="E123" s="36"/>
      <c r="F123" s="29">
        <v>12028.141383960001</v>
      </c>
      <c r="G123" s="30">
        <v>4.9773480000000002E-2</v>
      </c>
      <c r="H123" s="25">
        <v>6.23</v>
      </c>
    </row>
    <row r="124" spans="1:8" x14ac:dyDescent="0.2">
      <c r="A124" s="23"/>
      <c r="B124" s="23"/>
      <c r="C124" s="24" t="s">
        <v>147</v>
      </c>
      <c r="D124" s="23"/>
      <c r="E124" s="23" t="s">
        <v>148</v>
      </c>
      <c r="F124" s="31">
        <v>12028.141383960001</v>
      </c>
      <c r="G124" s="32">
        <v>4.9773480000000002E-2</v>
      </c>
      <c r="H124" s="25" t="s">
        <v>148</v>
      </c>
    </row>
    <row r="125" spans="1:8" x14ac:dyDescent="0.2">
      <c r="A125" s="23"/>
      <c r="B125" s="23"/>
      <c r="C125" s="33"/>
      <c r="D125" s="23"/>
      <c r="E125" s="23"/>
      <c r="F125" s="34"/>
      <c r="G125" s="34"/>
      <c r="H125" s="25" t="s">
        <v>148</v>
      </c>
    </row>
    <row r="126" spans="1:8" x14ac:dyDescent="0.2">
      <c r="A126" s="23"/>
      <c r="B126" s="23"/>
      <c r="C126" s="24" t="s">
        <v>167</v>
      </c>
      <c r="D126" s="23"/>
      <c r="E126" s="23"/>
      <c r="F126" s="31">
        <v>12028.141383960001</v>
      </c>
      <c r="G126" s="32">
        <v>4.9773480000000002E-2</v>
      </c>
      <c r="H126" s="25" t="s">
        <v>148</v>
      </c>
    </row>
    <row r="127" spans="1:8" x14ac:dyDescent="0.2">
      <c r="A127" s="23"/>
      <c r="B127" s="23"/>
      <c r="C127" s="34"/>
      <c r="D127" s="23"/>
      <c r="E127" s="23"/>
      <c r="F127" s="23"/>
      <c r="G127" s="23"/>
      <c r="H127" s="25" t="s">
        <v>148</v>
      </c>
    </row>
    <row r="128" spans="1:8" x14ac:dyDescent="0.2">
      <c r="A128" s="23"/>
      <c r="B128" s="23"/>
      <c r="C128" s="24" t="s">
        <v>168</v>
      </c>
      <c r="D128" s="23"/>
      <c r="E128" s="23"/>
      <c r="F128" s="23"/>
      <c r="G128" s="23"/>
      <c r="H128" s="25" t="s">
        <v>148</v>
      </c>
    </row>
    <row r="129" spans="1:10" x14ac:dyDescent="0.2">
      <c r="A129" s="23"/>
      <c r="B129" s="23"/>
      <c r="C129" s="24" t="s">
        <v>169</v>
      </c>
      <c r="D129" s="23"/>
      <c r="E129" s="23"/>
      <c r="F129" s="23"/>
      <c r="G129" s="23"/>
      <c r="H129" s="25" t="s">
        <v>148</v>
      </c>
    </row>
    <row r="130" spans="1:10" x14ac:dyDescent="0.2">
      <c r="A130" s="23"/>
      <c r="B130" s="23"/>
      <c r="C130" s="24" t="s">
        <v>147</v>
      </c>
      <c r="D130" s="23"/>
      <c r="E130" s="23" t="s">
        <v>148</v>
      </c>
      <c r="F130" s="35" t="s">
        <v>150</v>
      </c>
      <c r="G130" s="32">
        <v>0</v>
      </c>
      <c r="H130" s="25" t="s">
        <v>148</v>
      </c>
    </row>
    <row r="131" spans="1:10" x14ac:dyDescent="0.2">
      <c r="A131" s="23"/>
      <c r="B131" s="23"/>
      <c r="C131" s="33"/>
      <c r="D131" s="23"/>
      <c r="E131" s="23"/>
      <c r="F131" s="34"/>
      <c r="G131" s="34"/>
      <c r="H131" s="25" t="s">
        <v>148</v>
      </c>
    </row>
    <row r="132" spans="1:10" x14ac:dyDescent="0.2">
      <c r="A132" s="23"/>
      <c r="B132" s="23"/>
      <c r="C132" s="24" t="s">
        <v>172</v>
      </c>
      <c r="D132" s="23"/>
      <c r="E132" s="23"/>
      <c r="F132" s="23"/>
      <c r="G132" s="23"/>
      <c r="H132" s="25" t="s">
        <v>148</v>
      </c>
    </row>
    <row r="133" spans="1:10" x14ac:dyDescent="0.2">
      <c r="A133" s="23"/>
      <c r="B133" s="23"/>
      <c r="C133" s="24" t="s">
        <v>173</v>
      </c>
      <c r="D133" s="23"/>
      <c r="E133" s="23"/>
      <c r="F133" s="23"/>
      <c r="G133" s="23"/>
      <c r="H133" s="25" t="s">
        <v>148</v>
      </c>
    </row>
    <row r="134" spans="1:10" x14ac:dyDescent="0.2">
      <c r="A134" s="23"/>
      <c r="B134" s="23"/>
      <c r="C134" s="24" t="s">
        <v>147</v>
      </c>
      <c r="D134" s="23"/>
      <c r="E134" s="23" t="s">
        <v>148</v>
      </c>
      <c r="F134" s="35" t="s">
        <v>150</v>
      </c>
      <c r="G134" s="32">
        <v>0</v>
      </c>
      <c r="H134" s="25" t="s">
        <v>148</v>
      </c>
    </row>
    <row r="135" spans="1:10" x14ac:dyDescent="0.2">
      <c r="A135" s="23"/>
      <c r="B135" s="23"/>
      <c r="C135" s="33"/>
      <c r="D135" s="23"/>
      <c r="E135" s="23"/>
      <c r="F135" s="34"/>
      <c r="G135" s="34"/>
      <c r="H135" s="25" t="s">
        <v>148</v>
      </c>
    </row>
    <row r="136" spans="1:10" x14ac:dyDescent="0.2">
      <c r="A136" s="23"/>
      <c r="B136" s="23"/>
      <c r="C136" s="24" t="s">
        <v>174</v>
      </c>
      <c r="D136" s="23"/>
      <c r="E136" s="23"/>
      <c r="F136" s="34"/>
      <c r="G136" s="34"/>
      <c r="H136" s="25" t="s">
        <v>148</v>
      </c>
    </row>
    <row r="137" spans="1:10" x14ac:dyDescent="0.2">
      <c r="A137" s="23"/>
      <c r="B137" s="23"/>
      <c r="C137" s="24" t="s">
        <v>147</v>
      </c>
      <c r="D137" s="23"/>
      <c r="E137" s="23" t="s">
        <v>148</v>
      </c>
      <c r="F137" s="35" t="s">
        <v>150</v>
      </c>
      <c r="G137" s="32">
        <v>0</v>
      </c>
      <c r="H137" s="25" t="s">
        <v>148</v>
      </c>
    </row>
    <row r="138" spans="1:10" x14ac:dyDescent="0.2">
      <c r="A138" s="23"/>
      <c r="B138" s="23"/>
      <c r="C138" s="33"/>
      <c r="D138" s="23"/>
      <c r="E138" s="23"/>
      <c r="F138" s="34"/>
      <c r="G138" s="34"/>
      <c r="H138" s="25" t="s">
        <v>148</v>
      </c>
    </row>
    <row r="139" spans="1:10" x14ac:dyDescent="0.2">
      <c r="A139" s="36"/>
      <c r="B139" s="27"/>
      <c r="C139" s="27" t="s">
        <v>175</v>
      </c>
      <c r="D139" s="27"/>
      <c r="E139" s="36"/>
      <c r="F139" s="29">
        <v>400.81578017999999</v>
      </c>
      <c r="G139" s="30">
        <v>1.65861E-3</v>
      </c>
      <c r="H139" s="25" t="s">
        <v>148</v>
      </c>
    </row>
    <row r="140" spans="1:10" x14ac:dyDescent="0.2">
      <c r="A140" s="33"/>
      <c r="B140" s="33"/>
      <c r="C140" s="24" t="s">
        <v>176</v>
      </c>
      <c r="D140" s="34"/>
      <c r="E140" s="34"/>
      <c r="F140" s="31">
        <f>F139+F126+F95+F110</f>
        <v>241657.61813688508</v>
      </c>
      <c r="G140" s="39">
        <f>G139+G126+G95+G110</f>
        <v>1.0000000400000002</v>
      </c>
      <c r="H140" s="25" t="s">
        <v>148</v>
      </c>
    </row>
    <row r="141" spans="1:10" x14ac:dyDescent="0.2">
      <c r="A141" s="40"/>
      <c r="B141" s="40"/>
      <c r="C141" s="40"/>
      <c r="D141" s="41"/>
      <c r="E141" s="41"/>
      <c r="F141" s="41"/>
      <c r="G141" s="41"/>
    </row>
    <row r="142" spans="1:10" x14ac:dyDescent="0.2">
      <c r="A142" s="42"/>
      <c r="B142" s="237" t="s">
        <v>891</v>
      </c>
      <c r="C142" s="237"/>
      <c r="D142" s="237"/>
      <c r="E142" s="237"/>
      <c r="F142" s="237"/>
      <c r="G142" s="237"/>
      <c r="H142" s="237"/>
      <c r="J142" s="44"/>
    </row>
    <row r="143" spans="1:10" x14ac:dyDescent="0.2">
      <c r="A143" s="42"/>
      <c r="B143" s="237" t="s">
        <v>892</v>
      </c>
      <c r="C143" s="237"/>
      <c r="D143" s="237"/>
      <c r="E143" s="237"/>
      <c r="F143" s="237"/>
      <c r="G143" s="237"/>
      <c r="H143" s="237"/>
      <c r="J143" s="44"/>
    </row>
    <row r="144" spans="1:10" x14ac:dyDescent="0.2">
      <c r="A144" s="42"/>
      <c r="B144" s="237" t="s">
        <v>893</v>
      </c>
      <c r="C144" s="237"/>
      <c r="D144" s="237"/>
      <c r="E144" s="237"/>
      <c r="F144" s="237"/>
      <c r="G144" s="237"/>
      <c r="H144" s="237"/>
      <c r="J144" s="44"/>
    </row>
    <row r="145" spans="1:17" s="46" customFormat="1" ht="66.75" customHeight="1" x14ac:dyDescent="0.25">
      <c r="A145" s="45"/>
      <c r="B145" s="239" t="s">
        <v>894</v>
      </c>
      <c r="C145" s="239"/>
      <c r="D145" s="239"/>
      <c r="E145" s="239"/>
      <c r="F145" s="239"/>
      <c r="G145" s="239"/>
      <c r="H145" s="239"/>
      <c r="I145"/>
      <c r="J145" s="44"/>
      <c r="K145"/>
      <c r="L145"/>
      <c r="M145"/>
      <c r="N145"/>
      <c r="O145"/>
      <c r="P145"/>
      <c r="Q145"/>
    </row>
    <row r="146" spans="1:17" x14ac:dyDescent="0.2">
      <c r="A146" s="42"/>
      <c r="B146" s="237" t="s">
        <v>895</v>
      </c>
      <c r="C146" s="237"/>
      <c r="D146" s="237"/>
      <c r="E146" s="237"/>
      <c r="F146" s="237"/>
      <c r="G146" s="237"/>
      <c r="H146" s="237"/>
      <c r="J146" s="44"/>
    </row>
    <row r="147" spans="1:17" x14ac:dyDescent="0.2">
      <c r="A147" s="47"/>
      <c r="B147" s="47"/>
      <c r="C147" s="47"/>
      <c r="D147" s="48"/>
      <c r="E147" s="48"/>
      <c r="F147" s="48"/>
      <c r="G147" s="48"/>
    </row>
    <row r="148" spans="1:17" x14ac:dyDescent="0.2">
      <c r="A148" s="47"/>
      <c r="B148" s="234" t="s">
        <v>177</v>
      </c>
      <c r="C148" s="235"/>
      <c r="D148" s="236"/>
      <c r="E148" s="49"/>
      <c r="F148" s="48"/>
      <c r="G148" s="48"/>
    </row>
    <row r="149" spans="1:17" ht="29.25" customHeight="1" x14ac:dyDescent="0.2">
      <c r="A149" s="42"/>
      <c r="B149" s="240" t="s">
        <v>178</v>
      </c>
      <c r="C149" s="241"/>
      <c r="D149" s="58" t="s">
        <v>928</v>
      </c>
      <c r="E149" s="73"/>
      <c r="F149" s="74"/>
      <c r="G149" s="74"/>
    </row>
    <row r="150" spans="1:17" ht="17.100000000000001" customHeight="1" x14ac:dyDescent="0.2">
      <c r="A150" s="42"/>
      <c r="B150" s="240" t="s">
        <v>897</v>
      </c>
      <c r="C150" s="241"/>
      <c r="D150" s="58" t="str">
        <f>"Rs. "&amp;TEXT(F84,"0.00")&amp;" lacs/ "&amp;TEXT(ROUND(G84*100,2),"0.00")&amp;"%"</f>
        <v>Rs. 111.44 lacs/ 0.05%</v>
      </c>
      <c r="E150" s="73"/>
      <c r="F150" s="74"/>
      <c r="G150" s="74"/>
    </row>
    <row r="151" spans="1:17" x14ac:dyDescent="0.2">
      <c r="A151" s="47"/>
      <c r="B151" s="232" t="s">
        <v>181</v>
      </c>
      <c r="C151" s="233"/>
      <c r="D151" s="34" t="s">
        <v>148</v>
      </c>
      <c r="E151" s="49"/>
      <c r="F151" s="48"/>
      <c r="G151" s="48"/>
    </row>
    <row r="152" spans="1:17" x14ac:dyDescent="0.2">
      <c r="A152" s="50"/>
      <c r="B152" s="51" t="s">
        <v>148</v>
      </c>
      <c r="C152" s="51" t="s">
        <v>896</v>
      </c>
      <c r="D152" s="51" t="s">
        <v>182</v>
      </c>
      <c r="E152" s="50"/>
      <c r="F152" s="50"/>
      <c r="G152" s="50"/>
      <c r="H152" s="50"/>
      <c r="J152" s="44"/>
    </row>
    <row r="153" spans="1:17" x14ac:dyDescent="0.2">
      <c r="A153" s="50"/>
      <c r="B153" s="52" t="s">
        <v>183</v>
      </c>
      <c r="C153" s="53">
        <v>45688</v>
      </c>
      <c r="D153" s="53">
        <v>45716</v>
      </c>
      <c r="E153" s="50"/>
      <c r="F153" s="50"/>
      <c r="G153" s="50"/>
      <c r="J153" s="44"/>
    </row>
    <row r="154" spans="1:17" x14ac:dyDescent="0.2">
      <c r="A154" s="54"/>
      <c r="B154" s="27" t="s">
        <v>184</v>
      </c>
      <c r="C154" s="55">
        <v>392.15</v>
      </c>
      <c r="D154" s="55">
        <v>358.37189999999998</v>
      </c>
      <c r="E154" s="54"/>
      <c r="F154" s="56"/>
      <c r="G154" s="57"/>
    </row>
    <row r="155" spans="1:17" ht="25.5" x14ac:dyDescent="0.2">
      <c r="A155" s="54"/>
      <c r="B155" s="27" t="s">
        <v>1072</v>
      </c>
      <c r="C155" s="55">
        <v>87.052899999999994</v>
      </c>
      <c r="D155" s="55">
        <v>79.554500000000004</v>
      </c>
      <c r="E155" s="54"/>
      <c r="F155" s="56"/>
      <c r="G155" s="57"/>
    </row>
    <row r="156" spans="1:17" x14ac:dyDescent="0.2">
      <c r="A156" s="54"/>
      <c r="B156" s="27" t="s">
        <v>186</v>
      </c>
      <c r="C156" s="55">
        <v>353.94130000000001</v>
      </c>
      <c r="D156" s="55">
        <v>323.20749999999998</v>
      </c>
      <c r="E156" s="54"/>
      <c r="F156" s="56"/>
      <c r="G156" s="57"/>
    </row>
    <row r="157" spans="1:17" ht="25.5" x14ac:dyDescent="0.2">
      <c r="A157" s="54"/>
      <c r="B157" s="27" t="s">
        <v>1073</v>
      </c>
      <c r="C157" s="55">
        <v>64.861099999999993</v>
      </c>
      <c r="D157" s="55">
        <v>59.229100000000003</v>
      </c>
      <c r="E157" s="54"/>
      <c r="F157" s="56"/>
      <c r="G157" s="57"/>
    </row>
    <row r="158" spans="1:17" x14ac:dyDescent="0.2">
      <c r="A158" s="54"/>
      <c r="B158" s="54"/>
      <c r="C158" s="54"/>
      <c r="D158" s="54"/>
      <c r="E158" s="54"/>
      <c r="F158" s="54"/>
      <c r="G158" s="54"/>
    </row>
    <row r="159" spans="1:17" x14ac:dyDescent="0.2">
      <c r="A159" s="50"/>
      <c r="B159" s="240" t="s">
        <v>898</v>
      </c>
      <c r="C159" s="241"/>
      <c r="D159" s="58" t="s">
        <v>179</v>
      </c>
      <c r="E159" s="50"/>
      <c r="F159" s="50"/>
      <c r="G159" s="50"/>
    </row>
    <row r="160" spans="1:17" x14ac:dyDescent="0.2">
      <c r="A160" s="50"/>
      <c r="B160" s="59"/>
      <c r="C160" s="59"/>
      <c r="D160" s="59"/>
      <c r="E160" s="50"/>
      <c r="F160" s="50"/>
      <c r="G160" s="50"/>
    </row>
    <row r="161" spans="1:7" ht="29.1" customHeight="1" x14ac:dyDescent="0.2">
      <c r="A161" s="50"/>
      <c r="B161" s="240" t="s">
        <v>188</v>
      </c>
      <c r="C161" s="241"/>
      <c r="D161" s="58" t="s">
        <v>179</v>
      </c>
      <c r="E161" s="60"/>
      <c r="F161" s="50"/>
      <c r="G161" s="50"/>
    </row>
    <row r="162" spans="1:7" ht="29.1" customHeight="1" x14ac:dyDescent="0.2">
      <c r="A162" s="50"/>
      <c r="B162" s="240" t="s">
        <v>189</v>
      </c>
      <c r="C162" s="241"/>
      <c r="D162" s="58" t="s">
        <v>179</v>
      </c>
      <c r="E162" s="60"/>
      <c r="F162" s="50"/>
      <c r="G162" s="50"/>
    </row>
    <row r="163" spans="1:7" ht="17.100000000000001" customHeight="1" x14ac:dyDescent="0.2">
      <c r="A163" s="50"/>
      <c r="B163" s="240" t="s">
        <v>190</v>
      </c>
      <c r="C163" s="241"/>
      <c r="D163" s="58" t="s">
        <v>179</v>
      </c>
      <c r="E163" s="60"/>
      <c r="F163" s="50"/>
      <c r="G163" s="50"/>
    </row>
    <row r="164" spans="1:7" ht="17.100000000000001" customHeight="1" x14ac:dyDescent="0.2">
      <c r="A164" s="50"/>
      <c r="B164" s="240" t="s">
        <v>191</v>
      </c>
      <c r="C164" s="241"/>
      <c r="D164" s="61">
        <v>0.70257956141621469</v>
      </c>
      <c r="E164" s="50"/>
      <c r="F164" s="43"/>
      <c r="G164" s="62"/>
    </row>
    <row r="166" spans="1:7" x14ac:dyDescent="0.2">
      <c r="B166" s="76" t="s">
        <v>1066</v>
      </c>
    </row>
    <row r="167" spans="1:7" ht="67.5" x14ac:dyDescent="0.2">
      <c r="B167" s="82" t="s">
        <v>929</v>
      </c>
      <c r="C167" s="82" t="s">
        <v>930</v>
      </c>
      <c r="D167" s="82" t="s">
        <v>931</v>
      </c>
      <c r="E167" s="82" t="s">
        <v>932</v>
      </c>
      <c r="F167" s="82" t="s">
        <v>933</v>
      </c>
    </row>
    <row r="168" spans="1:7" ht="13.5" x14ac:dyDescent="0.2">
      <c r="B168" s="83" t="s">
        <v>1039</v>
      </c>
      <c r="C168" s="84" t="s">
        <v>1013</v>
      </c>
      <c r="D168" s="12">
        <v>0</v>
      </c>
      <c r="E168" s="13">
        <v>0</v>
      </c>
      <c r="F168" s="85">
        <v>29.407129999999999</v>
      </c>
    </row>
    <row r="170" spans="1:7" x14ac:dyDescent="0.2">
      <c r="B170" s="238" t="s">
        <v>899</v>
      </c>
      <c r="C170" s="238"/>
    </row>
    <row r="172" spans="1:7" ht="153.75" customHeight="1" x14ac:dyDescent="0.2"/>
    <row r="175" spans="1:7" x14ac:dyDescent="0.2">
      <c r="B175" s="68" t="s">
        <v>900</v>
      </c>
      <c r="C175" s="69"/>
      <c r="D175" s="68" t="s">
        <v>903</v>
      </c>
    </row>
    <row r="176" spans="1:7" x14ac:dyDescent="0.2">
      <c r="B176" s="68" t="s">
        <v>1040</v>
      </c>
      <c r="D176" s="68" t="s">
        <v>1040</v>
      </c>
    </row>
    <row r="177" spans="10:10" ht="165" customHeight="1" x14ac:dyDescent="0.2"/>
    <row r="179" spans="10:10" x14ac:dyDescent="0.2">
      <c r="J179" s="22"/>
    </row>
  </sheetData>
  <mergeCells count="18">
    <mergeCell ref="B170:C170"/>
    <mergeCell ref="B144:H144"/>
    <mergeCell ref="B145:H145"/>
    <mergeCell ref="B146:H146"/>
    <mergeCell ref="B161:C161"/>
    <mergeCell ref="B162:C162"/>
    <mergeCell ref="B159:C159"/>
    <mergeCell ref="B163:C163"/>
    <mergeCell ref="B164:C164"/>
    <mergeCell ref="A3:H3"/>
    <mergeCell ref="A2:H2"/>
    <mergeCell ref="A1:H1"/>
    <mergeCell ref="B150:C150"/>
    <mergeCell ref="B151:C151"/>
    <mergeCell ref="B148:D148"/>
    <mergeCell ref="B149:C149"/>
    <mergeCell ref="B142:H142"/>
    <mergeCell ref="B143:H143"/>
  </mergeCells>
  <hyperlinks>
    <hyperlink ref="I1" location="Index!B2" display="Index" xr:uid="{B3E07FEE-0A44-46EC-AE47-8618FBCDC56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CAEE-FEFC-494F-9469-7E36C11034C3}">
  <sheetPr>
    <outlinePr summaryBelow="0" summaryRight="0"/>
  </sheetPr>
  <dimension ref="A1:Q203"/>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749</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344</v>
      </c>
      <c r="C7" s="27" t="s">
        <v>345</v>
      </c>
      <c r="D7" s="27" t="s">
        <v>111</v>
      </c>
      <c r="E7" s="28">
        <v>1477</v>
      </c>
      <c r="F7" s="29">
        <v>125.992531</v>
      </c>
      <c r="G7" s="30">
        <v>1.3660200000000001E-2</v>
      </c>
      <c r="H7" s="25" t="s">
        <v>148</v>
      </c>
    </row>
    <row r="8" spans="1:9" x14ac:dyDescent="0.2">
      <c r="A8" s="26">
        <v>2</v>
      </c>
      <c r="B8" s="27" t="s">
        <v>650</v>
      </c>
      <c r="C8" s="27" t="s">
        <v>651</v>
      </c>
      <c r="D8" s="27" t="s">
        <v>111</v>
      </c>
      <c r="E8" s="28">
        <v>6548</v>
      </c>
      <c r="F8" s="29">
        <v>122.598204</v>
      </c>
      <c r="G8" s="30">
        <v>1.3292190000000001E-2</v>
      </c>
      <c r="H8" s="25" t="s">
        <v>148</v>
      </c>
    </row>
    <row r="9" spans="1:9" ht="25.5" x14ac:dyDescent="0.2">
      <c r="A9" s="26">
        <v>3</v>
      </c>
      <c r="B9" s="27" t="s">
        <v>353</v>
      </c>
      <c r="C9" s="27" t="s">
        <v>354</v>
      </c>
      <c r="D9" s="27" t="s">
        <v>111</v>
      </c>
      <c r="E9" s="28">
        <v>8633</v>
      </c>
      <c r="F9" s="29">
        <v>120.9267475</v>
      </c>
      <c r="G9" s="30">
        <v>1.311097E-2</v>
      </c>
      <c r="H9" s="25" t="s">
        <v>148</v>
      </c>
    </row>
    <row r="10" spans="1:9" x14ac:dyDescent="0.2">
      <c r="A10" s="26">
        <v>4</v>
      </c>
      <c r="B10" s="27" t="s">
        <v>101</v>
      </c>
      <c r="C10" s="27" t="s">
        <v>102</v>
      </c>
      <c r="D10" s="27" t="s">
        <v>28</v>
      </c>
      <c r="E10" s="28">
        <v>5847</v>
      </c>
      <c r="F10" s="29">
        <v>111.26548649999999</v>
      </c>
      <c r="G10" s="30">
        <v>1.206349E-2</v>
      </c>
      <c r="H10" s="25" t="s">
        <v>148</v>
      </c>
    </row>
    <row r="11" spans="1:9" ht="25.5" x14ac:dyDescent="0.2">
      <c r="A11" s="26">
        <v>5</v>
      </c>
      <c r="B11" s="27" t="s">
        <v>444</v>
      </c>
      <c r="C11" s="27" t="s">
        <v>445</v>
      </c>
      <c r="D11" s="27" t="s">
        <v>217</v>
      </c>
      <c r="E11" s="28">
        <v>11317</v>
      </c>
      <c r="F11" s="29">
        <v>109.06192900000001</v>
      </c>
      <c r="G11" s="30">
        <v>1.1824579999999999E-2</v>
      </c>
      <c r="H11" s="25" t="s">
        <v>148</v>
      </c>
    </row>
    <row r="12" spans="1:9" x14ac:dyDescent="0.2">
      <c r="A12" s="26">
        <v>6</v>
      </c>
      <c r="B12" s="27" t="s">
        <v>524</v>
      </c>
      <c r="C12" s="27" t="s">
        <v>525</v>
      </c>
      <c r="D12" s="27" t="s">
        <v>275</v>
      </c>
      <c r="E12" s="28">
        <v>911</v>
      </c>
      <c r="F12" s="29">
        <v>108.8266935</v>
      </c>
      <c r="G12" s="30">
        <v>1.179907E-2</v>
      </c>
      <c r="H12" s="25" t="s">
        <v>148</v>
      </c>
    </row>
    <row r="13" spans="1:9" x14ac:dyDescent="0.2">
      <c r="A13" s="26">
        <v>7</v>
      </c>
      <c r="B13" s="27" t="s">
        <v>450</v>
      </c>
      <c r="C13" s="27" t="s">
        <v>451</v>
      </c>
      <c r="D13" s="27" t="s">
        <v>28</v>
      </c>
      <c r="E13" s="28">
        <v>10924</v>
      </c>
      <c r="F13" s="29">
        <v>108.158524</v>
      </c>
      <c r="G13" s="30">
        <v>1.172663E-2</v>
      </c>
      <c r="H13" s="25" t="s">
        <v>148</v>
      </c>
    </row>
    <row r="14" spans="1:9" x14ac:dyDescent="0.2">
      <c r="A14" s="26">
        <v>8</v>
      </c>
      <c r="B14" s="27" t="s">
        <v>695</v>
      </c>
      <c r="C14" s="27" t="s">
        <v>696</v>
      </c>
      <c r="D14" s="27" t="s">
        <v>137</v>
      </c>
      <c r="E14" s="28">
        <v>11298</v>
      </c>
      <c r="F14" s="29">
        <v>107.41008600000001</v>
      </c>
      <c r="G14" s="30">
        <v>1.164548E-2</v>
      </c>
      <c r="H14" s="25" t="s">
        <v>148</v>
      </c>
    </row>
    <row r="15" spans="1:9" x14ac:dyDescent="0.2">
      <c r="A15" s="26">
        <v>9</v>
      </c>
      <c r="B15" s="27" t="s">
        <v>251</v>
      </c>
      <c r="C15" s="27" t="s">
        <v>252</v>
      </c>
      <c r="D15" s="27" t="s">
        <v>111</v>
      </c>
      <c r="E15" s="28">
        <v>17351</v>
      </c>
      <c r="F15" s="29">
        <v>107.10772299999999</v>
      </c>
      <c r="G15" s="30">
        <v>1.16127E-2</v>
      </c>
      <c r="H15" s="25" t="s">
        <v>148</v>
      </c>
    </row>
    <row r="16" spans="1:9" x14ac:dyDescent="0.2">
      <c r="A16" s="26">
        <v>10</v>
      </c>
      <c r="B16" s="27" t="s">
        <v>750</v>
      </c>
      <c r="C16" s="27" t="s">
        <v>751</v>
      </c>
      <c r="D16" s="27" t="s">
        <v>25</v>
      </c>
      <c r="E16" s="28">
        <v>390</v>
      </c>
      <c r="F16" s="29">
        <v>106.4076</v>
      </c>
      <c r="G16" s="30">
        <v>1.153679E-2</v>
      </c>
      <c r="H16" s="25" t="s">
        <v>148</v>
      </c>
    </row>
    <row r="17" spans="1:8" x14ac:dyDescent="0.2">
      <c r="A17" s="26">
        <v>11</v>
      </c>
      <c r="B17" s="27" t="s">
        <v>752</v>
      </c>
      <c r="C17" s="27" t="s">
        <v>753</v>
      </c>
      <c r="D17" s="27" t="s">
        <v>111</v>
      </c>
      <c r="E17" s="28">
        <v>919</v>
      </c>
      <c r="F17" s="29">
        <v>106.36827649999999</v>
      </c>
      <c r="G17" s="30">
        <v>1.1532529999999999E-2</v>
      </c>
      <c r="H17" s="25" t="s">
        <v>148</v>
      </c>
    </row>
    <row r="18" spans="1:8" x14ac:dyDescent="0.2">
      <c r="A18" s="26">
        <v>12</v>
      </c>
      <c r="B18" s="27" t="s">
        <v>437</v>
      </c>
      <c r="C18" s="27" t="s">
        <v>438</v>
      </c>
      <c r="D18" s="27" t="s">
        <v>439</v>
      </c>
      <c r="E18" s="28">
        <v>16594</v>
      </c>
      <c r="F18" s="29">
        <v>105.264039</v>
      </c>
      <c r="G18" s="30">
        <v>1.1412810000000001E-2</v>
      </c>
      <c r="H18" s="25" t="s">
        <v>148</v>
      </c>
    </row>
    <row r="19" spans="1:8" x14ac:dyDescent="0.2">
      <c r="A19" s="26">
        <v>13</v>
      </c>
      <c r="B19" s="27" t="s">
        <v>754</v>
      </c>
      <c r="C19" s="27" t="s">
        <v>755</v>
      </c>
      <c r="D19" s="27" t="s">
        <v>679</v>
      </c>
      <c r="E19" s="28">
        <v>4774</v>
      </c>
      <c r="F19" s="29">
        <v>104.533891</v>
      </c>
      <c r="G19" s="30">
        <v>1.1333640000000001E-2</v>
      </c>
      <c r="H19" s="25" t="s">
        <v>148</v>
      </c>
    </row>
    <row r="20" spans="1:8" x14ac:dyDescent="0.2">
      <c r="A20" s="26">
        <v>14</v>
      </c>
      <c r="B20" s="27" t="s">
        <v>440</v>
      </c>
      <c r="C20" s="27" t="s">
        <v>441</v>
      </c>
      <c r="D20" s="27" t="s">
        <v>270</v>
      </c>
      <c r="E20" s="28">
        <v>7230</v>
      </c>
      <c r="F20" s="29">
        <v>103.42515</v>
      </c>
      <c r="G20" s="30">
        <v>1.121343E-2</v>
      </c>
      <c r="H20" s="25" t="s">
        <v>148</v>
      </c>
    </row>
    <row r="21" spans="1:8" x14ac:dyDescent="0.2">
      <c r="A21" s="26">
        <v>15</v>
      </c>
      <c r="B21" s="27" t="s">
        <v>418</v>
      </c>
      <c r="C21" s="27" t="s">
        <v>419</v>
      </c>
      <c r="D21" s="27" t="s">
        <v>137</v>
      </c>
      <c r="E21" s="28">
        <v>73820</v>
      </c>
      <c r="F21" s="29">
        <v>101.28104</v>
      </c>
      <c r="G21" s="30">
        <v>1.098097E-2</v>
      </c>
      <c r="H21" s="25" t="s">
        <v>148</v>
      </c>
    </row>
    <row r="22" spans="1:8" x14ac:dyDescent="0.2">
      <c r="A22" s="26">
        <v>16</v>
      </c>
      <c r="B22" s="27" t="s">
        <v>14</v>
      </c>
      <c r="C22" s="27" t="s">
        <v>15</v>
      </c>
      <c r="D22" s="27" t="s">
        <v>16</v>
      </c>
      <c r="E22" s="28">
        <v>8397</v>
      </c>
      <c r="F22" s="29">
        <v>100.772397</v>
      </c>
      <c r="G22" s="30">
        <v>1.0925819999999999E-2</v>
      </c>
      <c r="H22" s="25" t="s">
        <v>148</v>
      </c>
    </row>
    <row r="23" spans="1:8" x14ac:dyDescent="0.2">
      <c r="A23" s="26">
        <v>17</v>
      </c>
      <c r="B23" s="27" t="s">
        <v>684</v>
      </c>
      <c r="C23" s="27" t="s">
        <v>685</v>
      </c>
      <c r="D23" s="27" t="s">
        <v>275</v>
      </c>
      <c r="E23" s="28">
        <v>2108</v>
      </c>
      <c r="F23" s="29">
        <v>100.627488</v>
      </c>
      <c r="G23" s="30">
        <v>1.0910110000000001E-2</v>
      </c>
      <c r="H23" s="25" t="s">
        <v>148</v>
      </c>
    </row>
    <row r="24" spans="1:8" x14ac:dyDescent="0.2">
      <c r="A24" s="26">
        <v>18</v>
      </c>
      <c r="B24" s="27" t="s">
        <v>11</v>
      </c>
      <c r="C24" s="27" t="s">
        <v>12</v>
      </c>
      <c r="D24" s="27" t="s">
        <v>13</v>
      </c>
      <c r="E24" s="28">
        <v>6378</v>
      </c>
      <c r="F24" s="29">
        <v>100.147356</v>
      </c>
      <c r="G24" s="30">
        <v>1.0858049999999999E-2</v>
      </c>
      <c r="H24" s="25" t="s">
        <v>148</v>
      </c>
    </row>
    <row r="25" spans="1:8" x14ac:dyDescent="0.2">
      <c r="A25" s="26">
        <v>19</v>
      </c>
      <c r="B25" s="27" t="s">
        <v>703</v>
      </c>
      <c r="C25" s="27" t="s">
        <v>704</v>
      </c>
      <c r="D25" s="27" t="s">
        <v>270</v>
      </c>
      <c r="E25" s="28">
        <v>16359</v>
      </c>
      <c r="F25" s="29">
        <v>99.544515000000004</v>
      </c>
      <c r="G25" s="30">
        <v>1.0792690000000001E-2</v>
      </c>
      <c r="H25" s="25" t="s">
        <v>148</v>
      </c>
    </row>
    <row r="26" spans="1:8" x14ac:dyDescent="0.2">
      <c r="A26" s="26">
        <v>20</v>
      </c>
      <c r="B26" s="27" t="s">
        <v>756</v>
      </c>
      <c r="C26" s="27" t="s">
        <v>757</v>
      </c>
      <c r="D26" s="27" t="s">
        <v>229</v>
      </c>
      <c r="E26" s="28">
        <v>2920</v>
      </c>
      <c r="F26" s="29">
        <v>99.395340000000004</v>
      </c>
      <c r="G26" s="30">
        <v>1.077652E-2</v>
      </c>
      <c r="H26" s="25" t="s">
        <v>148</v>
      </c>
    </row>
    <row r="27" spans="1:8" x14ac:dyDescent="0.2">
      <c r="A27" s="26">
        <v>21</v>
      </c>
      <c r="B27" s="27" t="s">
        <v>758</v>
      </c>
      <c r="C27" s="27" t="s">
        <v>759</v>
      </c>
      <c r="D27" s="27" t="s">
        <v>320</v>
      </c>
      <c r="E27" s="28">
        <v>20135</v>
      </c>
      <c r="F27" s="29">
        <v>99.325954999999993</v>
      </c>
      <c r="G27" s="30">
        <v>1.0768990000000001E-2</v>
      </c>
      <c r="H27" s="25" t="s">
        <v>148</v>
      </c>
    </row>
    <row r="28" spans="1:8" x14ac:dyDescent="0.2">
      <c r="A28" s="26">
        <v>22</v>
      </c>
      <c r="B28" s="27" t="s">
        <v>332</v>
      </c>
      <c r="C28" s="27" t="s">
        <v>333</v>
      </c>
      <c r="D28" s="27" t="s">
        <v>28</v>
      </c>
      <c r="E28" s="28">
        <v>5695</v>
      </c>
      <c r="F28" s="29">
        <v>98.660179999999997</v>
      </c>
      <c r="G28" s="30">
        <v>1.0696809999999999E-2</v>
      </c>
      <c r="H28" s="25" t="s">
        <v>148</v>
      </c>
    </row>
    <row r="29" spans="1:8" x14ac:dyDescent="0.2">
      <c r="A29" s="26">
        <v>23</v>
      </c>
      <c r="B29" s="27" t="s">
        <v>677</v>
      </c>
      <c r="C29" s="27" t="s">
        <v>678</v>
      </c>
      <c r="D29" s="27" t="s">
        <v>679</v>
      </c>
      <c r="E29" s="28">
        <v>2139</v>
      </c>
      <c r="F29" s="29">
        <v>98.296675500000006</v>
      </c>
      <c r="G29" s="30">
        <v>1.0657399999999999E-2</v>
      </c>
      <c r="H29" s="25" t="s">
        <v>148</v>
      </c>
    </row>
    <row r="30" spans="1:8" x14ac:dyDescent="0.2">
      <c r="A30" s="26">
        <v>24</v>
      </c>
      <c r="B30" s="27" t="s">
        <v>709</v>
      </c>
      <c r="C30" s="27" t="s">
        <v>710</v>
      </c>
      <c r="D30" s="27" t="s">
        <v>51</v>
      </c>
      <c r="E30" s="28">
        <v>4494</v>
      </c>
      <c r="F30" s="29">
        <v>97.957965000000002</v>
      </c>
      <c r="G30" s="30">
        <v>1.062068E-2</v>
      </c>
      <c r="H30" s="25" t="s">
        <v>148</v>
      </c>
    </row>
    <row r="31" spans="1:8" x14ac:dyDescent="0.2">
      <c r="A31" s="26">
        <v>25</v>
      </c>
      <c r="B31" s="27" t="s">
        <v>760</v>
      </c>
      <c r="C31" s="27" t="s">
        <v>761</v>
      </c>
      <c r="D31" s="27" t="s">
        <v>22</v>
      </c>
      <c r="E31" s="28">
        <v>20396</v>
      </c>
      <c r="F31" s="29">
        <v>97.686642000000006</v>
      </c>
      <c r="G31" s="30">
        <v>1.059126E-2</v>
      </c>
      <c r="H31" s="25" t="s">
        <v>148</v>
      </c>
    </row>
    <row r="32" spans="1:8" x14ac:dyDescent="0.2">
      <c r="A32" s="26">
        <v>26</v>
      </c>
      <c r="B32" s="27" t="s">
        <v>374</v>
      </c>
      <c r="C32" s="27" t="s">
        <v>375</v>
      </c>
      <c r="D32" s="27" t="s">
        <v>376</v>
      </c>
      <c r="E32" s="28">
        <v>26398</v>
      </c>
      <c r="F32" s="29">
        <v>97.501013</v>
      </c>
      <c r="G32" s="30">
        <v>1.057113E-2</v>
      </c>
      <c r="H32" s="25" t="s">
        <v>148</v>
      </c>
    </row>
    <row r="33" spans="1:8" x14ac:dyDescent="0.2">
      <c r="A33" s="26">
        <v>27</v>
      </c>
      <c r="B33" s="27" t="s">
        <v>46</v>
      </c>
      <c r="C33" s="27" t="s">
        <v>47</v>
      </c>
      <c r="D33" s="27" t="s">
        <v>48</v>
      </c>
      <c r="E33" s="28">
        <v>43142</v>
      </c>
      <c r="F33" s="29">
        <v>97.177355000000006</v>
      </c>
      <c r="G33" s="30">
        <v>1.053604E-2</v>
      </c>
      <c r="H33" s="25" t="s">
        <v>148</v>
      </c>
    </row>
    <row r="34" spans="1:8" ht="25.5" x14ac:dyDescent="0.2">
      <c r="A34" s="26">
        <v>28</v>
      </c>
      <c r="B34" s="27" t="s">
        <v>442</v>
      </c>
      <c r="C34" s="27" t="s">
        <v>443</v>
      </c>
      <c r="D34" s="27" t="s">
        <v>202</v>
      </c>
      <c r="E34" s="28">
        <v>6887</v>
      </c>
      <c r="F34" s="29">
        <v>96.934524999999994</v>
      </c>
      <c r="G34" s="30">
        <v>1.050971E-2</v>
      </c>
      <c r="H34" s="25" t="s">
        <v>148</v>
      </c>
    </row>
    <row r="35" spans="1:8" x14ac:dyDescent="0.2">
      <c r="A35" s="26">
        <v>29</v>
      </c>
      <c r="B35" s="27" t="s">
        <v>762</v>
      </c>
      <c r="C35" s="27" t="s">
        <v>763</v>
      </c>
      <c r="D35" s="27" t="s">
        <v>320</v>
      </c>
      <c r="E35" s="28">
        <v>9606</v>
      </c>
      <c r="F35" s="29">
        <v>96.554709000000003</v>
      </c>
      <c r="G35" s="30">
        <v>1.046853E-2</v>
      </c>
      <c r="H35" s="25" t="s">
        <v>148</v>
      </c>
    </row>
    <row r="36" spans="1:8" x14ac:dyDescent="0.2">
      <c r="A36" s="26">
        <v>30</v>
      </c>
      <c r="B36" s="27" t="s">
        <v>448</v>
      </c>
      <c r="C36" s="27" t="s">
        <v>449</v>
      </c>
      <c r="D36" s="27" t="s">
        <v>350</v>
      </c>
      <c r="E36" s="28">
        <v>4405</v>
      </c>
      <c r="F36" s="29">
        <v>96.480512500000003</v>
      </c>
      <c r="G36" s="30">
        <v>1.0460489999999999E-2</v>
      </c>
      <c r="H36" s="25" t="s">
        <v>148</v>
      </c>
    </row>
    <row r="37" spans="1:8" x14ac:dyDescent="0.2">
      <c r="A37" s="26">
        <v>31</v>
      </c>
      <c r="B37" s="27" t="s">
        <v>62</v>
      </c>
      <c r="C37" s="27" t="s">
        <v>63</v>
      </c>
      <c r="D37" s="27" t="s">
        <v>64</v>
      </c>
      <c r="E37" s="28">
        <v>2153</v>
      </c>
      <c r="F37" s="29">
        <v>96.396269000000004</v>
      </c>
      <c r="G37" s="30">
        <v>1.045136E-2</v>
      </c>
      <c r="H37" s="25" t="s">
        <v>148</v>
      </c>
    </row>
    <row r="38" spans="1:8" x14ac:dyDescent="0.2">
      <c r="A38" s="26">
        <v>32</v>
      </c>
      <c r="B38" s="27" t="s">
        <v>336</v>
      </c>
      <c r="C38" s="27" t="s">
        <v>337</v>
      </c>
      <c r="D38" s="27" t="s">
        <v>28</v>
      </c>
      <c r="E38" s="28">
        <v>9465</v>
      </c>
      <c r="F38" s="29">
        <v>96.121807500000003</v>
      </c>
      <c r="G38" s="30">
        <v>1.04216E-2</v>
      </c>
      <c r="H38" s="25" t="s">
        <v>148</v>
      </c>
    </row>
    <row r="39" spans="1:8" ht="25.5" x14ac:dyDescent="0.2">
      <c r="A39" s="26">
        <v>33</v>
      </c>
      <c r="B39" s="27" t="s">
        <v>764</v>
      </c>
      <c r="C39" s="27" t="s">
        <v>765</v>
      </c>
      <c r="D39" s="27" t="s">
        <v>202</v>
      </c>
      <c r="E39" s="28">
        <v>1750</v>
      </c>
      <c r="F39" s="29">
        <v>95.904375000000002</v>
      </c>
      <c r="G39" s="30">
        <v>1.0398019999999999E-2</v>
      </c>
      <c r="H39" s="25" t="s">
        <v>148</v>
      </c>
    </row>
    <row r="40" spans="1:8" x14ac:dyDescent="0.2">
      <c r="A40" s="26">
        <v>34</v>
      </c>
      <c r="B40" s="27" t="s">
        <v>20</v>
      </c>
      <c r="C40" s="27" t="s">
        <v>21</v>
      </c>
      <c r="D40" s="27" t="s">
        <v>22</v>
      </c>
      <c r="E40" s="28">
        <v>30641</v>
      </c>
      <c r="F40" s="29">
        <v>95.431394499999996</v>
      </c>
      <c r="G40" s="30">
        <v>1.034674E-2</v>
      </c>
      <c r="H40" s="25" t="s">
        <v>148</v>
      </c>
    </row>
    <row r="41" spans="1:8" x14ac:dyDescent="0.2">
      <c r="A41" s="26">
        <v>35</v>
      </c>
      <c r="B41" s="27" t="s">
        <v>368</v>
      </c>
      <c r="C41" s="27" t="s">
        <v>369</v>
      </c>
      <c r="D41" s="27" t="s">
        <v>25</v>
      </c>
      <c r="E41" s="28">
        <v>4135</v>
      </c>
      <c r="F41" s="29">
        <v>95.379977499999995</v>
      </c>
      <c r="G41" s="30">
        <v>1.034117E-2</v>
      </c>
      <c r="H41" s="25" t="s">
        <v>148</v>
      </c>
    </row>
    <row r="42" spans="1:8" x14ac:dyDescent="0.2">
      <c r="A42" s="26">
        <v>36</v>
      </c>
      <c r="B42" s="27" t="s">
        <v>26</v>
      </c>
      <c r="C42" s="27" t="s">
        <v>27</v>
      </c>
      <c r="D42" s="27" t="s">
        <v>28</v>
      </c>
      <c r="E42" s="28">
        <v>7893</v>
      </c>
      <c r="F42" s="29">
        <v>95.039613000000003</v>
      </c>
      <c r="G42" s="30">
        <v>1.0304270000000001E-2</v>
      </c>
      <c r="H42" s="25" t="s">
        <v>148</v>
      </c>
    </row>
    <row r="43" spans="1:8" x14ac:dyDescent="0.2">
      <c r="A43" s="26">
        <v>37</v>
      </c>
      <c r="B43" s="27" t="s">
        <v>370</v>
      </c>
      <c r="C43" s="27" t="s">
        <v>371</v>
      </c>
      <c r="D43" s="27" t="s">
        <v>51</v>
      </c>
      <c r="E43" s="28">
        <v>3085</v>
      </c>
      <c r="F43" s="29">
        <v>94.933162499999995</v>
      </c>
      <c r="G43" s="30">
        <v>1.029272E-2</v>
      </c>
      <c r="H43" s="25" t="s">
        <v>148</v>
      </c>
    </row>
    <row r="44" spans="1:8" x14ac:dyDescent="0.2">
      <c r="A44" s="26">
        <v>38</v>
      </c>
      <c r="B44" s="27" t="s">
        <v>245</v>
      </c>
      <c r="C44" s="27" t="s">
        <v>246</v>
      </c>
      <c r="D44" s="27" t="s">
        <v>28</v>
      </c>
      <c r="E44" s="28">
        <v>84440</v>
      </c>
      <c r="F44" s="29">
        <v>94.657240000000002</v>
      </c>
      <c r="G44" s="30">
        <v>1.0262810000000001E-2</v>
      </c>
      <c r="H44" s="25" t="s">
        <v>148</v>
      </c>
    </row>
    <row r="45" spans="1:8" x14ac:dyDescent="0.2">
      <c r="A45" s="26">
        <v>39</v>
      </c>
      <c r="B45" s="27" t="s">
        <v>766</v>
      </c>
      <c r="C45" s="27" t="s">
        <v>767</v>
      </c>
      <c r="D45" s="27" t="s">
        <v>267</v>
      </c>
      <c r="E45" s="28">
        <v>3551</v>
      </c>
      <c r="F45" s="29">
        <v>94.382029000000003</v>
      </c>
      <c r="G45" s="30">
        <v>1.0232969999999999E-2</v>
      </c>
      <c r="H45" s="25" t="s">
        <v>148</v>
      </c>
    </row>
    <row r="46" spans="1:8" x14ac:dyDescent="0.2">
      <c r="A46" s="26">
        <v>40</v>
      </c>
      <c r="B46" s="27" t="s">
        <v>452</v>
      </c>
      <c r="C46" s="27" t="s">
        <v>453</v>
      </c>
      <c r="D46" s="27" t="s">
        <v>205</v>
      </c>
      <c r="E46" s="28">
        <v>33808</v>
      </c>
      <c r="F46" s="29">
        <v>93.867912000000004</v>
      </c>
      <c r="G46" s="30">
        <v>1.0177230000000001E-2</v>
      </c>
      <c r="H46" s="25" t="s">
        <v>148</v>
      </c>
    </row>
    <row r="47" spans="1:8" ht="25.5" x14ac:dyDescent="0.2">
      <c r="A47" s="26">
        <v>41</v>
      </c>
      <c r="B47" s="27" t="s">
        <v>286</v>
      </c>
      <c r="C47" s="27" t="s">
        <v>287</v>
      </c>
      <c r="D47" s="27" t="s">
        <v>202</v>
      </c>
      <c r="E47" s="28">
        <v>10697</v>
      </c>
      <c r="F47" s="29">
        <v>93.769902000000002</v>
      </c>
      <c r="G47" s="30">
        <v>1.01666E-2</v>
      </c>
      <c r="H47" s="25" t="s">
        <v>148</v>
      </c>
    </row>
    <row r="48" spans="1:8" x14ac:dyDescent="0.2">
      <c r="A48" s="26">
        <v>42</v>
      </c>
      <c r="B48" s="27" t="s">
        <v>135</v>
      </c>
      <c r="C48" s="27" t="s">
        <v>136</v>
      </c>
      <c r="D48" s="27" t="s">
        <v>137</v>
      </c>
      <c r="E48" s="28">
        <v>10821</v>
      </c>
      <c r="F48" s="29">
        <v>92.643991499999998</v>
      </c>
      <c r="G48" s="30">
        <v>1.0044529999999999E-2</v>
      </c>
      <c r="H48" s="25" t="s">
        <v>148</v>
      </c>
    </row>
    <row r="49" spans="1:8" x14ac:dyDescent="0.2">
      <c r="A49" s="26">
        <v>43</v>
      </c>
      <c r="B49" s="27" t="s">
        <v>273</v>
      </c>
      <c r="C49" s="27" t="s">
        <v>274</v>
      </c>
      <c r="D49" s="27" t="s">
        <v>275</v>
      </c>
      <c r="E49" s="28">
        <v>4144</v>
      </c>
      <c r="F49" s="29">
        <v>92.224720000000005</v>
      </c>
      <c r="G49" s="30">
        <v>9.9990700000000005E-3</v>
      </c>
      <c r="H49" s="25" t="s">
        <v>148</v>
      </c>
    </row>
    <row r="50" spans="1:8" x14ac:dyDescent="0.2">
      <c r="A50" s="26">
        <v>44</v>
      </c>
      <c r="B50" s="27" t="s">
        <v>728</v>
      </c>
      <c r="C50" s="27" t="s">
        <v>729</v>
      </c>
      <c r="D50" s="27" t="s">
        <v>270</v>
      </c>
      <c r="E50" s="28">
        <v>5451</v>
      </c>
      <c r="F50" s="29">
        <v>92.173684499999993</v>
      </c>
      <c r="G50" s="30">
        <v>9.9935400000000004E-3</v>
      </c>
      <c r="H50" s="25" t="s">
        <v>148</v>
      </c>
    </row>
    <row r="51" spans="1:8" x14ac:dyDescent="0.2">
      <c r="A51" s="26">
        <v>45</v>
      </c>
      <c r="B51" s="27" t="s">
        <v>528</v>
      </c>
      <c r="C51" s="27" t="s">
        <v>529</v>
      </c>
      <c r="D51" s="27" t="s">
        <v>275</v>
      </c>
      <c r="E51" s="28">
        <v>1161</v>
      </c>
      <c r="F51" s="29">
        <v>91.752668999999997</v>
      </c>
      <c r="G51" s="30">
        <v>9.9478899999999992E-3</v>
      </c>
      <c r="H51" s="25" t="s">
        <v>148</v>
      </c>
    </row>
    <row r="52" spans="1:8" x14ac:dyDescent="0.2">
      <c r="A52" s="26">
        <v>46</v>
      </c>
      <c r="B52" s="27" t="s">
        <v>334</v>
      </c>
      <c r="C52" s="27" t="s">
        <v>335</v>
      </c>
      <c r="D52" s="27" t="s">
        <v>205</v>
      </c>
      <c r="E52" s="28">
        <v>5368</v>
      </c>
      <c r="F52" s="29">
        <v>90.595736000000002</v>
      </c>
      <c r="G52" s="30">
        <v>9.8224599999999999E-3</v>
      </c>
      <c r="H52" s="25" t="s">
        <v>148</v>
      </c>
    </row>
    <row r="53" spans="1:8" x14ac:dyDescent="0.2">
      <c r="A53" s="26">
        <v>47</v>
      </c>
      <c r="B53" s="27" t="s">
        <v>23</v>
      </c>
      <c r="C53" s="27" t="s">
        <v>24</v>
      </c>
      <c r="D53" s="27" t="s">
        <v>25</v>
      </c>
      <c r="E53" s="28">
        <v>892</v>
      </c>
      <c r="F53" s="29">
        <v>90.345774000000006</v>
      </c>
      <c r="G53" s="30">
        <v>9.7953599999999995E-3</v>
      </c>
      <c r="H53" s="25" t="s">
        <v>148</v>
      </c>
    </row>
    <row r="54" spans="1:8" x14ac:dyDescent="0.2">
      <c r="A54" s="26">
        <v>48</v>
      </c>
      <c r="B54" s="27" t="s">
        <v>530</v>
      </c>
      <c r="C54" s="27" t="s">
        <v>531</v>
      </c>
      <c r="D54" s="27" t="s">
        <v>205</v>
      </c>
      <c r="E54" s="28">
        <v>6049</v>
      </c>
      <c r="F54" s="29">
        <v>90.000046499999996</v>
      </c>
      <c r="G54" s="30">
        <v>9.7578700000000001E-3</v>
      </c>
      <c r="H54" s="25" t="s">
        <v>148</v>
      </c>
    </row>
    <row r="55" spans="1:8" x14ac:dyDescent="0.2">
      <c r="A55" s="26">
        <v>49</v>
      </c>
      <c r="B55" s="27" t="s">
        <v>768</v>
      </c>
      <c r="C55" s="27" t="s">
        <v>769</v>
      </c>
      <c r="D55" s="27" t="s">
        <v>22</v>
      </c>
      <c r="E55" s="28">
        <v>122900</v>
      </c>
      <c r="F55" s="29">
        <v>89.594099999999997</v>
      </c>
      <c r="G55" s="30">
        <v>9.7138599999999995E-3</v>
      </c>
      <c r="H55" s="25" t="s">
        <v>148</v>
      </c>
    </row>
    <row r="56" spans="1:8" x14ac:dyDescent="0.2">
      <c r="A56" s="26">
        <v>50</v>
      </c>
      <c r="B56" s="27" t="s">
        <v>57</v>
      </c>
      <c r="C56" s="27" t="s">
        <v>58</v>
      </c>
      <c r="D56" s="27" t="s">
        <v>59</v>
      </c>
      <c r="E56" s="28">
        <v>8341</v>
      </c>
      <c r="F56" s="29">
        <v>89.198654000000005</v>
      </c>
      <c r="G56" s="30">
        <v>9.6709799999999992E-3</v>
      </c>
      <c r="H56" s="25" t="s">
        <v>148</v>
      </c>
    </row>
    <row r="57" spans="1:8" ht="25.5" x14ac:dyDescent="0.2">
      <c r="A57" s="26">
        <v>51</v>
      </c>
      <c r="B57" s="27" t="s">
        <v>340</v>
      </c>
      <c r="C57" s="27" t="s">
        <v>341</v>
      </c>
      <c r="D57" s="27" t="s">
        <v>202</v>
      </c>
      <c r="E57" s="28">
        <v>5561</v>
      </c>
      <c r="F57" s="29">
        <v>88.600632500000003</v>
      </c>
      <c r="G57" s="30">
        <v>9.6061500000000008E-3</v>
      </c>
      <c r="H57" s="25" t="s">
        <v>148</v>
      </c>
    </row>
    <row r="58" spans="1:8" x14ac:dyDescent="0.2">
      <c r="A58" s="26">
        <v>52</v>
      </c>
      <c r="B58" s="27" t="s">
        <v>635</v>
      </c>
      <c r="C58" s="27" t="s">
        <v>636</v>
      </c>
      <c r="D58" s="27" t="s">
        <v>637</v>
      </c>
      <c r="E58" s="28">
        <v>4225</v>
      </c>
      <c r="F58" s="29">
        <v>88.555999999999997</v>
      </c>
      <c r="G58" s="30">
        <v>9.6013100000000001E-3</v>
      </c>
      <c r="H58" s="25" t="s">
        <v>148</v>
      </c>
    </row>
    <row r="59" spans="1:8" x14ac:dyDescent="0.2">
      <c r="A59" s="26">
        <v>53</v>
      </c>
      <c r="B59" s="27" t="s">
        <v>17</v>
      </c>
      <c r="C59" s="27" t="s">
        <v>18</v>
      </c>
      <c r="D59" s="27" t="s">
        <v>19</v>
      </c>
      <c r="E59" s="28">
        <v>2782</v>
      </c>
      <c r="F59" s="29">
        <v>88.018306999999993</v>
      </c>
      <c r="G59" s="30">
        <v>9.5430099999999993E-3</v>
      </c>
      <c r="H59" s="25" t="s">
        <v>148</v>
      </c>
    </row>
    <row r="60" spans="1:8" x14ac:dyDescent="0.2">
      <c r="A60" s="26">
        <v>54</v>
      </c>
      <c r="B60" s="27" t="s">
        <v>770</v>
      </c>
      <c r="C60" s="27" t="s">
        <v>771</v>
      </c>
      <c r="D60" s="27" t="s">
        <v>772</v>
      </c>
      <c r="E60" s="28">
        <v>22286</v>
      </c>
      <c r="F60" s="29">
        <v>87.973984999999999</v>
      </c>
      <c r="G60" s="30">
        <v>9.5382100000000001E-3</v>
      </c>
      <c r="H60" s="25" t="s">
        <v>148</v>
      </c>
    </row>
    <row r="61" spans="1:8" x14ac:dyDescent="0.2">
      <c r="A61" s="26">
        <v>55</v>
      </c>
      <c r="B61" s="27" t="s">
        <v>640</v>
      </c>
      <c r="C61" s="27" t="s">
        <v>641</v>
      </c>
      <c r="D61" s="27" t="s">
        <v>28</v>
      </c>
      <c r="E61" s="28">
        <v>100547</v>
      </c>
      <c r="F61" s="29">
        <v>87.868023300000004</v>
      </c>
      <c r="G61" s="30">
        <v>9.5267200000000007E-3</v>
      </c>
      <c r="H61" s="25" t="s">
        <v>148</v>
      </c>
    </row>
    <row r="62" spans="1:8" ht="25.5" x14ac:dyDescent="0.2">
      <c r="A62" s="26">
        <v>56</v>
      </c>
      <c r="B62" s="27" t="s">
        <v>773</v>
      </c>
      <c r="C62" s="27" t="s">
        <v>774</v>
      </c>
      <c r="D62" s="27" t="s">
        <v>232</v>
      </c>
      <c r="E62" s="28">
        <v>13086</v>
      </c>
      <c r="F62" s="29">
        <v>87.800516999999999</v>
      </c>
      <c r="G62" s="30">
        <v>9.5194000000000008E-3</v>
      </c>
      <c r="H62" s="25" t="s">
        <v>148</v>
      </c>
    </row>
    <row r="63" spans="1:8" x14ac:dyDescent="0.2">
      <c r="A63" s="26">
        <v>57</v>
      </c>
      <c r="B63" s="27" t="s">
        <v>707</v>
      </c>
      <c r="C63" s="27" t="s">
        <v>708</v>
      </c>
      <c r="D63" s="27" t="s">
        <v>275</v>
      </c>
      <c r="E63" s="28">
        <v>2383</v>
      </c>
      <c r="F63" s="29">
        <v>87.720613</v>
      </c>
      <c r="G63" s="30">
        <v>9.5107300000000002E-3</v>
      </c>
      <c r="H63" s="25" t="s">
        <v>148</v>
      </c>
    </row>
    <row r="64" spans="1:8" x14ac:dyDescent="0.2">
      <c r="A64" s="26">
        <v>58</v>
      </c>
      <c r="B64" s="27" t="s">
        <v>38</v>
      </c>
      <c r="C64" s="27" t="s">
        <v>39</v>
      </c>
      <c r="D64" s="27" t="s">
        <v>28</v>
      </c>
      <c r="E64" s="28">
        <v>12652</v>
      </c>
      <c r="F64" s="29">
        <v>87.146975999999995</v>
      </c>
      <c r="G64" s="30">
        <v>9.4485400000000001E-3</v>
      </c>
      <c r="H64" s="25" t="s">
        <v>148</v>
      </c>
    </row>
    <row r="65" spans="1:8" x14ac:dyDescent="0.2">
      <c r="A65" s="26">
        <v>59</v>
      </c>
      <c r="B65" s="27" t="s">
        <v>534</v>
      </c>
      <c r="C65" s="27" t="s">
        <v>535</v>
      </c>
      <c r="D65" s="27" t="s">
        <v>275</v>
      </c>
      <c r="E65" s="28">
        <v>3361</v>
      </c>
      <c r="F65" s="29">
        <v>86.885210999999998</v>
      </c>
      <c r="G65" s="30">
        <v>9.4201600000000003E-3</v>
      </c>
      <c r="H65" s="25" t="s">
        <v>148</v>
      </c>
    </row>
    <row r="66" spans="1:8" ht="25.5" x14ac:dyDescent="0.2">
      <c r="A66" s="26">
        <v>60</v>
      </c>
      <c r="B66" s="27" t="s">
        <v>775</v>
      </c>
      <c r="C66" s="27" t="s">
        <v>776</v>
      </c>
      <c r="D66" s="27" t="s">
        <v>202</v>
      </c>
      <c r="E66" s="28">
        <v>2942</v>
      </c>
      <c r="F66" s="29">
        <v>86.733102000000002</v>
      </c>
      <c r="G66" s="30">
        <v>9.4036699999999994E-3</v>
      </c>
      <c r="H66" s="25" t="s">
        <v>148</v>
      </c>
    </row>
    <row r="67" spans="1:8" x14ac:dyDescent="0.2">
      <c r="A67" s="26">
        <v>61</v>
      </c>
      <c r="B67" s="27" t="s">
        <v>777</v>
      </c>
      <c r="C67" s="27" t="s">
        <v>778</v>
      </c>
      <c r="D67" s="27" t="s">
        <v>51</v>
      </c>
      <c r="E67" s="28">
        <v>6100</v>
      </c>
      <c r="F67" s="29">
        <v>86.729799999999997</v>
      </c>
      <c r="G67" s="30">
        <v>9.4033099999999998E-3</v>
      </c>
      <c r="H67" s="25" t="s">
        <v>148</v>
      </c>
    </row>
    <row r="68" spans="1:8" x14ac:dyDescent="0.2">
      <c r="A68" s="26">
        <v>62</v>
      </c>
      <c r="B68" s="27" t="s">
        <v>97</v>
      </c>
      <c r="C68" s="27" t="s">
        <v>98</v>
      </c>
      <c r="D68" s="27" t="s">
        <v>25</v>
      </c>
      <c r="E68" s="28">
        <v>18621</v>
      </c>
      <c r="F68" s="29">
        <v>86.578339499999998</v>
      </c>
      <c r="G68" s="30">
        <v>9.3868900000000002E-3</v>
      </c>
      <c r="H68" s="25" t="s">
        <v>148</v>
      </c>
    </row>
    <row r="69" spans="1:8" x14ac:dyDescent="0.2">
      <c r="A69" s="26">
        <v>63</v>
      </c>
      <c r="B69" s="27" t="s">
        <v>779</v>
      </c>
      <c r="C69" s="27" t="s">
        <v>780</v>
      </c>
      <c r="D69" s="27" t="s">
        <v>94</v>
      </c>
      <c r="E69" s="28">
        <v>15516</v>
      </c>
      <c r="F69" s="29">
        <v>86.447394000000003</v>
      </c>
      <c r="G69" s="30">
        <v>9.3726899999999995E-3</v>
      </c>
      <c r="H69" s="25" t="s">
        <v>148</v>
      </c>
    </row>
    <row r="70" spans="1:8" x14ac:dyDescent="0.2">
      <c r="A70" s="26">
        <v>64</v>
      </c>
      <c r="B70" s="27" t="s">
        <v>55</v>
      </c>
      <c r="C70" s="27" t="s">
        <v>56</v>
      </c>
      <c r="D70" s="27" t="s">
        <v>22</v>
      </c>
      <c r="E70" s="28">
        <v>25394</v>
      </c>
      <c r="F70" s="29">
        <v>86.136448000000001</v>
      </c>
      <c r="G70" s="30">
        <v>9.3389800000000002E-3</v>
      </c>
      <c r="H70" s="25" t="s">
        <v>148</v>
      </c>
    </row>
    <row r="71" spans="1:8" x14ac:dyDescent="0.2">
      <c r="A71" s="26">
        <v>65</v>
      </c>
      <c r="B71" s="27" t="s">
        <v>31</v>
      </c>
      <c r="C71" s="27" t="s">
        <v>32</v>
      </c>
      <c r="D71" s="27" t="s">
        <v>33</v>
      </c>
      <c r="E71" s="28">
        <v>34697</v>
      </c>
      <c r="F71" s="29">
        <v>85.441362499999997</v>
      </c>
      <c r="G71" s="30">
        <v>9.2636200000000002E-3</v>
      </c>
      <c r="H71" s="25" t="s">
        <v>148</v>
      </c>
    </row>
    <row r="72" spans="1:8" x14ac:dyDescent="0.2">
      <c r="A72" s="26">
        <v>66</v>
      </c>
      <c r="B72" s="27" t="s">
        <v>342</v>
      </c>
      <c r="C72" s="27" t="s">
        <v>343</v>
      </c>
      <c r="D72" s="27" t="s">
        <v>205</v>
      </c>
      <c r="E72" s="28">
        <v>2450</v>
      </c>
      <c r="F72" s="29">
        <v>85.339624999999998</v>
      </c>
      <c r="G72" s="30">
        <v>9.2525899999999998E-3</v>
      </c>
      <c r="H72" s="25" t="s">
        <v>148</v>
      </c>
    </row>
    <row r="73" spans="1:8" ht="25.5" x14ac:dyDescent="0.2">
      <c r="A73" s="26">
        <v>67</v>
      </c>
      <c r="B73" s="27" t="s">
        <v>362</v>
      </c>
      <c r="C73" s="27" t="s">
        <v>363</v>
      </c>
      <c r="D73" s="27" t="s">
        <v>202</v>
      </c>
      <c r="E73" s="28">
        <v>7643</v>
      </c>
      <c r="F73" s="29">
        <v>85.334095000000005</v>
      </c>
      <c r="G73" s="30">
        <v>9.2519899999999999E-3</v>
      </c>
      <c r="H73" s="25" t="s">
        <v>148</v>
      </c>
    </row>
    <row r="74" spans="1:8" x14ac:dyDescent="0.2">
      <c r="A74" s="26">
        <v>68</v>
      </c>
      <c r="B74" s="27" t="s">
        <v>435</v>
      </c>
      <c r="C74" s="27" t="s">
        <v>436</v>
      </c>
      <c r="D74" s="27" t="s">
        <v>205</v>
      </c>
      <c r="E74" s="28">
        <v>5408</v>
      </c>
      <c r="F74" s="29">
        <v>85.178703999999996</v>
      </c>
      <c r="G74" s="30">
        <v>9.2351399999999993E-3</v>
      </c>
      <c r="H74" s="25" t="s">
        <v>148</v>
      </c>
    </row>
    <row r="75" spans="1:8" x14ac:dyDescent="0.2">
      <c r="A75" s="26">
        <v>69</v>
      </c>
      <c r="B75" s="27" t="s">
        <v>348</v>
      </c>
      <c r="C75" s="27" t="s">
        <v>349</v>
      </c>
      <c r="D75" s="27" t="s">
        <v>350</v>
      </c>
      <c r="E75" s="28">
        <v>21527</v>
      </c>
      <c r="F75" s="29">
        <v>85.031649999999999</v>
      </c>
      <c r="G75" s="30">
        <v>9.2191900000000004E-3</v>
      </c>
      <c r="H75" s="25" t="s">
        <v>148</v>
      </c>
    </row>
    <row r="76" spans="1:8" x14ac:dyDescent="0.2">
      <c r="A76" s="26">
        <v>70</v>
      </c>
      <c r="B76" s="27" t="s">
        <v>364</v>
      </c>
      <c r="C76" s="27" t="s">
        <v>365</v>
      </c>
      <c r="D76" s="27" t="s">
        <v>275</v>
      </c>
      <c r="E76" s="28">
        <v>13686</v>
      </c>
      <c r="F76" s="29">
        <v>84.942159000000004</v>
      </c>
      <c r="G76" s="30">
        <v>9.2094900000000007E-3</v>
      </c>
      <c r="H76" s="25" t="s">
        <v>148</v>
      </c>
    </row>
    <row r="77" spans="1:8" x14ac:dyDescent="0.2">
      <c r="A77" s="26">
        <v>71</v>
      </c>
      <c r="B77" s="27" t="s">
        <v>781</v>
      </c>
      <c r="C77" s="27" t="s">
        <v>782</v>
      </c>
      <c r="D77" s="27" t="s">
        <v>270</v>
      </c>
      <c r="E77" s="28">
        <v>11449</v>
      </c>
      <c r="F77" s="29">
        <v>84.779844999999995</v>
      </c>
      <c r="G77" s="30">
        <v>9.1918899999999994E-3</v>
      </c>
      <c r="H77" s="25" t="s">
        <v>148</v>
      </c>
    </row>
    <row r="78" spans="1:8" x14ac:dyDescent="0.2">
      <c r="A78" s="26">
        <v>72</v>
      </c>
      <c r="B78" s="27" t="s">
        <v>701</v>
      </c>
      <c r="C78" s="27" t="s">
        <v>702</v>
      </c>
      <c r="D78" s="27" t="s">
        <v>210</v>
      </c>
      <c r="E78" s="28">
        <v>1397</v>
      </c>
      <c r="F78" s="29">
        <v>84.554822000000001</v>
      </c>
      <c r="G78" s="30">
        <v>9.1675000000000003E-3</v>
      </c>
      <c r="H78" s="25" t="s">
        <v>148</v>
      </c>
    </row>
    <row r="79" spans="1:8" x14ac:dyDescent="0.2">
      <c r="A79" s="26">
        <v>73</v>
      </c>
      <c r="B79" s="27" t="s">
        <v>783</v>
      </c>
      <c r="C79" s="27" t="s">
        <v>784</v>
      </c>
      <c r="D79" s="27" t="s">
        <v>22</v>
      </c>
      <c r="E79" s="28">
        <v>12990</v>
      </c>
      <c r="F79" s="29">
        <v>84.551910000000007</v>
      </c>
      <c r="G79" s="30">
        <v>9.1671800000000005E-3</v>
      </c>
      <c r="H79" s="25" t="s">
        <v>148</v>
      </c>
    </row>
    <row r="80" spans="1:8" x14ac:dyDescent="0.2">
      <c r="A80" s="26">
        <v>74</v>
      </c>
      <c r="B80" s="27" t="s">
        <v>268</v>
      </c>
      <c r="C80" s="27" t="s">
        <v>269</v>
      </c>
      <c r="D80" s="27" t="s">
        <v>270</v>
      </c>
      <c r="E80" s="28">
        <v>15292</v>
      </c>
      <c r="F80" s="29">
        <v>84.350672000000003</v>
      </c>
      <c r="G80" s="30">
        <v>9.1453599999999999E-3</v>
      </c>
      <c r="H80" s="25" t="s">
        <v>148</v>
      </c>
    </row>
    <row r="81" spans="1:8" x14ac:dyDescent="0.2">
      <c r="A81" s="26">
        <v>75</v>
      </c>
      <c r="B81" s="27" t="s">
        <v>652</v>
      </c>
      <c r="C81" s="27" t="s">
        <v>653</v>
      </c>
      <c r="D81" s="27" t="s">
        <v>16</v>
      </c>
      <c r="E81" s="28">
        <v>74135</v>
      </c>
      <c r="F81" s="29">
        <v>84.135811500000003</v>
      </c>
      <c r="G81" s="30">
        <v>9.1220699999999995E-3</v>
      </c>
      <c r="H81" s="25" t="s">
        <v>148</v>
      </c>
    </row>
    <row r="82" spans="1:8" x14ac:dyDescent="0.2">
      <c r="A82" s="26">
        <v>76</v>
      </c>
      <c r="B82" s="27" t="s">
        <v>338</v>
      </c>
      <c r="C82" s="27" t="s">
        <v>339</v>
      </c>
      <c r="D82" s="27" t="s">
        <v>229</v>
      </c>
      <c r="E82" s="28">
        <v>37751</v>
      </c>
      <c r="F82" s="29">
        <v>83.844971000000001</v>
      </c>
      <c r="G82" s="30">
        <v>9.0905299999999994E-3</v>
      </c>
      <c r="H82" s="25" t="s">
        <v>148</v>
      </c>
    </row>
    <row r="83" spans="1:8" x14ac:dyDescent="0.2">
      <c r="A83" s="26">
        <v>77</v>
      </c>
      <c r="B83" s="27" t="s">
        <v>785</v>
      </c>
      <c r="C83" s="27" t="s">
        <v>786</v>
      </c>
      <c r="D83" s="27" t="s">
        <v>54</v>
      </c>
      <c r="E83" s="28">
        <v>7380</v>
      </c>
      <c r="F83" s="29">
        <v>83.460419999999999</v>
      </c>
      <c r="G83" s="30">
        <v>9.0488400000000007E-3</v>
      </c>
      <c r="H83" s="25" t="s">
        <v>148</v>
      </c>
    </row>
    <row r="84" spans="1:8" x14ac:dyDescent="0.2">
      <c r="A84" s="26">
        <v>78</v>
      </c>
      <c r="B84" s="27" t="s">
        <v>526</v>
      </c>
      <c r="C84" s="27" t="s">
        <v>527</v>
      </c>
      <c r="D84" s="27" t="s">
        <v>235</v>
      </c>
      <c r="E84" s="28">
        <v>6421</v>
      </c>
      <c r="F84" s="29">
        <v>82.474534500000004</v>
      </c>
      <c r="G84" s="30">
        <v>8.9419500000000006E-3</v>
      </c>
      <c r="H84" s="25" t="s">
        <v>148</v>
      </c>
    </row>
    <row r="85" spans="1:8" x14ac:dyDescent="0.2">
      <c r="A85" s="26">
        <v>79</v>
      </c>
      <c r="B85" s="27" t="s">
        <v>29</v>
      </c>
      <c r="C85" s="27" t="s">
        <v>30</v>
      </c>
      <c r="D85" s="27" t="s">
        <v>22</v>
      </c>
      <c r="E85" s="28">
        <v>32867</v>
      </c>
      <c r="F85" s="29">
        <v>82.446869500000005</v>
      </c>
      <c r="G85" s="30">
        <v>8.9389499999999993E-3</v>
      </c>
      <c r="H85" s="25" t="s">
        <v>148</v>
      </c>
    </row>
    <row r="86" spans="1:8" x14ac:dyDescent="0.2">
      <c r="A86" s="26">
        <v>80</v>
      </c>
      <c r="B86" s="27" t="s">
        <v>646</v>
      </c>
      <c r="C86" s="27" t="s">
        <v>647</v>
      </c>
      <c r="D86" s="27" t="s">
        <v>28</v>
      </c>
      <c r="E86" s="28">
        <v>101310</v>
      </c>
      <c r="F86" s="29">
        <v>81.959789999999998</v>
      </c>
      <c r="G86" s="30">
        <v>8.8861400000000007E-3</v>
      </c>
      <c r="H86" s="25" t="s">
        <v>148</v>
      </c>
    </row>
    <row r="87" spans="1:8" x14ac:dyDescent="0.2">
      <c r="A87" s="26">
        <v>81</v>
      </c>
      <c r="B87" s="27" t="s">
        <v>243</v>
      </c>
      <c r="C87" s="27" t="s">
        <v>244</v>
      </c>
      <c r="D87" s="27" t="s">
        <v>229</v>
      </c>
      <c r="E87" s="28">
        <v>1172</v>
      </c>
      <c r="F87" s="29">
        <v>81.953857999999997</v>
      </c>
      <c r="G87" s="30">
        <v>8.8854999999999993E-3</v>
      </c>
      <c r="H87" s="25" t="s">
        <v>148</v>
      </c>
    </row>
    <row r="88" spans="1:8" x14ac:dyDescent="0.2">
      <c r="A88" s="26">
        <v>82</v>
      </c>
      <c r="B88" s="27" t="s">
        <v>787</v>
      </c>
      <c r="C88" s="27" t="s">
        <v>788</v>
      </c>
      <c r="D88" s="27" t="s">
        <v>205</v>
      </c>
      <c r="E88" s="28">
        <v>1755</v>
      </c>
      <c r="F88" s="29">
        <v>81.8874225</v>
      </c>
      <c r="G88" s="30">
        <v>8.8783000000000004E-3</v>
      </c>
      <c r="H88" s="25" t="s">
        <v>148</v>
      </c>
    </row>
    <row r="89" spans="1:8" x14ac:dyDescent="0.2">
      <c r="A89" s="26">
        <v>83</v>
      </c>
      <c r="B89" s="27" t="s">
        <v>346</v>
      </c>
      <c r="C89" s="27" t="s">
        <v>347</v>
      </c>
      <c r="D89" s="27" t="s">
        <v>28</v>
      </c>
      <c r="E89" s="28">
        <v>41504</v>
      </c>
      <c r="F89" s="29">
        <v>81.791932799999998</v>
      </c>
      <c r="G89" s="30">
        <v>8.8679399999999995E-3</v>
      </c>
      <c r="H89" s="25" t="s">
        <v>148</v>
      </c>
    </row>
    <row r="90" spans="1:8" x14ac:dyDescent="0.2">
      <c r="A90" s="26">
        <v>84</v>
      </c>
      <c r="B90" s="27" t="s">
        <v>34</v>
      </c>
      <c r="C90" s="27" t="s">
        <v>35</v>
      </c>
      <c r="D90" s="27" t="s">
        <v>16</v>
      </c>
      <c r="E90" s="28">
        <v>34362</v>
      </c>
      <c r="F90" s="29">
        <v>81.541026000000002</v>
      </c>
      <c r="G90" s="30">
        <v>8.8407399999999997E-3</v>
      </c>
      <c r="H90" s="25" t="s">
        <v>148</v>
      </c>
    </row>
    <row r="91" spans="1:8" x14ac:dyDescent="0.2">
      <c r="A91" s="26">
        <v>85</v>
      </c>
      <c r="B91" s="27" t="s">
        <v>92</v>
      </c>
      <c r="C91" s="27" t="s">
        <v>93</v>
      </c>
      <c r="D91" s="27" t="s">
        <v>94</v>
      </c>
      <c r="E91" s="28">
        <v>51901</v>
      </c>
      <c r="F91" s="29">
        <v>80.986320399999997</v>
      </c>
      <c r="G91" s="30">
        <v>8.7805999999999995E-3</v>
      </c>
      <c r="H91" s="25" t="s">
        <v>148</v>
      </c>
    </row>
    <row r="92" spans="1:8" x14ac:dyDescent="0.2">
      <c r="A92" s="26">
        <v>86</v>
      </c>
      <c r="B92" s="27" t="s">
        <v>300</v>
      </c>
      <c r="C92" s="27" t="s">
        <v>301</v>
      </c>
      <c r="D92" s="27" t="s">
        <v>111</v>
      </c>
      <c r="E92" s="28">
        <v>22174</v>
      </c>
      <c r="F92" s="29">
        <v>80.779882000000001</v>
      </c>
      <c r="G92" s="30">
        <v>8.7582200000000006E-3</v>
      </c>
      <c r="H92" s="25" t="s">
        <v>148</v>
      </c>
    </row>
    <row r="93" spans="1:8" x14ac:dyDescent="0.2">
      <c r="A93" s="26">
        <v>87</v>
      </c>
      <c r="B93" s="27" t="s">
        <v>789</v>
      </c>
      <c r="C93" s="27" t="s">
        <v>790</v>
      </c>
      <c r="D93" s="27" t="s">
        <v>69</v>
      </c>
      <c r="E93" s="28">
        <v>299</v>
      </c>
      <c r="F93" s="29">
        <v>79.366560000000007</v>
      </c>
      <c r="G93" s="30">
        <v>8.6049799999999999E-3</v>
      </c>
      <c r="H93" s="25" t="s">
        <v>148</v>
      </c>
    </row>
    <row r="94" spans="1:8" x14ac:dyDescent="0.2">
      <c r="A94" s="26">
        <v>88</v>
      </c>
      <c r="B94" s="27" t="s">
        <v>791</v>
      </c>
      <c r="C94" s="27" t="s">
        <v>792</v>
      </c>
      <c r="D94" s="27" t="s">
        <v>69</v>
      </c>
      <c r="E94" s="28">
        <v>65908</v>
      </c>
      <c r="F94" s="29">
        <v>78.160297200000002</v>
      </c>
      <c r="G94" s="30">
        <v>8.4741999999999994E-3</v>
      </c>
      <c r="H94" s="25" t="s">
        <v>148</v>
      </c>
    </row>
    <row r="95" spans="1:8" x14ac:dyDescent="0.2">
      <c r="A95" s="26">
        <v>89</v>
      </c>
      <c r="B95" s="27" t="s">
        <v>793</v>
      </c>
      <c r="C95" s="27" t="s">
        <v>794</v>
      </c>
      <c r="D95" s="27" t="s">
        <v>111</v>
      </c>
      <c r="E95" s="28">
        <v>69381</v>
      </c>
      <c r="F95" s="29">
        <v>77.998120200000002</v>
      </c>
      <c r="G95" s="30">
        <v>8.4566099999999998E-3</v>
      </c>
      <c r="H95" s="25" t="s">
        <v>148</v>
      </c>
    </row>
    <row r="96" spans="1:8" x14ac:dyDescent="0.2">
      <c r="A96" s="26">
        <v>90</v>
      </c>
      <c r="B96" s="27" t="s">
        <v>638</v>
      </c>
      <c r="C96" s="27" t="s">
        <v>639</v>
      </c>
      <c r="D96" s="27" t="s">
        <v>54</v>
      </c>
      <c r="E96" s="28">
        <v>12242</v>
      </c>
      <c r="F96" s="29">
        <v>77.804030999999995</v>
      </c>
      <c r="G96" s="30">
        <v>8.4355699999999999E-3</v>
      </c>
      <c r="H96" s="25" t="s">
        <v>148</v>
      </c>
    </row>
    <row r="97" spans="1:8" x14ac:dyDescent="0.2">
      <c r="A97" s="26">
        <v>91</v>
      </c>
      <c r="B97" s="27" t="s">
        <v>372</v>
      </c>
      <c r="C97" s="27" t="s">
        <v>373</v>
      </c>
      <c r="D97" s="27" t="s">
        <v>33</v>
      </c>
      <c r="E97" s="28">
        <v>2430</v>
      </c>
      <c r="F97" s="29">
        <v>75.043260000000004</v>
      </c>
      <c r="G97" s="30">
        <v>8.1362499999999994E-3</v>
      </c>
      <c r="H97" s="25" t="s">
        <v>148</v>
      </c>
    </row>
    <row r="98" spans="1:8" x14ac:dyDescent="0.2">
      <c r="A98" s="26">
        <v>92</v>
      </c>
      <c r="B98" s="27" t="s">
        <v>129</v>
      </c>
      <c r="C98" s="27" t="s">
        <v>130</v>
      </c>
      <c r="D98" s="27" t="s">
        <v>42</v>
      </c>
      <c r="E98" s="28">
        <v>41772</v>
      </c>
      <c r="F98" s="29">
        <v>74.842892399999997</v>
      </c>
      <c r="G98" s="30">
        <v>8.1145200000000001E-3</v>
      </c>
      <c r="H98" s="25" t="s">
        <v>148</v>
      </c>
    </row>
    <row r="99" spans="1:8" x14ac:dyDescent="0.2">
      <c r="A99" s="26">
        <v>93</v>
      </c>
      <c r="B99" s="27" t="s">
        <v>795</v>
      </c>
      <c r="C99" s="27" t="s">
        <v>796</v>
      </c>
      <c r="D99" s="27" t="s">
        <v>22</v>
      </c>
      <c r="E99" s="28">
        <v>16075</v>
      </c>
      <c r="F99" s="29">
        <v>74.604074999999995</v>
      </c>
      <c r="G99" s="30">
        <v>8.0886299999999994E-3</v>
      </c>
      <c r="H99" s="25" t="s">
        <v>148</v>
      </c>
    </row>
    <row r="100" spans="1:8" x14ac:dyDescent="0.2">
      <c r="A100" s="26">
        <v>94</v>
      </c>
      <c r="B100" s="27" t="s">
        <v>797</v>
      </c>
      <c r="C100" s="27" t="s">
        <v>798</v>
      </c>
      <c r="D100" s="27" t="s">
        <v>22</v>
      </c>
      <c r="E100" s="28">
        <v>9588</v>
      </c>
      <c r="F100" s="29">
        <v>74.249471999999997</v>
      </c>
      <c r="G100" s="30">
        <v>8.0501800000000005E-3</v>
      </c>
      <c r="H100" s="25" t="s">
        <v>148</v>
      </c>
    </row>
    <row r="101" spans="1:8" x14ac:dyDescent="0.2">
      <c r="A101" s="26">
        <v>95</v>
      </c>
      <c r="B101" s="27" t="s">
        <v>105</v>
      </c>
      <c r="C101" s="27" t="s">
        <v>106</v>
      </c>
      <c r="D101" s="27" t="s">
        <v>42</v>
      </c>
      <c r="E101" s="28">
        <v>1470</v>
      </c>
      <c r="F101" s="29">
        <v>72.550380000000004</v>
      </c>
      <c r="G101" s="30">
        <v>7.8659699999999999E-3</v>
      </c>
      <c r="H101" s="25" t="s">
        <v>148</v>
      </c>
    </row>
    <row r="102" spans="1:8" x14ac:dyDescent="0.2">
      <c r="A102" s="26">
        <v>96</v>
      </c>
      <c r="B102" s="27" t="s">
        <v>227</v>
      </c>
      <c r="C102" s="27" t="s">
        <v>228</v>
      </c>
      <c r="D102" s="27" t="s">
        <v>229</v>
      </c>
      <c r="E102" s="28">
        <v>1463</v>
      </c>
      <c r="F102" s="29">
        <v>70.978176500000004</v>
      </c>
      <c r="G102" s="30">
        <v>7.69551E-3</v>
      </c>
      <c r="H102" s="25" t="s">
        <v>148</v>
      </c>
    </row>
    <row r="103" spans="1:8" x14ac:dyDescent="0.2">
      <c r="A103" s="26">
        <v>97</v>
      </c>
      <c r="B103" s="27" t="s">
        <v>109</v>
      </c>
      <c r="C103" s="27" t="s">
        <v>110</v>
      </c>
      <c r="D103" s="27" t="s">
        <v>111</v>
      </c>
      <c r="E103" s="28">
        <v>19602</v>
      </c>
      <c r="F103" s="29">
        <v>70.626006000000004</v>
      </c>
      <c r="G103" s="30">
        <v>7.6573199999999996E-3</v>
      </c>
      <c r="H103" s="25" t="s">
        <v>148</v>
      </c>
    </row>
    <row r="104" spans="1:8" x14ac:dyDescent="0.2">
      <c r="A104" s="26">
        <v>98</v>
      </c>
      <c r="B104" s="27" t="s">
        <v>360</v>
      </c>
      <c r="C104" s="27" t="s">
        <v>361</v>
      </c>
      <c r="D104" s="27" t="s">
        <v>235</v>
      </c>
      <c r="E104" s="28">
        <v>16116</v>
      </c>
      <c r="F104" s="29">
        <v>70.273818000000006</v>
      </c>
      <c r="G104" s="30">
        <v>7.6191399999999999E-3</v>
      </c>
      <c r="H104" s="25" t="s">
        <v>148</v>
      </c>
    </row>
    <row r="105" spans="1:8" x14ac:dyDescent="0.2">
      <c r="A105" s="26">
        <v>99</v>
      </c>
      <c r="B105" s="27" t="s">
        <v>72</v>
      </c>
      <c r="C105" s="27" t="s">
        <v>73</v>
      </c>
      <c r="D105" s="27" t="s">
        <v>42</v>
      </c>
      <c r="E105" s="28">
        <v>1505</v>
      </c>
      <c r="F105" s="29">
        <v>69.583674999999999</v>
      </c>
      <c r="G105" s="30">
        <v>7.5443100000000003E-3</v>
      </c>
      <c r="H105" s="25" t="s">
        <v>148</v>
      </c>
    </row>
    <row r="106" spans="1:8" x14ac:dyDescent="0.2">
      <c r="A106" s="26">
        <v>100</v>
      </c>
      <c r="B106" s="27" t="s">
        <v>799</v>
      </c>
      <c r="C106" s="27" t="s">
        <v>800</v>
      </c>
      <c r="D106" s="27" t="s">
        <v>111</v>
      </c>
      <c r="E106" s="28">
        <v>32977</v>
      </c>
      <c r="F106" s="29">
        <v>68.463549700000002</v>
      </c>
      <c r="G106" s="30">
        <v>7.4228699999999998E-3</v>
      </c>
      <c r="H106" s="25" t="s">
        <v>148</v>
      </c>
    </row>
    <row r="107" spans="1:8" x14ac:dyDescent="0.2">
      <c r="A107" s="23"/>
      <c r="B107" s="23"/>
      <c r="C107" s="24" t="s">
        <v>147</v>
      </c>
      <c r="D107" s="23"/>
      <c r="E107" s="23" t="s">
        <v>148</v>
      </c>
      <c r="F107" s="31">
        <v>9084.6109505000004</v>
      </c>
      <c r="G107" s="32">
        <v>0.98496032</v>
      </c>
      <c r="H107" s="25" t="s">
        <v>148</v>
      </c>
    </row>
    <row r="108" spans="1:8" x14ac:dyDescent="0.2">
      <c r="A108" s="23"/>
      <c r="B108" s="23"/>
      <c r="C108" s="33"/>
      <c r="D108" s="23"/>
      <c r="E108" s="23"/>
      <c r="F108" s="34"/>
      <c r="G108" s="34"/>
      <c r="H108" s="25" t="s">
        <v>148</v>
      </c>
    </row>
    <row r="109" spans="1:8" x14ac:dyDescent="0.2">
      <c r="A109" s="23"/>
      <c r="B109" s="23"/>
      <c r="C109" s="24" t="s">
        <v>149</v>
      </c>
      <c r="D109" s="23"/>
      <c r="E109" s="23"/>
      <c r="F109" s="23"/>
      <c r="G109" s="23"/>
      <c r="H109" s="25" t="s">
        <v>148</v>
      </c>
    </row>
    <row r="110" spans="1:8" x14ac:dyDescent="0.2">
      <c r="A110" s="23"/>
      <c r="B110" s="23"/>
      <c r="C110" s="24" t="s">
        <v>147</v>
      </c>
      <c r="D110" s="23"/>
      <c r="E110" s="23" t="s">
        <v>148</v>
      </c>
      <c r="F110" s="35" t="s">
        <v>150</v>
      </c>
      <c r="G110" s="32">
        <v>0</v>
      </c>
      <c r="H110" s="25" t="s">
        <v>148</v>
      </c>
    </row>
    <row r="111" spans="1:8" x14ac:dyDescent="0.2">
      <c r="A111" s="23"/>
      <c r="B111" s="23"/>
      <c r="C111" s="33"/>
      <c r="D111" s="23"/>
      <c r="E111" s="23"/>
      <c r="F111" s="34"/>
      <c r="G111" s="34"/>
      <c r="H111" s="25" t="s">
        <v>148</v>
      </c>
    </row>
    <row r="112" spans="1:8" x14ac:dyDescent="0.2">
      <c r="A112" s="23"/>
      <c r="B112" s="23"/>
      <c r="C112" s="24" t="s">
        <v>151</v>
      </c>
      <c r="D112" s="23"/>
      <c r="E112" s="23"/>
      <c r="F112" s="23"/>
      <c r="G112" s="23"/>
      <c r="H112" s="25" t="s">
        <v>148</v>
      </c>
    </row>
    <row r="113" spans="1:8" x14ac:dyDescent="0.2">
      <c r="A113" s="23"/>
      <c r="B113" s="23"/>
      <c r="C113" s="24" t="s">
        <v>147</v>
      </c>
      <c r="D113" s="23"/>
      <c r="E113" s="23" t="s">
        <v>148</v>
      </c>
      <c r="F113" s="35" t="s">
        <v>150</v>
      </c>
      <c r="G113" s="32">
        <v>0</v>
      </c>
      <c r="H113" s="25" t="s">
        <v>148</v>
      </c>
    </row>
    <row r="114" spans="1:8" x14ac:dyDescent="0.2">
      <c r="A114" s="23"/>
      <c r="B114" s="23"/>
      <c r="C114" s="33"/>
      <c r="D114" s="23"/>
      <c r="E114" s="23"/>
      <c r="F114" s="34"/>
      <c r="G114" s="34"/>
      <c r="H114" s="25" t="s">
        <v>148</v>
      </c>
    </row>
    <row r="115" spans="1:8" x14ac:dyDescent="0.2">
      <c r="A115" s="23"/>
      <c r="B115" s="23"/>
      <c r="C115" s="24" t="s">
        <v>152</v>
      </c>
      <c r="D115" s="23"/>
      <c r="E115" s="23"/>
      <c r="F115" s="23"/>
      <c r="G115" s="23"/>
      <c r="H115" s="25" t="s">
        <v>148</v>
      </c>
    </row>
    <row r="116" spans="1:8" x14ac:dyDescent="0.2">
      <c r="A116" s="23"/>
      <c r="B116" s="23"/>
      <c r="C116" s="24" t="s">
        <v>147</v>
      </c>
      <c r="D116" s="23"/>
      <c r="E116" s="23" t="s">
        <v>148</v>
      </c>
      <c r="F116" s="35" t="s">
        <v>150</v>
      </c>
      <c r="G116" s="32">
        <v>0</v>
      </c>
      <c r="H116" s="25" t="s">
        <v>148</v>
      </c>
    </row>
    <row r="117" spans="1:8" x14ac:dyDescent="0.2">
      <c r="A117" s="23"/>
      <c r="B117" s="23"/>
      <c r="C117" s="33"/>
      <c r="D117" s="23"/>
      <c r="E117" s="23"/>
      <c r="F117" s="34"/>
      <c r="G117" s="34"/>
      <c r="H117" s="25" t="s">
        <v>148</v>
      </c>
    </row>
    <row r="118" spans="1:8" x14ac:dyDescent="0.2">
      <c r="A118" s="23"/>
      <c r="B118" s="23"/>
      <c r="C118" s="24" t="s">
        <v>153</v>
      </c>
      <c r="D118" s="23"/>
      <c r="E118" s="23"/>
      <c r="F118" s="34"/>
      <c r="G118" s="34"/>
      <c r="H118" s="25" t="s">
        <v>148</v>
      </c>
    </row>
    <row r="119" spans="1:8" x14ac:dyDescent="0.2">
      <c r="A119" s="23"/>
      <c r="B119" s="23"/>
      <c r="C119" s="24" t="s">
        <v>147</v>
      </c>
      <c r="D119" s="23"/>
      <c r="E119" s="23" t="s">
        <v>148</v>
      </c>
      <c r="F119" s="35" t="s">
        <v>150</v>
      </c>
      <c r="G119" s="32">
        <v>0</v>
      </c>
      <c r="H119" s="25" t="s">
        <v>148</v>
      </c>
    </row>
    <row r="120" spans="1:8" x14ac:dyDescent="0.2">
      <c r="A120" s="23"/>
      <c r="B120" s="23"/>
      <c r="C120" s="33"/>
      <c r="D120" s="23"/>
      <c r="E120" s="23"/>
      <c r="F120" s="34"/>
      <c r="G120" s="34"/>
      <c r="H120" s="25" t="s">
        <v>148</v>
      </c>
    </row>
    <row r="121" spans="1:8" x14ac:dyDescent="0.2">
      <c r="A121" s="23"/>
      <c r="B121" s="23"/>
      <c r="C121" s="24" t="s">
        <v>154</v>
      </c>
      <c r="D121" s="23"/>
      <c r="E121" s="23"/>
      <c r="F121" s="34"/>
      <c r="G121" s="34"/>
      <c r="H121" s="25" t="s">
        <v>148</v>
      </c>
    </row>
    <row r="122" spans="1:8" x14ac:dyDescent="0.2">
      <c r="A122" s="23"/>
      <c r="B122" s="23"/>
      <c r="C122" s="24" t="s">
        <v>147</v>
      </c>
      <c r="D122" s="23"/>
      <c r="E122" s="23" t="s">
        <v>148</v>
      </c>
      <c r="F122" s="35" t="s">
        <v>150</v>
      </c>
      <c r="G122" s="32">
        <v>0</v>
      </c>
      <c r="H122" s="25" t="s">
        <v>148</v>
      </c>
    </row>
    <row r="123" spans="1:8" x14ac:dyDescent="0.2">
      <c r="A123" s="23"/>
      <c r="B123" s="23"/>
      <c r="C123" s="33"/>
      <c r="D123" s="23"/>
      <c r="E123" s="23"/>
      <c r="F123" s="34"/>
      <c r="G123" s="34"/>
      <c r="H123" s="25" t="s">
        <v>148</v>
      </c>
    </row>
    <row r="124" spans="1:8" x14ac:dyDescent="0.2">
      <c r="A124" s="23"/>
      <c r="B124" s="23"/>
      <c r="C124" s="24" t="s">
        <v>155</v>
      </c>
      <c r="D124" s="23"/>
      <c r="E124" s="23"/>
      <c r="F124" s="31">
        <v>9084.6109505000004</v>
      </c>
      <c r="G124" s="32">
        <v>0.98496032</v>
      </c>
      <c r="H124" s="25" t="s">
        <v>148</v>
      </c>
    </row>
    <row r="125" spans="1:8" x14ac:dyDescent="0.2">
      <c r="A125" s="23"/>
      <c r="B125" s="23"/>
      <c r="C125" s="33"/>
      <c r="D125" s="23"/>
      <c r="E125" s="23"/>
      <c r="F125" s="34"/>
      <c r="G125" s="34"/>
      <c r="H125" s="25" t="s">
        <v>148</v>
      </c>
    </row>
    <row r="126" spans="1:8" x14ac:dyDescent="0.2">
      <c r="A126" s="23"/>
      <c r="B126" s="23"/>
      <c r="C126" s="24" t="s">
        <v>156</v>
      </c>
      <c r="D126" s="23"/>
      <c r="E126" s="23"/>
      <c r="F126" s="34"/>
      <c r="G126" s="34"/>
      <c r="H126" s="25" t="s">
        <v>148</v>
      </c>
    </row>
    <row r="127" spans="1:8" x14ac:dyDescent="0.2">
      <c r="A127" s="23"/>
      <c r="B127" s="23"/>
      <c r="C127" s="24" t="s">
        <v>10</v>
      </c>
      <c r="D127" s="23"/>
      <c r="E127" s="23"/>
      <c r="F127" s="34"/>
      <c r="G127" s="34"/>
      <c r="H127" s="25" t="s">
        <v>148</v>
      </c>
    </row>
    <row r="128" spans="1:8" x14ac:dyDescent="0.2">
      <c r="A128" s="23"/>
      <c r="B128" s="23"/>
      <c r="C128" s="24" t="s">
        <v>147</v>
      </c>
      <c r="D128" s="23"/>
      <c r="E128" s="23" t="s">
        <v>148</v>
      </c>
      <c r="F128" s="35" t="s">
        <v>150</v>
      </c>
      <c r="G128" s="32">
        <v>0</v>
      </c>
      <c r="H128" s="25" t="s">
        <v>148</v>
      </c>
    </row>
    <row r="129" spans="1:8" x14ac:dyDescent="0.2">
      <c r="A129" s="23"/>
      <c r="B129" s="23"/>
      <c r="C129" s="33"/>
      <c r="D129" s="23"/>
      <c r="E129" s="23"/>
      <c r="F129" s="34"/>
      <c r="G129" s="34"/>
      <c r="H129" s="25" t="s">
        <v>148</v>
      </c>
    </row>
    <row r="130" spans="1:8" x14ac:dyDescent="0.2">
      <c r="A130" s="23"/>
      <c r="B130" s="23"/>
      <c r="C130" s="24" t="s">
        <v>157</v>
      </c>
      <c r="D130" s="23"/>
      <c r="E130" s="23"/>
      <c r="F130" s="23"/>
      <c r="G130" s="23"/>
      <c r="H130" s="25" t="s">
        <v>148</v>
      </c>
    </row>
    <row r="131" spans="1:8" x14ac:dyDescent="0.2">
      <c r="A131" s="23"/>
      <c r="B131" s="23"/>
      <c r="C131" s="24" t="s">
        <v>147</v>
      </c>
      <c r="D131" s="23"/>
      <c r="E131" s="23" t="s">
        <v>148</v>
      </c>
      <c r="F131" s="35" t="s">
        <v>150</v>
      </c>
      <c r="G131" s="32">
        <v>0</v>
      </c>
      <c r="H131" s="25" t="s">
        <v>148</v>
      </c>
    </row>
    <row r="132" spans="1:8" x14ac:dyDescent="0.2">
      <c r="A132" s="23"/>
      <c r="B132" s="23"/>
      <c r="C132" s="33"/>
      <c r="D132" s="23"/>
      <c r="E132" s="23"/>
      <c r="F132" s="34"/>
      <c r="G132" s="34"/>
      <c r="H132" s="25" t="s">
        <v>148</v>
      </c>
    </row>
    <row r="133" spans="1:8" x14ac:dyDescent="0.2">
      <c r="A133" s="23"/>
      <c r="B133" s="23"/>
      <c r="C133" s="24" t="s">
        <v>158</v>
      </c>
      <c r="D133" s="23"/>
      <c r="E133" s="23"/>
      <c r="F133" s="23"/>
      <c r="G133" s="23"/>
      <c r="H133" s="25" t="s">
        <v>148</v>
      </c>
    </row>
    <row r="134" spans="1:8" x14ac:dyDescent="0.2">
      <c r="A134" s="23"/>
      <c r="B134" s="23"/>
      <c r="C134" s="24" t="s">
        <v>147</v>
      </c>
      <c r="D134" s="23"/>
      <c r="E134" s="23" t="s">
        <v>148</v>
      </c>
      <c r="F134" s="35" t="s">
        <v>150</v>
      </c>
      <c r="G134" s="32">
        <v>0</v>
      </c>
      <c r="H134" s="25" t="s">
        <v>148</v>
      </c>
    </row>
    <row r="135" spans="1:8" x14ac:dyDescent="0.2">
      <c r="A135" s="23"/>
      <c r="B135" s="23"/>
      <c r="C135" s="33"/>
      <c r="D135" s="23"/>
      <c r="E135" s="23"/>
      <c r="F135" s="34"/>
      <c r="G135" s="34"/>
      <c r="H135" s="25" t="s">
        <v>148</v>
      </c>
    </row>
    <row r="136" spans="1:8" x14ac:dyDescent="0.2">
      <c r="A136" s="23"/>
      <c r="B136" s="23"/>
      <c r="C136" s="24" t="s">
        <v>159</v>
      </c>
      <c r="D136" s="23"/>
      <c r="E136" s="23"/>
      <c r="F136" s="34"/>
      <c r="G136" s="34"/>
      <c r="H136" s="25" t="s">
        <v>148</v>
      </c>
    </row>
    <row r="137" spans="1:8" x14ac:dyDescent="0.2">
      <c r="A137" s="23"/>
      <c r="B137" s="23"/>
      <c r="C137" s="24" t="s">
        <v>147</v>
      </c>
      <c r="D137" s="23"/>
      <c r="E137" s="23" t="s">
        <v>148</v>
      </c>
      <c r="F137" s="35" t="s">
        <v>150</v>
      </c>
      <c r="G137" s="32">
        <v>0</v>
      </c>
      <c r="H137" s="25" t="s">
        <v>148</v>
      </c>
    </row>
    <row r="138" spans="1:8" x14ac:dyDescent="0.2">
      <c r="A138" s="23"/>
      <c r="B138" s="23"/>
      <c r="C138" s="33"/>
      <c r="D138" s="23"/>
      <c r="E138" s="23"/>
      <c r="F138" s="34"/>
      <c r="G138" s="34"/>
      <c r="H138" s="25" t="s">
        <v>148</v>
      </c>
    </row>
    <row r="139" spans="1:8" x14ac:dyDescent="0.2">
      <c r="A139" s="23"/>
      <c r="B139" s="23"/>
      <c r="C139" s="24" t="s">
        <v>160</v>
      </c>
      <c r="D139" s="23"/>
      <c r="E139" s="23"/>
      <c r="F139" s="31">
        <v>0</v>
      </c>
      <c r="G139" s="32">
        <v>0</v>
      </c>
      <c r="H139" s="25" t="s">
        <v>148</v>
      </c>
    </row>
    <row r="140" spans="1:8" x14ac:dyDescent="0.2">
      <c r="A140" s="23"/>
      <c r="B140" s="23"/>
      <c r="C140" s="33"/>
      <c r="D140" s="23"/>
      <c r="E140" s="23"/>
      <c r="F140" s="34"/>
      <c r="G140" s="34"/>
      <c r="H140" s="25" t="s">
        <v>148</v>
      </c>
    </row>
    <row r="141" spans="1:8" x14ac:dyDescent="0.2">
      <c r="A141" s="23"/>
      <c r="B141" s="23"/>
      <c r="C141" s="24" t="s">
        <v>161</v>
      </c>
      <c r="D141" s="23"/>
      <c r="E141" s="23"/>
      <c r="F141" s="34"/>
      <c r="G141" s="34"/>
      <c r="H141" s="25" t="s">
        <v>148</v>
      </c>
    </row>
    <row r="142" spans="1:8" x14ac:dyDescent="0.2">
      <c r="A142" s="23"/>
      <c r="B142" s="23"/>
      <c r="C142" s="24" t="s">
        <v>162</v>
      </c>
      <c r="D142" s="23"/>
      <c r="E142" s="23"/>
      <c r="F142" s="34"/>
      <c r="G142" s="34"/>
      <c r="H142" s="25" t="s">
        <v>148</v>
      </c>
    </row>
    <row r="143" spans="1:8" x14ac:dyDescent="0.2">
      <c r="A143" s="23"/>
      <c r="B143" s="23"/>
      <c r="C143" s="24" t="s">
        <v>147</v>
      </c>
      <c r="D143" s="23"/>
      <c r="E143" s="23" t="s">
        <v>148</v>
      </c>
      <c r="F143" s="35" t="s">
        <v>150</v>
      </c>
      <c r="G143" s="32">
        <v>0</v>
      </c>
      <c r="H143" s="25" t="s">
        <v>148</v>
      </c>
    </row>
    <row r="144" spans="1:8" x14ac:dyDescent="0.2">
      <c r="A144" s="23"/>
      <c r="B144" s="23"/>
      <c r="C144" s="33"/>
      <c r="D144" s="23"/>
      <c r="E144" s="23"/>
      <c r="F144" s="34"/>
      <c r="G144" s="34"/>
      <c r="H144" s="25" t="s">
        <v>148</v>
      </c>
    </row>
    <row r="145" spans="1:8" x14ac:dyDescent="0.2">
      <c r="A145" s="23"/>
      <c r="B145" s="23"/>
      <c r="C145" s="24" t="s">
        <v>163</v>
      </c>
      <c r="D145" s="23"/>
      <c r="E145" s="23"/>
      <c r="F145" s="34"/>
      <c r="G145" s="34"/>
      <c r="H145" s="25" t="s">
        <v>148</v>
      </c>
    </row>
    <row r="146" spans="1:8" x14ac:dyDescent="0.2">
      <c r="A146" s="23"/>
      <c r="B146" s="23"/>
      <c r="C146" s="24" t="s">
        <v>147</v>
      </c>
      <c r="D146" s="23"/>
      <c r="E146" s="23" t="s">
        <v>148</v>
      </c>
      <c r="F146" s="35" t="s">
        <v>150</v>
      </c>
      <c r="G146" s="32">
        <v>0</v>
      </c>
      <c r="H146" s="25" t="s">
        <v>148</v>
      </c>
    </row>
    <row r="147" spans="1:8" x14ac:dyDescent="0.2">
      <c r="A147" s="23"/>
      <c r="B147" s="23"/>
      <c r="C147" s="33"/>
      <c r="D147" s="23"/>
      <c r="E147" s="23"/>
      <c r="F147" s="34"/>
      <c r="G147" s="34"/>
      <c r="H147" s="25" t="s">
        <v>148</v>
      </c>
    </row>
    <row r="148" spans="1:8" x14ac:dyDescent="0.2">
      <c r="A148" s="23"/>
      <c r="B148" s="23"/>
      <c r="C148" s="24" t="s">
        <v>164</v>
      </c>
      <c r="D148" s="23"/>
      <c r="E148" s="23"/>
      <c r="F148" s="34"/>
      <c r="G148" s="34"/>
      <c r="H148" s="25" t="s">
        <v>148</v>
      </c>
    </row>
    <row r="149" spans="1:8" x14ac:dyDescent="0.2">
      <c r="A149" s="23"/>
      <c r="B149" s="23"/>
      <c r="C149" s="24" t="s">
        <v>147</v>
      </c>
      <c r="D149" s="23"/>
      <c r="E149" s="23" t="s">
        <v>148</v>
      </c>
      <c r="F149" s="35" t="s">
        <v>150</v>
      </c>
      <c r="G149" s="32">
        <v>0</v>
      </c>
      <c r="H149" s="25" t="s">
        <v>148</v>
      </c>
    </row>
    <row r="150" spans="1:8" x14ac:dyDescent="0.2">
      <c r="A150" s="23"/>
      <c r="B150" s="23"/>
      <c r="C150" s="33"/>
      <c r="D150" s="23"/>
      <c r="E150" s="23"/>
      <c r="F150" s="34"/>
      <c r="G150" s="34"/>
      <c r="H150" s="25" t="s">
        <v>148</v>
      </c>
    </row>
    <row r="151" spans="1:8" x14ac:dyDescent="0.2">
      <c r="A151" s="23"/>
      <c r="B151" s="23"/>
      <c r="C151" s="24" t="s">
        <v>165</v>
      </c>
      <c r="D151" s="23"/>
      <c r="E151" s="23"/>
      <c r="F151" s="34"/>
      <c r="G151" s="34"/>
      <c r="H151" s="25" t="s">
        <v>148</v>
      </c>
    </row>
    <row r="152" spans="1:8" x14ac:dyDescent="0.2">
      <c r="A152" s="26">
        <v>1</v>
      </c>
      <c r="B152" s="27"/>
      <c r="C152" s="27" t="s">
        <v>166</v>
      </c>
      <c r="D152" s="27"/>
      <c r="E152" s="36"/>
      <c r="F152" s="29">
        <v>175.14898689899999</v>
      </c>
      <c r="G152" s="30">
        <v>1.8989780000000001E-2</v>
      </c>
      <c r="H152" s="25">
        <v>6.23</v>
      </c>
    </row>
    <row r="153" spans="1:8" x14ac:dyDescent="0.2">
      <c r="A153" s="23"/>
      <c r="B153" s="23"/>
      <c r="C153" s="24" t="s">
        <v>147</v>
      </c>
      <c r="D153" s="23"/>
      <c r="E153" s="23" t="s">
        <v>148</v>
      </c>
      <c r="F153" s="31">
        <v>175.14898689899999</v>
      </c>
      <c r="G153" s="32">
        <v>1.8989780000000001E-2</v>
      </c>
      <c r="H153" s="25" t="s">
        <v>148</v>
      </c>
    </row>
    <row r="154" spans="1:8" x14ac:dyDescent="0.2">
      <c r="A154" s="23"/>
      <c r="B154" s="23"/>
      <c r="C154" s="33"/>
      <c r="D154" s="23"/>
      <c r="E154" s="23"/>
      <c r="F154" s="34"/>
      <c r="G154" s="34"/>
      <c r="H154" s="25" t="s">
        <v>148</v>
      </c>
    </row>
    <row r="155" spans="1:8" x14ac:dyDescent="0.2">
      <c r="A155" s="23"/>
      <c r="B155" s="23"/>
      <c r="C155" s="24" t="s">
        <v>167</v>
      </c>
      <c r="D155" s="23"/>
      <c r="E155" s="23"/>
      <c r="F155" s="31">
        <v>175.14898689899999</v>
      </c>
      <c r="G155" s="32">
        <v>1.8989780000000001E-2</v>
      </c>
      <c r="H155" s="25" t="s">
        <v>148</v>
      </c>
    </row>
    <row r="156" spans="1:8" x14ac:dyDescent="0.2">
      <c r="A156" s="23"/>
      <c r="B156" s="23"/>
      <c r="C156" s="34"/>
      <c r="D156" s="23"/>
      <c r="E156" s="23"/>
      <c r="F156" s="23"/>
      <c r="G156" s="23"/>
      <c r="H156" s="25" t="s">
        <v>148</v>
      </c>
    </row>
    <row r="157" spans="1:8" x14ac:dyDescent="0.2">
      <c r="A157" s="23"/>
      <c r="B157" s="23"/>
      <c r="C157" s="24" t="s">
        <v>168</v>
      </c>
      <c r="D157" s="23"/>
      <c r="E157" s="23"/>
      <c r="F157" s="23"/>
      <c r="G157" s="23"/>
      <c r="H157" s="25" t="s">
        <v>148</v>
      </c>
    </row>
    <row r="158" spans="1:8" x14ac:dyDescent="0.2">
      <c r="A158" s="23"/>
      <c r="B158" s="23"/>
      <c r="C158" s="24" t="s">
        <v>169</v>
      </c>
      <c r="D158" s="23"/>
      <c r="E158" s="23"/>
      <c r="F158" s="23"/>
      <c r="G158" s="23"/>
      <c r="H158" s="25" t="s">
        <v>148</v>
      </c>
    </row>
    <row r="159" spans="1:8" x14ac:dyDescent="0.2">
      <c r="A159" s="23"/>
      <c r="B159" s="23"/>
      <c r="C159" s="24" t="s">
        <v>147</v>
      </c>
      <c r="D159" s="23"/>
      <c r="E159" s="23" t="s">
        <v>148</v>
      </c>
      <c r="F159" s="35" t="s">
        <v>150</v>
      </c>
      <c r="G159" s="32">
        <v>0</v>
      </c>
      <c r="H159" s="25" t="s">
        <v>148</v>
      </c>
    </row>
    <row r="160" spans="1:8" x14ac:dyDescent="0.2">
      <c r="A160" s="23"/>
      <c r="B160" s="23"/>
      <c r="C160" s="33"/>
      <c r="D160" s="23"/>
      <c r="E160" s="23"/>
      <c r="F160" s="34"/>
      <c r="G160" s="34"/>
      <c r="H160" s="25" t="s">
        <v>148</v>
      </c>
    </row>
    <row r="161" spans="1:17" x14ac:dyDescent="0.2">
      <c r="A161" s="23"/>
      <c r="B161" s="23"/>
      <c r="C161" s="24" t="s">
        <v>172</v>
      </c>
      <c r="D161" s="23"/>
      <c r="E161" s="23"/>
      <c r="F161" s="23"/>
      <c r="G161" s="23"/>
      <c r="H161" s="25" t="s">
        <v>148</v>
      </c>
    </row>
    <row r="162" spans="1:17" x14ac:dyDescent="0.2">
      <c r="A162" s="23"/>
      <c r="B162" s="23"/>
      <c r="C162" s="24" t="s">
        <v>173</v>
      </c>
      <c r="D162" s="23"/>
      <c r="E162" s="23"/>
      <c r="F162" s="23"/>
      <c r="G162" s="23"/>
      <c r="H162" s="25" t="s">
        <v>148</v>
      </c>
    </row>
    <row r="163" spans="1:17" x14ac:dyDescent="0.2">
      <c r="A163" s="23"/>
      <c r="B163" s="23"/>
      <c r="C163" s="24" t="s">
        <v>147</v>
      </c>
      <c r="D163" s="23"/>
      <c r="E163" s="23" t="s">
        <v>148</v>
      </c>
      <c r="F163" s="35" t="s">
        <v>150</v>
      </c>
      <c r="G163" s="32">
        <v>0</v>
      </c>
      <c r="H163" s="25" t="s">
        <v>148</v>
      </c>
    </row>
    <row r="164" spans="1:17" x14ac:dyDescent="0.2">
      <c r="A164" s="23"/>
      <c r="B164" s="23"/>
      <c r="C164" s="33"/>
      <c r="D164" s="23"/>
      <c r="E164" s="23"/>
      <c r="F164" s="34"/>
      <c r="G164" s="34"/>
      <c r="H164" s="25" t="s">
        <v>148</v>
      </c>
    </row>
    <row r="165" spans="1:17" x14ac:dyDescent="0.2">
      <c r="A165" s="23"/>
      <c r="B165" s="23"/>
      <c r="C165" s="24" t="s">
        <v>174</v>
      </c>
      <c r="D165" s="23"/>
      <c r="E165" s="23"/>
      <c r="F165" s="34"/>
      <c r="G165" s="34"/>
      <c r="H165" s="25" t="s">
        <v>148</v>
      </c>
    </row>
    <row r="166" spans="1:17" x14ac:dyDescent="0.2">
      <c r="A166" s="23"/>
      <c r="B166" s="23"/>
      <c r="C166" s="24" t="s">
        <v>147</v>
      </c>
      <c r="D166" s="23"/>
      <c r="E166" s="23" t="s">
        <v>148</v>
      </c>
      <c r="F166" s="35" t="s">
        <v>150</v>
      </c>
      <c r="G166" s="32">
        <v>0</v>
      </c>
      <c r="H166" s="25" t="s">
        <v>148</v>
      </c>
    </row>
    <row r="167" spans="1:17" x14ac:dyDescent="0.2">
      <c r="A167" s="23"/>
      <c r="B167" s="27"/>
      <c r="C167" s="27"/>
      <c r="D167" s="24"/>
      <c r="E167" s="23"/>
      <c r="F167" s="27"/>
      <c r="G167" s="36"/>
      <c r="H167" s="25" t="s">
        <v>148</v>
      </c>
    </row>
    <row r="168" spans="1:17" x14ac:dyDescent="0.2">
      <c r="A168" s="36"/>
      <c r="B168" s="27"/>
      <c r="C168" s="27" t="s">
        <v>175</v>
      </c>
      <c r="D168" s="27"/>
      <c r="E168" s="36"/>
      <c r="F168" s="29">
        <v>-36.432320140000002</v>
      </c>
      <c r="G168" s="30">
        <v>-3.9500200000000003E-3</v>
      </c>
      <c r="H168" s="25" t="s">
        <v>148</v>
      </c>
    </row>
    <row r="169" spans="1:17" x14ac:dyDescent="0.2">
      <c r="A169" s="33"/>
      <c r="B169" s="33"/>
      <c r="C169" s="24" t="s">
        <v>176</v>
      </c>
      <c r="D169" s="34"/>
      <c r="E169" s="34"/>
      <c r="F169" s="31">
        <v>9223.3276172589995</v>
      </c>
      <c r="G169" s="39">
        <v>1.00000008</v>
      </c>
      <c r="H169" s="25" t="s">
        <v>148</v>
      </c>
    </row>
    <row r="170" spans="1:17" x14ac:dyDescent="0.2">
      <c r="A170" s="40"/>
      <c r="B170" s="40"/>
      <c r="C170" s="40"/>
      <c r="D170" s="41"/>
      <c r="E170" s="41"/>
      <c r="F170" s="41"/>
      <c r="G170" s="41"/>
    </row>
    <row r="171" spans="1:17" x14ac:dyDescent="0.2">
      <c r="A171" s="42"/>
      <c r="B171" s="237" t="s">
        <v>891</v>
      </c>
      <c r="C171" s="237"/>
      <c r="D171" s="237"/>
      <c r="E171" s="237"/>
      <c r="F171" s="237"/>
      <c r="G171" s="237"/>
      <c r="H171" s="237"/>
      <c r="J171" s="44"/>
    </row>
    <row r="172" spans="1:17" x14ac:dyDescent="0.2">
      <c r="A172" s="42"/>
      <c r="B172" s="237" t="s">
        <v>892</v>
      </c>
      <c r="C172" s="237"/>
      <c r="D172" s="237"/>
      <c r="E172" s="237"/>
      <c r="F172" s="237"/>
      <c r="G172" s="237"/>
      <c r="H172" s="237"/>
      <c r="J172" s="44"/>
    </row>
    <row r="173" spans="1:17" x14ac:dyDescent="0.2">
      <c r="A173" s="42"/>
      <c r="B173" s="237" t="s">
        <v>893</v>
      </c>
      <c r="C173" s="237"/>
      <c r="D173" s="237"/>
      <c r="E173" s="237"/>
      <c r="F173" s="237"/>
      <c r="G173" s="237"/>
      <c r="H173" s="237"/>
      <c r="J173" s="44"/>
    </row>
    <row r="174" spans="1:17" s="46" customFormat="1" ht="66.75" customHeight="1" x14ac:dyDescent="0.25">
      <c r="A174" s="45"/>
      <c r="B174" s="239" t="s">
        <v>894</v>
      </c>
      <c r="C174" s="239"/>
      <c r="D174" s="239"/>
      <c r="E174" s="239"/>
      <c r="F174" s="239"/>
      <c r="G174" s="239"/>
      <c r="H174" s="239"/>
      <c r="I174"/>
      <c r="J174" s="44"/>
      <c r="K174"/>
      <c r="L174"/>
      <c r="M174"/>
      <c r="N174"/>
      <c r="O174"/>
      <c r="P174"/>
      <c r="Q174"/>
    </row>
    <row r="175" spans="1:17" x14ac:dyDescent="0.2">
      <c r="A175" s="42"/>
      <c r="B175" s="237" t="s">
        <v>895</v>
      </c>
      <c r="C175" s="237"/>
      <c r="D175" s="237"/>
      <c r="E175" s="237"/>
      <c r="F175" s="237"/>
      <c r="G175" s="237"/>
      <c r="H175" s="237"/>
      <c r="J175" s="44"/>
    </row>
    <row r="176" spans="1:17" x14ac:dyDescent="0.2">
      <c r="A176" s="47"/>
      <c r="B176" s="47"/>
      <c r="C176" s="47"/>
      <c r="D176" s="48"/>
      <c r="E176" s="48"/>
      <c r="F176" s="48"/>
      <c r="G176" s="48"/>
    </row>
    <row r="177" spans="1:10" x14ac:dyDescent="0.2">
      <c r="A177" s="47"/>
      <c r="B177" s="234" t="s">
        <v>177</v>
      </c>
      <c r="C177" s="235"/>
      <c r="D177" s="236"/>
      <c r="E177" s="49"/>
      <c r="F177" s="48"/>
      <c r="G177" s="48"/>
    </row>
    <row r="178" spans="1:10" x14ac:dyDescent="0.2">
      <c r="A178" s="47"/>
      <c r="B178" s="232" t="s">
        <v>178</v>
      </c>
      <c r="C178" s="233"/>
      <c r="D178" s="24" t="s">
        <v>179</v>
      </c>
      <c r="E178" s="49"/>
      <c r="F178" s="48"/>
      <c r="G178" s="48"/>
    </row>
    <row r="179" spans="1:10" ht="12.75" customHeight="1" x14ac:dyDescent="0.2">
      <c r="A179" s="47"/>
      <c r="B179" s="240" t="s">
        <v>897</v>
      </c>
      <c r="C179" s="241"/>
      <c r="D179" s="24" t="s">
        <v>179</v>
      </c>
      <c r="E179" s="49"/>
      <c r="F179" s="48"/>
      <c r="G179" s="48"/>
    </row>
    <row r="180" spans="1:10" x14ac:dyDescent="0.2">
      <c r="A180" s="47"/>
      <c r="B180" s="232" t="s">
        <v>181</v>
      </c>
      <c r="C180" s="233"/>
      <c r="D180" s="34" t="s">
        <v>148</v>
      </c>
      <c r="E180" s="49"/>
      <c r="F180" s="48"/>
      <c r="G180" s="48"/>
    </row>
    <row r="181" spans="1:10" x14ac:dyDescent="0.2">
      <c r="A181" s="50"/>
      <c r="B181" s="51" t="s">
        <v>148</v>
      </c>
      <c r="C181" s="51" t="s">
        <v>896</v>
      </c>
      <c r="D181" s="51" t="s">
        <v>182</v>
      </c>
      <c r="E181" s="50"/>
      <c r="F181" s="50"/>
      <c r="G181" s="50"/>
      <c r="H181" s="50"/>
      <c r="J181" s="44"/>
    </row>
    <row r="182" spans="1:10" x14ac:dyDescent="0.2">
      <c r="A182" s="50"/>
      <c r="B182" s="52" t="s">
        <v>183</v>
      </c>
      <c r="C182" s="53">
        <v>45688</v>
      </c>
      <c r="D182" s="53">
        <v>45716</v>
      </c>
      <c r="E182" s="50"/>
      <c r="F182" s="50"/>
      <c r="G182" s="50"/>
      <c r="J182" s="44"/>
    </row>
    <row r="183" spans="1:10" x14ac:dyDescent="0.2">
      <c r="A183" s="54"/>
      <c r="B183" s="27" t="s">
        <v>184</v>
      </c>
      <c r="C183" s="55">
        <v>170.03819999999999</v>
      </c>
      <c r="D183" s="55">
        <v>156.31960000000001</v>
      </c>
      <c r="E183" s="54"/>
      <c r="F183" s="56"/>
      <c r="G183" s="57"/>
    </row>
    <row r="184" spans="1:10" x14ac:dyDescent="0.2">
      <c r="A184" s="54"/>
      <c r="B184" s="27" t="s">
        <v>1070</v>
      </c>
      <c r="C184" s="55">
        <v>80.1678</v>
      </c>
      <c r="D184" s="55">
        <v>73.6999</v>
      </c>
      <c r="E184" s="54"/>
      <c r="F184" s="56"/>
      <c r="G184" s="57"/>
    </row>
    <row r="185" spans="1:10" x14ac:dyDescent="0.2">
      <c r="A185" s="54"/>
      <c r="B185" s="27" t="s">
        <v>186</v>
      </c>
      <c r="C185" s="55">
        <v>161.79040000000001</v>
      </c>
      <c r="D185" s="55">
        <v>148.6737</v>
      </c>
      <c r="E185" s="54"/>
      <c r="F185" s="56"/>
      <c r="G185" s="57"/>
    </row>
    <row r="186" spans="1:10" x14ac:dyDescent="0.2">
      <c r="A186" s="54"/>
      <c r="B186" s="27" t="s">
        <v>1071</v>
      </c>
      <c r="C186" s="55">
        <v>76.281000000000006</v>
      </c>
      <c r="D186" s="55">
        <v>70.096800000000002</v>
      </c>
      <c r="E186" s="54"/>
      <c r="F186" s="56"/>
      <c r="G186" s="57"/>
    </row>
    <row r="187" spans="1:10" x14ac:dyDescent="0.2">
      <c r="A187" s="54"/>
      <c r="B187" s="54"/>
      <c r="C187" s="54"/>
      <c r="D187" s="54"/>
      <c r="E187" s="54"/>
      <c r="F187" s="54"/>
      <c r="G187" s="54"/>
    </row>
    <row r="188" spans="1:10" x14ac:dyDescent="0.2">
      <c r="A188" s="50"/>
      <c r="B188" s="240" t="s">
        <v>898</v>
      </c>
      <c r="C188" s="241"/>
      <c r="D188" s="58" t="s">
        <v>179</v>
      </c>
      <c r="E188" s="50"/>
      <c r="F188" s="50"/>
      <c r="G188" s="50"/>
    </row>
    <row r="189" spans="1:10" x14ac:dyDescent="0.2">
      <c r="A189" s="50"/>
      <c r="B189" s="59"/>
      <c r="C189" s="59"/>
      <c r="D189" s="59"/>
      <c r="E189" s="50"/>
      <c r="F189" s="50"/>
      <c r="G189" s="50"/>
    </row>
    <row r="190" spans="1:10" x14ac:dyDescent="0.2">
      <c r="A190" s="50"/>
      <c r="B190" s="240" t="s">
        <v>188</v>
      </c>
      <c r="C190" s="241"/>
      <c r="D190" s="58" t="s">
        <v>179</v>
      </c>
      <c r="E190" s="60"/>
      <c r="F190" s="50"/>
      <c r="G190" s="50"/>
    </row>
    <row r="191" spans="1:10" x14ac:dyDescent="0.2">
      <c r="A191" s="50"/>
      <c r="B191" s="240" t="s">
        <v>189</v>
      </c>
      <c r="C191" s="241"/>
      <c r="D191" s="58" t="s">
        <v>179</v>
      </c>
      <c r="E191" s="60"/>
      <c r="F191" s="50"/>
      <c r="G191" s="50"/>
    </row>
    <row r="192" spans="1:10" x14ac:dyDescent="0.2">
      <c r="A192" s="50"/>
      <c r="B192" s="240" t="s">
        <v>190</v>
      </c>
      <c r="C192" s="241"/>
      <c r="D192" s="58" t="s">
        <v>179</v>
      </c>
      <c r="E192" s="60"/>
      <c r="F192" s="50"/>
      <c r="G192" s="50"/>
    </row>
    <row r="193" spans="1:10" x14ac:dyDescent="0.2">
      <c r="A193" s="50"/>
      <c r="B193" s="240" t="s">
        <v>191</v>
      </c>
      <c r="C193" s="241"/>
      <c r="D193" s="61">
        <v>0.2702872333910461</v>
      </c>
      <c r="E193" s="50"/>
      <c r="F193" s="43"/>
      <c r="G193" s="62"/>
    </row>
    <row r="195" spans="1:10" x14ac:dyDescent="0.2">
      <c r="B195" s="238" t="s">
        <v>899</v>
      </c>
      <c r="C195" s="238"/>
    </row>
    <row r="197" spans="1:10" ht="153.75" customHeight="1" x14ac:dyDescent="0.2"/>
    <row r="199" spans="1:10" x14ac:dyDescent="0.2">
      <c r="B199" s="68" t="s">
        <v>900</v>
      </c>
      <c r="C199" s="69"/>
      <c r="D199" s="68"/>
    </row>
    <row r="200" spans="1:10" x14ac:dyDescent="0.2">
      <c r="B200" s="68" t="s">
        <v>1041</v>
      </c>
      <c r="D200" s="68"/>
    </row>
    <row r="201" spans="1:10" ht="165" customHeight="1" x14ac:dyDescent="0.2"/>
    <row r="203" spans="1:10" x14ac:dyDescent="0.2">
      <c r="J203" s="22"/>
    </row>
  </sheetData>
  <mergeCells count="18">
    <mergeCell ref="B195:C195"/>
    <mergeCell ref="A3:H3"/>
    <mergeCell ref="A2:H2"/>
    <mergeCell ref="B193:C193"/>
    <mergeCell ref="A1:H1"/>
    <mergeCell ref="B179:C179"/>
    <mergeCell ref="B180:C180"/>
    <mergeCell ref="B188:C188"/>
    <mergeCell ref="B192:C192"/>
    <mergeCell ref="B177:D177"/>
    <mergeCell ref="B178:C178"/>
    <mergeCell ref="B171:H171"/>
    <mergeCell ref="B172:H172"/>
    <mergeCell ref="B173:H173"/>
    <mergeCell ref="B174:H174"/>
    <mergeCell ref="B175:H175"/>
    <mergeCell ref="B190:C190"/>
    <mergeCell ref="B191:C191"/>
  </mergeCells>
  <hyperlinks>
    <hyperlink ref="I1" location="Index!B2" display="Index" xr:uid="{1EE48051-03E9-4F1E-B2EE-6DA6FADED2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CB63-FF95-4AC3-BD36-FC42D4DCD17D}">
  <sheetPr>
    <outlinePr summaryBelow="0" summaryRight="0"/>
  </sheetPr>
  <dimension ref="A1:Q180"/>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801</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644000</v>
      </c>
      <c r="F7" s="29">
        <v>11156.656000000001</v>
      </c>
      <c r="G7" s="30">
        <v>9.2022789999999993E-2</v>
      </c>
      <c r="H7" s="25" t="s">
        <v>148</v>
      </c>
    </row>
    <row r="8" spans="1:9" x14ac:dyDescent="0.2">
      <c r="A8" s="26">
        <v>2</v>
      </c>
      <c r="B8" s="27" t="s">
        <v>26</v>
      </c>
      <c r="C8" s="27" t="s">
        <v>27</v>
      </c>
      <c r="D8" s="27" t="s">
        <v>28</v>
      </c>
      <c r="E8" s="28">
        <v>737000</v>
      </c>
      <c r="F8" s="29">
        <v>8874.2170000000006</v>
      </c>
      <c r="G8" s="30">
        <v>7.319668E-2</v>
      </c>
      <c r="H8" s="25" t="s">
        <v>148</v>
      </c>
    </row>
    <row r="9" spans="1:9" x14ac:dyDescent="0.2">
      <c r="A9" s="26">
        <v>3</v>
      </c>
      <c r="B9" s="27" t="s">
        <v>14</v>
      </c>
      <c r="C9" s="27" t="s">
        <v>15</v>
      </c>
      <c r="D9" s="27" t="s">
        <v>16</v>
      </c>
      <c r="E9" s="28">
        <v>434000</v>
      </c>
      <c r="F9" s="29">
        <v>5208.4340000000002</v>
      </c>
      <c r="G9" s="30">
        <v>4.2960419999999999E-2</v>
      </c>
      <c r="H9" s="25" t="s">
        <v>148</v>
      </c>
    </row>
    <row r="10" spans="1:9" x14ac:dyDescent="0.2">
      <c r="A10" s="26">
        <v>4</v>
      </c>
      <c r="B10" s="27" t="s">
        <v>334</v>
      </c>
      <c r="C10" s="27" t="s">
        <v>335</v>
      </c>
      <c r="D10" s="27" t="s">
        <v>205</v>
      </c>
      <c r="E10" s="28">
        <v>306000</v>
      </c>
      <c r="F10" s="29">
        <v>5164.3620000000001</v>
      </c>
      <c r="G10" s="30">
        <v>4.25969E-2</v>
      </c>
      <c r="H10" s="25" t="s">
        <v>148</v>
      </c>
    </row>
    <row r="11" spans="1:9" x14ac:dyDescent="0.2">
      <c r="A11" s="26">
        <v>5</v>
      </c>
      <c r="B11" s="27" t="s">
        <v>17</v>
      </c>
      <c r="C11" s="27" t="s">
        <v>18</v>
      </c>
      <c r="D11" s="27" t="s">
        <v>19</v>
      </c>
      <c r="E11" s="28">
        <v>134000</v>
      </c>
      <c r="F11" s="29">
        <v>4239.5590000000002</v>
      </c>
      <c r="G11" s="30">
        <v>3.4968909999999999E-2</v>
      </c>
      <c r="H11" s="25" t="s">
        <v>148</v>
      </c>
    </row>
    <row r="12" spans="1:9" x14ac:dyDescent="0.2">
      <c r="A12" s="26">
        <v>6</v>
      </c>
      <c r="B12" s="27" t="s">
        <v>38</v>
      </c>
      <c r="C12" s="27" t="s">
        <v>39</v>
      </c>
      <c r="D12" s="27" t="s">
        <v>28</v>
      </c>
      <c r="E12" s="28">
        <v>532000</v>
      </c>
      <c r="F12" s="29">
        <v>3664.4160000000002</v>
      </c>
      <c r="G12" s="30">
        <v>3.022499E-2</v>
      </c>
      <c r="H12" s="25" t="s">
        <v>148</v>
      </c>
    </row>
    <row r="13" spans="1:9" x14ac:dyDescent="0.2">
      <c r="A13" s="26">
        <v>7</v>
      </c>
      <c r="B13" s="27" t="s">
        <v>336</v>
      </c>
      <c r="C13" s="27" t="s">
        <v>337</v>
      </c>
      <c r="D13" s="27" t="s">
        <v>28</v>
      </c>
      <c r="E13" s="28">
        <v>311000</v>
      </c>
      <c r="F13" s="29">
        <v>3158.3604999999998</v>
      </c>
      <c r="G13" s="30">
        <v>2.6050920000000002E-2</v>
      </c>
      <c r="H13" s="25" t="s">
        <v>148</v>
      </c>
    </row>
    <row r="14" spans="1:9" x14ac:dyDescent="0.2">
      <c r="A14" s="26">
        <v>8</v>
      </c>
      <c r="B14" s="27" t="s">
        <v>62</v>
      </c>
      <c r="C14" s="27" t="s">
        <v>63</v>
      </c>
      <c r="D14" s="27" t="s">
        <v>64</v>
      </c>
      <c r="E14" s="28">
        <v>63000</v>
      </c>
      <c r="F14" s="29">
        <v>2820.6990000000001</v>
      </c>
      <c r="G14" s="30">
        <v>2.3265810000000001E-2</v>
      </c>
      <c r="H14" s="25" t="s">
        <v>148</v>
      </c>
    </row>
    <row r="15" spans="1:9" x14ac:dyDescent="0.2">
      <c r="A15" s="26">
        <v>9</v>
      </c>
      <c r="B15" s="27" t="s">
        <v>23</v>
      </c>
      <c r="C15" s="27" t="s">
        <v>24</v>
      </c>
      <c r="D15" s="27" t="s">
        <v>25</v>
      </c>
      <c r="E15" s="28">
        <v>27000</v>
      </c>
      <c r="F15" s="29">
        <v>2734.6815000000001</v>
      </c>
      <c r="G15" s="30">
        <v>2.255631E-2</v>
      </c>
      <c r="H15" s="25" t="s">
        <v>148</v>
      </c>
    </row>
    <row r="16" spans="1:9" x14ac:dyDescent="0.2">
      <c r="A16" s="26">
        <v>10</v>
      </c>
      <c r="B16" s="27" t="s">
        <v>524</v>
      </c>
      <c r="C16" s="27" t="s">
        <v>525</v>
      </c>
      <c r="D16" s="27" t="s">
        <v>275</v>
      </c>
      <c r="E16" s="28">
        <v>20000</v>
      </c>
      <c r="F16" s="29">
        <v>2389.17</v>
      </c>
      <c r="G16" s="30">
        <v>1.970645E-2</v>
      </c>
      <c r="H16" s="25" t="s">
        <v>148</v>
      </c>
    </row>
    <row r="17" spans="1:8" x14ac:dyDescent="0.2">
      <c r="A17" s="26">
        <v>11</v>
      </c>
      <c r="B17" s="27" t="s">
        <v>348</v>
      </c>
      <c r="C17" s="27" t="s">
        <v>349</v>
      </c>
      <c r="D17" s="27" t="s">
        <v>350</v>
      </c>
      <c r="E17" s="28">
        <v>579000</v>
      </c>
      <c r="F17" s="29">
        <v>2287.0500000000002</v>
      </c>
      <c r="G17" s="30">
        <v>1.8864140000000001E-2</v>
      </c>
      <c r="H17" s="25" t="s">
        <v>148</v>
      </c>
    </row>
    <row r="18" spans="1:8" x14ac:dyDescent="0.2">
      <c r="A18" s="26">
        <v>12</v>
      </c>
      <c r="B18" s="27" t="s">
        <v>450</v>
      </c>
      <c r="C18" s="27" t="s">
        <v>451</v>
      </c>
      <c r="D18" s="27" t="s">
        <v>28</v>
      </c>
      <c r="E18" s="28">
        <v>224000</v>
      </c>
      <c r="F18" s="29">
        <v>2217.8240000000001</v>
      </c>
      <c r="G18" s="30">
        <v>1.8293150000000001E-2</v>
      </c>
      <c r="H18" s="25" t="s">
        <v>148</v>
      </c>
    </row>
    <row r="19" spans="1:8" x14ac:dyDescent="0.2">
      <c r="A19" s="26">
        <v>13</v>
      </c>
      <c r="B19" s="27" t="s">
        <v>342</v>
      </c>
      <c r="C19" s="27" t="s">
        <v>343</v>
      </c>
      <c r="D19" s="27" t="s">
        <v>205</v>
      </c>
      <c r="E19" s="28">
        <v>61324</v>
      </c>
      <c r="F19" s="29">
        <v>2136.0682299999999</v>
      </c>
      <c r="G19" s="30">
        <v>1.7618809999999999E-2</v>
      </c>
      <c r="H19" s="25" t="s">
        <v>148</v>
      </c>
    </row>
    <row r="20" spans="1:8" ht="25.5" x14ac:dyDescent="0.2">
      <c r="A20" s="26">
        <v>14</v>
      </c>
      <c r="B20" s="27" t="s">
        <v>340</v>
      </c>
      <c r="C20" s="27" t="s">
        <v>341</v>
      </c>
      <c r="D20" s="27" t="s">
        <v>202</v>
      </c>
      <c r="E20" s="28">
        <v>134000</v>
      </c>
      <c r="F20" s="29">
        <v>2134.9549999999999</v>
      </c>
      <c r="G20" s="30">
        <v>1.7609619999999999E-2</v>
      </c>
      <c r="H20" s="25" t="s">
        <v>148</v>
      </c>
    </row>
    <row r="21" spans="1:8" x14ac:dyDescent="0.2">
      <c r="A21" s="26">
        <v>15</v>
      </c>
      <c r="B21" s="27" t="s">
        <v>448</v>
      </c>
      <c r="C21" s="27" t="s">
        <v>449</v>
      </c>
      <c r="D21" s="27" t="s">
        <v>350</v>
      </c>
      <c r="E21" s="28">
        <v>95000</v>
      </c>
      <c r="F21" s="29">
        <v>2080.7375000000002</v>
      </c>
      <c r="G21" s="30">
        <v>1.7162429999999999E-2</v>
      </c>
      <c r="H21" s="25" t="s">
        <v>148</v>
      </c>
    </row>
    <row r="22" spans="1:8" x14ac:dyDescent="0.2">
      <c r="A22" s="26">
        <v>16</v>
      </c>
      <c r="B22" s="27" t="s">
        <v>344</v>
      </c>
      <c r="C22" s="27" t="s">
        <v>345</v>
      </c>
      <c r="D22" s="27" t="s">
        <v>111</v>
      </c>
      <c r="E22" s="28">
        <v>22000</v>
      </c>
      <c r="F22" s="29">
        <v>1876.6659999999999</v>
      </c>
      <c r="G22" s="30">
        <v>1.547919E-2</v>
      </c>
      <c r="H22" s="25" t="s">
        <v>148</v>
      </c>
    </row>
    <row r="23" spans="1:8" x14ac:dyDescent="0.2">
      <c r="A23" s="26">
        <v>17</v>
      </c>
      <c r="B23" s="27" t="s">
        <v>530</v>
      </c>
      <c r="C23" s="27" t="s">
        <v>531</v>
      </c>
      <c r="D23" s="27" t="s">
        <v>205</v>
      </c>
      <c r="E23" s="28">
        <v>126000</v>
      </c>
      <c r="F23" s="29">
        <v>1874.691</v>
      </c>
      <c r="G23" s="30">
        <v>1.54629E-2</v>
      </c>
      <c r="H23" s="25" t="s">
        <v>148</v>
      </c>
    </row>
    <row r="24" spans="1:8" ht="25.5" x14ac:dyDescent="0.2">
      <c r="A24" s="26">
        <v>18</v>
      </c>
      <c r="B24" s="27" t="s">
        <v>353</v>
      </c>
      <c r="C24" s="27" t="s">
        <v>354</v>
      </c>
      <c r="D24" s="27" t="s">
        <v>111</v>
      </c>
      <c r="E24" s="28">
        <v>133000</v>
      </c>
      <c r="F24" s="29">
        <v>1862.9974999999999</v>
      </c>
      <c r="G24" s="30">
        <v>1.536645E-2</v>
      </c>
      <c r="H24" s="25" t="s">
        <v>148</v>
      </c>
    </row>
    <row r="25" spans="1:8" ht="25.5" x14ac:dyDescent="0.2">
      <c r="A25" s="26">
        <v>19</v>
      </c>
      <c r="B25" s="27" t="s">
        <v>644</v>
      </c>
      <c r="C25" s="27" t="s">
        <v>645</v>
      </c>
      <c r="D25" s="27" t="s">
        <v>202</v>
      </c>
      <c r="E25" s="28">
        <v>173000</v>
      </c>
      <c r="F25" s="29">
        <v>1830.8589999999999</v>
      </c>
      <c r="G25" s="30">
        <v>1.5101369999999999E-2</v>
      </c>
      <c r="H25" s="25" t="s">
        <v>148</v>
      </c>
    </row>
    <row r="26" spans="1:8" x14ac:dyDescent="0.2">
      <c r="A26" s="26">
        <v>20</v>
      </c>
      <c r="B26" s="27" t="s">
        <v>673</v>
      </c>
      <c r="C26" s="27" t="s">
        <v>674</v>
      </c>
      <c r="D26" s="27" t="s">
        <v>51</v>
      </c>
      <c r="E26" s="28">
        <v>85749</v>
      </c>
      <c r="F26" s="29">
        <v>1644.3656985</v>
      </c>
      <c r="G26" s="30">
        <v>1.356313E-2</v>
      </c>
      <c r="H26" s="25" t="s">
        <v>148</v>
      </c>
    </row>
    <row r="27" spans="1:8" x14ac:dyDescent="0.2">
      <c r="A27" s="26">
        <v>21</v>
      </c>
      <c r="B27" s="27" t="s">
        <v>699</v>
      </c>
      <c r="C27" s="27" t="s">
        <v>700</v>
      </c>
      <c r="D27" s="27" t="s">
        <v>275</v>
      </c>
      <c r="E27" s="28">
        <v>24000</v>
      </c>
      <c r="F27" s="29">
        <v>1601.076</v>
      </c>
      <c r="G27" s="30">
        <v>1.320606E-2</v>
      </c>
      <c r="H27" s="25" t="s">
        <v>148</v>
      </c>
    </row>
    <row r="28" spans="1:8" x14ac:dyDescent="0.2">
      <c r="A28" s="26">
        <v>22</v>
      </c>
      <c r="B28" s="27" t="s">
        <v>101</v>
      </c>
      <c r="C28" s="27" t="s">
        <v>102</v>
      </c>
      <c r="D28" s="27" t="s">
        <v>28</v>
      </c>
      <c r="E28" s="28">
        <v>83000</v>
      </c>
      <c r="F28" s="29">
        <v>1579.4485</v>
      </c>
      <c r="G28" s="30">
        <v>1.302767E-2</v>
      </c>
      <c r="H28" s="25" t="s">
        <v>148</v>
      </c>
    </row>
    <row r="29" spans="1:8" x14ac:dyDescent="0.2">
      <c r="A29" s="26">
        <v>23</v>
      </c>
      <c r="B29" s="27" t="s">
        <v>802</v>
      </c>
      <c r="C29" s="27" t="s">
        <v>803</v>
      </c>
      <c r="D29" s="27" t="s">
        <v>51</v>
      </c>
      <c r="E29" s="28">
        <v>128000</v>
      </c>
      <c r="F29" s="29">
        <v>1563.008</v>
      </c>
      <c r="G29" s="30">
        <v>1.289207E-2</v>
      </c>
      <c r="H29" s="25" t="s">
        <v>148</v>
      </c>
    </row>
    <row r="30" spans="1:8" x14ac:dyDescent="0.2">
      <c r="A30" s="26">
        <v>24</v>
      </c>
      <c r="B30" s="27" t="s">
        <v>697</v>
      </c>
      <c r="C30" s="27" t="s">
        <v>698</v>
      </c>
      <c r="D30" s="27" t="s">
        <v>240</v>
      </c>
      <c r="E30" s="28">
        <v>29000</v>
      </c>
      <c r="F30" s="29">
        <v>1541.2194999999999</v>
      </c>
      <c r="G30" s="30">
        <v>1.2712350000000001E-2</v>
      </c>
      <c r="H30" s="25" t="s">
        <v>148</v>
      </c>
    </row>
    <row r="31" spans="1:8" x14ac:dyDescent="0.2">
      <c r="A31" s="26">
        <v>25</v>
      </c>
      <c r="B31" s="27" t="s">
        <v>243</v>
      </c>
      <c r="C31" s="27" t="s">
        <v>244</v>
      </c>
      <c r="D31" s="27" t="s">
        <v>229</v>
      </c>
      <c r="E31" s="28">
        <v>22000</v>
      </c>
      <c r="F31" s="29">
        <v>1538.383</v>
      </c>
      <c r="G31" s="30">
        <v>1.2688949999999999E-2</v>
      </c>
      <c r="H31" s="25" t="s">
        <v>148</v>
      </c>
    </row>
    <row r="32" spans="1:8" x14ac:dyDescent="0.2">
      <c r="A32" s="26">
        <v>26</v>
      </c>
      <c r="B32" s="27" t="s">
        <v>738</v>
      </c>
      <c r="C32" s="27" t="s">
        <v>739</v>
      </c>
      <c r="D32" s="27" t="s">
        <v>210</v>
      </c>
      <c r="E32" s="28">
        <v>90000</v>
      </c>
      <c r="F32" s="29">
        <v>1426.05</v>
      </c>
      <c r="G32" s="30">
        <v>1.1762409999999999E-2</v>
      </c>
      <c r="H32" s="25" t="s">
        <v>148</v>
      </c>
    </row>
    <row r="33" spans="1:8" x14ac:dyDescent="0.2">
      <c r="A33" s="26">
        <v>27</v>
      </c>
      <c r="B33" s="27" t="s">
        <v>11</v>
      </c>
      <c r="C33" s="27" t="s">
        <v>12</v>
      </c>
      <c r="D33" s="27" t="s">
        <v>13</v>
      </c>
      <c r="E33" s="28">
        <v>90000</v>
      </c>
      <c r="F33" s="29">
        <v>1413.18</v>
      </c>
      <c r="G33" s="30">
        <v>1.165625E-2</v>
      </c>
      <c r="H33" s="25" t="s">
        <v>148</v>
      </c>
    </row>
    <row r="34" spans="1:8" ht="25.5" x14ac:dyDescent="0.2">
      <c r="A34" s="26">
        <v>28</v>
      </c>
      <c r="B34" s="27" t="s">
        <v>442</v>
      </c>
      <c r="C34" s="27" t="s">
        <v>443</v>
      </c>
      <c r="D34" s="27" t="s">
        <v>202</v>
      </c>
      <c r="E34" s="28">
        <v>93000</v>
      </c>
      <c r="F34" s="29">
        <v>1308.9749999999999</v>
      </c>
      <c r="G34" s="30">
        <v>1.0796740000000001E-2</v>
      </c>
      <c r="H34" s="25" t="s">
        <v>148</v>
      </c>
    </row>
    <row r="35" spans="1:8" x14ac:dyDescent="0.2">
      <c r="A35" s="26">
        <v>29</v>
      </c>
      <c r="B35" s="27" t="s">
        <v>193</v>
      </c>
      <c r="C35" s="27" t="s">
        <v>194</v>
      </c>
      <c r="D35" s="27" t="s">
        <v>28</v>
      </c>
      <c r="E35" s="28">
        <v>722000</v>
      </c>
      <c r="F35" s="29">
        <v>1282.4164000000001</v>
      </c>
      <c r="G35" s="30">
        <v>1.0577680000000001E-2</v>
      </c>
      <c r="H35" s="25" t="s">
        <v>148</v>
      </c>
    </row>
    <row r="36" spans="1:8" x14ac:dyDescent="0.2">
      <c r="A36" s="26">
        <v>30</v>
      </c>
      <c r="B36" s="27" t="s">
        <v>804</v>
      </c>
      <c r="C36" s="27" t="s">
        <v>805</v>
      </c>
      <c r="D36" s="27" t="s">
        <v>197</v>
      </c>
      <c r="E36" s="28">
        <v>201000</v>
      </c>
      <c r="F36" s="29">
        <v>1272.2294999999999</v>
      </c>
      <c r="G36" s="30">
        <v>1.049366E-2</v>
      </c>
      <c r="H36" s="25" t="s">
        <v>148</v>
      </c>
    </row>
    <row r="37" spans="1:8" x14ac:dyDescent="0.2">
      <c r="A37" s="26">
        <v>31</v>
      </c>
      <c r="B37" s="27" t="s">
        <v>701</v>
      </c>
      <c r="C37" s="27" t="s">
        <v>702</v>
      </c>
      <c r="D37" s="27" t="s">
        <v>210</v>
      </c>
      <c r="E37" s="28">
        <v>21000</v>
      </c>
      <c r="F37" s="29">
        <v>1271.046</v>
      </c>
      <c r="G37" s="30">
        <v>1.0483889999999999E-2</v>
      </c>
      <c r="H37" s="25" t="s">
        <v>148</v>
      </c>
    </row>
    <row r="38" spans="1:8" x14ac:dyDescent="0.2">
      <c r="A38" s="26">
        <v>32</v>
      </c>
      <c r="B38" s="27" t="s">
        <v>338</v>
      </c>
      <c r="C38" s="27" t="s">
        <v>339</v>
      </c>
      <c r="D38" s="27" t="s">
        <v>229</v>
      </c>
      <c r="E38" s="28">
        <v>549000</v>
      </c>
      <c r="F38" s="29">
        <v>1219.329</v>
      </c>
      <c r="G38" s="30">
        <v>1.005732E-2</v>
      </c>
      <c r="H38" s="25" t="s">
        <v>148</v>
      </c>
    </row>
    <row r="39" spans="1:8" x14ac:dyDescent="0.2">
      <c r="A39" s="26">
        <v>33</v>
      </c>
      <c r="B39" s="27" t="s">
        <v>230</v>
      </c>
      <c r="C39" s="27" t="s">
        <v>231</v>
      </c>
      <c r="D39" s="27" t="s">
        <v>232</v>
      </c>
      <c r="E39" s="28">
        <v>188000</v>
      </c>
      <c r="F39" s="29">
        <v>1177.068</v>
      </c>
      <c r="G39" s="30">
        <v>9.7087400000000004E-3</v>
      </c>
      <c r="H39" s="25" t="s">
        <v>148</v>
      </c>
    </row>
    <row r="40" spans="1:8" x14ac:dyDescent="0.2">
      <c r="A40" s="26">
        <v>34</v>
      </c>
      <c r="B40" s="27" t="s">
        <v>364</v>
      </c>
      <c r="C40" s="27" t="s">
        <v>365</v>
      </c>
      <c r="D40" s="27" t="s">
        <v>275</v>
      </c>
      <c r="E40" s="28">
        <v>189000</v>
      </c>
      <c r="F40" s="29">
        <v>1173.0284999999999</v>
      </c>
      <c r="G40" s="30">
        <v>9.6754200000000005E-3</v>
      </c>
      <c r="H40" s="25" t="s">
        <v>148</v>
      </c>
    </row>
    <row r="41" spans="1:8" ht="25.5" x14ac:dyDescent="0.2">
      <c r="A41" s="26">
        <v>35</v>
      </c>
      <c r="B41" s="27" t="s">
        <v>444</v>
      </c>
      <c r="C41" s="27" t="s">
        <v>445</v>
      </c>
      <c r="D41" s="27" t="s">
        <v>217</v>
      </c>
      <c r="E41" s="28">
        <v>120522</v>
      </c>
      <c r="F41" s="29">
        <v>1161.4705140000001</v>
      </c>
      <c r="G41" s="30">
        <v>9.5800899999999994E-3</v>
      </c>
      <c r="H41" s="25" t="s">
        <v>148</v>
      </c>
    </row>
    <row r="42" spans="1:8" x14ac:dyDescent="0.2">
      <c r="A42" s="26">
        <v>36</v>
      </c>
      <c r="B42" s="27" t="s">
        <v>464</v>
      </c>
      <c r="C42" s="27" t="s">
        <v>465</v>
      </c>
      <c r="D42" s="27" t="s">
        <v>111</v>
      </c>
      <c r="E42" s="28">
        <v>151000</v>
      </c>
      <c r="F42" s="29">
        <v>1152.6585</v>
      </c>
      <c r="G42" s="30">
        <v>9.5074100000000009E-3</v>
      </c>
      <c r="H42" s="25" t="s">
        <v>148</v>
      </c>
    </row>
    <row r="43" spans="1:8" x14ac:dyDescent="0.2">
      <c r="A43" s="26">
        <v>37</v>
      </c>
      <c r="B43" s="27" t="s">
        <v>526</v>
      </c>
      <c r="C43" s="27" t="s">
        <v>527</v>
      </c>
      <c r="D43" s="27" t="s">
        <v>235</v>
      </c>
      <c r="E43" s="28">
        <v>88000</v>
      </c>
      <c r="F43" s="29">
        <v>1130.316</v>
      </c>
      <c r="G43" s="30">
        <v>9.3231200000000007E-3</v>
      </c>
      <c r="H43" s="25" t="s">
        <v>148</v>
      </c>
    </row>
    <row r="44" spans="1:8" x14ac:dyDescent="0.2">
      <c r="A44" s="26">
        <v>38</v>
      </c>
      <c r="B44" s="27" t="s">
        <v>806</v>
      </c>
      <c r="C44" s="27" t="s">
        <v>807</v>
      </c>
      <c r="D44" s="27" t="s">
        <v>229</v>
      </c>
      <c r="E44" s="28">
        <v>333526</v>
      </c>
      <c r="F44" s="29">
        <v>1116.144759</v>
      </c>
      <c r="G44" s="30">
        <v>9.2062299999999993E-3</v>
      </c>
      <c r="H44" s="25" t="s">
        <v>148</v>
      </c>
    </row>
    <row r="45" spans="1:8" x14ac:dyDescent="0.2">
      <c r="A45" s="26">
        <v>39</v>
      </c>
      <c r="B45" s="27" t="s">
        <v>292</v>
      </c>
      <c r="C45" s="27" t="s">
        <v>293</v>
      </c>
      <c r="D45" s="27" t="s">
        <v>197</v>
      </c>
      <c r="E45" s="28">
        <v>37000</v>
      </c>
      <c r="F45" s="29">
        <v>1115.1614999999999</v>
      </c>
      <c r="G45" s="30">
        <v>9.1981200000000006E-3</v>
      </c>
      <c r="H45" s="25" t="s">
        <v>148</v>
      </c>
    </row>
    <row r="46" spans="1:8" x14ac:dyDescent="0.2">
      <c r="A46" s="26">
        <v>40</v>
      </c>
      <c r="B46" s="27" t="s">
        <v>121</v>
      </c>
      <c r="C46" s="27" t="s">
        <v>122</v>
      </c>
      <c r="D46" s="27" t="s">
        <v>120</v>
      </c>
      <c r="E46" s="28">
        <v>211000</v>
      </c>
      <c r="F46" s="29">
        <v>1030.6295</v>
      </c>
      <c r="G46" s="30">
        <v>8.5008800000000006E-3</v>
      </c>
      <c r="H46" s="25" t="s">
        <v>148</v>
      </c>
    </row>
    <row r="47" spans="1:8" x14ac:dyDescent="0.2">
      <c r="A47" s="26">
        <v>41</v>
      </c>
      <c r="B47" s="27" t="s">
        <v>20</v>
      </c>
      <c r="C47" s="27" t="s">
        <v>21</v>
      </c>
      <c r="D47" s="27" t="s">
        <v>22</v>
      </c>
      <c r="E47" s="28">
        <v>327000</v>
      </c>
      <c r="F47" s="29">
        <v>1018.4415</v>
      </c>
      <c r="G47" s="30">
        <v>8.4003499999999991E-3</v>
      </c>
      <c r="H47" s="25" t="s">
        <v>148</v>
      </c>
    </row>
    <row r="48" spans="1:8" x14ac:dyDescent="0.2">
      <c r="A48" s="26">
        <v>42</v>
      </c>
      <c r="B48" s="27" t="s">
        <v>125</v>
      </c>
      <c r="C48" s="27" t="s">
        <v>126</v>
      </c>
      <c r="D48" s="27" t="s">
        <v>64</v>
      </c>
      <c r="E48" s="28">
        <v>398000</v>
      </c>
      <c r="F48" s="29">
        <v>994.40300000000002</v>
      </c>
      <c r="G48" s="30">
        <v>8.2020800000000005E-3</v>
      </c>
      <c r="H48" s="25" t="s">
        <v>148</v>
      </c>
    </row>
    <row r="49" spans="1:8" x14ac:dyDescent="0.2">
      <c r="A49" s="26">
        <v>43</v>
      </c>
      <c r="B49" s="27" t="s">
        <v>766</v>
      </c>
      <c r="C49" s="27" t="s">
        <v>767</v>
      </c>
      <c r="D49" s="27" t="s">
        <v>267</v>
      </c>
      <c r="E49" s="28">
        <v>36000</v>
      </c>
      <c r="F49" s="29">
        <v>956.84400000000005</v>
      </c>
      <c r="G49" s="30">
        <v>7.8922799999999998E-3</v>
      </c>
      <c r="H49" s="25" t="s">
        <v>148</v>
      </c>
    </row>
    <row r="50" spans="1:8" x14ac:dyDescent="0.2">
      <c r="A50" s="26">
        <v>44</v>
      </c>
      <c r="B50" s="27" t="s">
        <v>288</v>
      </c>
      <c r="C50" s="27" t="s">
        <v>289</v>
      </c>
      <c r="D50" s="27" t="s">
        <v>240</v>
      </c>
      <c r="E50" s="28">
        <v>27000</v>
      </c>
      <c r="F50" s="29">
        <v>848.63699999999994</v>
      </c>
      <c r="G50" s="30">
        <v>6.9997599999999998E-3</v>
      </c>
      <c r="H50" s="25" t="s">
        <v>148</v>
      </c>
    </row>
    <row r="51" spans="1:8" x14ac:dyDescent="0.2">
      <c r="A51" s="26">
        <v>45</v>
      </c>
      <c r="B51" s="27" t="s">
        <v>40</v>
      </c>
      <c r="C51" s="27" t="s">
        <v>41</v>
      </c>
      <c r="D51" s="27" t="s">
        <v>42</v>
      </c>
      <c r="E51" s="28">
        <v>60000</v>
      </c>
      <c r="F51" s="29">
        <v>802.98</v>
      </c>
      <c r="G51" s="30">
        <v>6.6231700000000003E-3</v>
      </c>
      <c r="H51" s="25" t="s">
        <v>148</v>
      </c>
    </row>
    <row r="52" spans="1:8" x14ac:dyDescent="0.2">
      <c r="A52" s="26">
        <v>46</v>
      </c>
      <c r="B52" s="27" t="s">
        <v>808</v>
      </c>
      <c r="C52" s="27" t="s">
        <v>809</v>
      </c>
      <c r="D52" s="27" t="s">
        <v>48</v>
      </c>
      <c r="E52" s="28">
        <v>225000</v>
      </c>
      <c r="F52" s="29">
        <v>771.07500000000005</v>
      </c>
      <c r="G52" s="30">
        <v>6.3600100000000001E-3</v>
      </c>
      <c r="H52" s="25" t="s">
        <v>148</v>
      </c>
    </row>
    <row r="53" spans="1:8" x14ac:dyDescent="0.2">
      <c r="A53" s="26">
        <v>47</v>
      </c>
      <c r="B53" s="27" t="s">
        <v>370</v>
      </c>
      <c r="C53" s="27" t="s">
        <v>371</v>
      </c>
      <c r="D53" s="27" t="s">
        <v>51</v>
      </c>
      <c r="E53" s="28">
        <v>25000</v>
      </c>
      <c r="F53" s="29">
        <v>769.3125</v>
      </c>
      <c r="G53" s="30">
        <v>6.3454799999999997E-3</v>
      </c>
      <c r="H53" s="25" t="s">
        <v>148</v>
      </c>
    </row>
    <row r="54" spans="1:8" x14ac:dyDescent="0.2">
      <c r="A54" s="26">
        <v>48</v>
      </c>
      <c r="B54" s="27" t="s">
        <v>323</v>
      </c>
      <c r="C54" s="27" t="s">
        <v>324</v>
      </c>
      <c r="D54" s="27" t="s">
        <v>51</v>
      </c>
      <c r="E54" s="28">
        <v>86000</v>
      </c>
      <c r="F54" s="29">
        <v>732.97799999999995</v>
      </c>
      <c r="G54" s="30">
        <v>6.0457799999999997E-3</v>
      </c>
      <c r="H54" s="25" t="s">
        <v>148</v>
      </c>
    </row>
    <row r="55" spans="1:8" x14ac:dyDescent="0.2">
      <c r="A55" s="26">
        <v>49</v>
      </c>
      <c r="B55" s="27" t="s">
        <v>236</v>
      </c>
      <c r="C55" s="27" t="s">
        <v>237</v>
      </c>
      <c r="D55" s="27" t="s">
        <v>69</v>
      </c>
      <c r="E55" s="28">
        <v>193000</v>
      </c>
      <c r="F55" s="29">
        <v>722.399</v>
      </c>
      <c r="G55" s="30">
        <v>5.9585200000000001E-3</v>
      </c>
      <c r="H55" s="25" t="s">
        <v>148</v>
      </c>
    </row>
    <row r="56" spans="1:8" x14ac:dyDescent="0.2">
      <c r="A56" s="26">
        <v>50</v>
      </c>
      <c r="B56" s="27" t="s">
        <v>92</v>
      </c>
      <c r="C56" s="27" t="s">
        <v>93</v>
      </c>
      <c r="D56" s="27" t="s">
        <v>94</v>
      </c>
      <c r="E56" s="28">
        <v>414000</v>
      </c>
      <c r="F56" s="29">
        <v>646.00559999999996</v>
      </c>
      <c r="G56" s="30">
        <v>5.3284099999999996E-3</v>
      </c>
      <c r="H56" s="25" t="s">
        <v>148</v>
      </c>
    </row>
    <row r="57" spans="1:8" x14ac:dyDescent="0.2">
      <c r="A57" s="26">
        <v>51</v>
      </c>
      <c r="B57" s="27" t="s">
        <v>372</v>
      </c>
      <c r="C57" s="27" t="s">
        <v>373</v>
      </c>
      <c r="D57" s="27" t="s">
        <v>33</v>
      </c>
      <c r="E57" s="28">
        <v>20800</v>
      </c>
      <c r="F57" s="29">
        <v>642.34559999999999</v>
      </c>
      <c r="G57" s="30">
        <v>5.2982200000000002E-3</v>
      </c>
      <c r="H57" s="25" t="s">
        <v>148</v>
      </c>
    </row>
    <row r="58" spans="1:8" ht="25.5" x14ac:dyDescent="0.2">
      <c r="A58" s="26">
        <v>52</v>
      </c>
      <c r="B58" s="27" t="s">
        <v>474</v>
      </c>
      <c r="C58" s="27" t="s">
        <v>475</v>
      </c>
      <c r="D58" s="27" t="s">
        <v>202</v>
      </c>
      <c r="E58" s="28">
        <v>5576</v>
      </c>
      <c r="F58" s="29">
        <v>591.66935999999998</v>
      </c>
      <c r="G58" s="30">
        <v>4.8802300000000002E-3</v>
      </c>
      <c r="H58" s="25" t="s">
        <v>148</v>
      </c>
    </row>
    <row r="59" spans="1:8" x14ac:dyDescent="0.2">
      <c r="A59" s="26">
        <v>53</v>
      </c>
      <c r="B59" s="27" t="s">
        <v>357</v>
      </c>
      <c r="C59" s="27" t="s">
        <v>358</v>
      </c>
      <c r="D59" s="27" t="s">
        <v>359</v>
      </c>
      <c r="E59" s="28">
        <v>42000</v>
      </c>
      <c r="F59" s="29">
        <v>588.10500000000002</v>
      </c>
      <c r="G59" s="30">
        <v>4.8508300000000004E-3</v>
      </c>
      <c r="H59" s="25" t="s">
        <v>148</v>
      </c>
    </row>
    <row r="60" spans="1:8" x14ac:dyDescent="0.2">
      <c r="A60" s="26">
        <v>54</v>
      </c>
      <c r="B60" s="27" t="s">
        <v>810</v>
      </c>
      <c r="C60" s="27" t="s">
        <v>811</v>
      </c>
      <c r="D60" s="27" t="s">
        <v>275</v>
      </c>
      <c r="E60" s="28">
        <v>33929</v>
      </c>
      <c r="F60" s="29">
        <v>586.937771</v>
      </c>
      <c r="G60" s="30">
        <v>4.8412000000000004E-3</v>
      </c>
      <c r="H60" s="25" t="s">
        <v>148</v>
      </c>
    </row>
    <row r="61" spans="1:8" x14ac:dyDescent="0.2">
      <c r="A61" s="26">
        <v>55</v>
      </c>
      <c r="B61" s="27" t="s">
        <v>127</v>
      </c>
      <c r="C61" s="27" t="s">
        <v>128</v>
      </c>
      <c r="D61" s="27" t="s">
        <v>45</v>
      </c>
      <c r="E61" s="28">
        <v>100000</v>
      </c>
      <c r="F61" s="29">
        <v>576.1</v>
      </c>
      <c r="G61" s="30">
        <v>4.7518100000000004E-3</v>
      </c>
      <c r="H61" s="25" t="s">
        <v>148</v>
      </c>
    </row>
    <row r="62" spans="1:8" x14ac:dyDescent="0.2">
      <c r="A62" s="26">
        <v>56</v>
      </c>
      <c r="B62" s="27" t="s">
        <v>99</v>
      </c>
      <c r="C62" s="27" t="s">
        <v>100</v>
      </c>
      <c r="D62" s="27" t="s">
        <v>69</v>
      </c>
      <c r="E62" s="28">
        <v>18000</v>
      </c>
      <c r="F62" s="29">
        <v>551.02499999999998</v>
      </c>
      <c r="G62" s="30">
        <v>4.5449899999999996E-3</v>
      </c>
      <c r="H62" s="25" t="s">
        <v>148</v>
      </c>
    </row>
    <row r="63" spans="1:8" x14ac:dyDescent="0.2">
      <c r="A63" s="26">
        <v>57</v>
      </c>
      <c r="B63" s="27" t="s">
        <v>296</v>
      </c>
      <c r="C63" s="27" t="s">
        <v>297</v>
      </c>
      <c r="D63" s="27" t="s">
        <v>270</v>
      </c>
      <c r="E63" s="28">
        <v>55000</v>
      </c>
      <c r="F63" s="29">
        <v>548.95500000000004</v>
      </c>
      <c r="G63" s="30">
        <v>4.5279099999999996E-3</v>
      </c>
      <c r="H63" s="25" t="s">
        <v>148</v>
      </c>
    </row>
    <row r="64" spans="1:8" x14ac:dyDescent="0.2">
      <c r="A64" s="26">
        <v>58</v>
      </c>
      <c r="B64" s="27" t="s">
        <v>268</v>
      </c>
      <c r="C64" s="27" t="s">
        <v>269</v>
      </c>
      <c r="D64" s="27" t="s">
        <v>270</v>
      </c>
      <c r="E64" s="28">
        <v>99000</v>
      </c>
      <c r="F64" s="29">
        <v>546.08399999999995</v>
      </c>
      <c r="G64" s="30">
        <v>4.5042299999999997E-3</v>
      </c>
      <c r="H64" s="25" t="s">
        <v>148</v>
      </c>
    </row>
    <row r="65" spans="1:8" x14ac:dyDescent="0.2">
      <c r="A65" s="26">
        <v>59</v>
      </c>
      <c r="B65" s="27" t="s">
        <v>223</v>
      </c>
      <c r="C65" s="27" t="s">
        <v>224</v>
      </c>
      <c r="D65" s="27" t="s">
        <v>16</v>
      </c>
      <c r="E65" s="28">
        <v>180000</v>
      </c>
      <c r="F65" s="29">
        <v>528.75</v>
      </c>
      <c r="G65" s="30">
        <v>4.3612599999999996E-3</v>
      </c>
      <c r="H65" s="25" t="s">
        <v>148</v>
      </c>
    </row>
    <row r="66" spans="1:8" x14ac:dyDescent="0.2">
      <c r="A66" s="26">
        <v>60</v>
      </c>
      <c r="B66" s="27" t="s">
        <v>57</v>
      </c>
      <c r="C66" s="27" t="s">
        <v>58</v>
      </c>
      <c r="D66" s="27" t="s">
        <v>59</v>
      </c>
      <c r="E66" s="28">
        <v>47000</v>
      </c>
      <c r="F66" s="29">
        <v>502.61799999999999</v>
      </c>
      <c r="G66" s="30">
        <v>4.1457200000000003E-3</v>
      </c>
      <c r="H66" s="25" t="s">
        <v>148</v>
      </c>
    </row>
    <row r="67" spans="1:8" x14ac:dyDescent="0.2">
      <c r="A67" s="26">
        <v>61</v>
      </c>
      <c r="B67" s="27" t="s">
        <v>705</v>
      </c>
      <c r="C67" s="27" t="s">
        <v>706</v>
      </c>
      <c r="D67" s="27" t="s">
        <v>25</v>
      </c>
      <c r="E67" s="28">
        <v>21069</v>
      </c>
      <c r="F67" s="29">
        <v>355.99235850000002</v>
      </c>
      <c r="G67" s="30">
        <v>2.9363100000000001E-3</v>
      </c>
      <c r="H67" s="25" t="s">
        <v>148</v>
      </c>
    </row>
    <row r="68" spans="1:8" x14ac:dyDescent="0.2">
      <c r="A68" s="26">
        <v>62</v>
      </c>
      <c r="B68" s="27" t="s">
        <v>233</v>
      </c>
      <c r="C68" s="27" t="s">
        <v>234</v>
      </c>
      <c r="D68" s="27" t="s">
        <v>235</v>
      </c>
      <c r="E68" s="28">
        <v>17000</v>
      </c>
      <c r="F68" s="29">
        <v>330.84550000000002</v>
      </c>
      <c r="G68" s="30">
        <v>2.7288899999999999E-3</v>
      </c>
      <c r="H68" s="25" t="s">
        <v>148</v>
      </c>
    </row>
    <row r="69" spans="1:8" ht="25.5" x14ac:dyDescent="0.2">
      <c r="A69" s="26">
        <v>63</v>
      </c>
      <c r="B69" s="27" t="s">
        <v>290</v>
      </c>
      <c r="C69" s="27" t="s">
        <v>291</v>
      </c>
      <c r="D69" s="27" t="s">
        <v>202</v>
      </c>
      <c r="E69" s="28">
        <v>12215</v>
      </c>
      <c r="F69" s="29">
        <v>279.79678999999999</v>
      </c>
      <c r="G69" s="30">
        <v>2.3078299999999999E-3</v>
      </c>
      <c r="H69" s="25" t="s">
        <v>148</v>
      </c>
    </row>
    <row r="70" spans="1:8" x14ac:dyDescent="0.2">
      <c r="A70" s="26">
        <v>64</v>
      </c>
      <c r="B70" s="27" t="s">
        <v>105</v>
      </c>
      <c r="C70" s="27" t="s">
        <v>106</v>
      </c>
      <c r="D70" s="27" t="s">
        <v>42</v>
      </c>
      <c r="E70" s="28">
        <v>4999</v>
      </c>
      <c r="F70" s="29">
        <v>246.72064599999999</v>
      </c>
      <c r="G70" s="30">
        <v>2.0350099999999999E-3</v>
      </c>
      <c r="H70" s="25" t="s">
        <v>148</v>
      </c>
    </row>
    <row r="71" spans="1:8" x14ac:dyDescent="0.2">
      <c r="A71" s="23"/>
      <c r="B71" s="23"/>
      <c r="C71" s="24" t="s">
        <v>147</v>
      </c>
      <c r="D71" s="23"/>
      <c r="E71" s="23" t="s">
        <v>148</v>
      </c>
      <c r="F71" s="31">
        <f>SUM(F7:F70)</f>
        <v>110568.62772700003</v>
      </c>
      <c r="G71" s="32">
        <f>SUM(G7:G70)</f>
        <v>0.91199671000000015</v>
      </c>
      <c r="H71" s="25" t="s">
        <v>148</v>
      </c>
    </row>
    <row r="72" spans="1:8" x14ac:dyDescent="0.2">
      <c r="A72" s="23"/>
      <c r="B72" s="23"/>
      <c r="C72" s="33"/>
      <c r="D72" s="23"/>
      <c r="E72" s="23"/>
      <c r="F72" s="34"/>
      <c r="G72" s="34"/>
      <c r="H72" s="25" t="s">
        <v>148</v>
      </c>
    </row>
    <row r="73" spans="1:8" x14ac:dyDescent="0.2">
      <c r="A73" s="23"/>
      <c r="B73" s="23"/>
      <c r="C73" s="24" t="s">
        <v>149</v>
      </c>
      <c r="D73" s="23"/>
      <c r="E73" s="23"/>
      <c r="F73" s="23"/>
      <c r="G73" s="23"/>
      <c r="H73" s="25" t="s">
        <v>148</v>
      </c>
    </row>
    <row r="74" spans="1:8" x14ac:dyDescent="0.2">
      <c r="A74" s="23"/>
      <c r="B74" s="23"/>
      <c r="C74" s="24" t="s">
        <v>147</v>
      </c>
      <c r="D74" s="23"/>
      <c r="E74" s="23" t="s">
        <v>148</v>
      </c>
      <c r="F74" s="35" t="s">
        <v>150</v>
      </c>
      <c r="G74" s="32">
        <v>0</v>
      </c>
      <c r="H74" s="25" t="s">
        <v>148</v>
      </c>
    </row>
    <row r="75" spans="1:8" x14ac:dyDescent="0.2">
      <c r="A75" s="23"/>
      <c r="B75" s="23"/>
      <c r="C75" s="33"/>
      <c r="D75" s="23"/>
      <c r="E75" s="23"/>
      <c r="F75" s="34"/>
      <c r="G75" s="34"/>
      <c r="H75" s="25" t="s">
        <v>148</v>
      </c>
    </row>
    <row r="76" spans="1:8" x14ac:dyDescent="0.2">
      <c r="A76" s="23"/>
      <c r="B76" s="23"/>
      <c r="C76" s="24" t="s">
        <v>151</v>
      </c>
      <c r="D76" s="23"/>
      <c r="E76" s="23"/>
      <c r="F76" s="23"/>
      <c r="G76" s="23"/>
      <c r="H76" s="25" t="s">
        <v>148</v>
      </c>
    </row>
    <row r="77" spans="1:8" x14ac:dyDescent="0.2">
      <c r="A77" s="26">
        <v>1</v>
      </c>
      <c r="B77" s="27" t="s">
        <v>540</v>
      </c>
      <c r="C77" s="38" t="s">
        <v>921</v>
      </c>
      <c r="D77" s="27" t="s">
        <v>232</v>
      </c>
      <c r="E77" s="28">
        <v>374002</v>
      </c>
      <c r="F77" s="29">
        <v>65.562550599999994</v>
      </c>
      <c r="G77" s="30">
        <v>5.4078000000000004E-4</v>
      </c>
      <c r="H77" s="25" t="s">
        <v>148</v>
      </c>
    </row>
    <row r="78" spans="1:8" x14ac:dyDescent="0.2">
      <c r="A78" s="26">
        <v>2</v>
      </c>
      <c r="B78" s="27" t="s">
        <v>741</v>
      </c>
      <c r="C78" s="38" t="s">
        <v>1034</v>
      </c>
      <c r="D78" s="27"/>
      <c r="E78" s="28">
        <v>200000</v>
      </c>
      <c r="F78" s="29">
        <v>1.9999999999999999E-6</v>
      </c>
      <c r="G78" s="36" t="s">
        <v>146</v>
      </c>
      <c r="H78" s="25" t="s">
        <v>148</v>
      </c>
    </row>
    <row r="79" spans="1:8" x14ac:dyDescent="0.2">
      <c r="A79" s="23"/>
      <c r="B79" s="23"/>
      <c r="C79" s="24" t="s">
        <v>147</v>
      </c>
      <c r="D79" s="23"/>
      <c r="E79" s="23" t="s">
        <v>148</v>
      </c>
      <c r="F79" s="31">
        <f>SUM(F77:F78)</f>
        <v>65.562552599999989</v>
      </c>
      <c r="G79" s="32">
        <f>SUM(G77:G78)</f>
        <v>5.4078000000000004E-4</v>
      </c>
      <c r="H79" s="25" t="s">
        <v>148</v>
      </c>
    </row>
    <row r="80" spans="1:8" x14ac:dyDescent="0.2">
      <c r="A80" s="23"/>
      <c r="B80" s="23"/>
      <c r="C80" s="33"/>
      <c r="D80" s="23"/>
      <c r="E80" s="23"/>
      <c r="F80" s="34"/>
      <c r="G80" s="34"/>
      <c r="H80" s="25" t="s">
        <v>148</v>
      </c>
    </row>
    <row r="81" spans="1:8" x14ac:dyDescent="0.2">
      <c r="A81" s="23"/>
      <c r="B81" s="23"/>
      <c r="C81" s="24" t="s">
        <v>152</v>
      </c>
      <c r="D81" s="23"/>
      <c r="E81" s="23"/>
      <c r="F81" s="23"/>
      <c r="G81" s="23"/>
      <c r="H81" s="25" t="s">
        <v>148</v>
      </c>
    </row>
    <row r="82" spans="1:8" x14ac:dyDescent="0.2">
      <c r="A82" s="26">
        <v>1</v>
      </c>
      <c r="B82" s="27" t="s">
        <v>456</v>
      </c>
      <c r="C82" s="38" t="s">
        <v>910</v>
      </c>
      <c r="D82" s="27" t="s">
        <v>13</v>
      </c>
      <c r="E82" s="28">
        <v>221000</v>
      </c>
      <c r="F82" s="29">
        <v>2465.9180000000001</v>
      </c>
      <c r="G82" s="30">
        <v>2.0339489999999998E-2</v>
      </c>
      <c r="H82" s="25" t="s">
        <v>148</v>
      </c>
    </row>
    <row r="83" spans="1:8" x14ac:dyDescent="0.2">
      <c r="A83" s="23"/>
      <c r="B83" s="23"/>
      <c r="C83" s="24" t="s">
        <v>147</v>
      </c>
      <c r="D83" s="23"/>
      <c r="E83" s="23" t="s">
        <v>148</v>
      </c>
      <c r="F83" s="31">
        <v>2465.9180000000001</v>
      </c>
      <c r="G83" s="32">
        <v>2.0339489999999998E-2</v>
      </c>
      <c r="H83" s="25" t="s">
        <v>148</v>
      </c>
    </row>
    <row r="84" spans="1:8" x14ac:dyDescent="0.2">
      <c r="A84" s="23"/>
      <c r="B84" s="23"/>
      <c r="C84" s="33"/>
      <c r="D84" s="23"/>
      <c r="E84" s="23"/>
      <c r="F84" s="34"/>
      <c r="G84" s="34"/>
      <c r="H84" s="25" t="s">
        <v>148</v>
      </c>
    </row>
    <row r="85" spans="1:8" x14ac:dyDescent="0.2">
      <c r="A85" s="23"/>
      <c r="B85" s="23"/>
      <c r="C85" s="24" t="s">
        <v>153</v>
      </c>
      <c r="D85" s="23"/>
      <c r="E85" s="23"/>
      <c r="F85" s="34"/>
      <c r="G85" s="34"/>
      <c r="H85" s="25" t="s">
        <v>148</v>
      </c>
    </row>
    <row r="86" spans="1:8" x14ac:dyDescent="0.2">
      <c r="A86" s="23"/>
      <c r="B86" s="23"/>
      <c r="C86" s="24" t="s">
        <v>147</v>
      </c>
      <c r="D86" s="23"/>
      <c r="E86" s="23" t="s">
        <v>148</v>
      </c>
      <c r="F86" s="35" t="s">
        <v>150</v>
      </c>
      <c r="G86" s="32">
        <v>0</v>
      </c>
      <c r="H86" s="25" t="s">
        <v>148</v>
      </c>
    </row>
    <row r="87" spans="1:8" x14ac:dyDescent="0.2">
      <c r="A87" s="23"/>
      <c r="B87" s="23"/>
      <c r="C87" s="33"/>
      <c r="D87" s="23"/>
      <c r="E87" s="23"/>
      <c r="F87" s="34"/>
      <c r="G87" s="34"/>
      <c r="H87" s="25" t="s">
        <v>148</v>
      </c>
    </row>
    <row r="88" spans="1:8" x14ac:dyDescent="0.2">
      <c r="A88" s="23"/>
      <c r="B88" s="23"/>
      <c r="C88" s="24" t="s">
        <v>154</v>
      </c>
      <c r="D88" s="23"/>
      <c r="E88" s="23"/>
      <c r="F88" s="34"/>
      <c r="G88" s="34"/>
      <c r="H88" s="25" t="s">
        <v>148</v>
      </c>
    </row>
    <row r="89" spans="1:8" x14ac:dyDescent="0.2">
      <c r="A89" s="23"/>
      <c r="B89" s="23"/>
      <c r="C89" s="24" t="s">
        <v>147</v>
      </c>
      <c r="D89" s="23"/>
      <c r="E89" s="23" t="s">
        <v>148</v>
      </c>
      <c r="F89" s="35" t="s">
        <v>150</v>
      </c>
      <c r="G89" s="32">
        <v>0</v>
      </c>
      <c r="H89" s="25" t="s">
        <v>148</v>
      </c>
    </row>
    <row r="90" spans="1:8" x14ac:dyDescent="0.2">
      <c r="A90" s="23"/>
      <c r="B90" s="23"/>
      <c r="C90" s="33"/>
      <c r="D90" s="23"/>
      <c r="E90" s="23"/>
      <c r="F90" s="34"/>
      <c r="G90" s="34"/>
      <c r="H90" s="25" t="s">
        <v>148</v>
      </c>
    </row>
    <row r="91" spans="1:8" x14ac:dyDescent="0.2">
      <c r="A91" s="23"/>
      <c r="B91" s="23"/>
      <c r="C91" s="24" t="s">
        <v>155</v>
      </c>
      <c r="D91" s="23"/>
      <c r="E91" s="23"/>
      <c r="F91" s="31">
        <f>F83+F79+F71</f>
        <v>113100.10827960003</v>
      </c>
      <c r="G91" s="32">
        <f>G83+G79+G71</f>
        <v>0.93287698000000019</v>
      </c>
      <c r="H91" s="25" t="s">
        <v>148</v>
      </c>
    </row>
    <row r="92" spans="1:8" x14ac:dyDescent="0.2">
      <c r="A92" s="23"/>
      <c r="B92" s="23"/>
      <c r="C92" s="33"/>
      <c r="D92" s="23"/>
      <c r="E92" s="23"/>
      <c r="F92" s="34"/>
      <c r="G92" s="34"/>
      <c r="H92" s="25" t="s">
        <v>148</v>
      </c>
    </row>
    <row r="93" spans="1:8" x14ac:dyDescent="0.2">
      <c r="A93" s="23"/>
      <c r="B93" s="23"/>
      <c r="C93" s="24" t="s">
        <v>156</v>
      </c>
      <c r="D93" s="23"/>
      <c r="E93" s="23"/>
      <c r="F93" s="34"/>
      <c r="G93" s="34"/>
      <c r="H93" s="25" t="s">
        <v>148</v>
      </c>
    </row>
    <row r="94" spans="1:8" x14ac:dyDescent="0.2">
      <c r="A94" s="23"/>
      <c r="B94" s="23"/>
      <c r="C94" s="24" t="s">
        <v>10</v>
      </c>
      <c r="D94" s="23"/>
      <c r="E94" s="23"/>
      <c r="F94" s="34"/>
      <c r="G94" s="34"/>
      <c r="H94" s="25" t="s">
        <v>148</v>
      </c>
    </row>
    <row r="95" spans="1:8" x14ac:dyDescent="0.2">
      <c r="A95" s="23"/>
      <c r="B95" s="23"/>
      <c r="C95" s="24" t="s">
        <v>147</v>
      </c>
      <c r="D95" s="23"/>
      <c r="E95" s="23" t="s">
        <v>148</v>
      </c>
      <c r="F95" s="35" t="s">
        <v>150</v>
      </c>
      <c r="G95" s="32">
        <v>0</v>
      </c>
      <c r="H95" s="25" t="s">
        <v>148</v>
      </c>
    </row>
    <row r="96" spans="1:8" x14ac:dyDescent="0.2">
      <c r="A96" s="23"/>
      <c r="B96" s="23"/>
      <c r="C96" s="33"/>
      <c r="D96" s="23"/>
      <c r="E96" s="23"/>
      <c r="F96" s="34"/>
      <c r="G96" s="34"/>
      <c r="H96" s="25" t="s">
        <v>148</v>
      </c>
    </row>
    <row r="97" spans="1:8" x14ac:dyDescent="0.2">
      <c r="A97" s="23"/>
      <c r="B97" s="23"/>
      <c r="C97" s="24" t="s">
        <v>157</v>
      </c>
      <c r="D97" s="23"/>
      <c r="E97" s="23"/>
      <c r="F97" s="23"/>
      <c r="G97" s="23"/>
      <c r="H97" s="25" t="s">
        <v>148</v>
      </c>
    </row>
    <row r="98" spans="1:8" x14ac:dyDescent="0.2">
      <c r="A98" s="23"/>
      <c r="B98" s="23"/>
      <c r="C98" s="24" t="s">
        <v>147</v>
      </c>
      <c r="D98" s="23"/>
      <c r="E98" s="23" t="s">
        <v>148</v>
      </c>
      <c r="F98" s="35" t="s">
        <v>150</v>
      </c>
      <c r="G98" s="32">
        <v>0</v>
      </c>
      <c r="H98" s="25" t="s">
        <v>148</v>
      </c>
    </row>
    <row r="99" spans="1:8" x14ac:dyDescent="0.2">
      <c r="A99" s="23"/>
      <c r="B99" s="23"/>
      <c r="C99" s="33"/>
      <c r="D99" s="23"/>
      <c r="E99" s="23"/>
      <c r="F99" s="34"/>
      <c r="G99" s="34"/>
      <c r="H99" s="25" t="s">
        <v>148</v>
      </c>
    </row>
    <row r="100" spans="1:8" x14ac:dyDescent="0.2">
      <c r="A100" s="23"/>
      <c r="B100" s="23"/>
      <c r="C100" s="24" t="s">
        <v>158</v>
      </c>
      <c r="D100" s="23"/>
      <c r="E100" s="23"/>
      <c r="F100" s="23"/>
      <c r="G100" s="23"/>
      <c r="H100" s="25" t="s">
        <v>148</v>
      </c>
    </row>
    <row r="101" spans="1:8" x14ac:dyDescent="0.2">
      <c r="A101" s="23"/>
      <c r="B101" s="23"/>
      <c r="C101" s="24" t="s">
        <v>147</v>
      </c>
      <c r="D101" s="23"/>
      <c r="E101" s="23" t="s">
        <v>148</v>
      </c>
      <c r="F101" s="35" t="s">
        <v>150</v>
      </c>
      <c r="G101" s="32">
        <v>0</v>
      </c>
      <c r="H101" s="25" t="s">
        <v>148</v>
      </c>
    </row>
    <row r="102" spans="1:8" x14ac:dyDescent="0.2">
      <c r="A102" s="23"/>
      <c r="B102" s="23"/>
      <c r="C102" s="33"/>
      <c r="D102" s="23"/>
      <c r="E102" s="23"/>
      <c r="F102" s="34"/>
      <c r="G102" s="34"/>
      <c r="H102" s="25" t="s">
        <v>148</v>
      </c>
    </row>
    <row r="103" spans="1:8" x14ac:dyDescent="0.2">
      <c r="A103" s="23"/>
      <c r="B103" s="23"/>
      <c r="C103" s="24" t="s">
        <v>159</v>
      </c>
      <c r="D103" s="23"/>
      <c r="E103" s="23"/>
      <c r="F103" s="34"/>
      <c r="G103" s="34"/>
      <c r="H103" s="25" t="s">
        <v>148</v>
      </c>
    </row>
    <row r="104" spans="1:8" x14ac:dyDescent="0.2">
      <c r="A104" s="23"/>
      <c r="B104" s="23"/>
      <c r="C104" s="24" t="s">
        <v>147</v>
      </c>
      <c r="D104" s="23"/>
      <c r="E104" s="23" t="s">
        <v>148</v>
      </c>
      <c r="F104" s="35" t="s">
        <v>150</v>
      </c>
      <c r="G104" s="32">
        <v>0</v>
      </c>
      <c r="H104" s="25" t="s">
        <v>148</v>
      </c>
    </row>
    <row r="105" spans="1:8" x14ac:dyDescent="0.2">
      <c r="A105" s="23"/>
      <c r="B105" s="23"/>
      <c r="C105" s="33"/>
      <c r="D105" s="23"/>
      <c r="E105" s="23"/>
      <c r="F105" s="34"/>
      <c r="G105" s="34"/>
      <c r="H105" s="25" t="s">
        <v>148</v>
      </c>
    </row>
    <row r="106" spans="1:8" x14ac:dyDescent="0.2">
      <c r="A106" s="23"/>
      <c r="B106" s="23"/>
      <c r="C106" s="24" t="s">
        <v>160</v>
      </c>
      <c r="D106" s="23"/>
      <c r="E106" s="23"/>
      <c r="F106" s="31">
        <v>0</v>
      </c>
      <c r="G106" s="32">
        <v>0</v>
      </c>
      <c r="H106" s="25" t="s">
        <v>148</v>
      </c>
    </row>
    <row r="107" spans="1:8" x14ac:dyDescent="0.2">
      <c r="A107" s="23"/>
      <c r="B107" s="23"/>
      <c r="C107" s="33"/>
      <c r="D107" s="23"/>
      <c r="E107" s="23"/>
      <c r="F107" s="34"/>
      <c r="G107" s="34"/>
      <c r="H107" s="25" t="s">
        <v>148</v>
      </c>
    </row>
    <row r="108" spans="1:8" x14ac:dyDescent="0.2">
      <c r="A108" s="23"/>
      <c r="B108" s="23"/>
      <c r="C108" s="24" t="s">
        <v>161</v>
      </c>
      <c r="D108" s="23"/>
      <c r="E108" s="23"/>
      <c r="F108" s="34"/>
      <c r="G108" s="34"/>
      <c r="H108" s="25" t="s">
        <v>148</v>
      </c>
    </row>
    <row r="109" spans="1:8" x14ac:dyDescent="0.2">
      <c r="A109" s="23"/>
      <c r="B109" s="23"/>
      <c r="C109" s="24" t="s">
        <v>162</v>
      </c>
      <c r="D109" s="23"/>
      <c r="E109" s="23"/>
      <c r="F109" s="34"/>
      <c r="G109" s="34"/>
      <c r="H109" s="25" t="s">
        <v>148</v>
      </c>
    </row>
    <row r="110" spans="1:8" x14ac:dyDescent="0.2">
      <c r="A110" s="23"/>
      <c r="B110" s="23"/>
      <c r="C110" s="24" t="s">
        <v>147</v>
      </c>
      <c r="D110" s="23"/>
      <c r="E110" s="23" t="s">
        <v>148</v>
      </c>
      <c r="F110" s="35" t="s">
        <v>150</v>
      </c>
      <c r="G110" s="32">
        <v>0</v>
      </c>
      <c r="H110" s="25" t="s">
        <v>148</v>
      </c>
    </row>
    <row r="111" spans="1:8" x14ac:dyDescent="0.2">
      <c r="A111" s="23"/>
      <c r="B111" s="23"/>
      <c r="C111" s="33"/>
      <c r="D111" s="23"/>
      <c r="E111" s="23"/>
      <c r="F111" s="34"/>
      <c r="G111" s="34"/>
      <c r="H111" s="25" t="s">
        <v>148</v>
      </c>
    </row>
    <row r="112" spans="1:8" x14ac:dyDescent="0.2">
      <c r="A112" s="23"/>
      <c r="B112" s="23"/>
      <c r="C112" s="24" t="s">
        <v>163</v>
      </c>
      <c r="D112" s="23"/>
      <c r="E112" s="23"/>
      <c r="F112" s="34"/>
      <c r="G112" s="34"/>
      <c r="H112" s="25" t="s">
        <v>148</v>
      </c>
    </row>
    <row r="113" spans="1:8" x14ac:dyDescent="0.2">
      <c r="A113" s="23"/>
      <c r="B113" s="23"/>
      <c r="C113" s="24" t="s">
        <v>147</v>
      </c>
      <c r="D113" s="23"/>
      <c r="E113" s="23" t="s">
        <v>148</v>
      </c>
      <c r="F113" s="35" t="s">
        <v>150</v>
      </c>
      <c r="G113" s="32">
        <v>0</v>
      </c>
      <c r="H113" s="25" t="s">
        <v>148</v>
      </c>
    </row>
    <row r="114" spans="1:8" x14ac:dyDescent="0.2">
      <c r="A114" s="23"/>
      <c r="B114" s="23"/>
      <c r="C114" s="33"/>
      <c r="D114" s="23"/>
      <c r="E114" s="23"/>
      <c r="F114" s="34"/>
      <c r="G114" s="34"/>
      <c r="H114" s="25" t="s">
        <v>148</v>
      </c>
    </row>
    <row r="115" spans="1:8" x14ac:dyDescent="0.2">
      <c r="A115" s="23"/>
      <c r="B115" s="23"/>
      <c r="C115" s="24" t="s">
        <v>164</v>
      </c>
      <c r="D115" s="23"/>
      <c r="E115" s="23"/>
      <c r="F115" s="34"/>
      <c r="G115" s="34"/>
      <c r="H115" s="25" t="s">
        <v>148</v>
      </c>
    </row>
    <row r="116" spans="1:8" x14ac:dyDescent="0.2">
      <c r="A116" s="23"/>
      <c r="B116" s="23"/>
      <c r="C116" s="24" t="s">
        <v>147</v>
      </c>
      <c r="D116" s="23"/>
      <c r="E116" s="23" t="s">
        <v>148</v>
      </c>
      <c r="F116" s="35" t="s">
        <v>150</v>
      </c>
      <c r="G116" s="32">
        <v>0</v>
      </c>
      <c r="H116" s="25" t="s">
        <v>148</v>
      </c>
    </row>
    <row r="117" spans="1:8" x14ac:dyDescent="0.2">
      <c r="A117" s="23"/>
      <c r="B117" s="23"/>
      <c r="C117" s="33"/>
      <c r="D117" s="23"/>
      <c r="E117" s="23"/>
      <c r="F117" s="34"/>
      <c r="G117" s="34"/>
      <c r="H117" s="25" t="s">
        <v>148</v>
      </c>
    </row>
    <row r="118" spans="1:8" x14ac:dyDescent="0.2">
      <c r="A118" s="23"/>
      <c r="B118" s="23"/>
      <c r="C118" s="24" t="s">
        <v>165</v>
      </c>
      <c r="D118" s="23"/>
      <c r="E118" s="23"/>
      <c r="F118" s="34"/>
      <c r="G118" s="34"/>
      <c r="H118" s="25" t="s">
        <v>148</v>
      </c>
    </row>
    <row r="119" spans="1:8" x14ac:dyDescent="0.2">
      <c r="A119" s="26">
        <v>1</v>
      </c>
      <c r="B119" s="27"/>
      <c r="C119" s="27" t="s">
        <v>166</v>
      </c>
      <c r="D119" s="27"/>
      <c r="E119" s="36"/>
      <c r="F119" s="29">
        <v>9647.9171534599991</v>
      </c>
      <c r="G119" s="30">
        <v>7.9578350000000006E-2</v>
      </c>
      <c r="H119" s="25">
        <v>6.23</v>
      </c>
    </row>
    <row r="120" spans="1:8" x14ac:dyDescent="0.2">
      <c r="A120" s="23"/>
      <c r="B120" s="23"/>
      <c r="C120" s="24" t="s">
        <v>147</v>
      </c>
      <c r="D120" s="23"/>
      <c r="E120" s="23" t="s">
        <v>148</v>
      </c>
      <c r="F120" s="31">
        <v>9647.9171534599991</v>
      </c>
      <c r="G120" s="32">
        <v>7.9578350000000006E-2</v>
      </c>
      <c r="H120" s="25" t="s">
        <v>148</v>
      </c>
    </row>
    <row r="121" spans="1:8" x14ac:dyDescent="0.2">
      <c r="A121" s="23"/>
      <c r="B121" s="23"/>
      <c r="C121" s="33"/>
      <c r="D121" s="23"/>
      <c r="E121" s="23"/>
      <c r="F121" s="34"/>
      <c r="G121" s="34"/>
      <c r="H121" s="25" t="s">
        <v>148</v>
      </c>
    </row>
    <row r="122" spans="1:8" x14ac:dyDescent="0.2">
      <c r="A122" s="23"/>
      <c r="B122" s="23"/>
      <c r="C122" s="24" t="s">
        <v>167</v>
      </c>
      <c r="D122" s="23"/>
      <c r="E122" s="23"/>
      <c r="F122" s="31">
        <v>9647.9171534599991</v>
      </c>
      <c r="G122" s="32">
        <v>7.9578350000000006E-2</v>
      </c>
      <c r="H122" s="25" t="s">
        <v>148</v>
      </c>
    </row>
    <row r="123" spans="1:8" x14ac:dyDescent="0.2">
      <c r="A123" s="23"/>
      <c r="B123" s="23"/>
      <c r="C123" s="34"/>
      <c r="D123" s="23"/>
      <c r="E123" s="23"/>
      <c r="F123" s="23"/>
      <c r="G123" s="23"/>
      <c r="H123" s="25" t="s">
        <v>148</v>
      </c>
    </row>
    <row r="124" spans="1:8" x14ac:dyDescent="0.2">
      <c r="A124" s="23"/>
      <c r="B124" s="23"/>
      <c r="C124" s="24" t="s">
        <v>168</v>
      </c>
      <c r="D124" s="23"/>
      <c r="E124" s="23"/>
      <c r="F124" s="23"/>
      <c r="G124" s="23"/>
      <c r="H124" s="25" t="s">
        <v>148</v>
      </c>
    </row>
    <row r="125" spans="1:8" x14ac:dyDescent="0.2">
      <c r="A125" s="23"/>
      <c r="B125" s="23"/>
      <c r="C125" s="24" t="s">
        <v>169</v>
      </c>
      <c r="D125" s="23"/>
      <c r="E125" s="23"/>
      <c r="F125" s="23"/>
      <c r="G125" s="23"/>
      <c r="H125" s="25" t="s">
        <v>148</v>
      </c>
    </row>
    <row r="126" spans="1:8" x14ac:dyDescent="0.2">
      <c r="A126" s="23"/>
      <c r="B126" s="23"/>
      <c r="C126" s="24" t="s">
        <v>147</v>
      </c>
      <c r="D126" s="23"/>
      <c r="E126" s="23" t="s">
        <v>148</v>
      </c>
      <c r="F126" s="35" t="s">
        <v>150</v>
      </c>
      <c r="G126" s="32">
        <v>0</v>
      </c>
      <c r="H126" s="25" t="s">
        <v>148</v>
      </c>
    </row>
    <row r="127" spans="1:8" x14ac:dyDescent="0.2">
      <c r="A127" s="23"/>
      <c r="B127" s="23"/>
      <c r="C127" s="33"/>
      <c r="D127" s="23"/>
      <c r="E127" s="23"/>
      <c r="F127" s="34"/>
      <c r="G127" s="34"/>
      <c r="H127" s="25" t="s">
        <v>148</v>
      </c>
    </row>
    <row r="128" spans="1:8" x14ac:dyDescent="0.2">
      <c r="A128" s="23"/>
      <c r="B128" s="23"/>
      <c r="C128" s="24" t="s">
        <v>172</v>
      </c>
      <c r="D128" s="23"/>
      <c r="E128" s="23"/>
      <c r="F128" s="23"/>
      <c r="G128" s="23"/>
      <c r="H128" s="25" t="s">
        <v>148</v>
      </c>
    </row>
    <row r="129" spans="1:17" x14ac:dyDescent="0.2">
      <c r="A129" s="23"/>
      <c r="B129" s="23"/>
      <c r="C129" s="24" t="s">
        <v>173</v>
      </c>
      <c r="D129" s="23"/>
      <c r="E129" s="23"/>
      <c r="F129" s="23"/>
      <c r="G129" s="23"/>
      <c r="H129" s="25" t="s">
        <v>148</v>
      </c>
    </row>
    <row r="130" spans="1:17" x14ac:dyDescent="0.2">
      <c r="A130" s="23"/>
      <c r="B130" s="23"/>
      <c r="C130" s="24" t="s">
        <v>147</v>
      </c>
      <c r="D130" s="23"/>
      <c r="E130" s="23" t="s">
        <v>148</v>
      </c>
      <c r="F130" s="35" t="s">
        <v>150</v>
      </c>
      <c r="G130" s="32">
        <v>0</v>
      </c>
      <c r="H130" s="25" t="s">
        <v>148</v>
      </c>
    </row>
    <row r="131" spans="1:17" x14ac:dyDescent="0.2">
      <c r="A131" s="23"/>
      <c r="B131" s="23"/>
      <c r="C131" s="33"/>
      <c r="D131" s="23"/>
      <c r="E131" s="23"/>
      <c r="F131" s="34"/>
      <c r="G131" s="34"/>
      <c r="H131" s="25" t="s">
        <v>148</v>
      </c>
    </row>
    <row r="132" spans="1:17" x14ac:dyDescent="0.2">
      <c r="A132" s="23"/>
      <c r="B132" s="23"/>
      <c r="C132" s="24" t="s">
        <v>174</v>
      </c>
      <c r="D132" s="23"/>
      <c r="E132" s="23"/>
      <c r="F132" s="34"/>
      <c r="G132" s="34"/>
      <c r="H132" s="25" t="s">
        <v>148</v>
      </c>
    </row>
    <row r="133" spans="1:17" x14ac:dyDescent="0.2">
      <c r="A133" s="23"/>
      <c r="B133" s="23"/>
      <c r="C133" s="24" t="s">
        <v>147</v>
      </c>
      <c r="D133" s="23"/>
      <c r="E133" s="23" t="s">
        <v>148</v>
      </c>
      <c r="F133" s="35" t="s">
        <v>150</v>
      </c>
      <c r="G133" s="32">
        <v>0</v>
      </c>
      <c r="H133" s="25" t="s">
        <v>148</v>
      </c>
    </row>
    <row r="134" spans="1:17" x14ac:dyDescent="0.2">
      <c r="A134" s="23"/>
      <c r="B134" s="27"/>
      <c r="C134" s="27"/>
      <c r="D134" s="24"/>
      <c r="E134" s="23"/>
      <c r="F134" s="27"/>
      <c r="G134" s="36"/>
      <c r="H134" s="25" t="s">
        <v>148</v>
      </c>
    </row>
    <row r="135" spans="1:17" x14ac:dyDescent="0.2">
      <c r="A135" s="36"/>
      <c r="B135" s="27"/>
      <c r="C135" s="27" t="s">
        <v>175</v>
      </c>
      <c r="D135" s="27"/>
      <c r="E135" s="36"/>
      <c r="F135" s="29">
        <v>-1510.0603198199999</v>
      </c>
      <c r="G135" s="30">
        <v>-1.2455340000000001E-2</v>
      </c>
      <c r="H135" s="25" t="s">
        <v>148</v>
      </c>
    </row>
    <row r="136" spans="1:17" x14ac:dyDescent="0.2">
      <c r="A136" s="33"/>
      <c r="B136" s="33"/>
      <c r="C136" s="24" t="s">
        <v>176</v>
      </c>
      <c r="D136" s="34"/>
      <c r="E136" s="34"/>
      <c r="F136" s="31">
        <v>121237.96511324</v>
      </c>
      <c r="G136" s="39">
        <v>0.99999998999999995</v>
      </c>
      <c r="H136" s="25" t="s">
        <v>148</v>
      </c>
    </row>
    <row r="137" spans="1:17" x14ac:dyDescent="0.2">
      <c r="A137" s="40"/>
      <c r="B137" s="40"/>
      <c r="C137" s="40"/>
      <c r="D137" s="41"/>
      <c r="E137" s="41"/>
      <c r="F137" s="41"/>
      <c r="G137" s="41"/>
    </row>
    <row r="138" spans="1:17" x14ac:dyDescent="0.2">
      <c r="A138" s="42"/>
      <c r="B138" s="237" t="s">
        <v>891</v>
      </c>
      <c r="C138" s="237"/>
      <c r="D138" s="237"/>
      <c r="E138" s="237"/>
      <c r="F138" s="237"/>
      <c r="G138" s="237"/>
      <c r="H138" s="237"/>
      <c r="J138" s="44"/>
    </row>
    <row r="139" spans="1:17" x14ac:dyDescent="0.2">
      <c r="A139" s="42"/>
      <c r="B139" s="237" t="s">
        <v>892</v>
      </c>
      <c r="C139" s="237"/>
      <c r="D139" s="237"/>
      <c r="E139" s="237"/>
      <c r="F139" s="237"/>
      <c r="G139" s="237"/>
      <c r="H139" s="237"/>
      <c r="J139" s="44"/>
    </row>
    <row r="140" spans="1:17" x14ac:dyDescent="0.2">
      <c r="A140" s="42"/>
      <c r="B140" s="237" t="s">
        <v>893</v>
      </c>
      <c r="C140" s="237"/>
      <c r="D140" s="237"/>
      <c r="E140" s="237"/>
      <c r="F140" s="237"/>
      <c r="G140" s="237"/>
      <c r="H140" s="237"/>
      <c r="J140" s="44"/>
    </row>
    <row r="141" spans="1:17" s="46" customFormat="1" ht="66.75" customHeight="1" x14ac:dyDescent="0.25">
      <c r="A141" s="45"/>
      <c r="B141" s="239" t="s">
        <v>894</v>
      </c>
      <c r="C141" s="239"/>
      <c r="D141" s="239"/>
      <c r="E141" s="239"/>
      <c r="F141" s="239"/>
      <c r="G141" s="239"/>
      <c r="H141" s="239"/>
      <c r="I141"/>
      <c r="J141" s="44"/>
      <c r="K141"/>
      <c r="L141"/>
      <c r="M141"/>
      <c r="N141"/>
      <c r="O141"/>
      <c r="P141"/>
      <c r="Q141"/>
    </row>
    <row r="142" spans="1:17" x14ac:dyDescent="0.2">
      <c r="A142" s="42"/>
      <c r="B142" s="237" t="s">
        <v>895</v>
      </c>
      <c r="C142" s="237"/>
      <c r="D142" s="237"/>
      <c r="E142" s="237"/>
      <c r="F142" s="237"/>
      <c r="G142" s="237"/>
      <c r="H142" s="237"/>
      <c r="J142" s="44"/>
    </row>
    <row r="143" spans="1:17" x14ac:dyDescent="0.2">
      <c r="A143" s="47"/>
      <c r="B143" s="47"/>
      <c r="C143" s="47"/>
      <c r="D143" s="48"/>
      <c r="E143" s="48"/>
      <c r="F143" s="48"/>
      <c r="G143" s="48"/>
    </row>
    <row r="144" spans="1:17" x14ac:dyDescent="0.2">
      <c r="A144" s="47"/>
      <c r="B144" s="234" t="s">
        <v>177</v>
      </c>
      <c r="C144" s="235"/>
      <c r="D144" s="236"/>
      <c r="E144" s="49"/>
      <c r="F144" s="48"/>
      <c r="G144" s="48"/>
    </row>
    <row r="145" spans="1:10" ht="25.5" customHeight="1" x14ac:dyDescent="0.2">
      <c r="A145" s="42"/>
      <c r="B145" s="240" t="s">
        <v>178</v>
      </c>
      <c r="C145" s="241"/>
      <c r="D145" s="58" t="s">
        <v>928</v>
      </c>
      <c r="E145" s="73"/>
      <c r="F145" s="74"/>
      <c r="G145" s="74"/>
    </row>
    <row r="146" spans="1:10" ht="17.100000000000001" customHeight="1" x14ac:dyDescent="0.2">
      <c r="A146" s="42"/>
      <c r="B146" s="240" t="s">
        <v>1038</v>
      </c>
      <c r="C146" s="241"/>
      <c r="D146" s="75" t="str">
        <f>"Rs. "&amp;TEXT(F79,"0.00")&amp;" lacs/ "&amp;TEXT(ROUND(G79*100,2),"0.00")&amp;"%"</f>
        <v>Rs. 65.56 lacs/ 0.05%</v>
      </c>
      <c r="E146" s="73"/>
      <c r="F146" s="74"/>
      <c r="G146" s="74"/>
    </row>
    <row r="147" spans="1:10" x14ac:dyDescent="0.2">
      <c r="A147" s="47"/>
      <c r="B147" s="232" t="s">
        <v>181</v>
      </c>
      <c r="C147" s="233"/>
      <c r="D147" s="34" t="s">
        <v>148</v>
      </c>
      <c r="E147" s="49"/>
      <c r="F147" s="48"/>
      <c r="G147" s="48"/>
    </row>
    <row r="148" spans="1:10" x14ac:dyDescent="0.2">
      <c r="A148" s="50"/>
      <c r="B148" s="51" t="s">
        <v>148</v>
      </c>
      <c r="C148" s="51" t="s">
        <v>896</v>
      </c>
      <c r="D148" s="51" t="s">
        <v>182</v>
      </c>
      <c r="E148" s="50"/>
      <c r="F148" s="50"/>
      <c r="G148" s="50"/>
      <c r="H148" s="50"/>
      <c r="J148" s="44"/>
    </row>
    <row r="149" spans="1:10" x14ac:dyDescent="0.2">
      <c r="A149" s="50"/>
      <c r="B149" s="52" t="s">
        <v>183</v>
      </c>
      <c r="C149" s="53">
        <v>45688</v>
      </c>
      <c r="D149" s="53">
        <v>45716</v>
      </c>
      <c r="E149" s="50"/>
      <c r="F149" s="50"/>
      <c r="G149" s="50"/>
      <c r="J149" s="44"/>
    </row>
    <row r="150" spans="1:10" x14ac:dyDescent="0.2">
      <c r="A150" s="54"/>
      <c r="B150" s="27" t="s">
        <v>184</v>
      </c>
      <c r="C150" s="55">
        <v>505.45769999999999</v>
      </c>
      <c r="D150" s="55">
        <v>472.23180000000002</v>
      </c>
      <c r="E150" s="54"/>
      <c r="F150" s="56"/>
      <c r="G150" s="57"/>
    </row>
    <row r="151" spans="1:10" ht="25.5" x14ac:dyDescent="0.2">
      <c r="A151" s="54"/>
      <c r="B151" s="27" t="s">
        <v>1072</v>
      </c>
      <c r="C151" s="55">
        <v>504.94880000000001</v>
      </c>
      <c r="D151" s="55">
        <v>471.75630000000001</v>
      </c>
      <c r="E151" s="54"/>
      <c r="F151" s="56"/>
      <c r="G151" s="57"/>
    </row>
    <row r="152" spans="1:10" x14ac:dyDescent="0.2">
      <c r="A152" s="54"/>
      <c r="B152" s="27" t="s">
        <v>186</v>
      </c>
      <c r="C152" s="55">
        <v>473.93959999999998</v>
      </c>
      <c r="D152" s="55">
        <v>442.60520000000002</v>
      </c>
      <c r="E152" s="54"/>
      <c r="F152" s="56"/>
      <c r="G152" s="57"/>
    </row>
    <row r="153" spans="1:10" ht="25.5" x14ac:dyDescent="0.2">
      <c r="A153" s="54"/>
      <c r="B153" s="27" t="s">
        <v>1073</v>
      </c>
      <c r="C153" s="55">
        <v>395.84030000000001</v>
      </c>
      <c r="D153" s="55">
        <v>369.6694</v>
      </c>
      <c r="E153" s="54"/>
      <c r="F153" s="56"/>
      <c r="G153" s="57"/>
    </row>
    <row r="154" spans="1:10" x14ac:dyDescent="0.2">
      <c r="A154" s="54"/>
      <c r="B154" s="54"/>
      <c r="C154" s="54"/>
      <c r="D154" s="54"/>
      <c r="E154" s="54"/>
      <c r="F154" s="54"/>
      <c r="G154" s="54"/>
    </row>
    <row r="155" spans="1:10" x14ac:dyDescent="0.2">
      <c r="A155" s="50"/>
      <c r="B155" s="240" t="s">
        <v>898</v>
      </c>
      <c r="C155" s="241"/>
      <c r="D155" s="58" t="s">
        <v>179</v>
      </c>
      <c r="E155" s="50"/>
      <c r="F155" s="50"/>
      <c r="G155" s="50"/>
    </row>
    <row r="156" spans="1:10" x14ac:dyDescent="0.2">
      <c r="A156" s="50"/>
      <c r="B156" s="59"/>
      <c r="C156" s="59"/>
      <c r="D156" s="59"/>
      <c r="E156" s="50"/>
      <c r="F156" s="50"/>
      <c r="G156" s="50"/>
    </row>
    <row r="157" spans="1:10" ht="29.1" customHeight="1" x14ac:dyDescent="0.2">
      <c r="A157" s="50"/>
      <c r="B157" s="240" t="s">
        <v>188</v>
      </c>
      <c r="C157" s="241"/>
      <c r="D157" s="58" t="s">
        <v>179</v>
      </c>
      <c r="E157" s="60"/>
      <c r="F157" s="50"/>
      <c r="G157" s="50"/>
    </row>
    <row r="158" spans="1:10" ht="29.1" customHeight="1" x14ac:dyDescent="0.2">
      <c r="A158" s="50"/>
      <c r="B158" s="240" t="s">
        <v>189</v>
      </c>
      <c r="C158" s="241"/>
      <c r="D158" s="58" t="s">
        <v>179</v>
      </c>
      <c r="E158" s="60"/>
      <c r="F158" s="50"/>
      <c r="G158" s="50"/>
    </row>
    <row r="159" spans="1:10" ht="17.100000000000001" customHeight="1" x14ac:dyDescent="0.2">
      <c r="A159" s="50"/>
      <c r="B159" s="240" t="s">
        <v>190</v>
      </c>
      <c r="C159" s="241"/>
      <c r="D159" s="58" t="s">
        <v>179</v>
      </c>
      <c r="E159" s="60"/>
      <c r="F159" s="50"/>
      <c r="G159" s="50"/>
    </row>
    <row r="160" spans="1:10" ht="17.100000000000001" customHeight="1" x14ac:dyDescent="0.2">
      <c r="A160" s="50"/>
      <c r="B160" s="240" t="s">
        <v>191</v>
      </c>
      <c r="C160" s="241"/>
      <c r="D160" s="61">
        <v>0.32579655536125668</v>
      </c>
      <c r="E160" s="50"/>
      <c r="F160" s="43"/>
      <c r="G160" s="62"/>
    </row>
    <row r="162" spans="2:10" ht="13.5" x14ac:dyDescent="0.25">
      <c r="B162" s="76" t="s">
        <v>1066</v>
      </c>
      <c r="C162" s="77"/>
      <c r="D162" s="77"/>
      <c r="E162" s="14"/>
      <c r="F162" s="15"/>
    </row>
    <row r="163" spans="2:10" ht="67.5" x14ac:dyDescent="0.25">
      <c r="B163" s="78" t="s">
        <v>929</v>
      </c>
      <c r="C163" s="78" t="s">
        <v>930</v>
      </c>
      <c r="D163" s="78" t="s">
        <v>931</v>
      </c>
      <c r="E163" s="78" t="s">
        <v>932</v>
      </c>
      <c r="F163" s="78" t="s">
        <v>933</v>
      </c>
    </row>
    <row r="164" spans="2:10" ht="13.5" x14ac:dyDescent="0.2">
      <c r="B164" s="79" t="s">
        <v>1042</v>
      </c>
      <c r="C164" s="80" t="s">
        <v>1013</v>
      </c>
      <c r="D164" s="16">
        <v>0</v>
      </c>
      <c r="E164" s="17">
        <v>0</v>
      </c>
      <c r="F164" s="81">
        <v>0.54925000000000002</v>
      </c>
    </row>
    <row r="166" spans="2:10" x14ac:dyDescent="0.2">
      <c r="B166" s="238" t="s">
        <v>899</v>
      </c>
      <c r="C166" s="238"/>
    </row>
    <row r="168" spans="2:10" ht="153.75" customHeight="1" x14ac:dyDescent="0.2"/>
    <row r="171" spans="2:10" x14ac:dyDescent="0.2">
      <c r="B171" s="68" t="s">
        <v>900</v>
      </c>
      <c r="C171" s="69"/>
      <c r="D171" s="68" t="s">
        <v>903</v>
      </c>
    </row>
    <row r="172" spans="2:10" x14ac:dyDescent="0.2">
      <c r="B172" s="68" t="s">
        <v>1043</v>
      </c>
      <c r="D172" s="68" t="s">
        <v>1043</v>
      </c>
    </row>
    <row r="173" spans="2:10" ht="165" customHeight="1" x14ac:dyDescent="0.2"/>
    <row r="175" spans="2:10" x14ac:dyDescent="0.2">
      <c r="J175" s="22"/>
    </row>
    <row r="177" customFormat="1" x14ac:dyDescent="0.2"/>
    <row r="178" customFormat="1" x14ac:dyDescent="0.2"/>
    <row r="179" customFormat="1" x14ac:dyDescent="0.2"/>
    <row r="180" customFormat="1" x14ac:dyDescent="0.2"/>
  </sheetData>
  <mergeCells count="18">
    <mergeCell ref="B166:C166"/>
    <mergeCell ref="B140:H140"/>
    <mergeCell ref="B141:H141"/>
    <mergeCell ref="B142:H142"/>
    <mergeCell ref="B157:C157"/>
    <mergeCell ref="B158:C158"/>
    <mergeCell ref="B155:C155"/>
    <mergeCell ref="B159:C159"/>
    <mergeCell ref="B160:C160"/>
    <mergeCell ref="A3:H3"/>
    <mergeCell ref="A2:H2"/>
    <mergeCell ref="A1:H1"/>
    <mergeCell ref="B146:C146"/>
    <mergeCell ref="B147:C147"/>
    <mergeCell ref="B144:D144"/>
    <mergeCell ref="B145:C145"/>
    <mergeCell ref="B138:H138"/>
    <mergeCell ref="B139:H139"/>
  </mergeCells>
  <hyperlinks>
    <hyperlink ref="I1" location="Index!B2" display="Index" xr:uid="{572484BA-3D7A-4483-91A9-88A9869D3A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54F2-71B0-4EA6-A607-25716105C199}">
  <sheetPr>
    <outlinePr summaryBelow="0" summaryRight="0"/>
  </sheetPr>
  <dimension ref="A1:Q153"/>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1.7109375" bestFit="1"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812</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11</v>
      </c>
      <c r="C7" s="27" t="s">
        <v>12</v>
      </c>
      <c r="D7" s="27" t="s">
        <v>13</v>
      </c>
      <c r="E7" s="28">
        <v>939519</v>
      </c>
      <c r="F7" s="29">
        <v>14752.327337999999</v>
      </c>
      <c r="G7" s="30">
        <v>0.10550989</v>
      </c>
      <c r="H7" s="25" t="s">
        <v>148</v>
      </c>
    </row>
    <row r="8" spans="1:9" x14ac:dyDescent="0.2">
      <c r="A8" s="26">
        <v>2</v>
      </c>
      <c r="B8" s="27" t="s">
        <v>348</v>
      </c>
      <c r="C8" s="27" t="s">
        <v>349</v>
      </c>
      <c r="D8" s="27" t="s">
        <v>350</v>
      </c>
      <c r="E8" s="28">
        <v>2991251</v>
      </c>
      <c r="F8" s="29">
        <v>11815.44145</v>
      </c>
      <c r="G8" s="30">
        <v>8.4505040000000003E-2</v>
      </c>
      <c r="H8" s="25" t="s">
        <v>148</v>
      </c>
    </row>
    <row r="9" spans="1:9" x14ac:dyDescent="0.2">
      <c r="A9" s="26">
        <v>3</v>
      </c>
      <c r="B9" s="27" t="s">
        <v>534</v>
      </c>
      <c r="C9" s="27" t="s">
        <v>535</v>
      </c>
      <c r="D9" s="27" t="s">
        <v>275</v>
      </c>
      <c r="E9" s="28">
        <v>385492</v>
      </c>
      <c r="F9" s="29">
        <v>9965.3536920000006</v>
      </c>
      <c r="G9" s="30">
        <v>7.1273050000000004E-2</v>
      </c>
      <c r="H9" s="25" t="s">
        <v>148</v>
      </c>
    </row>
    <row r="10" spans="1:9" x14ac:dyDescent="0.2">
      <c r="A10" s="26">
        <v>4</v>
      </c>
      <c r="B10" s="27" t="s">
        <v>448</v>
      </c>
      <c r="C10" s="27" t="s">
        <v>449</v>
      </c>
      <c r="D10" s="27" t="s">
        <v>350</v>
      </c>
      <c r="E10" s="28">
        <v>350212</v>
      </c>
      <c r="F10" s="29">
        <v>7670.5183299999999</v>
      </c>
      <c r="G10" s="30">
        <v>5.4860199999999998E-2</v>
      </c>
      <c r="H10" s="25" t="s">
        <v>148</v>
      </c>
    </row>
    <row r="11" spans="1:9" x14ac:dyDescent="0.2">
      <c r="A11" s="26">
        <v>5</v>
      </c>
      <c r="B11" s="27" t="s">
        <v>370</v>
      </c>
      <c r="C11" s="27" t="s">
        <v>371</v>
      </c>
      <c r="D11" s="27" t="s">
        <v>51</v>
      </c>
      <c r="E11" s="28">
        <v>235289</v>
      </c>
      <c r="F11" s="29">
        <v>7240.4307525000004</v>
      </c>
      <c r="G11" s="30">
        <v>5.1784169999999997E-2</v>
      </c>
      <c r="H11" s="25" t="s">
        <v>148</v>
      </c>
    </row>
    <row r="12" spans="1:9" x14ac:dyDescent="0.2">
      <c r="A12" s="26">
        <v>6</v>
      </c>
      <c r="B12" s="27" t="s">
        <v>524</v>
      </c>
      <c r="C12" s="27" t="s">
        <v>525</v>
      </c>
      <c r="D12" s="27" t="s">
        <v>275</v>
      </c>
      <c r="E12" s="28">
        <v>58511</v>
      </c>
      <c r="F12" s="29">
        <v>6989.6362934999997</v>
      </c>
      <c r="G12" s="30">
        <v>4.9990470000000002E-2</v>
      </c>
      <c r="H12" s="25" t="s">
        <v>148</v>
      </c>
    </row>
    <row r="13" spans="1:9" x14ac:dyDescent="0.2">
      <c r="A13" s="26">
        <v>7</v>
      </c>
      <c r="B13" s="27" t="s">
        <v>338</v>
      </c>
      <c r="C13" s="27" t="s">
        <v>339</v>
      </c>
      <c r="D13" s="27" t="s">
        <v>229</v>
      </c>
      <c r="E13" s="28">
        <v>3000962</v>
      </c>
      <c r="F13" s="29">
        <v>6665.1366019999996</v>
      </c>
      <c r="G13" s="30">
        <v>4.7669620000000003E-2</v>
      </c>
      <c r="H13" s="25" t="s">
        <v>148</v>
      </c>
    </row>
    <row r="14" spans="1:9" x14ac:dyDescent="0.2">
      <c r="A14" s="26">
        <v>8</v>
      </c>
      <c r="B14" s="27" t="s">
        <v>526</v>
      </c>
      <c r="C14" s="27" t="s">
        <v>527</v>
      </c>
      <c r="D14" s="27" t="s">
        <v>235</v>
      </c>
      <c r="E14" s="28">
        <v>453496</v>
      </c>
      <c r="F14" s="29">
        <v>5824.9293719999996</v>
      </c>
      <c r="G14" s="30">
        <v>4.1660389999999999E-2</v>
      </c>
      <c r="H14" s="25" t="s">
        <v>148</v>
      </c>
    </row>
    <row r="15" spans="1:9" x14ac:dyDescent="0.2">
      <c r="A15" s="26">
        <v>9</v>
      </c>
      <c r="B15" s="27" t="s">
        <v>380</v>
      </c>
      <c r="C15" s="27" t="s">
        <v>381</v>
      </c>
      <c r="D15" s="27" t="s">
        <v>51</v>
      </c>
      <c r="E15" s="28">
        <v>245560</v>
      </c>
      <c r="F15" s="29">
        <v>5245.2843800000001</v>
      </c>
      <c r="G15" s="30">
        <v>3.7514720000000001E-2</v>
      </c>
      <c r="H15" s="25" t="s">
        <v>148</v>
      </c>
    </row>
    <row r="16" spans="1:9" x14ac:dyDescent="0.2">
      <c r="A16" s="26">
        <v>10</v>
      </c>
      <c r="B16" s="27" t="s">
        <v>227</v>
      </c>
      <c r="C16" s="27" t="s">
        <v>228</v>
      </c>
      <c r="D16" s="27" t="s">
        <v>229</v>
      </c>
      <c r="E16" s="28">
        <v>86291</v>
      </c>
      <c r="F16" s="29">
        <v>4186.4510104999999</v>
      </c>
      <c r="G16" s="30">
        <v>2.9941849999999999E-2</v>
      </c>
      <c r="H16" s="25" t="s">
        <v>148</v>
      </c>
    </row>
    <row r="17" spans="1:8" x14ac:dyDescent="0.2">
      <c r="A17" s="26">
        <v>11</v>
      </c>
      <c r="B17" s="27" t="s">
        <v>752</v>
      </c>
      <c r="C17" s="27" t="s">
        <v>753</v>
      </c>
      <c r="D17" s="27" t="s">
        <v>111</v>
      </c>
      <c r="E17" s="28">
        <v>34697</v>
      </c>
      <c r="F17" s="29">
        <v>4015.9522195</v>
      </c>
      <c r="G17" s="30">
        <v>2.872243E-2</v>
      </c>
      <c r="H17" s="25" t="s">
        <v>148</v>
      </c>
    </row>
    <row r="18" spans="1:8" x14ac:dyDescent="0.2">
      <c r="A18" s="26">
        <v>12</v>
      </c>
      <c r="B18" s="27" t="s">
        <v>198</v>
      </c>
      <c r="C18" s="27" t="s">
        <v>199</v>
      </c>
      <c r="D18" s="27" t="s">
        <v>51</v>
      </c>
      <c r="E18" s="28">
        <v>837090</v>
      </c>
      <c r="F18" s="29">
        <v>3869.4485249999998</v>
      </c>
      <c r="G18" s="30">
        <v>2.767462E-2</v>
      </c>
      <c r="H18" s="25" t="s">
        <v>148</v>
      </c>
    </row>
    <row r="19" spans="1:8" x14ac:dyDescent="0.2">
      <c r="A19" s="26">
        <v>13</v>
      </c>
      <c r="B19" s="27" t="s">
        <v>701</v>
      </c>
      <c r="C19" s="27" t="s">
        <v>702</v>
      </c>
      <c r="D19" s="27" t="s">
        <v>210</v>
      </c>
      <c r="E19" s="28">
        <v>62653</v>
      </c>
      <c r="F19" s="29">
        <v>3792.1354780000001</v>
      </c>
      <c r="G19" s="30">
        <v>2.712167E-2</v>
      </c>
      <c r="H19" s="25" t="s">
        <v>148</v>
      </c>
    </row>
    <row r="20" spans="1:8" x14ac:dyDescent="0.2">
      <c r="A20" s="26">
        <v>14</v>
      </c>
      <c r="B20" s="27" t="s">
        <v>754</v>
      </c>
      <c r="C20" s="27" t="s">
        <v>755</v>
      </c>
      <c r="D20" s="27" t="s">
        <v>679</v>
      </c>
      <c r="E20" s="28">
        <v>169170</v>
      </c>
      <c r="F20" s="29">
        <v>3704.2309049999999</v>
      </c>
      <c r="G20" s="30">
        <v>2.6492970000000001E-2</v>
      </c>
      <c r="H20" s="25" t="s">
        <v>148</v>
      </c>
    </row>
    <row r="21" spans="1:8" x14ac:dyDescent="0.2">
      <c r="A21" s="26">
        <v>15</v>
      </c>
      <c r="B21" s="27" t="s">
        <v>677</v>
      </c>
      <c r="C21" s="27" t="s">
        <v>678</v>
      </c>
      <c r="D21" s="27" t="s">
        <v>679</v>
      </c>
      <c r="E21" s="28">
        <v>66325</v>
      </c>
      <c r="F21" s="29">
        <v>3047.9322124999999</v>
      </c>
      <c r="G21" s="30">
        <v>2.179907E-2</v>
      </c>
      <c r="H21" s="25" t="s">
        <v>148</v>
      </c>
    </row>
    <row r="22" spans="1:8" x14ac:dyDescent="0.2">
      <c r="A22" s="26">
        <v>16</v>
      </c>
      <c r="B22" s="27" t="s">
        <v>243</v>
      </c>
      <c r="C22" s="27" t="s">
        <v>244</v>
      </c>
      <c r="D22" s="27" t="s">
        <v>229</v>
      </c>
      <c r="E22" s="28">
        <v>43401</v>
      </c>
      <c r="F22" s="29">
        <v>3034.8800265</v>
      </c>
      <c r="G22" s="30">
        <v>2.1705720000000001E-2</v>
      </c>
      <c r="H22" s="25" t="s">
        <v>148</v>
      </c>
    </row>
    <row r="23" spans="1:8" x14ac:dyDescent="0.2">
      <c r="A23" s="26">
        <v>17</v>
      </c>
      <c r="B23" s="27" t="s">
        <v>756</v>
      </c>
      <c r="C23" s="27" t="s">
        <v>757</v>
      </c>
      <c r="D23" s="27" t="s">
        <v>229</v>
      </c>
      <c r="E23" s="28">
        <v>80568</v>
      </c>
      <c r="F23" s="29">
        <v>2742.494436</v>
      </c>
      <c r="G23" s="30">
        <v>1.9614550000000001E-2</v>
      </c>
      <c r="H23" s="25" t="s">
        <v>148</v>
      </c>
    </row>
    <row r="24" spans="1:8" x14ac:dyDescent="0.2">
      <c r="A24" s="26">
        <v>18</v>
      </c>
      <c r="B24" s="27" t="s">
        <v>735</v>
      </c>
      <c r="C24" s="27" t="s">
        <v>736</v>
      </c>
      <c r="D24" s="27" t="s">
        <v>737</v>
      </c>
      <c r="E24" s="28">
        <v>795029</v>
      </c>
      <c r="F24" s="29">
        <v>2563.1734959999999</v>
      </c>
      <c r="G24" s="30">
        <v>1.8332029999999999E-2</v>
      </c>
      <c r="H24" s="25" t="s">
        <v>148</v>
      </c>
    </row>
    <row r="25" spans="1:8" x14ac:dyDescent="0.2">
      <c r="A25" s="26">
        <v>19</v>
      </c>
      <c r="B25" s="27" t="s">
        <v>82</v>
      </c>
      <c r="C25" s="27" t="s">
        <v>83</v>
      </c>
      <c r="D25" s="27" t="s">
        <v>69</v>
      </c>
      <c r="E25" s="28">
        <v>276884</v>
      </c>
      <c r="F25" s="29">
        <v>2361.5436359999999</v>
      </c>
      <c r="G25" s="30">
        <v>1.6889959999999999E-2</v>
      </c>
      <c r="H25" s="25" t="s">
        <v>148</v>
      </c>
    </row>
    <row r="26" spans="1:8" x14ac:dyDescent="0.2">
      <c r="A26" s="26">
        <v>20</v>
      </c>
      <c r="B26" s="27" t="s">
        <v>506</v>
      </c>
      <c r="C26" s="27" t="s">
        <v>507</v>
      </c>
      <c r="D26" s="27" t="s">
        <v>229</v>
      </c>
      <c r="E26" s="28">
        <v>1735009</v>
      </c>
      <c r="F26" s="29">
        <v>2186.6318427000001</v>
      </c>
      <c r="G26" s="30">
        <v>1.563898E-2</v>
      </c>
      <c r="H26" s="25" t="s">
        <v>148</v>
      </c>
    </row>
    <row r="27" spans="1:8" x14ac:dyDescent="0.2">
      <c r="A27" s="26">
        <v>21</v>
      </c>
      <c r="B27" s="27" t="s">
        <v>709</v>
      </c>
      <c r="C27" s="27" t="s">
        <v>710</v>
      </c>
      <c r="D27" s="27" t="s">
        <v>51</v>
      </c>
      <c r="E27" s="28">
        <v>96237</v>
      </c>
      <c r="F27" s="29">
        <v>2097.7260074999999</v>
      </c>
      <c r="G27" s="30">
        <v>1.500311E-2</v>
      </c>
      <c r="H27" s="25" t="s">
        <v>148</v>
      </c>
    </row>
    <row r="28" spans="1:8" x14ac:dyDescent="0.2">
      <c r="A28" s="26">
        <v>22</v>
      </c>
      <c r="B28" s="27" t="s">
        <v>230</v>
      </c>
      <c r="C28" s="27" t="s">
        <v>231</v>
      </c>
      <c r="D28" s="27" t="s">
        <v>232</v>
      </c>
      <c r="E28" s="28">
        <v>332895</v>
      </c>
      <c r="F28" s="29">
        <v>2084.2555950000001</v>
      </c>
      <c r="G28" s="30">
        <v>1.490677E-2</v>
      </c>
      <c r="H28" s="25" t="s">
        <v>148</v>
      </c>
    </row>
    <row r="29" spans="1:8" x14ac:dyDescent="0.2">
      <c r="A29" s="26">
        <v>23</v>
      </c>
      <c r="B29" s="27" t="s">
        <v>528</v>
      </c>
      <c r="C29" s="27" t="s">
        <v>529</v>
      </c>
      <c r="D29" s="27" t="s">
        <v>275</v>
      </c>
      <c r="E29" s="28">
        <v>25666</v>
      </c>
      <c r="F29" s="29">
        <v>2028.3583140000001</v>
      </c>
      <c r="G29" s="30">
        <v>1.4506990000000001E-2</v>
      </c>
      <c r="H29" s="25" t="s">
        <v>148</v>
      </c>
    </row>
    <row r="30" spans="1:8" x14ac:dyDescent="0.2">
      <c r="A30" s="26">
        <v>24</v>
      </c>
      <c r="B30" s="27" t="s">
        <v>52</v>
      </c>
      <c r="C30" s="27" t="s">
        <v>53</v>
      </c>
      <c r="D30" s="27" t="s">
        <v>54</v>
      </c>
      <c r="E30" s="28">
        <v>212286</v>
      </c>
      <c r="F30" s="29">
        <v>2010.454563</v>
      </c>
      <c r="G30" s="30">
        <v>1.437894E-2</v>
      </c>
      <c r="H30" s="25" t="s">
        <v>148</v>
      </c>
    </row>
    <row r="31" spans="1:8" x14ac:dyDescent="0.2">
      <c r="A31" s="26">
        <v>25</v>
      </c>
      <c r="B31" s="27" t="s">
        <v>282</v>
      </c>
      <c r="C31" s="27" t="s">
        <v>283</v>
      </c>
      <c r="D31" s="27" t="s">
        <v>232</v>
      </c>
      <c r="E31" s="28">
        <v>1191918</v>
      </c>
      <c r="F31" s="29">
        <v>1966.9030835999999</v>
      </c>
      <c r="G31" s="30">
        <v>1.406746E-2</v>
      </c>
      <c r="H31" s="25" t="s">
        <v>148</v>
      </c>
    </row>
    <row r="32" spans="1:8" x14ac:dyDescent="0.2">
      <c r="A32" s="26">
        <v>26</v>
      </c>
      <c r="B32" s="27" t="s">
        <v>233</v>
      </c>
      <c r="C32" s="27" t="s">
        <v>234</v>
      </c>
      <c r="D32" s="27" t="s">
        <v>235</v>
      </c>
      <c r="E32" s="28">
        <v>94931</v>
      </c>
      <c r="F32" s="29">
        <v>1847.4996564999999</v>
      </c>
      <c r="G32" s="30">
        <v>1.321347E-2</v>
      </c>
      <c r="H32" s="25" t="s">
        <v>148</v>
      </c>
    </row>
    <row r="33" spans="1:8" ht="25.5" x14ac:dyDescent="0.2">
      <c r="A33" s="26">
        <v>27</v>
      </c>
      <c r="B33" s="27" t="s">
        <v>444</v>
      </c>
      <c r="C33" s="27" t="s">
        <v>445</v>
      </c>
      <c r="D33" s="27" t="s">
        <v>217</v>
      </c>
      <c r="E33" s="28">
        <v>190942</v>
      </c>
      <c r="F33" s="29">
        <v>1840.108054</v>
      </c>
      <c r="G33" s="30">
        <v>1.316061E-2</v>
      </c>
      <c r="H33" s="25" t="s">
        <v>148</v>
      </c>
    </row>
    <row r="34" spans="1:8" x14ac:dyDescent="0.2">
      <c r="A34" s="26">
        <v>28</v>
      </c>
      <c r="B34" s="27" t="s">
        <v>707</v>
      </c>
      <c r="C34" s="27" t="s">
        <v>708</v>
      </c>
      <c r="D34" s="27" t="s">
        <v>275</v>
      </c>
      <c r="E34" s="28">
        <v>46457</v>
      </c>
      <c r="F34" s="29">
        <v>1710.1286270000001</v>
      </c>
      <c r="G34" s="30">
        <v>1.2230980000000001E-2</v>
      </c>
      <c r="H34" s="25" t="s">
        <v>148</v>
      </c>
    </row>
    <row r="35" spans="1:8" x14ac:dyDescent="0.2">
      <c r="A35" s="26">
        <v>29</v>
      </c>
      <c r="B35" s="27" t="s">
        <v>360</v>
      </c>
      <c r="C35" s="27" t="s">
        <v>361</v>
      </c>
      <c r="D35" s="27" t="s">
        <v>235</v>
      </c>
      <c r="E35" s="28">
        <v>294842</v>
      </c>
      <c r="F35" s="29">
        <v>1285.658541</v>
      </c>
      <c r="G35" s="30">
        <v>9.1951399999999992E-3</v>
      </c>
      <c r="H35" s="25" t="s">
        <v>148</v>
      </c>
    </row>
    <row r="36" spans="1:8" x14ac:dyDescent="0.2">
      <c r="A36" s="26">
        <v>30</v>
      </c>
      <c r="B36" s="27" t="s">
        <v>247</v>
      </c>
      <c r="C36" s="27" t="s">
        <v>248</v>
      </c>
      <c r="D36" s="27" t="s">
        <v>232</v>
      </c>
      <c r="E36" s="28">
        <v>97705</v>
      </c>
      <c r="F36" s="29">
        <v>720.1347025</v>
      </c>
      <c r="G36" s="30">
        <v>5.1504599999999999E-3</v>
      </c>
      <c r="H36" s="25" t="s">
        <v>148</v>
      </c>
    </row>
    <row r="37" spans="1:8" x14ac:dyDescent="0.2">
      <c r="A37" s="26">
        <v>31</v>
      </c>
      <c r="B37" s="27" t="s">
        <v>273</v>
      </c>
      <c r="C37" s="27" t="s">
        <v>274</v>
      </c>
      <c r="D37" s="27" t="s">
        <v>275</v>
      </c>
      <c r="E37" s="28">
        <v>16314</v>
      </c>
      <c r="F37" s="29">
        <v>363.06806999999998</v>
      </c>
      <c r="G37" s="30">
        <v>2.59669E-3</v>
      </c>
      <c r="H37" s="25" t="s">
        <v>148</v>
      </c>
    </row>
    <row r="38" spans="1:8" x14ac:dyDescent="0.2">
      <c r="A38" s="23"/>
      <c r="B38" s="23"/>
      <c r="C38" s="24" t="s">
        <v>147</v>
      </c>
      <c r="D38" s="23"/>
      <c r="E38" s="23" t="s">
        <v>148</v>
      </c>
      <c r="F38" s="31">
        <v>129628.2272118</v>
      </c>
      <c r="G38" s="32">
        <v>0.92711202000000004</v>
      </c>
      <c r="H38" s="25" t="s">
        <v>148</v>
      </c>
    </row>
    <row r="39" spans="1:8" x14ac:dyDescent="0.2">
      <c r="A39" s="23"/>
      <c r="B39" s="23"/>
      <c r="C39" s="33"/>
      <c r="D39" s="23"/>
      <c r="E39" s="23"/>
      <c r="F39" s="34"/>
      <c r="G39" s="34"/>
      <c r="H39" s="25" t="s">
        <v>148</v>
      </c>
    </row>
    <row r="40" spans="1:8" x14ac:dyDescent="0.2">
      <c r="A40" s="23"/>
      <c r="B40" s="23"/>
      <c r="C40" s="24" t="s">
        <v>149</v>
      </c>
      <c r="D40" s="23"/>
      <c r="E40" s="23"/>
      <c r="F40" s="23"/>
      <c r="G40" s="23"/>
      <c r="H40" s="25" t="s">
        <v>148</v>
      </c>
    </row>
    <row r="41" spans="1:8" x14ac:dyDescent="0.2">
      <c r="A41" s="23"/>
      <c r="B41" s="23"/>
      <c r="C41" s="24" t="s">
        <v>147</v>
      </c>
      <c r="D41" s="23"/>
      <c r="E41" s="23" t="s">
        <v>148</v>
      </c>
      <c r="F41" s="35" t="s">
        <v>150</v>
      </c>
      <c r="G41" s="32">
        <v>0</v>
      </c>
      <c r="H41" s="25" t="s">
        <v>148</v>
      </c>
    </row>
    <row r="42" spans="1:8" x14ac:dyDescent="0.2">
      <c r="A42" s="23"/>
      <c r="B42" s="23"/>
      <c r="C42" s="33"/>
      <c r="D42" s="23"/>
      <c r="E42" s="23"/>
      <c r="F42" s="34"/>
      <c r="G42" s="34"/>
      <c r="H42" s="25" t="s">
        <v>148</v>
      </c>
    </row>
    <row r="43" spans="1:8" x14ac:dyDescent="0.2">
      <c r="A43" s="23"/>
      <c r="B43" s="23"/>
      <c r="C43" s="24" t="s">
        <v>151</v>
      </c>
      <c r="D43" s="23"/>
      <c r="E43" s="23"/>
      <c r="F43" s="23"/>
      <c r="G43" s="23"/>
      <c r="H43" s="25" t="s">
        <v>148</v>
      </c>
    </row>
    <row r="44" spans="1:8" x14ac:dyDescent="0.2">
      <c r="A44" s="23"/>
      <c r="B44" s="23"/>
      <c r="C44" s="24" t="s">
        <v>147</v>
      </c>
      <c r="D44" s="23"/>
      <c r="E44" s="23" t="s">
        <v>148</v>
      </c>
      <c r="F44" s="35" t="s">
        <v>150</v>
      </c>
      <c r="G44" s="32">
        <v>0</v>
      </c>
      <c r="H44" s="25" t="s">
        <v>148</v>
      </c>
    </row>
    <row r="45" spans="1:8" x14ac:dyDescent="0.2">
      <c r="A45" s="23"/>
      <c r="B45" s="23"/>
      <c r="C45" s="33"/>
      <c r="D45" s="23"/>
      <c r="E45" s="23"/>
      <c r="F45" s="34"/>
      <c r="G45" s="34"/>
      <c r="H45" s="25" t="s">
        <v>148</v>
      </c>
    </row>
    <row r="46" spans="1:8" x14ac:dyDescent="0.2">
      <c r="A46" s="23"/>
      <c r="B46" s="23"/>
      <c r="C46" s="24" t="s">
        <v>152</v>
      </c>
      <c r="D46" s="23"/>
      <c r="E46" s="23"/>
      <c r="F46" s="23"/>
      <c r="G46" s="23"/>
      <c r="H46" s="25" t="s">
        <v>148</v>
      </c>
    </row>
    <row r="47" spans="1:8" x14ac:dyDescent="0.2">
      <c r="A47" s="23"/>
      <c r="B47" s="23"/>
      <c r="C47" s="24" t="s">
        <v>147</v>
      </c>
      <c r="D47" s="23"/>
      <c r="E47" s="23" t="s">
        <v>148</v>
      </c>
      <c r="F47" s="35" t="s">
        <v>150</v>
      </c>
      <c r="G47" s="32">
        <v>0</v>
      </c>
      <c r="H47" s="25" t="s">
        <v>148</v>
      </c>
    </row>
    <row r="48" spans="1:8" x14ac:dyDescent="0.2">
      <c r="A48" s="23"/>
      <c r="B48" s="23"/>
      <c r="C48" s="33"/>
      <c r="D48" s="23"/>
      <c r="E48" s="23"/>
      <c r="F48" s="34"/>
      <c r="G48" s="34"/>
      <c r="H48" s="25" t="s">
        <v>148</v>
      </c>
    </row>
    <row r="49" spans="1:8" x14ac:dyDescent="0.2">
      <c r="A49" s="23"/>
      <c r="B49" s="23"/>
      <c r="C49" s="24" t="s">
        <v>153</v>
      </c>
      <c r="D49" s="23"/>
      <c r="E49" s="23"/>
      <c r="F49" s="34"/>
      <c r="G49" s="34"/>
      <c r="H49" s="25" t="s">
        <v>148</v>
      </c>
    </row>
    <row r="50" spans="1:8" x14ac:dyDescent="0.2">
      <c r="A50" s="23"/>
      <c r="B50" s="23"/>
      <c r="C50" s="24" t="s">
        <v>147</v>
      </c>
      <c r="D50" s="23"/>
      <c r="E50" s="23" t="s">
        <v>148</v>
      </c>
      <c r="F50" s="35" t="s">
        <v>150</v>
      </c>
      <c r="G50" s="32">
        <v>0</v>
      </c>
      <c r="H50" s="25" t="s">
        <v>148</v>
      </c>
    </row>
    <row r="51" spans="1:8" x14ac:dyDescent="0.2">
      <c r="A51" s="23"/>
      <c r="B51" s="23"/>
      <c r="C51" s="33"/>
      <c r="D51" s="23"/>
      <c r="E51" s="23"/>
      <c r="F51" s="34"/>
      <c r="G51" s="34"/>
      <c r="H51" s="25" t="s">
        <v>148</v>
      </c>
    </row>
    <row r="52" spans="1:8" x14ac:dyDescent="0.2">
      <c r="A52" s="23"/>
      <c r="B52" s="23"/>
      <c r="C52" s="24" t="s">
        <v>154</v>
      </c>
      <c r="D52" s="23"/>
      <c r="E52" s="23"/>
      <c r="F52" s="34"/>
      <c r="G52" s="34"/>
      <c r="H52" s="25" t="s">
        <v>148</v>
      </c>
    </row>
    <row r="53" spans="1:8" x14ac:dyDescent="0.2">
      <c r="A53" s="23"/>
      <c r="B53" s="23"/>
      <c r="C53" s="24" t="s">
        <v>147</v>
      </c>
      <c r="D53" s="23"/>
      <c r="E53" s="23" t="s">
        <v>148</v>
      </c>
      <c r="F53" s="35" t="s">
        <v>150</v>
      </c>
      <c r="G53" s="32">
        <v>0</v>
      </c>
      <c r="H53" s="25" t="s">
        <v>148</v>
      </c>
    </row>
    <row r="54" spans="1:8" x14ac:dyDescent="0.2">
      <c r="A54" s="23"/>
      <c r="B54" s="23"/>
      <c r="C54" s="33"/>
      <c r="D54" s="23"/>
      <c r="E54" s="23"/>
      <c r="F54" s="34"/>
      <c r="G54" s="34"/>
      <c r="H54" s="25" t="s">
        <v>148</v>
      </c>
    </row>
    <row r="55" spans="1:8" x14ac:dyDescent="0.2">
      <c r="A55" s="23"/>
      <c r="B55" s="23"/>
      <c r="C55" s="24" t="s">
        <v>155</v>
      </c>
      <c r="D55" s="23"/>
      <c r="E55" s="23"/>
      <c r="F55" s="31">
        <v>129628.2272118</v>
      </c>
      <c r="G55" s="32">
        <v>0.92711202000000004</v>
      </c>
      <c r="H55" s="25" t="s">
        <v>148</v>
      </c>
    </row>
    <row r="56" spans="1:8" x14ac:dyDescent="0.2">
      <c r="A56" s="23"/>
      <c r="B56" s="23"/>
      <c r="C56" s="33"/>
      <c r="D56" s="23"/>
      <c r="E56" s="23"/>
      <c r="F56" s="34"/>
      <c r="G56" s="34"/>
      <c r="H56" s="25" t="s">
        <v>148</v>
      </c>
    </row>
    <row r="57" spans="1:8" x14ac:dyDescent="0.2">
      <c r="A57" s="23"/>
      <c r="B57" s="23"/>
      <c r="C57" s="24" t="s">
        <v>156</v>
      </c>
      <c r="D57" s="23"/>
      <c r="E57" s="23"/>
      <c r="F57" s="34"/>
      <c r="G57" s="34"/>
      <c r="H57" s="25" t="s">
        <v>148</v>
      </c>
    </row>
    <row r="58" spans="1:8" x14ac:dyDescent="0.2">
      <c r="A58" s="23"/>
      <c r="B58" s="23"/>
      <c r="C58" s="24" t="s">
        <v>10</v>
      </c>
      <c r="D58" s="23"/>
      <c r="E58" s="23"/>
      <c r="F58" s="34"/>
      <c r="G58" s="34"/>
      <c r="H58" s="25" t="s">
        <v>148</v>
      </c>
    </row>
    <row r="59" spans="1:8" x14ac:dyDescent="0.2">
      <c r="A59" s="23"/>
      <c r="B59" s="23"/>
      <c r="C59" s="24" t="s">
        <v>147</v>
      </c>
      <c r="D59" s="23"/>
      <c r="E59" s="23" t="s">
        <v>148</v>
      </c>
      <c r="F59" s="35" t="s">
        <v>150</v>
      </c>
      <c r="G59" s="32">
        <v>0</v>
      </c>
      <c r="H59" s="25" t="s">
        <v>148</v>
      </c>
    </row>
    <row r="60" spans="1:8" x14ac:dyDescent="0.2">
      <c r="A60" s="23"/>
      <c r="B60" s="23"/>
      <c r="C60" s="33"/>
      <c r="D60" s="23"/>
      <c r="E60" s="23"/>
      <c r="F60" s="34"/>
      <c r="G60" s="34"/>
      <c r="H60" s="25" t="s">
        <v>148</v>
      </c>
    </row>
    <row r="61" spans="1:8" x14ac:dyDescent="0.2">
      <c r="A61" s="23"/>
      <c r="B61" s="23"/>
      <c r="C61" s="24" t="s">
        <v>157</v>
      </c>
      <c r="D61" s="23"/>
      <c r="E61" s="23"/>
      <c r="F61" s="23"/>
      <c r="G61" s="23"/>
      <c r="H61" s="25" t="s">
        <v>148</v>
      </c>
    </row>
    <row r="62" spans="1:8" x14ac:dyDescent="0.2">
      <c r="A62" s="23"/>
      <c r="B62" s="23"/>
      <c r="C62" s="24" t="s">
        <v>147</v>
      </c>
      <c r="D62" s="23"/>
      <c r="E62" s="23" t="s">
        <v>148</v>
      </c>
      <c r="F62" s="35" t="s">
        <v>150</v>
      </c>
      <c r="G62" s="32">
        <v>0</v>
      </c>
      <c r="H62" s="25" t="s">
        <v>148</v>
      </c>
    </row>
    <row r="63" spans="1:8" x14ac:dyDescent="0.2">
      <c r="A63" s="23"/>
      <c r="B63" s="23"/>
      <c r="C63" s="33"/>
      <c r="D63" s="23"/>
      <c r="E63" s="23"/>
      <c r="F63" s="34"/>
      <c r="G63" s="34"/>
      <c r="H63" s="25" t="s">
        <v>148</v>
      </c>
    </row>
    <row r="64" spans="1:8" x14ac:dyDescent="0.2">
      <c r="A64" s="23"/>
      <c r="B64" s="23"/>
      <c r="C64" s="24" t="s">
        <v>158</v>
      </c>
      <c r="D64" s="23"/>
      <c r="E64" s="23"/>
      <c r="F64" s="23"/>
      <c r="G64" s="23"/>
      <c r="H64" s="25" t="s">
        <v>148</v>
      </c>
    </row>
    <row r="65" spans="1:8" x14ac:dyDescent="0.2">
      <c r="A65" s="23"/>
      <c r="B65" s="23"/>
      <c r="C65" s="24" t="s">
        <v>147</v>
      </c>
      <c r="D65" s="23"/>
      <c r="E65" s="23" t="s">
        <v>148</v>
      </c>
      <c r="F65" s="35" t="s">
        <v>150</v>
      </c>
      <c r="G65" s="32">
        <v>0</v>
      </c>
      <c r="H65" s="25" t="s">
        <v>148</v>
      </c>
    </row>
    <row r="66" spans="1:8" x14ac:dyDescent="0.2">
      <c r="A66" s="23"/>
      <c r="B66" s="23"/>
      <c r="C66" s="33"/>
      <c r="D66" s="23"/>
      <c r="E66" s="23"/>
      <c r="F66" s="34"/>
      <c r="G66" s="34"/>
      <c r="H66" s="25" t="s">
        <v>148</v>
      </c>
    </row>
    <row r="67" spans="1:8" x14ac:dyDescent="0.2">
      <c r="A67" s="23"/>
      <c r="B67" s="23"/>
      <c r="C67" s="24" t="s">
        <v>159</v>
      </c>
      <c r="D67" s="23"/>
      <c r="E67" s="23"/>
      <c r="F67" s="34"/>
      <c r="G67" s="34"/>
      <c r="H67" s="25" t="s">
        <v>148</v>
      </c>
    </row>
    <row r="68" spans="1:8" x14ac:dyDescent="0.2">
      <c r="A68" s="23"/>
      <c r="B68" s="23"/>
      <c r="C68" s="24" t="s">
        <v>147</v>
      </c>
      <c r="D68" s="23"/>
      <c r="E68" s="23" t="s">
        <v>148</v>
      </c>
      <c r="F68" s="35" t="s">
        <v>150</v>
      </c>
      <c r="G68" s="32">
        <v>0</v>
      </c>
      <c r="H68" s="25" t="s">
        <v>148</v>
      </c>
    </row>
    <row r="69" spans="1:8" x14ac:dyDescent="0.2">
      <c r="A69" s="23"/>
      <c r="B69" s="23"/>
      <c r="C69" s="33"/>
      <c r="D69" s="23"/>
      <c r="E69" s="23"/>
      <c r="F69" s="34"/>
      <c r="G69" s="34"/>
      <c r="H69" s="25" t="s">
        <v>148</v>
      </c>
    </row>
    <row r="70" spans="1:8" x14ac:dyDescent="0.2">
      <c r="A70" s="23"/>
      <c r="B70" s="23"/>
      <c r="C70" s="24" t="s">
        <v>160</v>
      </c>
      <c r="D70" s="23"/>
      <c r="E70" s="23"/>
      <c r="F70" s="31">
        <v>0</v>
      </c>
      <c r="G70" s="32">
        <v>0</v>
      </c>
      <c r="H70" s="25" t="s">
        <v>148</v>
      </c>
    </row>
    <row r="71" spans="1:8" x14ac:dyDescent="0.2">
      <c r="A71" s="23"/>
      <c r="B71" s="23"/>
      <c r="C71" s="33"/>
      <c r="D71" s="23"/>
      <c r="E71" s="23"/>
      <c r="F71" s="34"/>
      <c r="G71" s="34"/>
      <c r="H71" s="25" t="s">
        <v>148</v>
      </c>
    </row>
    <row r="72" spans="1:8" x14ac:dyDescent="0.2">
      <c r="A72" s="23"/>
      <c r="B72" s="23"/>
      <c r="C72" s="24" t="s">
        <v>161</v>
      </c>
      <c r="D72" s="23"/>
      <c r="E72" s="23"/>
      <c r="F72" s="34"/>
      <c r="G72" s="34"/>
      <c r="H72" s="25" t="s">
        <v>148</v>
      </c>
    </row>
    <row r="73" spans="1:8" x14ac:dyDescent="0.2">
      <c r="A73" s="23"/>
      <c r="B73" s="23"/>
      <c r="C73" s="24" t="s">
        <v>162</v>
      </c>
      <c r="D73" s="23"/>
      <c r="E73" s="23"/>
      <c r="F73" s="34"/>
      <c r="G73" s="34"/>
      <c r="H73" s="25" t="s">
        <v>148</v>
      </c>
    </row>
    <row r="74" spans="1:8" x14ac:dyDescent="0.2">
      <c r="A74" s="23"/>
      <c r="B74" s="23"/>
      <c r="C74" s="24" t="s">
        <v>147</v>
      </c>
      <c r="D74" s="23"/>
      <c r="E74" s="23" t="s">
        <v>148</v>
      </c>
      <c r="F74" s="35" t="s">
        <v>150</v>
      </c>
      <c r="G74" s="32">
        <v>0</v>
      </c>
      <c r="H74" s="25" t="s">
        <v>148</v>
      </c>
    </row>
    <row r="75" spans="1:8" x14ac:dyDescent="0.2">
      <c r="A75" s="23"/>
      <c r="B75" s="23"/>
      <c r="C75" s="33"/>
      <c r="D75" s="23"/>
      <c r="E75" s="23"/>
      <c r="F75" s="34"/>
      <c r="G75" s="34"/>
      <c r="H75" s="25" t="s">
        <v>148</v>
      </c>
    </row>
    <row r="76" spans="1:8" x14ac:dyDescent="0.2">
      <c r="A76" s="23"/>
      <c r="B76" s="23"/>
      <c r="C76" s="24" t="s">
        <v>163</v>
      </c>
      <c r="D76" s="23"/>
      <c r="E76" s="23"/>
      <c r="F76" s="34"/>
      <c r="G76" s="34"/>
      <c r="H76" s="25" t="s">
        <v>148</v>
      </c>
    </row>
    <row r="77" spans="1:8" x14ac:dyDescent="0.2">
      <c r="A77" s="23"/>
      <c r="B77" s="23"/>
      <c r="C77" s="24" t="s">
        <v>147</v>
      </c>
      <c r="D77" s="23"/>
      <c r="E77" s="23" t="s">
        <v>148</v>
      </c>
      <c r="F77" s="35" t="s">
        <v>150</v>
      </c>
      <c r="G77" s="32">
        <v>0</v>
      </c>
      <c r="H77" s="25" t="s">
        <v>148</v>
      </c>
    </row>
    <row r="78" spans="1:8" x14ac:dyDescent="0.2">
      <c r="A78" s="23"/>
      <c r="B78" s="23"/>
      <c r="C78" s="33"/>
      <c r="D78" s="23"/>
      <c r="E78" s="23"/>
      <c r="F78" s="34"/>
      <c r="G78" s="34"/>
      <c r="H78" s="25" t="s">
        <v>148</v>
      </c>
    </row>
    <row r="79" spans="1:8" x14ac:dyDescent="0.2">
      <c r="A79" s="23"/>
      <c r="B79" s="23"/>
      <c r="C79" s="24" t="s">
        <v>164</v>
      </c>
      <c r="D79" s="23"/>
      <c r="E79" s="23"/>
      <c r="F79" s="34"/>
      <c r="G79" s="34"/>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165</v>
      </c>
      <c r="D82" s="23"/>
      <c r="E82" s="23"/>
      <c r="F82" s="34"/>
      <c r="G82" s="34"/>
      <c r="H82" s="25" t="s">
        <v>148</v>
      </c>
    </row>
    <row r="83" spans="1:8" x14ac:dyDescent="0.2">
      <c r="A83" s="26">
        <v>1</v>
      </c>
      <c r="B83" s="27"/>
      <c r="C83" s="27" t="s">
        <v>166</v>
      </c>
      <c r="D83" s="27"/>
      <c r="E83" s="36"/>
      <c r="F83" s="29">
        <v>7069.5760550650002</v>
      </c>
      <c r="G83" s="30">
        <v>5.0562210000000003E-2</v>
      </c>
      <c r="H83" s="25">
        <v>6.23</v>
      </c>
    </row>
    <row r="84" spans="1:8" x14ac:dyDescent="0.2">
      <c r="A84" s="23"/>
      <c r="B84" s="23"/>
      <c r="C84" s="24" t="s">
        <v>147</v>
      </c>
      <c r="D84" s="23"/>
      <c r="E84" s="23" t="s">
        <v>148</v>
      </c>
      <c r="F84" s="31">
        <v>7069.5760550650002</v>
      </c>
      <c r="G84" s="32">
        <v>5.0562210000000003E-2</v>
      </c>
      <c r="H84" s="25" t="s">
        <v>148</v>
      </c>
    </row>
    <row r="85" spans="1:8" x14ac:dyDescent="0.2">
      <c r="A85" s="23"/>
      <c r="B85" s="23"/>
      <c r="C85" s="33"/>
      <c r="D85" s="23"/>
      <c r="E85" s="23"/>
      <c r="F85" s="34"/>
      <c r="G85" s="34"/>
      <c r="H85" s="25" t="s">
        <v>148</v>
      </c>
    </row>
    <row r="86" spans="1:8" x14ac:dyDescent="0.2">
      <c r="A86" s="23"/>
      <c r="B86" s="23"/>
      <c r="C86" s="24" t="s">
        <v>167</v>
      </c>
      <c r="D86" s="23"/>
      <c r="E86" s="23"/>
      <c r="F86" s="31">
        <v>7069.5760550650002</v>
      </c>
      <c r="G86" s="32">
        <v>5.0562210000000003E-2</v>
      </c>
      <c r="H86" s="25" t="s">
        <v>148</v>
      </c>
    </row>
    <row r="87" spans="1:8" x14ac:dyDescent="0.2">
      <c r="A87" s="23"/>
      <c r="B87" s="23"/>
      <c r="C87" s="34"/>
      <c r="D87" s="23"/>
      <c r="E87" s="23"/>
      <c r="F87" s="23"/>
      <c r="G87" s="23"/>
      <c r="H87" s="25" t="s">
        <v>148</v>
      </c>
    </row>
    <row r="88" spans="1:8" x14ac:dyDescent="0.2">
      <c r="A88" s="23"/>
      <c r="B88" s="23"/>
      <c r="C88" s="24" t="s">
        <v>168</v>
      </c>
      <c r="D88" s="23"/>
      <c r="E88" s="23"/>
      <c r="F88" s="23"/>
      <c r="G88" s="23"/>
      <c r="H88" s="25" t="s">
        <v>148</v>
      </c>
    </row>
    <row r="89" spans="1:8" x14ac:dyDescent="0.2">
      <c r="A89" s="23"/>
      <c r="B89" s="23"/>
      <c r="C89" s="24" t="s">
        <v>169</v>
      </c>
      <c r="D89" s="23"/>
      <c r="E89" s="23"/>
      <c r="F89" s="23"/>
      <c r="G89" s="23"/>
      <c r="H89" s="25" t="s">
        <v>148</v>
      </c>
    </row>
    <row r="90" spans="1:8" x14ac:dyDescent="0.2">
      <c r="A90" s="23"/>
      <c r="B90" s="23"/>
      <c r="C90" s="24" t="s">
        <v>147</v>
      </c>
      <c r="D90" s="23"/>
      <c r="E90" s="23" t="s">
        <v>148</v>
      </c>
      <c r="F90" s="35" t="s">
        <v>150</v>
      </c>
      <c r="G90" s="32">
        <v>0</v>
      </c>
      <c r="H90" s="25" t="s">
        <v>148</v>
      </c>
    </row>
    <row r="91" spans="1:8" x14ac:dyDescent="0.2">
      <c r="A91" s="23"/>
      <c r="B91" s="23"/>
      <c r="C91" s="33"/>
      <c r="D91" s="23"/>
      <c r="E91" s="23"/>
      <c r="F91" s="34"/>
      <c r="G91" s="34"/>
      <c r="H91" s="25" t="s">
        <v>148</v>
      </c>
    </row>
    <row r="92" spans="1:8" x14ac:dyDescent="0.2">
      <c r="A92" s="23"/>
      <c r="B92" s="23"/>
      <c r="C92" s="24" t="s">
        <v>172</v>
      </c>
      <c r="D92" s="23"/>
      <c r="E92" s="23"/>
      <c r="F92" s="23"/>
      <c r="G92" s="23"/>
      <c r="H92" s="25" t="s">
        <v>148</v>
      </c>
    </row>
    <row r="93" spans="1:8" x14ac:dyDescent="0.2">
      <c r="A93" s="23"/>
      <c r="B93" s="23"/>
      <c r="C93" s="24" t="s">
        <v>173</v>
      </c>
      <c r="D93" s="23"/>
      <c r="E93" s="23"/>
      <c r="F93" s="23"/>
      <c r="G93" s="23"/>
      <c r="H93" s="25" t="s">
        <v>148</v>
      </c>
    </row>
    <row r="94" spans="1:8" x14ac:dyDescent="0.2">
      <c r="A94" s="23"/>
      <c r="B94" s="23"/>
      <c r="C94" s="24" t="s">
        <v>147</v>
      </c>
      <c r="D94" s="23"/>
      <c r="E94" s="23" t="s">
        <v>148</v>
      </c>
      <c r="F94" s="35" t="s">
        <v>150</v>
      </c>
      <c r="G94" s="32">
        <v>0</v>
      </c>
      <c r="H94" s="25" t="s">
        <v>148</v>
      </c>
    </row>
    <row r="95" spans="1:8" x14ac:dyDescent="0.2">
      <c r="A95" s="23"/>
      <c r="B95" s="23"/>
      <c r="C95" s="33"/>
      <c r="D95" s="23"/>
      <c r="E95" s="23"/>
      <c r="F95" s="34"/>
      <c r="G95" s="34"/>
      <c r="H95" s="25" t="s">
        <v>148</v>
      </c>
    </row>
    <row r="96" spans="1:8" x14ac:dyDescent="0.2">
      <c r="A96" s="23"/>
      <c r="B96" s="23"/>
      <c r="C96" s="24" t="s">
        <v>174</v>
      </c>
      <c r="D96" s="23"/>
      <c r="E96" s="23"/>
      <c r="F96" s="34"/>
      <c r="G96" s="34"/>
      <c r="H96" s="25" t="s">
        <v>148</v>
      </c>
    </row>
    <row r="97" spans="1:17" x14ac:dyDescent="0.2">
      <c r="A97" s="23"/>
      <c r="B97" s="23"/>
      <c r="C97" s="24" t="s">
        <v>147</v>
      </c>
      <c r="D97" s="23"/>
      <c r="E97" s="23" t="s">
        <v>148</v>
      </c>
      <c r="F97" s="35" t="s">
        <v>150</v>
      </c>
      <c r="G97" s="32">
        <v>0</v>
      </c>
      <c r="H97" s="25" t="s">
        <v>148</v>
      </c>
    </row>
    <row r="98" spans="1:17" x14ac:dyDescent="0.2">
      <c r="A98" s="23"/>
      <c r="B98" s="27"/>
      <c r="C98" s="27"/>
      <c r="D98" s="24"/>
      <c r="E98" s="23"/>
      <c r="F98" s="27"/>
      <c r="G98" s="36"/>
      <c r="H98" s="25" t="s">
        <v>148</v>
      </c>
    </row>
    <row r="99" spans="1:17" x14ac:dyDescent="0.2">
      <c r="A99" s="36"/>
      <c r="B99" s="27"/>
      <c r="C99" s="27" t="s">
        <v>175</v>
      </c>
      <c r="D99" s="27"/>
      <c r="E99" s="36"/>
      <c r="F99" s="29">
        <v>3121.5745630900001</v>
      </c>
      <c r="G99" s="30">
        <v>2.2325770000000002E-2</v>
      </c>
      <c r="H99" s="25" t="s">
        <v>148</v>
      </c>
    </row>
    <row r="100" spans="1:17" x14ac:dyDescent="0.2">
      <c r="A100" s="33"/>
      <c r="B100" s="33"/>
      <c r="C100" s="24" t="s">
        <v>176</v>
      </c>
      <c r="D100" s="34"/>
      <c r="E100" s="34"/>
      <c r="F100" s="31">
        <v>139819.37782995499</v>
      </c>
      <c r="G100" s="39">
        <v>1</v>
      </c>
      <c r="H100" s="25" t="s">
        <v>148</v>
      </c>
    </row>
    <row r="101" spans="1:17" x14ac:dyDescent="0.2">
      <c r="A101" s="40"/>
      <c r="B101" s="40"/>
      <c r="C101" s="40"/>
      <c r="D101" s="41"/>
      <c r="E101" s="41"/>
      <c r="F101" s="41"/>
      <c r="G101" s="41"/>
    </row>
    <row r="102" spans="1:17" x14ac:dyDescent="0.2">
      <c r="A102" s="42"/>
      <c r="B102" s="237" t="s">
        <v>891</v>
      </c>
      <c r="C102" s="237"/>
      <c r="D102" s="237"/>
      <c r="E102" s="237"/>
      <c r="F102" s="237"/>
      <c r="G102" s="237"/>
      <c r="H102" s="237"/>
      <c r="J102" s="44"/>
    </row>
    <row r="103" spans="1:17" x14ac:dyDescent="0.2">
      <c r="A103" s="42"/>
      <c r="B103" s="237" t="s">
        <v>892</v>
      </c>
      <c r="C103" s="237"/>
      <c r="D103" s="237"/>
      <c r="E103" s="237"/>
      <c r="F103" s="237"/>
      <c r="G103" s="237"/>
      <c r="H103" s="237"/>
      <c r="J103" s="44"/>
    </row>
    <row r="104" spans="1:17" x14ac:dyDescent="0.2">
      <c r="A104" s="42"/>
      <c r="B104" s="237" t="s">
        <v>893</v>
      </c>
      <c r="C104" s="237"/>
      <c r="D104" s="237"/>
      <c r="E104" s="237"/>
      <c r="F104" s="237"/>
      <c r="G104" s="237"/>
      <c r="H104" s="237"/>
      <c r="J104" s="44"/>
    </row>
    <row r="105" spans="1:17" s="46" customFormat="1" ht="66.75" customHeight="1" x14ac:dyDescent="0.25">
      <c r="A105" s="45"/>
      <c r="B105" s="239" t="s">
        <v>894</v>
      </c>
      <c r="C105" s="239"/>
      <c r="D105" s="239"/>
      <c r="E105" s="239"/>
      <c r="F105" s="239"/>
      <c r="G105" s="239"/>
      <c r="H105" s="239"/>
      <c r="I105"/>
      <c r="J105" s="44"/>
      <c r="K105"/>
      <c r="L105"/>
      <c r="M105"/>
      <c r="N105"/>
      <c r="O105"/>
      <c r="P105"/>
      <c r="Q105"/>
    </row>
    <row r="106" spans="1:17" x14ac:dyDescent="0.2">
      <c r="A106" s="42"/>
      <c r="B106" s="237" t="s">
        <v>895</v>
      </c>
      <c r="C106" s="237"/>
      <c r="D106" s="237"/>
      <c r="E106" s="237"/>
      <c r="F106" s="237"/>
      <c r="G106" s="237"/>
      <c r="H106" s="237"/>
      <c r="J106" s="44"/>
    </row>
    <row r="107" spans="1:17" x14ac:dyDescent="0.2">
      <c r="A107" s="47"/>
      <c r="B107" s="47"/>
      <c r="C107" s="47"/>
      <c r="D107" s="48"/>
      <c r="E107" s="48"/>
      <c r="F107" s="48"/>
      <c r="G107" s="48"/>
    </row>
    <row r="108" spans="1:17" x14ac:dyDescent="0.2">
      <c r="A108" s="47"/>
      <c r="B108" s="234" t="s">
        <v>177</v>
      </c>
      <c r="C108" s="235"/>
      <c r="D108" s="236"/>
      <c r="E108" s="49"/>
      <c r="F108" s="48"/>
      <c r="G108" s="48"/>
    </row>
    <row r="109" spans="1:17" x14ac:dyDescent="0.2">
      <c r="A109" s="47"/>
      <c r="B109" s="232" t="s">
        <v>178</v>
      </c>
      <c r="C109" s="233"/>
      <c r="D109" s="24" t="s">
        <v>179</v>
      </c>
      <c r="E109" s="49"/>
      <c r="F109" s="48"/>
      <c r="G109" s="48"/>
    </row>
    <row r="110" spans="1:17" ht="12.75" customHeight="1" x14ac:dyDescent="0.2">
      <c r="A110" s="47"/>
      <c r="B110" s="240" t="s">
        <v>897</v>
      </c>
      <c r="C110" s="241"/>
      <c r="D110" s="24" t="s">
        <v>179</v>
      </c>
      <c r="E110" s="49"/>
      <c r="F110" s="48"/>
      <c r="G110" s="48"/>
    </row>
    <row r="111" spans="1:17" x14ac:dyDescent="0.2">
      <c r="A111" s="47"/>
      <c r="B111" s="232" t="s">
        <v>181</v>
      </c>
      <c r="C111" s="233"/>
      <c r="D111" s="34" t="s">
        <v>148</v>
      </c>
      <c r="E111" s="49"/>
      <c r="F111" s="48"/>
      <c r="G111" s="48"/>
    </row>
    <row r="112" spans="1:17" x14ac:dyDescent="0.2">
      <c r="A112" s="50"/>
      <c r="B112" s="51" t="s">
        <v>148</v>
      </c>
      <c r="C112" s="51" t="s">
        <v>896</v>
      </c>
      <c r="D112" s="51" t="s">
        <v>182</v>
      </c>
      <c r="E112" s="50"/>
      <c r="F112" s="50"/>
      <c r="G112" s="50"/>
      <c r="H112" s="50"/>
      <c r="J112" s="44"/>
    </row>
    <row r="113" spans="1:10" x14ac:dyDescent="0.2">
      <c r="A113" s="50"/>
      <c r="B113" s="52" t="s">
        <v>183</v>
      </c>
      <c r="C113" s="53">
        <v>45688</v>
      </c>
      <c r="D113" s="53">
        <v>45716</v>
      </c>
      <c r="E113" s="50"/>
      <c r="F113" s="50"/>
      <c r="G113" s="50"/>
      <c r="J113" s="44"/>
    </row>
    <row r="114" spans="1:10" x14ac:dyDescent="0.2">
      <c r="A114" s="54"/>
      <c r="B114" s="27" t="s">
        <v>184</v>
      </c>
      <c r="C114" s="55">
        <v>102.7829</v>
      </c>
      <c r="D114" s="55">
        <v>94.064999999999998</v>
      </c>
      <c r="E114" s="54"/>
      <c r="F114" s="56"/>
      <c r="G114" s="57"/>
    </row>
    <row r="115" spans="1:10" x14ac:dyDescent="0.2">
      <c r="A115" s="54"/>
      <c r="B115" s="27" t="s">
        <v>1070</v>
      </c>
      <c r="C115" s="55">
        <v>31.735700000000001</v>
      </c>
      <c r="D115" s="55">
        <v>29.043900000000001</v>
      </c>
      <c r="E115" s="54"/>
      <c r="F115" s="56"/>
      <c r="G115" s="57"/>
    </row>
    <row r="116" spans="1:10" x14ac:dyDescent="0.2">
      <c r="A116" s="54"/>
      <c r="B116" s="27" t="s">
        <v>186</v>
      </c>
      <c r="C116" s="55">
        <v>94.138900000000007</v>
      </c>
      <c r="D116" s="55">
        <v>86.094399999999993</v>
      </c>
      <c r="E116" s="54"/>
      <c r="F116" s="56"/>
      <c r="G116" s="57"/>
    </row>
    <row r="117" spans="1:10" x14ac:dyDescent="0.2">
      <c r="A117" s="54"/>
      <c r="B117" s="27" t="s">
        <v>1071</v>
      </c>
      <c r="C117" s="55">
        <v>28.584800000000001</v>
      </c>
      <c r="D117" s="55">
        <v>26.142199999999999</v>
      </c>
      <c r="E117" s="54"/>
      <c r="F117" s="56"/>
      <c r="G117" s="57"/>
    </row>
    <row r="118" spans="1:10" x14ac:dyDescent="0.2">
      <c r="A118" s="54"/>
      <c r="B118" s="54"/>
      <c r="C118" s="54"/>
      <c r="D118" s="54"/>
      <c r="E118" s="54"/>
      <c r="F118" s="54"/>
      <c r="G118" s="54"/>
    </row>
    <row r="119" spans="1:10" x14ac:dyDescent="0.2">
      <c r="A119" s="50"/>
      <c r="B119" s="240" t="s">
        <v>898</v>
      </c>
      <c r="C119" s="241"/>
      <c r="D119" s="58" t="s">
        <v>179</v>
      </c>
      <c r="E119" s="50"/>
      <c r="F119" s="50"/>
      <c r="G119" s="50"/>
    </row>
    <row r="120" spans="1:10" x14ac:dyDescent="0.2">
      <c r="A120" s="50"/>
      <c r="B120" s="59"/>
      <c r="C120" s="59"/>
      <c r="D120" s="59"/>
      <c r="E120" s="50"/>
      <c r="F120" s="50"/>
      <c r="G120" s="50"/>
    </row>
    <row r="121" spans="1:10" ht="29.1" customHeight="1" x14ac:dyDescent="0.2">
      <c r="A121" s="50"/>
      <c r="B121" s="240" t="s">
        <v>188</v>
      </c>
      <c r="C121" s="241"/>
      <c r="D121" s="58" t="s">
        <v>179</v>
      </c>
      <c r="E121" s="60"/>
      <c r="F121" s="50"/>
      <c r="G121" s="50"/>
    </row>
    <row r="122" spans="1:10" ht="29.1" customHeight="1" x14ac:dyDescent="0.2">
      <c r="A122" s="50"/>
      <c r="B122" s="240" t="s">
        <v>189</v>
      </c>
      <c r="C122" s="241"/>
      <c r="D122" s="58" t="s">
        <v>179</v>
      </c>
      <c r="E122" s="60"/>
      <c r="F122" s="50"/>
      <c r="G122" s="50"/>
    </row>
    <row r="123" spans="1:10" ht="17.100000000000001" customHeight="1" x14ac:dyDescent="0.2">
      <c r="A123" s="50"/>
      <c r="B123" s="240" t="s">
        <v>190</v>
      </c>
      <c r="C123" s="241"/>
      <c r="D123" s="58" t="s">
        <v>179</v>
      </c>
      <c r="E123" s="60"/>
      <c r="F123" s="50"/>
      <c r="G123" s="50"/>
    </row>
    <row r="124" spans="1:10" ht="17.100000000000001" customHeight="1" x14ac:dyDescent="0.2">
      <c r="A124" s="50"/>
      <c r="B124" s="240" t="s">
        <v>191</v>
      </c>
      <c r="C124" s="241"/>
      <c r="D124" s="61">
        <v>0.23957989918030423</v>
      </c>
      <c r="E124" s="50"/>
      <c r="F124" s="43"/>
      <c r="G124" s="62"/>
    </row>
    <row r="126" spans="1:10" x14ac:dyDescent="0.2">
      <c r="B126" s="238" t="s">
        <v>899</v>
      </c>
      <c r="C126" s="238"/>
    </row>
    <row r="128" spans="1:10" ht="153.75" customHeight="1" x14ac:dyDescent="0.2"/>
    <row r="131" spans="2:10" x14ac:dyDescent="0.2">
      <c r="B131" s="68" t="s">
        <v>900</v>
      </c>
      <c r="C131" s="69"/>
      <c r="D131" s="68"/>
    </row>
    <row r="132" spans="2:10" x14ac:dyDescent="0.2">
      <c r="B132" s="68" t="s">
        <v>1044</v>
      </c>
      <c r="D132" s="68"/>
    </row>
    <row r="133" spans="2:10" ht="165" customHeight="1" x14ac:dyDescent="0.2"/>
    <row r="135" spans="2:10" x14ac:dyDescent="0.2">
      <c r="J135" s="22"/>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sheetData>
  <mergeCells count="18">
    <mergeCell ref="B126:C126"/>
    <mergeCell ref="A3:H3"/>
    <mergeCell ref="A2:H2"/>
    <mergeCell ref="B124:C124"/>
    <mergeCell ref="A1:H1"/>
    <mergeCell ref="B110:C110"/>
    <mergeCell ref="B111:C111"/>
    <mergeCell ref="B119:C119"/>
    <mergeCell ref="B123:C123"/>
    <mergeCell ref="B108:D108"/>
    <mergeCell ref="B109:C109"/>
    <mergeCell ref="B102:H102"/>
    <mergeCell ref="B103:H103"/>
    <mergeCell ref="B104:H104"/>
    <mergeCell ref="B105:H105"/>
    <mergeCell ref="B106:H106"/>
    <mergeCell ref="B121:C121"/>
    <mergeCell ref="B122:C122"/>
  </mergeCells>
  <hyperlinks>
    <hyperlink ref="I1" location="Index!B2" display="Index" xr:uid="{D7BD5991-E0D7-42B4-9433-1E52E483CEE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880D-4A9E-4836-845A-A7BEBE9437A8}">
  <sheetPr>
    <outlinePr summaryBelow="0" summaryRight="0"/>
  </sheetPr>
  <dimension ref="A1:Q180"/>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0.42578125" bestFit="1"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813</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1475459</v>
      </c>
      <c r="F7" s="29">
        <v>25560.851716000001</v>
      </c>
      <c r="G7" s="30">
        <v>7.1973350000000005E-2</v>
      </c>
      <c r="H7" s="25" t="s">
        <v>148</v>
      </c>
    </row>
    <row r="8" spans="1:9" x14ac:dyDescent="0.2">
      <c r="A8" s="26">
        <v>2</v>
      </c>
      <c r="B8" s="27" t="s">
        <v>11</v>
      </c>
      <c r="C8" s="27" t="s">
        <v>12</v>
      </c>
      <c r="D8" s="27" t="s">
        <v>13</v>
      </c>
      <c r="E8" s="28">
        <v>1272818</v>
      </c>
      <c r="F8" s="29">
        <v>19985.788236</v>
      </c>
      <c r="G8" s="30">
        <v>5.6275279999999997E-2</v>
      </c>
      <c r="H8" s="25" t="s">
        <v>148</v>
      </c>
    </row>
    <row r="9" spans="1:9" x14ac:dyDescent="0.2">
      <c r="A9" s="26">
        <v>3</v>
      </c>
      <c r="B9" s="27" t="s">
        <v>14</v>
      </c>
      <c r="C9" s="27" t="s">
        <v>15</v>
      </c>
      <c r="D9" s="27" t="s">
        <v>16</v>
      </c>
      <c r="E9" s="28">
        <v>1532287</v>
      </c>
      <c r="F9" s="29">
        <v>18388.976287000001</v>
      </c>
      <c r="G9" s="30">
        <v>5.1779039999999998E-2</v>
      </c>
      <c r="H9" s="25" t="s">
        <v>148</v>
      </c>
    </row>
    <row r="10" spans="1:9" x14ac:dyDescent="0.2">
      <c r="A10" s="26">
        <v>4</v>
      </c>
      <c r="B10" s="27" t="s">
        <v>338</v>
      </c>
      <c r="C10" s="27" t="s">
        <v>339</v>
      </c>
      <c r="D10" s="27" t="s">
        <v>229</v>
      </c>
      <c r="E10" s="28">
        <v>5424628</v>
      </c>
      <c r="F10" s="29">
        <v>12048.098787999999</v>
      </c>
      <c r="G10" s="30">
        <v>3.3924620000000003E-2</v>
      </c>
      <c r="H10" s="25" t="s">
        <v>148</v>
      </c>
    </row>
    <row r="11" spans="1:9" x14ac:dyDescent="0.2">
      <c r="A11" s="26">
        <v>5</v>
      </c>
      <c r="B11" s="27" t="s">
        <v>336</v>
      </c>
      <c r="C11" s="27" t="s">
        <v>337</v>
      </c>
      <c r="D11" s="27" t="s">
        <v>28</v>
      </c>
      <c r="E11" s="28">
        <v>1179032</v>
      </c>
      <c r="F11" s="29">
        <v>11973.659476000001</v>
      </c>
      <c r="G11" s="30">
        <v>3.3715009999999997E-2</v>
      </c>
      <c r="H11" s="25" t="s">
        <v>148</v>
      </c>
    </row>
    <row r="12" spans="1:9" x14ac:dyDescent="0.2">
      <c r="A12" s="26">
        <v>6</v>
      </c>
      <c r="B12" s="27" t="s">
        <v>57</v>
      </c>
      <c r="C12" s="27" t="s">
        <v>58</v>
      </c>
      <c r="D12" s="27" t="s">
        <v>59</v>
      </c>
      <c r="E12" s="28">
        <v>1090073</v>
      </c>
      <c r="F12" s="29">
        <v>11657.240662</v>
      </c>
      <c r="G12" s="30">
        <v>3.282405E-2</v>
      </c>
      <c r="H12" s="25" t="s">
        <v>148</v>
      </c>
    </row>
    <row r="13" spans="1:9" x14ac:dyDescent="0.2">
      <c r="A13" s="26">
        <v>7</v>
      </c>
      <c r="B13" s="27" t="s">
        <v>26</v>
      </c>
      <c r="C13" s="27" t="s">
        <v>27</v>
      </c>
      <c r="D13" s="27" t="s">
        <v>28</v>
      </c>
      <c r="E13" s="28">
        <v>849819</v>
      </c>
      <c r="F13" s="29">
        <v>10232.670579</v>
      </c>
      <c r="G13" s="30">
        <v>2.88128E-2</v>
      </c>
      <c r="H13" s="25" t="s">
        <v>148</v>
      </c>
    </row>
    <row r="14" spans="1:9" x14ac:dyDescent="0.2">
      <c r="A14" s="26">
        <v>8</v>
      </c>
      <c r="B14" s="27" t="s">
        <v>344</v>
      </c>
      <c r="C14" s="27" t="s">
        <v>345</v>
      </c>
      <c r="D14" s="27" t="s">
        <v>111</v>
      </c>
      <c r="E14" s="28">
        <v>117710</v>
      </c>
      <c r="F14" s="29">
        <v>10041.01613</v>
      </c>
      <c r="G14" s="30">
        <v>2.8273139999999999E-2</v>
      </c>
      <c r="H14" s="25" t="s">
        <v>148</v>
      </c>
    </row>
    <row r="15" spans="1:9" x14ac:dyDescent="0.2">
      <c r="A15" s="26">
        <v>9</v>
      </c>
      <c r="B15" s="27" t="s">
        <v>70</v>
      </c>
      <c r="C15" s="27" t="s">
        <v>71</v>
      </c>
      <c r="D15" s="27" t="s">
        <v>13</v>
      </c>
      <c r="E15" s="28">
        <v>764917</v>
      </c>
      <c r="F15" s="29">
        <v>9977.5773480000007</v>
      </c>
      <c r="G15" s="30">
        <v>2.809451E-2</v>
      </c>
      <c r="H15" s="25" t="s">
        <v>148</v>
      </c>
    </row>
    <row r="16" spans="1:9" x14ac:dyDescent="0.2">
      <c r="A16" s="26">
        <v>10</v>
      </c>
      <c r="B16" s="27" t="s">
        <v>701</v>
      </c>
      <c r="C16" s="27" t="s">
        <v>702</v>
      </c>
      <c r="D16" s="27" t="s">
        <v>210</v>
      </c>
      <c r="E16" s="28">
        <v>164533</v>
      </c>
      <c r="F16" s="29">
        <v>9958.5243580000006</v>
      </c>
      <c r="G16" s="30">
        <v>2.8040869999999999E-2</v>
      </c>
      <c r="H16" s="25" t="s">
        <v>148</v>
      </c>
    </row>
    <row r="17" spans="1:8" x14ac:dyDescent="0.2">
      <c r="A17" s="26">
        <v>11</v>
      </c>
      <c r="B17" s="27" t="s">
        <v>268</v>
      </c>
      <c r="C17" s="27" t="s">
        <v>269</v>
      </c>
      <c r="D17" s="27" t="s">
        <v>270</v>
      </c>
      <c r="E17" s="28">
        <v>1795921</v>
      </c>
      <c r="F17" s="29">
        <v>9906.3002359999991</v>
      </c>
      <c r="G17" s="30">
        <v>2.7893810000000002E-2</v>
      </c>
      <c r="H17" s="25" t="s">
        <v>148</v>
      </c>
    </row>
    <row r="18" spans="1:8" x14ac:dyDescent="0.2">
      <c r="A18" s="26">
        <v>12</v>
      </c>
      <c r="B18" s="27" t="s">
        <v>450</v>
      </c>
      <c r="C18" s="27" t="s">
        <v>451</v>
      </c>
      <c r="D18" s="27" t="s">
        <v>28</v>
      </c>
      <c r="E18" s="28">
        <v>923656</v>
      </c>
      <c r="F18" s="29">
        <v>9145.1180559999993</v>
      </c>
      <c r="G18" s="30">
        <v>2.5750499999999999E-2</v>
      </c>
      <c r="H18" s="25" t="s">
        <v>148</v>
      </c>
    </row>
    <row r="19" spans="1:8" x14ac:dyDescent="0.2">
      <c r="A19" s="26">
        <v>13</v>
      </c>
      <c r="B19" s="27" t="s">
        <v>251</v>
      </c>
      <c r="C19" s="27" t="s">
        <v>252</v>
      </c>
      <c r="D19" s="27" t="s">
        <v>111</v>
      </c>
      <c r="E19" s="28">
        <v>1428849</v>
      </c>
      <c r="F19" s="29">
        <v>8820.2848770000001</v>
      </c>
      <c r="G19" s="30">
        <v>2.483585E-2</v>
      </c>
      <c r="H19" s="25" t="s">
        <v>148</v>
      </c>
    </row>
    <row r="20" spans="1:8" x14ac:dyDescent="0.2">
      <c r="A20" s="26">
        <v>14</v>
      </c>
      <c r="B20" s="27" t="s">
        <v>370</v>
      </c>
      <c r="C20" s="27" t="s">
        <v>371</v>
      </c>
      <c r="D20" s="27" t="s">
        <v>51</v>
      </c>
      <c r="E20" s="28">
        <v>275874</v>
      </c>
      <c r="F20" s="29">
        <v>8489.3326649999999</v>
      </c>
      <c r="G20" s="30">
        <v>2.390397E-2</v>
      </c>
      <c r="H20" s="25" t="s">
        <v>148</v>
      </c>
    </row>
    <row r="21" spans="1:8" x14ac:dyDescent="0.2">
      <c r="A21" s="26">
        <v>15</v>
      </c>
      <c r="B21" s="27" t="s">
        <v>404</v>
      </c>
      <c r="C21" s="27" t="s">
        <v>405</v>
      </c>
      <c r="D21" s="27" t="s">
        <v>111</v>
      </c>
      <c r="E21" s="28">
        <v>476637</v>
      </c>
      <c r="F21" s="29">
        <v>7825.9029030000002</v>
      </c>
      <c r="G21" s="30">
        <v>2.2035900000000001E-2</v>
      </c>
      <c r="H21" s="25" t="s">
        <v>148</v>
      </c>
    </row>
    <row r="22" spans="1:8" x14ac:dyDescent="0.2">
      <c r="A22" s="26">
        <v>16</v>
      </c>
      <c r="B22" s="27" t="s">
        <v>65</v>
      </c>
      <c r="C22" s="27" t="s">
        <v>66</v>
      </c>
      <c r="D22" s="27" t="s">
        <v>13</v>
      </c>
      <c r="E22" s="28">
        <v>2418626</v>
      </c>
      <c r="F22" s="29">
        <v>7820.6271710000001</v>
      </c>
      <c r="G22" s="30">
        <v>2.202105E-2</v>
      </c>
      <c r="H22" s="25" t="s">
        <v>148</v>
      </c>
    </row>
    <row r="23" spans="1:8" x14ac:dyDescent="0.2">
      <c r="A23" s="26">
        <v>17</v>
      </c>
      <c r="B23" s="27" t="s">
        <v>390</v>
      </c>
      <c r="C23" s="27" t="s">
        <v>391</v>
      </c>
      <c r="D23" s="27" t="s">
        <v>28</v>
      </c>
      <c r="E23" s="28">
        <v>22286806</v>
      </c>
      <c r="F23" s="29">
        <v>7160.7507678000002</v>
      </c>
      <c r="G23" s="30">
        <v>2.0162989999999999E-2</v>
      </c>
      <c r="H23" s="25" t="s">
        <v>148</v>
      </c>
    </row>
    <row r="24" spans="1:8" x14ac:dyDescent="0.2">
      <c r="A24" s="26">
        <v>18</v>
      </c>
      <c r="B24" s="27" t="s">
        <v>357</v>
      </c>
      <c r="C24" s="27" t="s">
        <v>358</v>
      </c>
      <c r="D24" s="27" t="s">
        <v>359</v>
      </c>
      <c r="E24" s="28">
        <v>478608</v>
      </c>
      <c r="F24" s="29">
        <v>6701.7085200000001</v>
      </c>
      <c r="G24" s="30">
        <v>1.8870439999999999E-2</v>
      </c>
      <c r="H24" s="25" t="s">
        <v>148</v>
      </c>
    </row>
    <row r="25" spans="1:8" x14ac:dyDescent="0.2">
      <c r="A25" s="26">
        <v>19</v>
      </c>
      <c r="B25" s="27" t="s">
        <v>298</v>
      </c>
      <c r="C25" s="27" t="s">
        <v>299</v>
      </c>
      <c r="D25" s="27" t="s">
        <v>54</v>
      </c>
      <c r="E25" s="28">
        <v>432866</v>
      </c>
      <c r="F25" s="29">
        <v>6701.1985459999996</v>
      </c>
      <c r="G25" s="30">
        <v>1.8869E-2</v>
      </c>
      <c r="H25" s="25" t="s">
        <v>148</v>
      </c>
    </row>
    <row r="26" spans="1:8" x14ac:dyDescent="0.2">
      <c r="A26" s="26">
        <v>20</v>
      </c>
      <c r="B26" s="27" t="s">
        <v>382</v>
      </c>
      <c r="C26" s="27" t="s">
        <v>383</v>
      </c>
      <c r="D26" s="27" t="s">
        <v>210</v>
      </c>
      <c r="E26" s="28">
        <v>1639820</v>
      </c>
      <c r="F26" s="29">
        <v>6607.6546900000003</v>
      </c>
      <c r="G26" s="30">
        <v>1.86056E-2</v>
      </c>
      <c r="H26" s="25" t="s">
        <v>148</v>
      </c>
    </row>
    <row r="27" spans="1:8" x14ac:dyDescent="0.2">
      <c r="A27" s="26">
        <v>21</v>
      </c>
      <c r="B27" s="27" t="s">
        <v>464</v>
      </c>
      <c r="C27" s="27" t="s">
        <v>465</v>
      </c>
      <c r="D27" s="27" t="s">
        <v>111</v>
      </c>
      <c r="E27" s="28">
        <v>863054</v>
      </c>
      <c r="F27" s="29">
        <v>6588.1227090000002</v>
      </c>
      <c r="G27" s="30">
        <v>1.8550609999999999E-2</v>
      </c>
      <c r="H27" s="25" t="s">
        <v>148</v>
      </c>
    </row>
    <row r="28" spans="1:8" x14ac:dyDescent="0.2">
      <c r="A28" s="26">
        <v>22</v>
      </c>
      <c r="B28" s="27" t="s">
        <v>109</v>
      </c>
      <c r="C28" s="27" t="s">
        <v>110</v>
      </c>
      <c r="D28" s="27" t="s">
        <v>111</v>
      </c>
      <c r="E28" s="28">
        <v>1714600</v>
      </c>
      <c r="F28" s="29">
        <v>6177.7038000000002</v>
      </c>
      <c r="G28" s="30">
        <v>1.7394960000000001E-2</v>
      </c>
      <c r="H28" s="25" t="s">
        <v>148</v>
      </c>
    </row>
    <row r="29" spans="1:8" x14ac:dyDescent="0.2">
      <c r="A29" s="26">
        <v>23</v>
      </c>
      <c r="B29" s="27" t="s">
        <v>243</v>
      </c>
      <c r="C29" s="27" t="s">
        <v>244</v>
      </c>
      <c r="D29" s="27" t="s">
        <v>229</v>
      </c>
      <c r="E29" s="28">
        <v>82387</v>
      </c>
      <c r="F29" s="29">
        <v>5761.0345555000004</v>
      </c>
      <c r="G29" s="30">
        <v>1.6221719999999999E-2</v>
      </c>
      <c r="H29" s="25" t="s">
        <v>148</v>
      </c>
    </row>
    <row r="30" spans="1:8" x14ac:dyDescent="0.2">
      <c r="A30" s="26">
        <v>24</v>
      </c>
      <c r="B30" s="27" t="s">
        <v>247</v>
      </c>
      <c r="C30" s="27" t="s">
        <v>248</v>
      </c>
      <c r="D30" s="27" t="s">
        <v>232</v>
      </c>
      <c r="E30" s="28">
        <v>732261</v>
      </c>
      <c r="F30" s="29">
        <v>5397.1297004999997</v>
      </c>
      <c r="G30" s="30">
        <v>1.519705E-2</v>
      </c>
      <c r="H30" s="25" t="s">
        <v>148</v>
      </c>
    </row>
    <row r="31" spans="1:8" x14ac:dyDescent="0.2">
      <c r="A31" s="26">
        <v>25</v>
      </c>
      <c r="B31" s="27" t="s">
        <v>392</v>
      </c>
      <c r="C31" s="27" t="s">
        <v>393</v>
      </c>
      <c r="D31" s="27" t="s">
        <v>28</v>
      </c>
      <c r="E31" s="28">
        <v>9120524</v>
      </c>
      <c r="F31" s="29">
        <v>5186.8419987999996</v>
      </c>
      <c r="G31" s="30">
        <v>1.460493E-2</v>
      </c>
      <c r="H31" s="25" t="s">
        <v>148</v>
      </c>
    </row>
    <row r="32" spans="1:8" x14ac:dyDescent="0.2">
      <c r="A32" s="26">
        <v>26</v>
      </c>
      <c r="B32" s="27" t="s">
        <v>396</v>
      </c>
      <c r="C32" s="27" t="s">
        <v>397</v>
      </c>
      <c r="D32" s="27" t="s">
        <v>205</v>
      </c>
      <c r="E32" s="28">
        <v>1050270</v>
      </c>
      <c r="F32" s="29">
        <v>5146.3230000000003</v>
      </c>
      <c r="G32" s="30">
        <v>1.449084E-2</v>
      </c>
      <c r="H32" s="25" t="s">
        <v>148</v>
      </c>
    </row>
    <row r="33" spans="1:8" x14ac:dyDescent="0.2">
      <c r="A33" s="26">
        <v>27</v>
      </c>
      <c r="B33" s="27" t="s">
        <v>787</v>
      </c>
      <c r="C33" s="27" t="s">
        <v>788</v>
      </c>
      <c r="D33" s="27" t="s">
        <v>205</v>
      </c>
      <c r="E33" s="28">
        <v>109074</v>
      </c>
      <c r="F33" s="29">
        <v>5089.3383030000005</v>
      </c>
      <c r="G33" s="30">
        <v>1.433038E-2</v>
      </c>
      <c r="H33" s="25" t="s">
        <v>148</v>
      </c>
    </row>
    <row r="34" spans="1:8" x14ac:dyDescent="0.2">
      <c r="A34" s="26">
        <v>28</v>
      </c>
      <c r="B34" s="27" t="s">
        <v>406</v>
      </c>
      <c r="C34" s="27" t="s">
        <v>407</v>
      </c>
      <c r="D34" s="27" t="s">
        <v>232</v>
      </c>
      <c r="E34" s="28">
        <v>717133</v>
      </c>
      <c r="F34" s="29">
        <v>4898.3769565000002</v>
      </c>
      <c r="G34" s="30">
        <v>1.379268E-2</v>
      </c>
      <c r="H34" s="25" t="s">
        <v>148</v>
      </c>
    </row>
    <row r="35" spans="1:8" x14ac:dyDescent="0.2">
      <c r="A35" s="26">
        <v>29</v>
      </c>
      <c r="B35" s="27" t="s">
        <v>378</v>
      </c>
      <c r="C35" s="27" t="s">
        <v>379</v>
      </c>
      <c r="D35" s="27" t="s">
        <v>232</v>
      </c>
      <c r="E35" s="28">
        <v>1541195</v>
      </c>
      <c r="F35" s="29">
        <v>4781.5574875000002</v>
      </c>
      <c r="G35" s="30">
        <v>1.346374E-2</v>
      </c>
      <c r="H35" s="25" t="s">
        <v>148</v>
      </c>
    </row>
    <row r="36" spans="1:8" x14ac:dyDescent="0.2">
      <c r="A36" s="26">
        <v>30</v>
      </c>
      <c r="B36" s="27" t="s">
        <v>321</v>
      </c>
      <c r="C36" s="27" t="s">
        <v>322</v>
      </c>
      <c r="D36" s="27" t="s">
        <v>111</v>
      </c>
      <c r="E36" s="28">
        <v>265869</v>
      </c>
      <c r="F36" s="29">
        <v>4481.3549295000003</v>
      </c>
      <c r="G36" s="30">
        <v>1.261844E-2</v>
      </c>
      <c r="H36" s="25" t="s">
        <v>148</v>
      </c>
    </row>
    <row r="37" spans="1:8" x14ac:dyDescent="0.2">
      <c r="A37" s="26">
        <v>31</v>
      </c>
      <c r="B37" s="27" t="s">
        <v>384</v>
      </c>
      <c r="C37" s="27" t="s">
        <v>385</v>
      </c>
      <c r="D37" s="27" t="s">
        <v>28</v>
      </c>
      <c r="E37" s="28">
        <v>1561198</v>
      </c>
      <c r="F37" s="29">
        <v>4414.2873449999997</v>
      </c>
      <c r="G37" s="30">
        <v>1.2429600000000001E-2</v>
      </c>
      <c r="H37" s="25" t="s">
        <v>148</v>
      </c>
    </row>
    <row r="38" spans="1:8" x14ac:dyDescent="0.2">
      <c r="A38" s="26">
        <v>32</v>
      </c>
      <c r="B38" s="27" t="s">
        <v>334</v>
      </c>
      <c r="C38" s="27" t="s">
        <v>335</v>
      </c>
      <c r="D38" s="27" t="s">
        <v>205</v>
      </c>
      <c r="E38" s="28">
        <v>260951</v>
      </c>
      <c r="F38" s="29">
        <v>4404.0700269999998</v>
      </c>
      <c r="G38" s="30">
        <v>1.240083E-2</v>
      </c>
      <c r="H38" s="25" t="s">
        <v>148</v>
      </c>
    </row>
    <row r="39" spans="1:8" x14ac:dyDescent="0.2">
      <c r="A39" s="26">
        <v>33</v>
      </c>
      <c r="B39" s="27" t="s">
        <v>208</v>
      </c>
      <c r="C39" s="27" t="s">
        <v>209</v>
      </c>
      <c r="D39" s="27" t="s">
        <v>210</v>
      </c>
      <c r="E39" s="28">
        <v>670186</v>
      </c>
      <c r="F39" s="29">
        <v>4106.2296219999998</v>
      </c>
      <c r="G39" s="30">
        <v>1.156218E-2</v>
      </c>
      <c r="H39" s="25" t="s">
        <v>148</v>
      </c>
    </row>
    <row r="40" spans="1:8" x14ac:dyDescent="0.2">
      <c r="A40" s="26">
        <v>34</v>
      </c>
      <c r="B40" s="27" t="s">
        <v>530</v>
      </c>
      <c r="C40" s="27" t="s">
        <v>531</v>
      </c>
      <c r="D40" s="27" t="s">
        <v>205</v>
      </c>
      <c r="E40" s="28">
        <v>275867</v>
      </c>
      <c r="F40" s="29">
        <v>4104.4871595000004</v>
      </c>
      <c r="G40" s="30">
        <v>1.155727E-2</v>
      </c>
      <c r="H40" s="25" t="s">
        <v>148</v>
      </c>
    </row>
    <row r="41" spans="1:8" x14ac:dyDescent="0.2">
      <c r="A41" s="26">
        <v>35</v>
      </c>
      <c r="B41" s="27" t="s">
        <v>351</v>
      </c>
      <c r="C41" s="27" t="s">
        <v>352</v>
      </c>
      <c r="D41" s="27" t="s">
        <v>240</v>
      </c>
      <c r="E41" s="28">
        <v>80256</v>
      </c>
      <c r="F41" s="29">
        <v>4006.0986240000002</v>
      </c>
      <c r="G41" s="30">
        <v>1.128023E-2</v>
      </c>
      <c r="H41" s="25" t="s">
        <v>148</v>
      </c>
    </row>
    <row r="42" spans="1:8" x14ac:dyDescent="0.2">
      <c r="A42" s="26">
        <v>36</v>
      </c>
      <c r="B42" s="27" t="s">
        <v>401</v>
      </c>
      <c r="C42" s="27" t="s">
        <v>402</v>
      </c>
      <c r="D42" s="27" t="s">
        <v>403</v>
      </c>
      <c r="E42" s="28">
        <v>425515</v>
      </c>
      <c r="F42" s="29">
        <v>3846.4428425000001</v>
      </c>
      <c r="G42" s="30">
        <v>1.0830680000000001E-2</v>
      </c>
      <c r="H42" s="25" t="s">
        <v>148</v>
      </c>
    </row>
    <row r="43" spans="1:8" x14ac:dyDescent="0.2">
      <c r="A43" s="26">
        <v>37</v>
      </c>
      <c r="B43" s="27" t="s">
        <v>422</v>
      </c>
      <c r="C43" s="27" t="s">
        <v>423</v>
      </c>
      <c r="D43" s="27" t="s">
        <v>359</v>
      </c>
      <c r="E43" s="28">
        <v>1096915</v>
      </c>
      <c r="F43" s="29">
        <v>3481.0597524999998</v>
      </c>
      <c r="G43" s="30">
        <v>9.8018500000000008E-3</v>
      </c>
      <c r="H43" s="25" t="s">
        <v>148</v>
      </c>
    </row>
    <row r="44" spans="1:8" x14ac:dyDescent="0.2">
      <c r="A44" s="26">
        <v>38</v>
      </c>
      <c r="B44" s="27" t="s">
        <v>498</v>
      </c>
      <c r="C44" s="27" t="s">
        <v>499</v>
      </c>
      <c r="D44" s="27" t="s">
        <v>270</v>
      </c>
      <c r="E44" s="28">
        <v>673568</v>
      </c>
      <c r="F44" s="29">
        <v>3042.506656</v>
      </c>
      <c r="G44" s="30">
        <v>8.5669800000000001E-3</v>
      </c>
      <c r="H44" s="25" t="s">
        <v>148</v>
      </c>
    </row>
    <row r="45" spans="1:8" x14ac:dyDescent="0.2">
      <c r="A45" s="26">
        <v>39</v>
      </c>
      <c r="B45" s="27" t="s">
        <v>125</v>
      </c>
      <c r="C45" s="27" t="s">
        <v>126</v>
      </c>
      <c r="D45" s="27" t="s">
        <v>64</v>
      </c>
      <c r="E45" s="28">
        <v>1192526</v>
      </c>
      <c r="F45" s="29">
        <v>2979.5262109999999</v>
      </c>
      <c r="G45" s="30">
        <v>8.3896500000000002E-3</v>
      </c>
      <c r="H45" s="25" t="s">
        <v>148</v>
      </c>
    </row>
    <row r="46" spans="1:8" ht="25.5" x14ac:dyDescent="0.2">
      <c r="A46" s="26">
        <v>40</v>
      </c>
      <c r="B46" s="27" t="s">
        <v>398</v>
      </c>
      <c r="C46" s="27" t="s">
        <v>399</v>
      </c>
      <c r="D46" s="27" t="s">
        <v>400</v>
      </c>
      <c r="E46" s="28">
        <v>941308</v>
      </c>
      <c r="F46" s="29">
        <v>2870.5187460000002</v>
      </c>
      <c r="G46" s="30">
        <v>8.0827099999999999E-3</v>
      </c>
      <c r="H46" s="25" t="s">
        <v>148</v>
      </c>
    </row>
    <row r="47" spans="1:8" x14ac:dyDescent="0.2">
      <c r="A47" s="26">
        <v>41</v>
      </c>
      <c r="B47" s="27" t="s">
        <v>806</v>
      </c>
      <c r="C47" s="27" t="s">
        <v>807</v>
      </c>
      <c r="D47" s="27" t="s">
        <v>229</v>
      </c>
      <c r="E47" s="28">
        <v>740960</v>
      </c>
      <c r="F47" s="29">
        <v>2479.62264</v>
      </c>
      <c r="G47" s="30">
        <v>6.9820400000000001E-3</v>
      </c>
      <c r="H47" s="25" t="s">
        <v>148</v>
      </c>
    </row>
    <row r="48" spans="1:8" x14ac:dyDescent="0.2">
      <c r="A48" s="26">
        <v>42</v>
      </c>
      <c r="B48" s="27" t="s">
        <v>426</v>
      </c>
      <c r="C48" s="27" t="s">
        <v>427</v>
      </c>
      <c r="D48" s="27" t="s">
        <v>64</v>
      </c>
      <c r="E48" s="28">
        <v>247498</v>
      </c>
      <c r="F48" s="29">
        <v>2232.1844620000002</v>
      </c>
      <c r="G48" s="30">
        <v>6.2853099999999997E-3</v>
      </c>
      <c r="H48" s="25" t="s">
        <v>148</v>
      </c>
    </row>
    <row r="49" spans="1:8" x14ac:dyDescent="0.2">
      <c r="A49" s="26">
        <v>43</v>
      </c>
      <c r="B49" s="27" t="s">
        <v>504</v>
      </c>
      <c r="C49" s="27" t="s">
        <v>505</v>
      </c>
      <c r="D49" s="27" t="s">
        <v>51</v>
      </c>
      <c r="E49" s="28">
        <v>756074</v>
      </c>
      <c r="F49" s="29">
        <v>2220.9673750000002</v>
      </c>
      <c r="G49" s="30">
        <v>6.2537199999999999E-3</v>
      </c>
      <c r="H49" s="25" t="s">
        <v>148</v>
      </c>
    </row>
    <row r="50" spans="1:8" x14ac:dyDescent="0.2">
      <c r="A50" s="26">
        <v>44</v>
      </c>
      <c r="B50" s="27" t="s">
        <v>738</v>
      </c>
      <c r="C50" s="27" t="s">
        <v>739</v>
      </c>
      <c r="D50" s="27" t="s">
        <v>210</v>
      </c>
      <c r="E50" s="28">
        <v>139519</v>
      </c>
      <c r="F50" s="29">
        <v>2210.678555</v>
      </c>
      <c r="G50" s="30">
        <v>6.2247500000000002E-3</v>
      </c>
      <c r="H50" s="25" t="s">
        <v>148</v>
      </c>
    </row>
    <row r="51" spans="1:8" x14ac:dyDescent="0.2">
      <c r="A51" s="26">
        <v>45</v>
      </c>
      <c r="B51" s="27" t="s">
        <v>253</v>
      </c>
      <c r="C51" s="27" t="s">
        <v>254</v>
      </c>
      <c r="D51" s="27" t="s">
        <v>205</v>
      </c>
      <c r="E51" s="28">
        <v>29948</v>
      </c>
      <c r="F51" s="29">
        <v>2204.8166820000001</v>
      </c>
      <c r="G51" s="30">
        <v>6.2082500000000002E-3</v>
      </c>
      <c r="H51" s="25" t="s">
        <v>148</v>
      </c>
    </row>
    <row r="52" spans="1:8" x14ac:dyDescent="0.2">
      <c r="A52" s="26">
        <v>46</v>
      </c>
      <c r="B52" s="27" t="s">
        <v>500</v>
      </c>
      <c r="C52" s="27" t="s">
        <v>501</v>
      </c>
      <c r="D52" s="27" t="s">
        <v>240</v>
      </c>
      <c r="E52" s="28">
        <v>130000</v>
      </c>
      <c r="F52" s="29">
        <v>2151.0450000000001</v>
      </c>
      <c r="G52" s="30">
        <v>6.05684E-3</v>
      </c>
      <c r="H52" s="25" t="s">
        <v>148</v>
      </c>
    </row>
    <row r="53" spans="1:8" x14ac:dyDescent="0.2">
      <c r="A53" s="26">
        <v>47</v>
      </c>
      <c r="B53" s="27" t="s">
        <v>62</v>
      </c>
      <c r="C53" s="27" t="s">
        <v>63</v>
      </c>
      <c r="D53" s="27" t="s">
        <v>64</v>
      </c>
      <c r="E53" s="28">
        <v>44887</v>
      </c>
      <c r="F53" s="29">
        <v>2009.725651</v>
      </c>
      <c r="G53" s="30">
        <v>5.6589199999999996E-3</v>
      </c>
      <c r="H53" s="25" t="s">
        <v>148</v>
      </c>
    </row>
    <row r="54" spans="1:8" x14ac:dyDescent="0.2">
      <c r="A54" s="26">
        <v>48</v>
      </c>
      <c r="B54" s="27" t="s">
        <v>502</v>
      </c>
      <c r="C54" s="27" t="s">
        <v>503</v>
      </c>
      <c r="D54" s="27" t="s">
        <v>240</v>
      </c>
      <c r="E54" s="28">
        <v>202966</v>
      </c>
      <c r="F54" s="29">
        <v>1909.7070940000001</v>
      </c>
      <c r="G54" s="30">
        <v>5.3772899999999998E-3</v>
      </c>
      <c r="H54" s="25" t="s">
        <v>148</v>
      </c>
    </row>
    <row r="55" spans="1:8" x14ac:dyDescent="0.2">
      <c r="A55" s="26">
        <v>49</v>
      </c>
      <c r="B55" s="27" t="s">
        <v>416</v>
      </c>
      <c r="C55" s="27" t="s">
        <v>417</v>
      </c>
      <c r="D55" s="27" t="s">
        <v>111</v>
      </c>
      <c r="E55" s="28">
        <v>92111</v>
      </c>
      <c r="F55" s="29">
        <v>846.59220100000005</v>
      </c>
      <c r="G55" s="30">
        <v>2.3838100000000001E-3</v>
      </c>
      <c r="H55" s="25" t="s">
        <v>148</v>
      </c>
    </row>
    <row r="56" spans="1:8" x14ac:dyDescent="0.2">
      <c r="A56" s="26">
        <v>50</v>
      </c>
      <c r="B56" s="27" t="s">
        <v>814</v>
      </c>
      <c r="C56" s="27" t="s">
        <v>815</v>
      </c>
      <c r="D56" s="27" t="s">
        <v>510</v>
      </c>
      <c r="E56" s="28">
        <v>1232</v>
      </c>
      <c r="F56" s="29">
        <v>499.15650399999998</v>
      </c>
      <c r="G56" s="30">
        <v>1.40551E-3</v>
      </c>
      <c r="H56" s="25" t="s">
        <v>148</v>
      </c>
    </row>
    <row r="57" spans="1:8" x14ac:dyDescent="0.2">
      <c r="A57" s="26">
        <v>51</v>
      </c>
      <c r="B57" s="27" t="s">
        <v>394</v>
      </c>
      <c r="C57" s="27" t="s">
        <v>395</v>
      </c>
      <c r="D57" s="27" t="s">
        <v>240</v>
      </c>
      <c r="E57" s="28">
        <v>140</v>
      </c>
      <c r="F57" s="29">
        <v>3.03681</v>
      </c>
      <c r="G57" s="30" t="s">
        <v>146</v>
      </c>
      <c r="H57" s="25" t="s">
        <v>148</v>
      </c>
    </row>
    <row r="58" spans="1:8" x14ac:dyDescent="0.2">
      <c r="A58" s="23"/>
      <c r="B58" s="23"/>
      <c r="C58" s="24" t="s">
        <v>147</v>
      </c>
      <c r="D58" s="23"/>
      <c r="E58" s="23" t="s">
        <v>148</v>
      </c>
      <c r="F58" s="31">
        <v>328533.8254116</v>
      </c>
      <c r="G58" s="32">
        <v>0.92507410000000001</v>
      </c>
      <c r="H58" s="25" t="s">
        <v>148</v>
      </c>
    </row>
    <row r="59" spans="1:8" x14ac:dyDescent="0.2">
      <c r="A59" s="23"/>
      <c r="B59" s="23"/>
      <c r="C59" s="33"/>
      <c r="D59" s="23"/>
      <c r="E59" s="23"/>
      <c r="F59" s="34"/>
      <c r="G59" s="34"/>
      <c r="H59" s="25" t="s">
        <v>148</v>
      </c>
    </row>
    <row r="60" spans="1:8" x14ac:dyDescent="0.2">
      <c r="A60" s="23"/>
      <c r="B60" s="23"/>
      <c r="C60" s="24" t="s">
        <v>149</v>
      </c>
      <c r="D60" s="23"/>
      <c r="E60" s="23"/>
      <c r="F60" s="23"/>
      <c r="G60" s="23"/>
      <c r="H60" s="25" t="s">
        <v>148</v>
      </c>
    </row>
    <row r="61" spans="1:8" x14ac:dyDescent="0.2">
      <c r="A61" s="26">
        <v>1</v>
      </c>
      <c r="B61" s="27" t="s">
        <v>816</v>
      </c>
      <c r="C61" s="38" t="s">
        <v>1045</v>
      </c>
      <c r="D61" s="27" t="s">
        <v>232</v>
      </c>
      <c r="E61" s="28">
        <v>37829</v>
      </c>
      <c r="F61" s="29">
        <v>3182.6225264770001</v>
      </c>
      <c r="G61" s="30">
        <v>8.9615200000000006E-3</v>
      </c>
      <c r="H61" s="25" t="s">
        <v>148</v>
      </c>
    </row>
    <row r="62" spans="1:8" x14ac:dyDescent="0.2">
      <c r="A62" s="23"/>
      <c r="B62" s="23"/>
      <c r="C62" s="24" t="s">
        <v>147</v>
      </c>
      <c r="D62" s="23"/>
      <c r="E62" s="23" t="s">
        <v>148</v>
      </c>
      <c r="F62" s="31">
        <v>3182.6225264770001</v>
      </c>
      <c r="G62" s="32">
        <v>8.9615200000000006E-3</v>
      </c>
      <c r="H62" s="25" t="s">
        <v>148</v>
      </c>
    </row>
    <row r="63" spans="1:8" x14ac:dyDescent="0.2">
      <c r="A63" s="23"/>
      <c r="B63" s="23"/>
      <c r="C63" s="33"/>
      <c r="D63" s="23"/>
      <c r="E63" s="23"/>
      <c r="F63" s="34"/>
      <c r="G63" s="34"/>
      <c r="H63" s="25" t="s">
        <v>148</v>
      </c>
    </row>
    <row r="64" spans="1:8" x14ac:dyDescent="0.2">
      <c r="A64" s="23"/>
      <c r="B64" s="23"/>
      <c r="C64" s="24" t="s">
        <v>151</v>
      </c>
      <c r="D64" s="23"/>
      <c r="E64" s="23"/>
      <c r="F64" s="23"/>
      <c r="G64" s="23"/>
      <c r="H64" s="25" t="s">
        <v>148</v>
      </c>
    </row>
    <row r="65" spans="1:8" x14ac:dyDescent="0.2">
      <c r="A65" s="23"/>
      <c r="B65" s="23"/>
      <c r="C65" s="24" t="s">
        <v>147</v>
      </c>
      <c r="D65" s="23"/>
      <c r="E65" s="23" t="s">
        <v>148</v>
      </c>
      <c r="F65" s="35" t="s">
        <v>150</v>
      </c>
      <c r="G65" s="32">
        <v>0</v>
      </c>
      <c r="H65" s="25" t="s">
        <v>148</v>
      </c>
    </row>
    <row r="66" spans="1:8" x14ac:dyDescent="0.2">
      <c r="A66" s="23"/>
      <c r="B66" s="23"/>
      <c r="C66" s="33"/>
      <c r="D66" s="23"/>
      <c r="E66" s="23"/>
      <c r="F66" s="34"/>
      <c r="G66" s="34"/>
      <c r="H66" s="25" t="s">
        <v>148</v>
      </c>
    </row>
    <row r="67" spans="1:8" x14ac:dyDescent="0.2">
      <c r="A67" s="23"/>
      <c r="B67" s="23"/>
      <c r="C67" s="24" t="s">
        <v>152</v>
      </c>
      <c r="D67" s="23"/>
      <c r="E67" s="23"/>
      <c r="F67" s="23"/>
      <c r="G67" s="23"/>
      <c r="H67" s="25" t="s">
        <v>148</v>
      </c>
    </row>
    <row r="68" spans="1:8" x14ac:dyDescent="0.2">
      <c r="A68" s="23"/>
      <c r="B68" s="23"/>
      <c r="C68" s="24" t="s">
        <v>147</v>
      </c>
      <c r="D68" s="23"/>
      <c r="E68" s="23" t="s">
        <v>148</v>
      </c>
      <c r="F68" s="35" t="s">
        <v>150</v>
      </c>
      <c r="G68" s="32">
        <v>0</v>
      </c>
      <c r="H68" s="25" t="s">
        <v>148</v>
      </c>
    </row>
    <row r="69" spans="1:8" x14ac:dyDescent="0.2">
      <c r="A69" s="23"/>
      <c r="B69" s="23"/>
      <c r="C69" s="33"/>
      <c r="D69" s="23"/>
      <c r="E69" s="23"/>
      <c r="F69" s="34"/>
      <c r="G69" s="34"/>
      <c r="H69" s="25" t="s">
        <v>148</v>
      </c>
    </row>
    <row r="70" spans="1:8" x14ac:dyDescent="0.2">
      <c r="A70" s="23"/>
      <c r="B70" s="23"/>
      <c r="C70" s="24" t="s">
        <v>153</v>
      </c>
      <c r="D70" s="23"/>
      <c r="E70" s="23"/>
      <c r="F70" s="34"/>
      <c r="G70" s="34"/>
      <c r="H70" s="25" t="s">
        <v>148</v>
      </c>
    </row>
    <row r="71" spans="1:8" x14ac:dyDescent="0.2">
      <c r="A71" s="23"/>
      <c r="B71" s="23"/>
      <c r="C71" s="24" t="s">
        <v>147</v>
      </c>
      <c r="D71" s="23"/>
      <c r="E71" s="23" t="s">
        <v>148</v>
      </c>
      <c r="F71" s="35" t="s">
        <v>150</v>
      </c>
      <c r="G71" s="32">
        <v>0</v>
      </c>
      <c r="H71" s="25" t="s">
        <v>148</v>
      </c>
    </row>
    <row r="72" spans="1:8" x14ac:dyDescent="0.2">
      <c r="A72" s="23"/>
      <c r="B72" s="23"/>
      <c r="C72" s="33"/>
      <c r="D72" s="23"/>
      <c r="E72" s="23"/>
      <c r="F72" s="34"/>
      <c r="G72" s="34"/>
      <c r="H72" s="25" t="s">
        <v>148</v>
      </c>
    </row>
    <row r="73" spans="1:8" x14ac:dyDescent="0.2">
      <c r="A73" s="23"/>
      <c r="B73" s="23"/>
      <c r="C73" s="24" t="s">
        <v>154</v>
      </c>
      <c r="D73" s="23"/>
      <c r="E73" s="23"/>
      <c r="F73" s="34"/>
      <c r="G73" s="34"/>
      <c r="H73" s="25" t="s">
        <v>148</v>
      </c>
    </row>
    <row r="74" spans="1:8" x14ac:dyDescent="0.2">
      <c r="A74" s="26">
        <v>1</v>
      </c>
      <c r="B74" s="27"/>
      <c r="C74" s="27" t="s">
        <v>915</v>
      </c>
      <c r="D74" s="27" t="s">
        <v>519</v>
      </c>
      <c r="E74" s="28">
        <v>223200</v>
      </c>
      <c r="F74" s="29">
        <v>4370.2560000000003</v>
      </c>
      <c r="G74" s="30">
        <v>1.230561E-2</v>
      </c>
      <c r="H74" s="25" t="s">
        <v>148</v>
      </c>
    </row>
    <row r="75" spans="1:8" x14ac:dyDescent="0.2">
      <c r="A75" s="26">
        <v>2</v>
      </c>
      <c r="B75" s="27"/>
      <c r="C75" s="27" t="s">
        <v>1046</v>
      </c>
      <c r="D75" s="27" t="s">
        <v>519</v>
      </c>
      <c r="E75" s="28">
        <v>4155</v>
      </c>
      <c r="F75" s="29">
        <v>1655.8277475</v>
      </c>
      <c r="G75" s="30">
        <v>4.6624199999999996E-3</v>
      </c>
      <c r="H75" s="25" t="s">
        <v>148</v>
      </c>
    </row>
    <row r="76" spans="1:8" x14ac:dyDescent="0.2">
      <c r="A76" s="23"/>
      <c r="B76" s="23"/>
      <c r="C76" s="24" t="s">
        <v>147</v>
      </c>
      <c r="D76" s="23"/>
      <c r="E76" s="23" t="s">
        <v>148</v>
      </c>
      <c r="F76" s="31">
        <v>6026.0837474999998</v>
      </c>
      <c r="G76" s="32">
        <v>1.6968029999999999E-2</v>
      </c>
      <c r="H76" s="25" t="s">
        <v>148</v>
      </c>
    </row>
    <row r="77" spans="1:8" x14ac:dyDescent="0.2">
      <c r="A77" s="23"/>
      <c r="B77" s="23"/>
      <c r="C77" s="33"/>
      <c r="D77" s="23"/>
      <c r="E77" s="23"/>
      <c r="F77" s="34"/>
      <c r="G77" s="34"/>
      <c r="H77" s="25" t="s">
        <v>148</v>
      </c>
    </row>
    <row r="78" spans="1:8" x14ac:dyDescent="0.2">
      <c r="A78" s="23"/>
      <c r="B78" s="23"/>
      <c r="C78" s="24" t="s">
        <v>155</v>
      </c>
      <c r="D78" s="23"/>
      <c r="E78" s="23"/>
      <c r="F78" s="31">
        <v>337742.53168557701</v>
      </c>
      <c r="G78" s="32">
        <v>0.95100364999999998</v>
      </c>
      <c r="H78" s="25" t="s">
        <v>148</v>
      </c>
    </row>
    <row r="79" spans="1:8" x14ac:dyDescent="0.2">
      <c r="A79" s="23"/>
      <c r="B79" s="23"/>
      <c r="C79" s="33"/>
      <c r="D79" s="23"/>
      <c r="E79" s="23"/>
      <c r="F79" s="34"/>
      <c r="G79" s="34"/>
      <c r="H79" s="25" t="s">
        <v>148</v>
      </c>
    </row>
    <row r="80" spans="1:8" x14ac:dyDescent="0.2">
      <c r="A80" s="23"/>
      <c r="B80" s="23"/>
      <c r="C80" s="24" t="s">
        <v>156</v>
      </c>
      <c r="D80" s="23"/>
      <c r="E80" s="23"/>
      <c r="F80" s="34"/>
      <c r="G80" s="34"/>
      <c r="H80" s="25" t="s">
        <v>148</v>
      </c>
    </row>
    <row r="81" spans="1:8" x14ac:dyDescent="0.2">
      <c r="A81" s="23"/>
      <c r="B81" s="23"/>
      <c r="C81" s="24" t="s">
        <v>10</v>
      </c>
      <c r="D81" s="23"/>
      <c r="E81" s="23"/>
      <c r="F81" s="34"/>
      <c r="G81" s="34"/>
      <c r="H81" s="25" t="s">
        <v>148</v>
      </c>
    </row>
    <row r="82" spans="1:8" x14ac:dyDescent="0.2">
      <c r="A82" s="23"/>
      <c r="B82" s="23"/>
      <c r="C82" s="24" t="s">
        <v>147</v>
      </c>
      <c r="D82" s="23"/>
      <c r="E82" s="23" t="s">
        <v>148</v>
      </c>
      <c r="F82" s="35" t="s">
        <v>150</v>
      </c>
      <c r="G82" s="32">
        <v>0</v>
      </c>
      <c r="H82" s="25" t="s">
        <v>148</v>
      </c>
    </row>
    <row r="83" spans="1:8" x14ac:dyDescent="0.2">
      <c r="A83" s="23"/>
      <c r="B83" s="23"/>
      <c r="C83" s="33"/>
      <c r="D83" s="23"/>
      <c r="E83" s="23"/>
      <c r="F83" s="34"/>
      <c r="G83" s="34"/>
      <c r="H83" s="25" t="s">
        <v>148</v>
      </c>
    </row>
    <row r="84" spans="1:8" x14ac:dyDescent="0.2">
      <c r="A84" s="23"/>
      <c r="B84" s="23"/>
      <c r="C84" s="24" t="s">
        <v>157</v>
      </c>
      <c r="D84" s="23"/>
      <c r="E84" s="23"/>
      <c r="F84" s="23"/>
      <c r="G84" s="23"/>
      <c r="H84" s="25" t="s">
        <v>148</v>
      </c>
    </row>
    <row r="85" spans="1:8" x14ac:dyDescent="0.2">
      <c r="A85" s="23"/>
      <c r="B85" s="23"/>
      <c r="C85" s="24" t="s">
        <v>147</v>
      </c>
      <c r="D85" s="23"/>
      <c r="E85" s="23" t="s">
        <v>148</v>
      </c>
      <c r="F85" s="35" t="s">
        <v>150</v>
      </c>
      <c r="G85" s="32">
        <v>0</v>
      </c>
      <c r="H85" s="25" t="s">
        <v>148</v>
      </c>
    </row>
    <row r="86" spans="1:8" x14ac:dyDescent="0.2">
      <c r="A86" s="23"/>
      <c r="B86" s="23"/>
      <c r="C86" s="33"/>
      <c r="D86" s="23"/>
      <c r="E86" s="23"/>
      <c r="F86" s="34"/>
      <c r="G86" s="34"/>
      <c r="H86" s="25" t="s">
        <v>148</v>
      </c>
    </row>
    <row r="87" spans="1:8" x14ac:dyDescent="0.2">
      <c r="A87" s="23"/>
      <c r="B87" s="23"/>
      <c r="C87" s="24" t="s">
        <v>158</v>
      </c>
      <c r="D87" s="23"/>
      <c r="E87" s="23"/>
      <c r="F87" s="23"/>
      <c r="G87" s="23"/>
      <c r="H87" s="25" t="s">
        <v>148</v>
      </c>
    </row>
    <row r="88" spans="1:8" x14ac:dyDescent="0.2">
      <c r="A88" s="23"/>
      <c r="B88" s="23"/>
      <c r="C88" s="24" t="s">
        <v>147</v>
      </c>
      <c r="D88" s="23"/>
      <c r="E88" s="23" t="s">
        <v>148</v>
      </c>
      <c r="F88" s="35" t="s">
        <v>150</v>
      </c>
      <c r="G88" s="32">
        <v>0</v>
      </c>
      <c r="H88" s="25" t="s">
        <v>148</v>
      </c>
    </row>
    <row r="89" spans="1:8" x14ac:dyDescent="0.2">
      <c r="A89" s="23"/>
      <c r="B89" s="23"/>
      <c r="C89" s="33"/>
      <c r="D89" s="23"/>
      <c r="E89" s="23"/>
      <c r="F89" s="34"/>
      <c r="G89" s="34"/>
      <c r="H89" s="25" t="s">
        <v>148</v>
      </c>
    </row>
    <row r="90" spans="1:8" x14ac:dyDescent="0.2">
      <c r="A90" s="23"/>
      <c r="B90" s="23"/>
      <c r="C90" s="24" t="s">
        <v>159</v>
      </c>
      <c r="D90" s="23"/>
      <c r="E90" s="23"/>
      <c r="F90" s="34"/>
      <c r="G90" s="34"/>
      <c r="H90" s="25" t="s">
        <v>148</v>
      </c>
    </row>
    <row r="91" spans="1:8" x14ac:dyDescent="0.2">
      <c r="A91" s="23"/>
      <c r="B91" s="23"/>
      <c r="C91" s="24" t="s">
        <v>147</v>
      </c>
      <c r="D91" s="23"/>
      <c r="E91" s="23" t="s">
        <v>148</v>
      </c>
      <c r="F91" s="35" t="s">
        <v>150</v>
      </c>
      <c r="G91" s="32">
        <v>0</v>
      </c>
      <c r="H91" s="25" t="s">
        <v>148</v>
      </c>
    </row>
    <row r="92" spans="1:8" x14ac:dyDescent="0.2">
      <c r="A92" s="23"/>
      <c r="B92" s="23"/>
      <c r="C92" s="33"/>
      <c r="D92" s="23"/>
      <c r="E92" s="23"/>
      <c r="F92" s="34"/>
      <c r="G92" s="34"/>
      <c r="H92" s="25" t="s">
        <v>148</v>
      </c>
    </row>
    <row r="93" spans="1:8" x14ac:dyDescent="0.2">
      <c r="A93" s="23"/>
      <c r="B93" s="23"/>
      <c r="C93" s="24" t="s">
        <v>160</v>
      </c>
      <c r="D93" s="23"/>
      <c r="E93" s="23"/>
      <c r="F93" s="31">
        <v>0</v>
      </c>
      <c r="G93" s="32">
        <v>0</v>
      </c>
      <c r="H93" s="25" t="s">
        <v>148</v>
      </c>
    </row>
    <row r="94" spans="1:8" x14ac:dyDescent="0.2">
      <c r="A94" s="23"/>
      <c r="B94" s="23"/>
      <c r="C94" s="33"/>
      <c r="D94" s="23"/>
      <c r="E94" s="23"/>
      <c r="F94" s="34"/>
      <c r="G94" s="34"/>
      <c r="H94" s="25" t="s">
        <v>148</v>
      </c>
    </row>
    <row r="95" spans="1:8" x14ac:dyDescent="0.2">
      <c r="A95" s="23"/>
      <c r="B95" s="23"/>
      <c r="C95" s="24" t="s">
        <v>161</v>
      </c>
      <c r="D95" s="23"/>
      <c r="E95" s="23"/>
      <c r="F95" s="34"/>
      <c r="G95" s="34"/>
      <c r="H95" s="25" t="s">
        <v>148</v>
      </c>
    </row>
    <row r="96" spans="1:8" x14ac:dyDescent="0.2">
      <c r="A96" s="23"/>
      <c r="B96" s="23"/>
      <c r="C96" s="24" t="s">
        <v>162</v>
      </c>
      <c r="D96" s="23"/>
      <c r="E96" s="23"/>
      <c r="F96" s="34"/>
      <c r="G96" s="34"/>
      <c r="H96" s="25" t="s">
        <v>148</v>
      </c>
    </row>
    <row r="97" spans="1:8" x14ac:dyDescent="0.2">
      <c r="A97" s="23"/>
      <c r="B97" s="23"/>
      <c r="C97" s="24" t="s">
        <v>147</v>
      </c>
      <c r="D97" s="23"/>
      <c r="E97" s="23" t="s">
        <v>148</v>
      </c>
      <c r="F97" s="35" t="s">
        <v>150</v>
      </c>
      <c r="G97" s="32">
        <v>0</v>
      </c>
      <c r="H97" s="25" t="s">
        <v>148</v>
      </c>
    </row>
    <row r="98" spans="1:8" x14ac:dyDescent="0.2">
      <c r="A98" s="23"/>
      <c r="B98" s="23"/>
      <c r="C98" s="33"/>
      <c r="D98" s="23"/>
      <c r="E98" s="23"/>
      <c r="F98" s="34"/>
      <c r="G98" s="34"/>
      <c r="H98" s="25" t="s">
        <v>148</v>
      </c>
    </row>
    <row r="99" spans="1:8" x14ac:dyDescent="0.2">
      <c r="A99" s="23"/>
      <c r="B99" s="23"/>
      <c r="C99" s="24" t="s">
        <v>163</v>
      </c>
      <c r="D99" s="23"/>
      <c r="E99" s="23"/>
      <c r="F99" s="34"/>
      <c r="G99" s="34"/>
      <c r="H99" s="25" t="s">
        <v>148</v>
      </c>
    </row>
    <row r="100" spans="1:8" x14ac:dyDescent="0.2">
      <c r="A100" s="23"/>
      <c r="B100" s="23"/>
      <c r="C100" s="24" t="s">
        <v>147</v>
      </c>
      <c r="D100" s="23"/>
      <c r="E100" s="23" t="s">
        <v>148</v>
      </c>
      <c r="F100" s="35" t="s">
        <v>150</v>
      </c>
      <c r="G100" s="32">
        <v>0</v>
      </c>
      <c r="H100" s="25" t="s">
        <v>148</v>
      </c>
    </row>
    <row r="101" spans="1:8" x14ac:dyDescent="0.2">
      <c r="A101" s="23"/>
      <c r="B101" s="23"/>
      <c r="C101" s="33"/>
      <c r="D101" s="23"/>
      <c r="E101" s="23"/>
      <c r="F101" s="34"/>
      <c r="G101" s="34"/>
      <c r="H101" s="25" t="s">
        <v>148</v>
      </c>
    </row>
    <row r="102" spans="1:8" x14ac:dyDescent="0.2">
      <c r="A102" s="23"/>
      <c r="B102" s="23"/>
      <c r="C102" s="24" t="s">
        <v>164</v>
      </c>
      <c r="D102" s="23"/>
      <c r="E102" s="23"/>
      <c r="F102" s="34"/>
      <c r="G102" s="34"/>
      <c r="H102" s="25" t="s">
        <v>148</v>
      </c>
    </row>
    <row r="103" spans="1:8" x14ac:dyDescent="0.2">
      <c r="A103" s="26">
        <v>1</v>
      </c>
      <c r="B103" s="27" t="s">
        <v>660</v>
      </c>
      <c r="C103" s="27" t="s">
        <v>1089</v>
      </c>
      <c r="D103" s="27" t="s">
        <v>521</v>
      </c>
      <c r="E103" s="28">
        <v>3000000</v>
      </c>
      <c r="F103" s="29">
        <v>2899.1640000000002</v>
      </c>
      <c r="G103" s="30">
        <v>8.1633699999999997E-3</v>
      </c>
      <c r="H103" s="25">
        <v>6.5438000000000001</v>
      </c>
    </row>
    <row r="104" spans="1:8" x14ac:dyDescent="0.2">
      <c r="A104" s="26">
        <v>2</v>
      </c>
      <c r="B104" s="27" t="s">
        <v>520</v>
      </c>
      <c r="C104" s="27" t="s">
        <v>1082</v>
      </c>
      <c r="D104" s="27" t="s">
        <v>521</v>
      </c>
      <c r="E104" s="28">
        <v>1000000</v>
      </c>
      <c r="F104" s="29">
        <v>989.11300000000006</v>
      </c>
      <c r="G104" s="30">
        <v>2.7851099999999999E-3</v>
      </c>
      <c r="H104" s="25">
        <v>6.48</v>
      </c>
    </row>
    <row r="105" spans="1:8" x14ac:dyDescent="0.2">
      <c r="A105" s="23"/>
      <c r="B105" s="23"/>
      <c r="C105" s="24" t="s">
        <v>147</v>
      </c>
      <c r="D105" s="23"/>
      <c r="E105" s="23" t="s">
        <v>148</v>
      </c>
      <c r="F105" s="31">
        <v>3888.277</v>
      </c>
      <c r="G105" s="32">
        <v>1.094848E-2</v>
      </c>
      <c r="H105" s="25" t="s">
        <v>148</v>
      </c>
    </row>
    <row r="106" spans="1:8" x14ac:dyDescent="0.2">
      <c r="A106" s="23"/>
      <c r="B106" s="23"/>
      <c r="C106" s="33"/>
      <c r="D106" s="23"/>
      <c r="E106" s="23"/>
      <c r="F106" s="34"/>
      <c r="G106" s="34"/>
      <c r="H106" s="25" t="s">
        <v>148</v>
      </c>
    </row>
    <row r="107" spans="1:8" x14ac:dyDescent="0.2">
      <c r="A107" s="23"/>
      <c r="B107" s="23"/>
      <c r="C107" s="24" t="s">
        <v>165</v>
      </c>
      <c r="D107" s="23"/>
      <c r="E107" s="23"/>
      <c r="F107" s="34"/>
      <c r="G107" s="34"/>
      <c r="H107" s="25" t="s">
        <v>148</v>
      </c>
    </row>
    <row r="108" spans="1:8" x14ac:dyDescent="0.2">
      <c r="A108" s="26">
        <v>1</v>
      </c>
      <c r="B108" s="27"/>
      <c r="C108" s="27" t="s">
        <v>166</v>
      </c>
      <c r="D108" s="27"/>
      <c r="E108" s="36"/>
      <c r="F108" s="29">
        <v>11844.750224961999</v>
      </c>
      <c r="G108" s="30">
        <v>3.3352029999999998E-2</v>
      </c>
      <c r="H108" s="25">
        <v>6.23</v>
      </c>
    </row>
    <row r="109" spans="1:8" x14ac:dyDescent="0.2">
      <c r="A109" s="23"/>
      <c r="B109" s="23"/>
      <c r="C109" s="24" t="s">
        <v>147</v>
      </c>
      <c r="D109" s="23"/>
      <c r="E109" s="23" t="s">
        <v>148</v>
      </c>
      <c r="F109" s="31">
        <v>11844.750224961999</v>
      </c>
      <c r="G109" s="32">
        <v>3.3352029999999998E-2</v>
      </c>
      <c r="H109" s="25" t="s">
        <v>148</v>
      </c>
    </row>
    <row r="110" spans="1:8" x14ac:dyDescent="0.2">
      <c r="A110" s="23"/>
      <c r="B110" s="23"/>
      <c r="C110" s="33"/>
      <c r="D110" s="23"/>
      <c r="E110" s="23"/>
      <c r="F110" s="34"/>
      <c r="G110" s="34"/>
      <c r="H110" s="25" t="s">
        <v>148</v>
      </c>
    </row>
    <row r="111" spans="1:8" x14ac:dyDescent="0.2">
      <c r="A111" s="23"/>
      <c r="B111" s="23"/>
      <c r="C111" s="24" t="s">
        <v>167</v>
      </c>
      <c r="D111" s="23"/>
      <c r="E111" s="23"/>
      <c r="F111" s="31">
        <v>15733.027224961999</v>
      </c>
      <c r="G111" s="32">
        <v>4.4300510000000001E-2</v>
      </c>
      <c r="H111" s="25" t="s">
        <v>148</v>
      </c>
    </row>
    <row r="112" spans="1:8" x14ac:dyDescent="0.2">
      <c r="A112" s="23"/>
      <c r="B112" s="23"/>
      <c r="C112" s="34"/>
      <c r="D112" s="23"/>
      <c r="E112" s="23"/>
      <c r="F112" s="23"/>
      <c r="G112" s="23"/>
      <c r="H112" s="25" t="s">
        <v>148</v>
      </c>
    </row>
    <row r="113" spans="1:8" x14ac:dyDescent="0.2">
      <c r="A113" s="23"/>
      <c r="B113" s="23"/>
      <c r="C113" s="24" t="s">
        <v>168</v>
      </c>
      <c r="D113" s="23"/>
      <c r="E113" s="23"/>
      <c r="F113" s="23"/>
      <c r="G113" s="23"/>
      <c r="H113" s="25" t="s">
        <v>148</v>
      </c>
    </row>
    <row r="114" spans="1:8" x14ac:dyDescent="0.2">
      <c r="A114" s="23"/>
      <c r="B114" s="23"/>
      <c r="C114" s="24" t="s">
        <v>169</v>
      </c>
      <c r="D114" s="23"/>
      <c r="E114" s="23"/>
      <c r="F114" s="23"/>
      <c r="G114" s="23"/>
      <c r="H114" s="25" t="s">
        <v>148</v>
      </c>
    </row>
    <row r="115" spans="1:8" ht="25.5" x14ac:dyDescent="0.2">
      <c r="A115" s="26">
        <v>1</v>
      </c>
      <c r="B115" s="27" t="s">
        <v>170</v>
      </c>
      <c r="C115" s="27" t="s">
        <v>171</v>
      </c>
      <c r="D115" s="27"/>
      <c r="E115" s="37">
        <v>51143454.461000003</v>
      </c>
      <c r="F115" s="29">
        <v>7504.4836468800004</v>
      </c>
      <c r="G115" s="30">
        <v>2.1130860000000001E-2</v>
      </c>
      <c r="H115" s="25" t="s">
        <v>148</v>
      </c>
    </row>
    <row r="116" spans="1:8" x14ac:dyDescent="0.2">
      <c r="A116" s="23"/>
      <c r="B116" s="23"/>
      <c r="C116" s="24" t="s">
        <v>147</v>
      </c>
      <c r="D116" s="23"/>
      <c r="E116" s="23" t="s">
        <v>148</v>
      </c>
      <c r="F116" s="31">
        <v>7504.4836468800004</v>
      </c>
      <c r="G116" s="32">
        <v>2.1130860000000001E-2</v>
      </c>
      <c r="H116" s="25" t="s">
        <v>148</v>
      </c>
    </row>
    <row r="117" spans="1:8" x14ac:dyDescent="0.2">
      <c r="A117" s="23"/>
      <c r="B117" s="23"/>
      <c r="C117" s="33"/>
      <c r="D117" s="23"/>
      <c r="E117" s="23"/>
      <c r="F117" s="34"/>
      <c r="G117" s="34"/>
      <c r="H117" s="25" t="s">
        <v>148</v>
      </c>
    </row>
    <row r="118" spans="1:8" x14ac:dyDescent="0.2">
      <c r="A118" s="23"/>
      <c r="B118" s="23"/>
      <c r="C118" s="24" t="s">
        <v>172</v>
      </c>
      <c r="D118" s="23"/>
      <c r="E118" s="23"/>
      <c r="F118" s="23"/>
      <c r="G118" s="23"/>
      <c r="H118" s="25" t="s">
        <v>148</v>
      </c>
    </row>
    <row r="119" spans="1:8" x14ac:dyDescent="0.2">
      <c r="A119" s="23"/>
      <c r="B119" s="23"/>
      <c r="C119" s="24" t="s">
        <v>173</v>
      </c>
      <c r="D119" s="23"/>
      <c r="E119" s="23"/>
      <c r="F119" s="23"/>
      <c r="G119" s="23"/>
      <c r="H119" s="25" t="s">
        <v>148</v>
      </c>
    </row>
    <row r="120" spans="1:8" x14ac:dyDescent="0.2">
      <c r="A120" s="23"/>
      <c r="B120" s="23"/>
      <c r="C120" s="24" t="s">
        <v>147</v>
      </c>
      <c r="D120" s="23"/>
      <c r="E120" s="23" t="s">
        <v>148</v>
      </c>
      <c r="F120" s="35" t="s">
        <v>150</v>
      </c>
      <c r="G120" s="32">
        <v>0</v>
      </c>
      <c r="H120" s="25" t="s">
        <v>148</v>
      </c>
    </row>
    <row r="121" spans="1:8" x14ac:dyDescent="0.2">
      <c r="A121" s="23"/>
      <c r="B121" s="23"/>
      <c r="C121" s="33"/>
      <c r="D121" s="23"/>
      <c r="E121" s="23"/>
      <c r="F121" s="34"/>
      <c r="G121" s="34"/>
      <c r="H121" s="25" t="s">
        <v>148</v>
      </c>
    </row>
    <row r="122" spans="1:8" x14ac:dyDescent="0.2">
      <c r="A122" s="23"/>
      <c r="B122" s="23"/>
      <c r="C122" s="24" t="s">
        <v>174</v>
      </c>
      <c r="D122" s="23"/>
      <c r="E122" s="23"/>
      <c r="F122" s="34"/>
      <c r="G122" s="34"/>
      <c r="H122" s="25" t="s">
        <v>148</v>
      </c>
    </row>
    <row r="123" spans="1:8" x14ac:dyDescent="0.2">
      <c r="A123" s="23"/>
      <c r="B123" s="23"/>
      <c r="C123" s="24" t="s">
        <v>147</v>
      </c>
      <c r="D123" s="23"/>
      <c r="E123" s="23" t="s">
        <v>148</v>
      </c>
      <c r="F123" s="35" t="s">
        <v>150</v>
      </c>
      <c r="G123" s="32">
        <v>0</v>
      </c>
      <c r="H123" s="25" t="s">
        <v>148</v>
      </c>
    </row>
    <row r="124" spans="1:8" x14ac:dyDescent="0.2">
      <c r="A124" s="23"/>
      <c r="B124" s="23"/>
      <c r="C124" s="33"/>
      <c r="D124" s="23"/>
      <c r="E124" s="23"/>
      <c r="F124" s="34"/>
      <c r="G124" s="34"/>
      <c r="H124" s="25" t="s">
        <v>148</v>
      </c>
    </row>
    <row r="125" spans="1:8" x14ac:dyDescent="0.2">
      <c r="A125" s="36"/>
      <c r="B125" s="27"/>
      <c r="C125" s="27" t="s">
        <v>522</v>
      </c>
      <c r="D125" s="27"/>
      <c r="E125" s="36"/>
      <c r="F125" s="29">
        <v>920.38027529999999</v>
      </c>
      <c r="G125" s="30">
        <v>2.59158E-3</v>
      </c>
      <c r="H125" s="25" t="s">
        <v>148</v>
      </c>
    </row>
    <row r="126" spans="1:8" x14ac:dyDescent="0.2">
      <c r="A126" s="36"/>
      <c r="B126" s="27"/>
      <c r="C126" s="38" t="s">
        <v>917</v>
      </c>
      <c r="D126" s="27"/>
      <c r="E126" s="36"/>
      <c r="F126" s="29">
        <v>-6757.1561450999998</v>
      </c>
      <c r="G126" s="30">
        <v>-1.9026560000000001E-2</v>
      </c>
      <c r="H126" s="25" t="s">
        <v>148</v>
      </c>
    </row>
    <row r="127" spans="1:8" x14ac:dyDescent="0.2">
      <c r="A127" s="33"/>
      <c r="B127" s="33"/>
      <c r="C127" s="24" t="s">
        <v>176</v>
      </c>
      <c r="D127" s="34"/>
      <c r="E127" s="34"/>
      <c r="F127" s="31">
        <v>355143.26668761898</v>
      </c>
      <c r="G127" s="39">
        <v>1.00000004</v>
      </c>
      <c r="H127" s="25" t="s">
        <v>148</v>
      </c>
    </row>
    <row r="128" spans="1:8" x14ac:dyDescent="0.2">
      <c r="A128" s="40"/>
      <c r="B128" s="40"/>
      <c r="C128" s="40"/>
      <c r="D128" s="41"/>
      <c r="E128" s="41"/>
      <c r="F128" s="41"/>
      <c r="G128" s="41"/>
    </row>
    <row r="129" spans="1:17" x14ac:dyDescent="0.2">
      <c r="A129" s="42"/>
      <c r="B129" s="237" t="s">
        <v>891</v>
      </c>
      <c r="C129" s="237"/>
      <c r="D129" s="237"/>
      <c r="E129" s="237"/>
      <c r="F129" s="237"/>
      <c r="G129" s="237"/>
      <c r="H129" s="237"/>
      <c r="J129" s="44"/>
    </row>
    <row r="130" spans="1:17" x14ac:dyDescent="0.2">
      <c r="A130" s="42"/>
      <c r="B130" s="237" t="s">
        <v>892</v>
      </c>
      <c r="C130" s="237"/>
      <c r="D130" s="237"/>
      <c r="E130" s="237"/>
      <c r="F130" s="237"/>
      <c r="G130" s="237"/>
      <c r="H130" s="237"/>
      <c r="J130" s="44"/>
    </row>
    <row r="131" spans="1:17" x14ac:dyDescent="0.2">
      <c r="A131" s="42"/>
      <c r="B131" s="237" t="s">
        <v>893</v>
      </c>
      <c r="C131" s="237"/>
      <c r="D131" s="237"/>
      <c r="E131" s="237"/>
      <c r="F131" s="237"/>
      <c r="G131" s="237"/>
      <c r="H131" s="237"/>
      <c r="J131" s="44"/>
    </row>
    <row r="132" spans="1:17" s="46" customFormat="1" ht="66.75" customHeight="1" x14ac:dyDescent="0.25">
      <c r="A132" s="45"/>
      <c r="B132" s="239" t="s">
        <v>894</v>
      </c>
      <c r="C132" s="239"/>
      <c r="D132" s="239"/>
      <c r="E132" s="239"/>
      <c r="F132" s="239"/>
      <c r="G132" s="239"/>
      <c r="H132" s="239"/>
      <c r="I132"/>
      <c r="J132" s="44"/>
      <c r="K132"/>
      <c r="L132"/>
      <c r="M132"/>
      <c r="N132"/>
      <c r="O132"/>
      <c r="P132"/>
      <c r="Q132"/>
    </row>
    <row r="133" spans="1:17" x14ac:dyDescent="0.2">
      <c r="A133" s="42"/>
      <c r="B133" s="237" t="s">
        <v>895</v>
      </c>
      <c r="C133" s="237"/>
      <c r="D133" s="237"/>
      <c r="E133" s="237"/>
      <c r="F133" s="237"/>
      <c r="G133" s="237"/>
      <c r="H133" s="237"/>
      <c r="J133" s="44"/>
    </row>
    <row r="134" spans="1:17" x14ac:dyDescent="0.2">
      <c r="A134" s="47"/>
      <c r="B134" s="47"/>
      <c r="C134" s="47"/>
      <c r="D134" s="48"/>
      <c r="E134" s="48"/>
      <c r="F134" s="48"/>
      <c r="G134" s="48"/>
    </row>
    <row r="135" spans="1:17" x14ac:dyDescent="0.2">
      <c r="A135" s="47"/>
      <c r="B135" s="234" t="s">
        <v>177</v>
      </c>
      <c r="C135" s="235"/>
      <c r="D135" s="236"/>
      <c r="E135" s="49"/>
      <c r="F135" s="48"/>
      <c r="G135" s="48"/>
    </row>
    <row r="136" spans="1:17" x14ac:dyDescent="0.2">
      <c r="A136" s="47"/>
      <c r="B136" s="232" t="s">
        <v>178</v>
      </c>
      <c r="C136" s="233"/>
      <c r="D136" s="24" t="s">
        <v>179</v>
      </c>
      <c r="E136" s="49"/>
      <c r="F136" s="48"/>
      <c r="G136" s="48"/>
    </row>
    <row r="137" spans="1:17" ht="12.75" customHeight="1" x14ac:dyDescent="0.2">
      <c r="A137" s="47"/>
      <c r="B137" s="240" t="s">
        <v>897</v>
      </c>
      <c r="C137" s="241"/>
      <c r="D137" s="24" t="s">
        <v>179</v>
      </c>
      <c r="E137" s="49"/>
      <c r="F137" s="48"/>
      <c r="G137" s="48"/>
    </row>
    <row r="138" spans="1:17" x14ac:dyDescent="0.2">
      <c r="A138" s="47"/>
      <c r="B138" s="232" t="s">
        <v>181</v>
      </c>
      <c r="C138" s="233"/>
      <c r="D138" s="34" t="s">
        <v>148</v>
      </c>
      <c r="E138" s="49"/>
      <c r="F138" s="48"/>
      <c r="G138" s="48"/>
    </row>
    <row r="139" spans="1:17" x14ac:dyDescent="0.2">
      <c r="A139" s="50"/>
      <c r="B139" s="51" t="s">
        <v>148</v>
      </c>
      <c r="C139" s="51" t="s">
        <v>896</v>
      </c>
      <c r="D139" s="51" t="s">
        <v>182</v>
      </c>
      <c r="E139" s="50"/>
      <c r="F139" s="50"/>
      <c r="G139" s="50"/>
      <c r="H139" s="50"/>
      <c r="J139" s="44"/>
    </row>
    <row r="140" spans="1:17" x14ac:dyDescent="0.2">
      <c r="A140" s="50"/>
      <c r="B140" s="52" t="s">
        <v>183</v>
      </c>
      <c r="C140" s="53">
        <v>45688</v>
      </c>
      <c r="D140" s="53">
        <v>45716</v>
      </c>
      <c r="E140" s="50"/>
      <c r="F140" s="50"/>
      <c r="G140" s="50"/>
      <c r="J140" s="44"/>
    </row>
    <row r="141" spans="1:17" x14ac:dyDescent="0.2">
      <c r="A141" s="54"/>
      <c r="B141" s="27" t="s">
        <v>184</v>
      </c>
      <c r="C141" s="55">
        <v>34.070599999999999</v>
      </c>
      <c r="D141" s="55">
        <v>31.897200000000002</v>
      </c>
      <c r="E141" s="54"/>
      <c r="F141" s="56"/>
      <c r="G141" s="57"/>
    </row>
    <row r="142" spans="1:17" x14ac:dyDescent="0.2">
      <c r="A142" s="54"/>
      <c r="B142" s="27" t="s">
        <v>1070</v>
      </c>
      <c r="C142" s="55">
        <v>23.384399999999999</v>
      </c>
      <c r="D142" s="55">
        <v>21.892600000000002</v>
      </c>
      <c r="E142" s="54"/>
      <c r="F142" s="56"/>
      <c r="G142" s="57"/>
    </row>
    <row r="143" spans="1:17" x14ac:dyDescent="0.2">
      <c r="A143" s="54"/>
      <c r="B143" s="27" t="s">
        <v>186</v>
      </c>
      <c r="C143" s="55">
        <v>31.636900000000001</v>
      </c>
      <c r="D143" s="55">
        <v>29.5946</v>
      </c>
      <c r="E143" s="54"/>
      <c r="F143" s="56"/>
      <c r="G143" s="57"/>
    </row>
    <row r="144" spans="1:17" x14ac:dyDescent="0.2">
      <c r="A144" s="54"/>
      <c r="B144" s="27" t="s">
        <v>1071</v>
      </c>
      <c r="C144" s="55">
        <v>21.690300000000001</v>
      </c>
      <c r="D144" s="55">
        <v>20.290099999999999</v>
      </c>
      <c r="E144" s="54"/>
      <c r="F144" s="56"/>
      <c r="G144" s="57"/>
    </row>
    <row r="145" spans="1:8" x14ac:dyDescent="0.2">
      <c r="A145" s="54"/>
      <c r="B145" s="54"/>
      <c r="C145" s="54"/>
      <c r="D145" s="54"/>
      <c r="E145" s="54"/>
      <c r="F145" s="54"/>
      <c r="G145" s="54"/>
    </row>
    <row r="146" spans="1:8" x14ac:dyDescent="0.2">
      <c r="A146" s="50"/>
      <c r="B146" s="240" t="s">
        <v>898</v>
      </c>
      <c r="C146" s="241"/>
      <c r="D146" s="58" t="s">
        <v>179</v>
      </c>
      <c r="E146" s="50"/>
      <c r="F146" s="50"/>
      <c r="G146" s="50"/>
    </row>
    <row r="147" spans="1:8" x14ac:dyDescent="0.2">
      <c r="A147" s="50"/>
      <c r="B147" s="59"/>
      <c r="C147" s="59"/>
      <c r="D147" s="59"/>
      <c r="E147" s="50"/>
      <c r="F147" s="50"/>
      <c r="G147" s="50"/>
    </row>
    <row r="148" spans="1:8" ht="29.1" customHeight="1" x14ac:dyDescent="0.2">
      <c r="A148" s="50"/>
      <c r="B148" s="240" t="s">
        <v>188</v>
      </c>
      <c r="C148" s="241"/>
      <c r="D148" s="58" t="s">
        <v>1047</v>
      </c>
      <c r="E148" s="50"/>
      <c r="F148" s="50"/>
      <c r="G148" s="50"/>
      <c r="H148" s="50"/>
    </row>
    <row r="149" spans="1:8" ht="29.1" customHeight="1" x14ac:dyDescent="0.2">
      <c r="A149" s="50"/>
      <c r="B149" s="240" t="s">
        <v>189</v>
      </c>
      <c r="C149" s="241"/>
      <c r="D149" s="71" t="str">
        <f>"Rs. "&amp;TEXT(F62,"0.00")&amp;" Lacs"</f>
        <v>Rs. 3182.62 Lacs</v>
      </c>
      <c r="E149" s="60"/>
      <c r="F149" s="50"/>
      <c r="G149" s="50"/>
      <c r="H149" s="50"/>
    </row>
    <row r="150" spans="1:8" ht="17.100000000000001" customHeight="1" x14ac:dyDescent="0.2">
      <c r="A150" s="50"/>
      <c r="B150" s="240" t="s">
        <v>190</v>
      </c>
      <c r="C150" s="241"/>
      <c r="D150" s="58" t="s">
        <v>179</v>
      </c>
      <c r="E150" s="60"/>
      <c r="F150" s="50"/>
      <c r="G150" s="50"/>
      <c r="H150" s="50"/>
    </row>
    <row r="151" spans="1:8" ht="17.100000000000001" customHeight="1" x14ac:dyDescent="0.2">
      <c r="A151" s="50"/>
      <c r="B151" s="240" t="s">
        <v>191</v>
      </c>
      <c r="C151" s="241"/>
      <c r="D151" s="61">
        <v>1.0271933000568185</v>
      </c>
      <c r="E151" s="50"/>
      <c r="F151" s="43"/>
      <c r="G151" s="62"/>
      <c r="H151" s="62"/>
    </row>
    <row r="153" spans="1:8" x14ac:dyDescent="0.2">
      <c r="B153" s="238" t="s">
        <v>899</v>
      </c>
      <c r="C153" s="238"/>
    </row>
    <row r="155" spans="1:8" ht="153.75" customHeight="1" x14ac:dyDescent="0.2"/>
    <row r="158" spans="1:8" x14ac:dyDescent="0.2">
      <c r="B158" s="68" t="s">
        <v>900</v>
      </c>
      <c r="C158" s="69"/>
      <c r="D158" s="68" t="s">
        <v>903</v>
      </c>
    </row>
    <row r="159" spans="1:8" x14ac:dyDescent="0.2">
      <c r="B159" s="68" t="s">
        <v>1048</v>
      </c>
      <c r="D159" s="68" t="s">
        <v>1049</v>
      </c>
    </row>
    <row r="160" spans="1:8" x14ac:dyDescent="0.2">
      <c r="B160" s="72"/>
    </row>
    <row r="161" customFormat="1" ht="165" customHeight="1" x14ac:dyDescent="0.2"/>
    <row r="177" customFormat="1" x14ac:dyDescent="0.2"/>
    <row r="178" customFormat="1" x14ac:dyDescent="0.2"/>
    <row r="179" customFormat="1" x14ac:dyDescent="0.2"/>
    <row r="180" customFormat="1" x14ac:dyDescent="0.2"/>
  </sheetData>
  <mergeCells count="18">
    <mergeCell ref="B153:C153"/>
    <mergeCell ref="A3:H3"/>
    <mergeCell ref="A2:H2"/>
    <mergeCell ref="B151:C151"/>
    <mergeCell ref="A1:H1"/>
    <mergeCell ref="B137:C137"/>
    <mergeCell ref="B138:C138"/>
    <mergeCell ref="B146:C146"/>
    <mergeCell ref="B150:C150"/>
    <mergeCell ref="B135:D135"/>
    <mergeCell ref="B136:C136"/>
    <mergeCell ref="B129:H129"/>
    <mergeCell ref="B130:H130"/>
    <mergeCell ref="B131:H131"/>
    <mergeCell ref="B132:H132"/>
    <mergeCell ref="B133:H133"/>
    <mergeCell ref="B148:C148"/>
    <mergeCell ref="B149:C149"/>
  </mergeCells>
  <hyperlinks>
    <hyperlink ref="I1" location="Index!B2" display="Index" xr:uid="{A3088EA2-0DBC-4F5E-A268-D7225AEB429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B738-0BD8-491C-9FB0-B73625D86073}">
  <sheetPr>
    <outlinePr summaryBelow="0" summaryRight="0"/>
  </sheetPr>
  <dimension ref="A1:Q214"/>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817</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724000</v>
      </c>
      <c r="F7" s="29">
        <v>12542.575999999999</v>
      </c>
      <c r="G7" s="30">
        <v>9.2118370000000005E-2</v>
      </c>
      <c r="H7" s="25" t="s">
        <v>148</v>
      </c>
    </row>
    <row r="8" spans="1:9" x14ac:dyDescent="0.2">
      <c r="A8" s="26">
        <v>2</v>
      </c>
      <c r="B8" s="27" t="s">
        <v>26</v>
      </c>
      <c r="C8" s="27" t="s">
        <v>27</v>
      </c>
      <c r="D8" s="27" t="s">
        <v>28</v>
      </c>
      <c r="E8" s="28">
        <v>883000</v>
      </c>
      <c r="F8" s="29">
        <v>10632.203</v>
      </c>
      <c r="G8" s="30">
        <v>7.8087729999999994E-2</v>
      </c>
      <c r="H8" s="25" t="s">
        <v>148</v>
      </c>
    </row>
    <row r="9" spans="1:9" x14ac:dyDescent="0.2">
      <c r="A9" s="26">
        <v>3</v>
      </c>
      <c r="B9" s="27" t="s">
        <v>334</v>
      </c>
      <c r="C9" s="27" t="s">
        <v>335</v>
      </c>
      <c r="D9" s="27" t="s">
        <v>205</v>
      </c>
      <c r="E9" s="28">
        <v>364000</v>
      </c>
      <c r="F9" s="29">
        <v>6143.2280000000001</v>
      </c>
      <c r="G9" s="30">
        <v>4.5118659999999998E-2</v>
      </c>
      <c r="H9" s="25" t="s">
        <v>148</v>
      </c>
    </row>
    <row r="10" spans="1:9" x14ac:dyDescent="0.2">
      <c r="A10" s="26">
        <v>4</v>
      </c>
      <c r="B10" s="27" t="s">
        <v>14</v>
      </c>
      <c r="C10" s="27" t="s">
        <v>15</v>
      </c>
      <c r="D10" s="27" t="s">
        <v>16</v>
      </c>
      <c r="E10" s="28">
        <v>504000</v>
      </c>
      <c r="F10" s="29">
        <v>6048.5039999999999</v>
      </c>
      <c r="G10" s="30">
        <v>4.4422959999999997E-2</v>
      </c>
      <c r="H10" s="25" t="s">
        <v>148</v>
      </c>
    </row>
    <row r="11" spans="1:9" x14ac:dyDescent="0.2">
      <c r="A11" s="26">
        <v>5</v>
      </c>
      <c r="B11" s="27" t="s">
        <v>17</v>
      </c>
      <c r="C11" s="27" t="s">
        <v>18</v>
      </c>
      <c r="D11" s="27" t="s">
        <v>19</v>
      </c>
      <c r="E11" s="28">
        <v>156446</v>
      </c>
      <c r="F11" s="29">
        <v>4949.7167710000003</v>
      </c>
      <c r="G11" s="30">
        <v>3.6352969999999998E-2</v>
      </c>
      <c r="H11" s="25" t="s">
        <v>148</v>
      </c>
    </row>
    <row r="12" spans="1:9" x14ac:dyDescent="0.2">
      <c r="A12" s="26">
        <v>6</v>
      </c>
      <c r="B12" s="27" t="s">
        <v>11</v>
      </c>
      <c r="C12" s="27" t="s">
        <v>12</v>
      </c>
      <c r="D12" s="27" t="s">
        <v>13</v>
      </c>
      <c r="E12" s="28">
        <v>280000</v>
      </c>
      <c r="F12" s="29">
        <v>4396.5600000000004</v>
      </c>
      <c r="G12" s="30">
        <v>3.2290329999999999E-2</v>
      </c>
      <c r="H12" s="25" t="s">
        <v>148</v>
      </c>
    </row>
    <row r="13" spans="1:9" x14ac:dyDescent="0.2">
      <c r="A13" s="26">
        <v>7</v>
      </c>
      <c r="B13" s="27" t="s">
        <v>336</v>
      </c>
      <c r="C13" s="27" t="s">
        <v>337</v>
      </c>
      <c r="D13" s="27" t="s">
        <v>28</v>
      </c>
      <c r="E13" s="28">
        <v>419000</v>
      </c>
      <c r="F13" s="29">
        <v>4255.1544999999996</v>
      </c>
      <c r="G13" s="30">
        <v>3.1251790000000002E-2</v>
      </c>
      <c r="H13" s="25" t="s">
        <v>148</v>
      </c>
    </row>
    <row r="14" spans="1:9" x14ac:dyDescent="0.2">
      <c r="A14" s="26">
        <v>8</v>
      </c>
      <c r="B14" s="27" t="s">
        <v>38</v>
      </c>
      <c r="C14" s="27" t="s">
        <v>39</v>
      </c>
      <c r="D14" s="27" t="s">
        <v>28</v>
      </c>
      <c r="E14" s="28">
        <v>595000</v>
      </c>
      <c r="F14" s="29">
        <v>4098.3599999999997</v>
      </c>
      <c r="G14" s="30">
        <v>3.010022E-2</v>
      </c>
      <c r="H14" s="25" t="s">
        <v>148</v>
      </c>
    </row>
    <row r="15" spans="1:9" x14ac:dyDescent="0.2">
      <c r="A15" s="26">
        <v>9</v>
      </c>
      <c r="B15" s="27" t="s">
        <v>342</v>
      </c>
      <c r="C15" s="27" t="s">
        <v>343</v>
      </c>
      <c r="D15" s="27" t="s">
        <v>205</v>
      </c>
      <c r="E15" s="28">
        <v>114734</v>
      </c>
      <c r="F15" s="29">
        <v>3996.4720550000002</v>
      </c>
      <c r="G15" s="30">
        <v>2.9351909999999998E-2</v>
      </c>
      <c r="H15" s="25" t="s">
        <v>148</v>
      </c>
    </row>
    <row r="16" spans="1:9" x14ac:dyDescent="0.2">
      <c r="A16" s="26">
        <v>10</v>
      </c>
      <c r="B16" s="27" t="s">
        <v>62</v>
      </c>
      <c r="C16" s="27" t="s">
        <v>63</v>
      </c>
      <c r="D16" s="27" t="s">
        <v>64</v>
      </c>
      <c r="E16" s="28">
        <v>83000</v>
      </c>
      <c r="F16" s="29">
        <v>3716.1590000000001</v>
      </c>
      <c r="G16" s="30">
        <v>2.729316E-2</v>
      </c>
      <c r="H16" s="25" t="s">
        <v>148</v>
      </c>
    </row>
    <row r="17" spans="1:8" x14ac:dyDescent="0.2">
      <c r="A17" s="26">
        <v>11</v>
      </c>
      <c r="B17" s="27" t="s">
        <v>23</v>
      </c>
      <c r="C17" s="27" t="s">
        <v>24</v>
      </c>
      <c r="D17" s="27" t="s">
        <v>25</v>
      </c>
      <c r="E17" s="28">
        <v>32000</v>
      </c>
      <c r="F17" s="29">
        <v>3241.1039999999998</v>
      </c>
      <c r="G17" s="30">
        <v>2.3804140000000001E-2</v>
      </c>
      <c r="H17" s="25" t="s">
        <v>148</v>
      </c>
    </row>
    <row r="18" spans="1:8" x14ac:dyDescent="0.2">
      <c r="A18" s="26">
        <v>12</v>
      </c>
      <c r="B18" s="27" t="s">
        <v>524</v>
      </c>
      <c r="C18" s="27" t="s">
        <v>525</v>
      </c>
      <c r="D18" s="27" t="s">
        <v>275</v>
      </c>
      <c r="E18" s="28">
        <v>24000</v>
      </c>
      <c r="F18" s="29">
        <v>2867.0039999999999</v>
      </c>
      <c r="G18" s="30">
        <v>2.1056579999999998E-2</v>
      </c>
      <c r="H18" s="25" t="s">
        <v>148</v>
      </c>
    </row>
    <row r="19" spans="1:8" x14ac:dyDescent="0.2">
      <c r="A19" s="26">
        <v>13</v>
      </c>
      <c r="B19" s="27" t="s">
        <v>348</v>
      </c>
      <c r="C19" s="27" t="s">
        <v>349</v>
      </c>
      <c r="D19" s="27" t="s">
        <v>350</v>
      </c>
      <c r="E19" s="28">
        <v>670000</v>
      </c>
      <c r="F19" s="29">
        <v>2646.5</v>
      </c>
      <c r="G19" s="30">
        <v>1.9437099999999999E-2</v>
      </c>
      <c r="H19" s="25" t="s">
        <v>148</v>
      </c>
    </row>
    <row r="20" spans="1:8" x14ac:dyDescent="0.2">
      <c r="A20" s="26">
        <v>14</v>
      </c>
      <c r="B20" s="27" t="s">
        <v>448</v>
      </c>
      <c r="C20" s="27" t="s">
        <v>449</v>
      </c>
      <c r="D20" s="27" t="s">
        <v>350</v>
      </c>
      <c r="E20" s="28">
        <v>114000</v>
      </c>
      <c r="F20" s="29">
        <v>2496.8850000000002</v>
      </c>
      <c r="G20" s="30">
        <v>1.8338259999999999E-2</v>
      </c>
      <c r="H20" s="25" t="s">
        <v>148</v>
      </c>
    </row>
    <row r="21" spans="1:8" x14ac:dyDescent="0.2">
      <c r="A21" s="26">
        <v>15</v>
      </c>
      <c r="B21" s="27" t="s">
        <v>450</v>
      </c>
      <c r="C21" s="27" t="s">
        <v>451</v>
      </c>
      <c r="D21" s="27" t="s">
        <v>28</v>
      </c>
      <c r="E21" s="28">
        <v>252000</v>
      </c>
      <c r="F21" s="29">
        <v>2495.0520000000001</v>
      </c>
      <c r="G21" s="30">
        <v>1.8324799999999999E-2</v>
      </c>
      <c r="H21" s="25" t="s">
        <v>148</v>
      </c>
    </row>
    <row r="22" spans="1:8" ht="25.5" x14ac:dyDescent="0.2">
      <c r="A22" s="26">
        <v>16</v>
      </c>
      <c r="B22" s="27" t="s">
        <v>340</v>
      </c>
      <c r="C22" s="27" t="s">
        <v>341</v>
      </c>
      <c r="D22" s="27" t="s">
        <v>202</v>
      </c>
      <c r="E22" s="28">
        <v>150000</v>
      </c>
      <c r="F22" s="29">
        <v>2389.875</v>
      </c>
      <c r="G22" s="30">
        <v>1.7552330000000001E-2</v>
      </c>
      <c r="H22" s="25" t="s">
        <v>148</v>
      </c>
    </row>
    <row r="23" spans="1:8" x14ac:dyDescent="0.2">
      <c r="A23" s="26">
        <v>17</v>
      </c>
      <c r="B23" s="27" t="s">
        <v>243</v>
      </c>
      <c r="C23" s="27" t="s">
        <v>244</v>
      </c>
      <c r="D23" s="27" t="s">
        <v>229</v>
      </c>
      <c r="E23" s="28">
        <v>31000</v>
      </c>
      <c r="F23" s="29">
        <v>2167.7215000000001</v>
      </c>
      <c r="G23" s="30">
        <v>1.5920730000000001E-2</v>
      </c>
      <c r="H23" s="25" t="s">
        <v>148</v>
      </c>
    </row>
    <row r="24" spans="1:8" ht="25.5" x14ac:dyDescent="0.2">
      <c r="A24" s="26">
        <v>18</v>
      </c>
      <c r="B24" s="27" t="s">
        <v>353</v>
      </c>
      <c r="C24" s="27" t="s">
        <v>354</v>
      </c>
      <c r="D24" s="27" t="s">
        <v>111</v>
      </c>
      <c r="E24" s="28">
        <v>149000</v>
      </c>
      <c r="F24" s="29">
        <v>2087.1174999999998</v>
      </c>
      <c r="G24" s="30">
        <v>1.532874E-2</v>
      </c>
      <c r="H24" s="25" t="s">
        <v>148</v>
      </c>
    </row>
    <row r="25" spans="1:8" ht="25.5" x14ac:dyDescent="0.2">
      <c r="A25" s="26">
        <v>19</v>
      </c>
      <c r="B25" s="27" t="s">
        <v>644</v>
      </c>
      <c r="C25" s="27" t="s">
        <v>645</v>
      </c>
      <c r="D25" s="27" t="s">
        <v>202</v>
      </c>
      <c r="E25" s="28">
        <v>193000</v>
      </c>
      <c r="F25" s="29">
        <v>2042.519</v>
      </c>
      <c r="G25" s="30">
        <v>1.5001189999999999E-2</v>
      </c>
      <c r="H25" s="25" t="s">
        <v>148</v>
      </c>
    </row>
    <row r="26" spans="1:8" x14ac:dyDescent="0.2">
      <c r="A26" s="26">
        <v>20</v>
      </c>
      <c r="B26" s="27" t="s">
        <v>673</v>
      </c>
      <c r="C26" s="27" t="s">
        <v>674</v>
      </c>
      <c r="D26" s="27" t="s">
        <v>51</v>
      </c>
      <c r="E26" s="28">
        <v>96229</v>
      </c>
      <c r="F26" s="29">
        <v>1845.3354185000001</v>
      </c>
      <c r="G26" s="30">
        <v>1.3552979999999999E-2</v>
      </c>
      <c r="H26" s="25" t="s">
        <v>148</v>
      </c>
    </row>
    <row r="27" spans="1:8" x14ac:dyDescent="0.2">
      <c r="A27" s="26">
        <v>21</v>
      </c>
      <c r="B27" s="27" t="s">
        <v>101</v>
      </c>
      <c r="C27" s="27" t="s">
        <v>102</v>
      </c>
      <c r="D27" s="27" t="s">
        <v>28</v>
      </c>
      <c r="E27" s="28">
        <v>96000</v>
      </c>
      <c r="F27" s="29">
        <v>1826.8320000000001</v>
      </c>
      <c r="G27" s="30">
        <v>1.341708E-2</v>
      </c>
      <c r="H27" s="25" t="s">
        <v>148</v>
      </c>
    </row>
    <row r="28" spans="1:8" x14ac:dyDescent="0.2">
      <c r="A28" s="26">
        <v>22</v>
      </c>
      <c r="B28" s="27" t="s">
        <v>530</v>
      </c>
      <c r="C28" s="27" t="s">
        <v>531</v>
      </c>
      <c r="D28" s="27" t="s">
        <v>205</v>
      </c>
      <c r="E28" s="28">
        <v>122000</v>
      </c>
      <c r="F28" s="29">
        <v>1815.1769999999999</v>
      </c>
      <c r="G28" s="30">
        <v>1.333148E-2</v>
      </c>
      <c r="H28" s="25" t="s">
        <v>148</v>
      </c>
    </row>
    <row r="29" spans="1:8" x14ac:dyDescent="0.2">
      <c r="A29" s="26">
        <v>23</v>
      </c>
      <c r="B29" s="27" t="s">
        <v>697</v>
      </c>
      <c r="C29" s="27" t="s">
        <v>698</v>
      </c>
      <c r="D29" s="27" t="s">
        <v>240</v>
      </c>
      <c r="E29" s="28">
        <v>34000</v>
      </c>
      <c r="F29" s="29">
        <v>1806.9469999999999</v>
      </c>
      <c r="G29" s="30">
        <v>1.327104E-2</v>
      </c>
      <c r="H29" s="25" t="s">
        <v>148</v>
      </c>
    </row>
    <row r="30" spans="1:8" x14ac:dyDescent="0.2">
      <c r="A30" s="26">
        <v>24</v>
      </c>
      <c r="B30" s="27" t="s">
        <v>802</v>
      </c>
      <c r="C30" s="27" t="s">
        <v>803</v>
      </c>
      <c r="D30" s="27" t="s">
        <v>51</v>
      </c>
      <c r="E30" s="28">
        <v>144000</v>
      </c>
      <c r="F30" s="29">
        <v>1758.384</v>
      </c>
      <c r="G30" s="30">
        <v>1.291437E-2</v>
      </c>
      <c r="H30" s="25" t="s">
        <v>148</v>
      </c>
    </row>
    <row r="31" spans="1:8" x14ac:dyDescent="0.2">
      <c r="A31" s="26">
        <v>25</v>
      </c>
      <c r="B31" s="27" t="s">
        <v>344</v>
      </c>
      <c r="C31" s="27" t="s">
        <v>345</v>
      </c>
      <c r="D31" s="27" t="s">
        <v>111</v>
      </c>
      <c r="E31" s="28">
        <v>20000</v>
      </c>
      <c r="F31" s="29">
        <v>1706.06</v>
      </c>
      <c r="G31" s="30">
        <v>1.2530080000000001E-2</v>
      </c>
      <c r="H31" s="25" t="s">
        <v>148</v>
      </c>
    </row>
    <row r="32" spans="1:8" x14ac:dyDescent="0.2">
      <c r="A32" s="26">
        <v>26</v>
      </c>
      <c r="B32" s="27" t="s">
        <v>193</v>
      </c>
      <c r="C32" s="27" t="s">
        <v>194</v>
      </c>
      <c r="D32" s="27" t="s">
        <v>28</v>
      </c>
      <c r="E32" s="28">
        <v>923000</v>
      </c>
      <c r="F32" s="29">
        <v>1639.4326000000001</v>
      </c>
      <c r="G32" s="30">
        <v>1.2040739999999999E-2</v>
      </c>
      <c r="H32" s="25" t="s">
        <v>148</v>
      </c>
    </row>
    <row r="33" spans="1:8" ht="25.5" x14ac:dyDescent="0.2">
      <c r="A33" s="26">
        <v>27</v>
      </c>
      <c r="B33" s="27" t="s">
        <v>444</v>
      </c>
      <c r="C33" s="27" t="s">
        <v>445</v>
      </c>
      <c r="D33" s="27" t="s">
        <v>217</v>
      </c>
      <c r="E33" s="28">
        <v>169962</v>
      </c>
      <c r="F33" s="29">
        <v>1637.923794</v>
      </c>
      <c r="G33" s="30">
        <v>1.2029659999999999E-2</v>
      </c>
      <c r="H33" s="25" t="s">
        <v>148</v>
      </c>
    </row>
    <row r="34" spans="1:8" x14ac:dyDescent="0.2">
      <c r="A34" s="26">
        <v>28</v>
      </c>
      <c r="B34" s="27" t="s">
        <v>738</v>
      </c>
      <c r="C34" s="27" t="s">
        <v>739</v>
      </c>
      <c r="D34" s="27" t="s">
        <v>210</v>
      </c>
      <c r="E34" s="28">
        <v>101000</v>
      </c>
      <c r="F34" s="29">
        <v>1600.345</v>
      </c>
      <c r="G34" s="30">
        <v>1.1753660000000001E-2</v>
      </c>
      <c r="H34" s="25" t="s">
        <v>148</v>
      </c>
    </row>
    <row r="35" spans="1:8" ht="25.5" x14ac:dyDescent="0.2">
      <c r="A35" s="26">
        <v>29</v>
      </c>
      <c r="B35" s="27" t="s">
        <v>442</v>
      </c>
      <c r="C35" s="27" t="s">
        <v>443</v>
      </c>
      <c r="D35" s="27" t="s">
        <v>202</v>
      </c>
      <c r="E35" s="28">
        <v>109000</v>
      </c>
      <c r="F35" s="29">
        <v>1534.175</v>
      </c>
      <c r="G35" s="30">
        <v>1.126768E-2</v>
      </c>
      <c r="H35" s="25" t="s">
        <v>148</v>
      </c>
    </row>
    <row r="36" spans="1:8" x14ac:dyDescent="0.2">
      <c r="A36" s="26">
        <v>30</v>
      </c>
      <c r="B36" s="27" t="s">
        <v>804</v>
      </c>
      <c r="C36" s="27" t="s">
        <v>805</v>
      </c>
      <c r="D36" s="27" t="s">
        <v>197</v>
      </c>
      <c r="E36" s="28">
        <v>224000</v>
      </c>
      <c r="F36" s="29">
        <v>1417.808</v>
      </c>
      <c r="G36" s="30">
        <v>1.041303E-2</v>
      </c>
      <c r="H36" s="25" t="s">
        <v>148</v>
      </c>
    </row>
    <row r="37" spans="1:8" x14ac:dyDescent="0.2">
      <c r="A37" s="26">
        <v>31</v>
      </c>
      <c r="B37" s="27" t="s">
        <v>338</v>
      </c>
      <c r="C37" s="27" t="s">
        <v>339</v>
      </c>
      <c r="D37" s="27" t="s">
        <v>229</v>
      </c>
      <c r="E37" s="28">
        <v>631000</v>
      </c>
      <c r="F37" s="29">
        <v>1401.451</v>
      </c>
      <c r="G37" s="30">
        <v>1.0292890000000001E-2</v>
      </c>
      <c r="H37" s="25" t="s">
        <v>148</v>
      </c>
    </row>
    <row r="38" spans="1:8" x14ac:dyDescent="0.2">
      <c r="A38" s="26">
        <v>32</v>
      </c>
      <c r="B38" s="27" t="s">
        <v>701</v>
      </c>
      <c r="C38" s="27" t="s">
        <v>702</v>
      </c>
      <c r="D38" s="27" t="s">
        <v>210</v>
      </c>
      <c r="E38" s="28">
        <v>23000</v>
      </c>
      <c r="F38" s="29">
        <v>1392.098</v>
      </c>
      <c r="G38" s="30">
        <v>1.0224199999999999E-2</v>
      </c>
      <c r="H38" s="25" t="s">
        <v>148</v>
      </c>
    </row>
    <row r="39" spans="1:8" x14ac:dyDescent="0.2">
      <c r="A39" s="26">
        <v>33</v>
      </c>
      <c r="B39" s="27" t="s">
        <v>230</v>
      </c>
      <c r="C39" s="27" t="s">
        <v>231</v>
      </c>
      <c r="D39" s="27" t="s">
        <v>232</v>
      </c>
      <c r="E39" s="28">
        <v>221000</v>
      </c>
      <c r="F39" s="29">
        <v>1383.681</v>
      </c>
      <c r="G39" s="30">
        <v>1.016238E-2</v>
      </c>
      <c r="H39" s="25" t="s">
        <v>148</v>
      </c>
    </row>
    <row r="40" spans="1:8" x14ac:dyDescent="0.2">
      <c r="A40" s="26">
        <v>34</v>
      </c>
      <c r="B40" s="27" t="s">
        <v>364</v>
      </c>
      <c r="C40" s="27" t="s">
        <v>365</v>
      </c>
      <c r="D40" s="27" t="s">
        <v>275</v>
      </c>
      <c r="E40" s="28">
        <v>219000</v>
      </c>
      <c r="F40" s="29">
        <v>1359.2235000000001</v>
      </c>
      <c r="G40" s="30">
        <v>9.9827600000000002E-3</v>
      </c>
      <c r="H40" s="25" t="s">
        <v>148</v>
      </c>
    </row>
    <row r="41" spans="1:8" x14ac:dyDescent="0.2">
      <c r="A41" s="26">
        <v>35</v>
      </c>
      <c r="B41" s="27" t="s">
        <v>464</v>
      </c>
      <c r="C41" s="27" t="s">
        <v>465</v>
      </c>
      <c r="D41" s="27" t="s">
        <v>111</v>
      </c>
      <c r="E41" s="28">
        <v>170000</v>
      </c>
      <c r="F41" s="29">
        <v>1297.6949999999999</v>
      </c>
      <c r="G41" s="30">
        <v>9.5308600000000004E-3</v>
      </c>
      <c r="H41" s="25" t="s">
        <v>148</v>
      </c>
    </row>
    <row r="42" spans="1:8" x14ac:dyDescent="0.2">
      <c r="A42" s="26">
        <v>36</v>
      </c>
      <c r="B42" s="27" t="s">
        <v>806</v>
      </c>
      <c r="C42" s="27" t="s">
        <v>807</v>
      </c>
      <c r="D42" s="27" t="s">
        <v>229</v>
      </c>
      <c r="E42" s="28">
        <v>381140</v>
      </c>
      <c r="F42" s="29">
        <v>1275.4850100000001</v>
      </c>
      <c r="G42" s="30">
        <v>9.3677399999999994E-3</v>
      </c>
      <c r="H42" s="25" t="s">
        <v>148</v>
      </c>
    </row>
    <row r="43" spans="1:8" x14ac:dyDescent="0.2">
      <c r="A43" s="26">
        <v>37</v>
      </c>
      <c r="B43" s="27" t="s">
        <v>526</v>
      </c>
      <c r="C43" s="27" t="s">
        <v>527</v>
      </c>
      <c r="D43" s="27" t="s">
        <v>235</v>
      </c>
      <c r="E43" s="28">
        <v>96000</v>
      </c>
      <c r="F43" s="29">
        <v>1233.0719999999999</v>
      </c>
      <c r="G43" s="30">
        <v>9.0562400000000001E-3</v>
      </c>
      <c r="H43" s="25" t="s">
        <v>148</v>
      </c>
    </row>
    <row r="44" spans="1:8" x14ac:dyDescent="0.2">
      <c r="A44" s="26">
        <v>38</v>
      </c>
      <c r="B44" s="27" t="s">
        <v>699</v>
      </c>
      <c r="C44" s="27" t="s">
        <v>700</v>
      </c>
      <c r="D44" s="27" t="s">
        <v>275</v>
      </c>
      <c r="E44" s="28">
        <v>18353</v>
      </c>
      <c r="F44" s="29">
        <v>1224.3561595000001</v>
      </c>
      <c r="G44" s="30">
        <v>8.9922300000000004E-3</v>
      </c>
      <c r="H44" s="25" t="s">
        <v>148</v>
      </c>
    </row>
    <row r="45" spans="1:8" x14ac:dyDescent="0.2">
      <c r="A45" s="26">
        <v>39</v>
      </c>
      <c r="B45" s="27" t="s">
        <v>292</v>
      </c>
      <c r="C45" s="27" t="s">
        <v>293</v>
      </c>
      <c r="D45" s="27" t="s">
        <v>197</v>
      </c>
      <c r="E45" s="28">
        <v>40000</v>
      </c>
      <c r="F45" s="29">
        <v>1205.58</v>
      </c>
      <c r="G45" s="30">
        <v>8.8543300000000005E-3</v>
      </c>
      <c r="H45" s="25" t="s">
        <v>148</v>
      </c>
    </row>
    <row r="46" spans="1:8" x14ac:dyDescent="0.2">
      <c r="A46" s="26">
        <v>40</v>
      </c>
      <c r="B46" s="27" t="s">
        <v>766</v>
      </c>
      <c r="C46" s="27" t="s">
        <v>767</v>
      </c>
      <c r="D46" s="27" t="s">
        <v>267</v>
      </c>
      <c r="E46" s="28">
        <v>45000</v>
      </c>
      <c r="F46" s="29">
        <v>1196.0550000000001</v>
      </c>
      <c r="G46" s="30">
        <v>8.7843699999999997E-3</v>
      </c>
      <c r="H46" s="25" t="s">
        <v>148</v>
      </c>
    </row>
    <row r="47" spans="1:8" x14ac:dyDescent="0.2">
      <c r="A47" s="26">
        <v>41</v>
      </c>
      <c r="B47" s="27" t="s">
        <v>20</v>
      </c>
      <c r="C47" s="27" t="s">
        <v>21</v>
      </c>
      <c r="D47" s="27" t="s">
        <v>22</v>
      </c>
      <c r="E47" s="28">
        <v>382000</v>
      </c>
      <c r="F47" s="29">
        <v>1189.739</v>
      </c>
      <c r="G47" s="30">
        <v>8.7379799999999994E-3</v>
      </c>
      <c r="H47" s="25" t="s">
        <v>148</v>
      </c>
    </row>
    <row r="48" spans="1:8" x14ac:dyDescent="0.2">
      <c r="A48" s="26">
        <v>42</v>
      </c>
      <c r="B48" s="27" t="s">
        <v>125</v>
      </c>
      <c r="C48" s="27" t="s">
        <v>126</v>
      </c>
      <c r="D48" s="27" t="s">
        <v>64</v>
      </c>
      <c r="E48" s="28">
        <v>475000</v>
      </c>
      <c r="F48" s="29">
        <v>1186.7874999999999</v>
      </c>
      <c r="G48" s="30">
        <v>8.7163099999999997E-3</v>
      </c>
      <c r="H48" s="25" t="s">
        <v>148</v>
      </c>
    </row>
    <row r="49" spans="1:8" x14ac:dyDescent="0.2">
      <c r="A49" s="26">
        <v>43</v>
      </c>
      <c r="B49" s="27" t="s">
        <v>121</v>
      </c>
      <c r="C49" s="27" t="s">
        <v>122</v>
      </c>
      <c r="D49" s="27" t="s">
        <v>120</v>
      </c>
      <c r="E49" s="28">
        <v>238000</v>
      </c>
      <c r="F49" s="29">
        <v>1162.511</v>
      </c>
      <c r="G49" s="30">
        <v>8.5380100000000004E-3</v>
      </c>
      <c r="H49" s="25" t="s">
        <v>148</v>
      </c>
    </row>
    <row r="50" spans="1:8" x14ac:dyDescent="0.2">
      <c r="A50" s="26">
        <v>44</v>
      </c>
      <c r="B50" s="27" t="s">
        <v>808</v>
      </c>
      <c r="C50" s="27" t="s">
        <v>809</v>
      </c>
      <c r="D50" s="27" t="s">
        <v>48</v>
      </c>
      <c r="E50" s="28">
        <v>274000</v>
      </c>
      <c r="F50" s="29">
        <v>938.99800000000005</v>
      </c>
      <c r="G50" s="30">
        <v>6.8964300000000003E-3</v>
      </c>
      <c r="H50" s="25" t="s">
        <v>148</v>
      </c>
    </row>
    <row r="51" spans="1:8" x14ac:dyDescent="0.2">
      <c r="A51" s="26">
        <v>45</v>
      </c>
      <c r="B51" s="27" t="s">
        <v>288</v>
      </c>
      <c r="C51" s="27" t="s">
        <v>289</v>
      </c>
      <c r="D51" s="27" t="s">
        <v>240</v>
      </c>
      <c r="E51" s="28">
        <v>28000</v>
      </c>
      <c r="F51" s="29">
        <v>880.06799999999998</v>
      </c>
      <c r="G51" s="30">
        <v>6.4636199999999998E-3</v>
      </c>
      <c r="H51" s="25" t="s">
        <v>148</v>
      </c>
    </row>
    <row r="52" spans="1:8" x14ac:dyDescent="0.2">
      <c r="A52" s="26">
        <v>46</v>
      </c>
      <c r="B52" s="27" t="s">
        <v>323</v>
      </c>
      <c r="C52" s="27" t="s">
        <v>324</v>
      </c>
      <c r="D52" s="27" t="s">
        <v>51</v>
      </c>
      <c r="E52" s="28">
        <v>103000</v>
      </c>
      <c r="F52" s="29">
        <v>877.86900000000003</v>
      </c>
      <c r="G52" s="30">
        <v>6.4474700000000003E-3</v>
      </c>
      <c r="H52" s="25" t="s">
        <v>148</v>
      </c>
    </row>
    <row r="53" spans="1:8" x14ac:dyDescent="0.2">
      <c r="A53" s="26">
        <v>47</v>
      </c>
      <c r="B53" s="27" t="s">
        <v>370</v>
      </c>
      <c r="C53" s="27" t="s">
        <v>371</v>
      </c>
      <c r="D53" s="27" t="s">
        <v>51</v>
      </c>
      <c r="E53" s="28">
        <v>28000</v>
      </c>
      <c r="F53" s="29">
        <v>861.63</v>
      </c>
      <c r="G53" s="30">
        <v>6.3282E-3</v>
      </c>
      <c r="H53" s="25" t="s">
        <v>148</v>
      </c>
    </row>
    <row r="54" spans="1:8" x14ac:dyDescent="0.2">
      <c r="A54" s="26">
        <v>48</v>
      </c>
      <c r="B54" s="27" t="s">
        <v>236</v>
      </c>
      <c r="C54" s="27" t="s">
        <v>237</v>
      </c>
      <c r="D54" s="27" t="s">
        <v>69</v>
      </c>
      <c r="E54" s="28">
        <v>225000</v>
      </c>
      <c r="F54" s="29">
        <v>842.17499999999995</v>
      </c>
      <c r="G54" s="30">
        <v>6.1853200000000002E-3</v>
      </c>
      <c r="H54" s="25" t="s">
        <v>148</v>
      </c>
    </row>
    <row r="55" spans="1:8" x14ac:dyDescent="0.2">
      <c r="A55" s="26">
        <v>49</v>
      </c>
      <c r="B55" s="27" t="s">
        <v>40</v>
      </c>
      <c r="C55" s="27" t="s">
        <v>41</v>
      </c>
      <c r="D55" s="27" t="s">
        <v>42</v>
      </c>
      <c r="E55" s="28">
        <v>60000</v>
      </c>
      <c r="F55" s="29">
        <v>802.98</v>
      </c>
      <c r="G55" s="30">
        <v>5.8974500000000003E-3</v>
      </c>
      <c r="H55" s="25" t="s">
        <v>148</v>
      </c>
    </row>
    <row r="56" spans="1:8" x14ac:dyDescent="0.2">
      <c r="A56" s="26">
        <v>50</v>
      </c>
      <c r="B56" s="27" t="s">
        <v>92</v>
      </c>
      <c r="C56" s="27" t="s">
        <v>93</v>
      </c>
      <c r="D56" s="27" t="s">
        <v>94</v>
      </c>
      <c r="E56" s="28">
        <v>498000</v>
      </c>
      <c r="F56" s="29">
        <v>777.07920000000001</v>
      </c>
      <c r="G56" s="30">
        <v>5.7072199999999998E-3</v>
      </c>
      <c r="H56" s="25" t="s">
        <v>148</v>
      </c>
    </row>
    <row r="57" spans="1:8" x14ac:dyDescent="0.2">
      <c r="A57" s="26">
        <v>51</v>
      </c>
      <c r="B57" s="27" t="s">
        <v>357</v>
      </c>
      <c r="C57" s="27" t="s">
        <v>358</v>
      </c>
      <c r="D57" s="27" t="s">
        <v>359</v>
      </c>
      <c r="E57" s="28">
        <v>49000</v>
      </c>
      <c r="F57" s="29">
        <v>686.12249999999995</v>
      </c>
      <c r="G57" s="30">
        <v>5.0391999999999998E-3</v>
      </c>
      <c r="H57" s="25" t="s">
        <v>148</v>
      </c>
    </row>
    <row r="58" spans="1:8" x14ac:dyDescent="0.2">
      <c r="A58" s="26">
        <v>52</v>
      </c>
      <c r="B58" s="27" t="s">
        <v>57</v>
      </c>
      <c r="C58" s="27" t="s">
        <v>58</v>
      </c>
      <c r="D58" s="27" t="s">
        <v>59</v>
      </c>
      <c r="E58" s="28">
        <v>64000</v>
      </c>
      <c r="F58" s="29">
        <v>684.41600000000005</v>
      </c>
      <c r="G58" s="30">
        <v>5.0266599999999996E-3</v>
      </c>
      <c r="H58" s="25" t="s">
        <v>148</v>
      </c>
    </row>
    <row r="59" spans="1:8" x14ac:dyDescent="0.2">
      <c r="A59" s="26">
        <v>53</v>
      </c>
      <c r="B59" s="27" t="s">
        <v>99</v>
      </c>
      <c r="C59" s="27" t="s">
        <v>100</v>
      </c>
      <c r="D59" s="27" t="s">
        <v>69</v>
      </c>
      <c r="E59" s="28">
        <v>22000</v>
      </c>
      <c r="F59" s="29">
        <v>673.47500000000002</v>
      </c>
      <c r="G59" s="30">
        <v>4.9463099999999998E-3</v>
      </c>
      <c r="H59" s="25" t="s">
        <v>148</v>
      </c>
    </row>
    <row r="60" spans="1:8" x14ac:dyDescent="0.2">
      <c r="A60" s="26">
        <v>54</v>
      </c>
      <c r="B60" s="27" t="s">
        <v>810</v>
      </c>
      <c r="C60" s="27" t="s">
        <v>811</v>
      </c>
      <c r="D60" s="27" t="s">
        <v>275</v>
      </c>
      <c r="E60" s="28">
        <v>38619</v>
      </c>
      <c r="F60" s="29">
        <v>668.07008099999996</v>
      </c>
      <c r="G60" s="30">
        <v>4.9066099999999996E-3</v>
      </c>
      <c r="H60" s="25" t="s">
        <v>148</v>
      </c>
    </row>
    <row r="61" spans="1:8" ht="25.5" x14ac:dyDescent="0.2">
      <c r="A61" s="26">
        <v>55</v>
      </c>
      <c r="B61" s="27" t="s">
        <v>474</v>
      </c>
      <c r="C61" s="27" t="s">
        <v>475</v>
      </c>
      <c r="D61" s="27" t="s">
        <v>202</v>
      </c>
      <c r="E61" s="28">
        <v>6191</v>
      </c>
      <c r="F61" s="29">
        <v>656.92701</v>
      </c>
      <c r="G61" s="30">
        <v>4.8247699999999999E-3</v>
      </c>
      <c r="H61" s="25" t="s">
        <v>148</v>
      </c>
    </row>
    <row r="62" spans="1:8" x14ac:dyDescent="0.2">
      <c r="A62" s="26">
        <v>56</v>
      </c>
      <c r="B62" s="27" t="s">
        <v>268</v>
      </c>
      <c r="C62" s="27" t="s">
        <v>269</v>
      </c>
      <c r="D62" s="27" t="s">
        <v>270</v>
      </c>
      <c r="E62" s="28">
        <v>119000</v>
      </c>
      <c r="F62" s="29">
        <v>656.404</v>
      </c>
      <c r="G62" s="30">
        <v>4.8209300000000002E-3</v>
      </c>
      <c r="H62" s="25" t="s">
        <v>148</v>
      </c>
    </row>
    <row r="63" spans="1:8" x14ac:dyDescent="0.2">
      <c r="A63" s="26">
        <v>57</v>
      </c>
      <c r="B63" s="27" t="s">
        <v>223</v>
      </c>
      <c r="C63" s="27" t="s">
        <v>224</v>
      </c>
      <c r="D63" s="27" t="s">
        <v>16</v>
      </c>
      <c r="E63" s="28">
        <v>211000</v>
      </c>
      <c r="F63" s="29">
        <v>619.8125</v>
      </c>
      <c r="G63" s="30">
        <v>4.5521800000000003E-3</v>
      </c>
      <c r="H63" s="25" t="s">
        <v>148</v>
      </c>
    </row>
    <row r="64" spans="1:8" x14ac:dyDescent="0.2">
      <c r="A64" s="26">
        <v>58</v>
      </c>
      <c r="B64" s="27" t="s">
        <v>296</v>
      </c>
      <c r="C64" s="27" t="s">
        <v>297</v>
      </c>
      <c r="D64" s="27" t="s">
        <v>270</v>
      </c>
      <c r="E64" s="28">
        <v>60000</v>
      </c>
      <c r="F64" s="29">
        <v>598.86</v>
      </c>
      <c r="G64" s="30">
        <v>4.3983E-3</v>
      </c>
      <c r="H64" s="25" t="s">
        <v>148</v>
      </c>
    </row>
    <row r="65" spans="1:8" x14ac:dyDescent="0.2">
      <c r="A65" s="26">
        <v>59</v>
      </c>
      <c r="B65" s="27" t="s">
        <v>705</v>
      </c>
      <c r="C65" s="27" t="s">
        <v>706</v>
      </c>
      <c r="D65" s="27" t="s">
        <v>25</v>
      </c>
      <c r="E65" s="28">
        <v>32737</v>
      </c>
      <c r="F65" s="29">
        <v>553.14072050000004</v>
      </c>
      <c r="G65" s="30">
        <v>4.06252E-3</v>
      </c>
      <c r="H65" s="25" t="s">
        <v>148</v>
      </c>
    </row>
    <row r="66" spans="1:8" x14ac:dyDescent="0.2">
      <c r="A66" s="26">
        <v>60</v>
      </c>
      <c r="B66" s="27" t="s">
        <v>105</v>
      </c>
      <c r="C66" s="27" t="s">
        <v>106</v>
      </c>
      <c r="D66" s="27" t="s">
        <v>42</v>
      </c>
      <c r="E66" s="28">
        <v>6001</v>
      </c>
      <c r="F66" s="29">
        <v>296.17335400000002</v>
      </c>
      <c r="G66" s="30">
        <v>2.1752299999999998E-3</v>
      </c>
      <c r="H66" s="25" t="s">
        <v>148</v>
      </c>
    </row>
    <row r="67" spans="1:8" x14ac:dyDescent="0.2">
      <c r="A67" s="26">
        <v>61</v>
      </c>
      <c r="B67" s="27" t="s">
        <v>233</v>
      </c>
      <c r="C67" s="27" t="s">
        <v>234</v>
      </c>
      <c r="D67" s="27" t="s">
        <v>235</v>
      </c>
      <c r="E67" s="28">
        <v>15000</v>
      </c>
      <c r="F67" s="29">
        <v>291.92250000000001</v>
      </c>
      <c r="G67" s="30">
        <v>2.14401E-3</v>
      </c>
      <c r="H67" s="25" t="s">
        <v>148</v>
      </c>
    </row>
    <row r="68" spans="1:8" ht="25.5" x14ac:dyDescent="0.2">
      <c r="A68" s="26">
        <v>62</v>
      </c>
      <c r="B68" s="27" t="s">
        <v>290</v>
      </c>
      <c r="C68" s="27" t="s">
        <v>291</v>
      </c>
      <c r="D68" s="27" t="s">
        <v>202</v>
      </c>
      <c r="E68" s="28">
        <v>10649</v>
      </c>
      <c r="F68" s="29">
        <v>243.925994</v>
      </c>
      <c r="G68" s="30">
        <v>1.7914999999999999E-3</v>
      </c>
      <c r="H68" s="25" t="s">
        <v>148</v>
      </c>
    </row>
    <row r="69" spans="1:8" x14ac:dyDescent="0.2">
      <c r="A69" s="23"/>
      <c r="B69" s="23"/>
      <c r="C69" s="24" t="s">
        <v>147</v>
      </c>
      <c r="D69" s="23"/>
      <c r="E69" s="23" t="s">
        <v>148</v>
      </c>
      <c r="F69" s="31">
        <v>130918.9141675</v>
      </c>
      <c r="G69" s="32">
        <v>0.96152800000000005</v>
      </c>
      <c r="H69" s="25" t="s">
        <v>148</v>
      </c>
    </row>
    <row r="70" spans="1:8" x14ac:dyDescent="0.2">
      <c r="A70" s="23"/>
      <c r="B70" s="23"/>
      <c r="C70" s="33"/>
      <c r="D70" s="23"/>
      <c r="E70" s="23"/>
      <c r="F70" s="34"/>
      <c r="G70" s="34"/>
      <c r="H70" s="25" t="s">
        <v>148</v>
      </c>
    </row>
    <row r="71" spans="1:8" x14ac:dyDescent="0.2">
      <c r="A71" s="23"/>
      <c r="B71" s="23"/>
      <c r="C71" s="24" t="s">
        <v>149</v>
      </c>
      <c r="D71" s="23"/>
      <c r="E71" s="23"/>
      <c r="F71" s="23"/>
      <c r="G71" s="23"/>
      <c r="H71" s="25" t="s">
        <v>148</v>
      </c>
    </row>
    <row r="72" spans="1:8" x14ac:dyDescent="0.2">
      <c r="A72" s="23"/>
      <c r="B72" s="23"/>
      <c r="C72" s="24" t="s">
        <v>147</v>
      </c>
      <c r="D72" s="23"/>
      <c r="E72" s="23" t="s">
        <v>148</v>
      </c>
      <c r="F72" s="35" t="s">
        <v>150</v>
      </c>
      <c r="G72" s="32">
        <v>0</v>
      </c>
      <c r="H72" s="25" t="s">
        <v>148</v>
      </c>
    </row>
    <row r="73" spans="1:8" x14ac:dyDescent="0.2">
      <c r="A73" s="23"/>
      <c r="B73" s="23"/>
      <c r="C73" s="33"/>
      <c r="D73" s="23"/>
      <c r="E73" s="23"/>
      <c r="F73" s="34"/>
      <c r="G73" s="34"/>
      <c r="H73" s="25" t="s">
        <v>148</v>
      </c>
    </row>
    <row r="74" spans="1:8" x14ac:dyDescent="0.2">
      <c r="A74" s="23"/>
      <c r="B74" s="23"/>
      <c r="C74" s="24" t="s">
        <v>151</v>
      </c>
      <c r="D74" s="23"/>
      <c r="E74" s="23"/>
      <c r="F74" s="23"/>
      <c r="G74" s="23"/>
      <c r="H74" s="25" t="s">
        <v>148</v>
      </c>
    </row>
    <row r="75" spans="1:8" x14ac:dyDescent="0.2">
      <c r="A75" s="23"/>
      <c r="B75" s="23"/>
      <c r="C75" s="24" t="s">
        <v>147</v>
      </c>
      <c r="D75" s="23"/>
      <c r="E75" s="23" t="s">
        <v>148</v>
      </c>
      <c r="F75" s="35" t="s">
        <v>150</v>
      </c>
      <c r="G75" s="32">
        <v>0</v>
      </c>
      <c r="H75" s="25" t="s">
        <v>148</v>
      </c>
    </row>
    <row r="76" spans="1:8" x14ac:dyDescent="0.2">
      <c r="A76" s="23"/>
      <c r="B76" s="23"/>
      <c r="C76" s="33"/>
      <c r="D76" s="23"/>
      <c r="E76" s="23"/>
      <c r="F76" s="34"/>
      <c r="G76" s="34"/>
      <c r="H76" s="25" t="s">
        <v>148</v>
      </c>
    </row>
    <row r="77" spans="1:8" x14ac:dyDescent="0.2">
      <c r="A77" s="23"/>
      <c r="B77" s="23"/>
      <c r="C77" s="24" t="s">
        <v>152</v>
      </c>
      <c r="D77" s="23"/>
      <c r="E77" s="23"/>
      <c r="F77" s="23"/>
      <c r="G77" s="23"/>
      <c r="H77" s="25" t="s">
        <v>148</v>
      </c>
    </row>
    <row r="78" spans="1:8" x14ac:dyDescent="0.2">
      <c r="A78" s="23"/>
      <c r="B78" s="23"/>
      <c r="C78" s="24" t="s">
        <v>147</v>
      </c>
      <c r="D78" s="23"/>
      <c r="E78" s="23" t="s">
        <v>148</v>
      </c>
      <c r="F78" s="35" t="s">
        <v>150</v>
      </c>
      <c r="G78" s="32">
        <v>0</v>
      </c>
      <c r="H78" s="25" t="s">
        <v>148</v>
      </c>
    </row>
    <row r="79" spans="1:8" x14ac:dyDescent="0.2">
      <c r="A79" s="23"/>
      <c r="B79" s="23"/>
      <c r="C79" s="33"/>
      <c r="D79" s="23"/>
      <c r="E79" s="23"/>
      <c r="F79" s="34"/>
      <c r="G79" s="34"/>
      <c r="H79" s="25" t="s">
        <v>148</v>
      </c>
    </row>
    <row r="80" spans="1:8" x14ac:dyDescent="0.2">
      <c r="A80" s="23"/>
      <c r="B80" s="23"/>
      <c r="C80" s="24" t="s">
        <v>153</v>
      </c>
      <c r="D80" s="23"/>
      <c r="E80" s="23"/>
      <c r="F80" s="34"/>
      <c r="G80" s="34"/>
      <c r="H80" s="25" t="s">
        <v>148</v>
      </c>
    </row>
    <row r="81" spans="1:8" x14ac:dyDescent="0.2">
      <c r="A81" s="23"/>
      <c r="B81" s="23"/>
      <c r="C81" s="24" t="s">
        <v>147</v>
      </c>
      <c r="D81" s="23"/>
      <c r="E81" s="23" t="s">
        <v>148</v>
      </c>
      <c r="F81" s="35" t="s">
        <v>150</v>
      </c>
      <c r="G81" s="32">
        <v>0</v>
      </c>
      <c r="H81" s="25" t="s">
        <v>148</v>
      </c>
    </row>
    <row r="82" spans="1:8" x14ac:dyDescent="0.2">
      <c r="A82" s="23"/>
      <c r="B82" s="23"/>
      <c r="C82" s="33"/>
      <c r="D82" s="23"/>
      <c r="E82" s="23"/>
      <c r="F82" s="34"/>
      <c r="G82" s="34"/>
      <c r="H82" s="25" t="s">
        <v>148</v>
      </c>
    </row>
    <row r="83" spans="1:8" x14ac:dyDescent="0.2">
      <c r="A83" s="23"/>
      <c r="B83" s="23"/>
      <c r="C83" s="24" t="s">
        <v>154</v>
      </c>
      <c r="D83" s="23"/>
      <c r="E83" s="23"/>
      <c r="F83" s="34"/>
      <c r="G83" s="34"/>
      <c r="H83" s="25" t="s">
        <v>148</v>
      </c>
    </row>
    <row r="84" spans="1:8" x14ac:dyDescent="0.2">
      <c r="A84" s="23"/>
      <c r="B84" s="23"/>
      <c r="C84" s="24" t="s">
        <v>147</v>
      </c>
      <c r="D84" s="23"/>
      <c r="E84" s="23" t="s">
        <v>148</v>
      </c>
      <c r="F84" s="35" t="s">
        <v>150</v>
      </c>
      <c r="G84" s="32">
        <v>0</v>
      </c>
      <c r="H84" s="25" t="s">
        <v>148</v>
      </c>
    </row>
    <row r="85" spans="1:8" x14ac:dyDescent="0.2">
      <c r="A85" s="23"/>
      <c r="B85" s="23"/>
      <c r="C85" s="33"/>
      <c r="D85" s="23"/>
      <c r="E85" s="23"/>
      <c r="F85" s="34"/>
      <c r="G85" s="34"/>
      <c r="H85" s="25" t="s">
        <v>148</v>
      </c>
    </row>
    <row r="86" spans="1:8" x14ac:dyDescent="0.2">
      <c r="A86" s="23"/>
      <c r="B86" s="23"/>
      <c r="C86" s="24" t="s">
        <v>155</v>
      </c>
      <c r="D86" s="23"/>
      <c r="E86" s="23"/>
      <c r="F86" s="31">
        <v>130918.9141675</v>
      </c>
      <c r="G86" s="32">
        <v>0.96152800000000005</v>
      </c>
      <c r="H86" s="25" t="s">
        <v>148</v>
      </c>
    </row>
    <row r="87" spans="1:8" x14ac:dyDescent="0.2">
      <c r="A87" s="23"/>
      <c r="B87" s="23"/>
      <c r="C87" s="33"/>
      <c r="D87" s="23"/>
      <c r="E87" s="23"/>
      <c r="F87" s="34"/>
      <c r="G87" s="34"/>
      <c r="H87" s="25" t="s">
        <v>148</v>
      </c>
    </row>
    <row r="88" spans="1:8" x14ac:dyDescent="0.2">
      <c r="A88" s="23"/>
      <c r="B88" s="23"/>
      <c r="C88" s="24" t="s">
        <v>156</v>
      </c>
      <c r="D88" s="23"/>
      <c r="E88" s="23"/>
      <c r="F88" s="34"/>
      <c r="G88" s="34"/>
      <c r="H88" s="25" t="s">
        <v>148</v>
      </c>
    </row>
    <row r="89" spans="1:8" x14ac:dyDescent="0.2">
      <c r="A89" s="23"/>
      <c r="B89" s="23"/>
      <c r="C89" s="24" t="s">
        <v>10</v>
      </c>
      <c r="D89" s="23"/>
      <c r="E89" s="23"/>
      <c r="F89" s="34"/>
      <c r="G89" s="34"/>
      <c r="H89" s="25" t="s">
        <v>148</v>
      </c>
    </row>
    <row r="90" spans="1:8" x14ac:dyDescent="0.2">
      <c r="A90" s="23"/>
      <c r="B90" s="23"/>
      <c r="C90" s="24" t="s">
        <v>147</v>
      </c>
      <c r="D90" s="23"/>
      <c r="E90" s="23" t="s">
        <v>148</v>
      </c>
      <c r="F90" s="35" t="s">
        <v>150</v>
      </c>
      <c r="G90" s="32">
        <v>0</v>
      </c>
      <c r="H90" s="25" t="s">
        <v>148</v>
      </c>
    </row>
    <row r="91" spans="1:8" x14ac:dyDescent="0.2">
      <c r="A91" s="23"/>
      <c r="B91" s="23"/>
      <c r="C91" s="33"/>
      <c r="D91" s="23"/>
      <c r="E91" s="23"/>
      <c r="F91" s="34"/>
      <c r="G91" s="34"/>
      <c r="H91" s="25" t="s">
        <v>148</v>
      </c>
    </row>
    <row r="92" spans="1:8" x14ac:dyDescent="0.2">
      <c r="A92" s="23"/>
      <c r="B92" s="23"/>
      <c r="C92" s="24" t="s">
        <v>157</v>
      </c>
      <c r="D92" s="23"/>
      <c r="E92" s="23"/>
      <c r="F92" s="23"/>
      <c r="G92" s="23"/>
      <c r="H92" s="25" t="s">
        <v>148</v>
      </c>
    </row>
    <row r="93" spans="1:8" x14ac:dyDescent="0.2">
      <c r="A93" s="23"/>
      <c r="B93" s="23"/>
      <c r="C93" s="24" t="s">
        <v>147</v>
      </c>
      <c r="D93" s="23"/>
      <c r="E93" s="23" t="s">
        <v>148</v>
      </c>
      <c r="F93" s="35" t="s">
        <v>150</v>
      </c>
      <c r="G93" s="32">
        <v>0</v>
      </c>
      <c r="H93" s="25" t="s">
        <v>148</v>
      </c>
    </row>
    <row r="94" spans="1:8" x14ac:dyDescent="0.2">
      <c r="A94" s="23"/>
      <c r="B94" s="23"/>
      <c r="C94" s="33"/>
      <c r="D94" s="23"/>
      <c r="E94" s="23"/>
      <c r="F94" s="34"/>
      <c r="G94" s="34"/>
      <c r="H94" s="25" t="s">
        <v>148</v>
      </c>
    </row>
    <row r="95" spans="1:8" x14ac:dyDescent="0.2">
      <c r="A95" s="23"/>
      <c r="B95" s="23"/>
      <c r="C95" s="24" t="s">
        <v>158</v>
      </c>
      <c r="D95" s="23"/>
      <c r="E95" s="23"/>
      <c r="F95" s="23"/>
      <c r="G95" s="23"/>
      <c r="H95" s="25" t="s">
        <v>148</v>
      </c>
    </row>
    <row r="96" spans="1:8" x14ac:dyDescent="0.2">
      <c r="A96" s="23"/>
      <c r="B96" s="23"/>
      <c r="C96" s="24" t="s">
        <v>147</v>
      </c>
      <c r="D96" s="23"/>
      <c r="E96" s="23" t="s">
        <v>148</v>
      </c>
      <c r="F96" s="35" t="s">
        <v>150</v>
      </c>
      <c r="G96" s="32">
        <v>0</v>
      </c>
      <c r="H96" s="25" t="s">
        <v>148</v>
      </c>
    </row>
    <row r="97" spans="1:8" x14ac:dyDescent="0.2">
      <c r="A97" s="23"/>
      <c r="B97" s="23"/>
      <c r="C97" s="33"/>
      <c r="D97" s="23"/>
      <c r="E97" s="23"/>
      <c r="F97" s="34"/>
      <c r="G97" s="34"/>
      <c r="H97" s="25" t="s">
        <v>148</v>
      </c>
    </row>
    <row r="98" spans="1:8" x14ac:dyDescent="0.2">
      <c r="A98" s="23"/>
      <c r="B98" s="23"/>
      <c r="C98" s="24" t="s">
        <v>159</v>
      </c>
      <c r="D98" s="23"/>
      <c r="E98" s="23"/>
      <c r="F98" s="34"/>
      <c r="G98" s="34"/>
      <c r="H98" s="25" t="s">
        <v>148</v>
      </c>
    </row>
    <row r="99" spans="1:8" x14ac:dyDescent="0.2">
      <c r="A99" s="23"/>
      <c r="B99" s="23"/>
      <c r="C99" s="24" t="s">
        <v>147</v>
      </c>
      <c r="D99" s="23"/>
      <c r="E99" s="23" t="s">
        <v>148</v>
      </c>
      <c r="F99" s="35" t="s">
        <v>150</v>
      </c>
      <c r="G99" s="32">
        <v>0</v>
      </c>
      <c r="H99" s="25" t="s">
        <v>148</v>
      </c>
    </row>
    <row r="100" spans="1:8" x14ac:dyDescent="0.2">
      <c r="A100" s="23"/>
      <c r="B100" s="23"/>
      <c r="C100" s="33"/>
      <c r="D100" s="23"/>
      <c r="E100" s="23"/>
      <c r="F100" s="34"/>
      <c r="G100" s="34"/>
      <c r="H100" s="25" t="s">
        <v>148</v>
      </c>
    </row>
    <row r="101" spans="1:8" x14ac:dyDescent="0.2">
      <c r="A101" s="23"/>
      <c r="B101" s="23"/>
      <c r="C101" s="24" t="s">
        <v>160</v>
      </c>
      <c r="D101" s="23"/>
      <c r="E101" s="23"/>
      <c r="F101" s="31">
        <v>0</v>
      </c>
      <c r="G101" s="32">
        <v>0</v>
      </c>
      <c r="H101" s="25" t="s">
        <v>148</v>
      </c>
    </row>
    <row r="102" spans="1:8" x14ac:dyDescent="0.2">
      <c r="A102" s="23"/>
      <c r="B102" s="23"/>
      <c r="C102" s="33"/>
      <c r="D102" s="23"/>
      <c r="E102" s="23"/>
      <c r="F102" s="34"/>
      <c r="G102" s="34"/>
      <c r="H102" s="25" t="s">
        <v>148</v>
      </c>
    </row>
    <row r="103" spans="1:8" x14ac:dyDescent="0.2">
      <c r="A103" s="23"/>
      <c r="B103" s="23"/>
      <c r="C103" s="24" t="s">
        <v>161</v>
      </c>
      <c r="D103" s="23"/>
      <c r="E103" s="23"/>
      <c r="F103" s="34"/>
      <c r="G103" s="34"/>
      <c r="H103" s="25" t="s">
        <v>148</v>
      </c>
    </row>
    <row r="104" spans="1:8" x14ac:dyDescent="0.2">
      <c r="A104" s="23"/>
      <c r="B104" s="23"/>
      <c r="C104" s="24" t="s">
        <v>162</v>
      </c>
      <c r="D104" s="23"/>
      <c r="E104" s="23"/>
      <c r="F104" s="34"/>
      <c r="G104" s="34"/>
      <c r="H104" s="25" t="s">
        <v>148</v>
      </c>
    </row>
    <row r="105" spans="1:8" x14ac:dyDescent="0.2">
      <c r="A105" s="23"/>
      <c r="B105" s="23"/>
      <c r="C105" s="24" t="s">
        <v>147</v>
      </c>
      <c r="D105" s="23"/>
      <c r="E105" s="23" t="s">
        <v>148</v>
      </c>
      <c r="F105" s="35" t="s">
        <v>150</v>
      </c>
      <c r="G105" s="32">
        <v>0</v>
      </c>
      <c r="H105" s="25" t="s">
        <v>148</v>
      </c>
    </row>
    <row r="106" spans="1:8" x14ac:dyDescent="0.2">
      <c r="A106" s="23"/>
      <c r="B106" s="23"/>
      <c r="C106" s="33"/>
      <c r="D106" s="23"/>
      <c r="E106" s="23"/>
      <c r="F106" s="34"/>
      <c r="G106" s="34"/>
      <c r="H106" s="25" t="s">
        <v>148</v>
      </c>
    </row>
    <row r="107" spans="1:8" x14ac:dyDescent="0.2">
      <c r="A107" s="23"/>
      <c r="B107" s="23"/>
      <c r="C107" s="24" t="s">
        <v>163</v>
      </c>
      <c r="D107" s="23"/>
      <c r="E107" s="23"/>
      <c r="F107" s="34"/>
      <c r="G107" s="34"/>
      <c r="H107" s="25" t="s">
        <v>148</v>
      </c>
    </row>
    <row r="108" spans="1:8" x14ac:dyDescent="0.2">
      <c r="A108" s="23"/>
      <c r="B108" s="23"/>
      <c r="C108" s="24" t="s">
        <v>147</v>
      </c>
      <c r="D108" s="23"/>
      <c r="E108" s="23" t="s">
        <v>148</v>
      </c>
      <c r="F108" s="35" t="s">
        <v>150</v>
      </c>
      <c r="G108" s="32">
        <v>0</v>
      </c>
      <c r="H108" s="25" t="s">
        <v>148</v>
      </c>
    </row>
    <row r="109" spans="1:8" x14ac:dyDescent="0.2">
      <c r="A109" s="23"/>
      <c r="B109" s="23"/>
      <c r="C109" s="33"/>
      <c r="D109" s="23"/>
      <c r="E109" s="23"/>
      <c r="F109" s="34"/>
      <c r="G109" s="34"/>
      <c r="H109" s="25" t="s">
        <v>148</v>
      </c>
    </row>
    <row r="110" spans="1:8" x14ac:dyDescent="0.2">
      <c r="A110" s="23"/>
      <c r="B110" s="23"/>
      <c r="C110" s="24" t="s">
        <v>164</v>
      </c>
      <c r="D110" s="23"/>
      <c r="E110" s="23"/>
      <c r="F110" s="34"/>
      <c r="G110" s="34"/>
      <c r="H110" s="25" t="s">
        <v>148</v>
      </c>
    </row>
    <row r="111" spans="1:8" x14ac:dyDescent="0.2">
      <c r="A111" s="23"/>
      <c r="B111" s="23"/>
      <c r="C111" s="24" t="s">
        <v>147</v>
      </c>
      <c r="D111" s="23"/>
      <c r="E111" s="23" t="s">
        <v>148</v>
      </c>
      <c r="F111" s="35" t="s">
        <v>150</v>
      </c>
      <c r="G111" s="32">
        <v>0</v>
      </c>
      <c r="H111" s="25" t="s">
        <v>148</v>
      </c>
    </row>
    <row r="112" spans="1:8" x14ac:dyDescent="0.2">
      <c r="A112" s="23"/>
      <c r="B112" s="23"/>
      <c r="C112" s="33"/>
      <c r="D112" s="23"/>
      <c r="E112" s="23"/>
      <c r="F112" s="34"/>
      <c r="G112" s="34"/>
      <c r="H112" s="25" t="s">
        <v>148</v>
      </c>
    </row>
    <row r="113" spans="1:8" x14ac:dyDescent="0.2">
      <c r="A113" s="23"/>
      <c r="B113" s="23"/>
      <c r="C113" s="24" t="s">
        <v>165</v>
      </c>
      <c r="D113" s="23"/>
      <c r="E113" s="23"/>
      <c r="F113" s="34"/>
      <c r="G113" s="34"/>
      <c r="H113" s="25" t="s">
        <v>148</v>
      </c>
    </row>
    <row r="114" spans="1:8" x14ac:dyDescent="0.2">
      <c r="A114" s="26">
        <v>1</v>
      </c>
      <c r="B114" s="27"/>
      <c r="C114" s="27" t="s">
        <v>166</v>
      </c>
      <c r="D114" s="27"/>
      <c r="E114" s="36"/>
      <c r="F114" s="29">
        <v>6407.9422176959997</v>
      </c>
      <c r="G114" s="30">
        <v>4.7062840000000002E-2</v>
      </c>
      <c r="H114" s="25">
        <v>6.23</v>
      </c>
    </row>
    <row r="115" spans="1:8" x14ac:dyDescent="0.2">
      <c r="A115" s="23"/>
      <c r="B115" s="23"/>
      <c r="C115" s="24" t="s">
        <v>147</v>
      </c>
      <c r="D115" s="23"/>
      <c r="E115" s="23" t="s">
        <v>148</v>
      </c>
      <c r="F115" s="31">
        <v>6407.9422176959997</v>
      </c>
      <c r="G115" s="32">
        <v>4.7062840000000002E-2</v>
      </c>
      <c r="H115" s="25" t="s">
        <v>148</v>
      </c>
    </row>
    <row r="116" spans="1:8" x14ac:dyDescent="0.2">
      <c r="A116" s="23"/>
      <c r="B116" s="23"/>
      <c r="C116" s="33"/>
      <c r="D116" s="23"/>
      <c r="E116" s="23"/>
      <c r="F116" s="34"/>
      <c r="G116" s="34"/>
      <c r="H116" s="25" t="s">
        <v>148</v>
      </c>
    </row>
    <row r="117" spans="1:8" x14ac:dyDescent="0.2">
      <c r="A117" s="23"/>
      <c r="B117" s="23"/>
      <c r="C117" s="24" t="s">
        <v>167</v>
      </c>
      <c r="D117" s="23"/>
      <c r="E117" s="23"/>
      <c r="F117" s="31">
        <v>6407.9422176959997</v>
      </c>
      <c r="G117" s="32">
        <v>4.7062840000000002E-2</v>
      </c>
      <c r="H117" s="25" t="s">
        <v>148</v>
      </c>
    </row>
    <row r="118" spans="1:8" x14ac:dyDescent="0.2">
      <c r="A118" s="23"/>
      <c r="B118" s="23"/>
      <c r="C118" s="34"/>
      <c r="D118" s="23"/>
      <c r="E118" s="23"/>
      <c r="F118" s="23"/>
      <c r="G118" s="23"/>
      <c r="H118" s="25" t="s">
        <v>148</v>
      </c>
    </row>
    <row r="119" spans="1:8" x14ac:dyDescent="0.2">
      <c r="A119" s="23"/>
      <c r="B119" s="23"/>
      <c r="C119" s="24" t="s">
        <v>168</v>
      </c>
      <c r="D119" s="23"/>
      <c r="E119" s="23"/>
      <c r="F119" s="23"/>
      <c r="G119" s="23"/>
      <c r="H119" s="25" t="s">
        <v>148</v>
      </c>
    </row>
    <row r="120" spans="1:8" x14ac:dyDescent="0.2">
      <c r="A120" s="23"/>
      <c r="B120" s="23"/>
      <c r="C120" s="24" t="s">
        <v>169</v>
      </c>
      <c r="D120" s="23"/>
      <c r="E120" s="23"/>
      <c r="F120" s="23"/>
      <c r="G120" s="23"/>
      <c r="H120" s="25" t="s">
        <v>148</v>
      </c>
    </row>
    <row r="121" spans="1:8" x14ac:dyDescent="0.2">
      <c r="A121" s="23"/>
      <c r="B121" s="23"/>
      <c r="C121" s="24" t="s">
        <v>147</v>
      </c>
      <c r="D121" s="23"/>
      <c r="E121" s="23" t="s">
        <v>148</v>
      </c>
      <c r="F121" s="35" t="s">
        <v>150</v>
      </c>
      <c r="G121" s="32">
        <v>0</v>
      </c>
      <c r="H121" s="25" t="s">
        <v>148</v>
      </c>
    </row>
    <row r="122" spans="1:8" x14ac:dyDescent="0.2">
      <c r="A122" s="23"/>
      <c r="B122" s="23"/>
      <c r="C122" s="33"/>
      <c r="D122" s="23"/>
      <c r="E122" s="23"/>
      <c r="F122" s="34"/>
      <c r="G122" s="34"/>
      <c r="H122" s="25" t="s">
        <v>148</v>
      </c>
    </row>
    <row r="123" spans="1:8" x14ac:dyDescent="0.2">
      <c r="A123" s="23"/>
      <c r="B123" s="23"/>
      <c r="C123" s="24" t="s">
        <v>172</v>
      </c>
      <c r="D123" s="23"/>
      <c r="E123" s="23"/>
      <c r="F123" s="23"/>
      <c r="G123" s="23"/>
      <c r="H123" s="25" t="s">
        <v>148</v>
      </c>
    </row>
    <row r="124" spans="1:8" x14ac:dyDescent="0.2">
      <c r="A124" s="23"/>
      <c r="B124" s="23"/>
      <c r="C124" s="24" t="s">
        <v>173</v>
      </c>
      <c r="D124" s="23"/>
      <c r="E124" s="23"/>
      <c r="F124" s="23"/>
      <c r="G124" s="23"/>
      <c r="H124" s="25" t="s">
        <v>148</v>
      </c>
    </row>
    <row r="125" spans="1:8" x14ac:dyDescent="0.2">
      <c r="A125" s="23"/>
      <c r="B125" s="23"/>
      <c r="C125" s="24" t="s">
        <v>147</v>
      </c>
      <c r="D125" s="23"/>
      <c r="E125" s="23" t="s">
        <v>148</v>
      </c>
      <c r="F125" s="35" t="s">
        <v>150</v>
      </c>
      <c r="G125" s="32">
        <v>0</v>
      </c>
      <c r="H125" s="25" t="s">
        <v>148</v>
      </c>
    </row>
    <row r="126" spans="1:8" x14ac:dyDescent="0.2">
      <c r="A126" s="23"/>
      <c r="B126" s="23"/>
      <c r="C126" s="33"/>
      <c r="D126" s="23"/>
      <c r="E126" s="23"/>
      <c r="F126" s="34"/>
      <c r="G126" s="34"/>
      <c r="H126" s="25" t="s">
        <v>148</v>
      </c>
    </row>
    <row r="127" spans="1:8" x14ac:dyDescent="0.2">
      <c r="A127" s="23"/>
      <c r="B127" s="23"/>
      <c r="C127" s="24" t="s">
        <v>174</v>
      </c>
      <c r="D127" s="23"/>
      <c r="E127" s="23"/>
      <c r="F127" s="34"/>
      <c r="G127" s="34"/>
      <c r="H127" s="25" t="s">
        <v>148</v>
      </c>
    </row>
    <row r="128" spans="1:8" x14ac:dyDescent="0.2">
      <c r="A128" s="23"/>
      <c r="B128" s="23"/>
      <c r="C128" s="24" t="s">
        <v>147</v>
      </c>
      <c r="D128" s="23"/>
      <c r="E128" s="23" t="s">
        <v>148</v>
      </c>
      <c r="F128" s="35" t="s">
        <v>150</v>
      </c>
      <c r="G128" s="32">
        <v>0</v>
      </c>
      <c r="H128" s="25" t="s">
        <v>148</v>
      </c>
    </row>
    <row r="129" spans="1:17" x14ac:dyDescent="0.2">
      <c r="A129" s="23"/>
      <c r="B129" s="23"/>
      <c r="C129" s="33"/>
      <c r="D129" s="23"/>
      <c r="E129" s="23"/>
      <c r="F129" s="34"/>
      <c r="G129" s="34"/>
      <c r="H129" s="25" t="s">
        <v>148</v>
      </c>
    </row>
    <row r="130" spans="1:17" x14ac:dyDescent="0.2">
      <c r="A130" s="36"/>
      <c r="B130" s="27"/>
      <c r="C130" s="27" t="s">
        <v>175</v>
      </c>
      <c r="D130" s="27"/>
      <c r="E130" s="36"/>
      <c r="F130" s="29">
        <v>-1169.69901114</v>
      </c>
      <c r="G130" s="30">
        <v>-8.5908000000000009E-3</v>
      </c>
      <c r="H130" s="25" t="s">
        <v>148</v>
      </c>
    </row>
    <row r="131" spans="1:17" x14ac:dyDescent="0.2">
      <c r="A131" s="33"/>
      <c r="B131" s="33"/>
      <c r="C131" s="24" t="s">
        <v>176</v>
      </c>
      <c r="D131" s="34"/>
      <c r="E131" s="34"/>
      <c r="F131" s="31">
        <v>136157.157374056</v>
      </c>
      <c r="G131" s="39">
        <v>1.00000004</v>
      </c>
      <c r="H131" s="25" t="s">
        <v>148</v>
      </c>
    </row>
    <row r="132" spans="1:17" x14ac:dyDescent="0.2">
      <c r="A132" s="40"/>
      <c r="B132" s="40"/>
      <c r="C132" s="40"/>
      <c r="D132" s="41"/>
      <c r="E132" s="41"/>
      <c r="F132" s="41"/>
      <c r="G132" s="41"/>
    </row>
    <row r="133" spans="1:17" x14ac:dyDescent="0.2">
      <c r="A133" s="42"/>
      <c r="B133" s="237" t="s">
        <v>891</v>
      </c>
      <c r="C133" s="237"/>
      <c r="D133" s="237"/>
      <c r="E133" s="237"/>
      <c r="F133" s="237"/>
      <c r="G133" s="237"/>
      <c r="H133" s="237"/>
      <c r="J133" s="44"/>
    </row>
    <row r="134" spans="1:17" x14ac:dyDescent="0.2">
      <c r="A134" s="42"/>
      <c r="B134" s="237" t="s">
        <v>892</v>
      </c>
      <c r="C134" s="237"/>
      <c r="D134" s="237"/>
      <c r="E134" s="237"/>
      <c r="F134" s="237"/>
      <c r="G134" s="237"/>
      <c r="H134" s="237"/>
      <c r="J134" s="44"/>
    </row>
    <row r="135" spans="1:17" x14ac:dyDescent="0.2">
      <c r="A135" s="42"/>
      <c r="B135" s="237" t="s">
        <v>893</v>
      </c>
      <c r="C135" s="237"/>
      <c r="D135" s="237"/>
      <c r="E135" s="237"/>
      <c r="F135" s="237"/>
      <c r="G135" s="237"/>
      <c r="H135" s="237"/>
      <c r="J135" s="44"/>
    </row>
    <row r="136" spans="1:17" s="46" customFormat="1" ht="66.75" customHeight="1" x14ac:dyDescent="0.25">
      <c r="A136" s="45"/>
      <c r="B136" s="239" t="s">
        <v>894</v>
      </c>
      <c r="C136" s="239"/>
      <c r="D136" s="239"/>
      <c r="E136" s="239"/>
      <c r="F136" s="239"/>
      <c r="G136" s="239"/>
      <c r="H136" s="239"/>
      <c r="I136"/>
      <c r="J136" s="44"/>
      <c r="K136"/>
      <c r="L136"/>
      <c r="M136"/>
      <c r="N136"/>
      <c r="O136"/>
      <c r="P136"/>
      <c r="Q136"/>
    </row>
    <row r="137" spans="1:17" x14ac:dyDescent="0.2">
      <c r="A137" s="42"/>
      <c r="B137" s="237" t="s">
        <v>895</v>
      </c>
      <c r="C137" s="237"/>
      <c r="D137" s="237"/>
      <c r="E137" s="237"/>
      <c r="F137" s="237"/>
      <c r="G137" s="237"/>
      <c r="H137" s="237"/>
      <c r="J137" s="44"/>
    </row>
    <row r="138" spans="1:17" x14ac:dyDescent="0.2">
      <c r="A138" s="47"/>
      <c r="B138" s="47"/>
      <c r="C138" s="47"/>
      <c r="D138" s="48"/>
      <c r="E138" s="48"/>
      <c r="F138" s="48"/>
      <c r="G138" s="48"/>
    </row>
    <row r="139" spans="1:17" x14ac:dyDescent="0.2">
      <c r="A139" s="47"/>
      <c r="B139" s="234" t="s">
        <v>177</v>
      </c>
      <c r="C139" s="235"/>
      <c r="D139" s="236"/>
      <c r="E139" s="49"/>
      <c r="F139" s="48"/>
      <c r="G139" s="48"/>
    </row>
    <row r="140" spans="1:17" x14ac:dyDescent="0.2">
      <c r="A140" s="47"/>
      <c r="B140" s="232" t="s">
        <v>178</v>
      </c>
      <c r="C140" s="233"/>
      <c r="D140" s="24" t="s">
        <v>179</v>
      </c>
      <c r="E140" s="49"/>
      <c r="F140" s="48"/>
      <c r="G140" s="48"/>
    </row>
    <row r="141" spans="1:17" ht="12.75" customHeight="1" x14ac:dyDescent="0.2">
      <c r="A141" s="47"/>
      <c r="B141" s="240" t="s">
        <v>897</v>
      </c>
      <c r="C141" s="241"/>
      <c r="D141" s="24" t="s">
        <v>179</v>
      </c>
      <c r="E141" s="49"/>
      <c r="F141" s="48"/>
      <c r="G141" s="48"/>
    </row>
    <row r="142" spans="1:17" x14ac:dyDescent="0.2">
      <c r="A142" s="47"/>
      <c r="B142" s="232" t="s">
        <v>181</v>
      </c>
      <c r="C142" s="233"/>
      <c r="D142" s="34" t="s">
        <v>148</v>
      </c>
      <c r="E142" s="49"/>
      <c r="F142" s="48"/>
      <c r="G142" s="48"/>
    </row>
    <row r="143" spans="1:17" x14ac:dyDescent="0.2">
      <c r="A143" s="50"/>
      <c r="B143" s="51" t="s">
        <v>148</v>
      </c>
      <c r="C143" s="51" t="s">
        <v>896</v>
      </c>
      <c r="D143" s="51" t="s">
        <v>182</v>
      </c>
      <c r="E143" s="50"/>
      <c r="F143" s="50"/>
      <c r="G143" s="50"/>
      <c r="H143" s="50"/>
      <c r="J143" s="44"/>
    </row>
    <row r="144" spans="1:17" x14ac:dyDescent="0.2">
      <c r="A144" s="50"/>
      <c r="B144" s="52" t="s">
        <v>183</v>
      </c>
      <c r="C144" s="53">
        <v>45688</v>
      </c>
      <c r="D144" s="53">
        <v>45716</v>
      </c>
      <c r="E144" s="50"/>
      <c r="F144" s="50"/>
      <c r="G144" s="50"/>
      <c r="J144" s="44"/>
    </row>
    <row r="145" spans="1:7" x14ac:dyDescent="0.2">
      <c r="A145" s="54"/>
      <c r="B145" s="27" t="s">
        <v>184</v>
      </c>
      <c r="C145" s="55">
        <v>217.9572</v>
      </c>
      <c r="D145" s="55">
        <v>203.5027</v>
      </c>
      <c r="E145" s="54"/>
      <c r="F145" s="56"/>
      <c r="G145" s="57"/>
    </row>
    <row r="146" spans="1:7" x14ac:dyDescent="0.2">
      <c r="A146" s="54"/>
      <c r="B146" s="27" t="s">
        <v>1070</v>
      </c>
      <c r="C146" s="55">
        <v>19.520499999999998</v>
      </c>
      <c r="D146" s="55">
        <v>18.225899999999999</v>
      </c>
      <c r="E146" s="54"/>
      <c r="F146" s="56"/>
      <c r="G146" s="57"/>
    </row>
    <row r="147" spans="1:7" x14ac:dyDescent="0.2">
      <c r="A147" s="54"/>
      <c r="B147" s="27" t="s">
        <v>186</v>
      </c>
      <c r="C147" s="55">
        <v>206.23859999999999</v>
      </c>
      <c r="D147" s="55">
        <v>192.4889</v>
      </c>
      <c r="E147" s="54"/>
      <c r="F147" s="56"/>
      <c r="G147" s="57"/>
    </row>
    <row r="148" spans="1:7" x14ac:dyDescent="0.2">
      <c r="A148" s="54"/>
      <c r="B148" s="27" t="s">
        <v>1071</v>
      </c>
      <c r="C148" s="55">
        <v>16.103300000000001</v>
      </c>
      <c r="D148" s="55">
        <v>15.0297</v>
      </c>
      <c r="E148" s="54"/>
      <c r="F148" s="56"/>
      <c r="G148" s="57"/>
    </row>
    <row r="149" spans="1:7" x14ac:dyDescent="0.2">
      <c r="A149" s="54"/>
      <c r="B149" s="54"/>
      <c r="C149" s="54"/>
      <c r="D149" s="54"/>
      <c r="E149" s="54"/>
      <c r="F149" s="54"/>
      <c r="G149" s="54"/>
    </row>
    <row r="150" spans="1:7" x14ac:dyDescent="0.2">
      <c r="A150" s="54"/>
      <c r="B150" s="232" t="s">
        <v>898</v>
      </c>
      <c r="C150" s="233"/>
      <c r="D150" s="58" t="s">
        <v>179</v>
      </c>
      <c r="E150" s="54"/>
      <c r="F150" s="54"/>
      <c r="G150" s="54"/>
    </row>
    <row r="151" spans="1:7" x14ac:dyDescent="0.2">
      <c r="A151" s="54"/>
      <c r="B151" s="59"/>
      <c r="C151" s="59"/>
      <c r="D151" s="59"/>
      <c r="E151" s="54"/>
      <c r="F151" s="54"/>
      <c r="G151" s="54"/>
    </row>
    <row r="152" spans="1:7" x14ac:dyDescent="0.2">
      <c r="A152" s="50"/>
      <c r="B152" s="240" t="s">
        <v>188</v>
      </c>
      <c r="C152" s="241"/>
      <c r="D152" s="58" t="s">
        <v>179</v>
      </c>
      <c r="E152" s="60"/>
      <c r="F152" s="50"/>
      <c r="G152" s="50"/>
    </row>
    <row r="153" spans="1:7" x14ac:dyDescent="0.2">
      <c r="A153" s="50"/>
      <c r="B153" s="240" t="s">
        <v>189</v>
      </c>
      <c r="C153" s="241"/>
      <c r="D153" s="58" t="s">
        <v>179</v>
      </c>
      <c r="E153" s="60"/>
      <c r="F153" s="50"/>
      <c r="G153" s="50"/>
    </row>
    <row r="154" spans="1:7" x14ac:dyDescent="0.2">
      <c r="A154" s="50"/>
      <c r="B154" s="240" t="s">
        <v>190</v>
      </c>
      <c r="C154" s="241"/>
      <c r="D154" s="58" t="s">
        <v>179</v>
      </c>
      <c r="E154" s="60"/>
      <c r="F154" s="50"/>
      <c r="G154" s="50"/>
    </row>
    <row r="155" spans="1:7" x14ac:dyDescent="0.2">
      <c r="A155" s="50"/>
      <c r="B155" s="240" t="s">
        <v>191</v>
      </c>
      <c r="C155" s="241"/>
      <c r="D155" s="61">
        <v>0.28751162682134268</v>
      </c>
      <c r="E155" s="50"/>
      <c r="F155" s="43"/>
      <c r="G155" s="62"/>
    </row>
    <row r="157" spans="1:7" x14ac:dyDescent="0.2">
      <c r="B157" s="238" t="s">
        <v>899</v>
      </c>
      <c r="C157" s="238"/>
    </row>
    <row r="159" spans="1:7" ht="153.75" customHeight="1" x14ac:dyDescent="0.2"/>
    <row r="162" spans="2:10" x14ac:dyDescent="0.2">
      <c r="B162" s="68" t="s">
        <v>900</v>
      </c>
      <c r="C162" s="69"/>
      <c r="D162" s="68" t="s">
        <v>903</v>
      </c>
    </row>
    <row r="163" spans="2:10" x14ac:dyDescent="0.2">
      <c r="B163" s="68" t="s">
        <v>1050</v>
      </c>
      <c r="D163" s="68" t="s">
        <v>1050</v>
      </c>
    </row>
    <row r="164" spans="2:10" ht="165" customHeight="1" x14ac:dyDescent="0.2"/>
    <row r="166" spans="2:10" x14ac:dyDescent="0.2">
      <c r="J166" s="22"/>
    </row>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sheetData>
  <mergeCells count="18">
    <mergeCell ref="B157:C157"/>
    <mergeCell ref="A3:H3"/>
    <mergeCell ref="A2:H2"/>
    <mergeCell ref="B155:C155"/>
    <mergeCell ref="A1:H1"/>
    <mergeCell ref="B141:C141"/>
    <mergeCell ref="B142:C142"/>
    <mergeCell ref="B150:C150"/>
    <mergeCell ref="B154:C154"/>
    <mergeCell ref="B139:D139"/>
    <mergeCell ref="B140:C140"/>
    <mergeCell ref="B133:H133"/>
    <mergeCell ref="B134:H134"/>
    <mergeCell ref="B135:H135"/>
    <mergeCell ref="B136:H136"/>
    <mergeCell ref="B137:H137"/>
    <mergeCell ref="B152:C152"/>
    <mergeCell ref="B153:C153"/>
  </mergeCells>
  <hyperlinks>
    <hyperlink ref="I1" location="Index!B2" display="Index" xr:uid="{071E7C82-9CB8-4C0F-96FC-0292EF631AB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DE72-B58D-43C6-A432-77E5269B0449}">
  <sheetPr>
    <outlinePr summaryBelow="0" summaryRight="0"/>
  </sheetPr>
  <dimension ref="A1:Q157"/>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2.42578125" bestFit="1"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818</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1839000</v>
      </c>
      <c r="F7" s="29">
        <v>31858.835999999999</v>
      </c>
      <c r="G7" s="30">
        <v>0.10186443000000001</v>
      </c>
      <c r="H7" s="25" t="s">
        <v>148</v>
      </c>
    </row>
    <row r="8" spans="1:9" x14ac:dyDescent="0.2">
      <c r="A8" s="26">
        <v>2</v>
      </c>
      <c r="B8" s="27" t="s">
        <v>26</v>
      </c>
      <c r="C8" s="27" t="s">
        <v>27</v>
      </c>
      <c r="D8" s="27" t="s">
        <v>28</v>
      </c>
      <c r="E8" s="28">
        <v>2365000</v>
      </c>
      <c r="F8" s="29">
        <v>28476.965</v>
      </c>
      <c r="G8" s="30">
        <v>9.1051350000000003E-2</v>
      </c>
      <c r="H8" s="25" t="s">
        <v>148</v>
      </c>
    </row>
    <row r="9" spans="1:9" x14ac:dyDescent="0.2">
      <c r="A9" s="26">
        <v>3</v>
      </c>
      <c r="B9" s="27" t="s">
        <v>14</v>
      </c>
      <c r="C9" s="27" t="s">
        <v>15</v>
      </c>
      <c r="D9" s="27" t="s">
        <v>16</v>
      </c>
      <c r="E9" s="28">
        <v>1504000</v>
      </c>
      <c r="F9" s="29">
        <v>18049.504000000001</v>
      </c>
      <c r="G9" s="30">
        <v>5.7710909999999997E-2</v>
      </c>
      <c r="H9" s="25" t="s">
        <v>148</v>
      </c>
    </row>
    <row r="10" spans="1:9" x14ac:dyDescent="0.2">
      <c r="A10" s="26">
        <v>4</v>
      </c>
      <c r="B10" s="27" t="s">
        <v>334</v>
      </c>
      <c r="C10" s="27" t="s">
        <v>335</v>
      </c>
      <c r="D10" s="27" t="s">
        <v>205</v>
      </c>
      <c r="E10" s="28">
        <v>1067000</v>
      </c>
      <c r="F10" s="29">
        <v>18007.758999999998</v>
      </c>
      <c r="G10" s="30">
        <v>5.7577440000000001E-2</v>
      </c>
      <c r="H10" s="25" t="s">
        <v>148</v>
      </c>
    </row>
    <row r="11" spans="1:9" x14ac:dyDescent="0.2">
      <c r="A11" s="26">
        <v>5</v>
      </c>
      <c r="B11" s="27" t="s">
        <v>17</v>
      </c>
      <c r="C11" s="27" t="s">
        <v>18</v>
      </c>
      <c r="D11" s="27" t="s">
        <v>19</v>
      </c>
      <c r="E11" s="28">
        <v>555000</v>
      </c>
      <c r="F11" s="29">
        <v>17559.3675</v>
      </c>
      <c r="G11" s="30">
        <v>5.6143770000000003E-2</v>
      </c>
      <c r="H11" s="25" t="s">
        <v>148</v>
      </c>
    </row>
    <row r="12" spans="1:9" x14ac:dyDescent="0.2">
      <c r="A12" s="26">
        <v>6</v>
      </c>
      <c r="B12" s="27" t="s">
        <v>11</v>
      </c>
      <c r="C12" s="27" t="s">
        <v>12</v>
      </c>
      <c r="D12" s="27" t="s">
        <v>13</v>
      </c>
      <c r="E12" s="28">
        <v>977000</v>
      </c>
      <c r="F12" s="29">
        <v>15340.853999999999</v>
      </c>
      <c r="G12" s="30">
        <v>4.9050360000000001E-2</v>
      </c>
      <c r="H12" s="25" t="s">
        <v>148</v>
      </c>
    </row>
    <row r="13" spans="1:9" ht="25.5" x14ac:dyDescent="0.2">
      <c r="A13" s="26">
        <v>7</v>
      </c>
      <c r="B13" s="27" t="s">
        <v>362</v>
      </c>
      <c r="C13" s="27" t="s">
        <v>363</v>
      </c>
      <c r="D13" s="27" t="s">
        <v>202</v>
      </c>
      <c r="E13" s="28">
        <v>1137987</v>
      </c>
      <c r="F13" s="29">
        <v>12705.624855</v>
      </c>
      <c r="G13" s="30">
        <v>4.0624559999999997E-2</v>
      </c>
      <c r="H13" s="25" t="s">
        <v>148</v>
      </c>
    </row>
    <row r="14" spans="1:9" x14ac:dyDescent="0.2">
      <c r="A14" s="26">
        <v>8</v>
      </c>
      <c r="B14" s="27" t="s">
        <v>450</v>
      </c>
      <c r="C14" s="27" t="s">
        <v>451</v>
      </c>
      <c r="D14" s="27" t="s">
        <v>28</v>
      </c>
      <c r="E14" s="28">
        <v>1085036</v>
      </c>
      <c r="F14" s="29">
        <v>10742.941435999999</v>
      </c>
      <c r="G14" s="30">
        <v>3.434914E-2</v>
      </c>
      <c r="H14" s="25" t="s">
        <v>148</v>
      </c>
    </row>
    <row r="15" spans="1:9" ht="25.5" x14ac:dyDescent="0.2">
      <c r="A15" s="26">
        <v>9</v>
      </c>
      <c r="B15" s="27" t="s">
        <v>340</v>
      </c>
      <c r="C15" s="27" t="s">
        <v>341</v>
      </c>
      <c r="D15" s="27" t="s">
        <v>202</v>
      </c>
      <c r="E15" s="28">
        <v>662000</v>
      </c>
      <c r="F15" s="29">
        <v>10547.315000000001</v>
      </c>
      <c r="G15" s="30">
        <v>3.3723650000000001E-2</v>
      </c>
      <c r="H15" s="25" t="s">
        <v>148</v>
      </c>
    </row>
    <row r="16" spans="1:9" x14ac:dyDescent="0.2">
      <c r="A16" s="26">
        <v>10</v>
      </c>
      <c r="B16" s="27" t="s">
        <v>336</v>
      </c>
      <c r="C16" s="27" t="s">
        <v>337</v>
      </c>
      <c r="D16" s="27" t="s">
        <v>28</v>
      </c>
      <c r="E16" s="28">
        <v>976671</v>
      </c>
      <c r="F16" s="29">
        <v>9918.5823404999992</v>
      </c>
      <c r="G16" s="30">
        <v>3.1713360000000003E-2</v>
      </c>
      <c r="H16" s="25" t="s">
        <v>148</v>
      </c>
    </row>
    <row r="17" spans="1:8" x14ac:dyDescent="0.2">
      <c r="A17" s="26">
        <v>11</v>
      </c>
      <c r="B17" s="27" t="s">
        <v>101</v>
      </c>
      <c r="C17" s="27" t="s">
        <v>102</v>
      </c>
      <c r="D17" s="27" t="s">
        <v>28</v>
      </c>
      <c r="E17" s="28">
        <v>496353</v>
      </c>
      <c r="F17" s="29">
        <v>9445.3494135000001</v>
      </c>
      <c r="G17" s="30">
        <v>3.020026E-2</v>
      </c>
      <c r="H17" s="25" t="s">
        <v>148</v>
      </c>
    </row>
    <row r="18" spans="1:8" x14ac:dyDescent="0.2">
      <c r="A18" s="26">
        <v>12</v>
      </c>
      <c r="B18" s="27" t="s">
        <v>728</v>
      </c>
      <c r="C18" s="27" t="s">
        <v>729</v>
      </c>
      <c r="D18" s="27" t="s">
        <v>270</v>
      </c>
      <c r="E18" s="28">
        <v>543333</v>
      </c>
      <c r="F18" s="29">
        <v>9187.4893635000008</v>
      </c>
      <c r="G18" s="30">
        <v>2.9375789999999999E-2</v>
      </c>
      <c r="H18" s="25" t="s">
        <v>148</v>
      </c>
    </row>
    <row r="19" spans="1:8" x14ac:dyDescent="0.2">
      <c r="A19" s="26">
        <v>13</v>
      </c>
      <c r="B19" s="27" t="s">
        <v>38</v>
      </c>
      <c r="C19" s="27" t="s">
        <v>39</v>
      </c>
      <c r="D19" s="27" t="s">
        <v>28</v>
      </c>
      <c r="E19" s="28">
        <v>1307239</v>
      </c>
      <c r="F19" s="29">
        <v>9004.2622319999991</v>
      </c>
      <c r="G19" s="30">
        <v>2.878994E-2</v>
      </c>
      <c r="H19" s="25" t="s">
        <v>148</v>
      </c>
    </row>
    <row r="20" spans="1:8" x14ac:dyDescent="0.2">
      <c r="A20" s="26">
        <v>14</v>
      </c>
      <c r="B20" s="27" t="s">
        <v>530</v>
      </c>
      <c r="C20" s="27" t="s">
        <v>531</v>
      </c>
      <c r="D20" s="27" t="s">
        <v>205</v>
      </c>
      <c r="E20" s="28">
        <v>596688</v>
      </c>
      <c r="F20" s="29">
        <v>8877.822408</v>
      </c>
      <c r="G20" s="30">
        <v>2.8385670000000002E-2</v>
      </c>
      <c r="H20" s="25" t="s">
        <v>148</v>
      </c>
    </row>
    <row r="21" spans="1:8" x14ac:dyDescent="0.2">
      <c r="A21" s="26">
        <v>15</v>
      </c>
      <c r="B21" s="27" t="s">
        <v>524</v>
      </c>
      <c r="C21" s="27" t="s">
        <v>525</v>
      </c>
      <c r="D21" s="27" t="s">
        <v>275</v>
      </c>
      <c r="E21" s="28">
        <v>66000</v>
      </c>
      <c r="F21" s="29">
        <v>7884.2610000000004</v>
      </c>
      <c r="G21" s="30">
        <v>2.5208890000000001E-2</v>
      </c>
      <c r="H21" s="25" t="s">
        <v>148</v>
      </c>
    </row>
    <row r="22" spans="1:8" x14ac:dyDescent="0.2">
      <c r="A22" s="26">
        <v>16</v>
      </c>
      <c r="B22" s="27" t="s">
        <v>437</v>
      </c>
      <c r="C22" s="27" t="s">
        <v>438</v>
      </c>
      <c r="D22" s="27" t="s">
        <v>439</v>
      </c>
      <c r="E22" s="28">
        <v>1033842</v>
      </c>
      <c r="F22" s="29">
        <v>6558.176727</v>
      </c>
      <c r="G22" s="30">
        <v>2.096891E-2</v>
      </c>
      <c r="H22" s="25" t="s">
        <v>148</v>
      </c>
    </row>
    <row r="23" spans="1:8" x14ac:dyDescent="0.2">
      <c r="A23" s="26">
        <v>17</v>
      </c>
      <c r="B23" s="27" t="s">
        <v>62</v>
      </c>
      <c r="C23" s="27" t="s">
        <v>63</v>
      </c>
      <c r="D23" s="27" t="s">
        <v>64</v>
      </c>
      <c r="E23" s="28">
        <v>145000</v>
      </c>
      <c r="F23" s="29">
        <v>6492.085</v>
      </c>
      <c r="G23" s="30">
        <v>2.0757589999999999E-2</v>
      </c>
      <c r="H23" s="25" t="s">
        <v>148</v>
      </c>
    </row>
    <row r="24" spans="1:8" x14ac:dyDescent="0.2">
      <c r="A24" s="26">
        <v>18</v>
      </c>
      <c r="B24" s="27" t="s">
        <v>756</v>
      </c>
      <c r="C24" s="27" t="s">
        <v>757</v>
      </c>
      <c r="D24" s="27" t="s">
        <v>229</v>
      </c>
      <c r="E24" s="28">
        <v>185019</v>
      </c>
      <c r="F24" s="29">
        <v>6297.9542504999999</v>
      </c>
      <c r="G24" s="30">
        <v>2.0136879999999999E-2</v>
      </c>
      <c r="H24" s="25" t="s">
        <v>148</v>
      </c>
    </row>
    <row r="25" spans="1:8" x14ac:dyDescent="0.2">
      <c r="A25" s="26">
        <v>19</v>
      </c>
      <c r="B25" s="27" t="s">
        <v>23</v>
      </c>
      <c r="C25" s="27" t="s">
        <v>24</v>
      </c>
      <c r="D25" s="27" t="s">
        <v>25</v>
      </c>
      <c r="E25" s="28">
        <v>62000</v>
      </c>
      <c r="F25" s="29">
        <v>6279.6390000000001</v>
      </c>
      <c r="G25" s="30">
        <v>2.007832E-2</v>
      </c>
      <c r="H25" s="25" t="s">
        <v>148</v>
      </c>
    </row>
    <row r="26" spans="1:8" x14ac:dyDescent="0.2">
      <c r="A26" s="26">
        <v>20</v>
      </c>
      <c r="B26" s="27" t="s">
        <v>273</v>
      </c>
      <c r="C26" s="27" t="s">
        <v>274</v>
      </c>
      <c r="D26" s="27" t="s">
        <v>275</v>
      </c>
      <c r="E26" s="28">
        <v>278803</v>
      </c>
      <c r="F26" s="29">
        <v>6204.760765</v>
      </c>
      <c r="G26" s="30">
        <v>1.9838910000000001E-2</v>
      </c>
      <c r="H26" s="25" t="s">
        <v>148</v>
      </c>
    </row>
    <row r="27" spans="1:8" x14ac:dyDescent="0.2">
      <c r="A27" s="26">
        <v>21</v>
      </c>
      <c r="B27" s="27" t="s">
        <v>20</v>
      </c>
      <c r="C27" s="27" t="s">
        <v>21</v>
      </c>
      <c r="D27" s="27" t="s">
        <v>22</v>
      </c>
      <c r="E27" s="28">
        <v>1967000</v>
      </c>
      <c r="F27" s="29">
        <v>6126.2214999999997</v>
      </c>
      <c r="G27" s="30">
        <v>1.9587790000000001E-2</v>
      </c>
      <c r="H27" s="25" t="s">
        <v>148</v>
      </c>
    </row>
    <row r="28" spans="1:8" x14ac:dyDescent="0.2">
      <c r="A28" s="26">
        <v>22</v>
      </c>
      <c r="B28" s="27" t="s">
        <v>528</v>
      </c>
      <c r="C28" s="27" t="s">
        <v>529</v>
      </c>
      <c r="D28" s="27" t="s">
        <v>275</v>
      </c>
      <c r="E28" s="28">
        <v>70454</v>
      </c>
      <c r="F28" s="29">
        <v>5567.9091660000004</v>
      </c>
      <c r="G28" s="30">
        <v>1.7802660000000001E-2</v>
      </c>
      <c r="H28" s="25" t="s">
        <v>148</v>
      </c>
    </row>
    <row r="29" spans="1:8" x14ac:dyDescent="0.2">
      <c r="A29" s="26">
        <v>23</v>
      </c>
      <c r="B29" s="27" t="s">
        <v>360</v>
      </c>
      <c r="C29" s="27" t="s">
        <v>361</v>
      </c>
      <c r="D29" s="27" t="s">
        <v>235</v>
      </c>
      <c r="E29" s="28">
        <v>1187500</v>
      </c>
      <c r="F29" s="29">
        <v>5178.09375</v>
      </c>
      <c r="G29" s="30">
        <v>1.6556270000000001E-2</v>
      </c>
      <c r="H29" s="25" t="s">
        <v>148</v>
      </c>
    </row>
    <row r="30" spans="1:8" x14ac:dyDescent="0.2">
      <c r="A30" s="26">
        <v>24</v>
      </c>
      <c r="B30" s="27" t="s">
        <v>67</v>
      </c>
      <c r="C30" s="27" t="s">
        <v>68</v>
      </c>
      <c r="D30" s="27" t="s">
        <v>69</v>
      </c>
      <c r="E30" s="28">
        <v>109075</v>
      </c>
      <c r="F30" s="29">
        <v>4910.3928875000001</v>
      </c>
      <c r="G30" s="30">
        <v>1.570034E-2</v>
      </c>
      <c r="H30" s="25" t="s">
        <v>148</v>
      </c>
    </row>
    <row r="31" spans="1:8" x14ac:dyDescent="0.2">
      <c r="A31" s="26">
        <v>25</v>
      </c>
      <c r="B31" s="27" t="s">
        <v>435</v>
      </c>
      <c r="C31" s="27" t="s">
        <v>436</v>
      </c>
      <c r="D31" s="27" t="s">
        <v>205</v>
      </c>
      <c r="E31" s="28">
        <v>285965</v>
      </c>
      <c r="F31" s="29">
        <v>4504.0917325</v>
      </c>
      <c r="G31" s="30">
        <v>1.4401239999999999E-2</v>
      </c>
      <c r="H31" s="25" t="s">
        <v>148</v>
      </c>
    </row>
    <row r="32" spans="1:8" x14ac:dyDescent="0.2">
      <c r="A32" s="26">
        <v>26</v>
      </c>
      <c r="B32" s="27" t="s">
        <v>230</v>
      </c>
      <c r="C32" s="27" t="s">
        <v>231</v>
      </c>
      <c r="D32" s="27" t="s">
        <v>232</v>
      </c>
      <c r="E32" s="28">
        <v>586911</v>
      </c>
      <c r="F32" s="29">
        <v>3674.6497709999999</v>
      </c>
      <c r="G32" s="30">
        <v>1.174921E-2</v>
      </c>
      <c r="H32" s="25" t="s">
        <v>148</v>
      </c>
    </row>
    <row r="33" spans="1:8" x14ac:dyDescent="0.2">
      <c r="A33" s="26">
        <v>27</v>
      </c>
      <c r="B33" s="27" t="s">
        <v>338</v>
      </c>
      <c r="C33" s="27" t="s">
        <v>339</v>
      </c>
      <c r="D33" s="27" t="s">
        <v>229</v>
      </c>
      <c r="E33" s="28">
        <v>1538000</v>
      </c>
      <c r="F33" s="29">
        <v>3415.8980000000001</v>
      </c>
      <c r="G33" s="30">
        <v>1.092188E-2</v>
      </c>
      <c r="H33" s="25" t="s">
        <v>148</v>
      </c>
    </row>
    <row r="34" spans="1:8" x14ac:dyDescent="0.2">
      <c r="A34" s="26">
        <v>28</v>
      </c>
      <c r="B34" s="27" t="s">
        <v>243</v>
      </c>
      <c r="C34" s="27" t="s">
        <v>244</v>
      </c>
      <c r="D34" s="27" t="s">
        <v>229</v>
      </c>
      <c r="E34" s="28">
        <v>47000</v>
      </c>
      <c r="F34" s="29">
        <v>3286.5455000000002</v>
      </c>
      <c r="G34" s="30">
        <v>1.05083E-2</v>
      </c>
      <c r="H34" s="25" t="s">
        <v>148</v>
      </c>
    </row>
    <row r="35" spans="1:8" x14ac:dyDescent="0.2">
      <c r="A35" s="26">
        <v>29</v>
      </c>
      <c r="B35" s="27" t="s">
        <v>440</v>
      </c>
      <c r="C35" s="27" t="s">
        <v>441</v>
      </c>
      <c r="D35" s="27" t="s">
        <v>270</v>
      </c>
      <c r="E35" s="28">
        <v>229431</v>
      </c>
      <c r="F35" s="29">
        <v>3282.0104550000001</v>
      </c>
      <c r="G35" s="30">
        <v>1.0493799999999999E-2</v>
      </c>
      <c r="H35" s="25" t="s">
        <v>148</v>
      </c>
    </row>
    <row r="36" spans="1:8" ht="25.5" x14ac:dyDescent="0.2">
      <c r="A36" s="26">
        <v>30</v>
      </c>
      <c r="B36" s="27" t="s">
        <v>444</v>
      </c>
      <c r="C36" s="27" t="s">
        <v>445</v>
      </c>
      <c r="D36" s="27" t="s">
        <v>217</v>
      </c>
      <c r="E36" s="28">
        <v>319989</v>
      </c>
      <c r="F36" s="29">
        <v>3083.7339929999998</v>
      </c>
      <c r="G36" s="30">
        <v>9.85983E-3</v>
      </c>
      <c r="H36" s="25" t="s">
        <v>148</v>
      </c>
    </row>
    <row r="37" spans="1:8" x14ac:dyDescent="0.2">
      <c r="A37" s="26">
        <v>31</v>
      </c>
      <c r="B37" s="27" t="s">
        <v>526</v>
      </c>
      <c r="C37" s="27" t="s">
        <v>527</v>
      </c>
      <c r="D37" s="27" t="s">
        <v>235</v>
      </c>
      <c r="E37" s="28">
        <v>237000</v>
      </c>
      <c r="F37" s="29">
        <v>3044.1464999999998</v>
      </c>
      <c r="G37" s="30">
        <v>9.7332600000000005E-3</v>
      </c>
      <c r="H37" s="25" t="s">
        <v>148</v>
      </c>
    </row>
    <row r="38" spans="1:8" x14ac:dyDescent="0.2">
      <c r="A38" s="26">
        <v>32</v>
      </c>
      <c r="B38" s="27" t="s">
        <v>370</v>
      </c>
      <c r="C38" s="27" t="s">
        <v>371</v>
      </c>
      <c r="D38" s="27" t="s">
        <v>51</v>
      </c>
      <c r="E38" s="28">
        <v>95000</v>
      </c>
      <c r="F38" s="29">
        <v>2923.3874999999998</v>
      </c>
      <c r="G38" s="30">
        <v>9.3471500000000003E-3</v>
      </c>
      <c r="H38" s="25" t="s">
        <v>148</v>
      </c>
    </row>
    <row r="39" spans="1:8" x14ac:dyDescent="0.2">
      <c r="A39" s="26">
        <v>33</v>
      </c>
      <c r="B39" s="27" t="s">
        <v>86</v>
      </c>
      <c r="C39" s="27" t="s">
        <v>87</v>
      </c>
      <c r="D39" s="27" t="s">
        <v>45</v>
      </c>
      <c r="E39" s="28">
        <v>85031</v>
      </c>
      <c r="F39" s="29">
        <v>2610.5792465</v>
      </c>
      <c r="G39" s="30">
        <v>8.3469800000000004E-3</v>
      </c>
      <c r="H39" s="25" t="s">
        <v>148</v>
      </c>
    </row>
    <row r="40" spans="1:8" x14ac:dyDescent="0.2">
      <c r="A40" s="26">
        <v>34</v>
      </c>
      <c r="B40" s="27" t="s">
        <v>323</v>
      </c>
      <c r="C40" s="27" t="s">
        <v>324</v>
      </c>
      <c r="D40" s="27" t="s">
        <v>51</v>
      </c>
      <c r="E40" s="28">
        <v>281548</v>
      </c>
      <c r="F40" s="29">
        <v>2399.6336040000001</v>
      </c>
      <c r="G40" s="30">
        <v>7.6725099999999996E-3</v>
      </c>
      <c r="H40" s="25" t="s">
        <v>148</v>
      </c>
    </row>
    <row r="41" spans="1:8" x14ac:dyDescent="0.2">
      <c r="A41" s="23"/>
      <c r="B41" s="23"/>
      <c r="C41" s="24" t="s">
        <v>147</v>
      </c>
      <c r="D41" s="23"/>
      <c r="E41" s="23" t="s">
        <v>148</v>
      </c>
      <c r="F41" s="31">
        <v>303446.84289650002</v>
      </c>
      <c r="G41" s="32">
        <v>0.97023135000000005</v>
      </c>
      <c r="H41" s="25" t="s">
        <v>148</v>
      </c>
    </row>
    <row r="42" spans="1:8" x14ac:dyDescent="0.2">
      <c r="A42" s="23"/>
      <c r="B42" s="23"/>
      <c r="C42" s="33"/>
      <c r="D42" s="23"/>
      <c r="E42" s="23"/>
      <c r="F42" s="34"/>
      <c r="G42" s="34"/>
      <c r="H42" s="25" t="s">
        <v>148</v>
      </c>
    </row>
    <row r="43" spans="1:8" x14ac:dyDescent="0.2">
      <c r="A43" s="23"/>
      <c r="B43" s="23"/>
      <c r="C43" s="24" t="s">
        <v>149</v>
      </c>
      <c r="D43" s="23"/>
      <c r="E43" s="23"/>
      <c r="F43" s="23"/>
      <c r="G43" s="23"/>
      <c r="H43" s="25" t="s">
        <v>148</v>
      </c>
    </row>
    <row r="44" spans="1:8" x14ac:dyDescent="0.2">
      <c r="A44" s="23"/>
      <c r="B44" s="23"/>
      <c r="C44" s="24" t="s">
        <v>147</v>
      </c>
      <c r="D44" s="23"/>
      <c r="E44" s="23" t="s">
        <v>148</v>
      </c>
      <c r="F44" s="35" t="s">
        <v>150</v>
      </c>
      <c r="G44" s="32">
        <v>0</v>
      </c>
      <c r="H44" s="25" t="s">
        <v>148</v>
      </c>
    </row>
    <row r="45" spans="1:8" x14ac:dyDescent="0.2">
      <c r="A45" s="23"/>
      <c r="B45" s="23"/>
      <c r="C45" s="33"/>
      <c r="D45" s="23"/>
      <c r="E45" s="23"/>
      <c r="F45" s="34"/>
      <c r="G45" s="34"/>
      <c r="H45" s="25" t="s">
        <v>148</v>
      </c>
    </row>
    <row r="46" spans="1:8" x14ac:dyDescent="0.2">
      <c r="A46" s="23"/>
      <c r="B46" s="23"/>
      <c r="C46" s="24" t="s">
        <v>151</v>
      </c>
      <c r="D46" s="23"/>
      <c r="E46" s="23"/>
      <c r="F46" s="23"/>
      <c r="G46" s="23"/>
      <c r="H46" s="25" t="s">
        <v>148</v>
      </c>
    </row>
    <row r="47" spans="1:8" x14ac:dyDescent="0.2">
      <c r="A47" s="23"/>
      <c r="B47" s="23"/>
      <c r="C47" s="24" t="s">
        <v>147</v>
      </c>
      <c r="D47" s="23"/>
      <c r="E47" s="23" t="s">
        <v>148</v>
      </c>
      <c r="F47" s="35" t="s">
        <v>150</v>
      </c>
      <c r="G47" s="32">
        <v>0</v>
      </c>
      <c r="H47" s="25" t="s">
        <v>148</v>
      </c>
    </row>
    <row r="48" spans="1:8" x14ac:dyDescent="0.2">
      <c r="A48" s="23"/>
      <c r="B48" s="23"/>
      <c r="C48" s="33"/>
      <c r="D48" s="23"/>
      <c r="E48" s="23"/>
      <c r="F48" s="34"/>
      <c r="G48" s="34"/>
      <c r="H48" s="25" t="s">
        <v>148</v>
      </c>
    </row>
    <row r="49" spans="1:8" x14ac:dyDescent="0.2">
      <c r="A49" s="23"/>
      <c r="B49" s="23"/>
      <c r="C49" s="24" t="s">
        <v>152</v>
      </c>
      <c r="D49" s="23"/>
      <c r="E49" s="23"/>
      <c r="F49" s="23"/>
      <c r="G49" s="23"/>
      <c r="H49" s="25" t="s">
        <v>148</v>
      </c>
    </row>
    <row r="50" spans="1:8" x14ac:dyDescent="0.2">
      <c r="A50" s="23"/>
      <c r="B50" s="23"/>
      <c r="C50" s="24" t="s">
        <v>147</v>
      </c>
      <c r="D50" s="23"/>
      <c r="E50" s="23" t="s">
        <v>148</v>
      </c>
      <c r="F50" s="35" t="s">
        <v>150</v>
      </c>
      <c r="G50" s="32">
        <v>0</v>
      </c>
      <c r="H50" s="25" t="s">
        <v>148</v>
      </c>
    </row>
    <row r="51" spans="1:8" x14ac:dyDescent="0.2">
      <c r="A51" s="23"/>
      <c r="B51" s="23"/>
      <c r="C51" s="33"/>
      <c r="D51" s="23"/>
      <c r="E51" s="23"/>
      <c r="F51" s="34"/>
      <c r="G51" s="34"/>
      <c r="H51" s="25" t="s">
        <v>148</v>
      </c>
    </row>
    <row r="52" spans="1:8" x14ac:dyDescent="0.2">
      <c r="A52" s="23"/>
      <c r="B52" s="23"/>
      <c r="C52" s="24" t="s">
        <v>153</v>
      </c>
      <c r="D52" s="23"/>
      <c r="E52" s="23"/>
      <c r="F52" s="34"/>
      <c r="G52" s="34"/>
      <c r="H52" s="25" t="s">
        <v>148</v>
      </c>
    </row>
    <row r="53" spans="1:8" x14ac:dyDescent="0.2">
      <c r="A53" s="23"/>
      <c r="B53" s="23"/>
      <c r="C53" s="24" t="s">
        <v>147</v>
      </c>
      <c r="D53" s="23"/>
      <c r="E53" s="23" t="s">
        <v>148</v>
      </c>
      <c r="F53" s="35" t="s">
        <v>150</v>
      </c>
      <c r="G53" s="32">
        <v>0</v>
      </c>
      <c r="H53" s="25" t="s">
        <v>148</v>
      </c>
    </row>
    <row r="54" spans="1:8" x14ac:dyDescent="0.2">
      <c r="A54" s="23"/>
      <c r="B54" s="23"/>
      <c r="C54" s="33"/>
      <c r="D54" s="23"/>
      <c r="E54" s="23"/>
      <c r="F54" s="34"/>
      <c r="G54" s="34"/>
      <c r="H54" s="25" t="s">
        <v>148</v>
      </c>
    </row>
    <row r="55" spans="1:8" x14ac:dyDescent="0.2">
      <c r="A55" s="23"/>
      <c r="B55" s="23"/>
      <c r="C55" s="24" t="s">
        <v>154</v>
      </c>
      <c r="D55" s="23"/>
      <c r="E55" s="23"/>
      <c r="F55" s="34"/>
      <c r="G55" s="34"/>
      <c r="H55" s="25" t="s">
        <v>148</v>
      </c>
    </row>
    <row r="56" spans="1:8" x14ac:dyDescent="0.2">
      <c r="A56" s="23"/>
      <c r="B56" s="23"/>
      <c r="C56" s="24" t="s">
        <v>147</v>
      </c>
      <c r="D56" s="23"/>
      <c r="E56" s="23" t="s">
        <v>148</v>
      </c>
      <c r="F56" s="35" t="s">
        <v>150</v>
      </c>
      <c r="G56" s="32">
        <v>0</v>
      </c>
      <c r="H56" s="25" t="s">
        <v>148</v>
      </c>
    </row>
    <row r="57" spans="1:8" x14ac:dyDescent="0.2">
      <c r="A57" s="23"/>
      <c r="B57" s="23"/>
      <c r="C57" s="33"/>
      <c r="D57" s="23"/>
      <c r="E57" s="23"/>
      <c r="F57" s="34"/>
      <c r="G57" s="34"/>
      <c r="H57" s="25" t="s">
        <v>148</v>
      </c>
    </row>
    <row r="58" spans="1:8" x14ac:dyDescent="0.2">
      <c r="A58" s="23"/>
      <c r="B58" s="23"/>
      <c r="C58" s="24" t="s">
        <v>155</v>
      </c>
      <c r="D58" s="23"/>
      <c r="E58" s="23"/>
      <c r="F58" s="31">
        <v>303446.84289650002</v>
      </c>
      <c r="G58" s="32">
        <v>0.97023135000000005</v>
      </c>
      <c r="H58" s="25" t="s">
        <v>148</v>
      </c>
    </row>
    <row r="59" spans="1:8" x14ac:dyDescent="0.2">
      <c r="A59" s="23"/>
      <c r="B59" s="23"/>
      <c r="C59" s="33"/>
      <c r="D59" s="23"/>
      <c r="E59" s="23"/>
      <c r="F59" s="34"/>
      <c r="G59" s="34"/>
      <c r="H59" s="25" t="s">
        <v>148</v>
      </c>
    </row>
    <row r="60" spans="1:8" x14ac:dyDescent="0.2">
      <c r="A60" s="23"/>
      <c r="B60" s="23"/>
      <c r="C60" s="24" t="s">
        <v>156</v>
      </c>
      <c r="D60" s="23"/>
      <c r="E60" s="23"/>
      <c r="F60" s="34"/>
      <c r="G60" s="34"/>
      <c r="H60" s="25" t="s">
        <v>148</v>
      </c>
    </row>
    <row r="61" spans="1:8" x14ac:dyDescent="0.2">
      <c r="A61" s="23"/>
      <c r="B61" s="23"/>
      <c r="C61" s="24" t="s">
        <v>10</v>
      </c>
      <c r="D61" s="23"/>
      <c r="E61" s="23"/>
      <c r="F61" s="34"/>
      <c r="G61" s="34"/>
      <c r="H61" s="25" t="s">
        <v>148</v>
      </c>
    </row>
    <row r="62" spans="1:8" x14ac:dyDescent="0.2">
      <c r="A62" s="23"/>
      <c r="B62" s="23"/>
      <c r="C62" s="24" t="s">
        <v>147</v>
      </c>
      <c r="D62" s="23"/>
      <c r="E62" s="23" t="s">
        <v>148</v>
      </c>
      <c r="F62" s="35" t="s">
        <v>150</v>
      </c>
      <c r="G62" s="32">
        <v>0</v>
      </c>
      <c r="H62" s="25" t="s">
        <v>148</v>
      </c>
    </row>
    <row r="63" spans="1:8" x14ac:dyDescent="0.2">
      <c r="A63" s="23"/>
      <c r="B63" s="23"/>
      <c r="C63" s="33"/>
      <c r="D63" s="23"/>
      <c r="E63" s="23"/>
      <c r="F63" s="34"/>
      <c r="G63" s="34"/>
      <c r="H63" s="25" t="s">
        <v>148</v>
      </c>
    </row>
    <row r="64" spans="1:8" x14ac:dyDescent="0.2">
      <c r="A64" s="23"/>
      <c r="B64" s="23"/>
      <c r="C64" s="24" t="s">
        <v>157</v>
      </c>
      <c r="D64" s="23"/>
      <c r="E64" s="23"/>
      <c r="F64" s="23"/>
      <c r="G64" s="23"/>
      <c r="H64" s="25" t="s">
        <v>148</v>
      </c>
    </row>
    <row r="65" spans="1:8" x14ac:dyDescent="0.2">
      <c r="A65" s="23"/>
      <c r="B65" s="23"/>
      <c r="C65" s="24" t="s">
        <v>147</v>
      </c>
      <c r="D65" s="23"/>
      <c r="E65" s="23" t="s">
        <v>148</v>
      </c>
      <c r="F65" s="35" t="s">
        <v>150</v>
      </c>
      <c r="G65" s="32">
        <v>0</v>
      </c>
      <c r="H65" s="25" t="s">
        <v>148</v>
      </c>
    </row>
    <row r="66" spans="1:8" x14ac:dyDescent="0.2">
      <c r="A66" s="23"/>
      <c r="B66" s="23"/>
      <c r="C66" s="33"/>
      <c r="D66" s="23"/>
      <c r="E66" s="23"/>
      <c r="F66" s="34"/>
      <c r="G66" s="34"/>
      <c r="H66" s="25" t="s">
        <v>148</v>
      </c>
    </row>
    <row r="67" spans="1:8" x14ac:dyDescent="0.2">
      <c r="A67" s="23"/>
      <c r="B67" s="23"/>
      <c r="C67" s="24" t="s">
        <v>158</v>
      </c>
      <c r="D67" s="23"/>
      <c r="E67" s="23"/>
      <c r="F67" s="23"/>
      <c r="G67" s="23"/>
      <c r="H67" s="25" t="s">
        <v>148</v>
      </c>
    </row>
    <row r="68" spans="1:8" x14ac:dyDescent="0.2">
      <c r="A68" s="23"/>
      <c r="B68" s="23"/>
      <c r="C68" s="24" t="s">
        <v>147</v>
      </c>
      <c r="D68" s="23"/>
      <c r="E68" s="23" t="s">
        <v>148</v>
      </c>
      <c r="F68" s="35" t="s">
        <v>150</v>
      </c>
      <c r="G68" s="32">
        <v>0</v>
      </c>
      <c r="H68" s="25" t="s">
        <v>148</v>
      </c>
    </row>
    <row r="69" spans="1:8" x14ac:dyDescent="0.2">
      <c r="A69" s="23"/>
      <c r="B69" s="23"/>
      <c r="C69" s="33"/>
      <c r="D69" s="23"/>
      <c r="E69" s="23"/>
      <c r="F69" s="34"/>
      <c r="G69" s="34"/>
      <c r="H69" s="25" t="s">
        <v>148</v>
      </c>
    </row>
    <row r="70" spans="1:8" x14ac:dyDescent="0.2">
      <c r="A70" s="23"/>
      <c r="B70" s="23"/>
      <c r="C70" s="24" t="s">
        <v>159</v>
      </c>
      <c r="D70" s="23"/>
      <c r="E70" s="23"/>
      <c r="F70" s="34"/>
      <c r="G70" s="34"/>
      <c r="H70" s="25" t="s">
        <v>148</v>
      </c>
    </row>
    <row r="71" spans="1:8" x14ac:dyDescent="0.2">
      <c r="A71" s="23"/>
      <c r="B71" s="23"/>
      <c r="C71" s="24" t="s">
        <v>147</v>
      </c>
      <c r="D71" s="23"/>
      <c r="E71" s="23" t="s">
        <v>148</v>
      </c>
      <c r="F71" s="35" t="s">
        <v>150</v>
      </c>
      <c r="G71" s="32">
        <v>0</v>
      </c>
      <c r="H71" s="25" t="s">
        <v>148</v>
      </c>
    </row>
    <row r="72" spans="1:8" x14ac:dyDescent="0.2">
      <c r="A72" s="23"/>
      <c r="B72" s="23"/>
      <c r="C72" s="33"/>
      <c r="D72" s="23"/>
      <c r="E72" s="23"/>
      <c r="F72" s="34"/>
      <c r="G72" s="34"/>
      <c r="H72" s="25" t="s">
        <v>148</v>
      </c>
    </row>
    <row r="73" spans="1:8" x14ac:dyDescent="0.2">
      <c r="A73" s="23"/>
      <c r="B73" s="23"/>
      <c r="C73" s="24" t="s">
        <v>160</v>
      </c>
      <c r="D73" s="23"/>
      <c r="E73" s="23"/>
      <c r="F73" s="31">
        <v>0</v>
      </c>
      <c r="G73" s="32">
        <v>0</v>
      </c>
      <c r="H73" s="25" t="s">
        <v>148</v>
      </c>
    </row>
    <row r="74" spans="1:8" x14ac:dyDescent="0.2">
      <c r="A74" s="23"/>
      <c r="B74" s="23"/>
      <c r="C74" s="33"/>
      <c r="D74" s="23"/>
      <c r="E74" s="23"/>
      <c r="F74" s="34"/>
      <c r="G74" s="34"/>
      <c r="H74" s="25" t="s">
        <v>148</v>
      </c>
    </row>
    <row r="75" spans="1:8" x14ac:dyDescent="0.2">
      <c r="A75" s="23"/>
      <c r="B75" s="23"/>
      <c r="C75" s="24" t="s">
        <v>161</v>
      </c>
      <c r="D75" s="23"/>
      <c r="E75" s="23"/>
      <c r="F75" s="34"/>
      <c r="G75" s="34"/>
      <c r="H75" s="25" t="s">
        <v>148</v>
      </c>
    </row>
    <row r="76" spans="1:8" x14ac:dyDescent="0.2">
      <c r="A76" s="23"/>
      <c r="B76" s="23"/>
      <c r="C76" s="24" t="s">
        <v>162</v>
      </c>
      <c r="D76" s="23"/>
      <c r="E76" s="23"/>
      <c r="F76" s="34"/>
      <c r="G76" s="34"/>
      <c r="H76" s="25" t="s">
        <v>148</v>
      </c>
    </row>
    <row r="77" spans="1:8" x14ac:dyDescent="0.2">
      <c r="A77" s="23"/>
      <c r="B77" s="23"/>
      <c r="C77" s="24" t="s">
        <v>147</v>
      </c>
      <c r="D77" s="23"/>
      <c r="E77" s="23" t="s">
        <v>148</v>
      </c>
      <c r="F77" s="35" t="s">
        <v>150</v>
      </c>
      <c r="G77" s="32">
        <v>0</v>
      </c>
      <c r="H77" s="25" t="s">
        <v>148</v>
      </c>
    </row>
    <row r="78" spans="1:8" x14ac:dyDescent="0.2">
      <c r="A78" s="23"/>
      <c r="B78" s="23"/>
      <c r="C78" s="33"/>
      <c r="D78" s="23"/>
      <c r="E78" s="23"/>
      <c r="F78" s="34"/>
      <c r="G78" s="34"/>
      <c r="H78" s="25" t="s">
        <v>148</v>
      </c>
    </row>
    <row r="79" spans="1:8" x14ac:dyDescent="0.2">
      <c r="A79" s="23"/>
      <c r="B79" s="23"/>
      <c r="C79" s="24" t="s">
        <v>163</v>
      </c>
      <c r="D79" s="23"/>
      <c r="E79" s="23"/>
      <c r="F79" s="34"/>
      <c r="G79" s="34"/>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164</v>
      </c>
      <c r="D82" s="23"/>
      <c r="E82" s="23"/>
      <c r="F82" s="34"/>
      <c r="G82" s="34"/>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165</v>
      </c>
      <c r="D85" s="23"/>
      <c r="E85" s="23"/>
      <c r="F85" s="34"/>
      <c r="G85" s="34"/>
      <c r="H85" s="25" t="s">
        <v>148</v>
      </c>
    </row>
    <row r="86" spans="1:8" x14ac:dyDescent="0.2">
      <c r="A86" s="26">
        <v>1</v>
      </c>
      <c r="B86" s="27"/>
      <c r="C86" s="27" t="s">
        <v>166</v>
      </c>
      <c r="D86" s="27"/>
      <c r="E86" s="36"/>
      <c r="F86" s="29">
        <v>5136.5769136139997</v>
      </c>
      <c r="G86" s="30">
        <v>1.6423529999999999E-2</v>
      </c>
      <c r="H86" s="25">
        <v>6.23</v>
      </c>
    </row>
    <row r="87" spans="1:8" x14ac:dyDescent="0.2">
      <c r="A87" s="23"/>
      <c r="B87" s="23"/>
      <c r="C87" s="24" t="s">
        <v>147</v>
      </c>
      <c r="D87" s="23"/>
      <c r="E87" s="23" t="s">
        <v>148</v>
      </c>
      <c r="F87" s="31">
        <v>5136.5769136139997</v>
      </c>
      <c r="G87" s="32">
        <v>1.6423529999999999E-2</v>
      </c>
      <c r="H87" s="25" t="s">
        <v>148</v>
      </c>
    </row>
    <row r="88" spans="1:8" x14ac:dyDescent="0.2">
      <c r="A88" s="23"/>
      <c r="B88" s="23"/>
      <c r="C88" s="33"/>
      <c r="D88" s="23"/>
      <c r="E88" s="23"/>
      <c r="F88" s="34"/>
      <c r="G88" s="34"/>
      <c r="H88" s="25" t="s">
        <v>148</v>
      </c>
    </row>
    <row r="89" spans="1:8" x14ac:dyDescent="0.2">
      <c r="A89" s="23"/>
      <c r="B89" s="23"/>
      <c r="C89" s="24" t="s">
        <v>167</v>
      </c>
      <c r="D89" s="23"/>
      <c r="E89" s="23"/>
      <c r="F89" s="31">
        <v>5136.5769136139997</v>
      </c>
      <c r="G89" s="32">
        <v>1.6423529999999999E-2</v>
      </c>
      <c r="H89" s="25" t="s">
        <v>148</v>
      </c>
    </row>
    <row r="90" spans="1:8" x14ac:dyDescent="0.2">
      <c r="A90" s="23"/>
      <c r="B90" s="23"/>
      <c r="C90" s="34"/>
      <c r="D90" s="23"/>
      <c r="E90" s="23"/>
      <c r="F90" s="23"/>
      <c r="G90" s="23"/>
      <c r="H90" s="25" t="s">
        <v>148</v>
      </c>
    </row>
    <row r="91" spans="1:8" x14ac:dyDescent="0.2">
      <c r="A91" s="23"/>
      <c r="B91" s="23"/>
      <c r="C91" s="24" t="s">
        <v>168</v>
      </c>
      <c r="D91" s="23"/>
      <c r="E91" s="23"/>
      <c r="F91" s="23"/>
      <c r="G91" s="23"/>
      <c r="H91" s="25" t="s">
        <v>148</v>
      </c>
    </row>
    <row r="92" spans="1:8" x14ac:dyDescent="0.2">
      <c r="A92" s="23"/>
      <c r="B92" s="23"/>
      <c r="C92" s="24" t="s">
        <v>169</v>
      </c>
      <c r="D92" s="23"/>
      <c r="E92" s="23"/>
      <c r="F92" s="23"/>
      <c r="G92" s="23"/>
      <c r="H92" s="25" t="s">
        <v>148</v>
      </c>
    </row>
    <row r="93" spans="1:8" ht="25.5" x14ac:dyDescent="0.2">
      <c r="A93" s="26">
        <v>1</v>
      </c>
      <c r="B93" s="27" t="s">
        <v>170</v>
      </c>
      <c r="C93" s="27" t="s">
        <v>171</v>
      </c>
      <c r="D93" s="27"/>
      <c r="E93" s="37">
        <v>34095636.308200002</v>
      </c>
      <c r="F93" s="29">
        <v>5002.989098047</v>
      </c>
      <c r="G93" s="30">
        <v>1.5996400000000001E-2</v>
      </c>
      <c r="H93" s="25" t="s">
        <v>148</v>
      </c>
    </row>
    <row r="94" spans="1:8" x14ac:dyDescent="0.2">
      <c r="A94" s="23"/>
      <c r="B94" s="23"/>
      <c r="C94" s="24" t="s">
        <v>147</v>
      </c>
      <c r="D94" s="23"/>
      <c r="E94" s="23" t="s">
        <v>148</v>
      </c>
      <c r="F94" s="31">
        <v>5002.989098047</v>
      </c>
      <c r="G94" s="32">
        <v>1.5996400000000001E-2</v>
      </c>
      <c r="H94" s="25" t="s">
        <v>148</v>
      </c>
    </row>
    <row r="95" spans="1:8" x14ac:dyDescent="0.2">
      <c r="A95" s="23"/>
      <c r="B95" s="23"/>
      <c r="C95" s="33"/>
      <c r="D95" s="23"/>
      <c r="E95" s="23"/>
      <c r="F95" s="34"/>
      <c r="G95" s="34"/>
      <c r="H95" s="25" t="s">
        <v>148</v>
      </c>
    </row>
    <row r="96" spans="1:8" x14ac:dyDescent="0.2">
      <c r="A96" s="23"/>
      <c r="B96" s="23"/>
      <c r="C96" s="24" t="s">
        <v>172</v>
      </c>
      <c r="D96" s="23"/>
      <c r="E96" s="23"/>
      <c r="F96" s="23"/>
      <c r="G96" s="23"/>
      <c r="H96" s="25" t="s">
        <v>148</v>
      </c>
    </row>
    <row r="97" spans="1:17" x14ac:dyDescent="0.2">
      <c r="A97" s="23"/>
      <c r="B97" s="23"/>
      <c r="C97" s="24" t="s">
        <v>173</v>
      </c>
      <c r="D97" s="23"/>
      <c r="E97" s="23"/>
      <c r="F97" s="23"/>
      <c r="G97" s="23"/>
      <c r="H97" s="25" t="s">
        <v>148</v>
      </c>
    </row>
    <row r="98" spans="1:17" x14ac:dyDescent="0.2">
      <c r="A98" s="23"/>
      <c r="B98" s="23"/>
      <c r="C98" s="24" t="s">
        <v>147</v>
      </c>
      <c r="D98" s="23"/>
      <c r="E98" s="23" t="s">
        <v>148</v>
      </c>
      <c r="F98" s="35" t="s">
        <v>150</v>
      </c>
      <c r="G98" s="32">
        <v>0</v>
      </c>
      <c r="H98" s="25" t="s">
        <v>148</v>
      </c>
    </row>
    <row r="99" spans="1:17" x14ac:dyDescent="0.2">
      <c r="A99" s="23"/>
      <c r="B99" s="23"/>
      <c r="C99" s="33"/>
      <c r="D99" s="23"/>
      <c r="E99" s="23"/>
      <c r="F99" s="34"/>
      <c r="G99" s="34"/>
      <c r="H99" s="25" t="s">
        <v>148</v>
      </c>
    </row>
    <row r="100" spans="1:17" x14ac:dyDescent="0.2">
      <c r="A100" s="23"/>
      <c r="B100" s="23"/>
      <c r="C100" s="24" t="s">
        <v>174</v>
      </c>
      <c r="D100" s="23"/>
      <c r="E100" s="23"/>
      <c r="F100" s="34"/>
      <c r="G100" s="34"/>
      <c r="H100" s="25" t="s">
        <v>148</v>
      </c>
    </row>
    <row r="101" spans="1:17" x14ac:dyDescent="0.2">
      <c r="A101" s="23"/>
      <c r="B101" s="23"/>
      <c r="C101" s="24" t="s">
        <v>147</v>
      </c>
      <c r="D101" s="23"/>
      <c r="E101" s="23" t="s">
        <v>148</v>
      </c>
      <c r="F101" s="35" t="s">
        <v>150</v>
      </c>
      <c r="G101" s="32">
        <v>0</v>
      </c>
      <c r="H101" s="25" t="s">
        <v>148</v>
      </c>
    </row>
    <row r="102" spans="1:17" x14ac:dyDescent="0.2">
      <c r="A102" s="23"/>
      <c r="B102" s="27"/>
      <c r="C102" s="27"/>
      <c r="D102" s="24"/>
      <c r="E102" s="23"/>
      <c r="F102" s="27"/>
      <c r="G102" s="36"/>
      <c r="H102" s="25" t="s">
        <v>148</v>
      </c>
    </row>
    <row r="103" spans="1:17" x14ac:dyDescent="0.2">
      <c r="A103" s="36"/>
      <c r="B103" s="27"/>
      <c r="C103" s="27" t="s">
        <v>175</v>
      </c>
      <c r="D103" s="27"/>
      <c r="E103" s="36"/>
      <c r="F103" s="29">
        <v>-829.1962006</v>
      </c>
      <c r="G103" s="30">
        <v>-2.65125E-3</v>
      </c>
      <c r="H103" s="25" t="s">
        <v>148</v>
      </c>
    </row>
    <row r="104" spans="1:17" x14ac:dyDescent="0.2">
      <c r="A104" s="33"/>
      <c r="B104" s="33"/>
      <c r="C104" s="24" t="s">
        <v>176</v>
      </c>
      <c r="D104" s="34"/>
      <c r="E104" s="34"/>
      <c r="F104" s="31">
        <v>312757.21270756098</v>
      </c>
      <c r="G104" s="39">
        <v>1.00000003</v>
      </c>
      <c r="H104" s="25" t="s">
        <v>148</v>
      </c>
    </row>
    <row r="105" spans="1:17" x14ac:dyDescent="0.2">
      <c r="A105" s="40"/>
      <c r="B105" s="40"/>
      <c r="C105" s="40"/>
      <c r="D105" s="41"/>
      <c r="E105" s="41"/>
      <c r="F105" s="41"/>
      <c r="G105" s="41"/>
    </row>
    <row r="106" spans="1:17" x14ac:dyDescent="0.2">
      <c r="A106" s="42"/>
      <c r="B106" s="237" t="s">
        <v>891</v>
      </c>
      <c r="C106" s="237"/>
      <c r="D106" s="237"/>
      <c r="E106" s="237"/>
      <c r="F106" s="237"/>
      <c r="G106" s="237"/>
      <c r="H106" s="237"/>
      <c r="J106" s="44"/>
    </row>
    <row r="107" spans="1:17" x14ac:dyDescent="0.2">
      <c r="A107" s="42"/>
      <c r="B107" s="237" t="s">
        <v>892</v>
      </c>
      <c r="C107" s="237"/>
      <c r="D107" s="237"/>
      <c r="E107" s="237"/>
      <c r="F107" s="237"/>
      <c r="G107" s="237"/>
      <c r="H107" s="237"/>
      <c r="J107" s="44"/>
    </row>
    <row r="108" spans="1:17" x14ac:dyDescent="0.2">
      <c r="A108" s="42"/>
      <c r="B108" s="237" t="s">
        <v>893</v>
      </c>
      <c r="C108" s="237"/>
      <c r="D108" s="237"/>
      <c r="E108" s="237"/>
      <c r="F108" s="237"/>
      <c r="G108" s="237"/>
      <c r="H108" s="237"/>
      <c r="J108" s="44"/>
    </row>
    <row r="109" spans="1:17" s="46" customFormat="1" ht="66.75" customHeight="1" x14ac:dyDescent="0.25">
      <c r="A109" s="45"/>
      <c r="B109" s="239" t="s">
        <v>894</v>
      </c>
      <c r="C109" s="239"/>
      <c r="D109" s="239"/>
      <c r="E109" s="239"/>
      <c r="F109" s="239"/>
      <c r="G109" s="239"/>
      <c r="H109" s="239"/>
      <c r="I109"/>
      <c r="J109" s="44"/>
      <c r="K109"/>
      <c r="L109"/>
      <c r="M109"/>
      <c r="N109"/>
      <c r="O109"/>
      <c r="P109"/>
      <c r="Q109"/>
    </row>
    <row r="110" spans="1:17" x14ac:dyDescent="0.2">
      <c r="A110" s="42"/>
      <c r="B110" s="237" t="s">
        <v>895</v>
      </c>
      <c r="C110" s="237"/>
      <c r="D110" s="237"/>
      <c r="E110" s="237"/>
      <c r="F110" s="237"/>
      <c r="G110" s="237"/>
      <c r="H110" s="237"/>
      <c r="J110" s="44"/>
    </row>
    <row r="111" spans="1:17" x14ac:dyDescent="0.2">
      <c r="A111" s="47"/>
      <c r="B111" s="47"/>
      <c r="C111" s="47"/>
      <c r="D111" s="48"/>
      <c r="E111" s="48"/>
      <c r="F111" s="48"/>
      <c r="G111" s="48"/>
    </row>
    <row r="112" spans="1:17" x14ac:dyDescent="0.2">
      <c r="A112" s="47"/>
      <c r="B112" s="234" t="s">
        <v>177</v>
      </c>
      <c r="C112" s="235"/>
      <c r="D112" s="236"/>
      <c r="E112" s="49"/>
      <c r="F112" s="48"/>
      <c r="G112" s="48"/>
    </row>
    <row r="113" spans="1:10" x14ac:dyDescent="0.2">
      <c r="A113" s="47"/>
      <c r="B113" s="232" t="s">
        <v>178</v>
      </c>
      <c r="C113" s="233"/>
      <c r="D113" s="24" t="s">
        <v>179</v>
      </c>
      <c r="E113" s="49"/>
      <c r="F113" s="48"/>
      <c r="G113" s="48"/>
    </row>
    <row r="114" spans="1:10" ht="12.75" customHeight="1" x14ac:dyDescent="0.2">
      <c r="A114" s="47"/>
      <c r="B114" s="240" t="s">
        <v>897</v>
      </c>
      <c r="C114" s="241"/>
      <c r="D114" s="24" t="s">
        <v>179</v>
      </c>
      <c r="E114" s="49"/>
      <c r="F114" s="48"/>
      <c r="G114" s="48"/>
    </row>
    <row r="115" spans="1:10" x14ac:dyDescent="0.2">
      <c r="A115" s="47"/>
      <c r="B115" s="232" t="s">
        <v>181</v>
      </c>
      <c r="C115" s="233"/>
      <c r="D115" s="34" t="s">
        <v>148</v>
      </c>
      <c r="E115" s="49"/>
      <c r="F115" s="48"/>
      <c r="G115" s="48"/>
    </row>
    <row r="116" spans="1:10" x14ac:dyDescent="0.2">
      <c r="A116" s="50"/>
      <c r="B116" s="51" t="s">
        <v>148</v>
      </c>
      <c r="C116" s="51" t="s">
        <v>896</v>
      </c>
      <c r="D116" s="51" t="s">
        <v>182</v>
      </c>
      <c r="E116" s="50"/>
      <c r="F116" s="50"/>
      <c r="G116" s="50"/>
      <c r="H116" s="50"/>
      <c r="J116" s="44"/>
    </row>
    <row r="117" spans="1:10" x14ac:dyDescent="0.2">
      <c r="A117" s="50"/>
      <c r="B117" s="52" t="s">
        <v>183</v>
      </c>
      <c r="C117" s="53">
        <v>45688</v>
      </c>
      <c r="D117" s="53">
        <v>45716</v>
      </c>
      <c r="E117" s="50"/>
      <c r="F117" s="50"/>
      <c r="G117" s="50"/>
      <c r="J117" s="44"/>
    </row>
    <row r="118" spans="1:10" x14ac:dyDescent="0.2">
      <c r="A118" s="54"/>
      <c r="B118" s="27" t="s">
        <v>184</v>
      </c>
      <c r="C118" s="55">
        <v>21.5654</v>
      </c>
      <c r="D118" s="55">
        <v>20.378</v>
      </c>
      <c r="E118" s="54"/>
      <c r="F118" s="56"/>
      <c r="G118" s="57"/>
    </row>
    <row r="119" spans="1:10" x14ac:dyDescent="0.2">
      <c r="A119" s="54"/>
      <c r="B119" s="27" t="s">
        <v>1070</v>
      </c>
      <c r="C119" s="55">
        <v>18.048999999999999</v>
      </c>
      <c r="D119" s="55">
        <v>17.055099999999999</v>
      </c>
      <c r="E119" s="54"/>
      <c r="F119" s="56"/>
      <c r="G119" s="57"/>
    </row>
    <row r="120" spans="1:10" x14ac:dyDescent="0.2">
      <c r="A120" s="54"/>
      <c r="B120" s="27" t="s">
        <v>186</v>
      </c>
      <c r="C120" s="55">
        <v>20.204599999999999</v>
      </c>
      <c r="D120" s="55">
        <v>19.073599999999999</v>
      </c>
      <c r="E120" s="54"/>
      <c r="F120" s="56"/>
      <c r="G120" s="57"/>
    </row>
    <row r="121" spans="1:10" x14ac:dyDescent="0.2">
      <c r="A121" s="54"/>
      <c r="B121" s="27" t="s">
        <v>1071</v>
      </c>
      <c r="C121" s="55">
        <v>16.893599999999999</v>
      </c>
      <c r="D121" s="55">
        <v>15.948</v>
      </c>
      <c r="E121" s="54"/>
      <c r="F121" s="56"/>
      <c r="G121" s="57"/>
    </row>
    <row r="122" spans="1:10" x14ac:dyDescent="0.2">
      <c r="A122" s="54"/>
      <c r="B122" s="54"/>
      <c r="C122" s="54"/>
      <c r="D122" s="54"/>
      <c r="E122" s="54"/>
      <c r="F122" s="54"/>
      <c r="G122" s="54"/>
    </row>
    <row r="123" spans="1:10" x14ac:dyDescent="0.2">
      <c r="A123" s="50"/>
      <c r="B123" s="240" t="s">
        <v>898</v>
      </c>
      <c r="C123" s="241"/>
      <c r="D123" s="58" t="s">
        <v>179</v>
      </c>
      <c r="E123" s="50"/>
      <c r="F123" s="50"/>
      <c r="G123" s="50"/>
    </row>
    <row r="124" spans="1:10" x14ac:dyDescent="0.2">
      <c r="A124" s="50"/>
      <c r="B124" s="59"/>
      <c r="C124" s="59"/>
      <c r="D124" s="59"/>
      <c r="E124" s="50"/>
      <c r="F124" s="50"/>
      <c r="G124" s="50"/>
    </row>
    <row r="125" spans="1:10" x14ac:dyDescent="0.2">
      <c r="A125" s="50"/>
      <c r="B125" s="240" t="s">
        <v>188</v>
      </c>
      <c r="C125" s="241"/>
      <c r="D125" s="58" t="s">
        <v>179</v>
      </c>
      <c r="E125" s="60"/>
      <c r="F125" s="50"/>
      <c r="G125" s="50"/>
    </row>
    <row r="126" spans="1:10" x14ac:dyDescent="0.2">
      <c r="A126" s="50"/>
      <c r="B126" s="240" t="s">
        <v>189</v>
      </c>
      <c r="C126" s="241"/>
      <c r="D126" s="58" t="s">
        <v>179</v>
      </c>
      <c r="E126" s="60"/>
      <c r="F126" s="50"/>
      <c r="G126" s="50"/>
    </row>
    <row r="127" spans="1:10" x14ac:dyDescent="0.2">
      <c r="A127" s="50"/>
      <c r="B127" s="240" t="s">
        <v>190</v>
      </c>
      <c r="C127" s="241"/>
      <c r="D127" s="58" t="s">
        <v>179</v>
      </c>
      <c r="E127" s="60"/>
      <c r="F127" s="50"/>
      <c r="G127" s="50"/>
    </row>
    <row r="128" spans="1:10" x14ac:dyDescent="0.2">
      <c r="A128" s="50"/>
      <c r="B128" s="240" t="s">
        <v>191</v>
      </c>
      <c r="C128" s="241"/>
      <c r="D128" s="61">
        <v>0.3485595295875169</v>
      </c>
      <c r="E128" s="50"/>
      <c r="F128" s="43"/>
      <c r="G128" s="62"/>
    </row>
    <row r="130" spans="2:10" x14ac:dyDescent="0.2">
      <c r="B130" s="238" t="s">
        <v>899</v>
      </c>
      <c r="C130" s="238"/>
    </row>
    <row r="132" spans="2:10" ht="153.75" customHeight="1" x14ac:dyDescent="0.2"/>
    <row r="135" spans="2:10" x14ac:dyDescent="0.2">
      <c r="B135" s="68" t="s">
        <v>900</v>
      </c>
      <c r="C135" s="69"/>
      <c r="D135" s="68" t="s">
        <v>903</v>
      </c>
    </row>
    <row r="136" spans="2:10" x14ac:dyDescent="0.2">
      <c r="B136" s="68" t="s">
        <v>1051</v>
      </c>
      <c r="D136" s="68" t="s">
        <v>1051</v>
      </c>
    </row>
    <row r="137" spans="2:10" ht="165" customHeight="1" x14ac:dyDescent="0.2"/>
    <row r="139" spans="2:10" x14ac:dyDescent="0.2">
      <c r="J139" s="22"/>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sheetData>
  <mergeCells count="18">
    <mergeCell ref="B130:C130"/>
    <mergeCell ref="A3:H3"/>
    <mergeCell ref="A2:H2"/>
    <mergeCell ref="B128:C128"/>
    <mergeCell ref="A1:H1"/>
    <mergeCell ref="B114:C114"/>
    <mergeCell ref="B115:C115"/>
    <mergeCell ref="B123:C123"/>
    <mergeCell ref="B127:C127"/>
    <mergeCell ref="B112:D112"/>
    <mergeCell ref="B113:C113"/>
    <mergeCell ref="B106:H106"/>
    <mergeCell ref="B107:H107"/>
    <mergeCell ref="B108:H108"/>
    <mergeCell ref="B109:H109"/>
    <mergeCell ref="B110:H110"/>
    <mergeCell ref="B125:C125"/>
    <mergeCell ref="B126:C126"/>
  </mergeCells>
  <hyperlinks>
    <hyperlink ref="I1" location="Index!B2" display="Index" xr:uid="{A4F21C16-DBD6-4DD1-8FA0-7369BCBA9A3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63F2C-2CB2-4B9E-90C0-83DDFCA5D7F8}">
  <sheetPr>
    <outlinePr summaryBelow="0" summaryRight="0"/>
  </sheetPr>
  <dimension ref="A1:Q183"/>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819</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11</v>
      </c>
      <c r="C7" s="27" t="s">
        <v>12</v>
      </c>
      <c r="D7" s="27" t="s">
        <v>13</v>
      </c>
      <c r="E7" s="28">
        <v>497000</v>
      </c>
      <c r="F7" s="29">
        <v>7803.8940000000002</v>
      </c>
      <c r="G7" s="30">
        <v>5.2843220000000003E-2</v>
      </c>
      <c r="H7" s="25" t="s">
        <v>148</v>
      </c>
    </row>
    <row r="8" spans="1:9" x14ac:dyDescent="0.2">
      <c r="A8" s="26">
        <v>2</v>
      </c>
      <c r="B8" s="27" t="s">
        <v>101</v>
      </c>
      <c r="C8" s="27" t="s">
        <v>102</v>
      </c>
      <c r="D8" s="27" t="s">
        <v>28</v>
      </c>
      <c r="E8" s="28">
        <v>403923</v>
      </c>
      <c r="F8" s="29">
        <v>7686.4527285000004</v>
      </c>
      <c r="G8" s="30">
        <v>5.2047980000000001E-2</v>
      </c>
      <c r="H8" s="25" t="s">
        <v>148</v>
      </c>
    </row>
    <row r="9" spans="1:9" x14ac:dyDescent="0.2">
      <c r="A9" s="26">
        <v>3</v>
      </c>
      <c r="B9" s="27" t="s">
        <v>338</v>
      </c>
      <c r="C9" s="27" t="s">
        <v>339</v>
      </c>
      <c r="D9" s="27" t="s">
        <v>229</v>
      </c>
      <c r="E9" s="28">
        <v>2961682</v>
      </c>
      <c r="F9" s="29">
        <v>6577.8957220000002</v>
      </c>
      <c r="G9" s="30">
        <v>4.4541509999999999E-2</v>
      </c>
      <c r="H9" s="25" t="s">
        <v>148</v>
      </c>
    </row>
    <row r="10" spans="1:9" x14ac:dyDescent="0.2">
      <c r="A10" s="26">
        <v>4</v>
      </c>
      <c r="B10" s="27" t="s">
        <v>17</v>
      </c>
      <c r="C10" s="27" t="s">
        <v>18</v>
      </c>
      <c r="D10" s="27" t="s">
        <v>19</v>
      </c>
      <c r="E10" s="28">
        <v>194388</v>
      </c>
      <c r="F10" s="29">
        <v>6150.144738</v>
      </c>
      <c r="G10" s="30">
        <v>4.1645040000000001E-2</v>
      </c>
      <c r="H10" s="25" t="s">
        <v>148</v>
      </c>
    </row>
    <row r="11" spans="1:9" x14ac:dyDescent="0.2">
      <c r="A11" s="26">
        <v>5</v>
      </c>
      <c r="B11" s="27" t="s">
        <v>14</v>
      </c>
      <c r="C11" s="27" t="s">
        <v>15</v>
      </c>
      <c r="D11" s="27" t="s">
        <v>16</v>
      </c>
      <c r="E11" s="28">
        <v>480134</v>
      </c>
      <c r="F11" s="29">
        <v>5762.0881339999996</v>
      </c>
      <c r="G11" s="30">
        <v>3.9017360000000001E-2</v>
      </c>
      <c r="H11" s="25" t="s">
        <v>148</v>
      </c>
    </row>
    <row r="12" spans="1:9" x14ac:dyDescent="0.2">
      <c r="A12" s="26">
        <v>6</v>
      </c>
      <c r="B12" s="27" t="s">
        <v>378</v>
      </c>
      <c r="C12" s="27" t="s">
        <v>379</v>
      </c>
      <c r="D12" s="27" t="s">
        <v>232</v>
      </c>
      <c r="E12" s="28">
        <v>1552120</v>
      </c>
      <c r="F12" s="29">
        <v>4815.4522999999999</v>
      </c>
      <c r="G12" s="30">
        <v>3.260731E-2</v>
      </c>
      <c r="H12" s="25" t="s">
        <v>148</v>
      </c>
    </row>
    <row r="13" spans="1:9" x14ac:dyDescent="0.2">
      <c r="A13" s="26">
        <v>7</v>
      </c>
      <c r="B13" s="27" t="s">
        <v>49</v>
      </c>
      <c r="C13" s="27" t="s">
        <v>50</v>
      </c>
      <c r="D13" s="27" t="s">
        <v>51</v>
      </c>
      <c r="E13" s="28">
        <v>83178</v>
      </c>
      <c r="F13" s="29">
        <v>4681.7984969999998</v>
      </c>
      <c r="G13" s="30">
        <v>3.1702290000000001E-2</v>
      </c>
      <c r="H13" s="25" t="s">
        <v>148</v>
      </c>
    </row>
    <row r="14" spans="1:9" x14ac:dyDescent="0.2">
      <c r="A14" s="26">
        <v>8</v>
      </c>
      <c r="B14" s="27" t="s">
        <v>536</v>
      </c>
      <c r="C14" s="27" t="s">
        <v>537</v>
      </c>
      <c r="D14" s="27" t="s">
        <v>69</v>
      </c>
      <c r="E14" s="28">
        <v>380337</v>
      </c>
      <c r="F14" s="29">
        <v>3724.0697355000002</v>
      </c>
      <c r="G14" s="30">
        <v>2.5217139999999999E-2</v>
      </c>
      <c r="H14" s="25" t="s">
        <v>148</v>
      </c>
    </row>
    <row r="15" spans="1:9" x14ac:dyDescent="0.2">
      <c r="A15" s="26">
        <v>9</v>
      </c>
      <c r="B15" s="27" t="s">
        <v>703</v>
      </c>
      <c r="C15" s="27" t="s">
        <v>704</v>
      </c>
      <c r="D15" s="27" t="s">
        <v>270</v>
      </c>
      <c r="E15" s="28">
        <v>606043</v>
      </c>
      <c r="F15" s="29">
        <v>3687.771655</v>
      </c>
      <c r="G15" s="30">
        <v>2.497135E-2</v>
      </c>
      <c r="H15" s="25" t="s">
        <v>148</v>
      </c>
    </row>
    <row r="16" spans="1:9" x14ac:dyDescent="0.2">
      <c r="A16" s="26">
        <v>10</v>
      </c>
      <c r="B16" s="27" t="s">
        <v>230</v>
      </c>
      <c r="C16" s="27" t="s">
        <v>231</v>
      </c>
      <c r="D16" s="27" t="s">
        <v>232</v>
      </c>
      <c r="E16" s="28">
        <v>578111</v>
      </c>
      <c r="F16" s="29">
        <v>3619.5529710000001</v>
      </c>
      <c r="G16" s="30">
        <v>2.4509409999999999E-2</v>
      </c>
      <c r="H16" s="25" t="s">
        <v>148</v>
      </c>
    </row>
    <row r="17" spans="1:8" x14ac:dyDescent="0.2">
      <c r="A17" s="26">
        <v>11</v>
      </c>
      <c r="B17" s="27" t="s">
        <v>97</v>
      </c>
      <c r="C17" s="27" t="s">
        <v>98</v>
      </c>
      <c r="D17" s="27" t="s">
        <v>25</v>
      </c>
      <c r="E17" s="28">
        <v>746498</v>
      </c>
      <c r="F17" s="29">
        <v>3470.842451</v>
      </c>
      <c r="G17" s="30">
        <v>2.3502430000000001E-2</v>
      </c>
      <c r="H17" s="25" t="s">
        <v>148</v>
      </c>
    </row>
    <row r="18" spans="1:8" ht="25.5" x14ac:dyDescent="0.2">
      <c r="A18" s="26">
        <v>12</v>
      </c>
      <c r="B18" s="27" t="s">
        <v>220</v>
      </c>
      <c r="C18" s="27" t="s">
        <v>221</v>
      </c>
      <c r="D18" s="27" t="s">
        <v>222</v>
      </c>
      <c r="E18" s="28">
        <v>220087</v>
      </c>
      <c r="F18" s="29">
        <v>3221.1933319999998</v>
      </c>
      <c r="G18" s="30">
        <v>2.1811959999999998E-2</v>
      </c>
      <c r="H18" s="25" t="s">
        <v>148</v>
      </c>
    </row>
    <row r="19" spans="1:8" x14ac:dyDescent="0.2">
      <c r="A19" s="26">
        <v>13</v>
      </c>
      <c r="B19" s="27" t="s">
        <v>437</v>
      </c>
      <c r="C19" s="27" t="s">
        <v>438</v>
      </c>
      <c r="D19" s="27" t="s">
        <v>439</v>
      </c>
      <c r="E19" s="28">
        <v>495412</v>
      </c>
      <c r="F19" s="29">
        <v>3142.6460219999999</v>
      </c>
      <c r="G19" s="30">
        <v>2.1280090000000002E-2</v>
      </c>
      <c r="H19" s="25" t="s">
        <v>148</v>
      </c>
    </row>
    <row r="20" spans="1:8" x14ac:dyDescent="0.2">
      <c r="A20" s="26">
        <v>14</v>
      </c>
      <c r="B20" s="27" t="s">
        <v>357</v>
      </c>
      <c r="C20" s="27" t="s">
        <v>358</v>
      </c>
      <c r="D20" s="27" t="s">
        <v>359</v>
      </c>
      <c r="E20" s="28">
        <v>221166</v>
      </c>
      <c r="F20" s="29">
        <v>3096.8769149999998</v>
      </c>
      <c r="G20" s="30">
        <v>2.097017E-2</v>
      </c>
      <c r="H20" s="25" t="s">
        <v>148</v>
      </c>
    </row>
    <row r="21" spans="1:8" x14ac:dyDescent="0.2">
      <c r="A21" s="26">
        <v>15</v>
      </c>
      <c r="B21" s="27" t="s">
        <v>820</v>
      </c>
      <c r="C21" s="27" t="s">
        <v>821</v>
      </c>
      <c r="D21" s="27" t="s">
        <v>210</v>
      </c>
      <c r="E21" s="28">
        <v>212702</v>
      </c>
      <c r="F21" s="29">
        <v>3072.4803900000002</v>
      </c>
      <c r="G21" s="30">
        <v>2.0804969999999999E-2</v>
      </c>
      <c r="H21" s="25" t="s">
        <v>148</v>
      </c>
    </row>
    <row r="22" spans="1:8" x14ac:dyDescent="0.2">
      <c r="A22" s="26">
        <v>16</v>
      </c>
      <c r="B22" s="27" t="s">
        <v>364</v>
      </c>
      <c r="C22" s="27" t="s">
        <v>365</v>
      </c>
      <c r="D22" s="27" t="s">
        <v>275</v>
      </c>
      <c r="E22" s="28">
        <v>473820</v>
      </c>
      <c r="F22" s="29">
        <v>2940.7638299999999</v>
      </c>
      <c r="G22" s="30">
        <v>1.991306E-2</v>
      </c>
      <c r="H22" s="25" t="s">
        <v>148</v>
      </c>
    </row>
    <row r="23" spans="1:8" x14ac:dyDescent="0.2">
      <c r="A23" s="26">
        <v>17</v>
      </c>
      <c r="B23" s="27" t="s">
        <v>496</v>
      </c>
      <c r="C23" s="27" t="s">
        <v>497</v>
      </c>
      <c r="D23" s="27" t="s">
        <v>45</v>
      </c>
      <c r="E23" s="28">
        <v>72104</v>
      </c>
      <c r="F23" s="29">
        <v>2660.853912</v>
      </c>
      <c r="G23" s="30">
        <v>1.8017680000000001E-2</v>
      </c>
      <c r="H23" s="25" t="s">
        <v>148</v>
      </c>
    </row>
    <row r="24" spans="1:8" x14ac:dyDescent="0.2">
      <c r="A24" s="26">
        <v>18</v>
      </c>
      <c r="B24" s="27" t="s">
        <v>494</v>
      </c>
      <c r="C24" s="27" t="s">
        <v>495</v>
      </c>
      <c r="D24" s="27" t="s">
        <v>359</v>
      </c>
      <c r="E24" s="28">
        <v>197773</v>
      </c>
      <c r="F24" s="29">
        <v>2506.0805694999999</v>
      </c>
      <c r="G24" s="30">
        <v>1.6969649999999999E-2</v>
      </c>
      <c r="H24" s="25" t="s">
        <v>148</v>
      </c>
    </row>
    <row r="25" spans="1:8" x14ac:dyDescent="0.2">
      <c r="A25" s="26">
        <v>19</v>
      </c>
      <c r="B25" s="27" t="s">
        <v>233</v>
      </c>
      <c r="C25" s="27" t="s">
        <v>234</v>
      </c>
      <c r="D25" s="27" t="s">
        <v>235</v>
      </c>
      <c r="E25" s="28">
        <v>126230</v>
      </c>
      <c r="F25" s="29">
        <v>2456.625145</v>
      </c>
      <c r="G25" s="30">
        <v>1.663477E-2</v>
      </c>
      <c r="H25" s="25" t="s">
        <v>148</v>
      </c>
    </row>
    <row r="26" spans="1:8" x14ac:dyDescent="0.2">
      <c r="A26" s="26">
        <v>20</v>
      </c>
      <c r="B26" s="27" t="s">
        <v>55</v>
      </c>
      <c r="C26" s="27" t="s">
        <v>56</v>
      </c>
      <c r="D26" s="27" t="s">
        <v>22</v>
      </c>
      <c r="E26" s="28">
        <v>709259</v>
      </c>
      <c r="F26" s="29">
        <v>2405.8065280000001</v>
      </c>
      <c r="G26" s="30">
        <v>1.6290659999999998E-2</v>
      </c>
      <c r="H26" s="25" t="s">
        <v>148</v>
      </c>
    </row>
    <row r="27" spans="1:8" x14ac:dyDescent="0.2">
      <c r="A27" s="26">
        <v>21</v>
      </c>
      <c r="B27" s="27" t="s">
        <v>67</v>
      </c>
      <c r="C27" s="27" t="s">
        <v>68</v>
      </c>
      <c r="D27" s="27" t="s">
        <v>69</v>
      </c>
      <c r="E27" s="28">
        <v>52374</v>
      </c>
      <c r="F27" s="29">
        <v>2357.7989189999998</v>
      </c>
      <c r="G27" s="30">
        <v>1.596558E-2</v>
      </c>
      <c r="H27" s="25" t="s">
        <v>148</v>
      </c>
    </row>
    <row r="28" spans="1:8" x14ac:dyDescent="0.2">
      <c r="A28" s="26">
        <v>22</v>
      </c>
      <c r="B28" s="27" t="s">
        <v>31</v>
      </c>
      <c r="C28" s="27" t="s">
        <v>32</v>
      </c>
      <c r="D28" s="27" t="s">
        <v>33</v>
      </c>
      <c r="E28" s="28">
        <v>949365</v>
      </c>
      <c r="F28" s="29">
        <v>2337.8113125</v>
      </c>
      <c r="G28" s="30">
        <v>1.5830239999999999E-2</v>
      </c>
      <c r="H28" s="25" t="s">
        <v>148</v>
      </c>
    </row>
    <row r="29" spans="1:8" x14ac:dyDescent="0.2">
      <c r="A29" s="26">
        <v>23</v>
      </c>
      <c r="B29" s="27" t="s">
        <v>84</v>
      </c>
      <c r="C29" s="27" t="s">
        <v>85</v>
      </c>
      <c r="D29" s="27" t="s">
        <v>45</v>
      </c>
      <c r="E29" s="28">
        <v>229195</v>
      </c>
      <c r="F29" s="29">
        <v>2290.6894275</v>
      </c>
      <c r="G29" s="30">
        <v>1.551116E-2</v>
      </c>
      <c r="H29" s="25" t="s">
        <v>148</v>
      </c>
    </row>
    <row r="30" spans="1:8" x14ac:dyDescent="0.2">
      <c r="A30" s="26">
        <v>24</v>
      </c>
      <c r="B30" s="27" t="s">
        <v>125</v>
      </c>
      <c r="C30" s="27" t="s">
        <v>126</v>
      </c>
      <c r="D30" s="27" t="s">
        <v>64</v>
      </c>
      <c r="E30" s="28">
        <v>884502</v>
      </c>
      <c r="F30" s="29">
        <v>2209.9282469999998</v>
      </c>
      <c r="G30" s="30">
        <v>1.496429E-2</v>
      </c>
      <c r="H30" s="25" t="s">
        <v>148</v>
      </c>
    </row>
    <row r="31" spans="1:8" x14ac:dyDescent="0.2">
      <c r="A31" s="26">
        <v>25</v>
      </c>
      <c r="B31" s="27" t="s">
        <v>526</v>
      </c>
      <c r="C31" s="27" t="s">
        <v>527</v>
      </c>
      <c r="D31" s="27" t="s">
        <v>235</v>
      </c>
      <c r="E31" s="28">
        <v>167520</v>
      </c>
      <c r="F31" s="29">
        <v>2151.7106399999998</v>
      </c>
      <c r="G31" s="30">
        <v>1.4570079999999999E-2</v>
      </c>
      <c r="H31" s="25" t="s">
        <v>148</v>
      </c>
    </row>
    <row r="32" spans="1:8" x14ac:dyDescent="0.2">
      <c r="A32" s="26">
        <v>26</v>
      </c>
      <c r="B32" s="27" t="s">
        <v>396</v>
      </c>
      <c r="C32" s="27" t="s">
        <v>397</v>
      </c>
      <c r="D32" s="27" t="s">
        <v>205</v>
      </c>
      <c r="E32" s="28">
        <v>391410</v>
      </c>
      <c r="F32" s="29">
        <v>1917.9090000000001</v>
      </c>
      <c r="G32" s="30">
        <v>1.2986910000000001E-2</v>
      </c>
      <c r="H32" s="25" t="s">
        <v>148</v>
      </c>
    </row>
    <row r="33" spans="1:8" x14ac:dyDescent="0.2">
      <c r="A33" s="26">
        <v>27</v>
      </c>
      <c r="B33" s="27" t="s">
        <v>822</v>
      </c>
      <c r="C33" s="27" t="s">
        <v>823</v>
      </c>
      <c r="D33" s="27" t="s">
        <v>229</v>
      </c>
      <c r="E33" s="28">
        <v>1178268</v>
      </c>
      <c r="F33" s="29">
        <v>1871.0895840000001</v>
      </c>
      <c r="G33" s="30">
        <v>1.266988E-2</v>
      </c>
      <c r="H33" s="25" t="s">
        <v>148</v>
      </c>
    </row>
    <row r="34" spans="1:8" x14ac:dyDescent="0.2">
      <c r="A34" s="26">
        <v>28</v>
      </c>
      <c r="B34" s="27" t="s">
        <v>288</v>
      </c>
      <c r="C34" s="27" t="s">
        <v>289</v>
      </c>
      <c r="D34" s="27" t="s">
        <v>240</v>
      </c>
      <c r="E34" s="28">
        <v>51106</v>
      </c>
      <c r="F34" s="29">
        <v>1606.312686</v>
      </c>
      <c r="G34" s="30">
        <v>1.087697E-2</v>
      </c>
      <c r="H34" s="25" t="s">
        <v>148</v>
      </c>
    </row>
    <row r="35" spans="1:8" x14ac:dyDescent="0.2">
      <c r="A35" s="26">
        <v>29</v>
      </c>
      <c r="B35" s="27" t="s">
        <v>824</v>
      </c>
      <c r="C35" s="27" t="s">
        <v>825</v>
      </c>
      <c r="D35" s="27" t="s">
        <v>229</v>
      </c>
      <c r="E35" s="28">
        <v>1602555</v>
      </c>
      <c r="F35" s="29">
        <v>1605.9203654999999</v>
      </c>
      <c r="G35" s="30">
        <v>1.087432E-2</v>
      </c>
      <c r="H35" s="25" t="s">
        <v>148</v>
      </c>
    </row>
    <row r="36" spans="1:8" x14ac:dyDescent="0.2">
      <c r="A36" s="26">
        <v>30</v>
      </c>
      <c r="B36" s="27" t="s">
        <v>302</v>
      </c>
      <c r="C36" s="27" t="s">
        <v>303</v>
      </c>
      <c r="D36" s="27" t="s">
        <v>51</v>
      </c>
      <c r="E36" s="28">
        <v>497807</v>
      </c>
      <c r="F36" s="29">
        <v>1598.7071805</v>
      </c>
      <c r="G36" s="30">
        <v>1.082547E-2</v>
      </c>
      <c r="H36" s="25" t="s">
        <v>148</v>
      </c>
    </row>
    <row r="37" spans="1:8" x14ac:dyDescent="0.2">
      <c r="A37" s="26">
        <v>31</v>
      </c>
      <c r="B37" s="27" t="s">
        <v>500</v>
      </c>
      <c r="C37" s="27" t="s">
        <v>501</v>
      </c>
      <c r="D37" s="27" t="s">
        <v>240</v>
      </c>
      <c r="E37" s="28">
        <v>94065</v>
      </c>
      <c r="F37" s="29">
        <v>1556.4465224999999</v>
      </c>
      <c r="G37" s="30">
        <v>1.053931E-2</v>
      </c>
      <c r="H37" s="25" t="s">
        <v>148</v>
      </c>
    </row>
    <row r="38" spans="1:8" x14ac:dyDescent="0.2">
      <c r="A38" s="26">
        <v>32</v>
      </c>
      <c r="B38" s="27" t="s">
        <v>265</v>
      </c>
      <c r="C38" s="27" t="s">
        <v>266</v>
      </c>
      <c r="D38" s="27" t="s">
        <v>267</v>
      </c>
      <c r="E38" s="28">
        <v>81738</v>
      </c>
      <c r="F38" s="29">
        <v>1513.215594</v>
      </c>
      <c r="G38" s="30">
        <v>1.024658E-2</v>
      </c>
      <c r="H38" s="25" t="s">
        <v>148</v>
      </c>
    </row>
    <row r="39" spans="1:8" x14ac:dyDescent="0.2">
      <c r="A39" s="26">
        <v>33</v>
      </c>
      <c r="B39" s="27" t="s">
        <v>506</v>
      </c>
      <c r="C39" s="27" t="s">
        <v>507</v>
      </c>
      <c r="D39" s="27" t="s">
        <v>229</v>
      </c>
      <c r="E39" s="28">
        <v>1196553</v>
      </c>
      <c r="F39" s="29">
        <v>1508.0157459</v>
      </c>
      <c r="G39" s="30">
        <v>1.0211370000000001E-2</v>
      </c>
      <c r="H39" s="25" t="s">
        <v>148</v>
      </c>
    </row>
    <row r="40" spans="1:8" x14ac:dyDescent="0.2">
      <c r="A40" s="26">
        <v>34</v>
      </c>
      <c r="B40" s="27" t="s">
        <v>738</v>
      </c>
      <c r="C40" s="27" t="s">
        <v>739</v>
      </c>
      <c r="D40" s="27" t="s">
        <v>210</v>
      </c>
      <c r="E40" s="28">
        <v>94113</v>
      </c>
      <c r="F40" s="29">
        <v>1491.2204850000001</v>
      </c>
      <c r="G40" s="30">
        <v>1.009764E-2</v>
      </c>
      <c r="H40" s="25" t="s">
        <v>148</v>
      </c>
    </row>
    <row r="41" spans="1:8" x14ac:dyDescent="0.2">
      <c r="A41" s="26">
        <v>35</v>
      </c>
      <c r="B41" s="27" t="s">
        <v>261</v>
      </c>
      <c r="C41" s="27" t="s">
        <v>262</v>
      </c>
      <c r="D41" s="27" t="s">
        <v>210</v>
      </c>
      <c r="E41" s="28">
        <v>62410</v>
      </c>
      <c r="F41" s="29">
        <v>1441.951845</v>
      </c>
      <c r="G41" s="30">
        <v>9.76402E-3</v>
      </c>
      <c r="H41" s="25" t="s">
        <v>148</v>
      </c>
    </row>
    <row r="42" spans="1:8" x14ac:dyDescent="0.2">
      <c r="A42" s="26">
        <v>36</v>
      </c>
      <c r="B42" s="27" t="s">
        <v>121</v>
      </c>
      <c r="C42" s="27" t="s">
        <v>122</v>
      </c>
      <c r="D42" s="27" t="s">
        <v>120</v>
      </c>
      <c r="E42" s="28">
        <v>278634</v>
      </c>
      <c r="F42" s="29">
        <v>1360.9877730000001</v>
      </c>
      <c r="G42" s="30">
        <v>9.2157799999999998E-3</v>
      </c>
      <c r="H42" s="25" t="s">
        <v>148</v>
      </c>
    </row>
    <row r="43" spans="1:8" x14ac:dyDescent="0.2">
      <c r="A43" s="26">
        <v>37</v>
      </c>
      <c r="B43" s="27" t="s">
        <v>308</v>
      </c>
      <c r="C43" s="27" t="s">
        <v>309</v>
      </c>
      <c r="D43" s="27" t="s">
        <v>275</v>
      </c>
      <c r="E43" s="28">
        <v>2386504</v>
      </c>
      <c r="F43" s="29">
        <v>1356.2502231999999</v>
      </c>
      <c r="G43" s="30">
        <v>9.1836999999999995E-3</v>
      </c>
      <c r="H43" s="25" t="s">
        <v>148</v>
      </c>
    </row>
    <row r="44" spans="1:8" x14ac:dyDescent="0.2">
      <c r="A44" s="26">
        <v>38</v>
      </c>
      <c r="B44" s="27" t="s">
        <v>534</v>
      </c>
      <c r="C44" s="27" t="s">
        <v>535</v>
      </c>
      <c r="D44" s="27" t="s">
        <v>275</v>
      </c>
      <c r="E44" s="28">
        <v>50000</v>
      </c>
      <c r="F44" s="29">
        <v>1292.55</v>
      </c>
      <c r="G44" s="30">
        <v>8.7523600000000007E-3</v>
      </c>
      <c r="H44" s="25" t="s">
        <v>148</v>
      </c>
    </row>
    <row r="45" spans="1:8" x14ac:dyDescent="0.2">
      <c r="A45" s="26">
        <v>39</v>
      </c>
      <c r="B45" s="27" t="s">
        <v>789</v>
      </c>
      <c r="C45" s="27" t="s">
        <v>790</v>
      </c>
      <c r="D45" s="27" t="s">
        <v>69</v>
      </c>
      <c r="E45" s="28">
        <v>4473</v>
      </c>
      <c r="F45" s="29">
        <v>1187.31312</v>
      </c>
      <c r="G45" s="30">
        <v>8.03976E-3</v>
      </c>
      <c r="H45" s="25" t="s">
        <v>148</v>
      </c>
    </row>
    <row r="46" spans="1:8" x14ac:dyDescent="0.2">
      <c r="A46" s="26">
        <v>40</v>
      </c>
      <c r="B46" s="27" t="s">
        <v>82</v>
      </c>
      <c r="C46" s="27" t="s">
        <v>83</v>
      </c>
      <c r="D46" s="27" t="s">
        <v>69</v>
      </c>
      <c r="E46" s="28">
        <v>130317</v>
      </c>
      <c r="F46" s="29">
        <v>1111.4736929999999</v>
      </c>
      <c r="G46" s="30">
        <v>7.5262200000000001E-3</v>
      </c>
      <c r="H46" s="25" t="s">
        <v>148</v>
      </c>
    </row>
    <row r="47" spans="1:8" x14ac:dyDescent="0.2">
      <c r="A47" s="26">
        <v>41</v>
      </c>
      <c r="B47" s="27" t="s">
        <v>826</v>
      </c>
      <c r="C47" s="27" t="s">
        <v>827</v>
      </c>
      <c r="D47" s="27" t="s">
        <v>45</v>
      </c>
      <c r="E47" s="28">
        <v>250773</v>
      </c>
      <c r="F47" s="29">
        <v>981.65090850000001</v>
      </c>
      <c r="G47" s="30">
        <v>6.6471400000000002E-3</v>
      </c>
      <c r="H47" s="25" t="s">
        <v>148</v>
      </c>
    </row>
    <row r="48" spans="1:8" x14ac:dyDescent="0.2">
      <c r="A48" s="26">
        <v>42</v>
      </c>
      <c r="B48" s="27" t="s">
        <v>515</v>
      </c>
      <c r="C48" s="27" t="s">
        <v>516</v>
      </c>
      <c r="D48" s="27" t="s">
        <v>51</v>
      </c>
      <c r="E48" s="28">
        <v>167719</v>
      </c>
      <c r="F48" s="29">
        <v>928.995541</v>
      </c>
      <c r="G48" s="30">
        <v>6.2905900000000004E-3</v>
      </c>
      <c r="H48" s="25" t="s">
        <v>148</v>
      </c>
    </row>
    <row r="49" spans="1:8" x14ac:dyDescent="0.2">
      <c r="A49" s="26">
        <v>43</v>
      </c>
      <c r="B49" s="27" t="s">
        <v>828</v>
      </c>
      <c r="C49" s="27" t="s">
        <v>829</v>
      </c>
      <c r="D49" s="27" t="s">
        <v>45</v>
      </c>
      <c r="E49" s="28">
        <v>307486</v>
      </c>
      <c r="F49" s="29">
        <v>703.06673899999998</v>
      </c>
      <c r="G49" s="30">
        <v>4.7607400000000003E-3</v>
      </c>
      <c r="H49" s="25" t="s">
        <v>148</v>
      </c>
    </row>
    <row r="50" spans="1:8" x14ac:dyDescent="0.2">
      <c r="A50" s="26">
        <v>44</v>
      </c>
      <c r="B50" s="27" t="s">
        <v>830</v>
      </c>
      <c r="C50" s="27" t="s">
        <v>831</v>
      </c>
      <c r="D50" s="27" t="s">
        <v>240</v>
      </c>
      <c r="E50" s="28">
        <v>230166</v>
      </c>
      <c r="F50" s="29">
        <v>358.89784379999998</v>
      </c>
      <c r="G50" s="30">
        <v>2.4302400000000002E-3</v>
      </c>
      <c r="H50" s="25" t="s">
        <v>148</v>
      </c>
    </row>
    <row r="51" spans="1:8" x14ac:dyDescent="0.2">
      <c r="A51" s="23"/>
      <c r="B51" s="23"/>
      <c r="C51" s="24" t="s">
        <v>147</v>
      </c>
      <c r="D51" s="23"/>
      <c r="E51" s="23" t="s">
        <v>148</v>
      </c>
      <c r="F51" s="31">
        <v>120223.20297139999</v>
      </c>
      <c r="G51" s="32">
        <v>0.81407839999999998</v>
      </c>
      <c r="H51" s="25" t="s">
        <v>148</v>
      </c>
    </row>
    <row r="52" spans="1:8" x14ac:dyDescent="0.2">
      <c r="A52" s="23"/>
      <c r="B52" s="23"/>
      <c r="C52" s="33"/>
      <c r="D52" s="23"/>
      <c r="E52" s="23"/>
      <c r="F52" s="34"/>
      <c r="G52" s="34"/>
      <c r="H52" s="25" t="s">
        <v>148</v>
      </c>
    </row>
    <row r="53" spans="1:8" x14ac:dyDescent="0.2">
      <c r="A53" s="23"/>
      <c r="B53" s="23"/>
      <c r="C53" s="24" t="s">
        <v>149</v>
      </c>
      <c r="D53" s="23"/>
      <c r="E53" s="23"/>
      <c r="F53" s="23"/>
      <c r="G53" s="23"/>
      <c r="H53" s="25" t="s">
        <v>148</v>
      </c>
    </row>
    <row r="54" spans="1:8" x14ac:dyDescent="0.2">
      <c r="A54" s="23"/>
      <c r="B54" s="23"/>
      <c r="C54" s="24" t="s">
        <v>147</v>
      </c>
      <c r="D54" s="23"/>
      <c r="E54" s="23" t="s">
        <v>148</v>
      </c>
      <c r="F54" s="35" t="s">
        <v>150</v>
      </c>
      <c r="G54" s="32">
        <v>0</v>
      </c>
      <c r="H54" s="25" t="s">
        <v>148</v>
      </c>
    </row>
    <row r="55" spans="1:8" x14ac:dyDescent="0.2">
      <c r="A55" s="23"/>
      <c r="B55" s="23"/>
      <c r="C55" s="33"/>
      <c r="D55" s="23"/>
      <c r="E55" s="23"/>
      <c r="F55" s="34"/>
      <c r="G55" s="34"/>
      <c r="H55" s="25" t="s">
        <v>148</v>
      </c>
    </row>
    <row r="56" spans="1:8" x14ac:dyDescent="0.2">
      <c r="A56" s="23"/>
      <c r="B56" s="23"/>
      <c r="C56" s="24" t="s">
        <v>151</v>
      </c>
      <c r="D56" s="23"/>
      <c r="E56" s="23"/>
      <c r="F56" s="23"/>
      <c r="G56" s="23"/>
      <c r="H56" s="25" t="s">
        <v>148</v>
      </c>
    </row>
    <row r="57" spans="1:8" x14ac:dyDescent="0.2">
      <c r="A57" s="23"/>
      <c r="B57" s="23"/>
      <c r="C57" s="24" t="s">
        <v>147</v>
      </c>
      <c r="D57" s="23"/>
      <c r="E57" s="23" t="s">
        <v>148</v>
      </c>
      <c r="F57" s="35" t="s">
        <v>150</v>
      </c>
      <c r="G57" s="32">
        <v>0</v>
      </c>
      <c r="H57" s="25" t="s">
        <v>148</v>
      </c>
    </row>
    <row r="58" spans="1:8" x14ac:dyDescent="0.2">
      <c r="A58" s="23"/>
      <c r="B58" s="23"/>
      <c r="C58" s="33"/>
      <c r="D58" s="23"/>
      <c r="E58" s="23"/>
      <c r="F58" s="34"/>
      <c r="G58" s="34"/>
      <c r="H58" s="25" t="s">
        <v>148</v>
      </c>
    </row>
    <row r="59" spans="1:8" x14ac:dyDescent="0.2">
      <c r="A59" s="23"/>
      <c r="B59" s="23"/>
      <c r="C59" s="24" t="s">
        <v>152</v>
      </c>
      <c r="D59" s="23"/>
      <c r="E59" s="23"/>
      <c r="F59" s="23"/>
      <c r="G59" s="23"/>
      <c r="H59" s="25" t="s">
        <v>148</v>
      </c>
    </row>
    <row r="60" spans="1:8" x14ac:dyDescent="0.2">
      <c r="A60" s="23"/>
      <c r="B60" s="23"/>
      <c r="C60" s="24" t="s">
        <v>147</v>
      </c>
      <c r="D60" s="23"/>
      <c r="E60" s="23" t="s">
        <v>148</v>
      </c>
      <c r="F60" s="35" t="s">
        <v>150</v>
      </c>
      <c r="G60" s="32">
        <v>0</v>
      </c>
      <c r="H60" s="25" t="s">
        <v>148</v>
      </c>
    </row>
    <row r="61" spans="1:8" x14ac:dyDescent="0.2">
      <c r="A61" s="23"/>
      <c r="B61" s="23"/>
      <c r="C61" s="33"/>
      <c r="D61" s="23"/>
      <c r="E61" s="23"/>
      <c r="F61" s="34"/>
      <c r="G61" s="34"/>
      <c r="H61" s="25" t="s">
        <v>148</v>
      </c>
    </row>
    <row r="62" spans="1:8" x14ac:dyDescent="0.2">
      <c r="A62" s="23"/>
      <c r="B62" s="23"/>
      <c r="C62" s="24" t="s">
        <v>153</v>
      </c>
      <c r="D62" s="23"/>
      <c r="E62" s="23"/>
      <c r="F62" s="34"/>
      <c r="G62" s="34"/>
      <c r="H62" s="25" t="s">
        <v>148</v>
      </c>
    </row>
    <row r="63" spans="1:8" x14ac:dyDescent="0.2">
      <c r="A63" s="23"/>
      <c r="B63" s="23"/>
      <c r="C63" s="24" t="s">
        <v>147</v>
      </c>
      <c r="D63" s="23"/>
      <c r="E63" s="23" t="s">
        <v>148</v>
      </c>
      <c r="F63" s="35" t="s">
        <v>150</v>
      </c>
      <c r="G63" s="32">
        <v>0</v>
      </c>
      <c r="H63" s="25" t="s">
        <v>148</v>
      </c>
    </row>
    <row r="64" spans="1:8" x14ac:dyDescent="0.2">
      <c r="A64" s="23"/>
      <c r="B64" s="23"/>
      <c r="C64" s="33"/>
      <c r="D64" s="23"/>
      <c r="E64" s="23"/>
      <c r="F64" s="34"/>
      <c r="G64" s="34"/>
      <c r="H64" s="25" t="s">
        <v>148</v>
      </c>
    </row>
    <row r="65" spans="1:8" x14ac:dyDescent="0.2">
      <c r="A65" s="23"/>
      <c r="B65" s="23"/>
      <c r="C65" s="24" t="s">
        <v>154</v>
      </c>
      <c r="D65" s="23"/>
      <c r="E65" s="23"/>
      <c r="F65" s="34"/>
      <c r="G65" s="34"/>
      <c r="H65" s="25" t="s">
        <v>148</v>
      </c>
    </row>
    <row r="66" spans="1:8" x14ac:dyDescent="0.2">
      <c r="A66" s="23"/>
      <c r="B66" s="23"/>
      <c r="C66" s="24" t="s">
        <v>147</v>
      </c>
      <c r="D66" s="23"/>
      <c r="E66" s="23" t="s">
        <v>148</v>
      </c>
      <c r="F66" s="35" t="s">
        <v>150</v>
      </c>
      <c r="G66" s="32">
        <v>0</v>
      </c>
      <c r="H66" s="25" t="s">
        <v>148</v>
      </c>
    </row>
    <row r="67" spans="1:8" x14ac:dyDescent="0.2">
      <c r="A67" s="23"/>
      <c r="B67" s="23"/>
      <c r="C67" s="33"/>
      <c r="D67" s="23"/>
      <c r="E67" s="23"/>
      <c r="F67" s="34"/>
      <c r="G67" s="34"/>
      <c r="H67" s="25" t="s">
        <v>148</v>
      </c>
    </row>
    <row r="68" spans="1:8" x14ac:dyDescent="0.2">
      <c r="A68" s="23"/>
      <c r="B68" s="23"/>
      <c r="C68" s="24" t="s">
        <v>155</v>
      </c>
      <c r="D68" s="23"/>
      <c r="E68" s="23"/>
      <c r="F68" s="31">
        <v>120223.20297139999</v>
      </c>
      <c r="G68" s="32">
        <v>0.81407839999999998</v>
      </c>
      <c r="H68" s="25" t="s">
        <v>148</v>
      </c>
    </row>
    <row r="69" spans="1:8" x14ac:dyDescent="0.2">
      <c r="A69" s="23"/>
      <c r="B69" s="23"/>
      <c r="C69" s="33"/>
      <c r="D69" s="23"/>
      <c r="E69" s="23"/>
      <c r="F69" s="34"/>
      <c r="G69" s="34"/>
      <c r="H69" s="25" t="s">
        <v>148</v>
      </c>
    </row>
    <row r="70" spans="1:8" x14ac:dyDescent="0.2">
      <c r="A70" s="23"/>
      <c r="B70" s="23"/>
      <c r="C70" s="24" t="s">
        <v>156</v>
      </c>
      <c r="D70" s="23"/>
      <c r="E70" s="23"/>
      <c r="F70" s="34"/>
      <c r="G70" s="34"/>
      <c r="H70" s="25" t="s">
        <v>148</v>
      </c>
    </row>
    <row r="71" spans="1:8" x14ac:dyDescent="0.2">
      <c r="A71" s="23"/>
      <c r="B71" s="23"/>
      <c r="C71" s="24" t="s">
        <v>10</v>
      </c>
      <c r="D71" s="23"/>
      <c r="E71" s="23"/>
      <c r="F71" s="34"/>
      <c r="G71" s="34"/>
      <c r="H71" s="25" t="s">
        <v>148</v>
      </c>
    </row>
    <row r="72" spans="1:8" x14ac:dyDescent="0.2">
      <c r="A72" s="23"/>
      <c r="B72" s="23"/>
      <c r="C72" s="24" t="s">
        <v>147</v>
      </c>
      <c r="D72" s="23"/>
      <c r="E72" s="23" t="s">
        <v>148</v>
      </c>
      <c r="F72" s="35" t="s">
        <v>150</v>
      </c>
      <c r="G72" s="32">
        <v>0</v>
      </c>
      <c r="H72" s="25" t="s">
        <v>148</v>
      </c>
    </row>
    <row r="73" spans="1:8" x14ac:dyDescent="0.2">
      <c r="A73" s="23"/>
      <c r="B73" s="23"/>
      <c r="C73" s="33"/>
      <c r="D73" s="23"/>
      <c r="E73" s="23"/>
      <c r="F73" s="34"/>
      <c r="G73" s="34"/>
      <c r="H73" s="25" t="s">
        <v>148</v>
      </c>
    </row>
    <row r="74" spans="1:8" x14ac:dyDescent="0.2">
      <c r="A74" s="23"/>
      <c r="B74" s="23"/>
      <c r="C74" s="24" t="s">
        <v>157</v>
      </c>
      <c r="D74" s="23"/>
      <c r="E74" s="23"/>
      <c r="F74" s="23"/>
      <c r="G74" s="23"/>
      <c r="H74" s="25" t="s">
        <v>148</v>
      </c>
    </row>
    <row r="75" spans="1:8" x14ac:dyDescent="0.2">
      <c r="A75" s="23"/>
      <c r="B75" s="23"/>
      <c r="C75" s="24" t="s">
        <v>147</v>
      </c>
      <c r="D75" s="23"/>
      <c r="E75" s="23" t="s">
        <v>148</v>
      </c>
      <c r="F75" s="35" t="s">
        <v>150</v>
      </c>
      <c r="G75" s="32">
        <v>0</v>
      </c>
      <c r="H75" s="25" t="s">
        <v>148</v>
      </c>
    </row>
    <row r="76" spans="1:8" x14ac:dyDescent="0.2">
      <c r="A76" s="23"/>
      <c r="B76" s="23"/>
      <c r="C76" s="33"/>
      <c r="D76" s="23"/>
      <c r="E76" s="23"/>
      <c r="F76" s="34"/>
      <c r="G76" s="34"/>
      <c r="H76" s="25" t="s">
        <v>148</v>
      </c>
    </row>
    <row r="77" spans="1:8" x14ac:dyDescent="0.2">
      <c r="A77" s="23"/>
      <c r="B77" s="23"/>
      <c r="C77" s="24" t="s">
        <v>158</v>
      </c>
      <c r="D77" s="23"/>
      <c r="E77" s="23"/>
      <c r="F77" s="23"/>
      <c r="G77" s="23"/>
      <c r="H77" s="25" t="s">
        <v>148</v>
      </c>
    </row>
    <row r="78" spans="1:8" x14ac:dyDescent="0.2">
      <c r="A78" s="23"/>
      <c r="B78" s="23"/>
      <c r="C78" s="24" t="s">
        <v>147</v>
      </c>
      <c r="D78" s="23"/>
      <c r="E78" s="23" t="s">
        <v>148</v>
      </c>
      <c r="F78" s="35" t="s">
        <v>150</v>
      </c>
      <c r="G78" s="32">
        <v>0</v>
      </c>
      <c r="H78" s="25" t="s">
        <v>148</v>
      </c>
    </row>
    <row r="79" spans="1:8" x14ac:dyDescent="0.2">
      <c r="A79" s="23"/>
      <c r="B79" s="23"/>
      <c r="C79" s="33"/>
      <c r="D79" s="23"/>
      <c r="E79" s="23"/>
      <c r="F79" s="34"/>
      <c r="G79" s="34"/>
      <c r="H79" s="25" t="s">
        <v>148</v>
      </c>
    </row>
    <row r="80" spans="1:8" x14ac:dyDescent="0.2">
      <c r="A80" s="23"/>
      <c r="B80" s="23"/>
      <c r="C80" s="24" t="s">
        <v>159</v>
      </c>
      <c r="D80" s="23"/>
      <c r="E80" s="23"/>
      <c r="F80" s="34"/>
      <c r="G80" s="34"/>
      <c r="H80" s="25" t="s">
        <v>148</v>
      </c>
    </row>
    <row r="81" spans="1:8" x14ac:dyDescent="0.2">
      <c r="A81" s="23"/>
      <c r="B81" s="23"/>
      <c r="C81" s="24" t="s">
        <v>147</v>
      </c>
      <c r="D81" s="23"/>
      <c r="E81" s="23" t="s">
        <v>148</v>
      </c>
      <c r="F81" s="35" t="s">
        <v>150</v>
      </c>
      <c r="G81" s="32">
        <v>0</v>
      </c>
      <c r="H81" s="25" t="s">
        <v>148</v>
      </c>
    </row>
    <row r="82" spans="1:8" x14ac:dyDescent="0.2">
      <c r="A82" s="23"/>
      <c r="B82" s="23"/>
      <c r="C82" s="33"/>
      <c r="D82" s="23"/>
      <c r="E82" s="23"/>
      <c r="F82" s="34"/>
      <c r="G82" s="34"/>
      <c r="H82" s="25" t="s">
        <v>148</v>
      </c>
    </row>
    <row r="83" spans="1:8" x14ac:dyDescent="0.2">
      <c r="A83" s="23"/>
      <c r="B83" s="23"/>
      <c r="C83" s="24" t="s">
        <v>160</v>
      </c>
      <c r="D83" s="23"/>
      <c r="E83" s="23"/>
      <c r="F83" s="31">
        <v>0</v>
      </c>
      <c r="G83" s="32">
        <v>0</v>
      </c>
      <c r="H83" s="25" t="s">
        <v>148</v>
      </c>
    </row>
    <row r="84" spans="1:8" x14ac:dyDescent="0.2">
      <c r="A84" s="23"/>
      <c r="B84" s="23"/>
      <c r="C84" s="33"/>
      <c r="D84" s="23"/>
      <c r="E84" s="23"/>
      <c r="F84" s="34"/>
      <c r="G84" s="34"/>
      <c r="H84" s="25" t="s">
        <v>148</v>
      </c>
    </row>
    <row r="85" spans="1:8" x14ac:dyDescent="0.2">
      <c r="A85" s="23"/>
      <c r="B85" s="23"/>
      <c r="C85" s="24" t="s">
        <v>161</v>
      </c>
      <c r="D85" s="23"/>
      <c r="E85" s="23"/>
      <c r="F85" s="34"/>
      <c r="G85" s="34"/>
      <c r="H85" s="25" t="s">
        <v>148</v>
      </c>
    </row>
    <row r="86" spans="1:8" x14ac:dyDescent="0.2">
      <c r="A86" s="23"/>
      <c r="B86" s="23"/>
      <c r="C86" s="24" t="s">
        <v>162</v>
      </c>
      <c r="D86" s="23"/>
      <c r="E86" s="23"/>
      <c r="F86" s="34"/>
      <c r="G86" s="34"/>
      <c r="H86" s="25" t="s">
        <v>148</v>
      </c>
    </row>
    <row r="87" spans="1:8" x14ac:dyDescent="0.2">
      <c r="A87" s="23"/>
      <c r="B87" s="23"/>
      <c r="C87" s="24" t="s">
        <v>147</v>
      </c>
      <c r="D87" s="23"/>
      <c r="E87" s="23" t="s">
        <v>148</v>
      </c>
      <c r="F87" s="35" t="s">
        <v>150</v>
      </c>
      <c r="G87" s="32">
        <v>0</v>
      </c>
      <c r="H87" s="25" t="s">
        <v>148</v>
      </c>
    </row>
    <row r="88" spans="1:8" x14ac:dyDescent="0.2">
      <c r="A88" s="23"/>
      <c r="B88" s="23"/>
      <c r="C88" s="33"/>
      <c r="D88" s="23"/>
      <c r="E88" s="23"/>
      <c r="F88" s="34"/>
      <c r="G88" s="34"/>
      <c r="H88" s="25" t="s">
        <v>148</v>
      </c>
    </row>
    <row r="89" spans="1:8" x14ac:dyDescent="0.2">
      <c r="A89" s="23"/>
      <c r="B89" s="23"/>
      <c r="C89" s="24" t="s">
        <v>163</v>
      </c>
      <c r="D89" s="23"/>
      <c r="E89" s="23"/>
      <c r="F89" s="34"/>
      <c r="G89" s="34"/>
      <c r="H89" s="25" t="s">
        <v>148</v>
      </c>
    </row>
    <row r="90" spans="1:8" x14ac:dyDescent="0.2">
      <c r="A90" s="23"/>
      <c r="B90" s="23"/>
      <c r="C90" s="24" t="s">
        <v>147</v>
      </c>
      <c r="D90" s="23"/>
      <c r="E90" s="23" t="s">
        <v>148</v>
      </c>
      <c r="F90" s="35" t="s">
        <v>150</v>
      </c>
      <c r="G90" s="32">
        <v>0</v>
      </c>
      <c r="H90" s="25" t="s">
        <v>148</v>
      </c>
    </row>
    <row r="91" spans="1:8" x14ac:dyDescent="0.2">
      <c r="A91" s="23"/>
      <c r="B91" s="23"/>
      <c r="C91" s="33"/>
      <c r="D91" s="23"/>
      <c r="E91" s="23"/>
      <c r="F91" s="34"/>
      <c r="G91" s="34"/>
      <c r="H91" s="25" t="s">
        <v>148</v>
      </c>
    </row>
    <row r="92" spans="1:8" x14ac:dyDescent="0.2">
      <c r="A92" s="23"/>
      <c r="B92" s="23"/>
      <c r="C92" s="24" t="s">
        <v>164</v>
      </c>
      <c r="D92" s="23"/>
      <c r="E92" s="23"/>
      <c r="F92" s="34"/>
      <c r="G92" s="34"/>
      <c r="H92" s="25" t="s">
        <v>148</v>
      </c>
    </row>
    <row r="93" spans="1:8" x14ac:dyDescent="0.2">
      <c r="A93" s="23"/>
      <c r="B93" s="23"/>
      <c r="C93" s="24" t="s">
        <v>147</v>
      </c>
      <c r="D93" s="23"/>
      <c r="E93" s="23" t="s">
        <v>148</v>
      </c>
      <c r="F93" s="35" t="s">
        <v>150</v>
      </c>
      <c r="G93" s="32">
        <v>0</v>
      </c>
      <c r="H93" s="25" t="s">
        <v>148</v>
      </c>
    </row>
    <row r="94" spans="1:8" x14ac:dyDescent="0.2">
      <c r="A94" s="23"/>
      <c r="B94" s="23"/>
      <c r="C94" s="33"/>
      <c r="D94" s="23"/>
      <c r="E94" s="23"/>
      <c r="F94" s="34"/>
      <c r="G94" s="34"/>
      <c r="H94" s="25" t="s">
        <v>148</v>
      </c>
    </row>
    <row r="95" spans="1:8" x14ac:dyDescent="0.2">
      <c r="A95" s="23"/>
      <c r="B95" s="23"/>
      <c r="C95" s="24" t="s">
        <v>165</v>
      </c>
      <c r="D95" s="23"/>
      <c r="E95" s="23"/>
      <c r="F95" s="34"/>
      <c r="G95" s="34"/>
      <c r="H95" s="25" t="s">
        <v>148</v>
      </c>
    </row>
    <row r="96" spans="1:8" x14ac:dyDescent="0.2">
      <c r="A96" s="26">
        <v>1</v>
      </c>
      <c r="B96" s="27"/>
      <c r="C96" s="27" t="s">
        <v>166</v>
      </c>
      <c r="D96" s="27"/>
      <c r="E96" s="36"/>
      <c r="F96" s="29">
        <v>24793.694453369</v>
      </c>
      <c r="G96" s="30">
        <v>0.16788781999999999</v>
      </c>
      <c r="H96" s="25">
        <v>6.23</v>
      </c>
    </row>
    <row r="97" spans="1:8" x14ac:dyDescent="0.2">
      <c r="A97" s="23"/>
      <c r="B97" s="23"/>
      <c r="C97" s="24" t="s">
        <v>147</v>
      </c>
      <c r="D97" s="23"/>
      <c r="E97" s="23" t="s">
        <v>148</v>
      </c>
      <c r="F97" s="31">
        <v>24793.694453369</v>
      </c>
      <c r="G97" s="32">
        <v>0.16788781999999999</v>
      </c>
      <c r="H97" s="25" t="s">
        <v>148</v>
      </c>
    </row>
    <row r="98" spans="1:8" x14ac:dyDescent="0.2">
      <c r="A98" s="23"/>
      <c r="B98" s="23"/>
      <c r="C98" s="33"/>
      <c r="D98" s="23"/>
      <c r="E98" s="23"/>
      <c r="F98" s="34"/>
      <c r="G98" s="34"/>
      <c r="H98" s="25" t="s">
        <v>148</v>
      </c>
    </row>
    <row r="99" spans="1:8" x14ac:dyDescent="0.2">
      <c r="A99" s="23"/>
      <c r="B99" s="23"/>
      <c r="C99" s="24" t="s">
        <v>167</v>
      </c>
      <c r="D99" s="23"/>
      <c r="E99" s="23"/>
      <c r="F99" s="31">
        <v>24793.694453369</v>
      </c>
      <c r="G99" s="32">
        <v>0.16788781999999999</v>
      </c>
      <c r="H99" s="25" t="s">
        <v>148</v>
      </c>
    </row>
    <row r="100" spans="1:8" x14ac:dyDescent="0.2">
      <c r="A100" s="23"/>
      <c r="B100" s="23"/>
      <c r="C100" s="34"/>
      <c r="D100" s="23"/>
      <c r="E100" s="23"/>
      <c r="F100" s="23"/>
      <c r="G100" s="23"/>
      <c r="H100" s="25" t="s">
        <v>148</v>
      </c>
    </row>
    <row r="101" spans="1:8" x14ac:dyDescent="0.2">
      <c r="A101" s="23"/>
      <c r="B101" s="23"/>
      <c r="C101" s="24" t="s">
        <v>168</v>
      </c>
      <c r="D101" s="23"/>
      <c r="E101" s="23"/>
      <c r="F101" s="23"/>
      <c r="G101" s="23"/>
      <c r="H101" s="25" t="s">
        <v>148</v>
      </c>
    </row>
    <row r="102" spans="1:8" x14ac:dyDescent="0.2">
      <c r="A102" s="23"/>
      <c r="B102" s="23"/>
      <c r="C102" s="24" t="s">
        <v>169</v>
      </c>
      <c r="D102" s="23"/>
      <c r="E102" s="23"/>
      <c r="F102" s="23"/>
      <c r="G102" s="23"/>
      <c r="H102" s="25" t="s">
        <v>148</v>
      </c>
    </row>
    <row r="103" spans="1:8" x14ac:dyDescent="0.2">
      <c r="A103" s="23"/>
      <c r="B103" s="23"/>
      <c r="C103" s="24" t="s">
        <v>147</v>
      </c>
      <c r="D103" s="23"/>
      <c r="E103" s="23" t="s">
        <v>148</v>
      </c>
      <c r="F103" s="35" t="s">
        <v>150</v>
      </c>
      <c r="G103" s="32">
        <v>0</v>
      </c>
      <c r="H103" s="25" t="s">
        <v>148</v>
      </c>
    </row>
    <row r="104" spans="1:8" x14ac:dyDescent="0.2">
      <c r="A104" s="23"/>
      <c r="B104" s="23"/>
      <c r="C104" s="33"/>
      <c r="D104" s="23"/>
      <c r="E104" s="23"/>
      <c r="F104" s="34"/>
      <c r="G104" s="34"/>
      <c r="H104" s="25" t="s">
        <v>148</v>
      </c>
    </row>
    <row r="105" spans="1:8" x14ac:dyDescent="0.2">
      <c r="A105" s="23"/>
      <c r="B105" s="23"/>
      <c r="C105" s="24" t="s">
        <v>172</v>
      </c>
      <c r="D105" s="23"/>
      <c r="E105" s="23"/>
      <c r="F105" s="23"/>
      <c r="G105" s="23"/>
      <c r="H105" s="25" t="s">
        <v>148</v>
      </c>
    </row>
    <row r="106" spans="1:8" x14ac:dyDescent="0.2">
      <c r="A106" s="23"/>
      <c r="B106" s="23"/>
      <c r="C106" s="24" t="s">
        <v>173</v>
      </c>
      <c r="D106" s="23"/>
      <c r="E106" s="23"/>
      <c r="F106" s="23"/>
      <c r="G106" s="23"/>
      <c r="H106" s="25" t="s">
        <v>148</v>
      </c>
    </row>
    <row r="107" spans="1:8" x14ac:dyDescent="0.2">
      <c r="A107" s="23"/>
      <c r="B107" s="23"/>
      <c r="C107" s="24" t="s">
        <v>147</v>
      </c>
      <c r="D107" s="23"/>
      <c r="E107" s="23" t="s">
        <v>148</v>
      </c>
      <c r="F107" s="35" t="s">
        <v>150</v>
      </c>
      <c r="G107" s="32">
        <v>0</v>
      </c>
      <c r="H107" s="25" t="s">
        <v>148</v>
      </c>
    </row>
    <row r="108" spans="1:8" x14ac:dyDescent="0.2">
      <c r="A108" s="23"/>
      <c r="B108" s="23"/>
      <c r="C108" s="33"/>
      <c r="D108" s="23"/>
      <c r="E108" s="23"/>
      <c r="F108" s="34"/>
      <c r="G108" s="34"/>
      <c r="H108" s="25" t="s">
        <v>148</v>
      </c>
    </row>
    <row r="109" spans="1:8" x14ac:dyDescent="0.2">
      <c r="A109" s="23"/>
      <c r="B109" s="23"/>
      <c r="C109" s="24" t="s">
        <v>174</v>
      </c>
      <c r="D109" s="23"/>
      <c r="E109" s="23"/>
      <c r="F109" s="34"/>
      <c r="G109" s="34"/>
      <c r="H109" s="25" t="s">
        <v>148</v>
      </c>
    </row>
    <row r="110" spans="1:8" x14ac:dyDescent="0.2">
      <c r="A110" s="23"/>
      <c r="B110" s="23"/>
      <c r="C110" s="24" t="s">
        <v>147</v>
      </c>
      <c r="D110" s="23"/>
      <c r="E110" s="23" t="s">
        <v>148</v>
      </c>
      <c r="F110" s="35" t="s">
        <v>150</v>
      </c>
      <c r="G110" s="32">
        <v>0</v>
      </c>
      <c r="H110" s="25" t="s">
        <v>148</v>
      </c>
    </row>
    <row r="111" spans="1:8" x14ac:dyDescent="0.2">
      <c r="A111" s="23"/>
      <c r="B111" s="27"/>
      <c r="C111" s="27"/>
      <c r="D111" s="24"/>
      <c r="E111" s="23"/>
      <c r="F111" s="27"/>
      <c r="G111" s="36"/>
      <c r="H111" s="25" t="s">
        <v>148</v>
      </c>
    </row>
    <row r="112" spans="1:8" x14ac:dyDescent="0.2">
      <c r="A112" s="36"/>
      <c r="B112" s="27"/>
      <c r="C112" s="27" t="s">
        <v>175</v>
      </c>
      <c r="D112" s="27"/>
      <c r="E112" s="36"/>
      <c r="F112" s="29">
        <v>2663.23328735</v>
      </c>
      <c r="G112" s="30">
        <v>1.8033799999999999E-2</v>
      </c>
      <c r="H112" s="25" t="s">
        <v>148</v>
      </c>
    </row>
    <row r="113" spans="1:17" x14ac:dyDescent="0.2">
      <c r="A113" s="33"/>
      <c r="B113" s="33"/>
      <c r="C113" s="24" t="s">
        <v>176</v>
      </c>
      <c r="D113" s="34"/>
      <c r="E113" s="34"/>
      <c r="F113" s="31">
        <v>147680.13071211899</v>
      </c>
      <c r="G113" s="39">
        <v>1.0000000200000001</v>
      </c>
      <c r="H113" s="25" t="s">
        <v>148</v>
      </c>
    </row>
    <row r="114" spans="1:17" x14ac:dyDescent="0.2">
      <c r="A114" s="40"/>
      <c r="B114" s="40"/>
      <c r="C114" s="40"/>
      <c r="D114" s="41"/>
      <c r="E114" s="41"/>
      <c r="F114" s="41"/>
      <c r="G114" s="41"/>
    </row>
    <row r="115" spans="1:17" x14ac:dyDescent="0.2">
      <c r="A115" s="42"/>
      <c r="B115" s="237" t="s">
        <v>891</v>
      </c>
      <c r="C115" s="237"/>
      <c r="D115" s="237"/>
      <c r="E115" s="237"/>
      <c r="F115" s="237"/>
      <c r="G115" s="237"/>
      <c r="H115" s="237"/>
      <c r="J115" s="44"/>
    </row>
    <row r="116" spans="1:17" x14ac:dyDescent="0.2">
      <c r="A116" s="42"/>
      <c r="B116" s="237" t="s">
        <v>892</v>
      </c>
      <c r="C116" s="237"/>
      <c r="D116" s="237"/>
      <c r="E116" s="237"/>
      <c r="F116" s="237"/>
      <c r="G116" s="237"/>
      <c r="H116" s="237"/>
      <c r="J116" s="44"/>
    </row>
    <row r="117" spans="1:17" x14ac:dyDescent="0.2">
      <c r="A117" s="42"/>
      <c r="B117" s="237" t="s">
        <v>893</v>
      </c>
      <c r="C117" s="237"/>
      <c r="D117" s="237"/>
      <c r="E117" s="237"/>
      <c r="F117" s="237"/>
      <c r="G117" s="237"/>
      <c r="H117" s="237"/>
      <c r="J117" s="44"/>
    </row>
    <row r="118" spans="1:17" s="46" customFormat="1" ht="66.75" customHeight="1" x14ac:dyDescent="0.25">
      <c r="A118" s="45"/>
      <c r="B118" s="239" t="s">
        <v>894</v>
      </c>
      <c r="C118" s="239"/>
      <c r="D118" s="239"/>
      <c r="E118" s="239"/>
      <c r="F118" s="239"/>
      <c r="G118" s="239"/>
      <c r="H118" s="239"/>
      <c r="I118"/>
      <c r="J118" s="44"/>
      <c r="K118"/>
      <c r="L118"/>
      <c r="M118"/>
      <c r="N118"/>
      <c r="O118"/>
      <c r="P118"/>
      <c r="Q118"/>
    </row>
    <row r="119" spans="1:17" x14ac:dyDescent="0.2">
      <c r="A119" s="42"/>
      <c r="B119" s="237" t="s">
        <v>895</v>
      </c>
      <c r="C119" s="237"/>
      <c r="D119" s="237"/>
      <c r="E119" s="237"/>
      <c r="F119" s="237"/>
      <c r="G119" s="237"/>
      <c r="H119" s="237"/>
      <c r="J119" s="44"/>
    </row>
    <row r="120" spans="1:17" x14ac:dyDescent="0.2">
      <c r="A120" s="47"/>
      <c r="B120" s="47"/>
      <c r="C120" s="47"/>
      <c r="D120" s="48"/>
      <c r="E120" s="48"/>
      <c r="F120" s="48"/>
      <c r="G120" s="48"/>
    </row>
    <row r="121" spans="1:17" x14ac:dyDescent="0.2">
      <c r="A121" s="47"/>
      <c r="B121" s="234" t="s">
        <v>177</v>
      </c>
      <c r="C121" s="235"/>
      <c r="D121" s="236"/>
      <c r="E121" s="49"/>
      <c r="F121" s="48"/>
      <c r="G121" s="48"/>
    </row>
    <row r="122" spans="1:17" x14ac:dyDescent="0.2">
      <c r="A122" s="47"/>
      <c r="B122" s="232" t="s">
        <v>178</v>
      </c>
      <c r="C122" s="233"/>
      <c r="D122" s="24" t="s">
        <v>179</v>
      </c>
      <c r="E122" s="49"/>
      <c r="F122" s="48"/>
      <c r="G122" s="48"/>
    </row>
    <row r="123" spans="1:17" ht="12.75" customHeight="1" x14ac:dyDescent="0.2">
      <c r="A123" s="47"/>
      <c r="B123" s="240" t="s">
        <v>897</v>
      </c>
      <c r="C123" s="241"/>
      <c r="D123" s="24" t="s">
        <v>179</v>
      </c>
      <c r="E123" s="49"/>
      <c r="F123" s="48"/>
      <c r="G123" s="48"/>
    </row>
    <row r="124" spans="1:17" x14ac:dyDescent="0.2">
      <c r="A124" s="47"/>
      <c r="B124" s="232" t="s">
        <v>181</v>
      </c>
      <c r="C124" s="233"/>
      <c r="D124" s="34" t="s">
        <v>148</v>
      </c>
      <c r="E124" s="49"/>
      <c r="F124" s="48"/>
      <c r="G124" s="48"/>
    </row>
    <row r="125" spans="1:17" x14ac:dyDescent="0.2">
      <c r="A125" s="50"/>
      <c r="B125" s="51" t="s">
        <v>148</v>
      </c>
      <c r="C125" s="51" t="s">
        <v>896</v>
      </c>
      <c r="D125" s="51" t="s">
        <v>182</v>
      </c>
      <c r="E125" s="50"/>
      <c r="F125" s="50"/>
      <c r="G125" s="50"/>
      <c r="H125" s="50"/>
      <c r="J125" s="44"/>
    </row>
    <row r="126" spans="1:17" x14ac:dyDescent="0.2">
      <c r="A126" s="50"/>
      <c r="B126" s="52" t="s">
        <v>183</v>
      </c>
      <c r="C126" s="53">
        <v>45688</v>
      </c>
      <c r="D126" s="53">
        <v>45716</v>
      </c>
      <c r="E126" s="50"/>
      <c r="F126" s="50"/>
      <c r="G126" s="50"/>
      <c r="J126" s="44"/>
    </row>
    <row r="127" spans="1:17" x14ac:dyDescent="0.2">
      <c r="A127" s="54"/>
      <c r="B127" s="27" t="s">
        <v>184</v>
      </c>
      <c r="C127" s="55">
        <v>10.242800000000001</v>
      </c>
      <c r="D127" s="55">
        <v>9.5442999999999998</v>
      </c>
      <c r="E127" s="54"/>
      <c r="F127" s="56"/>
      <c r="G127" s="57"/>
    </row>
    <row r="128" spans="1:17" x14ac:dyDescent="0.2">
      <c r="A128" s="54"/>
      <c r="B128" s="27" t="s">
        <v>1070</v>
      </c>
      <c r="C128" s="55">
        <v>10.242800000000001</v>
      </c>
      <c r="D128" s="55">
        <v>9.5442999999999998</v>
      </c>
      <c r="E128" s="54"/>
      <c r="F128" s="56"/>
      <c r="G128" s="57"/>
    </row>
    <row r="129" spans="1:7" x14ac:dyDescent="0.2">
      <c r="A129" s="54"/>
      <c r="B129" s="27" t="s">
        <v>186</v>
      </c>
      <c r="C129" s="55">
        <v>10.1409</v>
      </c>
      <c r="D129" s="55">
        <v>9.4380000000000006</v>
      </c>
      <c r="E129" s="54"/>
      <c r="F129" s="56"/>
      <c r="G129" s="57"/>
    </row>
    <row r="130" spans="1:7" x14ac:dyDescent="0.2">
      <c r="A130" s="54"/>
      <c r="B130" s="27" t="s">
        <v>1071</v>
      </c>
      <c r="C130" s="55">
        <v>10.1409</v>
      </c>
      <c r="D130" s="55">
        <v>9.4380000000000006</v>
      </c>
      <c r="E130" s="54"/>
      <c r="F130" s="56"/>
      <c r="G130" s="57"/>
    </row>
    <row r="131" spans="1:7" x14ac:dyDescent="0.2">
      <c r="A131" s="54"/>
      <c r="B131" s="54"/>
      <c r="C131" s="54"/>
      <c r="D131" s="54"/>
      <c r="E131" s="54"/>
      <c r="F131" s="54"/>
      <c r="G131" s="54"/>
    </row>
    <row r="132" spans="1:7" x14ac:dyDescent="0.2">
      <c r="A132" s="50"/>
      <c r="B132" s="240" t="s">
        <v>898</v>
      </c>
      <c r="C132" s="241"/>
      <c r="D132" s="58" t="s">
        <v>179</v>
      </c>
      <c r="E132" s="50"/>
      <c r="F132" s="50"/>
      <c r="G132" s="50"/>
    </row>
    <row r="133" spans="1:7" x14ac:dyDescent="0.2">
      <c r="A133" s="50"/>
      <c r="B133" s="43"/>
      <c r="C133" s="43"/>
      <c r="D133" s="50"/>
      <c r="E133" s="50"/>
      <c r="F133" s="50"/>
      <c r="G133" s="50"/>
    </row>
    <row r="134" spans="1:7" ht="27.75" customHeight="1" x14ac:dyDescent="0.2">
      <c r="A134" s="50"/>
      <c r="B134" s="240" t="s">
        <v>188</v>
      </c>
      <c r="C134" s="241"/>
      <c r="D134" s="58" t="s">
        <v>179</v>
      </c>
      <c r="E134" s="60"/>
      <c r="F134" s="50"/>
      <c r="G134" s="50"/>
    </row>
    <row r="135" spans="1:7" ht="27" customHeight="1" x14ac:dyDescent="0.2">
      <c r="A135" s="50"/>
      <c r="B135" s="240" t="s">
        <v>189</v>
      </c>
      <c r="C135" s="241"/>
      <c r="D135" s="58" t="s">
        <v>179</v>
      </c>
      <c r="E135" s="60"/>
      <c r="F135" s="50"/>
      <c r="G135" s="50"/>
    </row>
    <row r="136" spans="1:7" ht="12.75" customHeight="1" x14ac:dyDescent="0.2">
      <c r="A136" s="50"/>
      <c r="B136" s="240" t="s">
        <v>190</v>
      </c>
      <c r="C136" s="241"/>
      <c r="D136" s="58" t="s">
        <v>179</v>
      </c>
      <c r="E136" s="60"/>
      <c r="F136" s="50"/>
      <c r="G136" s="50"/>
    </row>
    <row r="137" spans="1:7" x14ac:dyDescent="0.2">
      <c r="A137" s="50"/>
      <c r="B137" s="240" t="s">
        <v>191</v>
      </c>
      <c r="C137" s="241"/>
      <c r="D137" s="61">
        <v>0.2775250120054758</v>
      </c>
      <c r="E137" s="50"/>
      <c r="F137" s="43"/>
      <c r="G137" s="62"/>
    </row>
    <row r="139" spans="1:7" x14ac:dyDescent="0.2">
      <c r="B139" s="238" t="s">
        <v>899</v>
      </c>
      <c r="C139" s="238"/>
    </row>
    <row r="141" spans="1:7" ht="153.75" customHeight="1" x14ac:dyDescent="0.2"/>
    <row r="144" spans="1:7" x14ac:dyDescent="0.2">
      <c r="B144" s="68" t="s">
        <v>900</v>
      </c>
      <c r="C144" s="69"/>
      <c r="D144" s="68"/>
    </row>
    <row r="145" spans="2:10" x14ac:dyDescent="0.2">
      <c r="B145" s="68" t="s">
        <v>1052</v>
      </c>
      <c r="D145" s="68"/>
    </row>
    <row r="146" spans="2:10" ht="165" customHeight="1" x14ac:dyDescent="0.2"/>
    <row r="148" spans="2:10" x14ac:dyDescent="0.2">
      <c r="J148" s="22"/>
    </row>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sheetData>
  <mergeCells count="18">
    <mergeCell ref="B139:C139"/>
    <mergeCell ref="A3:H3"/>
    <mergeCell ref="A2:H2"/>
    <mergeCell ref="B137:C137"/>
    <mergeCell ref="A1:H1"/>
    <mergeCell ref="B123:C123"/>
    <mergeCell ref="B124:C124"/>
    <mergeCell ref="B132:C132"/>
    <mergeCell ref="B136:C136"/>
    <mergeCell ref="B121:D121"/>
    <mergeCell ref="B122:C122"/>
    <mergeCell ref="B115:H115"/>
    <mergeCell ref="B116:H116"/>
    <mergeCell ref="B117:H117"/>
    <mergeCell ref="B118:H118"/>
    <mergeCell ref="B119:H119"/>
    <mergeCell ref="B134:C134"/>
    <mergeCell ref="B135:C135"/>
  </mergeCells>
  <hyperlinks>
    <hyperlink ref="I1" location="Index!B2" display="Index" xr:uid="{56B73865-90C5-44F7-96B2-F62EDEC05BA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411C-9A24-490F-8540-CE3DDC91F949}">
  <sheetPr>
    <outlinePr summaryBelow="0" summaryRight="0"/>
  </sheetPr>
  <dimension ref="A1:Q168"/>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85546875" customWidth="1"/>
    <col min="5" max="5" width="8.710937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832</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996000</v>
      </c>
      <c r="F7" s="29">
        <v>17254.704000000002</v>
      </c>
      <c r="G7" s="30">
        <v>9.4079529999999995E-2</v>
      </c>
      <c r="H7" s="25" t="s">
        <v>148</v>
      </c>
    </row>
    <row r="8" spans="1:9" x14ac:dyDescent="0.2">
      <c r="A8" s="26">
        <v>2</v>
      </c>
      <c r="B8" s="27" t="s">
        <v>26</v>
      </c>
      <c r="C8" s="27" t="s">
        <v>27</v>
      </c>
      <c r="D8" s="27" t="s">
        <v>28</v>
      </c>
      <c r="E8" s="28">
        <v>1151000</v>
      </c>
      <c r="F8" s="29">
        <v>13859.191000000001</v>
      </c>
      <c r="G8" s="30">
        <v>7.5565839999999995E-2</v>
      </c>
      <c r="H8" s="25" t="s">
        <v>148</v>
      </c>
    </row>
    <row r="9" spans="1:9" x14ac:dyDescent="0.2">
      <c r="A9" s="26">
        <v>3</v>
      </c>
      <c r="B9" s="27" t="s">
        <v>334</v>
      </c>
      <c r="C9" s="27" t="s">
        <v>335</v>
      </c>
      <c r="D9" s="27" t="s">
        <v>205</v>
      </c>
      <c r="E9" s="28">
        <v>502000</v>
      </c>
      <c r="F9" s="29">
        <v>8472.2540000000008</v>
      </c>
      <c r="G9" s="30">
        <v>4.6194109999999997E-2</v>
      </c>
      <c r="H9" s="25" t="s">
        <v>148</v>
      </c>
    </row>
    <row r="10" spans="1:9" x14ac:dyDescent="0.2">
      <c r="A10" s="26">
        <v>4</v>
      </c>
      <c r="B10" s="27" t="s">
        <v>14</v>
      </c>
      <c r="C10" s="27" t="s">
        <v>15</v>
      </c>
      <c r="D10" s="27" t="s">
        <v>16</v>
      </c>
      <c r="E10" s="28">
        <v>682000</v>
      </c>
      <c r="F10" s="29">
        <v>8184.6819999999998</v>
      </c>
      <c r="G10" s="30">
        <v>4.4626150000000003E-2</v>
      </c>
      <c r="H10" s="25" t="s">
        <v>148</v>
      </c>
    </row>
    <row r="11" spans="1:9" x14ac:dyDescent="0.2">
      <c r="A11" s="26">
        <v>5</v>
      </c>
      <c r="B11" s="27" t="s">
        <v>17</v>
      </c>
      <c r="C11" s="27" t="s">
        <v>18</v>
      </c>
      <c r="D11" s="27" t="s">
        <v>19</v>
      </c>
      <c r="E11" s="28">
        <v>202401</v>
      </c>
      <c r="F11" s="29">
        <v>6403.6640385000001</v>
      </c>
      <c r="G11" s="30">
        <v>3.4915330000000001E-2</v>
      </c>
      <c r="H11" s="25" t="s">
        <v>148</v>
      </c>
    </row>
    <row r="12" spans="1:9" x14ac:dyDescent="0.2">
      <c r="A12" s="26">
        <v>6</v>
      </c>
      <c r="B12" s="27" t="s">
        <v>11</v>
      </c>
      <c r="C12" s="27" t="s">
        <v>12</v>
      </c>
      <c r="D12" s="27" t="s">
        <v>13</v>
      </c>
      <c r="E12" s="28">
        <v>358000</v>
      </c>
      <c r="F12" s="29">
        <v>5621.3159999999998</v>
      </c>
      <c r="G12" s="30">
        <v>3.0649659999999999E-2</v>
      </c>
      <c r="H12" s="25" t="s">
        <v>148</v>
      </c>
    </row>
    <row r="13" spans="1:9" x14ac:dyDescent="0.2">
      <c r="A13" s="26">
        <v>7</v>
      </c>
      <c r="B13" s="27" t="s">
        <v>38</v>
      </c>
      <c r="C13" s="27" t="s">
        <v>39</v>
      </c>
      <c r="D13" s="27" t="s">
        <v>28</v>
      </c>
      <c r="E13" s="28">
        <v>796000</v>
      </c>
      <c r="F13" s="29">
        <v>5482.848</v>
      </c>
      <c r="G13" s="30">
        <v>2.989468E-2</v>
      </c>
      <c r="H13" s="25" t="s">
        <v>148</v>
      </c>
    </row>
    <row r="14" spans="1:9" x14ac:dyDescent="0.2">
      <c r="A14" s="26">
        <v>8</v>
      </c>
      <c r="B14" s="27" t="s">
        <v>62</v>
      </c>
      <c r="C14" s="27" t="s">
        <v>63</v>
      </c>
      <c r="D14" s="27" t="s">
        <v>64</v>
      </c>
      <c r="E14" s="28">
        <v>109000</v>
      </c>
      <c r="F14" s="29">
        <v>4880.2569999999996</v>
      </c>
      <c r="G14" s="30">
        <v>2.6609109999999998E-2</v>
      </c>
      <c r="H14" s="25" t="s">
        <v>148</v>
      </c>
    </row>
    <row r="15" spans="1:9" x14ac:dyDescent="0.2">
      <c r="A15" s="26">
        <v>9</v>
      </c>
      <c r="B15" s="27" t="s">
        <v>23</v>
      </c>
      <c r="C15" s="27" t="s">
        <v>24</v>
      </c>
      <c r="D15" s="27" t="s">
        <v>25</v>
      </c>
      <c r="E15" s="28">
        <v>42000</v>
      </c>
      <c r="F15" s="29">
        <v>4253.9489999999996</v>
      </c>
      <c r="G15" s="30">
        <v>2.319423E-2</v>
      </c>
      <c r="H15" s="25" t="s">
        <v>148</v>
      </c>
    </row>
    <row r="16" spans="1:9" x14ac:dyDescent="0.2">
      <c r="A16" s="26">
        <v>10</v>
      </c>
      <c r="B16" s="27" t="s">
        <v>342</v>
      </c>
      <c r="C16" s="27" t="s">
        <v>343</v>
      </c>
      <c r="D16" s="27" t="s">
        <v>205</v>
      </c>
      <c r="E16" s="28">
        <v>117702</v>
      </c>
      <c r="F16" s="29">
        <v>4099.8549149999999</v>
      </c>
      <c r="G16" s="30">
        <v>2.235405E-2</v>
      </c>
      <c r="H16" s="25" t="s">
        <v>148</v>
      </c>
    </row>
    <row r="17" spans="1:8" x14ac:dyDescent="0.2">
      <c r="A17" s="26">
        <v>11</v>
      </c>
      <c r="B17" s="27" t="s">
        <v>336</v>
      </c>
      <c r="C17" s="27" t="s">
        <v>337</v>
      </c>
      <c r="D17" s="27" t="s">
        <v>28</v>
      </c>
      <c r="E17" s="28">
        <v>401535</v>
      </c>
      <c r="F17" s="29">
        <v>4077.7886924999998</v>
      </c>
      <c r="G17" s="30">
        <v>2.223373E-2</v>
      </c>
      <c r="H17" s="25" t="s">
        <v>148</v>
      </c>
    </row>
    <row r="18" spans="1:8" x14ac:dyDescent="0.2">
      <c r="A18" s="26">
        <v>12</v>
      </c>
      <c r="B18" s="27" t="s">
        <v>348</v>
      </c>
      <c r="C18" s="27" t="s">
        <v>349</v>
      </c>
      <c r="D18" s="27" t="s">
        <v>350</v>
      </c>
      <c r="E18" s="28">
        <v>970000</v>
      </c>
      <c r="F18" s="29">
        <v>3831.5</v>
      </c>
      <c r="G18" s="30">
        <v>2.0890869999999999E-2</v>
      </c>
      <c r="H18" s="25" t="s">
        <v>148</v>
      </c>
    </row>
    <row r="19" spans="1:8" x14ac:dyDescent="0.2">
      <c r="A19" s="26">
        <v>13</v>
      </c>
      <c r="B19" s="27" t="s">
        <v>524</v>
      </c>
      <c r="C19" s="27" t="s">
        <v>525</v>
      </c>
      <c r="D19" s="27" t="s">
        <v>275</v>
      </c>
      <c r="E19" s="28">
        <v>32000</v>
      </c>
      <c r="F19" s="29">
        <v>3822.672</v>
      </c>
      <c r="G19" s="30">
        <v>2.084273E-2</v>
      </c>
      <c r="H19" s="25" t="s">
        <v>148</v>
      </c>
    </row>
    <row r="20" spans="1:8" x14ac:dyDescent="0.2">
      <c r="A20" s="26">
        <v>14</v>
      </c>
      <c r="B20" s="27" t="s">
        <v>450</v>
      </c>
      <c r="C20" s="27" t="s">
        <v>451</v>
      </c>
      <c r="D20" s="27" t="s">
        <v>28</v>
      </c>
      <c r="E20" s="28">
        <v>344000</v>
      </c>
      <c r="F20" s="29">
        <v>3405.944</v>
      </c>
      <c r="G20" s="30">
        <v>1.8570570000000002E-2</v>
      </c>
      <c r="H20" s="25" t="s">
        <v>148</v>
      </c>
    </row>
    <row r="21" spans="1:8" x14ac:dyDescent="0.2">
      <c r="A21" s="26">
        <v>15</v>
      </c>
      <c r="B21" s="27" t="s">
        <v>448</v>
      </c>
      <c r="C21" s="27" t="s">
        <v>449</v>
      </c>
      <c r="D21" s="27" t="s">
        <v>350</v>
      </c>
      <c r="E21" s="28">
        <v>147000</v>
      </c>
      <c r="F21" s="29">
        <v>3219.6675</v>
      </c>
      <c r="G21" s="30">
        <v>1.755491E-2</v>
      </c>
      <c r="H21" s="25" t="s">
        <v>148</v>
      </c>
    </row>
    <row r="22" spans="1:8" ht="25.5" x14ac:dyDescent="0.2">
      <c r="A22" s="26">
        <v>16</v>
      </c>
      <c r="B22" s="27" t="s">
        <v>340</v>
      </c>
      <c r="C22" s="27" t="s">
        <v>341</v>
      </c>
      <c r="D22" s="27" t="s">
        <v>202</v>
      </c>
      <c r="E22" s="28">
        <v>202000</v>
      </c>
      <c r="F22" s="29">
        <v>3218.3649999999998</v>
      </c>
      <c r="G22" s="30">
        <v>1.754781E-2</v>
      </c>
      <c r="H22" s="25" t="s">
        <v>148</v>
      </c>
    </row>
    <row r="23" spans="1:8" x14ac:dyDescent="0.2">
      <c r="A23" s="26">
        <v>17</v>
      </c>
      <c r="B23" s="27" t="s">
        <v>243</v>
      </c>
      <c r="C23" s="27" t="s">
        <v>244</v>
      </c>
      <c r="D23" s="27" t="s">
        <v>229</v>
      </c>
      <c r="E23" s="28">
        <v>42000</v>
      </c>
      <c r="F23" s="29">
        <v>2936.913</v>
      </c>
      <c r="G23" s="30">
        <v>1.6013220000000002E-2</v>
      </c>
      <c r="H23" s="25" t="s">
        <v>148</v>
      </c>
    </row>
    <row r="24" spans="1:8" x14ac:dyDescent="0.2">
      <c r="A24" s="26">
        <v>18</v>
      </c>
      <c r="B24" s="27" t="s">
        <v>344</v>
      </c>
      <c r="C24" s="27" t="s">
        <v>345</v>
      </c>
      <c r="D24" s="27" t="s">
        <v>111</v>
      </c>
      <c r="E24" s="28">
        <v>33000</v>
      </c>
      <c r="F24" s="29">
        <v>2814.9989999999998</v>
      </c>
      <c r="G24" s="30">
        <v>1.5348499999999999E-2</v>
      </c>
      <c r="H24" s="25" t="s">
        <v>148</v>
      </c>
    </row>
    <row r="25" spans="1:8" ht="25.5" x14ac:dyDescent="0.2">
      <c r="A25" s="26">
        <v>19</v>
      </c>
      <c r="B25" s="27" t="s">
        <v>644</v>
      </c>
      <c r="C25" s="27" t="s">
        <v>645</v>
      </c>
      <c r="D25" s="27" t="s">
        <v>202</v>
      </c>
      <c r="E25" s="28">
        <v>260000</v>
      </c>
      <c r="F25" s="29">
        <v>2751.58</v>
      </c>
      <c r="G25" s="30">
        <v>1.5002710000000001E-2</v>
      </c>
      <c r="H25" s="25" t="s">
        <v>148</v>
      </c>
    </row>
    <row r="26" spans="1:8" ht="25.5" x14ac:dyDescent="0.2">
      <c r="A26" s="26">
        <v>20</v>
      </c>
      <c r="B26" s="27" t="s">
        <v>353</v>
      </c>
      <c r="C26" s="27" t="s">
        <v>354</v>
      </c>
      <c r="D26" s="27" t="s">
        <v>111</v>
      </c>
      <c r="E26" s="28">
        <v>191000</v>
      </c>
      <c r="F26" s="29">
        <v>2675.4324999999999</v>
      </c>
      <c r="G26" s="30">
        <v>1.458753E-2</v>
      </c>
      <c r="H26" s="25" t="s">
        <v>148</v>
      </c>
    </row>
    <row r="27" spans="1:8" x14ac:dyDescent="0.2">
      <c r="A27" s="26">
        <v>21</v>
      </c>
      <c r="B27" s="27" t="s">
        <v>530</v>
      </c>
      <c r="C27" s="27" t="s">
        <v>531</v>
      </c>
      <c r="D27" s="27" t="s">
        <v>205</v>
      </c>
      <c r="E27" s="28">
        <v>179000</v>
      </c>
      <c r="F27" s="29">
        <v>2663.2514999999999</v>
      </c>
      <c r="G27" s="30">
        <v>1.452111E-2</v>
      </c>
      <c r="H27" s="25" t="s">
        <v>148</v>
      </c>
    </row>
    <row r="28" spans="1:8" x14ac:dyDescent="0.2">
      <c r="A28" s="26">
        <v>22</v>
      </c>
      <c r="B28" s="27" t="s">
        <v>673</v>
      </c>
      <c r="C28" s="27" t="s">
        <v>674</v>
      </c>
      <c r="D28" s="27" t="s">
        <v>51</v>
      </c>
      <c r="E28" s="28">
        <v>131000</v>
      </c>
      <c r="F28" s="29">
        <v>2512.1215000000002</v>
      </c>
      <c r="G28" s="30">
        <v>1.369709E-2</v>
      </c>
      <c r="H28" s="25" t="s">
        <v>148</v>
      </c>
    </row>
    <row r="29" spans="1:8" x14ac:dyDescent="0.2">
      <c r="A29" s="26">
        <v>23</v>
      </c>
      <c r="B29" s="27" t="s">
        <v>697</v>
      </c>
      <c r="C29" s="27" t="s">
        <v>698</v>
      </c>
      <c r="D29" s="27" t="s">
        <v>240</v>
      </c>
      <c r="E29" s="28">
        <v>46000</v>
      </c>
      <c r="F29" s="29">
        <v>2444.6930000000002</v>
      </c>
      <c r="G29" s="30">
        <v>1.332944E-2</v>
      </c>
      <c r="H29" s="25" t="s">
        <v>148</v>
      </c>
    </row>
    <row r="30" spans="1:8" x14ac:dyDescent="0.2">
      <c r="A30" s="26">
        <v>24</v>
      </c>
      <c r="B30" s="27" t="s">
        <v>116</v>
      </c>
      <c r="C30" s="27" t="s">
        <v>117</v>
      </c>
      <c r="D30" s="27" t="s">
        <v>42</v>
      </c>
      <c r="E30" s="28">
        <v>500000</v>
      </c>
      <c r="F30" s="29">
        <v>2430</v>
      </c>
      <c r="G30" s="30">
        <v>1.324933E-2</v>
      </c>
      <c r="H30" s="25" t="s">
        <v>148</v>
      </c>
    </row>
    <row r="31" spans="1:8" x14ac:dyDescent="0.2">
      <c r="A31" s="26">
        <v>25</v>
      </c>
      <c r="B31" s="27" t="s">
        <v>802</v>
      </c>
      <c r="C31" s="27" t="s">
        <v>803</v>
      </c>
      <c r="D31" s="27" t="s">
        <v>51</v>
      </c>
      <c r="E31" s="28">
        <v>195000</v>
      </c>
      <c r="F31" s="29">
        <v>2381.145</v>
      </c>
      <c r="G31" s="30">
        <v>1.298295E-2</v>
      </c>
      <c r="H31" s="25" t="s">
        <v>148</v>
      </c>
    </row>
    <row r="32" spans="1:8" x14ac:dyDescent="0.2">
      <c r="A32" s="26">
        <v>26</v>
      </c>
      <c r="B32" s="27" t="s">
        <v>738</v>
      </c>
      <c r="C32" s="27" t="s">
        <v>739</v>
      </c>
      <c r="D32" s="27" t="s">
        <v>210</v>
      </c>
      <c r="E32" s="28">
        <v>138000</v>
      </c>
      <c r="F32" s="29">
        <v>2186.61</v>
      </c>
      <c r="G32" s="30">
        <v>1.192227E-2</v>
      </c>
      <c r="H32" s="25" t="s">
        <v>148</v>
      </c>
    </row>
    <row r="33" spans="1:8" ht="25.5" x14ac:dyDescent="0.2">
      <c r="A33" s="26">
        <v>27</v>
      </c>
      <c r="B33" s="27" t="s">
        <v>442</v>
      </c>
      <c r="C33" s="27" t="s">
        <v>443</v>
      </c>
      <c r="D33" s="27" t="s">
        <v>202</v>
      </c>
      <c r="E33" s="28">
        <v>149000</v>
      </c>
      <c r="F33" s="29">
        <v>2097.1750000000002</v>
      </c>
      <c r="G33" s="30">
        <v>1.1434639999999999E-2</v>
      </c>
      <c r="H33" s="25" t="s">
        <v>148</v>
      </c>
    </row>
    <row r="34" spans="1:8" x14ac:dyDescent="0.2">
      <c r="A34" s="26">
        <v>28</v>
      </c>
      <c r="B34" s="27" t="s">
        <v>101</v>
      </c>
      <c r="C34" s="27" t="s">
        <v>102</v>
      </c>
      <c r="D34" s="27" t="s">
        <v>28</v>
      </c>
      <c r="E34" s="28">
        <v>110000</v>
      </c>
      <c r="F34" s="29">
        <v>2093.2449999999999</v>
      </c>
      <c r="G34" s="30">
        <v>1.141321E-2</v>
      </c>
      <c r="H34" s="25" t="s">
        <v>148</v>
      </c>
    </row>
    <row r="35" spans="1:8" x14ac:dyDescent="0.2">
      <c r="A35" s="26">
        <v>29</v>
      </c>
      <c r="B35" s="27" t="s">
        <v>338</v>
      </c>
      <c r="C35" s="27" t="s">
        <v>339</v>
      </c>
      <c r="D35" s="27" t="s">
        <v>229</v>
      </c>
      <c r="E35" s="28">
        <v>863000</v>
      </c>
      <c r="F35" s="29">
        <v>1916.723</v>
      </c>
      <c r="G35" s="30">
        <v>1.045074E-2</v>
      </c>
      <c r="H35" s="25" t="s">
        <v>148</v>
      </c>
    </row>
    <row r="36" spans="1:8" x14ac:dyDescent="0.2">
      <c r="A36" s="26">
        <v>30</v>
      </c>
      <c r="B36" s="27" t="s">
        <v>804</v>
      </c>
      <c r="C36" s="27" t="s">
        <v>805</v>
      </c>
      <c r="D36" s="27" t="s">
        <v>197</v>
      </c>
      <c r="E36" s="28">
        <v>302000</v>
      </c>
      <c r="F36" s="29">
        <v>1911.509</v>
      </c>
      <c r="G36" s="30">
        <v>1.0422310000000001E-2</v>
      </c>
      <c r="H36" s="25" t="s">
        <v>148</v>
      </c>
    </row>
    <row r="37" spans="1:8" x14ac:dyDescent="0.2">
      <c r="A37" s="26">
        <v>31</v>
      </c>
      <c r="B37" s="27" t="s">
        <v>701</v>
      </c>
      <c r="C37" s="27" t="s">
        <v>702</v>
      </c>
      <c r="D37" s="27" t="s">
        <v>210</v>
      </c>
      <c r="E37" s="28">
        <v>31000</v>
      </c>
      <c r="F37" s="29">
        <v>1876.306</v>
      </c>
      <c r="G37" s="30">
        <v>1.0230370000000001E-2</v>
      </c>
      <c r="H37" s="25" t="s">
        <v>148</v>
      </c>
    </row>
    <row r="38" spans="1:8" x14ac:dyDescent="0.2">
      <c r="A38" s="26">
        <v>32</v>
      </c>
      <c r="B38" s="27" t="s">
        <v>57</v>
      </c>
      <c r="C38" s="27" t="s">
        <v>58</v>
      </c>
      <c r="D38" s="27" t="s">
        <v>59</v>
      </c>
      <c r="E38" s="28">
        <v>175000</v>
      </c>
      <c r="F38" s="29">
        <v>1871.45</v>
      </c>
      <c r="G38" s="30">
        <v>1.020389E-2</v>
      </c>
      <c r="H38" s="25" t="s">
        <v>148</v>
      </c>
    </row>
    <row r="39" spans="1:8" x14ac:dyDescent="0.2">
      <c r="A39" s="26">
        <v>33</v>
      </c>
      <c r="B39" s="27" t="s">
        <v>705</v>
      </c>
      <c r="C39" s="27" t="s">
        <v>706</v>
      </c>
      <c r="D39" s="27" t="s">
        <v>25</v>
      </c>
      <c r="E39" s="28">
        <v>110137</v>
      </c>
      <c r="F39" s="29">
        <v>1860.9298205</v>
      </c>
      <c r="G39" s="30">
        <v>1.0146530000000001E-2</v>
      </c>
      <c r="H39" s="25" t="s">
        <v>148</v>
      </c>
    </row>
    <row r="40" spans="1:8" x14ac:dyDescent="0.2">
      <c r="A40" s="26">
        <v>34</v>
      </c>
      <c r="B40" s="27" t="s">
        <v>766</v>
      </c>
      <c r="C40" s="27" t="s">
        <v>767</v>
      </c>
      <c r="D40" s="27" t="s">
        <v>267</v>
      </c>
      <c r="E40" s="28">
        <v>70000</v>
      </c>
      <c r="F40" s="29">
        <v>1860.53</v>
      </c>
      <c r="G40" s="30">
        <v>1.014435E-2</v>
      </c>
      <c r="H40" s="25" t="s">
        <v>148</v>
      </c>
    </row>
    <row r="41" spans="1:8" ht="25.5" x14ac:dyDescent="0.2">
      <c r="A41" s="26">
        <v>35</v>
      </c>
      <c r="B41" s="27" t="s">
        <v>444</v>
      </c>
      <c r="C41" s="27" t="s">
        <v>445</v>
      </c>
      <c r="D41" s="27" t="s">
        <v>217</v>
      </c>
      <c r="E41" s="28">
        <v>193000</v>
      </c>
      <c r="F41" s="29">
        <v>1859.941</v>
      </c>
      <c r="G41" s="30">
        <v>1.014114E-2</v>
      </c>
      <c r="H41" s="25" t="s">
        <v>148</v>
      </c>
    </row>
    <row r="42" spans="1:8" x14ac:dyDescent="0.2">
      <c r="A42" s="26">
        <v>36</v>
      </c>
      <c r="B42" s="27" t="s">
        <v>699</v>
      </c>
      <c r="C42" s="27" t="s">
        <v>700</v>
      </c>
      <c r="D42" s="27" t="s">
        <v>275</v>
      </c>
      <c r="E42" s="28">
        <v>27530</v>
      </c>
      <c r="F42" s="29">
        <v>1836.567595</v>
      </c>
      <c r="G42" s="30">
        <v>1.00137E-2</v>
      </c>
      <c r="H42" s="25" t="s">
        <v>148</v>
      </c>
    </row>
    <row r="43" spans="1:8" x14ac:dyDescent="0.2">
      <c r="A43" s="26">
        <v>37</v>
      </c>
      <c r="B43" s="27" t="s">
        <v>526</v>
      </c>
      <c r="C43" s="27" t="s">
        <v>527</v>
      </c>
      <c r="D43" s="27" t="s">
        <v>235</v>
      </c>
      <c r="E43" s="28">
        <v>135000</v>
      </c>
      <c r="F43" s="29">
        <v>1734.0074999999999</v>
      </c>
      <c r="G43" s="30">
        <v>9.4544999999999994E-3</v>
      </c>
      <c r="H43" s="25" t="s">
        <v>148</v>
      </c>
    </row>
    <row r="44" spans="1:8" x14ac:dyDescent="0.2">
      <c r="A44" s="26">
        <v>38</v>
      </c>
      <c r="B44" s="27" t="s">
        <v>464</v>
      </c>
      <c r="C44" s="27" t="s">
        <v>465</v>
      </c>
      <c r="D44" s="27" t="s">
        <v>111</v>
      </c>
      <c r="E44" s="28">
        <v>226000</v>
      </c>
      <c r="F44" s="29">
        <v>1725.171</v>
      </c>
      <c r="G44" s="30">
        <v>9.4063199999999993E-3</v>
      </c>
      <c r="H44" s="25" t="s">
        <v>148</v>
      </c>
    </row>
    <row r="45" spans="1:8" x14ac:dyDescent="0.2">
      <c r="A45" s="26">
        <v>39</v>
      </c>
      <c r="B45" s="27" t="s">
        <v>806</v>
      </c>
      <c r="C45" s="27" t="s">
        <v>807</v>
      </c>
      <c r="D45" s="27" t="s">
        <v>229</v>
      </c>
      <c r="E45" s="28">
        <v>512164</v>
      </c>
      <c r="F45" s="29">
        <v>1713.9568260000001</v>
      </c>
      <c r="G45" s="30">
        <v>9.3451799999999998E-3</v>
      </c>
      <c r="H45" s="25" t="s">
        <v>148</v>
      </c>
    </row>
    <row r="46" spans="1:8" x14ac:dyDescent="0.2">
      <c r="A46" s="26">
        <v>40</v>
      </c>
      <c r="B46" s="27" t="s">
        <v>292</v>
      </c>
      <c r="C46" s="27" t="s">
        <v>293</v>
      </c>
      <c r="D46" s="27" t="s">
        <v>197</v>
      </c>
      <c r="E46" s="28">
        <v>56000</v>
      </c>
      <c r="F46" s="29">
        <v>1687.8119999999999</v>
      </c>
      <c r="G46" s="30">
        <v>9.2026199999999999E-3</v>
      </c>
      <c r="H46" s="25" t="s">
        <v>148</v>
      </c>
    </row>
    <row r="47" spans="1:8" x14ac:dyDescent="0.2">
      <c r="A47" s="26">
        <v>41</v>
      </c>
      <c r="B47" s="27" t="s">
        <v>20</v>
      </c>
      <c r="C47" s="27" t="s">
        <v>21</v>
      </c>
      <c r="D47" s="27" t="s">
        <v>22</v>
      </c>
      <c r="E47" s="28">
        <v>525000</v>
      </c>
      <c r="F47" s="29">
        <v>1635.1125</v>
      </c>
      <c r="G47" s="30">
        <v>8.9152899999999993E-3</v>
      </c>
      <c r="H47" s="25" t="s">
        <v>148</v>
      </c>
    </row>
    <row r="48" spans="1:8" x14ac:dyDescent="0.2">
      <c r="A48" s="26">
        <v>42</v>
      </c>
      <c r="B48" s="27" t="s">
        <v>230</v>
      </c>
      <c r="C48" s="27" t="s">
        <v>231</v>
      </c>
      <c r="D48" s="27" t="s">
        <v>232</v>
      </c>
      <c r="E48" s="28">
        <v>257000</v>
      </c>
      <c r="F48" s="29">
        <v>1609.077</v>
      </c>
      <c r="G48" s="30">
        <v>8.7733299999999993E-3</v>
      </c>
      <c r="H48" s="25" t="s">
        <v>148</v>
      </c>
    </row>
    <row r="49" spans="1:8" x14ac:dyDescent="0.2">
      <c r="A49" s="26">
        <v>43</v>
      </c>
      <c r="B49" s="27" t="s">
        <v>125</v>
      </c>
      <c r="C49" s="27" t="s">
        <v>126</v>
      </c>
      <c r="D49" s="27" t="s">
        <v>64</v>
      </c>
      <c r="E49" s="28">
        <v>629000</v>
      </c>
      <c r="F49" s="29">
        <v>1571.5564999999999</v>
      </c>
      <c r="G49" s="30">
        <v>8.56875E-3</v>
      </c>
      <c r="H49" s="25" t="s">
        <v>148</v>
      </c>
    </row>
    <row r="50" spans="1:8" x14ac:dyDescent="0.2">
      <c r="A50" s="26">
        <v>44</v>
      </c>
      <c r="B50" s="27" t="s">
        <v>121</v>
      </c>
      <c r="C50" s="27" t="s">
        <v>122</v>
      </c>
      <c r="D50" s="27" t="s">
        <v>120</v>
      </c>
      <c r="E50" s="28">
        <v>320000</v>
      </c>
      <c r="F50" s="29">
        <v>1563.04</v>
      </c>
      <c r="G50" s="30">
        <v>8.5223199999999999E-3</v>
      </c>
      <c r="H50" s="25" t="s">
        <v>148</v>
      </c>
    </row>
    <row r="51" spans="1:8" x14ac:dyDescent="0.2">
      <c r="A51" s="26">
        <v>45</v>
      </c>
      <c r="B51" s="27" t="s">
        <v>364</v>
      </c>
      <c r="C51" s="27" t="s">
        <v>365</v>
      </c>
      <c r="D51" s="27" t="s">
        <v>275</v>
      </c>
      <c r="E51" s="28">
        <v>250000</v>
      </c>
      <c r="F51" s="29">
        <v>1551.625</v>
      </c>
      <c r="G51" s="30">
        <v>8.46008E-3</v>
      </c>
      <c r="H51" s="25" t="s">
        <v>148</v>
      </c>
    </row>
    <row r="52" spans="1:8" x14ac:dyDescent="0.2">
      <c r="A52" s="26">
        <v>46</v>
      </c>
      <c r="B52" s="27" t="s">
        <v>193</v>
      </c>
      <c r="C52" s="27" t="s">
        <v>194</v>
      </c>
      <c r="D52" s="27" t="s">
        <v>28</v>
      </c>
      <c r="E52" s="28">
        <v>865456</v>
      </c>
      <c r="F52" s="29">
        <v>1537.2229471999999</v>
      </c>
      <c r="G52" s="30">
        <v>8.3815499999999998E-3</v>
      </c>
      <c r="H52" s="25" t="s">
        <v>148</v>
      </c>
    </row>
    <row r="53" spans="1:8" x14ac:dyDescent="0.2">
      <c r="A53" s="26">
        <v>47</v>
      </c>
      <c r="B53" s="27" t="s">
        <v>40</v>
      </c>
      <c r="C53" s="27" t="s">
        <v>41</v>
      </c>
      <c r="D53" s="27" t="s">
        <v>42</v>
      </c>
      <c r="E53" s="28">
        <v>109000</v>
      </c>
      <c r="F53" s="29">
        <v>1458.7470000000001</v>
      </c>
      <c r="G53" s="30">
        <v>7.9536699999999995E-3</v>
      </c>
      <c r="H53" s="25" t="s">
        <v>148</v>
      </c>
    </row>
    <row r="54" spans="1:8" x14ac:dyDescent="0.2">
      <c r="A54" s="26">
        <v>48</v>
      </c>
      <c r="B54" s="27" t="s">
        <v>288</v>
      </c>
      <c r="C54" s="27" t="s">
        <v>289</v>
      </c>
      <c r="D54" s="27" t="s">
        <v>240</v>
      </c>
      <c r="E54" s="28">
        <v>39000</v>
      </c>
      <c r="F54" s="29">
        <v>1225.809</v>
      </c>
      <c r="G54" s="30">
        <v>6.6835999999999996E-3</v>
      </c>
      <c r="H54" s="25" t="s">
        <v>148</v>
      </c>
    </row>
    <row r="55" spans="1:8" x14ac:dyDescent="0.2">
      <c r="A55" s="26">
        <v>49</v>
      </c>
      <c r="B55" s="27" t="s">
        <v>808</v>
      </c>
      <c r="C55" s="27" t="s">
        <v>809</v>
      </c>
      <c r="D55" s="27" t="s">
        <v>48</v>
      </c>
      <c r="E55" s="28">
        <v>356000</v>
      </c>
      <c r="F55" s="29">
        <v>1220.0119999999999</v>
      </c>
      <c r="G55" s="30">
        <v>6.65199E-3</v>
      </c>
      <c r="H55" s="25" t="s">
        <v>148</v>
      </c>
    </row>
    <row r="56" spans="1:8" x14ac:dyDescent="0.2">
      <c r="A56" s="26">
        <v>50</v>
      </c>
      <c r="B56" s="27" t="s">
        <v>370</v>
      </c>
      <c r="C56" s="27" t="s">
        <v>371</v>
      </c>
      <c r="D56" s="27" t="s">
        <v>51</v>
      </c>
      <c r="E56" s="28">
        <v>38000</v>
      </c>
      <c r="F56" s="29">
        <v>1169.355</v>
      </c>
      <c r="G56" s="30">
        <v>6.3757900000000001E-3</v>
      </c>
      <c r="H56" s="25" t="s">
        <v>148</v>
      </c>
    </row>
    <row r="57" spans="1:8" x14ac:dyDescent="0.2">
      <c r="A57" s="26">
        <v>51</v>
      </c>
      <c r="B57" s="27" t="s">
        <v>323</v>
      </c>
      <c r="C57" s="27" t="s">
        <v>324</v>
      </c>
      <c r="D57" s="27" t="s">
        <v>51</v>
      </c>
      <c r="E57" s="28">
        <v>135000</v>
      </c>
      <c r="F57" s="29">
        <v>1150.605</v>
      </c>
      <c r="G57" s="30">
        <v>6.2735600000000001E-3</v>
      </c>
      <c r="H57" s="25" t="s">
        <v>148</v>
      </c>
    </row>
    <row r="58" spans="1:8" x14ac:dyDescent="0.2">
      <c r="A58" s="26">
        <v>52</v>
      </c>
      <c r="B58" s="27" t="s">
        <v>236</v>
      </c>
      <c r="C58" s="27" t="s">
        <v>237</v>
      </c>
      <c r="D58" s="27" t="s">
        <v>69</v>
      </c>
      <c r="E58" s="28">
        <v>301000</v>
      </c>
      <c r="F58" s="29">
        <v>1126.643</v>
      </c>
      <c r="G58" s="30">
        <v>6.1429099999999997E-3</v>
      </c>
      <c r="H58" s="25" t="s">
        <v>148</v>
      </c>
    </row>
    <row r="59" spans="1:8" x14ac:dyDescent="0.2">
      <c r="A59" s="26">
        <v>53</v>
      </c>
      <c r="B59" s="27" t="s">
        <v>92</v>
      </c>
      <c r="C59" s="27" t="s">
        <v>93</v>
      </c>
      <c r="D59" s="27" t="s">
        <v>94</v>
      </c>
      <c r="E59" s="28">
        <v>651000</v>
      </c>
      <c r="F59" s="29">
        <v>1015.8203999999999</v>
      </c>
      <c r="G59" s="30">
        <v>5.5386599999999999E-3</v>
      </c>
      <c r="H59" s="25" t="s">
        <v>148</v>
      </c>
    </row>
    <row r="60" spans="1:8" x14ac:dyDescent="0.2">
      <c r="A60" s="26">
        <v>54</v>
      </c>
      <c r="B60" s="27" t="s">
        <v>357</v>
      </c>
      <c r="C60" s="27" t="s">
        <v>358</v>
      </c>
      <c r="D60" s="27" t="s">
        <v>359</v>
      </c>
      <c r="E60" s="28">
        <v>66000</v>
      </c>
      <c r="F60" s="29">
        <v>924.16499999999996</v>
      </c>
      <c r="G60" s="30">
        <v>5.0389199999999997E-3</v>
      </c>
      <c r="H60" s="25" t="s">
        <v>148</v>
      </c>
    </row>
    <row r="61" spans="1:8" x14ac:dyDescent="0.2">
      <c r="A61" s="26">
        <v>55</v>
      </c>
      <c r="B61" s="27" t="s">
        <v>810</v>
      </c>
      <c r="C61" s="27" t="s">
        <v>811</v>
      </c>
      <c r="D61" s="27" t="s">
        <v>275</v>
      </c>
      <c r="E61" s="28">
        <v>53060</v>
      </c>
      <c r="F61" s="29">
        <v>917.88494000000003</v>
      </c>
      <c r="G61" s="30">
        <v>5.0046800000000001E-3</v>
      </c>
      <c r="H61" s="25" t="s">
        <v>148</v>
      </c>
    </row>
    <row r="62" spans="1:8" x14ac:dyDescent="0.2">
      <c r="A62" s="26">
        <v>56</v>
      </c>
      <c r="B62" s="27" t="s">
        <v>500</v>
      </c>
      <c r="C62" s="27" t="s">
        <v>501</v>
      </c>
      <c r="D62" s="27" t="s">
        <v>240</v>
      </c>
      <c r="E62" s="28">
        <v>53674</v>
      </c>
      <c r="F62" s="29">
        <v>888.11684100000002</v>
      </c>
      <c r="G62" s="30">
        <v>4.8423700000000004E-3</v>
      </c>
      <c r="H62" s="25" t="s">
        <v>148</v>
      </c>
    </row>
    <row r="63" spans="1:8" ht="25.5" x14ac:dyDescent="0.2">
      <c r="A63" s="26">
        <v>57</v>
      </c>
      <c r="B63" s="27" t="s">
        <v>474</v>
      </c>
      <c r="C63" s="27" t="s">
        <v>475</v>
      </c>
      <c r="D63" s="27" t="s">
        <v>202</v>
      </c>
      <c r="E63" s="28">
        <v>8235</v>
      </c>
      <c r="F63" s="29">
        <v>873.81584999999995</v>
      </c>
      <c r="G63" s="30">
        <v>4.7643900000000003E-3</v>
      </c>
      <c r="H63" s="25" t="s">
        <v>148</v>
      </c>
    </row>
    <row r="64" spans="1:8" x14ac:dyDescent="0.2">
      <c r="A64" s="26">
        <v>58</v>
      </c>
      <c r="B64" s="27" t="s">
        <v>268</v>
      </c>
      <c r="C64" s="27" t="s">
        <v>269</v>
      </c>
      <c r="D64" s="27" t="s">
        <v>270</v>
      </c>
      <c r="E64" s="28">
        <v>155000</v>
      </c>
      <c r="F64" s="29">
        <v>854.98</v>
      </c>
      <c r="G64" s="30">
        <v>4.6616899999999996E-3</v>
      </c>
      <c r="H64" s="25" t="s">
        <v>148</v>
      </c>
    </row>
    <row r="65" spans="1:8" x14ac:dyDescent="0.2">
      <c r="A65" s="26">
        <v>59</v>
      </c>
      <c r="B65" s="27" t="s">
        <v>296</v>
      </c>
      <c r="C65" s="27" t="s">
        <v>297</v>
      </c>
      <c r="D65" s="27" t="s">
        <v>270</v>
      </c>
      <c r="E65" s="28">
        <v>84000</v>
      </c>
      <c r="F65" s="29">
        <v>838.404</v>
      </c>
      <c r="G65" s="30">
        <v>4.5713100000000003E-3</v>
      </c>
      <c r="H65" s="25" t="s">
        <v>148</v>
      </c>
    </row>
    <row r="66" spans="1:8" x14ac:dyDescent="0.2">
      <c r="A66" s="26">
        <v>60</v>
      </c>
      <c r="B66" s="27" t="s">
        <v>223</v>
      </c>
      <c r="C66" s="27" t="s">
        <v>224</v>
      </c>
      <c r="D66" s="27" t="s">
        <v>16</v>
      </c>
      <c r="E66" s="28">
        <v>271000</v>
      </c>
      <c r="F66" s="29">
        <v>796.0625</v>
      </c>
      <c r="G66" s="30">
        <v>4.34045E-3</v>
      </c>
      <c r="H66" s="25" t="s">
        <v>148</v>
      </c>
    </row>
    <row r="67" spans="1:8" x14ac:dyDescent="0.2">
      <c r="A67" s="26">
        <v>61</v>
      </c>
      <c r="B67" s="27" t="s">
        <v>99</v>
      </c>
      <c r="C67" s="27" t="s">
        <v>100</v>
      </c>
      <c r="D67" s="27" t="s">
        <v>69</v>
      </c>
      <c r="E67" s="28">
        <v>21000</v>
      </c>
      <c r="F67" s="29">
        <v>642.86249999999995</v>
      </c>
      <c r="G67" s="30">
        <v>3.5051399999999999E-3</v>
      </c>
      <c r="H67" s="25" t="s">
        <v>148</v>
      </c>
    </row>
    <row r="68" spans="1:8" x14ac:dyDescent="0.2">
      <c r="A68" s="26">
        <v>62</v>
      </c>
      <c r="B68" s="27" t="s">
        <v>424</v>
      </c>
      <c r="C68" s="27" t="s">
        <v>425</v>
      </c>
      <c r="D68" s="27" t="s">
        <v>51</v>
      </c>
      <c r="E68" s="28">
        <v>86827</v>
      </c>
      <c r="F68" s="29">
        <v>506.37506400000001</v>
      </c>
      <c r="G68" s="30">
        <v>2.7609599999999998E-3</v>
      </c>
      <c r="H68" s="25" t="s">
        <v>148</v>
      </c>
    </row>
    <row r="69" spans="1:8" x14ac:dyDescent="0.2">
      <c r="A69" s="26">
        <v>63</v>
      </c>
      <c r="B69" s="27" t="s">
        <v>233</v>
      </c>
      <c r="C69" s="27" t="s">
        <v>234</v>
      </c>
      <c r="D69" s="27" t="s">
        <v>235</v>
      </c>
      <c r="E69" s="28">
        <v>22000</v>
      </c>
      <c r="F69" s="29">
        <v>428.15300000000002</v>
      </c>
      <c r="G69" s="30">
        <v>2.33446E-3</v>
      </c>
      <c r="H69" s="25" t="s">
        <v>148</v>
      </c>
    </row>
    <row r="70" spans="1:8" ht="25.5" x14ac:dyDescent="0.2">
      <c r="A70" s="26">
        <v>64</v>
      </c>
      <c r="B70" s="27" t="s">
        <v>290</v>
      </c>
      <c r="C70" s="27" t="s">
        <v>291</v>
      </c>
      <c r="D70" s="27" t="s">
        <v>202</v>
      </c>
      <c r="E70" s="28">
        <v>13953</v>
      </c>
      <c r="F70" s="29">
        <v>319.607418</v>
      </c>
      <c r="G70" s="30">
        <v>1.74263E-3</v>
      </c>
      <c r="H70" s="25" t="s">
        <v>148</v>
      </c>
    </row>
    <row r="71" spans="1:8" x14ac:dyDescent="0.2">
      <c r="A71" s="23"/>
      <c r="B71" s="23"/>
      <c r="C71" s="24" t="s">
        <v>147</v>
      </c>
      <c r="D71" s="23"/>
      <c r="E71" s="23" t="s">
        <v>148</v>
      </c>
      <c r="F71" s="31">
        <v>177755.77884770001</v>
      </c>
      <c r="G71" s="32">
        <v>0.96919546000000001</v>
      </c>
      <c r="H71" s="25" t="s">
        <v>148</v>
      </c>
    </row>
    <row r="72" spans="1:8" x14ac:dyDescent="0.2">
      <c r="A72" s="23"/>
      <c r="B72" s="23"/>
      <c r="C72" s="33"/>
      <c r="D72" s="23"/>
      <c r="E72" s="23"/>
      <c r="F72" s="34"/>
      <c r="G72" s="34"/>
      <c r="H72" s="25" t="s">
        <v>148</v>
      </c>
    </row>
    <row r="73" spans="1:8" x14ac:dyDescent="0.2">
      <c r="A73" s="23"/>
      <c r="B73" s="23"/>
      <c r="C73" s="24" t="s">
        <v>149</v>
      </c>
      <c r="D73" s="23"/>
      <c r="E73" s="23"/>
      <c r="F73" s="23"/>
      <c r="G73" s="23"/>
      <c r="H73" s="25" t="s">
        <v>148</v>
      </c>
    </row>
    <row r="74" spans="1:8" x14ac:dyDescent="0.2">
      <c r="A74" s="23"/>
      <c r="B74" s="23"/>
      <c r="C74" s="24" t="s">
        <v>147</v>
      </c>
      <c r="D74" s="23"/>
      <c r="E74" s="23" t="s">
        <v>148</v>
      </c>
      <c r="F74" s="35" t="s">
        <v>150</v>
      </c>
      <c r="G74" s="32">
        <v>0</v>
      </c>
      <c r="H74" s="25" t="s">
        <v>148</v>
      </c>
    </row>
    <row r="75" spans="1:8" x14ac:dyDescent="0.2">
      <c r="A75" s="23"/>
      <c r="B75" s="23"/>
      <c r="C75" s="33"/>
      <c r="D75" s="23"/>
      <c r="E75" s="23"/>
      <c r="F75" s="34"/>
      <c r="G75" s="34"/>
      <c r="H75" s="25" t="s">
        <v>148</v>
      </c>
    </row>
    <row r="76" spans="1:8" x14ac:dyDescent="0.2">
      <c r="A76" s="23"/>
      <c r="B76" s="23"/>
      <c r="C76" s="24" t="s">
        <v>151</v>
      </c>
      <c r="D76" s="23"/>
      <c r="E76" s="23"/>
      <c r="F76" s="23"/>
      <c r="G76" s="23"/>
      <c r="H76" s="25" t="s">
        <v>148</v>
      </c>
    </row>
    <row r="77" spans="1:8" x14ac:dyDescent="0.2">
      <c r="A77" s="23"/>
      <c r="B77" s="23"/>
      <c r="C77" s="24" t="s">
        <v>147</v>
      </c>
      <c r="D77" s="23"/>
      <c r="E77" s="23" t="s">
        <v>148</v>
      </c>
      <c r="F77" s="35" t="s">
        <v>150</v>
      </c>
      <c r="G77" s="32">
        <v>0</v>
      </c>
      <c r="H77" s="25" t="s">
        <v>148</v>
      </c>
    </row>
    <row r="78" spans="1:8" x14ac:dyDescent="0.2">
      <c r="A78" s="23"/>
      <c r="B78" s="23"/>
      <c r="C78" s="33"/>
      <c r="D78" s="23"/>
      <c r="E78" s="23"/>
      <c r="F78" s="34"/>
      <c r="G78" s="34"/>
      <c r="H78" s="25" t="s">
        <v>148</v>
      </c>
    </row>
    <row r="79" spans="1:8" x14ac:dyDescent="0.2">
      <c r="A79" s="23"/>
      <c r="B79" s="23"/>
      <c r="C79" s="24" t="s">
        <v>152</v>
      </c>
      <c r="D79" s="23"/>
      <c r="E79" s="23"/>
      <c r="F79" s="23"/>
      <c r="G79" s="23"/>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153</v>
      </c>
      <c r="D82" s="23"/>
      <c r="E82" s="23"/>
      <c r="F82" s="34"/>
      <c r="G82" s="34"/>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154</v>
      </c>
      <c r="D85" s="23"/>
      <c r="E85" s="23"/>
      <c r="F85" s="34"/>
      <c r="G85" s="34"/>
      <c r="H85" s="25" t="s">
        <v>148</v>
      </c>
    </row>
    <row r="86" spans="1:8" x14ac:dyDescent="0.2">
      <c r="A86" s="23"/>
      <c r="B86" s="23"/>
      <c r="C86" s="24" t="s">
        <v>147</v>
      </c>
      <c r="D86" s="23"/>
      <c r="E86" s="23" t="s">
        <v>148</v>
      </c>
      <c r="F86" s="35" t="s">
        <v>150</v>
      </c>
      <c r="G86" s="32">
        <v>0</v>
      </c>
      <c r="H86" s="25" t="s">
        <v>148</v>
      </c>
    </row>
    <row r="87" spans="1:8" x14ac:dyDescent="0.2">
      <c r="A87" s="23"/>
      <c r="B87" s="23"/>
      <c r="C87" s="33"/>
      <c r="D87" s="23"/>
      <c r="E87" s="23"/>
      <c r="F87" s="34"/>
      <c r="G87" s="34"/>
      <c r="H87" s="25" t="s">
        <v>148</v>
      </c>
    </row>
    <row r="88" spans="1:8" x14ac:dyDescent="0.2">
      <c r="A88" s="23"/>
      <c r="B88" s="23"/>
      <c r="C88" s="24" t="s">
        <v>155</v>
      </c>
      <c r="D88" s="23"/>
      <c r="E88" s="23"/>
      <c r="F88" s="31">
        <v>177755.77884770001</v>
      </c>
      <c r="G88" s="32">
        <v>0.96919546000000001</v>
      </c>
      <c r="H88" s="25" t="s">
        <v>148</v>
      </c>
    </row>
    <row r="89" spans="1:8" x14ac:dyDescent="0.2">
      <c r="A89" s="23"/>
      <c r="B89" s="23"/>
      <c r="C89" s="33"/>
      <c r="D89" s="23"/>
      <c r="E89" s="23"/>
      <c r="F89" s="34"/>
      <c r="G89" s="34"/>
      <c r="H89" s="25" t="s">
        <v>148</v>
      </c>
    </row>
    <row r="90" spans="1:8" x14ac:dyDescent="0.2">
      <c r="A90" s="23"/>
      <c r="B90" s="23"/>
      <c r="C90" s="24" t="s">
        <v>156</v>
      </c>
      <c r="D90" s="23"/>
      <c r="E90" s="23"/>
      <c r="F90" s="34"/>
      <c r="G90" s="34"/>
      <c r="H90" s="25" t="s">
        <v>148</v>
      </c>
    </row>
    <row r="91" spans="1:8" x14ac:dyDescent="0.2">
      <c r="A91" s="23"/>
      <c r="B91" s="23"/>
      <c r="C91" s="24" t="s">
        <v>10</v>
      </c>
      <c r="D91" s="23"/>
      <c r="E91" s="23"/>
      <c r="F91" s="34"/>
      <c r="G91" s="34"/>
      <c r="H91" s="25" t="s">
        <v>148</v>
      </c>
    </row>
    <row r="92" spans="1:8" x14ac:dyDescent="0.2">
      <c r="A92" s="23"/>
      <c r="B92" s="23"/>
      <c r="C92" s="24" t="s">
        <v>147</v>
      </c>
      <c r="D92" s="23"/>
      <c r="E92" s="23" t="s">
        <v>148</v>
      </c>
      <c r="F92" s="35" t="s">
        <v>150</v>
      </c>
      <c r="G92" s="32">
        <v>0</v>
      </c>
      <c r="H92" s="25" t="s">
        <v>148</v>
      </c>
    </row>
    <row r="93" spans="1:8" x14ac:dyDescent="0.2">
      <c r="A93" s="23"/>
      <c r="B93" s="23"/>
      <c r="C93" s="33"/>
      <c r="D93" s="23"/>
      <c r="E93" s="23"/>
      <c r="F93" s="34"/>
      <c r="G93" s="34"/>
      <c r="H93" s="25" t="s">
        <v>148</v>
      </c>
    </row>
    <row r="94" spans="1:8" x14ac:dyDescent="0.2">
      <c r="A94" s="23"/>
      <c r="B94" s="23"/>
      <c r="C94" s="24" t="s">
        <v>157</v>
      </c>
      <c r="D94" s="23"/>
      <c r="E94" s="23"/>
      <c r="F94" s="23"/>
      <c r="G94" s="23"/>
      <c r="H94" s="25" t="s">
        <v>148</v>
      </c>
    </row>
    <row r="95" spans="1:8" x14ac:dyDescent="0.2">
      <c r="A95" s="23"/>
      <c r="B95" s="23"/>
      <c r="C95" s="24" t="s">
        <v>147</v>
      </c>
      <c r="D95" s="23"/>
      <c r="E95" s="23" t="s">
        <v>148</v>
      </c>
      <c r="F95" s="35" t="s">
        <v>150</v>
      </c>
      <c r="G95" s="32">
        <v>0</v>
      </c>
      <c r="H95" s="25" t="s">
        <v>148</v>
      </c>
    </row>
    <row r="96" spans="1:8" x14ac:dyDescent="0.2">
      <c r="A96" s="23"/>
      <c r="B96" s="23"/>
      <c r="C96" s="33"/>
      <c r="D96" s="23"/>
      <c r="E96" s="23"/>
      <c r="F96" s="34"/>
      <c r="G96" s="34"/>
      <c r="H96" s="25" t="s">
        <v>148</v>
      </c>
    </row>
    <row r="97" spans="1:8" x14ac:dyDescent="0.2">
      <c r="A97" s="23"/>
      <c r="B97" s="23"/>
      <c r="C97" s="24" t="s">
        <v>158</v>
      </c>
      <c r="D97" s="23"/>
      <c r="E97" s="23"/>
      <c r="F97" s="23"/>
      <c r="G97" s="23"/>
      <c r="H97" s="25" t="s">
        <v>148</v>
      </c>
    </row>
    <row r="98" spans="1:8" x14ac:dyDescent="0.2">
      <c r="A98" s="23"/>
      <c r="B98" s="23"/>
      <c r="C98" s="24" t="s">
        <v>147</v>
      </c>
      <c r="D98" s="23"/>
      <c r="E98" s="23" t="s">
        <v>148</v>
      </c>
      <c r="F98" s="35" t="s">
        <v>150</v>
      </c>
      <c r="G98" s="32">
        <v>0</v>
      </c>
      <c r="H98" s="25" t="s">
        <v>148</v>
      </c>
    </row>
    <row r="99" spans="1:8" x14ac:dyDescent="0.2">
      <c r="A99" s="23"/>
      <c r="B99" s="23"/>
      <c r="C99" s="33"/>
      <c r="D99" s="23"/>
      <c r="E99" s="23"/>
      <c r="F99" s="34"/>
      <c r="G99" s="34"/>
      <c r="H99" s="25" t="s">
        <v>148</v>
      </c>
    </row>
    <row r="100" spans="1:8" x14ac:dyDescent="0.2">
      <c r="A100" s="23"/>
      <c r="B100" s="23"/>
      <c r="C100" s="24" t="s">
        <v>159</v>
      </c>
      <c r="D100" s="23"/>
      <c r="E100" s="23"/>
      <c r="F100" s="34"/>
      <c r="G100" s="34"/>
      <c r="H100" s="25" t="s">
        <v>148</v>
      </c>
    </row>
    <row r="101" spans="1:8" x14ac:dyDescent="0.2">
      <c r="A101" s="23"/>
      <c r="B101" s="23"/>
      <c r="C101" s="24" t="s">
        <v>147</v>
      </c>
      <c r="D101" s="23"/>
      <c r="E101" s="23" t="s">
        <v>148</v>
      </c>
      <c r="F101" s="35" t="s">
        <v>150</v>
      </c>
      <c r="G101" s="32">
        <v>0</v>
      </c>
      <c r="H101" s="25" t="s">
        <v>148</v>
      </c>
    </row>
    <row r="102" spans="1:8" x14ac:dyDescent="0.2">
      <c r="A102" s="23"/>
      <c r="B102" s="23"/>
      <c r="C102" s="33"/>
      <c r="D102" s="23"/>
      <c r="E102" s="23"/>
      <c r="F102" s="34"/>
      <c r="G102" s="34"/>
      <c r="H102" s="25" t="s">
        <v>148</v>
      </c>
    </row>
    <row r="103" spans="1:8" x14ac:dyDescent="0.2">
      <c r="A103" s="23"/>
      <c r="B103" s="23"/>
      <c r="C103" s="24" t="s">
        <v>160</v>
      </c>
      <c r="D103" s="23"/>
      <c r="E103" s="23"/>
      <c r="F103" s="31">
        <v>0</v>
      </c>
      <c r="G103" s="32">
        <v>0</v>
      </c>
      <c r="H103" s="25" t="s">
        <v>148</v>
      </c>
    </row>
    <row r="104" spans="1:8" x14ac:dyDescent="0.2">
      <c r="A104" s="23"/>
      <c r="B104" s="23"/>
      <c r="C104" s="33"/>
      <c r="D104" s="23"/>
      <c r="E104" s="23"/>
      <c r="F104" s="34"/>
      <c r="G104" s="34"/>
      <c r="H104" s="25" t="s">
        <v>148</v>
      </c>
    </row>
    <row r="105" spans="1:8" x14ac:dyDescent="0.2">
      <c r="A105" s="23"/>
      <c r="B105" s="23"/>
      <c r="C105" s="24" t="s">
        <v>161</v>
      </c>
      <c r="D105" s="23"/>
      <c r="E105" s="23"/>
      <c r="F105" s="34"/>
      <c r="G105" s="34"/>
      <c r="H105" s="25" t="s">
        <v>148</v>
      </c>
    </row>
    <row r="106" spans="1:8" x14ac:dyDescent="0.2">
      <c r="A106" s="23"/>
      <c r="B106" s="23"/>
      <c r="C106" s="24" t="s">
        <v>162</v>
      </c>
      <c r="D106" s="23"/>
      <c r="E106" s="23"/>
      <c r="F106" s="34"/>
      <c r="G106" s="34"/>
      <c r="H106" s="25" t="s">
        <v>148</v>
      </c>
    </row>
    <row r="107" spans="1:8" x14ac:dyDescent="0.2">
      <c r="A107" s="23"/>
      <c r="B107" s="23"/>
      <c r="C107" s="24" t="s">
        <v>147</v>
      </c>
      <c r="D107" s="23"/>
      <c r="E107" s="23" t="s">
        <v>148</v>
      </c>
      <c r="F107" s="35" t="s">
        <v>150</v>
      </c>
      <c r="G107" s="32">
        <v>0</v>
      </c>
      <c r="H107" s="25" t="s">
        <v>148</v>
      </c>
    </row>
    <row r="108" spans="1:8" x14ac:dyDescent="0.2">
      <c r="A108" s="23"/>
      <c r="B108" s="23"/>
      <c r="C108" s="33"/>
      <c r="D108" s="23"/>
      <c r="E108" s="23"/>
      <c r="F108" s="34"/>
      <c r="G108" s="34"/>
      <c r="H108" s="25" t="s">
        <v>148</v>
      </c>
    </row>
    <row r="109" spans="1:8" x14ac:dyDescent="0.2">
      <c r="A109" s="23"/>
      <c r="B109" s="23"/>
      <c r="C109" s="24" t="s">
        <v>163</v>
      </c>
      <c r="D109" s="23"/>
      <c r="E109" s="23"/>
      <c r="F109" s="34"/>
      <c r="G109" s="34"/>
      <c r="H109" s="25" t="s">
        <v>148</v>
      </c>
    </row>
    <row r="110" spans="1:8" x14ac:dyDescent="0.2">
      <c r="A110" s="23"/>
      <c r="B110" s="23"/>
      <c r="C110" s="24" t="s">
        <v>147</v>
      </c>
      <c r="D110" s="23"/>
      <c r="E110" s="23" t="s">
        <v>148</v>
      </c>
      <c r="F110" s="35" t="s">
        <v>150</v>
      </c>
      <c r="G110" s="32">
        <v>0</v>
      </c>
      <c r="H110" s="25" t="s">
        <v>148</v>
      </c>
    </row>
    <row r="111" spans="1:8" x14ac:dyDescent="0.2">
      <c r="A111" s="23"/>
      <c r="B111" s="23"/>
      <c r="C111" s="33"/>
      <c r="D111" s="23"/>
      <c r="E111" s="23"/>
      <c r="F111" s="34"/>
      <c r="G111" s="34"/>
      <c r="H111" s="25" t="s">
        <v>148</v>
      </c>
    </row>
    <row r="112" spans="1:8" x14ac:dyDescent="0.2">
      <c r="A112" s="23"/>
      <c r="B112" s="23"/>
      <c r="C112" s="24" t="s">
        <v>164</v>
      </c>
      <c r="D112" s="23"/>
      <c r="E112" s="23"/>
      <c r="F112" s="34"/>
      <c r="G112" s="34"/>
      <c r="H112" s="25" t="s">
        <v>148</v>
      </c>
    </row>
    <row r="113" spans="1:8" x14ac:dyDescent="0.2">
      <c r="A113" s="23"/>
      <c r="B113" s="23"/>
      <c r="C113" s="24" t="s">
        <v>147</v>
      </c>
      <c r="D113" s="23"/>
      <c r="E113" s="23" t="s">
        <v>148</v>
      </c>
      <c r="F113" s="35" t="s">
        <v>150</v>
      </c>
      <c r="G113" s="32">
        <v>0</v>
      </c>
      <c r="H113" s="25" t="s">
        <v>148</v>
      </c>
    </row>
    <row r="114" spans="1:8" x14ac:dyDescent="0.2">
      <c r="A114" s="23"/>
      <c r="B114" s="23"/>
      <c r="C114" s="33"/>
      <c r="D114" s="23"/>
      <c r="E114" s="23"/>
      <c r="F114" s="34"/>
      <c r="G114" s="34"/>
      <c r="H114" s="25" t="s">
        <v>148</v>
      </c>
    </row>
    <row r="115" spans="1:8" x14ac:dyDescent="0.2">
      <c r="A115" s="23"/>
      <c r="B115" s="23"/>
      <c r="C115" s="24" t="s">
        <v>165</v>
      </c>
      <c r="D115" s="23"/>
      <c r="E115" s="23"/>
      <c r="F115" s="34"/>
      <c r="G115" s="34"/>
      <c r="H115" s="25" t="s">
        <v>148</v>
      </c>
    </row>
    <row r="116" spans="1:8" x14ac:dyDescent="0.2">
      <c r="A116" s="26">
        <v>1</v>
      </c>
      <c r="B116" s="27"/>
      <c r="C116" s="27" t="s">
        <v>166</v>
      </c>
      <c r="D116" s="27"/>
      <c r="E116" s="36"/>
      <c r="F116" s="29">
        <v>7320.470158434</v>
      </c>
      <c r="G116" s="30">
        <v>3.9914119999999997E-2</v>
      </c>
      <c r="H116" s="25">
        <v>6.23</v>
      </c>
    </row>
    <row r="117" spans="1:8" x14ac:dyDescent="0.2">
      <c r="A117" s="23"/>
      <c r="B117" s="23"/>
      <c r="C117" s="24" t="s">
        <v>147</v>
      </c>
      <c r="D117" s="23"/>
      <c r="E117" s="23" t="s">
        <v>148</v>
      </c>
      <c r="F117" s="31">
        <v>7320.470158434</v>
      </c>
      <c r="G117" s="32">
        <v>3.9914119999999997E-2</v>
      </c>
      <c r="H117" s="25" t="s">
        <v>148</v>
      </c>
    </row>
    <row r="118" spans="1:8" x14ac:dyDescent="0.2">
      <c r="A118" s="23"/>
      <c r="B118" s="23"/>
      <c r="C118" s="33"/>
      <c r="D118" s="23"/>
      <c r="E118" s="23"/>
      <c r="F118" s="34"/>
      <c r="G118" s="34"/>
      <c r="H118" s="25" t="s">
        <v>148</v>
      </c>
    </row>
    <row r="119" spans="1:8" x14ac:dyDescent="0.2">
      <c r="A119" s="23"/>
      <c r="B119" s="23"/>
      <c r="C119" s="24" t="s">
        <v>167</v>
      </c>
      <c r="D119" s="23"/>
      <c r="E119" s="23"/>
      <c r="F119" s="31">
        <v>7320.470158434</v>
      </c>
      <c r="G119" s="32">
        <v>3.9914119999999997E-2</v>
      </c>
      <c r="H119" s="25" t="s">
        <v>148</v>
      </c>
    </row>
    <row r="120" spans="1:8" x14ac:dyDescent="0.2">
      <c r="A120" s="23"/>
      <c r="B120" s="23"/>
      <c r="C120" s="34"/>
      <c r="D120" s="23"/>
      <c r="E120" s="23"/>
      <c r="F120" s="23"/>
      <c r="G120" s="23"/>
      <c r="H120" s="25" t="s">
        <v>148</v>
      </c>
    </row>
    <row r="121" spans="1:8" x14ac:dyDescent="0.2">
      <c r="A121" s="23"/>
      <c r="B121" s="23"/>
      <c r="C121" s="24" t="s">
        <v>168</v>
      </c>
      <c r="D121" s="23"/>
      <c r="E121" s="23"/>
      <c r="F121" s="23"/>
      <c r="G121" s="23"/>
      <c r="H121" s="25" t="s">
        <v>148</v>
      </c>
    </row>
    <row r="122" spans="1:8" x14ac:dyDescent="0.2">
      <c r="A122" s="23"/>
      <c r="B122" s="23"/>
      <c r="C122" s="24" t="s">
        <v>169</v>
      </c>
      <c r="D122" s="23"/>
      <c r="E122" s="23"/>
      <c r="F122" s="23"/>
      <c r="G122" s="23"/>
      <c r="H122" s="25" t="s">
        <v>148</v>
      </c>
    </row>
    <row r="123" spans="1:8" x14ac:dyDescent="0.2">
      <c r="A123" s="23"/>
      <c r="B123" s="23"/>
      <c r="C123" s="24" t="s">
        <v>147</v>
      </c>
      <c r="D123" s="23"/>
      <c r="E123" s="23" t="s">
        <v>148</v>
      </c>
      <c r="F123" s="35" t="s">
        <v>150</v>
      </c>
      <c r="G123" s="32">
        <v>0</v>
      </c>
      <c r="H123" s="25" t="s">
        <v>148</v>
      </c>
    </row>
    <row r="124" spans="1:8" x14ac:dyDescent="0.2">
      <c r="A124" s="23"/>
      <c r="B124" s="23"/>
      <c r="C124" s="33"/>
      <c r="D124" s="23"/>
      <c r="E124" s="23"/>
      <c r="F124" s="34"/>
      <c r="G124" s="34"/>
      <c r="H124" s="25" t="s">
        <v>148</v>
      </c>
    </row>
    <row r="125" spans="1:8" x14ac:dyDescent="0.2">
      <c r="A125" s="23"/>
      <c r="B125" s="23"/>
      <c r="C125" s="24" t="s">
        <v>172</v>
      </c>
      <c r="D125" s="23"/>
      <c r="E125" s="23"/>
      <c r="F125" s="23"/>
      <c r="G125" s="23"/>
      <c r="H125" s="25" t="s">
        <v>148</v>
      </c>
    </row>
    <row r="126" spans="1:8" x14ac:dyDescent="0.2">
      <c r="A126" s="23"/>
      <c r="B126" s="23"/>
      <c r="C126" s="24" t="s">
        <v>173</v>
      </c>
      <c r="D126" s="23"/>
      <c r="E126" s="23"/>
      <c r="F126" s="23"/>
      <c r="G126" s="23"/>
      <c r="H126" s="25" t="s">
        <v>148</v>
      </c>
    </row>
    <row r="127" spans="1:8" x14ac:dyDescent="0.2">
      <c r="A127" s="23"/>
      <c r="B127" s="23"/>
      <c r="C127" s="24" t="s">
        <v>147</v>
      </c>
      <c r="D127" s="23"/>
      <c r="E127" s="23" t="s">
        <v>148</v>
      </c>
      <c r="F127" s="35" t="s">
        <v>150</v>
      </c>
      <c r="G127" s="32">
        <v>0</v>
      </c>
      <c r="H127" s="25" t="s">
        <v>148</v>
      </c>
    </row>
    <row r="128" spans="1:8" x14ac:dyDescent="0.2">
      <c r="A128" s="23"/>
      <c r="B128" s="23"/>
      <c r="C128" s="33"/>
      <c r="D128" s="23"/>
      <c r="E128" s="23"/>
      <c r="F128" s="34"/>
      <c r="G128" s="34"/>
      <c r="H128" s="25" t="s">
        <v>148</v>
      </c>
    </row>
    <row r="129" spans="1:17" x14ac:dyDescent="0.2">
      <c r="A129" s="23"/>
      <c r="B129" s="23"/>
      <c r="C129" s="24" t="s">
        <v>174</v>
      </c>
      <c r="D129" s="23"/>
      <c r="E129" s="23"/>
      <c r="F129" s="34"/>
      <c r="G129" s="34"/>
      <c r="H129" s="25" t="s">
        <v>148</v>
      </c>
    </row>
    <row r="130" spans="1:17" x14ac:dyDescent="0.2">
      <c r="A130" s="23"/>
      <c r="B130" s="23"/>
      <c r="C130" s="24" t="s">
        <v>147</v>
      </c>
      <c r="D130" s="23"/>
      <c r="E130" s="23" t="s">
        <v>148</v>
      </c>
      <c r="F130" s="35" t="s">
        <v>150</v>
      </c>
      <c r="G130" s="32">
        <v>0</v>
      </c>
      <c r="H130" s="25" t="s">
        <v>148</v>
      </c>
    </row>
    <row r="131" spans="1:17" x14ac:dyDescent="0.2">
      <c r="A131" s="23"/>
      <c r="B131" s="23"/>
      <c r="C131" s="33"/>
      <c r="D131" s="23"/>
      <c r="E131" s="23"/>
      <c r="F131" s="34"/>
      <c r="G131" s="34"/>
      <c r="H131" s="25" t="s">
        <v>148</v>
      </c>
    </row>
    <row r="132" spans="1:17" x14ac:dyDescent="0.2">
      <c r="A132" s="36"/>
      <c r="B132" s="27"/>
      <c r="C132" s="27" t="s">
        <v>175</v>
      </c>
      <c r="D132" s="27"/>
      <c r="E132" s="36"/>
      <c r="F132" s="29">
        <v>-1670.7401309700001</v>
      </c>
      <c r="G132" s="30">
        <v>-9.1095399999999993E-3</v>
      </c>
      <c r="H132" s="25" t="s">
        <v>148</v>
      </c>
    </row>
    <row r="133" spans="1:17" x14ac:dyDescent="0.2">
      <c r="A133" s="33"/>
      <c r="B133" s="33"/>
      <c r="C133" s="24" t="s">
        <v>176</v>
      </c>
      <c r="D133" s="34"/>
      <c r="E133" s="34"/>
      <c r="F133" s="31">
        <v>183405.508875164</v>
      </c>
      <c r="G133" s="39">
        <v>1.00000004</v>
      </c>
      <c r="H133" s="25" t="s">
        <v>148</v>
      </c>
    </row>
    <row r="134" spans="1:17" x14ac:dyDescent="0.2">
      <c r="A134" s="40"/>
      <c r="B134" s="40"/>
      <c r="C134" s="40"/>
      <c r="D134" s="41"/>
      <c r="E134" s="41"/>
      <c r="F134" s="41"/>
      <c r="G134" s="41"/>
    </row>
    <row r="135" spans="1:17" x14ac:dyDescent="0.2">
      <c r="A135" s="42"/>
      <c r="B135" s="237" t="s">
        <v>891</v>
      </c>
      <c r="C135" s="237"/>
      <c r="D135" s="237"/>
      <c r="E135" s="237"/>
      <c r="F135" s="237"/>
      <c r="G135" s="237"/>
      <c r="H135" s="237"/>
      <c r="J135" s="44"/>
    </row>
    <row r="136" spans="1:17" x14ac:dyDescent="0.2">
      <c r="A136" s="42"/>
      <c r="B136" s="237" t="s">
        <v>892</v>
      </c>
      <c r="C136" s="237"/>
      <c r="D136" s="237"/>
      <c r="E136" s="237"/>
      <c r="F136" s="237"/>
      <c r="G136" s="237"/>
      <c r="H136" s="237"/>
      <c r="J136" s="44"/>
    </row>
    <row r="137" spans="1:17" x14ac:dyDescent="0.2">
      <c r="A137" s="42"/>
      <c r="B137" s="237" t="s">
        <v>893</v>
      </c>
      <c r="C137" s="237"/>
      <c r="D137" s="237"/>
      <c r="E137" s="237"/>
      <c r="F137" s="237"/>
      <c r="G137" s="237"/>
      <c r="H137" s="237"/>
      <c r="J137" s="44"/>
    </row>
    <row r="138" spans="1:17" s="46" customFormat="1" ht="66.75" customHeight="1" x14ac:dyDescent="0.25">
      <c r="A138" s="45"/>
      <c r="B138" s="239" t="s">
        <v>894</v>
      </c>
      <c r="C138" s="239"/>
      <c r="D138" s="239"/>
      <c r="E138" s="239"/>
      <c r="F138" s="239"/>
      <c r="G138" s="239"/>
      <c r="H138" s="239"/>
      <c r="I138"/>
      <c r="J138" s="44"/>
      <c r="K138"/>
      <c r="L138"/>
      <c r="M138"/>
      <c r="N138"/>
      <c r="O138"/>
      <c r="P138"/>
      <c r="Q138"/>
    </row>
    <row r="139" spans="1:17" x14ac:dyDescent="0.2">
      <c r="A139" s="42"/>
      <c r="B139" s="237" t="s">
        <v>895</v>
      </c>
      <c r="C139" s="237"/>
      <c r="D139" s="237"/>
      <c r="E139" s="237"/>
      <c r="F139" s="237"/>
      <c r="G139" s="237"/>
      <c r="H139" s="237"/>
      <c r="J139" s="44"/>
    </row>
    <row r="140" spans="1:17" x14ac:dyDescent="0.2">
      <c r="A140" s="47"/>
      <c r="B140" s="47"/>
      <c r="C140" s="47"/>
      <c r="D140" s="48"/>
      <c r="E140" s="48"/>
      <c r="F140" s="48"/>
      <c r="G140" s="48"/>
    </row>
    <row r="141" spans="1:17" x14ac:dyDescent="0.2">
      <c r="A141" s="47"/>
      <c r="B141" s="234" t="s">
        <v>177</v>
      </c>
      <c r="C141" s="235"/>
      <c r="D141" s="236"/>
      <c r="E141" s="49"/>
      <c r="F141" s="48"/>
      <c r="G141" s="48"/>
    </row>
    <row r="142" spans="1:17" x14ac:dyDescent="0.2">
      <c r="A142" s="47"/>
      <c r="B142" s="232" t="s">
        <v>178</v>
      </c>
      <c r="C142" s="233"/>
      <c r="D142" s="24" t="s">
        <v>179</v>
      </c>
      <c r="E142" s="49"/>
      <c r="F142" s="48"/>
      <c r="G142" s="48"/>
    </row>
    <row r="143" spans="1:17" ht="12.75" customHeight="1" x14ac:dyDescent="0.2">
      <c r="A143" s="47"/>
      <c r="B143" s="240" t="s">
        <v>897</v>
      </c>
      <c r="C143" s="241"/>
      <c r="D143" s="24" t="s">
        <v>179</v>
      </c>
      <c r="E143" s="49"/>
      <c r="F143" s="48"/>
      <c r="G143" s="48"/>
    </row>
    <row r="144" spans="1:17" x14ac:dyDescent="0.2">
      <c r="A144" s="47"/>
      <c r="B144" s="232" t="s">
        <v>181</v>
      </c>
      <c r="C144" s="233"/>
      <c r="D144" s="34" t="s">
        <v>148</v>
      </c>
      <c r="E144" s="49"/>
      <c r="F144" s="48"/>
      <c r="G144" s="48"/>
    </row>
    <row r="145" spans="1:10" x14ac:dyDescent="0.2">
      <c r="A145" s="50"/>
      <c r="B145" s="51" t="s">
        <v>148</v>
      </c>
      <c r="C145" s="51" t="s">
        <v>896</v>
      </c>
      <c r="D145" s="51" t="s">
        <v>182</v>
      </c>
      <c r="E145" s="50"/>
      <c r="F145" s="50"/>
      <c r="G145" s="50"/>
      <c r="H145" s="50"/>
      <c r="J145" s="44"/>
    </row>
    <row r="146" spans="1:10" x14ac:dyDescent="0.2">
      <c r="A146" s="50"/>
      <c r="B146" s="52" t="s">
        <v>183</v>
      </c>
      <c r="C146" s="53">
        <v>45688</v>
      </c>
      <c r="D146" s="53">
        <v>45716</v>
      </c>
      <c r="E146" s="50"/>
      <c r="F146" s="50"/>
      <c r="G146" s="50"/>
      <c r="J146" s="44"/>
    </row>
    <row r="147" spans="1:10" x14ac:dyDescent="0.2">
      <c r="A147" s="54"/>
      <c r="B147" s="27" t="s">
        <v>184</v>
      </c>
      <c r="C147" s="55">
        <v>14.3026</v>
      </c>
      <c r="D147" s="55">
        <v>13.3146</v>
      </c>
      <c r="E147" s="54"/>
      <c r="F147" s="56"/>
      <c r="G147" s="57"/>
    </row>
    <row r="148" spans="1:10" x14ac:dyDescent="0.2">
      <c r="A148" s="54"/>
      <c r="B148" s="27" t="s">
        <v>1070</v>
      </c>
      <c r="C148" s="55">
        <v>13.5665</v>
      </c>
      <c r="D148" s="55">
        <v>12.629300000000001</v>
      </c>
      <c r="E148" s="54"/>
      <c r="F148" s="56"/>
      <c r="G148" s="57"/>
    </row>
    <row r="149" spans="1:10" x14ac:dyDescent="0.2">
      <c r="A149" s="54"/>
      <c r="B149" s="27" t="s">
        <v>186</v>
      </c>
      <c r="C149" s="55">
        <v>13.7582</v>
      </c>
      <c r="D149" s="55">
        <v>12.7951</v>
      </c>
      <c r="E149" s="54"/>
      <c r="F149" s="56"/>
      <c r="G149" s="57"/>
    </row>
    <row r="150" spans="1:10" x14ac:dyDescent="0.2">
      <c r="A150" s="54"/>
      <c r="B150" s="27" t="s">
        <v>1071</v>
      </c>
      <c r="C150" s="55">
        <v>13.0502</v>
      </c>
      <c r="D150" s="55">
        <v>12.136699999999999</v>
      </c>
      <c r="E150" s="54"/>
      <c r="F150" s="56"/>
      <c r="G150" s="57"/>
    </row>
    <row r="151" spans="1:10" x14ac:dyDescent="0.2">
      <c r="A151" s="54"/>
      <c r="B151" s="54"/>
      <c r="C151" s="54"/>
      <c r="D151" s="54"/>
      <c r="E151" s="54"/>
      <c r="F151" s="54"/>
      <c r="G151" s="54"/>
    </row>
    <row r="152" spans="1:10" x14ac:dyDescent="0.2">
      <c r="A152" s="50"/>
      <c r="B152" s="240" t="s">
        <v>898</v>
      </c>
      <c r="C152" s="241"/>
      <c r="D152" s="58" t="s">
        <v>179</v>
      </c>
      <c r="E152" s="50"/>
      <c r="F152" s="50"/>
      <c r="G152" s="50"/>
    </row>
    <row r="153" spans="1:10" x14ac:dyDescent="0.2">
      <c r="A153" s="50"/>
      <c r="B153" s="59"/>
      <c r="C153" s="59"/>
      <c r="D153" s="59"/>
      <c r="E153" s="50"/>
      <c r="F153" s="50"/>
      <c r="G153" s="50"/>
    </row>
    <row r="154" spans="1:10" x14ac:dyDescent="0.2">
      <c r="A154" s="50"/>
      <c r="B154" s="240" t="s">
        <v>188</v>
      </c>
      <c r="C154" s="241"/>
      <c r="D154" s="58" t="s">
        <v>179</v>
      </c>
      <c r="E154" s="60"/>
      <c r="F154" s="50"/>
      <c r="G154" s="50"/>
    </row>
    <row r="155" spans="1:10" x14ac:dyDescent="0.2">
      <c r="A155" s="50"/>
      <c r="B155" s="240" t="s">
        <v>189</v>
      </c>
      <c r="C155" s="241"/>
      <c r="D155" s="58" t="s">
        <v>179</v>
      </c>
      <c r="E155" s="60"/>
      <c r="F155" s="50"/>
      <c r="G155" s="50"/>
    </row>
    <row r="156" spans="1:10" x14ac:dyDescent="0.2">
      <c r="A156" s="50"/>
      <c r="B156" s="240" t="s">
        <v>190</v>
      </c>
      <c r="C156" s="241"/>
      <c r="D156" s="58" t="s">
        <v>179</v>
      </c>
      <c r="E156" s="60"/>
      <c r="F156" s="50"/>
      <c r="G156" s="50"/>
    </row>
    <row r="157" spans="1:10" x14ac:dyDescent="0.2">
      <c r="A157" s="50"/>
      <c r="B157" s="240" t="s">
        <v>191</v>
      </c>
      <c r="C157" s="241"/>
      <c r="D157" s="61">
        <v>0.28308694136439994</v>
      </c>
      <c r="E157" s="50"/>
      <c r="F157" s="43"/>
      <c r="G157" s="62"/>
    </row>
    <row r="159" spans="1:10" x14ac:dyDescent="0.2">
      <c r="B159" s="238" t="s">
        <v>899</v>
      </c>
      <c r="C159" s="238"/>
    </row>
    <row r="161" spans="2:10" ht="153.75" customHeight="1" x14ac:dyDescent="0.2"/>
    <row r="164" spans="2:10" x14ac:dyDescent="0.2">
      <c r="B164" s="68" t="s">
        <v>900</v>
      </c>
      <c r="C164" s="69"/>
      <c r="D164" s="68" t="s">
        <v>903</v>
      </c>
    </row>
    <row r="165" spans="2:10" x14ac:dyDescent="0.2">
      <c r="B165" s="68" t="s">
        <v>1053</v>
      </c>
      <c r="D165" s="68" t="s">
        <v>1054</v>
      </c>
    </row>
    <row r="166" spans="2:10" ht="165" customHeight="1" x14ac:dyDescent="0.2"/>
    <row r="168" spans="2:10" x14ac:dyDescent="0.2">
      <c r="J168" s="22"/>
    </row>
  </sheetData>
  <mergeCells count="18">
    <mergeCell ref="B159:C159"/>
    <mergeCell ref="A3:H3"/>
    <mergeCell ref="A2:H2"/>
    <mergeCell ref="B157:C157"/>
    <mergeCell ref="A1:H1"/>
    <mergeCell ref="B143:C143"/>
    <mergeCell ref="B144:C144"/>
    <mergeCell ref="B152:C152"/>
    <mergeCell ref="B156:C156"/>
    <mergeCell ref="B141:D141"/>
    <mergeCell ref="B142:C142"/>
    <mergeCell ref="B135:H135"/>
    <mergeCell ref="B136:H136"/>
    <mergeCell ref="B137:H137"/>
    <mergeCell ref="B138:H138"/>
    <mergeCell ref="B139:H139"/>
    <mergeCell ref="B154:C154"/>
    <mergeCell ref="B155:C155"/>
  </mergeCells>
  <hyperlinks>
    <hyperlink ref="I1" location="Index!B2" display="Index" xr:uid="{D9B601C2-0E2E-4CB4-9249-2C44537CF60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01E8-DC42-4BC2-9EAA-79ACF7937370}">
  <sheetPr>
    <outlinePr summaryBelow="0" summaryRight="0"/>
  </sheetPr>
  <dimension ref="A1:Q134"/>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13.7109375" bestFit="1" customWidth="1"/>
    <col min="5" max="5" width="9"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833</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70" t="s">
        <v>847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1390056</v>
      </c>
      <c r="F7" s="29">
        <v>24081.330144</v>
      </c>
      <c r="G7" s="30">
        <v>0.18170663000000001</v>
      </c>
      <c r="H7" s="25" t="s">
        <v>148</v>
      </c>
    </row>
    <row r="8" spans="1:9" x14ac:dyDescent="0.2">
      <c r="A8" s="26">
        <v>2</v>
      </c>
      <c r="B8" s="27" t="s">
        <v>26</v>
      </c>
      <c r="C8" s="27" t="s">
        <v>27</v>
      </c>
      <c r="D8" s="27" t="s">
        <v>28</v>
      </c>
      <c r="E8" s="28">
        <v>1339673</v>
      </c>
      <c r="F8" s="29">
        <v>16131.002592999999</v>
      </c>
      <c r="G8" s="30">
        <v>0.12171712</v>
      </c>
      <c r="H8" s="25" t="s">
        <v>148</v>
      </c>
    </row>
    <row r="9" spans="1:9" x14ac:dyDescent="0.2">
      <c r="A9" s="26">
        <v>3</v>
      </c>
      <c r="B9" s="27" t="s">
        <v>336</v>
      </c>
      <c r="C9" s="27" t="s">
        <v>337</v>
      </c>
      <c r="D9" s="27" t="s">
        <v>28</v>
      </c>
      <c r="E9" s="28">
        <v>1259449</v>
      </c>
      <c r="F9" s="29">
        <v>12790.3343195</v>
      </c>
      <c r="G9" s="30">
        <v>9.650997E-2</v>
      </c>
      <c r="H9" s="25" t="s">
        <v>148</v>
      </c>
    </row>
    <row r="10" spans="1:9" x14ac:dyDescent="0.2">
      <c r="A10" s="26">
        <v>4</v>
      </c>
      <c r="B10" s="27" t="s">
        <v>38</v>
      </c>
      <c r="C10" s="27" t="s">
        <v>39</v>
      </c>
      <c r="D10" s="27" t="s">
        <v>28</v>
      </c>
      <c r="E10" s="28">
        <v>949469</v>
      </c>
      <c r="F10" s="29">
        <v>6539.9424719999997</v>
      </c>
      <c r="G10" s="30">
        <v>4.93474E-2</v>
      </c>
      <c r="H10" s="25" t="s">
        <v>148</v>
      </c>
    </row>
    <row r="11" spans="1:9" x14ac:dyDescent="0.2">
      <c r="A11" s="26">
        <v>5</v>
      </c>
      <c r="B11" s="27" t="s">
        <v>251</v>
      </c>
      <c r="C11" s="27" t="s">
        <v>252</v>
      </c>
      <c r="D11" s="27" t="s">
        <v>111</v>
      </c>
      <c r="E11" s="28">
        <v>1036445</v>
      </c>
      <c r="F11" s="29">
        <v>6397.9749849999998</v>
      </c>
      <c r="G11" s="30">
        <v>4.827617E-2</v>
      </c>
      <c r="H11" s="25" t="s">
        <v>148</v>
      </c>
    </row>
    <row r="12" spans="1:9" x14ac:dyDescent="0.2">
      <c r="A12" s="26">
        <v>6</v>
      </c>
      <c r="B12" s="27" t="s">
        <v>450</v>
      </c>
      <c r="C12" s="27" t="s">
        <v>451</v>
      </c>
      <c r="D12" s="27" t="s">
        <v>28</v>
      </c>
      <c r="E12" s="28">
        <v>601270</v>
      </c>
      <c r="F12" s="29">
        <v>5953.1742700000004</v>
      </c>
      <c r="G12" s="30">
        <v>4.491991E-2</v>
      </c>
      <c r="H12" s="25" t="s">
        <v>148</v>
      </c>
    </row>
    <row r="13" spans="1:9" x14ac:dyDescent="0.2">
      <c r="A13" s="26">
        <v>7</v>
      </c>
      <c r="B13" s="27" t="s">
        <v>344</v>
      </c>
      <c r="C13" s="27" t="s">
        <v>345</v>
      </c>
      <c r="D13" s="27" t="s">
        <v>111</v>
      </c>
      <c r="E13" s="28">
        <v>68102</v>
      </c>
      <c r="F13" s="29">
        <v>5809.3049060000003</v>
      </c>
      <c r="G13" s="30">
        <v>4.3834339999999999E-2</v>
      </c>
      <c r="H13" s="25" t="s">
        <v>148</v>
      </c>
    </row>
    <row r="14" spans="1:9" x14ac:dyDescent="0.2">
      <c r="A14" s="26">
        <v>8</v>
      </c>
      <c r="B14" s="27" t="s">
        <v>390</v>
      </c>
      <c r="C14" s="27" t="s">
        <v>391</v>
      </c>
      <c r="D14" s="27" t="s">
        <v>28</v>
      </c>
      <c r="E14" s="28">
        <v>15383384</v>
      </c>
      <c r="F14" s="29">
        <v>4942.6812792000001</v>
      </c>
      <c r="G14" s="30">
        <v>3.7295200000000001E-2</v>
      </c>
      <c r="H14" s="25" t="s">
        <v>148</v>
      </c>
    </row>
    <row r="15" spans="1:9" x14ac:dyDescent="0.2">
      <c r="A15" s="26">
        <v>9</v>
      </c>
      <c r="B15" s="27" t="s">
        <v>384</v>
      </c>
      <c r="C15" s="27" t="s">
        <v>385</v>
      </c>
      <c r="D15" s="27" t="s">
        <v>28</v>
      </c>
      <c r="E15" s="28">
        <v>1697765</v>
      </c>
      <c r="F15" s="29">
        <v>4800.4305375000004</v>
      </c>
      <c r="G15" s="30">
        <v>3.6221839999999998E-2</v>
      </c>
      <c r="H15" s="25" t="s">
        <v>148</v>
      </c>
    </row>
    <row r="16" spans="1:9" x14ac:dyDescent="0.2">
      <c r="A16" s="26">
        <v>10</v>
      </c>
      <c r="B16" s="27" t="s">
        <v>464</v>
      </c>
      <c r="C16" s="27" t="s">
        <v>465</v>
      </c>
      <c r="D16" s="27" t="s">
        <v>111</v>
      </c>
      <c r="E16" s="28">
        <v>616144</v>
      </c>
      <c r="F16" s="29">
        <v>4703.3352240000004</v>
      </c>
      <c r="G16" s="30">
        <v>3.5489199999999999E-2</v>
      </c>
      <c r="H16" s="25" t="s">
        <v>148</v>
      </c>
    </row>
    <row r="17" spans="1:8" x14ac:dyDescent="0.2">
      <c r="A17" s="26">
        <v>11</v>
      </c>
      <c r="B17" s="27" t="s">
        <v>346</v>
      </c>
      <c r="C17" s="27" t="s">
        <v>347</v>
      </c>
      <c r="D17" s="27" t="s">
        <v>28</v>
      </c>
      <c r="E17" s="28">
        <v>2208626</v>
      </c>
      <c r="F17" s="29">
        <v>4352.5392582000004</v>
      </c>
      <c r="G17" s="30">
        <v>3.2842259999999998E-2</v>
      </c>
      <c r="H17" s="25" t="s">
        <v>148</v>
      </c>
    </row>
    <row r="18" spans="1:8" x14ac:dyDescent="0.2">
      <c r="A18" s="26">
        <v>12</v>
      </c>
      <c r="B18" s="27" t="s">
        <v>404</v>
      </c>
      <c r="C18" s="27" t="s">
        <v>405</v>
      </c>
      <c r="D18" s="27" t="s">
        <v>111</v>
      </c>
      <c r="E18" s="28">
        <v>254025</v>
      </c>
      <c r="F18" s="29">
        <v>4170.8364750000001</v>
      </c>
      <c r="G18" s="30">
        <v>3.1471209999999999E-2</v>
      </c>
      <c r="H18" s="25" t="s">
        <v>148</v>
      </c>
    </row>
    <row r="19" spans="1:8" x14ac:dyDescent="0.2">
      <c r="A19" s="26">
        <v>13</v>
      </c>
      <c r="B19" s="27" t="s">
        <v>392</v>
      </c>
      <c r="C19" s="27" t="s">
        <v>393</v>
      </c>
      <c r="D19" s="27" t="s">
        <v>28</v>
      </c>
      <c r="E19" s="28">
        <v>7238410</v>
      </c>
      <c r="F19" s="29">
        <v>4116.4837669999997</v>
      </c>
      <c r="G19" s="30">
        <v>3.106109E-2</v>
      </c>
      <c r="H19" s="25" t="s">
        <v>148</v>
      </c>
    </row>
    <row r="20" spans="1:8" x14ac:dyDescent="0.2">
      <c r="A20" s="26">
        <v>14</v>
      </c>
      <c r="B20" s="27" t="s">
        <v>478</v>
      </c>
      <c r="C20" s="27" t="s">
        <v>479</v>
      </c>
      <c r="D20" s="27" t="s">
        <v>28</v>
      </c>
      <c r="E20" s="28">
        <v>3891197</v>
      </c>
      <c r="F20" s="29">
        <v>4056.5728724999999</v>
      </c>
      <c r="G20" s="30">
        <v>3.0609029999999999E-2</v>
      </c>
      <c r="H20" s="25" t="s">
        <v>148</v>
      </c>
    </row>
    <row r="21" spans="1:8" x14ac:dyDescent="0.2">
      <c r="A21" s="26">
        <v>15</v>
      </c>
      <c r="B21" s="27" t="s">
        <v>109</v>
      </c>
      <c r="C21" s="27" t="s">
        <v>110</v>
      </c>
      <c r="D21" s="27" t="s">
        <v>111</v>
      </c>
      <c r="E21" s="28">
        <v>1023011</v>
      </c>
      <c r="F21" s="29">
        <v>3685.908633</v>
      </c>
      <c r="G21" s="30">
        <v>2.7812170000000001E-2</v>
      </c>
      <c r="H21" s="25" t="s">
        <v>148</v>
      </c>
    </row>
    <row r="22" spans="1:8" x14ac:dyDescent="0.2">
      <c r="A22" s="26">
        <v>16</v>
      </c>
      <c r="B22" s="27" t="s">
        <v>268</v>
      </c>
      <c r="C22" s="27" t="s">
        <v>269</v>
      </c>
      <c r="D22" s="27" t="s">
        <v>270</v>
      </c>
      <c r="E22" s="28">
        <v>636027</v>
      </c>
      <c r="F22" s="29">
        <v>3508.324932</v>
      </c>
      <c r="G22" s="30">
        <v>2.6472209999999999E-2</v>
      </c>
      <c r="H22" s="25" t="s">
        <v>148</v>
      </c>
    </row>
    <row r="23" spans="1:8" x14ac:dyDescent="0.2">
      <c r="A23" s="26">
        <v>17</v>
      </c>
      <c r="B23" s="27" t="s">
        <v>300</v>
      </c>
      <c r="C23" s="27" t="s">
        <v>301</v>
      </c>
      <c r="D23" s="27" t="s">
        <v>111</v>
      </c>
      <c r="E23" s="28">
        <v>951553</v>
      </c>
      <c r="F23" s="29">
        <v>3466.5075790000001</v>
      </c>
      <c r="G23" s="30">
        <v>2.615667E-2</v>
      </c>
      <c r="H23" s="25" t="s">
        <v>148</v>
      </c>
    </row>
    <row r="24" spans="1:8" x14ac:dyDescent="0.2">
      <c r="A24" s="26">
        <v>18</v>
      </c>
      <c r="B24" s="27" t="s">
        <v>321</v>
      </c>
      <c r="C24" s="27" t="s">
        <v>322</v>
      </c>
      <c r="D24" s="27" t="s">
        <v>111</v>
      </c>
      <c r="E24" s="28">
        <v>121433</v>
      </c>
      <c r="F24" s="29">
        <v>2046.8139315000001</v>
      </c>
      <c r="G24" s="30">
        <v>1.5444319999999999E-2</v>
      </c>
      <c r="H24" s="25" t="s">
        <v>148</v>
      </c>
    </row>
    <row r="25" spans="1:8" x14ac:dyDescent="0.2">
      <c r="A25" s="26">
        <v>19</v>
      </c>
      <c r="B25" s="27" t="s">
        <v>416</v>
      </c>
      <c r="C25" s="27" t="s">
        <v>417</v>
      </c>
      <c r="D25" s="27" t="s">
        <v>111</v>
      </c>
      <c r="E25" s="28">
        <v>175698</v>
      </c>
      <c r="F25" s="29">
        <v>1614.840318</v>
      </c>
      <c r="G25" s="30">
        <v>1.2184840000000001E-2</v>
      </c>
      <c r="H25" s="25" t="s">
        <v>148</v>
      </c>
    </row>
    <row r="26" spans="1:8" x14ac:dyDescent="0.2">
      <c r="A26" s="26">
        <v>20</v>
      </c>
      <c r="B26" s="27" t="s">
        <v>513</v>
      </c>
      <c r="C26" s="27" t="s">
        <v>514</v>
      </c>
      <c r="D26" s="27" t="s">
        <v>28</v>
      </c>
      <c r="E26" s="28">
        <v>1240231</v>
      </c>
      <c r="F26" s="29">
        <v>1180.2038196000001</v>
      </c>
      <c r="G26" s="30">
        <v>8.9052799999999998E-3</v>
      </c>
      <c r="H26" s="25" t="s">
        <v>148</v>
      </c>
    </row>
    <row r="27" spans="1:8" x14ac:dyDescent="0.2">
      <c r="A27" s="26">
        <v>21</v>
      </c>
      <c r="B27" s="27" t="s">
        <v>500</v>
      </c>
      <c r="C27" s="27" t="s">
        <v>501</v>
      </c>
      <c r="D27" s="27" t="s">
        <v>240</v>
      </c>
      <c r="E27" s="28">
        <v>27147</v>
      </c>
      <c r="F27" s="29">
        <v>449.18783550000001</v>
      </c>
      <c r="G27" s="30">
        <v>3.3893700000000001E-3</v>
      </c>
      <c r="H27" s="25" t="s">
        <v>148</v>
      </c>
    </row>
    <row r="28" spans="1:8" x14ac:dyDescent="0.2">
      <c r="A28" s="26">
        <v>22</v>
      </c>
      <c r="B28" s="27" t="s">
        <v>394</v>
      </c>
      <c r="C28" s="27" t="s">
        <v>395</v>
      </c>
      <c r="D28" s="27" t="s">
        <v>240</v>
      </c>
      <c r="E28" s="28">
        <v>6</v>
      </c>
      <c r="F28" s="29">
        <v>0.13014899999999999</v>
      </c>
      <c r="G28" s="30" t="s">
        <v>146</v>
      </c>
      <c r="H28" s="25" t="s">
        <v>148</v>
      </c>
    </row>
    <row r="29" spans="1:8" x14ac:dyDescent="0.2">
      <c r="A29" s="23"/>
      <c r="B29" s="23"/>
      <c r="C29" s="24" t="s">
        <v>147</v>
      </c>
      <c r="D29" s="23"/>
      <c r="E29" s="23" t="s">
        <v>148</v>
      </c>
      <c r="F29" s="31">
        <v>124797.8603005</v>
      </c>
      <c r="G29" s="32">
        <v>0.94166720999999998</v>
      </c>
      <c r="H29" s="25" t="s">
        <v>148</v>
      </c>
    </row>
    <row r="30" spans="1:8" x14ac:dyDescent="0.2">
      <c r="A30" s="23"/>
      <c r="B30" s="23"/>
      <c r="C30" s="33"/>
      <c r="D30" s="23"/>
      <c r="E30" s="23"/>
      <c r="F30" s="34"/>
      <c r="G30" s="34"/>
      <c r="H30" s="25" t="s">
        <v>148</v>
      </c>
    </row>
    <row r="31" spans="1:8" x14ac:dyDescent="0.2">
      <c r="A31" s="23"/>
      <c r="B31" s="23"/>
      <c r="C31" s="24" t="s">
        <v>149</v>
      </c>
      <c r="D31" s="23"/>
      <c r="E31" s="23"/>
      <c r="F31" s="23"/>
      <c r="G31" s="23"/>
      <c r="H31" s="25" t="s">
        <v>148</v>
      </c>
    </row>
    <row r="32" spans="1:8" x14ac:dyDescent="0.2">
      <c r="A32" s="23"/>
      <c r="B32" s="23"/>
      <c r="C32" s="24" t="s">
        <v>147</v>
      </c>
      <c r="D32" s="23"/>
      <c r="E32" s="23" t="s">
        <v>148</v>
      </c>
      <c r="F32" s="35" t="s">
        <v>150</v>
      </c>
      <c r="G32" s="32">
        <v>0</v>
      </c>
      <c r="H32" s="25" t="s">
        <v>148</v>
      </c>
    </row>
    <row r="33" spans="1:8" x14ac:dyDescent="0.2">
      <c r="A33" s="23"/>
      <c r="B33" s="23"/>
      <c r="C33" s="33"/>
      <c r="D33" s="23"/>
      <c r="E33" s="23"/>
      <c r="F33" s="34"/>
      <c r="G33" s="34"/>
      <c r="H33" s="25" t="s">
        <v>148</v>
      </c>
    </row>
    <row r="34" spans="1:8" x14ac:dyDescent="0.2">
      <c r="A34" s="23"/>
      <c r="B34" s="23"/>
      <c r="C34" s="24" t="s">
        <v>151</v>
      </c>
      <c r="D34" s="23"/>
      <c r="E34" s="23"/>
      <c r="F34" s="23"/>
      <c r="G34" s="23"/>
      <c r="H34" s="25" t="s">
        <v>148</v>
      </c>
    </row>
    <row r="35" spans="1:8" x14ac:dyDescent="0.2">
      <c r="A35" s="23"/>
      <c r="B35" s="23"/>
      <c r="C35" s="24" t="s">
        <v>147</v>
      </c>
      <c r="D35" s="23"/>
      <c r="E35" s="23" t="s">
        <v>148</v>
      </c>
      <c r="F35" s="35" t="s">
        <v>150</v>
      </c>
      <c r="G35" s="32">
        <v>0</v>
      </c>
      <c r="H35" s="25" t="s">
        <v>148</v>
      </c>
    </row>
    <row r="36" spans="1:8" x14ac:dyDescent="0.2">
      <c r="A36" s="23"/>
      <c r="B36" s="23"/>
      <c r="C36" s="33"/>
      <c r="D36" s="23"/>
      <c r="E36" s="23"/>
      <c r="F36" s="34"/>
      <c r="G36" s="34"/>
      <c r="H36" s="25" t="s">
        <v>148</v>
      </c>
    </row>
    <row r="37" spans="1:8" x14ac:dyDescent="0.2">
      <c r="A37" s="23"/>
      <c r="B37" s="23"/>
      <c r="C37" s="24" t="s">
        <v>152</v>
      </c>
      <c r="D37" s="23"/>
      <c r="E37" s="23"/>
      <c r="F37" s="23"/>
      <c r="G37" s="23"/>
      <c r="H37" s="25" t="s">
        <v>148</v>
      </c>
    </row>
    <row r="38" spans="1:8" x14ac:dyDescent="0.2">
      <c r="A38" s="23"/>
      <c r="B38" s="23"/>
      <c r="C38" s="24" t="s">
        <v>147</v>
      </c>
      <c r="D38" s="23"/>
      <c r="E38" s="23" t="s">
        <v>148</v>
      </c>
      <c r="F38" s="35" t="s">
        <v>150</v>
      </c>
      <c r="G38" s="32">
        <v>0</v>
      </c>
      <c r="H38" s="25" t="s">
        <v>148</v>
      </c>
    </row>
    <row r="39" spans="1:8" x14ac:dyDescent="0.2">
      <c r="A39" s="23"/>
      <c r="B39" s="23"/>
      <c r="C39" s="33"/>
      <c r="D39" s="23"/>
      <c r="E39" s="23"/>
      <c r="F39" s="34"/>
      <c r="G39" s="34"/>
      <c r="H39" s="25" t="s">
        <v>148</v>
      </c>
    </row>
    <row r="40" spans="1:8" x14ac:dyDescent="0.2">
      <c r="A40" s="23"/>
      <c r="B40" s="23"/>
      <c r="C40" s="24" t="s">
        <v>153</v>
      </c>
      <c r="D40" s="23"/>
      <c r="E40" s="23"/>
      <c r="F40" s="34"/>
      <c r="G40" s="34"/>
      <c r="H40" s="25" t="s">
        <v>148</v>
      </c>
    </row>
    <row r="41" spans="1:8" x14ac:dyDescent="0.2">
      <c r="A41" s="23"/>
      <c r="B41" s="23"/>
      <c r="C41" s="24" t="s">
        <v>147</v>
      </c>
      <c r="D41" s="23"/>
      <c r="E41" s="23" t="s">
        <v>148</v>
      </c>
      <c r="F41" s="35" t="s">
        <v>150</v>
      </c>
      <c r="G41" s="32">
        <v>0</v>
      </c>
      <c r="H41" s="25" t="s">
        <v>148</v>
      </c>
    </row>
    <row r="42" spans="1:8" x14ac:dyDescent="0.2">
      <c r="A42" s="23"/>
      <c r="B42" s="23"/>
      <c r="C42" s="33"/>
      <c r="D42" s="23"/>
      <c r="E42" s="23"/>
      <c r="F42" s="34"/>
      <c r="G42" s="34"/>
      <c r="H42" s="25" t="s">
        <v>148</v>
      </c>
    </row>
    <row r="43" spans="1:8" x14ac:dyDescent="0.2">
      <c r="A43" s="23"/>
      <c r="B43" s="23"/>
      <c r="C43" s="24" t="s">
        <v>154</v>
      </c>
      <c r="D43" s="23"/>
      <c r="E43" s="23"/>
      <c r="F43" s="34"/>
      <c r="G43" s="34"/>
      <c r="H43" s="25" t="s">
        <v>148</v>
      </c>
    </row>
    <row r="44" spans="1:8" x14ac:dyDescent="0.2">
      <c r="A44" s="26">
        <v>1</v>
      </c>
      <c r="B44" s="27"/>
      <c r="C44" s="27" t="s">
        <v>915</v>
      </c>
      <c r="D44" s="27" t="s">
        <v>519</v>
      </c>
      <c r="E44" s="28">
        <v>60600</v>
      </c>
      <c r="F44" s="29">
        <v>1186.548</v>
      </c>
      <c r="G44" s="30">
        <v>8.95315E-3</v>
      </c>
      <c r="H44" s="25" t="s">
        <v>148</v>
      </c>
    </row>
    <row r="45" spans="1:8" x14ac:dyDescent="0.2">
      <c r="A45" s="23"/>
      <c r="B45" s="23"/>
      <c r="C45" s="24" t="s">
        <v>147</v>
      </c>
      <c r="D45" s="23"/>
      <c r="E45" s="23" t="s">
        <v>148</v>
      </c>
      <c r="F45" s="31">
        <v>1186.548</v>
      </c>
      <c r="G45" s="32">
        <v>8.95315E-3</v>
      </c>
      <c r="H45" s="25" t="s">
        <v>148</v>
      </c>
    </row>
    <row r="46" spans="1:8" x14ac:dyDescent="0.2">
      <c r="A46" s="23"/>
      <c r="B46" s="23"/>
      <c r="C46" s="33"/>
      <c r="D46" s="23"/>
      <c r="E46" s="23"/>
      <c r="F46" s="34"/>
      <c r="G46" s="34"/>
      <c r="H46" s="25" t="s">
        <v>148</v>
      </c>
    </row>
    <row r="47" spans="1:8" x14ac:dyDescent="0.2">
      <c r="A47" s="23"/>
      <c r="B47" s="23"/>
      <c r="C47" s="24" t="s">
        <v>155</v>
      </c>
      <c r="D47" s="23"/>
      <c r="E47" s="23"/>
      <c r="F47" s="31">
        <v>125984.4083005</v>
      </c>
      <c r="G47" s="32">
        <v>0.95062036000000005</v>
      </c>
      <c r="H47" s="25" t="s">
        <v>148</v>
      </c>
    </row>
    <row r="48" spans="1:8" x14ac:dyDescent="0.2">
      <c r="A48" s="23"/>
      <c r="B48" s="23"/>
      <c r="C48" s="33"/>
      <c r="D48" s="23"/>
      <c r="E48" s="23"/>
      <c r="F48" s="34"/>
      <c r="G48" s="34"/>
      <c r="H48" s="25" t="s">
        <v>148</v>
      </c>
    </row>
    <row r="49" spans="1:8" x14ac:dyDescent="0.2">
      <c r="A49" s="23"/>
      <c r="B49" s="23"/>
      <c r="C49" s="24" t="s">
        <v>156</v>
      </c>
      <c r="D49" s="23"/>
      <c r="E49" s="23"/>
      <c r="F49" s="34"/>
      <c r="G49" s="34"/>
      <c r="H49" s="25" t="s">
        <v>148</v>
      </c>
    </row>
    <row r="50" spans="1:8" x14ac:dyDescent="0.2">
      <c r="A50" s="23"/>
      <c r="B50" s="23"/>
      <c r="C50" s="24" t="s">
        <v>10</v>
      </c>
      <c r="D50" s="23"/>
      <c r="E50" s="23"/>
      <c r="F50" s="34"/>
      <c r="G50" s="34"/>
      <c r="H50" s="25" t="s">
        <v>148</v>
      </c>
    </row>
    <row r="51" spans="1:8" x14ac:dyDescent="0.2">
      <c r="A51" s="23"/>
      <c r="B51" s="23"/>
      <c r="C51" s="24" t="s">
        <v>147</v>
      </c>
      <c r="D51" s="23"/>
      <c r="E51" s="23" t="s">
        <v>148</v>
      </c>
      <c r="F51" s="35" t="s">
        <v>150</v>
      </c>
      <c r="G51" s="32">
        <v>0</v>
      </c>
      <c r="H51" s="25" t="s">
        <v>148</v>
      </c>
    </row>
    <row r="52" spans="1:8" x14ac:dyDescent="0.2">
      <c r="A52" s="23"/>
      <c r="B52" s="23"/>
      <c r="C52" s="33"/>
      <c r="D52" s="23"/>
      <c r="E52" s="23"/>
      <c r="F52" s="34"/>
      <c r="G52" s="34"/>
      <c r="H52" s="25" t="s">
        <v>148</v>
      </c>
    </row>
    <row r="53" spans="1:8" x14ac:dyDescent="0.2">
      <c r="A53" s="23"/>
      <c r="B53" s="23"/>
      <c r="C53" s="24" t="s">
        <v>157</v>
      </c>
      <c r="D53" s="23"/>
      <c r="E53" s="23"/>
      <c r="F53" s="23"/>
      <c r="G53" s="23"/>
      <c r="H53" s="25" t="s">
        <v>148</v>
      </c>
    </row>
    <row r="54" spans="1:8" x14ac:dyDescent="0.2">
      <c r="A54" s="23"/>
      <c r="B54" s="23"/>
      <c r="C54" s="24" t="s">
        <v>147</v>
      </c>
      <c r="D54" s="23"/>
      <c r="E54" s="23" t="s">
        <v>148</v>
      </c>
      <c r="F54" s="35" t="s">
        <v>150</v>
      </c>
      <c r="G54" s="32">
        <v>0</v>
      </c>
      <c r="H54" s="25" t="s">
        <v>148</v>
      </c>
    </row>
    <row r="55" spans="1:8" x14ac:dyDescent="0.2">
      <c r="A55" s="23"/>
      <c r="B55" s="23"/>
      <c r="C55" s="33"/>
      <c r="D55" s="23"/>
      <c r="E55" s="23"/>
      <c r="F55" s="34"/>
      <c r="G55" s="34"/>
      <c r="H55" s="25" t="s">
        <v>148</v>
      </c>
    </row>
    <row r="56" spans="1:8" x14ac:dyDescent="0.2">
      <c r="A56" s="23"/>
      <c r="B56" s="23"/>
      <c r="C56" s="24" t="s">
        <v>158</v>
      </c>
      <c r="D56" s="23"/>
      <c r="E56" s="23"/>
      <c r="F56" s="23"/>
      <c r="G56" s="23"/>
      <c r="H56" s="25" t="s">
        <v>148</v>
      </c>
    </row>
    <row r="57" spans="1:8" x14ac:dyDescent="0.2">
      <c r="A57" s="23"/>
      <c r="B57" s="23"/>
      <c r="C57" s="24" t="s">
        <v>147</v>
      </c>
      <c r="D57" s="23"/>
      <c r="E57" s="23" t="s">
        <v>148</v>
      </c>
      <c r="F57" s="35" t="s">
        <v>150</v>
      </c>
      <c r="G57" s="32">
        <v>0</v>
      </c>
      <c r="H57" s="25" t="s">
        <v>148</v>
      </c>
    </row>
    <row r="58" spans="1:8" x14ac:dyDescent="0.2">
      <c r="A58" s="23"/>
      <c r="B58" s="23"/>
      <c r="C58" s="33"/>
      <c r="D58" s="23"/>
      <c r="E58" s="23"/>
      <c r="F58" s="34"/>
      <c r="G58" s="34"/>
      <c r="H58" s="25" t="s">
        <v>148</v>
      </c>
    </row>
    <row r="59" spans="1:8" x14ac:dyDescent="0.2">
      <c r="A59" s="23"/>
      <c r="B59" s="23"/>
      <c r="C59" s="24" t="s">
        <v>159</v>
      </c>
      <c r="D59" s="23"/>
      <c r="E59" s="23"/>
      <c r="F59" s="34"/>
      <c r="G59" s="34"/>
      <c r="H59" s="25" t="s">
        <v>148</v>
      </c>
    </row>
    <row r="60" spans="1:8" x14ac:dyDescent="0.2">
      <c r="A60" s="23"/>
      <c r="B60" s="23"/>
      <c r="C60" s="24" t="s">
        <v>147</v>
      </c>
      <c r="D60" s="23"/>
      <c r="E60" s="23" t="s">
        <v>148</v>
      </c>
      <c r="F60" s="35" t="s">
        <v>150</v>
      </c>
      <c r="G60" s="32">
        <v>0</v>
      </c>
      <c r="H60" s="25" t="s">
        <v>148</v>
      </c>
    </row>
    <row r="61" spans="1:8" x14ac:dyDescent="0.2">
      <c r="A61" s="23"/>
      <c r="B61" s="23"/>
      <c r="C61" s="33"/>
      <c r="D61" s="23"/>
      <c r="E61" s="23"/>
      <c r="F61" s="34"/>
      <c r="G61" s="34"/>
      <c r="H61" s="25" t="s">
        <v>148</v>
      </c>
    </row>
    <row r="62" spans="1:8" x14ac:dyDescent="0.2">
      <c r="A62" s="23"/>
      <c r="B62" s="23"/>
      <c r="C62" s="24" t="s">
        <v>160</v>
      </c>
      <c r="D62" s="23"/>
      <c r="E62" s="23"/>
      <c r="F62" s="31">
        <v>0</v>
      </c>
      <c r="G62" s="32">
        <v>0</v>
      </c>
      <c r="H62" s="25" t="s">
        <v>148</v>
      </c>
    </row>
    <row r="63" spans="1:8" x14ac:dyDescent="0.2">
      <c r="A63" s="23"/>
      <c r="B63" s="23"/>
      <c r="C63" s="33"/>
      <c r="D63" s="23"/>
      <c r="E63" s="23"/>
      <c r="F63" s="34"/>
      <c r="G63" s="34"/>
      <c r="H63" s="25" t="s">
        <v>148</v>
      </c>
    </row>
    <row r="64" spans="1:8" x14ac:dyDescent="0.2">
      <c r="A64" s="23"/>
      <c r="B64" s="23"/>
      <c r="C64" s="24" t="s">
        <v>161</v>
      </c>
      <c r="D64" s="23"/>
      <c r="E64" s="23"/>
      <c r="F64" s="34"/>
      <c r="G64" s="34"/>
      <c r="H64" s="25" t="s">
        <v>148</v>
      </c>
    </row>
    <row r="65" spans="1:8" x14ac:dyDescent="0.2">
      <c r="A65" s="23"/>
      <c r="B65" s="23"/>
      <c r="C65" s="24" t="s">
        <v>162</v>
      </c>
      <c r="D65" s="23"/>
      <c r="E65" s="23"/>
      <c r="F65" s="34"/>
      <c r="G65" s="34"/>
      <c r="H65" s="25" t="s">
        <v>148</v>
      </c>
    </row>
    <row r="66" spans="1:8" x14ac:dyDescent="0.2">
      <c r="A66" s="23"/>
      <c r="B66" s="23"/>
      <c r="C66" s="24" t="s">
        <v>147</v>
      </c>
      <c r="D66" s="23"/>
      <c r="E66" s="23" t="s">
        <v>148</v>
      </c>
      <c r="F66" s="35" t="s">
        <v>150</v>
      </c>
      <c r="G66" s="32">
        <v>0</v>
      </c>
      <c r="H66" s="25" t="s">
        <v>148</v>
      </c>
    </row>
    <row r="67" spans="1:8" x14ac:dyDescent="0.2">
      <c r="A67" s="23"/>
      <c r="B67" s="23"/>
      <c r="C67" s="33"/>
      <c r="D67" s="23"/>
      <c r="E67" s="23"/>
      <c r="F67" s="34"/>
      <c r="G67" s="34"/>
      <c r="H67" s="25" t="s">
        <v>148</v>
      </c>
    </row>
    <row r="68" spans="1:8" x14ac:dyDescent="0.2">
      <c r="A68" s="23"/>
      <c r="B68" s="23"/>
      <c r="C68" s="24" t="s">
        <v>163</v>
      </c>
      <c r="D68" s="23"/>
      <c r="E68" s="23"/>
      <c r="F68" s="34"/>
      <c r="G68" s="34"/>
      <c r="H68" s="25" t="s">
        <v>148</v>
      </c>
    </row>
    <row r="69" spans="1:8" x14ac:dyDescent="0.2">
      <c r="A69" s="23"/>
      <c r="B69" s="23"/>
      <c r="C69" s="24" t="s">
        <v>147</v>
      </c>
      <c r="D69" s="23"/>
      <c r="E69" s="23" t="s">
        <v>148</v>
      </c>
      <c r="F69" s="35" t="s">
        <v>150</v>
      </c>
      <c r="G69" s="32">
        <v>0</v>
      </c>
      <c r="H69" s="25" t="s">
        <v>148</v>
      </c>
    </row>
    <row r="70" spans="1:8" x14ac:dyDescent="0.2">
      <c r="A70" s="23"/>
      <c r="B70" s="23"/>
      <c r="C70" s="33"/>
      <c r="D70" s="23"/>
      <c r="E70" s="23"/>
      <c r="F70" s="34"/>
      <c r="G70" s="34"/>
      <c r="H70" s="25" t="s">
        <v>148</v>
      </c>
    </row>
    <row r="71" spans="1:8" x14ac:dyDescent="0.2">
      <c r="A71" s="23"/>
      <c r="B71" s="23"/>
      <c r="C71" s="24" t="s">
        <v>164</v>
      </c>
      <c r="D71" s="23"/>
      <c r="E71" s="23"/>
      <c r="F71" s="34"/>
      <c r="G71" s="34"/>
      <c r="H71" s="25" t="s">
        <v>148</v>
      </c>
    </row>
    <row r="72" spans="1:8" x14ac:dyDescent="0.2">
      <c r="A72" s="26">
        <v>1</v>
      </c>
      <c r="B72" s="27" t="s">
        <v>660</v>
      </c>
      <c r="C72" s="27" t="s">
        <v>1089</v>
      </c>
      <c r="D72" s="27" t="s">
        <v>521</v>
      </c>
      <c r="E72" s="28">
        <v>1500000</v>
      </c>
      <c r="F72" s="29">
        <v>1449.5820000000001</v>
      </c>
      <c r="G72" s="30">
        <v>1.0937880000000001E-2</v>
      </c>
      <c r="H72" s="25">
        <v>6.5438000000000001</v>
      </c>
    </row>
    <row r="73" spans="1:8" x14ac:dyDescent="0.2">
      <c r="A73" s="23"/>
      <c r="B73" s="23"/>
      <c r="C73" s="24" t="s">
        <v>147</v>
      </c>
      <c r="D73" s="23"/>
      <c r="E73" s="23" t="s">
        <v>148</v>
      </c>
      <c r="F73" s="31">
        <v>1449.5820000000001</v>
      </c>
      <c r="G73" s="32">
        <v>1.0937880000000001E-2</v>
      </c>
      <c r="H73" s="25" t="s">
        <v>148</v>
      </c>
    </row>
    <row r="74" spans="1:8" x14ac:dyDescent="0.2">
      <c r="A74" s="23"/>
      <c r="B74" s="23"/>
      <c r="C74" s="33"/>
      <c r="D74" s="23"/>
      <c r="E74" s="23"/>
      <c r="F74" s="34"/>
      <c r="G74" s="34"/>
      <c r="H74" s="25" t="s">
        <v>148</v>
      </c>
    </row>
    <row r="75" spans="1:8" x14ac:dyDescent="0.2">
      <c r="A75" s="23"/>
      <c r="B75" s="23"/>
      <c r="C75" s="24" t="s">
        <v>165</v>
      </c>
      <c r="D75" s="23"/>
      <c r="E75" s="23"/>
      <c r="F75" s="34"/>
      <c r="G75" s="34"/>
      <c r="H75" s="25" t="s">
        <v>148</v>
      </c>
    </row>
    <row r="76" spans="1:8" x14ac:dyDescent="0.2">
      <c r="A76" s="26">
        <v>1</v>
      </c>
      <c r="B76" s="27"/>
      <c r="C76" s="27" t="s">
        <v>166</v>
      </c>
      <c r="D76" s="27"/>
      <c r="E76" s="36"/>
      <c r="F76" s="29">
        <v>6048.936718684</v>
      </c>
      <c r="G76" s="30">
        <v>4.5642490000000001E-2</v>
      </c>
      <c r="H76" s="25">
        <v>6.23</v>
      </c>
    </row>
    <row r="77" spans="1:8" x14ac:dyDescent="0.2">
      <c r="A77" s="23"/>
      <c r="B77" s="23"/>
      <c r="C77" s="24" t="s">
        <v>147</v>
      </c>
      <c r="D77" s="23"/>
      <c r="E77" s="23" t="s">
        <v>148</v>
      </c>
      <c r="F77" s="31">
        <v>6048.936718684</v>
      </c>
      <c r="G77" s="32">
        <v>4.5642490000000001E-2</v>
      </c>
      <c r="H77" s="25" t="s">
        <v>148</v>
      </c>
    </row>
    <row r="78" spans="1:8" x14ac:dyDescent="0.2">
      <c r="A78" s="23"/>
      <c r="B78" s="23"/>
      <c r="C78" s="33"/>
      <c r="D78" s="23"/>
      <c r="E78" s="23"/>
      <c r="F78" s="34"/>
      <c r="G78" s="34"/>
      <c r="H78" s="25" t="s">
        <v>148</v>
      </c>
    </row>
    <row r="79" spans="1:8" x14ac:dyDescent="0.2">
      <c r="A79" s="23"/>
      <c r="B79" s="23"/>
      <c r="C79" s="24" t="s">
        <v>167</v>
      </c>
      <c r="D79" s="23"/>
      <c r="E79" s="23"/>
      <c r="F79" s="31">
        <v>7498.5187186840003</v>
      </c>
      <c r="G79" s="32">
        <v>5.6580369999999998E-2</v>
      </c>
      <c r="H79" s="25" t="s">
        <v>148</v>
      </c>
    </row>
    <row r="80" spans="1:8" x14ac:dyDescent="0.2">
      <c r="A80" s="23"/>
      <c r="B80" s="23"/>
      <c r="C80" s="34"/>
      <c r="D80" s="23"/>
      <c r="E80" s="23"/>
      <c r="F80" s="23"/>
      <c r="G80" s="23"/>
      <c r="H80" s="25" t="s">
        <v>148</v>
      </c>
    </row>
    <row r="81" spans="1:10" x14ac:dyDescent="0.2">
      <c r="A81" s="23"/>
      <c r="B81" s="23"/>
      <c r="C81" s="24" t="s">
        <v>168</v>
      </c>
      <c r="D81" s="23"/>
      <c r="E81" s="23"/>
      <c r="F81" s="23"/>
      <c r="G81" s="23"/>
      <c r="H81" s="25" t="s">
        <v>148</v>
      </c>
    </row>
    <row r="82" spans="1:10" x14ac:dyDescent="0.2">
      <c r="A82" s="23"/>
      <c r="B82" s="23"/>
      <c r="C82" s="24" t="s">
        <v>169</v>
      </c>
      <c r="D82" s="23"/>
      <c r="E82" s="23"/>
      <c r="F82" s="23"/>
      <c r="G82" s="23"/>
      <c r="H82" s="25" t="s">
        <v>148</v>
      </c>
    </row>
    <row r="83" spans="1:10" x14ac:dyDescent="0.2">
      <c r="A83" s="23"/>
      <c r="B83" s="23"/>
      <c r="C83" s="24" t="s">
        <v>147</v>
      </c>
      <c r="D83" s="23"/>
      <c r="E83" s="23" t="s">
        <v>148</v>
      </c>
      <c r="F83" s="35" t="s">
        <v>150</v>
      </c>
      <c r="G83" s="32">
        <v>0</v>
      </c>
      <c r="H83" s="25" t="s">
        <v>148</v>
      </c>
    </row>
    <row r="84" spans="1:10" x14ac:dyDescent="0.2">
      <c r="A84" s="23"/>
      <c r="B84" s="23"/>
      <c r="C84" s="33"/>
      <c r="D84" s="23"/>
      <c r="E84" s="23"/>
      <c r="F84" s="34"/>
      <c r="G84" s="34"/>
      <c r="H84" s="25" t="s">
        <v>148</v>
      </c>
    </row>
    <row r="85" spans="1:10" x14ac:dyDescent="0.2">
      <c r="A85" s="23"/>
      <c r="B85" s="23"/>
      <c r="C85" s="24" t="s">
        <v>172</v>
      </c>
      <c r="D85" s="23"/>
      <c r="E85" s="23"/>
      <c r="F85" s="23"/>
      <c r="G85" s="23"/>
      <c r="H85" s="25" t="s">
        <v>148</v>
      </c>
    </row>
    <row r="86" spans="1:10" x14ac:dyDescent="0.2">
      <c r="A86" s="23"/>
      <c r="B86" s="23"/>
      <c r="C86" s="24" t="s">
        <v>173</v>
      </c>
      <c r="D86" s="23"/>
      <c r="E86" s="23"/>
      <c r="F86" s="23"/>
      <c r="G86" s="23"/>
      <c r="H86" s="25" t="s">
        <v>148</v>
      </c>
    </row>
    <row r="87" spans="1:10" x14ac:dyDescent="0.2">
      <c r="A87" s="23"/>
      <c r="B87" s="23"/>
      <c r="C87" s="24" t="s">
        <v>147</v>
      </c>
      <c r="D87" s="23"/>
      <c r="E87" s="23" t="s">
        <v>148</v>
      </c>
      <c r="F87" s="35" t="s">
        <v>150</v>
      </c>
      <c r="G87" s="32">
        <v>0</v>
      </c>
      <c r="H87" s="25" t="s">
        <v>148</v>
      </c>
    </row>
    <row r="88" spans="1:10" x14ac:dyDescent="0.2">
      <c r="A88" s="23"/>
      <c r="B88" s="23"/>
      <c r="C88" s="33"/>
      <c r="D88" s="23"/>
      <c r="E88" s="23"/>
      <c r="F88" s="34"/>
      <c r="G88" s="34"/>
      <c r="H88" s="25" t="s">
        <v>148</v>
      </c>
    </row>
    <row r="89" spans="1:10" x14ac:dyDescent="0.2">
      <c r="A89" s="23"/>
      <c r="B89" s="23"/>
      <c r="C89" s="24" t="s">
        <v>174</v>
      </c>
      <c r="D89" s="23"/>
      <c r="E89" s="23"/>
      <c r="F89" s="34"/>
      <c r="G89" s="34"/>
      <c r="H89" s="25" t="s">
        <v>148</v>
      </c>
    </row>
    <row r="90" spans="1:10" x14ac:dyDescent="0.2">
      <c r="A90" s="23"/>
      <c r="B90" s="23"/>
      <c r="C90" s="24" t="s">
        <v>147</v>
      </c>
      <c r="D90" s="23"/>
      <c r="E90" s="23" t="s">
        <v>148</v>
      </c>
      <c r="F90" s="35" t="s">
        <v>150</v>
      </c>
      <c r="G90" s="32">
        <v>0</v>
      </c>
      <c r="H90" s="25" t="s">
        <v>148</v>
      </c>
    </row>
    <row r="91" spans="1:10" x14ac:dyDescent="0.2">
      <c r="A91" s="23"/>
      <c r="B91" s="23"/>
      <c r="C91" s="33"/>
      <c r="D91" s="23"/>
      <c r="E91" s="23"/>
      <c r="F91" s="34"/>
      <c r="G91" s="34"/>
      <c r="H91" s="25" t="s">
        <v>148</v>
      </c>
    </row>
    <row r="92" spans="1:10" x14ac:dyDescent="0.2">
      <c r="A92" s="36"/>
      <c r="B92" s="27"/>
      <c r="C92" s="27" t="s">
        <v>522</v>
      </c>
      <c r="D92" s="27"/>
      <c r="E92" s="36"/>
      <c r="F92" s="29">
        <v>565.67009419999999</v>
      </c>
      <c r="G92" s="30">
        <v>4.2682900000000001E-3</v>
      </c>
      <c r="H92" s="25" t="s">
        <v>148</v>
      </c>
    </row>
    <row r="93" spans="1:10" x14ac:dyDescent="0.2">
      <c r="A93" s="36"/>
      <c r="B93" s="27"/>
      <c r="C93" s="38" t="s">
        <v>917</v>
      </c>
      <c r="D93" s="27"/>
      <c r="E93" s="36"/>
      <c r="F93" s="29">
        <v>-1519.9696829300001</v>
      </c>
      <c r="G93" s="30">
        <v>-1.146899E-2</v>
      </c>
      <c r="H93" s="25" t="s">
        <v>148</v>
      </c>
    </row>
    <row r="94" spans="1:10" x14ac:dyDescent="0.2">
      <c r="A94" s="33"/>
      <c r="B94" s="33"/>
      <c r="C94" s="24" t="s">
        <v>176</v>
      </c>
      <c r="D94" s="34"/>
      <c r="E94" s="34"/>
      <c r="F94" s="31">
        <v>132528.62743045401</v>
      </c>
      <c r="G94" s="39">
        <v>1.00000003</v>
      </c>
      <c r="H94" s="25" t="s">
        <v>148</v>
      </c>
    </row>
    <row r="95" spans="1:10" x14ac:dyDescent="0.2">
      <c r="A95" s="40"/>
      <c r="B95" s="40"/>
      <c r="C95" s="40"/>
      <c r="D95" s="41"/>
      <c r="E95" s="41"/>
      <c r="F95" s="41"/>
      <c r="G95" s="41"/>
    </row>
    <row r="96" spans="1:10" x14ac:dyDescent="0.2">
      <c r="A96" s="42"/>
      <c r="B96" s="237" t="s">
        <v>891</v>
      </c>
      <c r="C96" s="237"/>
      <c r="D96" s="237"/>
      <c r="E96" s="237"/>
      <c r="F96" s="237"/>
      <c r="G96" s="237"/>
      <c r="H96" s="237"/>
      <c r="J96" s="44"/>
    </row>
    <row r="97" spans="1:17" x14ac:dyDescent="0.2">
      <c r="A97" s="42"/>
      <c r="B97" s="237" t="s">
        <v>892</v>
      </c>
      <c r="C97" s="237"/>
      <c r="D97" s="237"/>
      <c r="E97" s="237"/>
      <c r="F97" s="237"/>
      <c r="G97" s="237"/>
      <c r="H97" s="237"/>
      <c r="J97" s="44"/>
    </row>
    <row r="98" spans="1:17" x14ac:dyDescent="0.2">
      <c r="A98" s="42"/>
      <c r="B98" s="237" t="s">
        <v>893</v>
      </c>
      <c r="C98" s="237"/>
      <c r="D98" s="237"/>
      <c r="E98" s="237"/>
      <c r="F98" s="237"/>
      <c r="G98" s="237"/>
      <c r="H98" s="237"/>
      <c r="J98" s="44"/>
    </row>
    <row r="99" spans="1:17" s="46" customFormat="1" ht="66.75" customHeight="1" x14ac:dyDescent="0.25">
      <c r="A99" s="45"/>
      <c r="B99" s="239" t="s">
        <v>894</v>
      </c>
      <c r="C99" s="239"/>
      <c r="D99" s="239"/>
      <c r="E99" s="239"/>
      <c r="F99" s="239"/>
      <c r="G99" s="239"/>
      <c r="H99" s="239"/>
      <c r="I99"/>
      <c r="J99" s="44"/>
      <c r="K99"/>
      <c r="L99"/>
      <c r="M99"/>
      <c r="N99"/>
      <c r="O99"/>
      <c r="P99"/>
      <c r="Q99"/>
    </row>
    <row r="100" spans="1:17" x14ac:dyDescent="0.2">
      <c r="A100" s="42"/>
      <c r="B100" s="237" t="s">
        <v>895</v>
      </c>
      <c r="C100" s="237"/>
      <c r="D100" s="237"/>
      <c r="E100" s="237"/>
      <c r="F100" s="237"/>
      <c r="G100" s="237"/>
      <c r="H100" s="237"/>
      <c r="J100" s="44"/>
    </row>
    <row r="101" spans="1:17" x14ac:dyDescent="0.2">
      <c r="A101" s="47"/>
      <c r="B101" s="47"/>
      <c r="C101" s="47"/>
      <c r="D101" s="48"/>
      <c r="E101" s="48"/>
      <c r="F101" s="48"/>
      <c r="G101" s="48"/>
    </row>
    <row r="102" spans="1:17" x14ac:dyDescent="0.2">
      <c r="A102" s="47"/>
      <c r="B102" s="234" t="s">
        <v>177</v>
      </c>
      <c r="C102" s="235"/>
      <c r="D102" s="236"/>
      <c r="E102" s="49"/>
      <c r="F102" s="48"/>
      <c r="G102" s="48"/>
    </row>
    <row r="103" spans="1:17" x14ac:dyDescent="0.2">
      <c r="A103" s="47"/>
      <c r="B103" s="232" t="s">
        <v>178</v>
      </c>
      <c r="C103" s="233"/>
      <c r="D103" s="24" t="s">
        <v>179</v>
      </c>
      <c r="E103" s="49"/>
      <c r="F103" s="48"/>
      <c r="G103" s="48"/>
    </row>
    <row r="104" spans="1:17" ht="12.75" customHeight="1" x14ac:dyDescent="0.2">
      <c r="A104" s="47"/>
      <c r="B104" s="240" t="s">
        <v>897</v>
      </c>
      <c r="C104" s="241"/>
      <c r="D104" s="24" t="s">
        <v>179</v>
      </c>
      <c r="E104" s="49"/>
      <c r="F104" s="48"/>
      <c r="G104" s="48"/>
    </row>
    <row r="105" spans="1:17" x14ac:dyDescent="0.2">
      <c r="A105" s="47"/>
      <c r="B105" s="232" t="s">
        <v>181</v>
      </c>
      <c r="C105" s="233"/>
      <c r="D105" s="34" t="s">
        <v>148</v>
      </c>
      <c r="E105" s="49"/>
      <c r="F105" s="48"/>
      <c r="G105" s="48"/>
    </row>
    <row r="106" spans="1:17" x14ac:dyDescent="0.2">
      <c r="A106" s="50"/>
      <c r="B106" s="51" t="s">
        <v>148</v>
      </c>
      <c r="C106" s="51" t="s">
        <v>896</v>
      </c>
      <c r="D106" s="51" t="s">
        <v>182</v>
      </c>
      <c r="E106" s="50"/>
      <c r="F106" s="50"/>
      <c r="G106" s="50"/>
      <c r="H106" s="50"/>
      <c r="J106" s="44"/>
    </row>
    <row r="107" spans="1:17" x14ac:dyDescent="0.2">
      <c r="A107" s="50"/>
      <c r="B107" s="52" t="s">
        <v>183</v>
      </c>
      <c r="C107" s="53">
        <v>45688</v>
      </c>
      <c r="D107" s="53">
        <v>45716</v>
      </c>
      <c r="E107" s="50"/>
      <c r="F107" s="50"/>
      <c r="G107" s="50"/>
      <c r="J107" s="44"/>
    </row>
    <row r="108" spans="1:17" x14ac:dyDescent="0.2">
      <c r="A108" s="54"/>
      <c r="B108" s="27" t="s">
        <v>184</v>
      </c>
      <c r="C108" s="55">
        <v>104.2236</v>
      </c>
      <c r="D108" s="55">
        <v>100.48650000000001</v>
      </c>
      <c r="E108" s="54"/>
      <c r="F108" s="56"/>
      <c r="G108" s="57"/>
    </row>
    <row r="109" spans="1:17" x14ac:dyDescent="0.2">
      <c r="A109" s="54"/>
      <c r="B109" s="27" t="s">
        <v>1070</v>
      </c>
      <c r="C109" s="55">
        <v>32.846499999999999</v>
      </c>
      <c r="D109" s="55">
        <v>31.668800000000001</v>
      </c>
      <c r="E109" s="54"/>
      <c r="F109" s="56"/>
      <c r="G109" s="57"/>
    </row>
    <row r="110" spans="1:17" x14ac:dyDescent="0.2">
      <c r="A110" s="54"/>
      <c r="B110" s="27" t="s">
        <v>186</v>
      </c>
      <c r="C110" s="55">
        <v>92.920400000000001</v>
      </c>
      <c r="D110" s="55">
        <v>89.499799999999993</v>
      </c>
      <c r="E110" s="54"/>
      <c r="F110" s="56"/>
      <c r="G110" s="57"/>
    </row>
    <row r="111" spans="1:17" x14ac:dyDescent="0.2">
      <c r="A111" s="54"/>
      <c r="B111" s="27" t="s">
        <v>1071</v>
      </c>
      <c r="C111" s="55">
        <v>28.8063</v>
      </c>
      <c r="D111" s="55">
        <v>27.745899999999999</v>
      </c>
      <c r="E111" s="54"/>
      <c r="F111" s="56"/>
      <c r="G111" s="57"/>
    </row>
    <row r="112" spans="1:17" x14ac:dyDescent="0.2">
      <c r="A112" s="54"/>
      <c r="B112" s="54"/>
      <c r="C112" s="54"/>
      <c r="D112" s="54"/>
      <c r="E112" s="54"/>
      <c r="F112" s="54"/>
      <c r="G112" s="54"/>
    </row>
    <row r="113" spans="1:7" x14ac:dyDescent="0.2">
      <c r="A113" s="50"/>
      <c r="B113" s="240" t="s">
        <v>898</v>
      </c>
      <c r="C113" s="241"/>
      <c r="D113" s="58" t="s">
        <v>179</v>
      </c>
      <c r="E113" s="50"/>
      <c r="F113" s="50"/>
      <c r="G113" s="50"/>
    </row>
    <row r="114" spans="1:7" x14ac:dyDescent="0.2">
      <c r="A114" s="50"/>
      <c r="B114" s="59"/>
      <c r="C114" s="59"/>
      <c r="D114" s="59"/>
      <c r="E114" s="50"/>
      <c r="F114" s="50"/>
      <c r="G114" s="50"/>
    </row>
    <row r="115" spans="1:7" ht="27" customHeight="1" x14ac:dyDescent="0.2">
      <c r="A115" s="50"/>
      <c r="B115" s="240" t="s">
        <v>188</v>
      </c>
      <c r="C115" s="241"/>
      <c r="D115" s="58" t="s">
        <v>1047</v>
      </c>
      <c r="E115" s="60"/>
      <c r="F115" s="50"/>
      <c r="G115" s="50"/>
    </row>
    <row r="116" spans="1:7" ht="24.75" customHeight="1" x14ac:dyDescent="0.2">
      <c r="A116" s="50"/>
      <c r="B116" s="240" t="s">
        <v>189</v>
      </c>
      <c r="C116" s="241"/>
      <c r="D116" s="58" t="s">
        <v>179</v>
      </c>
      <c r="E116" s="60"/>
      <c r="F116" s="50"/>
      <c r="G116" s="50"/>
    </row>
    <row r="117" spans="1:7" x14ac:dyDescent="0.2">
      <c r="A117" s="50"/>
      <c r="B117" s="240" t="s">
        <v>190</v>
      </c>
      <c r="C117" s="241"/>
      <c r="D117" s="58" t="s">
        <v>179</v>
      </c>
      <c r="E117" s="60"/>
      <c r="F117" s="50"/>
      <c r="G117" s="50"/>
    </row>
    <row r="118" spans="1:7" x14ac:dyDescent="0.2">
      <c r="A118" s="50"/>
      <c r="B118" s="240" t="s">
        <v>191</v>
      </c>
      <c r="C118" s="241"/>
      <c r="D118" s="61">
        <v>0.78965428604337506</v>
      </c>
      <c r="E118" s="50"/>
      <c r="F118" s="43"/>
      <c r="G118" s="62"/>
    </row>
    <row r="120" spans="1:7" x14ac:dyDescent="0.2">
      <c r="B120" s="238" t="s">
        <v>899</v>
      </c>
      <c r="C120" s="238"/>
    </row>
    <row r="122" spans="1:7" ht="153.75" customHeight="1" x14ac:dyDescent="0.2"/>
    <row r="125" spans="1:7" x14ac:dyDescent="0.2">
      <c r="B125" s="68" t="s">
        <v>900</v>
      </c>
      <c r="C125" s="69"/>
      <c r="D125" s="68"/>
    </row>
    <row r="126" spans="1:7" x14ac:dyDescent="0.2">
      <c r="B126" s="68" t="s">
        <v>1055</v>
      </c>
      <c r="D126" s="68"/>
    </row>
    <row r="127" spans="1:7" ht="165" customHeight="1" x14ac:dyDescent="0.2"/>
    <row r="129" customFormat="1" x14ac:dyDescent="0.2"/>
    <row r="130" customFormat="1" x14ac:dyDescent="0.2"/>
    <row r="131" customFormat="1" x14ac:dyDescent="0.2"/>
    <row r="132" customFormat="1" x14ac:dyDescent="0.2"/>
    <row r="133" customFormat="1" x14ac:dyDescent="0.2"/>
    <row r="134" customFormat="1" x14ac:dyDescent="0.2"/>
  </sheetData>
  <mergeCells count="18">
    <mergeCell ref="B120:C120"/>
    <mergeCell ref="A3:H3"/>
    <mergeCell ref="A2:H2"/>
    <mergeCell ref="B118:C118"/>
    <mergeCell ref="A1:H1"/>
    <mergeCell ref="B104:C104"/>
    <mergeCell ref="B105:C105"/>
    <mergeCell ref="B113:C113"/>
    <mergeCell ref="B117:C117"/>
    <mergeCell ref="B102:D102"/>
    <mergeCell ref="B103:C103"/>
    <mergeCell ref="B96:H96"/>
    <mergeCell ref="B97:H97"/>
    <mergeCell ref="B98:H98"/>
    <mergeCell ref="B99:H99"/>
    <mergeCell ref="B100:H100"/>
    <mergeCell ref="B115:C115"/>
    <mergeCell ref="B116:C116"/>
  </mergeCells>
  <hyperlinks>
    <hyperlink ref="I1" location="Index!B2" display="Index" xr:uid="{44DE3C9F-68F8-4A92-A7DA-5C01298B3FF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F72C-AAFE-4279-BBAD-7ACDE5B97B3C}">
  <sheetPr>
    <outlinePr summaryBelow="0" summaryRight="0"/>
  </sheetPr>
  <dimension ref="A1:Q235"/>
  <sheetViews>
    <sheetView showGridLines="0" workbookViewId="0">
      <selection sqref="A1:H1"/>
    </sheetView>
  </sheetViews>
  <sheetFormatPr defaultRowHeight="12.75" x14ac:dyDescent="0.2"/>
  <cols>
    <col min="1" max="1" width="5.85546875" bestFit="1" customWidth="1"/>
    <col min="2" max="2" width="24.140625" customWidth="1"/>
    <col min="3" max="3" width="42.140625" customWidth="1"/>
    <col min="4" max="4" width="23" bestFit="1" customWidth="1"/>
    <col min="5" max="5" width="13.5703125" bestFit="1" customWidth="1"/>
    <col min="6" max="6" width="10.140625" bestFit="1" customWidth="1"/>
    <col min="7" max="7" width="14" bestFit="1" customWidth="1"/>
    <col min="8" max="8" width="10.140625" customWidth="1"/>
    <col min="9" max="256" width="23.85546875" customWidth="1"/>
  </cols>
  <sheetData>
    <row r="1" spans="1:9" ht="15" customHeight="1" x14ac:dyDescent="0.2">
      <c r="A1" s="231" t="s">
        <v>0</v>
      </c>
      <c r="B1" s="231"/>
      <c r="C1" s="231"/>
      <c r="D1" s="231"/>
      <c r="E1" s="231"/>
      <c r="F1" s="231"/>
      <c r="G1" s="231"/>
      <c r="H1" s="231"/>
      <c r="I1" s="18" t="s">
        <v>1069</v>
      </c>
    </row>
    <row r="2" spans="1:9" ht="15" customHeight="1" x14ac:dyDescent="0.2">
      <c r="A2" s="231" t="s">
        <v>834</v>
      </c>
      <c r="B2" s="231"/>
      <c r="C2" s="231"/>
      <c r="D2" s="231"/>
      <c r="E2" s="231"/>
      <c r="F2" s="231"/>
      <c r="G2" s="231"/>
      <c r="H2" s="231"/>
    </row>
    <row r="3" spans="1:9" ht="15" customHeight="1" x14ac:dyDescent="0.2">
      <c r="A3" s="231" t="s">
        <v>1080</v>
      </c>
      <c r="B3" s="231"/>
      <c r="C3" s="231"/>
      <c r="D3" s="231"/>
      <c r="E3" s="231"/>
      <c r="F3" s="231"/>
      <c r="G3" s="231"/>
      <c r="H3" s="231"/>
    </row>
    <row r="4" spans="1:9" s="22" customFormat="1" ht="30" x14ac:dyDescent="0.2">
      <c r="A4" s="20" t="s">
        <v>2</v>
      </c>
      <c r="B4" s="20" t="s">
        <v>3</v>
      </c>
      <c r="C4" s="20" t="s">
        <v>4</v>
      </c>
      <c r="D4" s="20" t="s">
        <v>5</v>
      </c>
      <c r="E4" s="20" t="s">
        <v>6</v>
      </c>
      <c r="F4" s="20" t="s">
        <v>7</v>
      </c>
      <c r="G4" s="20" t="s">
        <v>8</v>
      </c>
      <c r="H4" s="21" t="s">
        <v>927</v>
      </c>
    </row>
    <row r="5" spans="1:9" x14ac:dyDescent="0.2">
      <c r="A5" s="23"/>
      <c r="B5" s="23"/>
      <c r="C5" s="24" t="s">
        <v>9</v>
      </c>
      <c r="D5" s="23"/>
      <c r="E5" s="23"/>
      <c r="F5" s="23"/>
      <c r="G5" s="23"/>
      <c r="H5" s="25" t="s">
        <v>148</v>
      </c>
    </row>
    <row r="6" spans="1:9" x14ac:dyDescent="0.2">
      <c r="A6" s="23"/>
      <c r="B6" s="23"/>
      <c r="C6" s="24" t="s">
        <v>10</v>
      </c>
      <c r="D6" s="23"/>
      <c r="E6" s="23"/>
      <c r="F6" s="23"/>
      <c r="G6" s="23"/>
      <c r="H6" s="25" t="s">
        <v>148</v>
      </c>
    </row>
    <row r="7" spans="1:9" x14ac:dyDescent="0.2">
      <c r="A7" s="26">
        <v>1</v>
      </c>
      <c r="B7" s="27" t="s">
        <v>332</v>
      </c>
      <c r="C7" s="27" t="s">
        <v>333</v>
      </c>
      <c r="D7" s="27" t="s">
        <v>28</v>
      </c>
      <c r="E7" s="28">
        <v>638948</v>
      </c>
      <c r="F7" s="29">
        <v>11069.135152000001</v>
      </c>
      <c r="G7" s="30">
        <v>4.6601129999999998E-2</v>
      </c>
      <c r="H7" s="25" t="s">
        <v>148</v>
      </c>
    </row>
    <row r="8" spans="1:9" x14ac:dyDescent="0.2">
      <c r="A8" s="26">
        <v>2</v>
      </c>
      <c r="B8" s="27" t="s">
        <v>14</v>
      </c>
      <c r="C8" s="27" t="s">
        <v>15</v>
      </c>
      <c r="D8" s="27" t="s">
        <v>16</v>
      </c>
      <c r="E8" s="28">
        <v>808714</v>
      </c>
      <c r="F8" s="29">
        <v>9705.376714</v>
      </c>
      <c r="G8" s="30">
        <v>4.0859699999999999E-2</v>
      </c>
      <c r="H8" s="25" t="s">
        <v>148</v>
      </c>
    </row>
    <row r="9" spans="1:9" x14ac:dyDescent="0.2">
      <c r="A9" s="26">
        <v>3</v>
      </c>
      <c r="B9" s="27" t="s">
        <v>334</v>
      </c>
      <c r="C9" s="27" t="s">
        <v>335</v>
      </c>
      <c r="D9" s="27" t="s">
        <v>205</v>
      </c>
      <c r="E9" s="28">
        <v>502407</v>
      </c>
      <c r="F9" s="29">
        <v>8479.1229390000008</v>
      </c>
      <c r="G9" s="30">
        <v>3.5697159999999999E-2</v>
      </c>
      <c r="H9" s="25" t="s">
        <v>148</v>
      </c>
    </row>
    <row r="10" spans="1:9" x14ac:dyDescent="0.2">
      <c r="A10" s="26">
        <v>4</v>
      </c>
      <c r="B10" s="27" t="s">
        <v>11</v>
      </c>
      <c r="C10" s="27" t="s">
        <v>12</v>
      </c>
      <c r="D10" s="27" t="s">
        <v>13</v>
      </c>
      <c r="E10" s="28">
        <v>529709</v>
      </c>
      <c r="F10" s="29">
        <v>8317.4907179999991</v>
      </c>
      <c r="G10" s="30">
        <v>3.5016690000000003E-2</v>
      </c>
      <c r="H10" s="25" t="s">
        <v>148</v>
      </c>
    </row>
    <row r="11" spans="1:9" x14ac:dyDescent="0.2">
      <c r="A11" s="26">
        <v>5</v>
      </c>
      <c r="B11" s="27" t="s">
        <v>534</v>
      </c>
      <c r="C11" s="27" t="s">
        <v>535</v>
      </c>
      <c r="D11" s="27" t="s">
        <v>275</v>
      </c>
      <c r="E11" s="28">
        <v>290993</v>
      </c>
      <c r="F11" s="29">
        <v>7522.460043</v>
      </c>
      <c r="G11" s="30">
        <v>3.1669610000000001E-2</v>
      </c>
      <c r="H11" s="25" t="s">
        <v>148</v>
      </c>
    </row>
    <row r="12" spans="1:9" x14ac:dyDescent="0.2">
      <c r="A12" s="26">
        <v>6</v>
      </c>
      <c r="B12" s="27" t="s">
        <v>336</v>
      </c>
      <c r="C12" s="27" t="s">
        <v>337</v>
      </c>
      <c r="D12" s="27" t="s">
        <v>28</v>
      </c>
      <c r="E12" s="28">
        <v>709290</v>
      </c>
      <c r="F12" s="29">
        <v>7203.1945949999999</v>
      </c>
      <c r="G12" s="30">
        <v>3.0325499999999998E-2</v>
      </c>
      <c r="H12" s="25" t="s">
        <v>148</v>
      </c>
    </row>
    <row r="13" spans="1:9" x14ac:dyDescent="0.2">
      <c r="A13" s="26">
        <v>7</v>
      </c>
      <c r="B13" s="27" t="s">
        <v>17</v>
      </c>
      <c r="C13" s="27" t="s">
        <v>18</v>
      </c>
      <c r="D13" s="27" t="s">
        <v>19</v>
      </c>
      <c r="E13" s="28">
        <v>212643</v>
      </c>
      <c r="F13" s="29">
        <v>6727.7055554999997</v>
      </c>
      <c r="G13" s="30">
        <v>2.832368E-2</v>
      </c>
      <c r="H13" s="25" t="s">
        <v>148</v>
      </c>
    </row>
    <row r="14" spans="1:9" x14ac:dyDescent="0.2">
      <c r="A14" s="26">
        <v>8</v>
      </c>
      <c r="B14" s="27" t="s">
        <v>26</v>
      </c>
      <c r="C14" s="27" t="s">
        <v>27</v>
      </c>
      <c r="D14" s="27" t="s">
        <v>28</v>
      </c>
      <c r="E14" s="28">
        <v>466276</v>
      </c>
      <c r="F14" s="29">
        <v>5614.4293159999997</v>
      </c>
      <c r="G14" s="30">
        <v>2.363678E-2</v>
      </c>
      <c r="H14" s="25" t="s">
        <v>148</v>
      </c>
    </row>
    <row r="15" spans="1:9" x14ac:dyDescent="0.2">
      <c r="A15" s="26">
        <v>9</v>
      </c>
      <c r="B15" s="27" t="s">
        <v>344</v>
      </c>
      <c r="C15" s="27" t="s">
        <v>345</v>
      </c>
      <c r="D15" s="27" t="s">
        <v>111</v>
      </c>
      <c r="E15" s="28">
        <v>53454</v>
      </c>
      <c r="F15" s="29">
        <v>4559.7865620000002</v>
      </c>
      <c r="G15" s="30">
        <v>1.9196729999999999E-2</v>
      </c>
      <c r="H15" s="25" t="s">
        <v>148</v>
      </c>
    </row>
    <row r="16" spans="1:9" x14ac:dyDescent="0.2">
      <c r="A16" s="26">
        <v>10</v>
      </c>
      <c r="B16" s="27" t="s">
        <v>251</v>
      </c>
      <c r="C16" s="27" t="s">
        <v>252</v>
      </c>
      <c r="D16" s="27" t="s">
        <v>111</v>
      </c>
      <c r="E16" s="28">
        <v>636889</v>
      </c>
      <c r="F16" s="29">
        <v>3931.515797</v>
      </c>
      <c r="G16" s="30">
        <v>1.6551710000000001E-2</v>
      </c>
      <c r="H16" s="25" t="s">
        <v>148</v>
      </c>
    </row>
    <row r="17" spans="1:8" x14ac:dyDescent="0.2">
      <c r="A17" s="26">
        <v>11</v>
      </c>
      <c r="B17" s="27" t="s">
        <v>348</v>
      </c>
      <c r="C17" s="27" t="s">
        <v>349</v>
      </c>
      <c r="D17" s="27" t="s">
        <v>350</v>
      </c>
      <c r="E17" s="28">
        <v>918860</v>
      </c>
      <c r="F17" s="29">
        <v>3629.4969999999998</v>
      </c>
      <c r="G17" s="30">
        <v>1.5280210000000001E-2</v>
      </c>
      <c r="H17" s="25" t="s">
        <v>148</v>
      </c>
    </row>
    <row r="18" spans="1:8" x14ac:dyDescent="0.2">
      <c r="A18" s="26">
        <v>12</v>
      </c>
      <c r="B18" s="27" t="s">
        <v>342</v>
      </c>
      <c r="C18" s="27" t="s">
        <v>343</v>
      </c>
      <c r="D18" s="27" t="s">
        <v>205</v>
      </c>
      <c r="E18" s="28">
        <v>98532</v>
      </c>
      <c r="F18" s="29">
        <v>3432.11589</v>
      </c>
      <c r="G18" s="30">
        <v>1.444923E-2</v>
      </c>
      <c r="H18" s="25" t="s">
        <v>148</v>
      </c>
    </row>
    <row r="19" spans="1:8" x14ac:dyDescent="0.2">
      <c r="A19" s="26">
        <v>13</v>
      </c>
      <c r="B19" s="27" t="s">
        <v>338</v>
      </c>
      <c r="C19" s="27" t="s">
        <v>339</v>
      </c>
      <c r="D19" s="27" t="s">
        <v>229</v>
      </c>
      <c r="E19" s="28">
        <v>1504858</v>
      </c>
      <c r="F19" s="29">
        <v>3342.2896179999998</v>
      </c>
      <c r="G19" s="30">
        <v>1.407106E-2</v>
      </c>
      <c r="H19" s="25" t="s">
        <v>148</v>
      </c>
    </row>
    <row r="20" spans="1:8" x14ac:dyDescent="0.2">
      <c r="A20" s="26">
        <v>14</v>
      </c>
      <c r="B20" s="27" t="s">
        <v>23</v>
      </c>
      <c r="C20" s="27" t="s">
        <v>24</v>
      </c>
      <c r="D20" s="27" t="s">
        <v>25</v>
      </c>
      <c r="E20" s="28">
        <v>31711</v>
      </c>
      <c r="F20" s="29">
        <v>3211.8327795</v>
      </c>
      <c r="G20" s="30">
        <v>1.352184E-2</v>
      </c>
      <c r="H20" s="25" t="s">
        <v>148</v>
      </c>
    </row>
    <row r="21" spans="1:8" x14ac:dyDescent="0.2">
      <c r="A21" s="26">
        <v>15</v>
      </c>
      <c r="B21" s="27" t="s">
        <v>530</v>
      </c>
      <c r="C21" s="27" t="s">
        <v>531</v>
      </c>
      <c r="D21" s="27" t="s">
        <v>205</v>
      </c>
      <c r="E21" s="28">
        <v>208865</v>
      </c>
      <c r="F21" s="29">
        <v>3107.5979025000001</v>
      </c>
      <c r="G21" s="30">
        <v>1.3083010000000001E-2</v>
      </c>
      <c r="H21" s="25" t="s">
        <v>148</v>
      </c>
    </row>
    <row r="22" spans="1:8" x14ac:dyDescent="0.2">
      <c r="A22" s="26">
        <v>16</v>
      </c>
      <c r="B22" s="27" t="s">
        <v>65</v>
      </c>
      <c r="C22" s="27" t="s">
        <v>66</v>
      </c>
      <c r="D22" s="27" t="s">
        <v>13</v>
      </c>
      <c r="E22" s="28">
        <v>942804</v>
      </c>
      <c r="F22" s="29">
        <v>3048.5567339999998</v>
      </c>
      <c r="G22" s="30">
        <v>1.2834440000000001E-2</v>
      </c>
      <c r="H22" s="25" t="s">
        <v>148</v>
      </c>
    </row>
    <row r="23" spans="1:8" x14ac:dyDescent="0.2">
      <c r="A23" s="26">
        <v>17</v>
      </c>
      <c r="B23" s="27" t="s">
        <v>38</v>
      </c>
      <c r="C23" s="27" t="s">
        <v>39</v>
      </c>
      <c r="D23" s="27" t="s">
        <v>28</v>
      </c>
      <c r="E23" s="28">
        <v>434672</v>
      </c>
      <c r="F23" s="29">
        <v>2994.0207359999999</v>
      </c>
      <c r="G23" s="30">
        <v>1.2604850000000001E-2</v>
      </c>
      <c r="H23" s="25" t="s">
        <v>148</v>
      </c>
    </row>
    <row r="24" spans="1:8" x14ac:dyDescent="0.2">
      <c r="A24" s="26">
        <v>18</v>
      </c>
      <c r="B24" s="27" t="s">
        <v>450</v>
      </c>
      <c r="C24" s="27" t="s">
        <v>451</v>
      </c>
      <c r="D24" s="27" t="s">
        <v>28</v>
      </c>
      <c r="E24" s="28">
        <v>300240</v>
      </c>
      <c r="F24" s="29">
        <v>2972.6762399999998</v>
      </c>
      <c r="G24" s="30">
        <v>1.251499E-2</v>
      </c>
      <c r="H24" s="25" t="s">
        <v>148</v>
      </c>
    </row>
    <row r="25" spans="1:8" x14ac:dyDescent="0.2">
      <c r="A25" s="26">
        <v>19</v>
      </c>
      <c r="B25" s="27" t="s">
        <v>57</v>
      </c>
      <c r="C25" s="27" t="s">
        <v>58</v>
      </c>
      <c r="D25" s="27" t="s">
        <v>59</v>
      </c>
      <c r="E25" s="28">
        <v>262363</v>
      </c>
      <c r="F25" s="29">
        <v>2805.709922</v>
      </c>
      <c r="G25" s="30">
        <v>1.1812059999999999E-2</v>
      </c>
      <c r="H25" s="25" t="s">
        <v>148</v>
      </c>
    </row>
    <row r="26" spans="1:8" ht="25.5" x14ac:dyDescent="0.2">
      <c r="A26" s="26">
        <v>20</v>
      </c>
      <c r="B26" s="27" t="s">
        <v>340</v>
      </c>
      <c r="C26" s="27" t="s">
        <v>341</v>
      </c>
      <c r="D26" s="27" t="s">
        <v>202</v>
      </c>
      <c r="E26" s="28">
        <v>151171</v>
      </c>
      <c r="F26" s="29">
        <v>2408.5319574999999</v>
      </c>
      <c r="G26" s="30">
        <v>1.013994E-2</v>
      </c>
      <c r="H26" s="25" t="s">
        <v>148</v>
      </c>
    </row>
    <row r="27" spans="1:8" x14ac:dyDescent="0.2">
      <c r="A27" s="26">
        <v>21</v>
      </c>
      <c r="B27" s="27" t="s">
        <v>418</v>
      </c>
      <c r="C27" s="27" t="s">
        <v>419</v>
      </c>
      <c r="D27" s="27" t="s">
        <v>137</v>
      </c>
      <c r="E27" s="28">
        <v>1543468</v>
      </c>
      <c r="F27" s="29">
        <v>2117.6380960000001</v>
      </c>
      <c r="G27" s="30">
        <v>8.9152699999999994E-3</v>
      </c>
      <c r="H27" s="25" t="s">
        <v>148</v>
      </c>
    </row>
    <row r="28" spans="1:8" x14ac:dyDescent="0.2">
      <c r="A28" s="26">
        <v>22</v>
      </c>
      <c r="B28" s="27" t="s">
        <v>810</v>
      </c>
      <c r="C28" s="27" t="s">
        <v>811</v>
      </c>
      <c r="D28" s="27" t="s">
        <v>275</v>
      </c>
      <c r="E28" s="28">
        <v>118734</v>
      </c>
      <c r="F28" s="29">
        <v>2053.9794659999998</v>
      </c>
      <c r="G28" s="30">
        <v>8.6472700000000003E-3</v>
      </c>
      <c r="H28" s="25" t="s">
        <v>148</v>
      </c>
    </row>
    <row r="29" spans="1:8" x14ac:dyDescent="0.2">
      <c r="A29" s="26">
        <v>23</v>
      </c>
      <c r="B29" s="27" t="s">
        <v>390</v>
      </c>
      <c r="C29" s="27" t="s">
        <v>391</v>
      </c>
      <c r="D29" s="27" t="s">
        <v>28</v>
      </c>
      <c r="E29" s="28">
        <v>6372223</v>
      </c>
      <c r="F29" s="29">
        <v>2047.3952499</v>
      </c>
      <c r="G29" s="30">
        <v>8.6195500000000001E-3</v>
      </c>
      <c r="H29" s="25" t="s">
        <v>148</v>
      </c>
    </row>
    <row r="30" spans="1:8" x14ac:dyDescent="0.2">
      <c r="A30" s="26">
        <v>24</v>
      </c>
      <c r="B30" s="27" t="s">
        <v>448</v>
      </c>
      <c r="C30" s="27" t="s">
        <v>449</v>
      </c>
      <c r="D30" s="27" t="s">
        <v>350</v>
      </c>
      <c r="E30" s="28">
        <v>92869</v>
      </c>
      <c r="F30" s="29">
        <v>2034.0632725</v>
      </c>
      <c r="G30" s="30">
        <v>8.5634200000000004E-3</v>
      </c>
      <c r="H30" s="25" t="s">
        <v>148</v>
      </c>
    </row>
    <row r="31" spans="1:8" x14ac:dyDescent="0.2">
      <c r="A31" s="26">
        <v>25</v>
      </c>
      <c r="B31" s="27" t="s">
        <v>298</v>
      </c>
      <c r="C31" s="27" t="s">
        <v>299</v>
      </c>
      <c r="D31" s="27" t="s">
        <v>54</v>
      </c>
      <c r="E31" s="28">
        <v>126385</v>
      </c>
      <c r="F31" s="29">
        <v>1956.5661849999999</v>
      </c>
      <c r="G31" s="30">
        <v>8.2371600000000003E-3</v>
      </c>
      <c r="H31" s="25" t="s">
        <v>148</v>
      </c>
    </row>
    <row r="32" spans="1:8" x14ac:dyDescent="0.2">
      <c r="A32" s="26">
        <v>26</v>
      </c>
      <c r="B32" s="27" t="s">
        <v>709</v>
      </c>
      <c r="C32" s="27" t="s">
        <v>710</v>
      </c>
      <c r="D32" s="27" t="s">
        <v>51</v>
      </c>
      <c r="E32" s="28">
        <v>85780</v>
      </c>
      <c r="F32" s="29">
        <v>1869.78955</v>
      </c>
      <c r="G32" s="30">
        <v>7.8718299999999998E-3</v>
      </c>
      <c r="H32" s="25" t="s">
        <v>148</v>
      </c>
    </row>
    <row r="33" spans="1:8" x14ac:dyDescent="0.2">
      <c r="A33" s="26">
        <v>27</v>
      </c>
      <c r="B33" s="27" t="s">
        <v>92</v>
      </c>
      <c r="C33" s="27" t="s">
        <v>93</v>
      </c>
      <c r="D33" s="27" t="s">
        <v>94</v>
      </c>
      <c r="E33" s="28">
        <v>1190600</v>
      </c>
      <c r="F33" s="29">
        <v>1857.81224</v>
      </c>
      <c r="G33" s="30">
        <v>7.8213999999999992E-3</v>
      </c>
      <c r="H33" s="25" t="s">
        <v>148</v>
      </c>
    </row>
    <row r="34" spans="1:8" ht="25.5" x14ac:dyDescent="0.2">
      <c r="A34" s="26">
        <v>28</v>
      </c>
      <c r="B34" s="27" t="s">
        <v>225</v>
      </c>
      <c r="C34" s="27" t="s">
        <v>226</v>
      </c>
      <c r="D34" s="27" t="s">
        <v>202</v>
      </c>
      <c r="E34" s="28">
        <v>39723</v>
      </c>
      <c r="F34" s="29">
        <v>1845.6100260000001</v>
      </c>
      <c r="G34" s="30">
        <v>7.7700299999999998E-3</v>
      </c>
      <c r="H34" s="25" t="s">
        <v>148</v>
      </c>
    </row>
    <row r="35" spans="1:8" x14ac:dyDescent="0.2">
      <c r="A35" s="26">
        <v>29</v>
      </c>
      <c r="B35" s="27" t="s">
        <v>364</v>
      </c>
      <c r="C35" s="27" t="s">
        <v>365</v>
      </c>
      <c r="D35" s="27" t="s">
        <v>275</v>
      </c>
      <c r="E35" s="28">
        <v>296507</v>
      </c>
      <c r="F35" s="29">
        <v>1840.2706955000001</v>
      </c>
      <c r="G35" s="30">
        <v>7.7475499999999997E-3</v>
      </c>
      <c r="H35" s="25" t="s">
        <v>148</v>
      </c>
    </row>
    <row r="36" spans="1:8" x14ac:dyDescent="0.2">
      <c r="A36" s="26">
        <v>30</v>
      </c>
      <c r="B36" s="27" t="s">
        <v>243</v>
      </c>
      <c r="C36" s="27" t="s">
        <v>244</v>
      </c>
      <c r="D36" s="27" t="s">
        <v>229</v>
      </c>
      <c r="E36" s="28">
        <v>26061</v>
      </c>
      <c r="F36" s="29">
        <v>1822.3545165</v>
      </c>
      <c r="G36" s="30">
        <v>7.6721200000000002E-3</v>
      </c>
      <c r="H36" s="25" t="s">
        <v>148</v>
      </c>
    </row>
    <row r="37" spans="1:8" x14ac:dyDescent="0.2">
      <c r="A37" s="26">
        <v>31</v>
      </c>
      <c r="B37" s="27" t="s">
        <v>392</v>
      </c>
      <c r="C37" s="27" t="s">
        <v>393</v>
      </c>
      <c r="D37" s="27" t="s">
        <v>28</v>
      </c>
      <c r="E37" s="28">
        <v>2956670</v>
      </c>
      <c r="F37" s="29">
        <v>1681.4582290000001</v>
      </c>
      <c r="G37" s="30">
        <v>7.0789499999999997E-3</v>
      </c>
      <c r="H37" s="25" t="s">
        <v>148</v>
      </c>
    </row>
    <row r="38" spans="1:8" x14ac:dyDescent="0.2">
      <c r="A38" s="26">
        <v>32</v>
      </c>
      <c r="B38" s="27" t="s">
        <v>370</v>
      </c>
      <c r="C38" s="27" t="s">
        <v>371</v>
      </c>
      <c r="D38" s="27" t="s">
        <v>51</v>
      </c>
      <c r="E38" s="28">
        <v>52329</v>
      </c>
      <c r="F38" s="29">
        <v>1610.2941525000001</v>
      </c>
      <c r="G38" s="30">
        <v>6.77935E-3</v>
      </c>
      <c r="H38" s="25" t="s">
        <v>148</v>
      </c>
    </row>
    <row r="39" spans="1:8" x14ac:dyDescent="0.2">
      <c r="A39" s="26">
        <v>33</v>
      </c>
      <c r="B39" s="27" t="s">
        <v>435</v>
      </c>
      <c r="C39" s="27" t="s">
        <v>436</v>
      </c>
      <c r="D39" s="27" t="s">
        <v>205</v>
      </c>
      <c r="E39" s="28">
        <v>101081</v>
      </c>
      <c r="F39" s="29">
        <v>1592.0762904999999</v>
      </c>
      <c r="G39" s="30">
        <v>6.7026500000000001E-3</v>
      </c>
      <c r="H39" s="25" t="s">
        <v>148</v>
      </c>
    </row>
    <row r="40" spans="1:8" x14ac:dyDescent="0.2">
      <c r="A40" s="26">
        <v>34</v>
      </c>
      <c r="B40" s="27" t="s">
        <v>62</v>
      </c>
      <c r="C40" s="27" t="s">
        <v>63</v>
      </c>
      <c r="D40" s="27" t="s">
        <v>64</v>
      </c>
      <c r="E40" s="28">
        <v>34880</v>
      </c>
      <c r="F40" s="29">
        <v>1561.6822400000001</v>
      </c>
      <c r="G40" s="30">
        <v>6.5746900000000002E-3</v>
      </c>
      <c r="H40" s="25" t="s">
        <v>148</v>
      </c>
    </row>
    <row r="41" spans="1:8" x14ac:dyDescent="0.2">
      <c r="A41" s="26">
        <v>35</v>
      </c>
      <c r="B41" s="27" t="s">
        <v>34</v>
      </c>
      <c r="C41" s="27" t="s">
        <v>35</v>
      </c>
      <c r="D41" s="27" t="s">
        <v>16</v>
      </c>
      <c r="E41" s="28">
        <v>656138</v>
      </c>
      <c r="F41" s="29">
        <v>1557.015474</v>
      </c>
      <c r="G41" s="30">
        <v>6.5550499999999998E-3</v>
      </c>
      <c r="H41" s="25" t="s">
        <v>148</v>
      </c>
    </row>
    <row r="42" spans="1:8" x14ac:dyDescent="0.2">
      <c r="A42" s="26">
        <v>36</v>
      </c>
      <c r="B42" s="27" t="s">
        <v>273</v>
      </c>
      <c r="C42" s="27" t="s">
        <v>274</v>
      </c>
      <c r="D42" s="27" t="s">
        <v>275</v>
      </c>
      <c r="E42" s="28">
        <v>66850</v>
      </c>
      <c r="F42" s="29">
        <v>1487.74675</v>
      </c>
      <c r="G42" s="30">
        <v>6.2634199999999996E-3</v>
      </c>
      <c r="H42" s="25" t="s">
        <v>148</v>
      </c>
    </row>
    <row r="43" spans="1:8" x14ac:dyDescent="0.2">
      <c r="A43" s="26">
        <v>37</v>
      </c>
      <c r="B43" s="27" t="s">
        <v>300</v>
      </c>
      <c r="C43" s="27" t="s">
        <v>301</v>
      </c>
      <c r="D43" s="27" t="s">
        <v>111</v>
      </c>
      <c r="E43" s="28">
        <v>406125</v>
      </c>
      <c r="F43" s="29">
        <v>1479.513375</v>
      </c>
      <c r="G43" s="30">
        <v>6.2287599999999999E-3</v>
      </c>
      <c r="H43" s="25" t="s">
        <v>148</v>
      </c>
    </row>
    <row r="44" spans="1:8" x14ac:dyDescent="0.2">
      <c r="A44" s="26">
        <v>38</v>
      </c>
      <c r="B44" s="27" t="s">
        <v>374</v>
      </c>
      <c r="C44" s="27" t="s">
        <v>375</v>
      </c>
      <c r="D44" s="27" t="s">
        <v>376</v>
      </c>
      <c r="E44" s="28">
        <v>397177</v>
      </c>
      <c r="F44" s="29">
        <v>1466.9732495000001</v>
      </c>
      <c r="G44" s="30">
        <v>6.1759700000000002E-3</v>
      </c>
      <c r="H44" s="25" t="s">
        <v>148</v>
      </c>
    </row>
    <row r="45" spans="1:8" x14ac:dyDescent="0.2">
      <c r="A45" s="26">
        <v>39</v>
      </c>
      <c r="B45" s="27" t="s">
        <v>109</v>
      </c>
      <c r="C45" s="27" t="s">
        <v>110</v>
      </c>
      <c r="D45" s="27" t="s">
        <v>111</v>
      </c>
      <c r="E45" s="28">
        <v>400628</v>
      </c>
      <c r="F45" s="29">
        <v>1443.4626840000001</v>
      </c>
      <c r="G45" s="30">
        <v>6.07699E-3</v>
      </c>
      <c r="H45" s="25" t="s">
        <v>148</v>
      </c>
    </row>
    <row r="46" spans="1:8" x14ac:dyDescent="0.2">
      <c r="A46" s="26">
        <v>40</v>
      </c>
      <c r="B46" s="27" t="s">
        <v>754</v>
      </c>
      <c r="C46" s="27" t="s">
        <v>755</v>
      </c>
      <c r="D46" s="27" t="s">
        <v>679</v>
      </c>
      <c r="E46" s="28">
        <v>60650</v>
      </c>
      <c r="F46" s="29">
        <v>1328.022725</v>
      </c>
      <c r="G46" s="30">
        <v>5.5909799999999997E-3</v>
      </c>
      <c r="H46" s="25" t="s">
        <v>148</v>
      </c>
    </row>
    <row r="47" spans="1:8" ht="25.5" x14ac:dyDescent="0.2">
      <c r="A47" s="26">
        <v>41</v>
      </c>
      <c r="B47" s="27" t="s">
        <v>200</v>
      </c>
      <c r="C47" s="27" t="s">
        <v>201</v>
      </c>
      <c r="D47" s="27" t="s">
        <v>202</v>
      </c>
      <c r="E47" s="28">
        <v>68182</v>
      </c>
      <c r="F47" s="29">
        <v>1298.628463</v>
      </c>
      <c r="G47" s="30">
        <v>5.46723E-3</v>
      </c>
      <c r="H47" s="25" t="s">
        <v>148</v>
      </c>
    </row>
    <row r="48" spans="1:8" x14ac:dyDescent="0.2">
      <c r="A48" s="26">
        <v>42</v>
      </c>
      <c r="B48" s="27" t="s">
        <v>835</v>
      </c>
      <c r="C48" s="27" t="s">
        <v>836</v>
      </c>
      <c r="D48" s="27" t="s">
        <v>25</v>
      </c>
      <c r="E48" s="28">
        <v>660253</v>
      </c>
      <c r="F48" s="29">
        <v>1291.8510197999999</v>
      </c>
      <c r="G48" s="30">
        <v>5.4387000000000003E-3</v>
      </c>
      <c r="H48" s="25" t="s">
        <v>148</v>
      </c>
    </row>
    <row r="49" spans="1:8" ht="25.5" x14ac:dyDescent="0.2">
      <c r="A49" s="26">
        <v>43</v>
      </c>
      <c r="B49" s="27" t="s">
        <v>444</v>
      </c>
      <c r="C49" s="27" t="s">
        <v>445</v>
      </c>
      <c r="D49" s="27" t="s">
        <v>217</v>
      </c>
      <c r="E49" s="28">
        <v>112583</v>
      </c>
      <c r="F49" s="29">
        <v>1084.9623710000001</v>
      </c>
      <c r="G49" s="30">
        <v>4.5677000000000001E-3</v>
      </c>
      <c r="H49" s="25" t="s">
        <v>148</v>
      </c>
    </row>
    <row r="50" spans="1:8" x14ac:dyDescent="0.2">
      <c r="A50" s="26">
        <v>44</v>
      </c>
      <c r="B50" s="27" t="s">
        <v>268</v>
      </c>
      <c r="C50" s="27" t="s">
        <v>269</v>
      </c>
      <c r="D50" s="27" t="s">
        <v>270</v>
      </c>
      <c r="E50" s="28">
        <v>193822</v>
      </c>
      <c r="F50" s="29">
        <v>1069.1221519999999</v>
      </c>
      <c r="G50" s="30">
        <v>4.5010099999999997E-3</v>
      </c>
      <c r="H50" s="25" t="s">
        <v>148</v>
      </c>
    </row>
    <row r="51" spans="1:8" x14ac:dyDescent="0.2">
      <c r="A51" s="26">
        <v>45</v>
      </c>
      <c r="B51" s="27" t="s">
        <v>97</v>
      </c>
      <c r="C51" s="27" t="s">
        <v>98</v>
      </c>
      <c r="D51" s="27" t="s">
        <v>25</v>
      </c>
      <c r="E51" s="28">
        <v>225677</v>
      </c>
      <c r="F51" s="29">
        <v>1049.2852115000001</v>
      </c>
      <c r="G51" s="30">
        <v>4.4175000000000004E-3</v>
      </c>
      <c r="H51" s="25" t="s">
        <v>148</v>
      </c>
    </row>
    <row r="52" spans="1:8" ht="25.5" x14ac:dyDescent="0.2">
      <c r="A52" s="26">
        <v>46</v>
      </c>
      <c r="B52" s="27" t="s">
        <v>470</v>
      </c>
      <c r="C52" s="27" t="s">
        <v>471</v>
      </c>
      <c r="D52" s="27" t="s">
        <v>217</v>
      </c>
      <c r="E52" s="28">
        <v>219378</v>
      </c>
      <c r="F52" s="29">
        <v>974.58676500000001</v>
      </c>
      <c r="G52" s="30">
        <v>4.1030199999999998E-3</v>
      </c>
      <c r="H52" s="25" t="s">
        <v>148</v>
      </c>
    </row>
    <row r="53" spans="1:8" x14ac:dyDescent="0.2">
      <c r="A53" s="26">
        <v>47</v>
      </c>
      <c r="B53" s="27" t="s">
        <v>101</v>
      </c>
      <c r="C53" s="27" t="s">
        <v>102</v>
      </c>
      <c r="D53" s="27" t="s">
        <v>28</v>
      </c>
      <c r="E53" s="28">
        <v>48800</v>
      </c>
      <c r="F53" s="29">
        <v>928.63959999999997</v>
      </c>
      <c r="G53" s="30">
        <v>3.9095800000000002E-3</v>
      </c>
      <c r="H53" s="25" t="s">
        <v>148</v>
      </c>
    </row>
    <row r="54" spans="1:8" x14ac:dyDescent="0.2">
      <c r="A54" s="26">
        <v>48</v>
      </c>
      <c r="B54" s="27" t="s">
        <v>236</v>
      </c>
      <c r="C54" s="27" t="s">
        <v>237</v>
      </c>
      <c r="D54" s="27" t="s">
        <v>69</v>
      </c>
      <c r="E54" s="28">
        <v>235313</v>
      </c>
      <c r="F54" s="29">
        <v>880.77655900000002</v>
      </c>
      <c r="G54" s="30">
        <v>3.7080799999999999E-3</v>
      </c>
      <c r="H54" s="25" t="s">
        <v>148</v>
      </c>
    </row>
    <row r="55" spans="1:8" x14ac:dyDescent="0.2">
      <c r="A55" s="26">
        <v>49</v>
      </c>
      <c r="B55" s="27" t="s">
        <v>437</v>
      </c>
      <c r="C55" s="27" t="s">
        <v>438</v>
      </c>
      <c r="D55" s="27" t="s">
        <v>439</v>
      </c>
      <c r="E55" s="28">
        <v>126269</v>
      </c>
      <c r="F55" s="29">
        <v>800.98740150000003</v>
      </c>
      <c r="G55" s="30">
        <v>3.3721599999999999E-3</v>
      </c>
      <c r="H55" s="25" t="s">
        <v>148</v>
      </c>
    </row>
    <row r="56" spans="1:8" x14ac:dyDescent="0.2">
      <c r="A56" s="26">
        <v>50</v>
      </c>
      <c r="B56" s="27" t="s">
        <v>95</v>
      </c>
      <c r="C56" s="27" t="s">
        <v>96</v>
      </c>
      <c r="D56" s="27" t="s">
        <v>45</v>
      </c>
      <c r="E56" s="28">
        <v>28964</v>
      </c>
      <c r="F56" s="29">
        <v>787.22703799999999</v>
      </c>
      <c r="G56" s="30">
        <v>3.31423E-3</v>
      </c>
      <c r="H56" s="25" t="s">
        <v>148</v>
      </c>
    </row>
    <row r="57" spans="1:8" x14ac:dyDescent="0.2">
      <c r="A57" s="26">
        <v>51</v>
      </c>
      <c r="B57" s="27" t="s">
        <v>195</v>
      </c>
      <c r="C57" s="27" t="s">
        <v>196</v>
      </c>
      <c r="D57" s="27" t="s">
        <v>197</v>
      </c>
      <c r="E57" s="28">
        <v>47207</v>
      </c>
      <c r="F57" s="29">
        <v>786.91708649999998</v>
      </c>
      <c r="G57" s="30">
        <v>3.31293E-3</v>
      </c>
      <c r="H57" s="25" t="s">
        <v>148</v>
      </c>
    </row>
    <row r="58" spans="1:8" ht="25.5" x14ac:dyDescent="0.2">
      <c r="A58" s="26">
        <v>52</v>
      </c>
      <c r="B58" s="27" t="s">
        <v>353</v>
      </c>
      <c r="C58" s="27" t="s">
        <v>354</v>
      </c>
      <c r="D58" s="27" t="s">
        <v>111</v>
      </c>
      <c r="E58" s="28">
        <v>53388</v>
      </c>
      <c r="F58" s="29">
        <v>747.83240999999998</v>
      </c>
      <c r="G58" s="30">
        <v>3.1483800000000001E-3</v>
      </c>
      <c r="H58" s="25" t="s">
        <v>148</v>
      </c>
    </row>
    <row r="59" spans="1:8" x14ac:dyDescent="0.2">
      <c r="A59" s="26">
        <v>53</v>
      </c>
      <c r="B59" s="27" t="s">
        <v>372</v>
      </c>
      <c r="C59" s="27" t="s">
        <v>373</v>
      </c>
      <c r="D59" s="27" t="s">
        <v>33</v>
      </c>
      <c r="E59" s="28">
        <v>22500</v>
      </c>
      <c r="F59" s="29">
        <v>694.84500000000003</v>
      </c>
      <c r="G59" s="30">
        <v>2.9253E-3</v>
      </c>
      <c r="H59" s="25" t="s">
        <v>148</v>
      </c>
    </row>
    <row r="60" spans="1:8" x14ac:dyDescent="0.2">
      <c r="A60" s="26">
        <v>54</v>
      </c>
      <c r="B60" s="27" t="s">
        <v>394</v>
      </c>
      <c r="C60" s="27" t="s">
        <v>395</v>
      </c>
      <c r="D60" s="27" t="s">
        <v>240</v>
      </c>
      <c r="E60" s="28">
        <v>21899</v>
      </c>
      <c r="F60" s="29">
        <v>475.02215849999999</v>
      </c>
      <c r="G60" s="30">
        <v>1.9998500000000001E-3</v>
      </c>
      <c r="H60" s="25" t="s">
        <v>148</v>
      </c>
    </row>
    <row r="61" spans="1:8" x14ac:dyDescent="0.2">
      <c r="A61" s="26">
        <v>55</v>
      </c>
      <c r="B61" s="27" t="s">
        <v>245</v>
      </c>
      <c r="C61" s="27" t="s">
        <v>246</v>
      </c>
      <c r="D61" s="27" t="s">
        <v>28</v>
      </c>
      <c r="E61" s="28">
        <v>405201</v>
      </c>
      <c r="F61" s="29">
        <v>454.230321</v>
      </c>
      <c r="G61" s="30">
        <v>1.91231E-3</v>
      </c>
      <c r="H61" s="25" t="s">
        <v>148</v>
      </c>
    </row>
    <row r="62" spans="1:8" x14ac:dyDescent="0.2">
      <c r="A62" s="26">
        <v>56</v>
      </c>
      <c r="B62" s="27" t="s">
        <v>223</v>
      </c>
      <c r="C62" s="27" t="s">
        <v>224</v>
      </c>
      <c r="D62" s="27" t="s">
        <v>16</v>
      </c>
      <c r="E62" s="28">
        <v>148556</v>
      </c>
      <c r="F62" s="29">
        <v>436.38324999999998</v>
      </c>
      <c r="G62" s="30">
        <v>1.8371800000000001E-3</v>
      </c>
      <c r="H62" s="25" t="s">
        <v>148</v>
      </c>
    </row>
    <row r="63" spans="1:8" x14ac:dyDescent="0.2">
      <c r="A63" s="26">
        <v>57</v>
      </c>
      <c r="B63" s="27" t="s">
        <v>52</v>
      </c>
      <c r="C63" s="27" t="s">
        <v>53</v>
      </c>
      <c r="D63" s="27" t="s">
        <v>54</v>
      </c>
      <c r="E63" s="28">
        <v>39982</v>
      </c>
      <c r="F63" s="29">
        <v>378.64953100000002</v>
      </c>
      <c r="G63" s="30">
        <v>1.5941200000000001E-3</v>
      </c>
      <c r="H63" s="25" t="s">
        <v>148</v>
      </c>
    </row>
    <row r="64" spans="1:8" x14ac:dyDescent="0.2">
      <c r="A64" s="26">
        <v>58</v>
      </c>
      <c r="B64" s="27" t="s">
        <v>314</v>
      </c>
      <c r="C64" s="27" t="s">
        <v>315</v>
      </c>
      <c r="D64" s="27" t="s">
        <v>232</v>
      </c>
      <c r="E64" s="28">
        <v>52640</v>
      </c>
      <c r="F64" s="29">
        <v>376.95504</v>
      </c>
      <c r="G64" s="30">
        <v>1.58698E-3</v>
      </c>
      <c r="H64" s="25" t="s">
        <v>148</v>
      </c>
    </row>
    <row r="65" spans="1:8" x14ac:dyDescent="0.2">
      <c r="A65" s="26">
        <v>59</v>
      </c>
      <c r="B65" s="27" t="s">
        <v>20</v>
      </c>
      <c r="C65" s="27" t="s">
        <v>21</v>
      </c>
      <c r="D65" s="27" t="s">
        <v>22</v>
      </c>
      <c r="E65" s="28">
        <v>66000</v>
      </c>
      <c r="F65" s="29">
        <v>205.55699999999999</v>
      </c>
      <c r="G65" s="30">
        <v>8.654E-4</v>
      </c>
      <c r="H65" s="25" t="s">
        <v>148</v>
      </c>
    </row>
    <row r="66" spans="1:8" x14ac:dyDescent="0.2">
      <c r="A66" s="26">
        <v>60</v>
      </c>
      <c r="B66" s="27" t="s">
        <v>368</v>
      </c>
      <c r="C66" s="27" t="s">
        <v>369</v>
      </c>
      <c r="D66" s="27" t="s">
        <v>25</v>
      </c>
      <c r="E66" s="28">
        <v>6500</v>
      </c>
      <c r="F66" s="29">
        <v>149.93225000000001</v>
      </c>
      <c r="G66" s="30">
        <v>6.3122000000000004E-4</v>
      </c>
      <c r="H66" s="25" t="s">
        <v>148</v>
      </c>
    </row>
    <row r="67" spans="1:8" x14ac:dyDescent="0.2">
      <c r="A67" s="26">
        <v>61</v>
      </c>
      <c r="B67" s="27" t="s">
        <v>635</v>
      </c>
      <c r="C67" s="27" t="s">
        <v>636</v>
      </c>
      <c r="D67" s="27" t="s">
        <v>637</v>
      </c>
      <c r="E67" s="28">
        <v>6900</v>
      </c>
      <c r="F67" s="29">
        <v>144.624</v>
      </c>
      <c r="G67" s="30">
        <v>6.0886999999999996E-4</v>
      </c>
      <c r="H67" s="25" t="s">
        <v>148</v>
      </c>
    </row>
    <row r="68" spans="1:8" x14ac:dyDescent="0.2">
      <c r="A68" s="26">
        <v>62</v>
      </c>
      <c r="B68" s="27" t="s">
        <v>640</v>
      </c>
      <c r="C68" s="27" t="s">
        <v>641</v>
      </c>
      <c r="D68" s="27" t="s">
        <v>28</v>
      </c>
      <c r="E68" s="28">
        <v>152000</v>
      </c>
      <c r="F68" s="29">
        <v>132.83279999999999</v>
      </c>
      <c r="G68" s="30">
        <v>5.5922999999999997E-4</v>
      </c>
      <c r="H68" s="25" t="s">
        <v>148</v>
      </c>
    </row>
    <row r="69" spans="1:8" x14ac:dyDescent="0.2">
      <c r="A69" s="26">
        <v>63</v>
      </c>
      <c r="B69" s="27" t="s">
        <v>454</v>
      </c>
      <c r="C69" s="27" t="s">
        <v>455</v>
      </c>
      <c r="D69" s="27" t="s">
        <v>232</v>
      </c>
      <c r="E69" s="28">
        <v>79695</v>
      </c>
      <c r="F69" s="29">
        <v>130.54837950000001</v>
      </c>
      <c r="G69" s="30">
        <v>5.4960999999999996E-4</v>
      </c>
      <c r="H69" s="25" t="s">
        <v>148</v>
      </c>
    </row>
    <row r="70" spans="1:8" x14ac:dyDescent="0.2">
      <c r="A70" s="26">
        <v>64</v>
      </c>
      <c r="B70" s="27" t="s">
        <v>684</v>
      </c>
      <c r="C70" s="27" t="s">
        <v>685</v>
      </c>
      <c r="D70" s="27" t="s">
        <v>275</v>
      </c>
      <c r="E70" s="28">
        <v>2275</v>
      </c>
      <c r="F70" s="29">
        <v>108.5994</v>
      </c>
      <c r="G70" s="30">
        <v>4.572E-4</v>
      </c>
      <c r="H70" s="25" t="s">
        <v>148</v>
      </c>
    </row>
    <row r="71" spans="1:8" x14ac:dyDescent="0.2">
      <c r="A71" s="26">
        <v>65</v>
      </c>
      <c r="B71" s="27" t="s">
        <v>707</v>
      </c>
      <c r="C71" s="27" t="s">
        <v>708</v>
      </c>
      <c r="D71" s="27" t="s">
        <v>275</v>
      </c>
      <c r="E71" s="28">
        <v>2700</v>
      </c>
      <c r="F71" s="29">
        <v>99.389700000000005</v>
      </c>
      <c r="G71" s="30">
        <v>4.1843000000000002E-4</v>
      </c>
      <c r="H71" s="25" t="s">
        <v>148</v>
      </c>
    </row>
    <row r="72" spans="1:8" x14ac:dyDescent="0.2">
      <c r="A72" s="26">
        <v>66</v>
      </c>
      <c r="B72" s="27" t="s">
        <v>46</v>
      </c>
      <c r="C72" s="27" t="s">
        <v>47</v>
      </c>
      <c r="D72" s="27" t="s">
        <v>48</v>
      </c>
      <c r="E72" s="28">
        <v>25025</v>
      </c>
      <c r="F72" s="29">
        <v>56.368812499999997</v>
      </c>
      <c r="G72" s="30">
        <v>2.3730999999999999E-4</v>
      </c>
      <c r="H72" s="25" t="s">
        <v>148</v>
      </c>
    </row>
    <row r="73" spans="1:8" x14ac:dyDescent="0.2">
      <c r="A73" s="26">
        <v>67</v>
      </c>
      <c r="B73" s="27" t="s">
        <v>193</v>
      </c>
      <c r="C73" s="27" t="s">
        <v>194</v>
      </c>
      <c r="D73" s="27" t="s">
        <v>28</v>
      </c>
      <c r="E73" s="28">
        <v>25000</v>
      </c>
      <c r="F73" s="29">
        <v>44.405000000000001</v>
      </c>
      <c r="G73" s="30">
        <v>1.8694999999999999E-4</v>
      </c>
      <c r="H73" s="25" t="s">
        <v>148</v>
      </c>
    </row>
    <row r="74" spans="1:8" x14ac:dyDescent="0.2">
      <c r="A74" s="26">
        <v>68</v>
      </c>
      <c r="B74" s="27" t="s">
        <v>528</v>
      </c>
      <c r="C74" s="27" t="s">
        <v>529</v>
      </c>
      <c r="D74" s="27" t="s">
        <v>275</v>
      </c>
      <c r="E74" s="28">
        <v>525</v>
      </c>
      <c r="F74" s="29">
        <v>41.490225000000002</v>
      </c>
      <c r="G74" s="30">
        <v>1.7467000000000001E-4</v>
      </c>
      <c r="H74" s="25" t="s">
        <v>148</v>
      </c>
    </row>
    <row r="75" spans="1:8" ht="25.5" x14ac:dyDescent="0.2">
      <c r="A75" s="26">
        <v>69</v>
      </c>
      <c r="B75" s="27" t="s">
        <v>442</v>
      </c>
      <c r="C75" s="27" t="s">
        <v>443</v>
      </c>
      <c r="D75" s="27" t="s">
        <v>202</v>
      </c>
      <c r="E75" s="28">
        <v>650</v>
      </c>
      <c r="F75" s="29">
        <v>9.1487499999999997</v>
      </c>
      <c r="G75" s="30" t="s">
        <v>146</v>
      </c>
      <c r="H75" s="25" t="s">
        <v>148</v>
      </c>
    </row>
    <row r="76" spans="1:8" x14ac:dyDescent="0.2">
      <c r="A76" s="26">
        <v>70</v>
      </c>
      <c r="B76" s="27" t="s">
        <v>703</v>
      </c>
      <c r="C76" s="27" t="s">
        <v>704</v>
      </c>
      <c r="D76" s="27" t="s">
        <v>270</v>
      </c>
      <c r="E76" s="28">
        <v>1100</v>
      </c>
      <c r="F76" s="29">
        <v>6.6935000000000002</v>
      </c>
      <c r="G76" s="30" t="s">
        <v>146</v>
      </c>
      <c r="H76" s="25" t="s">
        <v>148</v>
      </c>
    </row>
    <row r="77" spans="1:8" x14ac:dyDescent="0.2">
      <c r="A77" s="23"/>
      <c r="B77" s="23"/>
      <c r="C77" s="24" t="s">
        <v>147</v>
      </c>
      <c r="D77" s="23"/>
      <c r="E77" s="23" t="s">
        <v>148</v>
      </c>
      <c r="F77" s="31">
        <v>154383.26183269999</v>
      </c>
      <c r="G77" s="32">
        <v>0.64995457999999995</v>
      </c>
      <c r="H77" s="25" t="s">
        <v>148</v>
      </c>
    </row>
    <row r="78" spans="1:8" x14ac:dyDescent="0.2">
      <c r="A78" s="23"/>
      <c r="B78" s="23"/>
      <c r="C78" s="33"/>
      <c r="D78" s="23"/>
      <c r="E78" s="23"/>
      <c r="F78" s="34"/>
      <c r="G78" s="34"/>
      <c r="H78" s="25" t="s">
        <v>148</v>
      </c>
    </row>
    <row r="79" spans="1:8" x14ac:dyDescent="0.2">
      <c r="A79" s="23"/>
      <c r="B79" s="23"/>
      <c r="C79" s="24" t="s">
        <v>149</v>
      </c>
      <c r="D79" s="23"/>
      <c r="E79" s="23"/>
      <c r="F79" s="23"/>
      <c r="G79" s="23"/>
      <c r="H79" s="25" t="s">
        <v>148</v>
      </c>
    </row>
    <row r="80" spans="1:8" x14ac:dyDescent="0.2">
      <c r="A80" s="23"/>
      <c r="B80" s="23"/>
      <c r="C80" s="24" t="s">
        <v>147</v>
      </c>
      <c r="D80" s="23"/>
      <c r="E80" s="23" t="s">
        <v>148</v>
      </c>
      <c r="F80" s="35" t="s">
        <v>150</v>
      </c>
      <c r="G80" s="32">
        <v>0</v>
      </c>
      <c r="H80" s="25" t="s">
        <v>148</v>
      </c>
    </row>
    <row r="81" spans="1:8" x14ac:dyDescent="0.2">
      <c r="A81" s="23"/>
      <c r="B81" s="23"/>
      <c r="C81" s="33"/>
      <c r="D81" s="23"/>
      <c r="E81" s="23"/>
      <c r="F81" s="34"/>
      <c r="G81" s="34"/>
      <c r="H81" s="25" t="s">
        <v>148</v>
      </c>
    </row>
    <row r="82" spans="1:8" x14ac:dyDescent="0.2">
      <c r="A82" s="23"/>
      <c r="B82" s="23"/>
      <c r="C82" s="24" t="s">
        <v>151</v>
      </c>
      <c r="D82" s="23"/>
      <c r="E82" s="23"/>
      <c r="F82" s="23"/>
      <c r="G82" s="23"/>
      <c r="H82" s="25" t="s">
        <v>148</v>
      </c>
    </row>
    <row r="83" spans="1:8" x14ac:dyDescent="0.2">
      <c r="A83" s="23"/>
      <c r="B83" s="23"/>
      <c r="C83" s="24" t="s">
        <v>147</v>
      </c>
      <c r="D83" s="23"/>
      <c r="E83" s="23" t="s">
        <v>148</v>
      </c>
      <c r="F83" s="35" t="s">
        <v>150</v>
      </c>
      <c r="G83" s="32">
        <v>0</v>
      </c>
      <c r="H83" s="25" t="s">
        <v>148</v>
      </c>
    </row>
    <row r="84" spans="1:8" x14ac:dyDescent="0.2">
      <c r="A84" s="23"/>
      <c r="B84" s="23"/>
      <c r="C84" s="33"/>
      <c r="D84" s="23"/>
      <c r="E84" s="23"/>
      <c r="F84" s="34"/>
      <c r="G84" s="34"/>
      <c r="H84" s="25" t="s">
        <v>148</v>
      </c>
    </row>
    <row r="85" spans="1:8" x14ac:dyDescent="0.2">
      <c r="A85" s="23"/>
      <c r="B85" s="23"/>
      <c r="C85" s="24" t="s">
        <v>152</v>
      </c>
      <c r="D85" s="23"/>
      <c r="E85" s="23"/>
      <c r="F85" s="23"/>
      <c r="G85" s="23"/>
      <c r="H85" s="25" t="s">
        <v>148</v>
      </c>
    </row>
    <row r="86" spans="1:8" x14ac:dyDescent="0.2">
      <c r="A86" s="23"/>
      <c r="B86" s="23"/>
      <c r="C86" s="24" t="s">
        <v>147</v>
      </c>
      <c r="D86" s="23"/>
      <c r="E86" s="23" t="s">
        <v>148</v>
      </c>
      <c r="F86" s="35" t="s">
        <v>150</v>
      </c>
      <c r="G86" s="32">
        <v>0</v>
      </c>
      <c r="H86" s="25" t="s">
        <v>148</v>
      </c>
    </row>
    <row r="87" spans="1:8" x14ac:dyDescent="0.2">
      <c r="A87" s="23"/>
      <c r="B87" s="23"/>
      <c r="C87" s="33"/>
      <c r="D87" s="23"/>
      <c r="E87" s="23"/>
      <c r="F87" s="34"/>
      <c r="G87" s="34"/>
      <c r="H87" s="25" t="s">
        <v>148</v>
      </c>
    </row>
    <row r="88" spans="1:8" x14ac:dyDescent="0.2">
      <c r="A88" s="23"/>
      <c r="B88" s="23"/>
      <c r="C88" s="24" t="s">
        <v>153</v>
      </c>
      <c r="D88" s="23"/>
      <c r="E88" s="23"/>
      <c r="F88" s="34"/>
      <c r="G88" s="34"/>
      <c r="H88" s="25" t="s">
        <v>148</v>
      </c>
    </row>
    <row r="89" spans="1:8" x14ac:dyDescent="0.2">
      <c r="A89" s="23"/>
      <c r="B89" s="23"/>
      <c r="C89" s="24" t="s">
        <v>147</v>
      </c>
      <c r="D89" s="23"/>
      <c r="E89" s="23" t="s">
        <v>148</v>
      </c>
      <c r="F89" s="35" t="s">
        <v>150</v>
      </c>
      <c r="G89" s="32">
        <v>0</v>
      </c>
      <c r="H89" s="25" t="s">
        <v>148</v>
      </c>
    </row>
    <row r="90" spans="1:8" x14ac:dyDescent="0.2">
      <c r="A90" s="23"/>
      <c r="B90" s="23"/>
      <c r="C90" s="33"/>
      <c r="D90" s="23"/>
      <c r="E90" s="23"/>
      <c r="F90" s="34"/>
      <c r="G90" s="34"/>
      <c r="H90" s="25" t="s">
        <v>148</v>
      </c>
    </row>
    <row r="91" spans="1:8" x14ac:dyDescent="0.2">
      <c r="A91" s="23"/>
      <c r="B91" s="23"/>
      <c r="C91" s="24" t="s">
        <v>154</v>
      </c>
      <c r="D91" s="23"/>
      <c r="E91" s="23"/>
      <c r="F91" s="34"/>
      <c r="G91" s="34"/>
      <c r="H91" s="25" t="s">
        <v>148</v>
      </c>
    </row>
    <row r="92" spans="1:8" x14ac:dyDescent="0.2">
      <c r="A92" s="26">
        <v>1</v>
      </c>
      <c r="B92" s="27"/>
      <c r="C92" s="27" t="s">
        <v>1021</v>
      </c>
      <c r="D92" s="27" t="s">
        <v>519</v>
      </c>
      <c r="E92" s="28">
        <v>-1100</v>
      </c>
      <c r="F92" s="29">
        <v>-6.7309000000000001</v>
      </c>
      <c r="G92" s="30" t="s">
        <v>146</v>
      </c>
      <c r="H92" s="25" t="s">
        <v>148</v>
      </c>
    </row>
    <row r="93" spans="1:8" x14ac:dyDescent="0.2">
      <c r="A93" s="26">
        <v>2</v>
      </c>
      <c r="B93" s="27"/>
      <c r="C93" s="27" t="s">
        <v>970</v>
      </c>
      <c r="D93" s="27" t="s">
        <v>519</v>
      </c>
      <c r="E93" s="28">
        <v>-650</v>
      </c>
      <c r="F93" s="29">
        <v>-9.1988000000000003</v>
      </c>
      <c r="G93" s="30" t="s">
        <v>146</v>
      </c>
      <c r="H93" s="25" t="s">
        <v>148</v>
      </c>
    </row>
    <row r="94" spans="1:8" x14ac:dyDescent="0.2">
      <c r="A94" s="26">
        <v>3</v>
      </c>
      <c r="B94" s="27"/>
      <c r="C94" s="27" t="s">
        <v>971</v>
      </c>
      <c r="D94" s="27" t="s">
        <v>519</v>
      </c>
      <c r="E94" s="28">
        <v>-11000</v>
      </c>
      <c r="F94" s="29">
        <v>-15.1404</v>
      </c>
      <c r="G94" s="30">
        <f t="shared" ref="G94:G118" si="0">F94/$F$177</f>
        <v>-6.3741181189122284E-5</v>
      </c>
      <c r="H94" s="25" t="s">
        <v>148</v>
      </c>
    </row>
    <row r="95" spans="1:8" x14ac:dyDescent="0.2">
      <c r="A95" s="26">
        <v>4</v>
      </c>
      <c r="B95" s="27"/>
      <c r="C95" s="27" t="s">
        <v>1056</v>
      </c>
      <c r="D95" s="27" t="s">
        <v>519</v>
      </c>
      <c r="E95" s="28">
        <v>-525</v>
      </c>
      <c r="F95" s="29">
        <v>-41.7409125</v>
      </c>
      <c r="G95" s="30">
        <f t="shared" si="0"/>
        <v>-1.7572950956789776E-4</v>
      </c>
      <c r="H95" s="25" t="s">
        <v>148</v>
      </c>
    </row>
    <row r="96" spans="1:8" x14ac:dyDescent="0.2">
      <c r="A96" s="26">
        <v>5</v>
      </c>
      <c r="B96" s="27"/>
      <c r="C96" s="27" t="s">
        <v>1057</v>
      </c>
      <c r="D96" s="27" t="s">
        <v>519</v>
      </c>
      <c r="E96" s="28">
        <v>-25000</v>
      </c>
      <c r="F96" s="29">
        <v>-44.62</v>
      </c>
      <c r="G96" s="30">
        <f t="shared" si="0"/>
        <v>-1.8785048642431086E-4</v>
      </c>
      <c r="H96" s="25" t="s">
        <v>148</v>
      </c>
    </row>
    <row r="97" spans="1:8" x14ac:dyDescent="0.2">
      <c r="A97" s="26">
        <v>6</v>
      </c>
      <c r="B97" s="27"/>
      <c r="C97" s="27" t="s">
        <v>1004</v>
      </c>
      <c r="D97" s="27" t="s">
        <v>519</v>
      </c>
      <c r="E97" s="28">
        <v>-30550</v>
      </c>
      <c r="F97" s="29">
        <v>-47.826025000000001</v>
      </c>
      <c r="G97" s="30">
        <f t="shared" si="0"/>
        <v>-2.0134787225439832E-4</v>
      </c>
      <c r="H97" s="25" t="s">
        <v>148</v>
      </c>
    </row>
    <row r="98" spans="1:8" ht="25.5" x14ac:dyDescent="0.2">
      <c r="A98" s="26">
        <v>7</v>
      </c>
      <c r="B98" s="27"/>
      <c r="C98" s="27" t="s">
        <v>1058</v>
      </c>
      <c r="D98" s="27" t="s">
        <v>519</v>
      </c>
      <c r="E98" s="28">
        <v>-25025</v>
      </c>
      <c r="F98" s="29">
        <v>-56.706650000000003</v>
      </c>
      <c r="G98" s="30">
        <f t="shared" si="0"/>
        <v>-2.3873536051082807E-4</v>
      </c>
      <c r="H98" s="25" t="s">
        <v>148</v>
      </c>
    </row>
    <row r="99" spans="1:8" x14ac:dyDescent="0.2">
      <c r="A99" s="26">
        <v>8</v>
      </c>
      <c r="B99" s="27"/>
      <c r="C99" s="27" t="s">
        <v>1018</v>
      </c>
      <c r="D99" s="27" t="s">
        <v>519</v>
      </c>
      <c r="E99" s="28">
        <v>-2700</v>
      </c>
      <c r="F99" s="29">
        <v>-99.797399999999996</v>
      </c>
      <c r="G99" s="30">
        <f t="shared" si="0"/>
        <v>-4.2014769461859078E-4</v>
      </c>
      <c r="H99" s="25" t="s">
        <v>148</v>
      </c>
    </row>
    <row r="100" spans="1:8" x14ac:dyDescent="0.2">
      <c r="A100" s="26">
        <v>9</v>
      </c>
      <c r="B100" s="27"/>
      <c r="C100" s="27" t="s">
        <v>1059</v>
      </c>
      <c r="D100" s="27" t="s">
        <v>519</v>
      </c>
      <c r="E100" s="28">
        <v>-2275</v>
      </c>
      <c r="F100" s="29">
        <v>-109.1442625</v>
      </c>
      <c r="G100" s="30">
        <f t="shared" si="0"/>
        <v>-4.5949804574288823E-4</v>
      </c>
      <c r="H100" s="25" t="s">
        <v>148</v>
      </c>
    </row>
    <row r="101" spans="1:8" x14ac:dyDescent="0.2">
      <c r="A101" s="26">
        <v>10</v>
      </c>
      <c r="B101" s="27"/>
      <c r="C101" s="27" t="s">
        <v>975</v>
      </c>
      <c r="D101" s="27" t="s">
        <v>519</v>
      </c>
      <c r="E101" s="28">
        <v>-152000</v>
      </c>
      <c r="F101" s="29">
        <v>-133.5016</v>
      </c>
      <c r="G101" s="30">
        <f t="shared" si="0"/>
        <v>-5.6204259297229454E-4</v>
      </c>
      <c r="H101" s="25" t="s">
        <v>148</v>
      </c>
    </row>
    <row r="102" spans="1:8" x14ac:dyDescent="0.2">
      <c r="A102" s="26">
        <v>11</v>
      </c>
      <c r="B102" s="27"/>
      <c r="C102" s="27" t="s">
        <v>982</v>
      </c>
      <c r="D102" s="27" t="s">
        <v>519</v>
      </c>
      <c r="E102" s="28">
        <v>-6900</v>
      </c>
      <c r="F102" s="29">
        <v>-145.04835</v>
      </c>
      <c r="G102" s="30">
        <f t="shared" si="0"/>
        <v>-6.1065448459309034E-4</v>
      </c>
      <c r="H102" s="25" t="s">
        <v>148</v>
      </c>
    </row>
    <row r="103" spans="1:8" x14ac:dyDescent="0.2">
      <c r="A103" s="26">
        <v>12</v>
      </c>
      <c r="B103" s="27"/>
      <c r="C103" s="27" t="s">
        <v>1001</v>
      </c>
      <c r="D103" s="27" t="s">
        <v>519</v>
      </c>
      <c r="E103" s="28">
        <v>-6500</v>
      </c>
      <c r="F103" s="29">
        <v>-150.87475000000001</v>
      </c>
      <c r="G103" s="30">
        <f t="shared" si="0"/>
        <v>-6.3518366599386595E-4</v>
      </c>
      <c r="H103" s="25" t="s">
        <v>148</v>
      </c>
    </row>
    <row r="104" spans="1:8" x14ac:dyDescent="0.2">
      <c r="A104" s="26">
        <v>13</v>
      </c>
      <c r="B104" s="27"/>
      <c r="C104" s="27" t="s">
        <v>1060</v>
      </c>
      <c r="D104" s="27" t="s">
        <v>519</v>
      </c>
      <c r="E104" s="28">
        <v>-27000</v>
      </c>
      <c r="F104" s="29">
        <v>-403.93349999999998</v>
      </c>
      <c r="G104" s="30">
        <f t="shared" si="0"/>
        <v>-1.7005626279263642E-3</v>
      </c>
      <c r="H104" s="25" t="s">
        <v>148</v>
      </c>
    </row>
    <row r="105" spans="1:8" x14ac:dyDescent="0.2">
      <c r="A105" s="26">
        <v>14</v>
      </c>
      <c r="B105" s="27"/>
      <c r="C105" s="27" t="s">
        <v>1061</v>
      </c>
      <c r="D105" s="27" t="s">
        <v>519</v>
      </c>
      <c r="E105" s="28">
        <v>-143775</v>
      </c>
      <c r="F105" s="29">
        <v>-424.99889999999999</v>
      </c>
      <c r="G105" s="30">
        <f t="shared" si="0"/>
        <v>-1.7892480971491943E-3</v>
      </c>
      <c r="H105" s="25" t="s">
        <v>148</v>
      </c>
    </row>
    <row r="106" spans="1:8" x14ac:dyDescent="0.2">
      <c r="A106" s="26">
        <v>15</v>
      </c>
      <c r="B106" s="27"/>
      <c r="C106" s="27" t="s">
        <v>991</v>
      </c>
      <c r="D106" s="27" t="s">
        <v>519</v>
      </c>
      <c r="E106" s="28">
        <v>-39900</v>
      </c>
      <c r="F106" s="29">
        <v>-483.30869999999999</v>
      </c>
      <c r="G106" s="30">
        <f t="shared" si="0"/>
        <v>-2.0347327294509489E-3</v>
      </c>
      <c r="H106" s="25" t="s">
        <v>148</v>
      </c>
    </row>
    <row r="107" spans="1:8" x14ac:dyDescent="0.2">
      <c r="A107" s="26">
        <v>16</v>
      </c>
      <c r="B107" s="27"/>
      <c r="C107" s="27" t="s">
        <v>1062</v>
      </c>
      <c r="D107" s="27" t="s">
        <v>519</v>
      </c>
      <c r="E107" s="28">
        <v>-22500</v>
      </c>
      <c r="F107" s="29">
        <v>-699.09749999999997</v>
      </c>
      <c r="G107" s="30">
        <f t="shared" si="0"/>
        <v>-2.9432049626405125E-3</v>
      </c>
      <c r="H107" s="25" t="s">
        <v>148</v>
      </c>
    </row>
    <row r="108" spans="1:8" x14ac:dyDescent="0.2">
      <c r="A108" s="26">
        <v>17</v>
      </c>
      <c r="B108" s="27"/>
      <c r="C108" s="27" t="s">
        <v>992</v>
      </c>
      <c r="D108" s="27" t="s">
        <v>519</v>
      </c>
      <c r="E108" s="28">
        <v>-65500</v>
      </c>
      <c r="F108" s="29">
        <v>-790.25750000000005</v>
      </c>
      <c r="G108" s="30">
        <f t="shared" si="0"/>
        <v>-3.3269891478139818E-3</v>
      </c>
      <c r="H108" s="25" t="s">
        <v>148</v>
      </c>
    </row>
    <row r="109" spans="1:8" x14ac:dyDescent="0.2">
      <c r="A109" s="26">
        <v>18</v>
      </c>
      <c r="B109" s="27"/>
      <c r="C109" s="27" t="s">
        <v>1017</v>
      </c>
      <c r="D109" s="27" t="s">
        <v>519</v>
      </c>
      <c r="E109" s="28">
        <v>-8650</v>
      </c>
      <c r="F109" s="29">
        <v>-881.67287499999998</v>
      </c>
      <c r="G109" s="30">
        <f t="shared" si="0"/>
        <v>-3.7118484633767513E-3</v>
      </c>
      <c r="H109" s="25" t="s">
        <v>148</v>
      </c>
    </row>
    <row r="110" spans="1:8" x14ac:dyDescent="0.2">
      <c r="A110" s="26">
        <v>19</v>
      </c>
      <c r="B110" s="27"/>
      <c r="C110" s="27" t="s">
        <v>973</v>
      </c>
      <c r="D110" s="27" t="s">
        <v>519</v>
      </c>
      <c r="E110" s="28">
        <v>-48800</v>
      </c>
      <c r="F110" s="29">
        <v>-934.17840000000001</v>
      </c>
      <c r="G110" s="30">
        <f t="shared" si="0"/>
        <v>-3.9328970606697551E-3</v>
      </c>
      <c r="H110" s="25" t="s">
        <v>148</v>
      </c>
    </row>
    <row r="111" spans="1:8" x14ac:dyDescent="0.2">
      <c r="A111" s="26">
        <v>20</v>
      </c>
      <c r="B111" s="27"/>
      <c r="C111" s="27" t="s">
        <v>976</v>
      </c>
      <c r="D111" s="27" t="s">
        <v>519</v>
      </c>
      <c r="E111" s="28">
        <v>-67450</v>
      </c>
      <c r="F111" s="29">
        <v>-1065.23785</v>
      </c>
      <c r="G111" s="30">
        <f t="shared" si="0"/>
        <v>-4.4846581864654211E-3</v>
      </c>
      <c r="H111" s="25" t="s">
        <v>148</v>
      </c>
    </row>
    <row r="112" spans="1:8" x14ac:dyDescent="0.2">
      <c r="A112" s="26">
        <v>21</v>
      </c>
      <c r="B112" s="27"/>
      <c r="C112" s="27" t="s">
        <v>984</v>
      </c>
      <c r="D112" s="27" t="s">
        <v>519</v>
      </c>
      <c r="E112" s="28">
        <v>-33900</v>
      </c>
      <c r="F112" s="29">
        <v>-1078.5284999999999</v>
      </c>
      <c r="G112" s="30">
        <f t="shared" si="0"/>
        <v>-4.5406119082806442E-3</v>
      </c>
      <c r="H112" s="25" t="s">
        <v>148</v>
      </c>
    </row>
    <row r="113" spans="1:8" x14ac:dyDescent="0.2">
      <c r="A113" s="26">
        <v>22</v>
      </c>
      <c r="B113" s="27"/>
      <c r="C113" s="27" t="s">
        <v>1063</v>
      </c>
      <c r="D113" s="27" t="s">
        <v>519</v>
      </c>
      <c r="E113" s="28">
        <v>-131000</v>
      </c>
      <c r="F113" s="29">
        <v>-1302.8605</v>
      </c>
      <c r="G113" s="30">
        <f t="shared" si="0"/>
        <v>-5.4850510683106431E-3</v>
      </c>
      <c r="H113" s="25" t="s">
        <v>148</v>
      </c>
    </row>
    <row r="114" spans="1:8" x14ac:dyDescent="0.2">
      <c r="A114" s="26">
        <v>23</v>
      </c>
      <c r="B114" s="27"/>
      <c r="C114" s="27" t="s">
        <v>1022</v>
      </c>
      <c r="D114" s="27" t="s">
        <v>519</v>
      </c>
      <c r="E114" s="28">
        <v>-66850</v>
      </c>
      <c r="F114" s="29">
        <v>-1492.927625</v>
      </c>
      <c r="G114" s="30">
        <f t="shared" si="0"/>
        <v>-6.2852348846378575E-3</v>
      </c>
      <c r="H114" s="25" t="s">
        <v>148</v>
      </c>
    </row>
    <row r="115" spans="1:8" x14ac:dyDescent="0.2">
      <c r="A115" s="26">
        <v>24</v>
      </c>
      <c r="B115" s="27"/>
      <c r="C115" s="27" t="s">
        <v>1064</v>
      </c>
      <c r="D115" s="27" t="s">
        <v>519</v>
      </c>
      <c r="E115" s="28">
        <v>-630000</v>
      </c>
      <c r="F115" s="29">
        <v>-1504.125</v>
      </c>
      <c r="G115" s="30">
        <f t="shared" si="0"/>
        <v>-6.3323759052659476E-3</v>
      </c>
      <c r="H115" s="25" t="s">
        <v>148</v>
      </c>
    </row>
    <row r="116" spans="1:8" x14ac:dyDescent="0.2">
      <c r="A116" s="26">
        <v>25</v>
      </c>
      <c r="B116" s="27"/>
      <c r="C116" s="27" t="s">
        <v>990</v>
      </c>
      <c r="D116" s="27" t="s">
        <v>519</v>
      </c>
      <c r="E116" s="28">
        <v>-201875</v>
      </c>
      <c r="F116" s="29">
        <v>-2061.9512500000001</v>
      </c>
      <c r="G116" s="30">
        <f t="shared" si="0"/>
        <v>-8.6808279985592981E-3</v>
      </c>
      <c r="H116" s="25" t="s">
        <v>148</v>
      </c>
    </row>
    <row r="117" spans="1:8" x14ac:dyDescent="0.2">
      <c r="A117" s="26">
        <v>26</v>
      </c>
      <c r="B117" s="27"/>
      <c r="C117" s="27" t="s">
        <v>1006</v>
      </c>
      <c r="D117" s="27" t="s">
        <v>519</v>
      </c>
      <c r="E117" s="28">
        <v>-166800</v>
      </c>
      <c r="F117" s="29">
        <v>-2832.681</v>
      </c>
      <c r="G117" s="30">
        <f t="shared" si="0"/>
        <v>-1.1925605193520919E-2</v>
      </c>
      <c r="H117" s="25" t="s">
        <v>148</v>
      </c>
    </row>
    <row r="118" spans="1:8" x14ac:dyDescent="0.2">
      <c r="A118" s="26">
        <v>27</v>
      </c>
      <c r="B118" s="27"/>
      <c r="C118" s="27" t="s">
        <v>963</v>
      </c>
      <c r="D118" s="27" t="s">
        <v>519</v>
      </c>
      <c r="E118" s="28">
        <v>-122500</v>
      </c>
      <c r="F118" s="29">
        <v>-3186.1025</v>
      </c>
      <c r="G118" s="30">
        <f t="shared" si="0"/>
        <v>-1.3413511977201097E-2</v>
      </c>
      <c r="H118" s="25" t="s">
        <v>148</v>
      </c>
    </row>
    <row r="119" spans="1:8" x14ac:dyDescent="0.2">
      <c r="A119" s="23"/>
      <c r="B119" s="23"/>
      <c r="C119" s="24" t="s">
        <v>147</v>
      </c>
      <c r="D119" s="23"/>
      <c r="E119" s="23" t="s">
        <v>148</v>
      </c>
      <c r="F119" s="31">
        <v>-20002.191650000001</v>
      </c>
      <c r="G119" s="32">
        <v>-8.420938E-2</v>
      </c>
      <c r="H119" s="25" t="s">
        <v>148</v>
      </c>
    </row>
    <row r="120" spans="1:8" x14ac:dyDescent="0.2">
      <c r="A120" s="23"/>
      <c r="B120" s="23"/>
      <c r="C120" s="33"/>
      <c r="D120" s="23"/>
      <c r="E120" s="23"/>
      <c r="F120" s="34"/>
      <c r="G120" s="34"/>
      <c r="H120" s="25" t="s">
        <v>148</v>
      </c>
    </row>
    <row r="121" spans="1:8" x14ac:dyDescent="0.2">
      <c r="A121" s="23"/>
      <c r="B121" s="23"/>
      <c r="C121" s="24" t="s">
        <v>155</v>
      </c>
      <c r="D121" s="23"/>
      <c r="E121" s="23"/>
      <c r="F121" s="31">
        <f>F77</f>
        <v>154383.26183269999</v>
      </c>
      <c r="G121" s="32">
        <f>G77</f>
        <v>0.64995457999999995</v>
      </c>
      <c r="H121" s="25" t="s">
        <v>148</v>
      </c>
    </row>
    <row r="122" spans="1:8" x14ac:dyDescent="0.2">
      <c r="A122" s="23"/>
      <c r="B122" s="23"/>
      <c r="C122" s="33"/>
      <c r="D122" s="23"/>
      <c r="E122" s="23"/>
      <c r="F122" s="34"/>
      <c r="G122" s="34"/>
      <c r="H122" s="25" t="s">
        <v>148</v>
      </c>
    </row>
    <row r="123" spans="1:8" x14ac:dyDescent="0.2">
      <c r="A123" s="23"/>
      <c r="B123" s="23"/>
      <c r="C123" s="24" t="s">
        <v>156</v>
      </c>
      <c r="D123" s="23"/>
      <c r="E123" s="23"/>
      <c r="F123" s="34"/>
      <c r="G123" s="34"/>
      <c r="H123" s="25" t="s">
        <v>148</v>
      </c>
    </row>
    <row r="124" spans="1:8" x14ac:dyDescent="0.2">
      <c r="A124" s="23"/>
      <c r="B124" s="23"/>
      <c r="C124" s="24" t="s">
        <v>10</v>
      </c>
      <c r="D124" s="23"/>
      <c r="E124" s="23"/>
      <c r="F124" s="34"/>
      <c r="G124" s="34"/>
      <c r="H124" s="25" t="s">
        <v>148</v>
      </c>
    </row>
    <row r="125" spans="1:8" x14ac:dyDescent="0.2">
      <c r="A125" s="23"/>
      <c r="B125" s="23"/>
      <c r="C125" s="24" t="s">
        <v>147</v>
      </c>
      <c r="D125" s="23"/>
      <c r="E125" s="23" t="s">
        <v>148</v>
      </c>
      <c r="F125" s="35" t="s">
        <v>150</v>
      </c>
      <c r="G125" s="32">
        <v>0</v>
      </c>
      <c r="H125" s="25" t="s">
        <v>148</v>
      </c>
    </row>
    <row r="126" spans="1:8" x14ac:dyDescent="0.2">
      <c r="A126" s="23"/>
      <c r="B126" s="23"/>
      <c r="C126" s="33"/>
      <c r="D126" s="23"/>
      <c r="E126" s="23"/>
      <c r="F126" s="34"/>
      <c r="G126" s="34"/>
      <c r="H126" s="25" t="s">
        <v>148</v>
      </c>
    </row>
    <row r="127" spans="1:8" x14ac:dyDescent="0.2">
      <c r="A127" s="23"/>
      <c r="B127" s="23"/>
      <c r="C127" s="24" t="s">
        <v>157</v>
      </c>
      <c r="D127" s="23"/>
      <c r="E127" s="23"/>
      <c r="F127" s="23"/>
      <c r="G127" s="23"/>
      <c r="H127" s="25" t="s">
        <v>148</v>
      </c>
    </row>
    <row r="128" spans="1:8" x14ac:dyDescent="0.2">
      <c r="A128" s="23"/>
      <c r="B128" s="23"/>
      <c r="C128" s="24" t="s">
        <v>147</v>
      </c>
      <c r="D128" s="23"/>
      <c r="E128" s="23" t="s">
        <v>148</v>
      </c>
      <c r="F128" s="35" t="s">
        <v>150</v>
      </c>
      <c r="G128" s="32">
        <v>0</v>
      </c>
      <c r="H128" s="25" t="s">
        <v>148</v>
      </c>
    </row>
    <row r="129" spans="1:8" x14ac:dyDescent="0.2">
      <c r="A129" s="23"/>
      <c r="B129" s="23"/>
      <c r="C129" s="33"/>
      <c r="D129" s="23"/>
      <c r="E129" s="23"/>
      <c r="F129" s="34"/>
      <c r="G129" s="34"/>
      <c r="H129" s="25" t="s">
        <v>148</v>
      </c>
    </row>
    <row r="130" spans="1:8" x14ac:dyDescent="0.2">
      <c r="A130" s="23"/>
      <c r="B130" s="23"/>
      <c r="C130" s="24" t="s">
        <v>158</v>
      </c>
      <c r="D130" s="23"/>
      <c r="E130" s="23"/>
      <c r="F130" s="23"/>
      <c r="G130" s="23"/>
      <c r="H130" s="25" t="s">
        <v>148</v>
      </c>
    </row>
    <row r="131" spans="1:8" x14ac:dyDescent="0.2">
      <c r="A131" s="26">
        <v>1</v>
      </c>
      <c r="B131" s="27" t="s">
        <v>656</v>
      </c>
      <c r="C131" s="27" t="s">
        <v>1086</v>
      </c>
      <c r="D131" s="27" t="s">
        <v>521</v>
      </c>
      <c r="E131" s="28">
        <v>10500000</v>
      </c>
      <c r="F131" s="29">
        <v>10677.975</v>
      </c>
      <c r="G131" s="30">
        <v>4.4954340000000002E-2</v>
      </c>
      <c r="H131" s="25">
        <v>6.6759000000000004</v>
      </c>
    </row>
    <row r="132" spans="1:8" x14ac:dyDescent="0.2">
      <c r="A132" s="26">
        <v>2</v>
      </c>
      <c r="B132" s="27" t="s">
        <v>719</v>
      </c>
      <c r="C132" s="27" t="s">
        <v>1093</v>
      </c>
      <c r="D132" s="27" t="s">
        <v>521</v>
      </c>
      <c r="E132" s="28">
        <v>5000000</v>
      </c>
      <c r="F132" s="29">
        <v>5074.08</v>
      </c>
      <c r="G132" s="30">
        <v>2.1361910000000001E-2</v>
      </c>
      <c r="H132" s="25">
        <v>6.7407000000000004</v>
      </c>
    </row>
    <row r="133" spans="1:8" x14ac:dyDescent="0.2">
      <c r="A133" s="26">
        <v>3</v>
      </c>
      <c r="B133" s="27" t="s">
        <v>608</v>
      </c>
      <c r="C133" s="27" t="s">
        <v>609</v>
      </c>
      <c r="D133" s="27" t="s">
        <v>521</v>
      </c>
      <c r="E133" s="28">
        <v>4500000</v>
      </c>
      <c r="F133" s="29">
        <v>4596.0749999999998</v>
      </c>
      <c r="G133" s="30">
        <v>1.934951E-2</v>
      </c>
      <c r="H133" s="25">
        <v>6.8952999999999998</v>
      </c>
    </row>
    <row r="134" spans="1:8" x14ac:dyDescent="0.2">
      <c r="A134" s="26">
        <v>4</v>
      </c>
      <c r="B134" s="27" t="s">
        <v>668</v>
      </c>
      <c r="C134" s="27" t="s">
        <v>1090</v>
      </c>
      <c r="D134" s="27" t="s">
        <v>521</v>
      </c>
      <c r="E134" s="28">
        <v>3000000</v>
      </c>
      <c r="F134" s="29">
        <v>3088.2570000000001</v>
      </c>
      <c r="G134" s="30">
        <v>1.300158E-2</v>
      </c>
      <c r="H134" s="25">
        <v>6.7995000000000001</v>
      </c>
    </row>
    <row r="135" spans="1:8" x14ac:dyDescent="0.2">
      <c r="A135" s="26">
        <v>5</v>
      </c>
      <c r="B135" s="27" t="s">
        <v>717</v>
      </c>
      <c r="C135" s="27" t="s">
        <v>718</v>
      </c>
      <c r="D135" s="27" t="s">
        <v>521</v>
      </c>
      <c r="E135" s="28">
        <v>500000</v>
      </c>
      <c r="F135" s="29">
        <v>512.30250000000001</v>
      </c>
      <c r="G135" s="30">
        <v>2.1567999999999999E-3</v>
      </c>
      <c r="H135" s="25">
        <v>6.7043999999999997</v>
      </c>
    </row>
    <row r="136" spans="1:8" x14ac:dyDescent="0.2">
      <c r="A136" s="23"/>
      <c r="B136" s="23"/>
      <c r="C136" s="24" t="s">
        <v>147</v>
      </c>
      <c r="D136" s="23"/>
      <c r="E136" s="23" t="s">
        <v>148</v>
      </c>
      <c r="F136" s="31">
        <v>23948.6895</v>
      </c>
      <c r="G136" s="32">
        <v>0.10082414000000001</v>
      </c>
      <c r="H136" s="25" t="s">
        <v>148</v>
      </c>
    </row>
    <row r="137" spans="1:8" x14ac:dyDescent="0.2">
      <c r="A137" s="23"/>
      <c r="B137" s="23"/>
      <c r="C137" s="33"/>
      <c r="D137" s="23"/>
      <c r="E137" s="23"/>
      <c r="F137" s="34"/>
      <c r="G137" s="34"/>
      <c r="H137" s="25" t="s">
        <v>148</v>
      </c>
    </row>
    <row r="138" spans="1:8" x14ac:dyDescent="0.2">
      <c r="A138" s="23"/>
      <c r="B138" s="23"/>
      <c r="C138" s="24" t="s">
        <v>159</v>
      </c>
      <c r="D138" s="23"/>
      <c r="E138" s="23"/>
      <c r="F138" s="34"/>
      <c r="G138" s="34"/>
      <c r="H138" s="25" t="s">
        <v>148</v>
      </c>
    </row>
    <row r="139" spans="1:8" x14ac:dyDescent="0.2">
      <c r="A139" s="23"/>
      <c r="B139" s="23"/>
      <c r="C139" s="24" t="s">
        <v>147</v>
      </c>
      <c r="D139" s="23"/>
      <c r="E139" s="23" t="s">
        <v>148</v>
      </c>
      <c r="F139" s="35" t="s">
        <v>150</v>
      </c>
      <c r="G139" s="32">
        <v>0</v>
      </c>
      <c r="H139" s="25" t="s">
        <v>148</v>
      </c>
    </row>
    <row r="140" spans="1:8" x14ac:dyDescent="0.2">
      <c r="A140" s="23"/>
      <c r="B140" s="23"/>
      <c r="C140" s="33"/>
      <c r="D140" s="23"/>
      <c r="E140" s="23"/>
      <c r="F140" s="34"/>
      <c r="G140" s="34"/>
      <c r="H140" s="25" t="s">
        <v>148</v>
      </c>
    </row>
    <row r="141" spans="1:8" x14ac:dyDescent="0.2">
      <c r="A141" s="23"/>
      <c r="B141" s="23"/>
      <c r="C141" s="24" t="s">
        <v>160</v>
      </c>
      <c r="D141" s="23"/>
      <c r="E141" s="23"/>
      <c r="F141" s="31">
        <v>23948.6895</v>
      </c>
      <c r="G141" s="32">
        <v>0.10082414000000001</v>
      </c>
      <c r="H141" s="25" t="s">
        <v>148</v>
      </c>
    </row>
    <row r="142" spans="1:8" x14ac:dyDescent="0.2">
      <c r="A142" s="23"/>
      <c r="B142" s="23"/>
      <c r="C142" s="33"/>
      <c r="D142" s="23"/>
      <c r="E142" s="23"/>
      <c r="F142" s="34"/>
      <c r="G142" s="34"/>
      <c r="H142" s="25" t="s">
        <v>148</v>
      </c>
    </row>
    <row r="143" spans="1:8" x14ac:dyDescent="0.2">
      <c r="A143" s="23"/>
      <c r="B143" s="23"/>
      <c r="C143" s="24" t="s">
        <v>161</v>
      </c>
      <c r="D143" s="23"/>
      <c r="E143" s="23"/>
      <c r="F143" s="34"/>
      <c r="G143" s="34"/>
      <c r="H143" s="25" t="s">
        <v>148</v>
      </c>
    </row>
    <row r="144" spans="1:8" x14ac:dyDescent="0.2">
      <c r="A144" s="23"/>
      <c r="B144" s="23"/>
      <c r="C144" s="24" t="s">
        <v>162</v>
      </c>
      <c r="D144" s="23"/>
      <c r="E144" s="23"/>
      <c r="F144" s="34"/>
      <c r="G144" s="34"/>
      <c r="H144" s="25" t="s">
        <v>148</v>
      </c>
    </row>
    <row r="145" spans="1:8" x14ac:dyDescent="0.2">
      <c r="A145" s="23"/>
      <c r="B145" s="23"/>
      <c r="C145" s="24" t="s">
        <v>147</v>
      </c>
      <c r="D145" s="23"/>
      <c r="E145" s="23" t="s">
        <v>148</v>
      </c>
      <c r="F145" s="35" t="s">
        <v>150</v>
      </c>
      <c r="G145" s="32">
        <v>0</v>
      </c>
      <c r="H145" s="25" t="s">
        <v>148</v>
      </c>
    </row>
    <row r="146" spans="1:8" x14ac:dyDescent="0.2">
      <c r="A146" s="23"/>
      <c r="B146" s="23"/>
      <c r="C146" s="33"/>
      <c r="D146" s="23"/>
      <c r="E146" s="23"/>
      <c r="F146" s="34"/>
      <c r="G146" s="34"/>
      <c r="H146" s="25" t="s">
        <v>148</v>
      </c>
    </row>
    <row r="147" spans="1:8" x14ac:dyDescent="0.2">
      <c r="A147" s="23"/>
      <c r="B147" s="23"/>
      <c r="C147" s="24" t="s">
        <v>163</v>
      </c>
      <c r="D147" s="23"/>
      <c r="E147" s="23"/>
      <c r="F147" s="34"/>
      <c r="G147" s="34"/>
      <c r="H147" s="25" t="s">
        <v>148</v>
      </c>
    </row>
    <row r="148" spans="1:8" x14ac:dyDescent="0.2">
      <c r="A148" s="23"/>
      <c r="B148" s="23"/>
      <c r="C148" s="24" t="s">
        <v>147</v>
      </c>
      <c r="D148" s="23"/>
      <c r="E148" s="23" t="s">
        <v>148</v>
      </c>
      <c r="F148" s="35" t="s">
        <v>150</v>
      </c>
      <c r="G148" s="32">
        <v>0</v>
      </c>
      <c r="H148" s="25" t="s">
        <v>148</v>
      </c>
    </row>
    <row r="149" spans="1:8" x14ac:dyDescent="0.2">
      <c r="A149" s="23"/>
      <c r="B149" s="23"/>
      <c r="C149" s="33"/>
      <c r="D149" s="23"/>
      <c r="E149" s="23"/>
      <c r="F149" s="34"/>
      <c r="G149" s="34"/>
      <c r="H149" s="25" t="s">
        <v>148</v>
      </c>
    </row>
    <row r="150" spans="1:8" x14ac:dyDescent="0.2">
      <c r="A150" s="23"/>
      <c r="B150" s="23"/>
      <c r="C150" s="24" t="s">
        <v>164</v>
      </c>
      <c r="D150" s="23"/>
      <c r="E150" s="23"/>
      <c r="F150" s="34"/>
      <c r="G150" s="34"/>
      <c r="H150" s="25" t="s">
        <v>148</v>
      </c>
    </row>
    <row r="151" spans="1:8" x14ac:dyDescent="0.2">
      <c r="A151" s="23"/>
      <c r="B151" s="23"/>
      <c r="C151" s="24" t="s">
        <v>147</v>
      </c>
      <c r="D151" s="23"/>
      <c r="E151" s="23" t="s">
        <v>148</v>
      </c>
      <c r="F151" s="35" t="s">
        <v>150</v>
      </c>
      <c r="G151" s="32">
        <v>0</v>
      </c>
      <c r="H151" s="25" t="s">
        <v>148</v>
      </c>
    </row>
    <row r="152" spans="1:8" x14ac:dyDescent="0.2">
      <c r="A152" s="23"/>
      <c r="B152" s="23"/>
      <c r="C152" s="33"/>
      <c r="D152" s="23"/>
      <c r="E152" s="23"/>
      <c r="F152" s="34"/>
      <c r="G152" s="34"/>
      <c r="H152" s="25" t="s">
        <v>148</v>
      </c>
    </row>
    <row r="153" spans="1:8" x14ac:dyDescent="0.2">
      <c r="A153" s="23"/>
      <c r="B153" s="23"/>
      <c r="C153" s="24" t="s">
        <v>165</v>
      </c>
      <c r="D153" s="23"/>
      <c r="E153" s="23"/>
      <c r="F153" s="34"/>
      <c r="G153" s="34"/>
      <c r="H153" s="25" t="s">
        <v>148</v>
      </c>
    </row>
    <row r="154" spans="1:8" x14ac:dyDescent="0.2">
      <c r="A154" s="26">
        <v>1</v>
      </c>
      <c r="B154" s="27"/>
      <c r="C154" s="27" t="s">
        <v>166</v>
      </c>
      <c r="D154" s="27"/>
      <c r="E154" s="36"/>
      <c r="F154" s="29">
        <v>1392.7858434929999</v>
      </c>
      <c r="G154" s="30">
        <v>5.8636399999999998E-3</v>
      </c>
      <c r="H154" s="25">
        <v>6.23</v>
      </c>
    </row>
    <row r="155" spans="1:8" x14ac:dyDescent="0.2">
      <c r="A155" s="23"/>
      <c r="B155" s="23"/>
      <c r="C155" s="24" t="s">
        <v>147</v>
      </c>
      <c r="D155" s="23"/>
      <c r="E155" s="23" t="s">
        <v>148</v>
      </c>
      <c r="F155" s="31">
        <v>1392.7858434929999</v>
      </c>
      <c r="G155" s="32">
        <v>5.8636399999999998E-3</v>
      </c>
      <c r="H155" s="25" t="s">
        <v>148</v>
      </c>
    </row>
    <row r="156" spans="1:8" x14ac:dyDescent="0.2">
      <c r="A156" s="23"/>
      <c r="B156" s="23"/>
      <c r="C156" s="33"/>
      <c r="D156" s="23"/>
      <c r="E156" s="23"/>
      <c r="F156" s="34"/>
      <c r="G156" s="34"/>
      <c r="H156" s="25" t="s">
        <v>148</v>
      </c>
    </row>
    <row r="157" spans="1:8" x14ac:dyDescent="0.2">
      <c r="A157" s="23"/>
      <c r="B157" s="23"/>
      <c r="C157" s="24" t="s">
        <v>167</v>
      </c>
      <c r="D157" s="23"/>
      <c r="E157" s="23"/>
      <c r="F157" s="31">
        <v>1392.7858434929999</v>
      </c>
      <c r="G157" s="32">
        <v>5.8636399999999998E-3</v>
      </c>
      <c r="H157" s="25" t="s">
        <v>148</v>
      </c>
    </row>
    <row r="158" spans="1:8" x14ac:dyDescent="0.2">
      <c r="A158" s="23"/>
      <c r="B158" s="23"/>
      <c r="C158" s="34"/>
      <c r="D158" s="23"/>
      <c r="E158" s="23"/>
      <c r="F158" s="23"/>
      <c r="G158" s="23"/>
      <c r="H158" s="25" t="s">
        <v>148</v>
      </c>
    </row>
    <row r="159" spans="1:8" x14ac:dyDescent="0.2">
      <c r="A159" s="23"/>
      <c r="B159" s="23"/>
      <c r="C159" s="24" t="s">
        <v>168</v>
      </c>
      <c r="D159" s="23"/>
      <c r="E159" s="23"/>
      <c r="F159" s="23"/>
      <c r="G159" s="23"/>
      <c r="H159" s="25" t="s">
        <v>148</v>
      </c>
    </row>
    <row r="160" spans="1:8" x14ac:dyDescent="0.2">
      <c r="A160" s="23"/>
      <c r="B160" s="23"/>
      <c r="C160" s="24" t="s">
        <v>169</v>
      </c>
      <c r="D160" s="23"/>
      <c r="E160" s="23"/>
      <c r="F160" s="23"/>
      <c r="G160" s="23"/>
      <c r="H160" s="25" t="s">
        <v>148</v>
      </c>
    </row>
    <row r="161" spans="1:8" x14ac:dyDescent="0.2">
      <c r="A161" s="26">
        <v>1</v>
      </c>
      <c r="B161" s="27" t="s">
        <v>837</v>
      </c>
      <c r="C161" s="27" t="s">
        <v>838</v>
      </c>
      <c r="D161" s="27"/>
      <c r="E161" s="37">
        <v>23833321</v>
      </c>
      <c r="F161" s="29">
        <v>16945.491231</v>
      </c>
      <c r="G161" s="30">
        <v>7.1340630000000002E-2</v>
      </c>
      <c r="H161" s="25" t="s">
        <v>148</v>
      </c>
    </row>
    <row r="162" spans="1:8" x14ac:dyDescent="0.2">
      <c r="A162" s="26">
        <v>2</v>
      </c>
      <c r="B162" s="27" t="s">
        <v>839</v>
      </c>
      <c r="C162" s="27" t="s">
        <v>840</v>
      </c>
      <c r="D162" s="27"/>
      <c r="E162" s="37">
        <v>22925094</v>
      </c>
      <c r="F162" s="29">
        <v>16843.066561799998</v>
      </c>
      <c r="G162" s="30">
        <v>7.0909420000000001E-2</v>
      </c>
      <c r="H162" s="25" t="s">
        <v>148</v>
      </c>
    </row>
    <row r="163" spans="1:8" x14ac:dyDescent="0.2">
      <c r="A163" s="26">
        <v>3</v>
      </c>
      <c r="B163" s="27" t="s">
        <v>841</v>
      </c>
      <c r="C163" s="27" t="s">
        <v>842</v>
      </c>
      <c r="D163" s="27"/>
      <c r="E163" s="37">
        <v>14552788</v>
      </c>
      <c r="F163" s="29">
        <v>10646.819700800001</v>
      </c>
      <c r="G163" s="30">
        <v>4.4823179999999997E-2</v>
      </c>
      <c r="H163" s="25" t="s">
        <v>148</v>
      </c>
    </row>
    <row r="164" spans="1:8" x14ac:dyDescent="0.2">
      <c r="A164" s="26">
        <v>4</v>
      </c>
      <c r="B164" s="27" t="s">
        <v>843</v>
      </c>
      <c r="C164" s="27" t="s">
        <v>844</v>
      </c>
      <c r="D164" s="27"/>
      <c r="E164" s="37">
        <v>13486224</v>
      </c>
      <c r="F164" s="29">
        <v>9637.2556703999999</v>
      </c>
      <c r="G164" s="30">
        <v>4.0572909999999997E-2</v>
      </c>
      <c r="H164" s="25" t="s">
        <v>148</v>
      </c>
    </row>
    <row r="165" spans="1:8" x14ac:dyDescent="0.2">
      <c r="A165" s="26">
        <v>5</v>
      </c>
      <c r="B165" s="27" t="s">
        <v>845</v>
      </c>
      <c r="C165" s="27" t="s">
        <v>846</v>
      </c>
      <c r="D165" s="27"/>
      <c r="E165" s="37">
        <v>4448000</v>
      </c>
      <c r="F165" s="29">
        <v>3705.1840000000002</v>
      </c>
      <c r="G165" s="30">
        <v>1.5598849999999999E-2</v>
      </c>
      <c r="H165" s="25" t="s">
        <v>148</v>
      </c>
    </row>
    <row r="166" spans="1:8" x14ac:dyDescent="0.2">
      <c r="A166" s="23"/>
      <c r="B166" s="23"/>
      <c r="C166" s="24" t="s">
        <v>147</v>
      </c>
      <c r="D166" s="23"/>
      <c r="E166" s="23" t="s">
        <v>148</v>
      </c>
      <c r="F166" s="31">
        <v>57777.817164</v>
      </c>
      <c r="G166" s="32">
        <v>0.24324498999999999</v>
      </c>
      <c r="H166" s="25" t="s">
        <v>148</v>
      </c>
    </row>
    <row r="167" spans="1:8" x14ac:dyDescent="0.2">
      <c r="A167" s="23"/>
      <c r="B167" s="23"/>
      <c r="C167" s="33"/>
      <c r="D167" s="23"/>
      <c r="E167" s="23"/>
      <c r="F167" s="34"/>
      <c r="G167" s="34"/>
      <c r="H167" s="25" t="s">
        <v>148</v>
      </c>
    </row>
    <row r="168" spans="1:8" x14ac:dyDescent="0.2">
      <c r="A168" s="23"/>
      <c r="B168" s="23"/>
      <c r="C168" s="24" t="s">
        <v>172</v>
      </c>
      <c r="D168" s="23"/>
      <c r="E168" s="23"/>
      <c r="F168" s="23"/>
      <c r="G168" s="23"/>
      <c r="H168" s="25" t="s">
        <v>148</v>
      </c>
    </row>
    <row r="169" spans="1:8" x14ac:dyDescent="0.2">
      <c r="A169" s="23"/>
      <c r="B169" s="23"/>
      <c r="C169" s="24" t="s">
        <v>173</v>
      </c>
      <c r="D169" s="23"/>
      <c r="E169" s="23"/>
      <c r="F169" s="23"/>
      <c r="G169" s="23"/>
      <c r="H169" s="25" t="s">
        <v>148</v>
      </c>
    </row>
    <row r="170" spans="1:8" x14ac:dyDescent="0.2">
      <c r="A170" s="23"/>
      <c r="B170" s="23"/>
      <c r="C170" s="24" t="s">
        <v>147</v>
      </c>
      <c r="D170" s="23"/>
      <c r="E170" s="23" t="s">
        <v>148</v>
      </c>
      <c r="F170" s="35" t="s">
        <v>150</v>
      </c>
      <c r="G170" s="32">
        <v>0</v>
      </c>
      <c r="H170" s="25" t="s">
        <v>148</v>
      </c>
    </row>
    <row r="171" spans="1:8" x14ac:dyDescent="0.2">
      <c r="A171" s="23"/>
      <c r="B171" s="23"/>
      <c r="C171" s="33"/>
      <c r="D171" s="23"/>
      <c r="E171" s="23"/>
      <c r="F171" s="34"/>
      <c r="G171" s="34"/>
      <c r="H171" s="25" t="s">
        <v>148</v>
      </c>
    </row>
    <row r="172" spans="1:8" x14ac:dyDescent="0.2">
      <c r="A172" s="23"/>
      <c r="B172" s="23"/>
      <c r="C172" s="24" t="s">
        <v>174</v>
      </c>
      <c r="D172" s="23"/>
      <c r="E172" s="23"/>
      <c r="F172" s="34"/>
      <c r="G172" s="34"/>
      <c r="H172" s="25" t="s">
        <v>148</v>
      </c>
    </row>
    <row r="173" spans="1:8" x14ac:dyDescent="0.2">
      <c r="A173" s="23"/>
      <c r="B173" s="23"/>
      <c r="C173" s="24" t="s">
        <v>147</v>
      </c>
      <c r="D173" s="23"/>
      <c r="E173" s="23" t="s">
        <v>148</v>
      </c>
      <c r="F173" s="35" t="s">
        <v>150</v>
      </c>
      <c r="G173" s="32">
        <v>0</v>
      </c>
      <c r="H173" s="25" t="s">
        <v>148</v>
      </c>
    </row>
    <row r="174" spans="1:8" x14ac:dyDescent="0.2">
      <c r="A174" s="23"/>
      <c r="B174" s="23"/>
      <c r="C174" s="33"/>
      <c r="D174" s="23"/>
      <c r="E174" s="23"/>
      <c r="F174" s="34"/>
      <c r="G174" s="34"/>
      <c r="H174" s="25" t="s">
        <v>148</v>
      </c>
    </row>
    <row r="175" spans="1:8" x14ac:dyDescent="0.2">
      <c r="A175" s="36"/>
      <c r="B175" s="27"/>
      <c r="C175" s="27" t="s">
        <v>522</v>
      </c>
      <c r="D175" s="27"/>
      <c r="E175" s="36"/>
      <c r="F175" s="29">
        <v>12.8810631</v>
      </c>
      <c r="G175" s="30">
        <v>5.4230000000000001E-5</v>
      </c>
      <c r="H175" s="25" t="s">
        <v>148</v>
      </c>
    </row>
    <row r="176" spans="1:8" x14ac:dyDescent="0.2">
      <c r="A176" s="36"/>
      <c r="B176" s="27"/>
      <c r="C176" s="38" t="s">
        <v>917</v>
      </c>
      <c r="D176" s="27"/>
      <c r="E176" s="36"/>
      <c r="F176" s="29">
        <f>20016.08528562+F119</f>
        <v>13.893635619999259</v>
      </c>
      <c r="G176" s="30">
        <f>F176/F177</f>
        <v>5.8492295146100243E-5</v>
      </c>
      <c r="H176" s="25" t="s">
        <v>148</v>
      </c>
    </row>
    <row r="177" spans="1:17" x14ac:dyDescent="0.2">
      <c r="A177" s="33"/>
      <c r="B177" s="33"/>
      <c r="C177" s="24" t="s">
        <v>176</v>
      </c>
      <c r="D177" s="34"/>
      <c r="E177" s="34"/>
      <c r="F177" s="31">
        <f>F176+F175+F166+F157+F141+F121</f>
        <v>237529.32903891301</v>
      </c>
      <c r="G177" s="39">
        <f>G176+G175+G166+G157+G141+G121</f>
        <v>1.0000000722951461</v>
      </c>
      <c r="H177" s="25" t="s">
        <v>148</v>
      </c>
    </row>
    <row r="178" spans="1:17" x14ac:dyDescent="0.2">
      <c r="A178" s="40"/>
      <c r="B178" s="40"/>
      <c r="C178" s="40"/>
      <c r="D178" s="41"/>
      <c r="E178" s="41"/>
      <c r="F178" s="41"/>
      <c r="G178" s="41"/>
    </row>
    <row r="179" spans="1:17" x14ac:dyDescent="0.2">
      <c r="A179" s="42"/>
      <c r="B179" s="237" t="s">
        <v>891</v>
      </c>
      <c r="C179" s="237"/>
      <c r="D179" s="237"/>
      <c r="E179" s="237"/>
      <c r="F179" s="237"/>
      <c r="G179" s="237"/>
      <c r="H179" s="237"/>
      <c r="J179" s="44"/>
    </row>
    <row r="180" spans="1:17" x14ac:dyDescent="0.2">
      <c r="A180" s="42"/>
      <c r="B180" s="237" t="s">
        <v>892</v>
      </c>
      <c r="C180" s="237"/>
      <c r="D180" s="237"/>
      <c r="E180" s="237"/>
      <c r="F180" s="237"/>
      <c r="G180" s="237"/>
      <c r="H180" s="237"/>
      <c r="J180" s="44"/>
    </row>
    <row r="181" spans="1:17" x14ac:dyDescent="0.2">
      <c r="A181" s="42"/>
      <c r="B181" s="237" t="s">
        <v>893</v>
      </c>
      <c r="C181" s="237"/>
      <c r="D181" s="237"/>
      <c r="E181" s="237"/>
      <c r="F181" s="237"/>
      <c r="G181" s="237"/>
      <c r="H181" s="237"/>
      <c r="J181" s="44"/>
    </row>
    <row r="182" spans="1:17" s="46" customFormat="1" ht="66.75" customHeight="1" x14ac:dyDescent="0.25">
      <c r="A182" s="45"/>
      <c r="B182" s="239" t="s">
        <v>894</v>
      </c>
      <c r="C182" s="239"/>
      <c r="D182" s="239"/>
      <c r="E182" s="239"/>
      <c r="F182" s="239"/>
      <c r="G182" s="239"/>
      <c r="H182" s="239"/>
      <c r="I182"/>
      <c r="J182" s="44"/>
      <c r="K182"/>
      <c r="L182"/>
      <c r="M182"/>
      <c r="N182"/>
      <c r="O182"/>
      <c r="P182"/>
      <c r="Q182"/>
    </row>
    <row r="183" spans="1:17" x14ac:dyDescent="0.2">
      <c r="A183" s="42"/>
      <c r="B183" s="237" t="s">
        <v>895</v>
      </c>
      <c r="C183" s="237"/>
      <c r="D183" s="237"/>
      <c r="E183" s="237"/>
      <c r="F183" s="237"/>
      <c r="G183" s="237"/>
      <c r="H183" s="237"/>
      <c r="J183" s="44"/>
    </row>
    <row r="184" spans="1:17" x14ac:dyDescent="0.2">
      <c r="A184" s="47"/>
      <c r="B184" s="47"/>
      <c r="C184" s="47"/>
      <c r="D184" s="48"/>
      <c r="E184" s="48"/>
      <c r="F184" s="48"/>
      <c r="G184" s="48"/>
    </row>
    <row r="185" spans="1:17" x14ac:dyDescent="0.2">
      <c r="A185" s="47"/>
      <c r="B185" s="234" t="s">
        <v>177</v>
      </c>
      <c r="C185" s="235"/>
      <c r="D185" s="236"/>
      <c r="E185" s="49"/>
      <c r="F185" s="48"/>
      <c r="G185" s="48"/>
    </row>
    <row r="186" spans="1:17" x14ac:dyDescent="0.2">
      <c r="A186" s="47"/>
      <c r="B186" s="232" t="s">
        <v>178</v>
      </c>
      <c r="C186" s="233"/>
      <c r="D186" s="24" t="s">
        <v>179</v>
      </c>
      <c r="E186" s="49"/>
      <c r="F186" s="48"/>
      <c r="G186" s="48"/>
    </row>
    <row r="187" spans="1:17" ht="12.75" customHeight="1" x14ac:dyDescent="0.2">
      <c r="A187" s="47"/>
      <c r="B187" s="240" t="s">
        <v>897</v>
      </c>
      <c r="C187" s="241"/>
      <c r="D187" s="24" t="s">
        <v>179</v>
      </c>
      <c r="E187" s="49"/>
      <c r="F187" s="48"/>
      <c r="G187" s="48"/>
    </row>
    <row r="188" spans="1:17" x14ac:dyDescent="0.2">
      <c r="A188" s="47"/>
      <c r="B188" s="232" t="s">
        <v>181</v>
      </c>
      <c r="C188" s="233"/>
      <c r="D188" s="34" t="s">
        <v>148</v>
      </c>
      <c r="E188" s="49"/>
      <c r="F188" s="48"/>
      <c r="G188" s="48"/>
    </row>
    <row r="189" spans="1:17" x14ac:dyDescent="0.2">
      <c r="A189" s="50"/>
      <c r="B189" s="51" t="s">
        <v>148</v>
      </c>
      <c r="C189" s="51" t="s">
        <v>896</v>
      </c>
      <c r="D189" s="51" t="s">
        <v>182</v>
      </c>
      <c r="E189" s="50"/>
      <c r="F189" s="50"/>
      <c r="G189" s="50"/>
      <c r="H189" s="50"/>
      <c r="J189" s="44"/>
    </row>
    <row r="190" spans="1:17" x14ac:dyDescent="0.2">
      <c r="A190" s="50"/>
      <c r="B190" s="52" t="s">
        <v>183</v>
      </c>
      <c r="C190" s="53">
        <v>45688</v>
      </c>
      <c r="D190" s="53">
        <v>45716</v>
      </c>
      <c r="E190" s="50"/>
      <c r="F190" s="50"/>
      <c r="G190" s="50"/>
      <c r="J190" s="44"/>
    </row>
    <row r="191" spans="1:17" x14ac:dyDescent="0.2">
      <c r="A191" s="54"/>
      <c r="B191" s="27" t="s">
        <v>184</v>
      </c>
      <c r="C191" s="55">
        <v>11.4153</v>
      </c>
      <c r="D191" s="55">
        <v>11.1386</v>
      </c>
      <c r="E191" s="54"/>
      <c r="F191" s="56"/>
      <c r="G191" s="57"/>
    </row>
    <row r="192" spans="1:17" x14ac:dyDescent="0.2">
      <c r="A192" s="54"/>
      <c r="B192" s="27" t="s">
        <v>1070</v>
      </c>
      <c r="C192" s="55">
        <v>11.4153</v>
      </c>
      <c r="D192" s="55">
        <v>11.1386</v>
      </c>
      <c r="E192" s="54"/>
      <c r="F192" s="56"/>
      <c r="G192" s="57"/>
    </row>
    <row r="193" spans="1:7" x14ac:dyDescent="0.2">
      <c r="A193" s="54"/>
      <c r="B193" s="27" t="s">
        <v>186</v>
      </c>
      <c r="C193" s="55">
        <v>11.2189</v>
      </c>
      <c r="D193" s="55">
        <v>10.936299999999999</v>
      </c>
      <c r="E193" s="54"/>
      <c r="F193" s="56"/>
      <c r="G193" s="57"/>
    </row>
    <row r="194" spans="1:7" x14ac:dyDescent="0.2">
      <c r="A194" s="54"/>
      <c r="B194" s="27" t="s">
        <v>1071</v>
      </c>
      <c r="C194" s="55">
        <v>11.2189</v>
      </c>
      <c r="D194" s="55">
        <v>10.936299999999999</v>
      </c>
      <c r="E194" s="54"/>
      <c r="F194" s="56"/>
      <c r="G194" s="57"/>
    </row>
    <row r="195" spans="1:7" x14ac:dyDescent="0.2">
      <c r="A195" s="54"/>
      <c r="B195" s="54"/>
      <c r="C195" s="54"/>
      <c r="D195" s="54"/>
      <c r="E195" s="54"/>
      <c r="F195" s="54"/>
      <c r="G195" s="54"/>
    </row>
    <row r="196" spans="1:7" x14ac:dyDescent="0.2">
      <c r="A196" s="50"/>
      <c r="B196" s="240" t="s">
        <v>898</v>
      </c>
      <c r="C196" s="241"/>
      <c r="D196" s="58" t="s">
        <v>179</v>
      </c>
      <c r="E196" s="50"/>
      <c r="F196" s="50"/>
      <c r="G196" s="50"/>
    </row>
    <row r="197" spans="1:7" x14ac:dyDescent="0.2">
      <c r="A197" s="50"/>
      <c r="B197" s="59"/>
      <c r="C197" s="59"/>
      <c r="D197" s="59"/>
      <c r="E197" s="50"/>
      <c r="F197" s="50"/>
      <c r="G197" s="50"/>
    </row>
    <row r="198" spans="1:7" ht="29.1" customHeight="1" x14ac:dyDescent="0.2">
      <c r="A198" s="50"/>
      <c r="B198" s="240" t="s">
        <v>188</v>
      </c>
      <c r="C198" s="241"/>
      <c r="D198" s="58" t="s">
        <v>995</v>
      </c>
      <c r="E198" s="60"/>
      <c r="F198" s="50"/>
      <c r="G198" s="50"/>
    </row>
    <row r="199" spans="1:7" ht="29.1" customHeight="1" x14ac:dyDescent="0.2">
      <c r="A199" s="50"/>
      <c r="B199" s="240" t="s">
        <v>189</v>
      </c>
      <c r="C199" s="241"/>
      <c r="D199" s="58" t="s">
        <v>179</v>
      </c>
      <c r="E199" s="60"/>
      <c r="F199" s="50"/>
      <c r="G199" s="50"/>
    </row>
    <row r="200" spans="1:7" ht="17.100000000000001" customHeight="1" x14ac:dyDescent="0.2">
      <c r="A200" s="50"/>
      <c r="B200" s="240" t="s">
        <v>190</v>
      </c>
      <c r="C200" s="241"/>
      <c r="D200" s="58" t="s">
        <v>179</v>
      </c>
      <c r="E200" s="60"/>
      <c r="F200" s="50"/>
      <c r="G200" s="50"/>
    </row>
    <row r="201" spans="1:7" ht="17.100000000000001" customHeight="1" x14ac:dyDescent="0.2">
      <c r="A201" s="50"/>
      <c r="B201" s="240" t="s">
        <v>191</v>
      </c>
      <c r="C201" s="241"/>
      <c r="D201" s="61">
        <v>1.7170636941591548</v>
      </c>
      <c r="E201" s="50"/>
      <c r="F201" s="43"/>
      <c r="G201" s="62"/>
    </row>
    <row r="203" spans="1:7" x14ac:dyDescent="0.2">
      <c r="B203" s="265" t="s">
        <v>948</v>
      </c>
      <c r="C203" s="266"/>
      <c r="D203" s="267"/>
    </row>
    <row r="204" spans="1:7" ht="25.5" x14ac:dyDescent="0.2">
      <c r="B204" s="268" t="s">
        <v>949</v>
      </c>
      <c r="C204" s="268"/>
      <c r="D204" s="63" t="s">
        <v>834</v>
      </c>
    </row>
    <row r="205" spans="1:7" x14ac:dyDescent="0.2">
      <c r="B205" s="268" t="s">
        <v>950</v>
      </c>
      <c r="C205" s="268"/>
      <c r="D205" s="64"/>
    </row>
    <row r="206" spans="1:7" x14ac:dyDescent="0.2">
      <c r="B206" s="269"/>
      <c r="C206" s="270"/>
      <c r="D206" s="65"/>
    </row>
    <row r="207" spans="1:7" x14ac:dyDescent="0.2">
      <c r="B207" s="268" t="s">
        <v>951</v>
      </c>
      <c r="C207" s="268"/>
      <c r="D207" s="66">
        <v>6.7311593520758537</v>
      </c>
    </row>
    <row r="208" spans="1:7" x14ac:dyDescent="0.2">
      <c r="B208" s="269"/>
      <c r="C208" s="270"/>
      <c r="D208" s="65"/>
    </row>
    <row r="209" spans="2:10" x14ac:dyDescent="0.2">
      <c r="B209" s="268" t="s">
        <v>952</v>
      </c>
      <c r="C209" s="268"/>
      <c r="D209" s="66">
        <v>3.5577484476183665</v>
      </c>
    </row>
    <row r="210" spans="2:10" x14ac:dyDescent="0.2">
      <c r="B210" s="268" t="s">
        <v>953</v>
      </c>
      <c r="C210" s="268"/>
      <c r="D210" s="66">
        <v>4.3343766068318992</v>
      </c>
    </row>
    <row r="211" spans="2:10" x14ac:dyDescent="0.2">
      <c r="B211" s="269"/>
      <c r="C211" s="270"/>
      <c r="D211" s="65"/>
    </row>
    <row r="212" spans="2:10" x14ac:dyDescent="0.2">
      <c r="B212" s="268" t="s">
        <v>954</v>
      </c>
      <c r="C212" s="268"/>
      <c r="D212" s="67" t="s">
        <v>1068</v>
      </c>
    </row>
    <row r="213" spans="2:10" x14ac:dyDescent="0.2">
      <c r="B213" s="269" t="s">
        <v>955</v>
      </c>
      <c r="C213" s="271"/>
      <c r="D213" s="270"/>
    </row>
    <row r="215" spans="2:10" x14ac:dyDescent="0.2">
      <c r="B215" s="238" t="s">
        <v>899</v>
      </c>
      <c r="C215" s="238"/>
    </row>
    <row r="217" spans="2:10" ht="153.75" customHeight="1" x14ac:dyDescent="0.2"/>
    <row r="220" spans="2:10" x14ac:dyDescent="0.2">
      <c r="B220" s="68" t="s">
        <v>900</v>
      </c>
      <c r="C220" s="69"/>
      <c r="D220" s="68"/>
    </row>
    <row r="221" spans="2:10" x14ac:dyDescent="0.2">
      <c r="B221" s="68" t="s">
        <v>1065</v>
      </c>
      <c r="D221" s="68"/>
    </row>
    <row r="222" spans="2:10" ht="165" customHeight="1" x14ac:dyDescent="0.2"/>
    <row r="224" spans="2:10" x14ac:dyDescent="0.2">
      <c r="J224" s="22"/>
    </row>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sheetData>
  <mergeCells count="29">
    <mergeCell ref="B215:C215"/>
    <mergeCell ref="B209:C209"/>
    <mergeCell ref="B210:C210"/>
    <mergeCell ref="B211:C211"/>
    <mergeCell ref="B212:C212"/>
    <mergeCell ref="B213:D213"/>
    <mergeCell ref="B203:D203"/>
    <mergeCell ref="B205:C205"/>
    <mergeCell ref="B206:C206"/>
    <mergeCell ref="B207:C207"/>
    <mergeCell ref="B208:C208"/>
    <mergeCell ref="B204:C204"/>
    <mergeCell ref="A3:H3"/>
    <mergeCell ref="A2:H2"/>
    <mergeCell ref="A1:H1"/>
    <mergeCell ref="B187:C187"/>
    <mergeCell ref="B188:C188"/>
    <mergeCell ref="B181:H181"/>
    <mergeCell ref="B182:H182"/>
    <mergeCell ref="B183:H183"/>
    <mergeCell ref="B200:C200"/>
    <mergeCell ref="B201:C201"/>
    <mergeCell ref="B185:D185"/>
    <mergeCell ref="B186:C186"/>
    <mergeCell ref="B179:H179"/>
    <mergeCell ref="B180:H180"/>
    <mergeCell ref="B198:C198"/>
    <mergeCell ref="B199:C199"/>
    <mergeCell ref="B196:C196"/>
  </mergeCells>
  <hyperlinks>
    <hyperlink ref="I1" location="Index!B2" display="Index" xr:uid="{F5785F1F-946A-4BDD-9273-14A5334F1D5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124D-90EB-42F2-9CE6-C5A227508B3C}">
  <sheetPr>
    <pageSetUpPr fitToPage="1"/>
  </sheetPr>
  <dimension ref="A1:K263"/>
  <sheetViews>
    <sheetView zoomScaleNormal="100" workbookViewId="0">
      <selection activeCell="A2" sqref="A2:F2"/>
    </sheetView>
  </sheetViews>
  <sheetFormatPr defaultColWidth="9.140625" defaultRowHeight="13.5" x14ac:dyDescent="0.25"/>
  <cols>
    <col min="1" max="1" width="42" style="177" customWidth="1"/>
    <col min="2" max="2" width="54.7109375" style="177" customWidth="1"/>
    <col min="3" max="3" width="31" style="177" bestFit="1" customWidth="1"/>
    <col min="4" max="4" width="20.140625" style="177" bestFit="1" customWidth="1"/>
    <col min="5" max="5" width="16.5703125" style="177" customWidth="1"/>
    <col min="6" max="6" width="18.7109375" style="177" bestFit="1" customWidth="1"/>
    <col min="7" max="7" width="17.5703125" style="177" customWidth="1"/>
    <col min="8" max="8" width="15.5703125" style="177" bestFit="1" customWidth="1"/>
    <col min="9" max="9" width="13.5703125" style="177" customWidth="1"/>
    <col min="10" max="10" width="20.5703125" style="177" customWidth="1"/>
    <col min="11" max="11" width="12.42578125" style="177" bestFit="1" customWidth="1"/>
    <col min="12" max="16384" width="9.140625" style="177"/>
  </cols>
  <sheetData>
    <row r="1" spans="1:6" x14ac:dyDescent="0.25">
      <c r="F1" s="178" t="s">
        <v>995</v>
      </c>
    </row>
    <row r="2" spans="1:6" x14ac:dyDescent="0.25">
      <c r="A2" s="272" t="s">
        <v>1094</v>
      </c>
      <c r="B2" s="272"/>
      <c r="C2" s="272"/>
      <c r="D2" s="272"/>
      <c r="E2" s="272"/>
      <c r="F2" s="272"/>
    </row>
    <row r="3" spans="1:6" x14ac:dyDescent="0.25">
      <c r="A3" s="272" t="s">
        <v>1095</v>
      </c>
      <c r="B3" s="272"/>
      <c r="C3" s="272"/>
      <c r="D3" s="272"/>
      <c r="E3" s="272"/>
      <c r="F3" s="272"/>
    </row>
    <row r="4" spans="1:6" x14ac:dyDescent="0.25">
      <c r="A4" s="178"/>
      <c r="B4" s="178"/>
      <c r="C4" s="178"/>
      <c r="D4" s="178"/>
      <c r="E4" s="178"/>
      <c r="F4" s="178"/>
    </row>
    <row r="5" spans="1:6" x14ac:dyDescent="0.25">
      <c r="A5" s="272" t="s">
        <v>1096</v>
      </c>
      <c r="B5" s="272"/>
      <c r="C5" s="272"/>
      <c r="D5" s="272"/>
      <c r="E5" s="272"/>
      <c r="F5" s="272"/>
    </row>
    <row r="6" spans="1:6" x14ac:dyDescent="0.25">
      <c r="A6" s="178" t="s">
        <v>1226</v>
      </c>
    </row>
    <row r="8" spans="1:6" s="178" customFormat="1" ht="27" x14ac:dyDescent="0.25">
      <c r="A8" s="179" t="s">
        <v>1097</v>
      </c>
      <c r="B8" s="179" t="s">
        <v>1098</v>
      </c>
      <c r="C8" s="179" t="s">
        <v>1099</v>
      </c>
      <c r="D8" s="180" t="s">
        <v>1100</v>
      </c>
      <c r="E8" s="180" t="s">
        <v>1101</v>
      </c>
      <c r="F8" s="180" t="s">
        <v>1102</v>
      </c>
    </row>
    <row r="9" spans="1:6" x14ac:dyDescent="0.25">
      <c r="A9" s="181" t="s">
        <v>1145</v>
      </c>
      <c r="B9" s="181" t="s">
        <v>1146</v>
      </c>
      <c r="C9" s="182" t="s">
        <v>1147</v>
      </c>
      <c r="D9" s="173">
        <v>424.35</v>
      </c>
      <c r="E9" s="174">
        <v>378.4</v>
      </c>
      <c r="F9" s="183">
        <v>2.6629200000000002</v>
      </c>
    </row>
    <row r="10" spans="1:6" x14ac:dyDescent="0.25">
      <c r="A10" s="181" t="s">
        <v>1145</v>
      </c>
      <c r="B10" s="181" t="s">
        <v>1148</v>
      </c>
      <c r="C10" s="182" t="s">
        <v>1147</v>
      </c>
      <c r="D10" s="173">
        <v>120.17</v>
      </c>
      <c r="E10" s="174">
        <v>114.18</v>
      </c>
      <c r="F10" s="183">
        <v>4.5135283999999993</v>
      </c>
    </row>
    <row r="11" spans="1:6" x14ac:dyDescent="0.25">
      <c r="A11" s="181" t="s">
        <v>1145</v>
      </c>
      <c r="B11" s="181" t="s">
        <v>1149</v>
      </c>
      <c r="C11" s="182" t="s">
        <v>1147</v>
      </c>
      <c r="D11" s="173">
        <v>329.58</v>
      </c>
      <c r="E11" s="174">
        <v>312.7</v>
      </c>
      <c r="F11" s="183">
        <v>8.0547074999999992</v>
      </c>
    </row>
    <row r="12" spans="1:6" x14ac:dyDescent="0.25">
      <c r="A12" s="181" t="s">
        <v>1145</v>
      </c>
      <c r="B12" s="181" t="s">
        <v>1150</v>
      </c>
      <c r="C12" s="182" t="s">
        <v>1147</v>
      </c>
      <c r="D12" s="173">
        <v>371.27</v>
      </c>
      <c r="E12" s="174">
        <v>371.35</v>
      </c>
      <c r="F12" s="183">
        <v>11.394691499999999</v>
      </c>
    </row>
    <row r="13" spans="1:6" x14ac:dyDescent="0.25">
      <c r="A13" s="181" t="s">
        <v>1145</v>
      </c>
      <c r="B13" s="181" t="s">
        <v>1151</v>
      </c>
      <c r="C13" s="182" t="s">
        <v>1147</v>
      </c>
      <c r="D13" s="173">
        <v>3219.9</v>
      </c>
      <c r="E13" s="174">
        <v>3095.1</v>
      </c>
      <c r="F13" s="183">
        <v>11.470798800000001</v>
      </c>
    </row>
    <row r="14" spans="1:6" x14ac:dyDescent="0.25">
      <c r="A14" s="181" t="s">
        <v>1145</v>
      </c>
      <c r="B14" s="181" t="s">
        <v>1152</v>
      </c>
      <c r="C14" s="182" t="s">
        <v>1147</v>
      </c>
      <c r="D14" s="173">
        <v>1881.48</v>
      </c>
      <c r="E14" s="174">
        <v>1883.4</v>
      </c>
      <c r="F14" s="183">
        <v>11.632565</v>
      </c>
    </row>
    <row r="15" spans="1:6" x14ac:dyDescent="0.25">
      <c r="A15" s="181" t="s">
        <v>1145</v>
      </c>
      <c r="B15" s="181" t="s">
        <v>1153</v>
      </c>
      <c r="C15" s="182" t="s">
        <v>1147</v>
      </c>
      <c r="D15" s="173">
        <v>2728.53</v>
      </c>
      <c r="E15" s="174">
        <v>2600.9</v>
      </c>
      <c r="F15" s="183">
        <v>20.210247200000001</v>
      </c>
    </row>
    <row r="16" spans="1:6" x14ac:dyDescent="0.25">
      <c r="A16" s="181" t="s">
        <v>1145</v>
      </c>
      <c r="B16" s="181" t="s">
        <v>1154</v>
      </c>
      <c r="C16" s="182" t="s">
        <v>1147</v>
      </c>
      <c r="D16" s="173">
        <v>252.47</v>
      </c>
      <c r="E16" s="174">
        <v>242.9</v>
      </c>
      <c r="F16" s="183">
        <v>25.661141999999998</v>
      </c>
    </row>
    <row r="17" spans="1:6" x14ac:dyDescent="0.25">
      <c r="A17" s="181" t="s">
        <v>1145</v>
      </c>
      <c r="B17" s="181" t="s">
        <v>1155</v>
      </c>
      <c r="C17" s="182" t="s">
        <v>1147</v>
      </c>
      <c r="D17" s="173">
        <v>1748.25</v>
      </c>
      <c r="E17" s="174">
        <v>1738</v>
      </c>
      <c r="F17" s="183">
        <v>21.976240000000001</v>
      </c>
    </row>
    <row r="18" spans="1:6" x14ac:dyDescent="0.25">
      <c r="A18" s="181" t="s">
        <v>1145</v>
      </c>
      <c r="B18" s="181" t="s">
        <v>1156</v>
      </c>
      <c r="C18" s="182" t="s">
        <v>1147</v>
      </c>
      <c r="D18" s="173">
        <v>87.2</v>
      </c>
      <c r="E18" s="174">
        <v>81.41</v>
      </c>
      <c r="F18" s="183">
        <v>30.357027500000001</v>
      </c>
    </row>
    <row r="19" spans="1:6" x14ac:dyDescent="0.25">
      <c r="A19" s="181" t="s">
        <v>1145</v>
      </c>
      <c r="B19" s="181" t="s">
        <v>1157</v>
      </c>
      <c r="C19" s="182" t="s">
        <v>1147</v>
      </c>
      <c r="D19" s="173">
        <v>1130.23</v>
      </c>
      <c r="E19" s="174">
        <v>1064.75</v>
      </c>
      <c r="F19" s="183">
        <v>26.4853056</v>
      </c>
    </row>
    <row r="20" spans="1:6" x14ac:dyDescent="0.25">
      <c r="A20" s="181" t="s">
        <v>1145</v>
      </c>
      <c r="B20" s="181" t="s">
        <v>1158</v>
      </c>
      <c r="C20" s="182" t="s">
        <v>1147</v>
      </c>
      <c r="D20" s="173">
        <v>157.65</v>
      </c>
      <c r="E20" s="174">
        <v>157.04</v>
      </c>
      <c r="F20" s="183">
        <v>34.654586399999999</v>
      </c>
    </row>
    <row r="21" spans="1:6" x14ac:dyDescent="0.25">
      <c r="A21" s="181" t="s">
        <v>1145</v>
      </c>
      <c r="B21" s="181" t="s">
        <v>1159</v>
      </c>
      <c r="C21" s="182" t="s">
        <v>1147</v>
      </c>
      <c r="D21" s="173">
        <v>1493.5</v>
      </c>
      <c r="E21" s="174">
        <v>1432.5</v>
      </c>
      <c r="F21" s="183">
        <v>31.396302299999999</v>
      </c>
    </row>
    <row r="22" spans="1:6" x14ac:dyDescent="0.25">
      <c r="A22" s="181" t="s">
        <v>1145</v>
      </c>
      <c r="B22" s="181" t="s">
        <v>1160</v>
      </c>
      <c r="C22" s="182" t="s">
        <v>1147</v>
      </c>
      <c r="D22" s="173">
        <v>1489.22</v>
      </c>
      <c r="E22" s="174">
        <v>1415.2</v>
      </c>
      <c r="F22" s="183">
        <v>32.476860000000002</v>
      </c>
    </row>
    <row r="23" spans="1:6" x14ac:dyDescent="0.25">
      <c r="A23" s="181" t="s">
        <v>1145</v>
      </c>
      <c r="B23" s="181" t="s">
        <v>1161</v>
      </c>
      <c r="C23" s="182" t="s">
        <v>1147</v>
      </c>
      <c r="D23" s="173">
        <v>138.25</v>
      </c>
      <c r="E23" s="174">
        <v>137.63999999999999</v>
      </c>
      <c r="F23" s="183">
        <v>35.705175000000004</v>
      </c>
    </row>
    <row r="24" spans="1:6" x14ac:dyDescent="0.25">
      <c r="A24" s="181" t="s">
        <v>1145</v>
      </c>
      <c r="B24" s="181" t="s">
        <v>1162</v>
      </c>
      <c r="C24" s="182" t="s">
        <v>1147</v>
      </c>
      <c r="D24" s="173">
        <v>359.25</v>
      </c>
      <c r="E24" s="174">
        <v>340.2</v>
      </c>
      <c r="F24" s="183">
        <v>53.8067475</v>
      </c>
    </row>
    <row r="25" spans="1:6" x14ac:dyDescent="0.25">
      <c r="A25" s="181" t="s">
        <v>1145</v>
      </c>
      <c r="B25" s="181" t="s">
        <v>1163</v>
      </c>
      <c r="C25" s="182" t="s">
        <v>1147</v>
      </c>
      <c r="D25" s="173">
        <v>1976.4</v>
      </c>
      <c r="E25" s="174">
        <v>1914.3</v>
      </c>
      <c r="F25" s="183">
        <v>47.292070000000002</v>
      </c>
    </row>
    <row r="26" spans="1:6" x14ac:dyDescent="0.25">
      <c r="A26" s="181" t="s">
        <v>1145</v>
      </c>
      <c r="B26" s="181" t="s">
        <v>1164</v>
      </c>
      <c r="C26" s="182" t="s">
        <v>1147</v>
      </c>
      <c r="D26" s="173">
        <v>209.44</v>
      </c>
      <c r="E26" s="174">
        <v>197.97</v>
      </c>
      <c r="F26" s="183">
        <v>67.016527199999999</v>
      </c>
    </row>
    <row r="27" spans="1:6" x14ac:dyDescent="0.25">
      <c r="A27" s="181" t="s">
        <v>1145</v>
      </c>
      <c r="B27" s="181" t="s">
        <v>1165</v>
      </c>
      <c r="C27" s="182" t="s">
        <v>1147</v>
      </c>
      <c r="D27" s="173">
        <v>93.43</v>
      </c>
      <c r="E27" s="174">
        <v>87.83</v>
      </c>
      <c r="F27" s="183">
        <v>80.096199999999996</v>
      </c>
    </row>
    <row r="28" spans="1:6" x14ac:dyDescent="0.25">
      <c r="A28" s="181" t="s">
        <v>1145</v>
      </c>
      <c r="B28" s="181" t="s">
        <v>1166</v>
      </c>
      <c r="C28" s="182" t="s">
        <v>1147</v>
      </c>
      <c r="D28" s="173">
        <v>1644.2</v>
      </c>
      <c r="E28" s="174">
        <v>1579.3</v>
      </c>
      <c r="F28" s="183">
        <v>63.549412799999992</v>
      </c>
    </row>
    <row r="29" spans="1:6" x14ac:dyDescent="0.25">
      <c r="A29" s="181" t="s">
        <v>1145</v>
      </c>
      <c r="B29" s="181" t="s">
        <v>1167</v>
      </c>
      <c r="C29" s="182" t="s">
        <v>1147</v>
      </c>
      <c r="D29" s="173">
        <v>8469.91</v>
      </c>
      <c r="E29" s="174">
        <v>8577.0499999999993</v>
      </c>
      <c r="F29" s="183">
        <v>68.134352399999997</v>
      </c>
    </row>
    <row r="30" spans="1:6" x14ac:dyDescent="0.25">
      <c r="A30" s="181" t="s">
        <v>1145</v>
      </c>
      <c r="B30" s="181" t="s">
        <v>1168</v>
      </c>
      <c r="C30" s="182" t="s">
        <v>1147</v>
      </c>
      <c r="D30" s="173">
        <v>761.05</v>
      </c>
      <c r="E30" s="174">
        <v>717.65</v>
      </c>
      <c r="F30" s="183">
        <v>86.389695000000003</v>
      </c>
    </row>
    <row r="31" spans="1:6" x14ac:dyDescent="0.25">
      <c r="A31" s="181" t="s">
        <v>1145</v>
      </c>
      <c r="B31" s="181" t="s">
        <v>1169</v>
      </c>
      <c r="C31" s="182" t="s">
        <v>1147</v>
      </c>
      <c r="D31" s="173">
        <v>650.04999999999995</v>
      </c>
      <c r="E31" s="174">
        <v>636.04999999999995</v>
      </c>
      <c r="F31" s="183">
        <v>103.30406100000002</v>
      </c>
    </row>
    <row r="32" spans="1:6" x14ac:dyDescent="0.25">
      <c r="A32" s="181" t="s">
        <v>1145</v>
      </c>
      <c r="B32" s="181" t="s">
        <v>1170</v>
      </c>
      <c r="C32" s="182" t="s">
        <v>1147</v>
      </c>
      <c r="D32" s="173">
        <v>1682.91</v>
      </c>
      <c r="E32" s="174">
        <v>1602.65</v>
      </c>
      <c r="F32" s="183">
        <v>93.04868239999999</v>
      </c>
    </row>
    <row r="33" spans="1:6" x14ac:dyDescent="0.25">
      <c r="A33" s="181" t="s">
        <v>1145</v>
      </c>
      <c r="B33" s="181" t="s">
        <v>1171</v>
      </c>
      <c r="C33" s="182" t="s">
        <v>1147</v>
      </c>
      <c r="D33" s="173">
        <v>693.27</v>
      </c>
      <c r="E33" s="174">
        <v>637.25</v>
      </c>
      <c r="F33" s="183">
        <v>115.57581359999999</v>
      </c>
    </row>
    <row r="34" spans="1:6" x14ac:dyDescent="0.25">
      <c r="A34" s="181" t="s">
        <v>1145</v>
      </c>
      <c r="B34" s="181" t="s">
        <v>1172</v>
      </c>
      <c r="C34" s="182" t="s">
        <v>1147</v>
      </c>
      <c r="D34" s="173">
        <v>2190.9299999999998</v>
      </c>
      <c r="E34" s="174">
        <v>2102.15</v>
      </c>
      <c r="F34" s="183">
        <v>179.64157360000004</v>
      </c>
    </row>
    <row r="35" spans="1:6" x14ac:dyDescent="0.25">
      <c r="A35" s="181" t="s">
        <v>1145</v>
      </c>
      <c r="B35" s="181" t="s">
        <v>1173</v>
      </c>
      <c r="C35" s="182" t="s">
        <v>1147</v>
      </c>
      <c r="D35" s="173">
        <v>3808</v>
      </c>
      <c r="E35" s="174">
        <v>3503.95</v>
      </c>
      <c r="F35" s="183">
        <v>104.9595193</v>
      </c>
    </row>
    <row r="36" spans="1:6" x14ac:dyDescent="0.25">
      <c r="A36" s="181" t="s">
        <v>1145</v>
      </c>
      <c r="B36" s="181" t="s">
        <v>1174</v>
      </c>
      <c r="C36" s="182" t="s">
        <v>1147</v>
      </c>
      <c r="D36" s="173">
        <v>3300.7</v>
      </c>
      <c r="E36" s="174">
        <v>3181.5</v>
      </c>
      <c r="F36" s="183">
        <v>105.296725</v>
      </c>
    </row>
    <row r="37" spans="1:6" x14ac:dyDescent="0.25">
      <c r="A37" s="181" t="s">
        <v>1145</v>
      </c>
      <c r="B37" s="181" t="s">
        <v>1175</v>
      </c>
      <c r="C37" s="182" t="s">
        <v>1147</v>
      </c>
      <c r="D37" s="173">
        <v>480.45</v>
      </c>
      <c r="E37" s="174">
        <v>466.35</v>
      </c>
      <c r="F37" s="183">
        <v>149.864048</v>
      </c>
    </row>
    <row r="38" spans="1:6" x14ac:dyDescent="0.25">
      <c r="A38" s="181" t="s">
        <v>1145</v>
      </c>
      <c r="B38" s="181" t="s">
        <v>1176</v>
      </c>
      <c r="C38" s="182" t="s">
        <v>1147</v>
      </c>
      <c r="D38" s="173">
        <v>667.63</v>
      </c>
      <c r="E38" s="174">
        <v>624.20000000000005</v>
      </c>
      <c r="F38" s="183">
        <v>154.36363800000001</v>
      </c>
    </row>
    <row r="39" spans="1:6" x14ac:dyDescent="0.25">
      <c r="A39" s="181" t="s">
        <v>1145</v>
      </c>
      <c r="B39" s="181" t="s">
        <v>1177</v>
      </c>
      <c r="C39" s="182" t="s">
        <v>1147</v>
      </c>
      <c r="D39" s="173">
        <v>404.15</v>
      </c>
      <c r="E39" s="174">
        <v>396.8</v>
      </c>
      <c r="F39" s="183">
        <v>160.38422400000002</v>
      </c>
    </row>
    <row r="40" spans="1:6" x14ac:dyDescent="0.25">
      <c r="A40" s="181" t="s">
        <v>1145</v>
      </c>
      <c r="B40" s="181" t="s">
        <v>1178</v>
      </c>
      <c r="C40" s="182" t="s">
        <v>1147</v>
      </c>
      <c r="D40" s="173">
        <v>334.59</v>
      </c>
      <c r="E40" s="174">
        <v>325.2</v>
      </c>
      <c r="F40" s="183">
        <v>220.431792</v>
      </c>
    </row>
    <row r="41" spans="1:6" x14ac:dyDescent="0.25">
      <c r="A41" s="181" t="s">
        <v>1145</v>
      </c>
      <c r="B41" s="181" t="s">
        <v>1179</v>
      </c>
      <c r="C41" s="182" t="s">
        <v>1147</v>
      </c>
      <c r="D41" s="173">
        <v>256.42</v>
      </c>
      <c r="E41" s="174">
        <v>249.3</v>
      </c>
      <c r="F41" s="183">
        <v>215.3270784</v>
      </c>
    </row>
    <row r="42" spans="1:6" x14ac:dyDescent="0.25">
      <c r="A42" s="181" t="s">
        <v>1145</v>
      </c>
      <c r="B42" s="181" t="s">
        <v>1180</v>
      </c>
      <c r="C42" s="182" t="s">
        <v>1147</v>
      </c>
      <c r="D42" s="173">
        <v>1003.76</v>
      </c>
      <c r="E42" s="174">
        <v>1021.4</v>
      </c>
      <c r="F42" s="183">
        <v>218.57617220000003</v>
      </c>
    </row>
    <row r="43" spans="1:6" x14ac:dyDescent="0.25">
      <c r="A43" s="181" t="s">
        <v>1145</v>
      </c>
      <c r="B43" s="181" t="s">
        <v>1181</v>
      </c>
      <c r="C43" s="182" t="s">
        <v>1147</v>
      </c>
      <c r="D43" s="173">
        <v>1247.3499999999999</v>
      </c>
      <c r="E43" s="174">
        <v>1211.3</v>
      </c>
      <c r="F43" s="183">
        <v>248.37227100000001</v>
      </c>
    </row>
    <row r="44" spans="1:6" x14ac:dyDescent="0.25">
      <c r="A44" s="181" t="s">
        <v>1145</v>
      </c>
      <c r="B44" s="181" t="s">
        <v>1182</v>
      </c>
      <c r="C44" s="182" t="s">
        <v>1147</v>
      </c>
      <c r="D44" s="173">
        <v>1224.8800000000001</v>
      </c>
      <c r="E44" s="174">
        <v>1206.5</v>
      </c>
      <c r="F44" s="183">
        <v>336.55185</v>
      </c>
    </row>
    <row r="45" spans="1:6" x14ac:dyDescent="0.25">
      <c r="A45" s="181" t="s">
        <v>1183</v>
      </c>
      <c r="B45" s="181" t="s">
        <v>1180</v>
      </c>
      <c r="C45" s="182" t="s">
        <v>1147</v>
      </c>
      <c r="D45" s="173">
        <v>1016.15</v>
      </c>
      <c r="E45" s="174">
        <v>1021.4</v>
      </c>
      <c r="F45" s="183">
        <v>2.2533626</v>
      </c>
    </row>
    <row r="46" spans="1:6" x14ac:dyDescent="0.25">
      <c r="A46" s="181" t="s">
        <v>1183</v>
      </c>
      <c r="B46" s="181" t="s">
        <v>1184</v>
      </c>
      <c r="C46" s="182" t="s">
        <v>1147</v>
      </c>
      <c r="D46" s="173">
        <v>2450.56</v>
      </c>
      <c r="E46" s="174">
        <v>2321.15</v>
      </c>
      <c r="F46" s="183">
        <v>4.0949023999999996</v>
      </c>
    </row>
    <row r="47" spans="1:6" x14ac:dyDescent="0.25">
      <c r="A47" s="181" t="s">
        <v>1183</v>
      </c>
      <c r="B47" s="181" t="s">
        <v>1185</v>
      </c>
      <c r="C47" s="182" t="s">
        <v>1147</v>
      </c>
      <c r="D47" s="173">
        <v>1708.88</v>
      </c>
      <c r="E47" s="174">
        <v>1582.35</v>
      </c>
      <c r="F47" s="183">
        <v>5.8699674000000002</v>
      </c>
    </row>
    <row r="48" spans="1:6" x14ac:dyDescent="0.25">
      <c r="A48" s="181" t="s">
        <v>1183</v>
      </c>
      <c r="B48" s="181" t="s">
        <v>1186</v>
      </c>
      <c r="C48" s="182" t="s">
        <v>1147</v>
      </c>
      <c r="D48" s="173">
        <v>1338.79</v>
      </c>
      <c r="E48" s="174">
        <v>1245.3499999999999</v>
      </c>
      <c r="F48" s="183">
        <v>13.379398999999999</v>
      </c>
    </row>
    <row r="49" spans="1:6" x14ac:dyDescent="0.25">
      <c r="A49" s="181" t="s">
        <v>1183</v>
      </c>
      <c r="B49" s="181" t="s">
        <v>1151</v>
      </c>
      <c r="C49" s="182" t="s">
        <v>1147</v>
      </c>
      <c r="D49" s="173">
        <v>3192.1</v>
      </c>
      <c r="E49" s="174">
        <v>3095.1</v>
      </c>
      <c r="F49" s="183">
        <v>19.117998</v>
      </c>
    </row>
    <row r="50" spans="1:6" x14ac:dyDescent="0.25">
      <c r="A50" s="181" t="s">
        <v>1183</v>
      </c>
      <c r="B50" s="181" t="s">
        <v>1187</v>
      </c>
      <c r="C50" s="182" t="s">
        <v>1147</v>
      </c>
      <c r="D50" s="173">
        <v>167.15</v>
      </c>
      <c r="E50" s="174">
        <v>156.55000000000001</v>
      </c>
      <c r="F50" s="183">
        <v>24.716772000000002</v>
      </c>
    </row>
    <row r="51" spans="1:6" x14ac:dyDescent="0.25">
      <c r="A51" s="181" t="s">
        <v>1183</v>
      </c>
      <c r="B51" s="181" t="s">
        <v>1177</v>
      </c>
      <c r="C51" s="182" t="s">
        <v>1147</v>
      </c>
      <c r="D51" s="173">
        <v>402.77</v>
      </c>
      <c r="E51" s="174">
        <v>396.8</v>
      </c>
      <c r="F51" s="183">
        <v>31.403904000000001</v>
      </c>
    </row>
    <row r="52" spans="1:6" x14ac:dyDescent="0.25">
      <c r="A52" s="181" t="s">
        <v>1183</v>
      </c>
      <c r="B52" s="181" t="s">
        <v>1188</v>
      </c>
      <c r="C52" s="182" t="s">
        <v>1147</v>
      </c>
      <c r="D52" s="173">
        <v>2248.16</v>
      </c>
      <c r="E52" s="174">
        <v>2203.4</v>
      </c>
      <c r="F52" s="183">
        <v>44.323085999999996</v>
      </c>
    </row>
    <row r="53" spans="1:6" x14ac:dyDescent="0.25">
      <c r="A53" s="181" t="s">
        <v>1183</v>
      </c>
      <c r="B53" s="181" t="s">
        <v>1173</v>
      </c>
      <c r="C53" s="182" t="s">
        <v>1147</v>
      </c>
      <c r="D53" s="173">
        <v>3812.89</v>
      </c>
      <c r="E53" s="174">
        <v>3503.95</v>
      </c>
      <c r="F53" s="183">
        <v>50.856674299999995</v>
      </c>
    </row>
    <row r="54" spans="1:6" x14ac:dyDescent="0.25">
      <c r="A54" s="181" t="s">
        <v>1183</v>
      </c>
      <c r="B54" s="181" t="s">
        <v>1176</v>
      </c>
      <c r="C54" s="182" t="s">
        <v>1147</v>
      </c>
      <c r="D54" s="173">
        <v>680.36</v>
      </c>
      <c r="E54" s="174">
        <v>624.20000000000005</v>
      </c>
      <c r="F54" s="183">
        <v>77.181819000000004</v>
      </c>
    </row>
    <row r="55" spans="1:6" x14ac:dyDescent="0.25">
      <c r="A55" s="181" t="s">
        <v>1183</v>
      </c>
      <c r="B55" s="181" t="s">
        <v>1155</v>
      </c>
      <c r="C55" s="182" t="s">
        <v>1147</v>
      </c>
      <c r="D55" s="173">
        <v>1693.6</v>
      </c>
      <c r="E55" s="174">
        <v>1738</v>
      </c>
      <c r="F55" s="183">
        <v>76.071600000000004</v>
      </c>
    </row>
    <row r="56" spans="1:6" x14ac:dyDescent="0.25">
      <c r="A56" s="181" t="s">
        <v>1183</v>
      </c>
      <c r="B56" s="181" t="s">
        <v>1169</v>
      </c>
      <c r="C56" s="182" t="s">
        <v>1147</v>
      </c>
      <c r="D56" s="173">
        <v>648.88</v>
      </c>
      <c r="E56" s="174">
        <v>636.04999999999995</v>
      </c>
      <c r="F56" s="183">
        <v>124.67731499999999</v>
      </c>
    </row>
    <row r="57" spans="1:6" x14ac:dyDescent="0.25">
      <c r="A57" s="181" t="s">
        <v>1183</v>
      </c>
      <c r="B57" s="181" t="s">
        <v>1189</v>
      </c>
      <c r="C57" s="182" t="s">
        <v>1147</v>
      </c>
      <c r="D57" s="173">
        <v>1830.55</v>
      </c>
      <c r="E57" s="174">
        <v>1698.25</v>
      </c>
      <c r="F57" s="183">
        <v>145.01063500000001</v>
      </c>
    </row>
    <row r="58" spans="1:6" x14ac:dyDescent="0.25">
      <c r="A58" s="181" t="s">
        <v>1183</v>
      </c>
      <c r="B58" s="181" t="s">
        <v>1181</v>
      </c>
      <c r="C58" s="182" t="s">
        <v>1147</v>
      </c>
      <c r="D58" s="173">
        <v>1240.1600000000001</v>
      </c>
      <c r="E58" s="174">
        <v>1211.3</v>
      </c>
      <c r="F58" s="183">
        <v>245.37983400000002</v>
      </c>
    </row>
    <row r="59" spans="1:6" x14ac:dyDescent="0.25">
      <c r="A59" s="181" t="s">
        <v>1183</v>
      </c>
      <c r="B59" s="181" t="s">
        <v>1152</v>
      </c>
      <c r="C59" s="182" t="s">
        <v>1147</v>
      </c>
      <c r="D59" s="173">
        <v>1888.58</v>
      </c>
      <c r="E59" s="174">
        <v>1883.4</v>
      </c>
      <c r="F59" s="183">
        <v>252.59284</v>
      </c>
    </row>
    <row r="60" spans="1:6" x14ac:dyDescent="0.25">
      <c r="A60" s="181" t="s">
        <v>1183</v>
      </c>
      <c r="B60" s="181" t="s">
        <v>1167</v>
      </c>
      <c r="C60" s="182" t="s">
        <v>1147</v>
      </c>
      <c r="D60" s="173">
        <v>8358.25</v>
      </c>
      <c r="E60" s="174">
        <v>8577.0499999999993</v>
      </c>
      <c r="F60" s="183">
        <v>261.18168420000001</v>
      </c>
    </row>
    <row r="61" spans="1:6" x14ac:dyDescent="0.25">
      <c r="A61" s="181" t="s">
        <v>1183</v>
      </c>
      <c r="B61" s="181" t="s">
        <v>1156</v>
      </c>
      <c r="C61" s="182" t="s">
        <v>1147</v>
      </c>
      <c r="D61" s="173">
        <v>87.93</v>
      </c>
      <c r="E61" s="174">
        <v>81.41</v>
      </c>
      <c r="F61" s="183">
        <v>344.8558324</v>
      </c>
    </row>
    <row r="62" spans="1:6" x14ac:dyDescent="0.25">
      <c r="A62" s="181" t="s">
        <v>1183</v>
      </c>
      <c r="B62" s="181" t="s">
        <v>1160</v>
      </c>
      <c r="C62" s="182" t="s">
        <v>1147</v>
      </c>
      <c r="D62" s="173">
        <v>1485.41</v>
      </c>
      <c r="E62" s="174">
        <v>1415.2</v>
      </c>
      <c r="F62" s="183">
        <v>321.520914</v>
      </c>
    </row>
    <row r="63" spans="1:6" x14ac:dyDescent="0.25">
      <c r="A63" s="181" t="s">
        <v>1183</v>
      </c>
      <c r="B63" s="181" t="s">
        <v>1164</v>
      </c>
      <c r="C63" s="182" t="s">
        <v>1147</v>
      </c>
      <c r="D63" s="173">
        <v>211.82</v>
      </c>
      <c r="E63" s="174">
        <v>197.97</v>
      </c>
      <c r="F63" s="183">
        <v>394.65288239999995</v>
      </c>
    </row>
    <row r="64" spans="1:6" x14ac:dyDescent="0.25">
      <c r="A64" s="181" t="s">
        <v>1183</v>
      </c>
      <c r="B64" s="181" t="s">
        <v>1153</v>
      </c>
      <c r="C64" s="182" t="s">
        <v>1147</v>
      </c>
      <c r="D64" s="173">
        <v>2702.84</v>
      </c>
      <c r="E64" s="174">
        <v>2600.9</v>
      </c>
      <c r="F64" s="183">
        <v>387.66928719999999</v>
      </c>
    </row>
    <row r="65" spans="1:7" x14ac:dyDescent="0.25">
      <c r="A65" s="181" t="s">
        <v>1183</v>
      </c>
      <c r="B65" s="181" t="s">
        <v>1182</v>
      </c>
      <c r="C65" s="182" t="s">
        <v>1147</v>
      </c>
      <c r="D65" s="173">
        <v>1243.6199999999999</v>
      </c>
      <c r="E65" s="174">
        <v>1206.5</v>
      </c>
      <c r="F65" s="183">
        <v>342.94207499999999</v>
      </c>
    </row>
    <row r="66" spans="1:7" x14ac:dyDescent="0.25">
      <c r="A66" s="181" t="s">
        <v>1183</v>
      </c>
      <c r="B66" s="181" t="s">
        <v>1166</v>
      </c>
      <c r="C66" s="182" t="s">
        <v>1147</v>
      </c>
      <c r="D66" s="173">
        <v>1659.87</v>
      </c>
      <c r="E66" s="174">
        <v>1579.3</v>
      </c>
      <c r="F66" s="183">
        <v>352.16966259999998</v>
      </c>
    </row>
    <row r="67" spans="1:7" x14ac:dyDescent="0.25">
      <c r="A67" s="181" t="s">
        <v>1183</v>
      </c>
      <c r="B67" s="181" t="s">
        <v>1163</v>
      </c>
      <c r="C67" s="182" t="s">
        <v>1147</v>
      </c>
      <c r="D67" s="173">
        <v>1953.89</v>
      </c>
      <c r="E67" s="174">
        <v>1914.3</v>
      </c>
      <c r="F67" s="183">
        <v>414.81901400000004</v>
      </c>
    </row>
    <row r="68" spans="1:7" x14ac:dyDescent="0.25">
      <c r="A68" s="181" t="s">
        <v>1190</v>
      </c>
      <c r="B68" s="181" t="s">
        <v>1151</v>
      </c>
      <c r="C68" s="182" t="s">
        <v>1147</v>
      </c>
      <c r="D68" s="173">
        <v>3192.45</v>
      </c>
      <c r="E68" s="174">
        <v>3095.1</v>
      </c>
      <c r="F68" s="183">
        <v>0.95589990000000002</v>
      </c>
    </row>
    <row r="69" spans="1:7" x14ac:dyDescent="0.25">
      <c r="A69" s="181" t="s">
        <v>1190</v>
      </c>
      <c r="B69" s="181" t="s">
        <v>1178</v>
      </c>
      <c r="C69" s="182" t="s">
        <v>1147</v>
      </c>
      <c r="D69" s="173">
        <v>332.98</v>
      </c>
      <c r="E69" s="174">
        <v>325.2</v>
      </c>
      <c r="F69" s="183">
        <v>2.6241879999999997</v>
      </c>
    </row>
    <row r="70" spans="1:7" x14ac:dyDescent="0.25">
      <c r="A70" s="181" t="s">
        <v>1190</v>
      </c>
      <c r="B70" s="181" t="s">
        <v>1175</v>
      </c>
      <c r="C70" s="182" t="s">
        <v>1147</v>
      </c>
      <c r="D70" s="173">
        <v>478.51</v>
      </c>
      <c r="E70" s="174">
        <v>466.35</v>
      </c>
      <c r="F70" s="183">
        <v>9.3665029999999998</v>
      </c>
    </row>
    <row r="71" spans="1:7" x14ac:dyDescent="0.25">
      <c r="A71" s="181" t="s">
        <v>1190</v>
      </c>
      <c r="B71" s="181" t="s">
        <v>1184</v>
      </c>
      <c r="C71" s="182" t="s">
        <v>1147</v>
      </c>
      <c r="D71" s="173">
        <v>2426.46</v>
      </c>
      <c r="E71" s="174">
        <v>2321.15</v>
      </c>
      <c r="F71" s="183">
        <v>8.1898047999999992</v>
      </c>
    </row>
    <row r="72" spans="1:7" x14ac:dyDescent="0.25">
      <c r="A72" s="181" t="s">
        <v>1190</v>
      </c>
      <c r="B72" s="181" t="s">
        <v>1167</v>
      </c>
      <c r="C72" s="182" t="s">
        <v>1147</v>
      </c>
      <c r="D72" s="173">
        <v>8397.4</v>
      </c>
      <c r="E72" s="174">
        <v>8577.0499999999993</v>
      </c>
      <c r="F72" s="183">
        <v>11.355725400000001</v>
      </c>
    </row>
    <row r="73" spans="1:7" x14ac:dyDescent="0.25">
      <c r="A73" s="181" t="s">
        <v>1190</v>
      </c>
      <c r="B73" s="181" t="s">
        <v>1152</v>
      </c>
      <c r="C73" s="182" t="s">
        <v>1147</v>
      </c>
      <c r="D73" s="173">
        <v>1877.31</v>
      </c>
      <c r="E73" s="174">
        <v>1883.4</v>
      </c>
      <c r="F73" s="183">
        <v>19.94154</v>
      </c>
      <c r="G73" s="184"/>
    </row>
    <row r="74" spans="1:7" x14ac:dyDescent="0.25">
      <c r="A74" s="181" t="s">
        <v>1190</v>
      </c>
      <c r="B74" s="181" t="s">
        <v>1191</v>
      </c>
      <c r="C74" s="182" t="s">
        <v>1147</v>
      </c>
      <c r="D74" s="173">
        <v>1904.5</v>
      </c>
      <c r="E74" s="174">
        <v>1903.75</v>
      </c>
      <c r="F74" s="183">
        <v>26.695535400000001</v>
      </c>
      <c r="G74" s="184"/>
    </row>
    <row r="75" spans="1:7" x14ac:dyDescent="0.25">
      <c r="A75" s="181" t="s">
        <v>1190</v>
      </c>
      <c r="B75" s="181" t="s">
        <v>1173</v>
      </c>
      <c r="C75" s="182" t="s">
        <v>1147</v>
      </c>
      <c r="D75" s="173">
        <v>3677.6</v>
      </c>
      <c r="E75" s="174">
        <v>3503.95</v>
      </c>
      <c r="F75" s="183">
        <v>28.133479399999999</v>
      </c>
      <c r="G75" s="184"/>
    </row>
    <row r="76" spans="1:7" x14ac:dyDescent="0.25">
      <c r="A76" s="181" t="s">
        <v>1190</v>
      </c>
      <c r="B76" s="181" t="s">
        <v>1176</v>
      </c>
      <c r="C76" s="182" t="s">
        <v>1147</v>
      </c>
      <c r="D76" s="173">
        <v>676.97</v>
      </c>
      <c r="E76" s="174">
        <v>624.20000000000005</v>
      </c>
      <c r="F76" s="183">
        <v>33.851675000000007</v>
      </c>
      <c r="G76" s="184"/>
    </row>
    <row r="77" spans="1:7" x14ac:dyDescent="0.25">
      <c r="A77" s="181" t="s">
        <v>1190</v>
      </c>
      <c r="B77" s="181" t="s">
        <v>1192</v>
      </c>
      <c r="C77" s="182" t="s">
        <v>1147</v>
      </c>
      <c r="D77" s="173">
        <v>11050.61</v>
      </c>
      <c r="E77" s="174">
        <v>10192.75</v>
      </c>
      <c r="F77" s="183">
        <v>31.4659835</v>
      </c>
      <c r="G77" s="184"/>
    </row>
    <row r="78" spans="1:7" x14ac:dyDescent="0.25">
      <c r="A78" s="181" t="s">
        <v>1190</v>
      </c>
      <c r="B78" s="181" t="s">
        <v>1193</v>
      </c>
      <c r="C78" s="182" t="s">
        <v>1147</v>
      </c>
      <c r="D78" s="173">
        <v>3843.85</v>
      </c>
      <c r="E78" s="174">
        <v>3696.2</v>
      </c>
      <c r="F78" s="183">
        <v>34.293367500000002</v>
      </c>
      <c r="G78" s="184"/>
    </row>
    <row r="79" spans="1:7" x14ac:dyDescent="0.25">
      <c r="A79" s="181" t="s">
        <v>1190</v>
      </c>
      <c r="B79" s="181" t="s">
        <v>1170</v>
      </c>
      <c r="C79" s="182" t="s">
        <v>1147</v>
      </c>
      <c r="D79" s="173">
        <v>1661.45</v>
      </c>
      <c r="E79" s="174">
        <v>1602.65</v>
      </c>
      <c r="F79" s="183">
        <v>36.625545199999998</v>
      </c>
      <c r="G79" s="184"/>
    </row>
    <row r="80" spans="1:7" x14ac:dyDescent="0.25">
      <c r="A80" s="181" t="s">
        <v>1190</v>
      </c>
      <c r="B80" s="181" t="s">
        <v>1194</v>
      </c>
      <c r="C80" s="182" t="s">
        <v>1147</v>
      </c>
      <c r="D80" s="173">
        <v>1392.09</v>
      </c>
      <c r="E80" s="174">
        <v>1408.65</v>
      </c>
      <c r="F80" s="183">
        <v>47.516055000000001</v>
      </c>
      <c r="G80" s="184"/>
    </row>
    <row r="81" spans="1:7" x14ac:dyDescent="0.25">
      <c r="A81" s="181" t="s">
        <v>1190</v>
      </c>
      <c r="B81" s="181" t="s">
        <v>1159</v>
      </c>
      <c r="C81" s="182" t="s">
        <v>1147</v>
      </c>
      <c r="D81" s="173">
        <v>1478.48</v>
      </c>
      <c r="E81" s="174">
        <v>1432.5</v>
      </c>
      <c r="F81" s="183">
        <v>39.958930199999998</v>
      </c>
      <c r="G81" s="184"/>
    </row>
    <row r="82" spans="1:7" x14ac:dyDescent="0.25">
      <c r="A82" s="181" t="s">
        <v>1190</v>
      </c>
      <c r="B82" s="181" t="s">
        <v>1171</v>
      </c>
      <c r="C82" s="182" t="s">
        <v>1147</v>
      </c>
      <c r="D82" s="173">
        <v>680</v>
      </c>
      <c r="E82" s="174">
        <v>637.25</v>
      </c>
      <c r="F82" s="183">
        <v>47.7861537</v>
      </c>
      <c r="G82" s="184"/>
    </row>
    <row r="83" spans="1:7" x14ac:dyDescent="0.25">
      <c r="A83" s="181" t="s">
        <v>1190</v>
      </c>
      <c r="B83" s="181" t="s">
        <v>1195</v>
      </c>
      <c r="C83" s="182" t="s">
        <v>1147</v>
      </c>
      <c r="D83" s="173">
        <v>1330.56</v>
      </c>
      <c r="E83" s="174">
        <v>1289.0999999999999</v>
      </c>
      <c r="F83" s="183">
        <v>41.477529599999997</v>
      </c>
      <c r="G83" s="184"/>
    </row>
    <row r="84" spans="1:7" x14ac:dyDescent="0.25">
      <c r="A84" s="181" t="s">
        <v>1190</v>
      </c>
      <c r="B84" s="181" t="s">
        <v>1172</v>
      </c>
      <c r="C84" s="182" t="s">
        <v>1147</v>
      </c>
      <c r="D84" s="173">
        <v>2130.5</v>
      </c>
      <c r="E84" s="174">
        <v>2102.15</v>
      </c>
      <c r="F84" s="183">
        <v>82.010283600000008</v>
      </c>
      <c r="G84" s="184"/>
    </row>
    <row r="85" spans="1:7" x14ac:dyDescent="0.25">
      <c r="A85" s="181" t="s">
        <v>1190</v>
      </c>
      <c r="B85" s="181" t="s">
        <v>1157</v>
      </c>
      <c r="C85" s="182" t="s">
        <v>1147</v>
      </c>
      <c r="D85" s="173">
        <v>1118.6099999999999</v>
      </c>
      <c r="E85" s="174">
        <v>1064.75</v>
      </c>
      <c r="F85" s="183">
        <v>88.284351999999998</v>
      </c>
      <c r="G85" s="184"/>
    </row>
    <row r="86" spans="1:7" x14ac:dyDescent="0.25">
      <c r="A86" s="181" t="s">
        <v>1190</v>
      </c>
      <c r="B86" s="181" t="s">
        <v>1196</v>
      </c>
      <c r="C86" s="182" t="s">
        <v>1147</v>
      </c>
      <c r="D86" s="173">
        <v>623.15</v>
      </c>
      <c r="E86" s="174">
        <v>611.9</v>
      </c>
      <c r="F86" s="183">
        <v>84.3530765</v>
      </c>
      <c r="G86" s="184"/>
    </row>
    <row r="87" spans="1:7" x14ac:dyDescent="0.25">
      <c r="A87" s="181" t="s">
        <v>1190</v>
      </c>
      <c r="B87" s="181" t="s">
        <v>1154</v>
      </c>
      <c r="C87" s="182" t="s">
        <v>1147</v>
      </c>
      <c r="D87" s="173">
        <v>250.95</v>
      </c>
      <c r="E87" s="174">
        <v>242.9</v>
      </c>
      <c r="F87" s="183">
        <v>114.04952</v>
      </c>
      <c r="G87" s="184"/>
    </row>
    <row r="88" spans="1:7" x14ac:dyDescent="0.25">
      <c r="A88" s="181" t="s">
        <v>1190</v>
      </c>
      <c r="B88" s="181" t="s">
        <v>1149</v>
      </c>
      <c r="C88" s="182" t="s">
        <v>1147</v>
      </c>
      <c r="D88" s="173">
        <v>324.01</v>
      </c>
      <c r="E88" s="174">
        <v>312.7</v>
      </c>
      <c r="F88" s="183">
        <v>106.5011325</v>
      </c>
      <c r="G88" s="184"/>
    </row>
    <row r="89" spans="1:7" x14ac:dyDescent="0.25">
      <c r="A89" s="181" t="s">
        <v>1190</v>
      </c>
      <c r="B89" s="181" t="s">
        <v>1197</v>
      </c>
      <c r="C89" s="182" t="s">
        <v>1147</v>
      </c>
      <c r="D89" s="173">
        <v>2360.2399999999998</v>
      </c>
      <c r="E89" s="174">
        <v>2233.25</v>
      </c>
      <c r="F89" s="183">
        <v>123.89201349999999</v>
      </c>
      <c r="G89" s="184"/>
    </row>
    <row r="90" spans="1:7" x14ac:dyDescent="0.25">
      <c r="A90" s="181" t="s">
        <v>1190</v>
      </c>
      <c r="B90" s="181" t="s">
        <v>1198</v>
      </c>
      <c r="C90" s="182" t="s">
        <v>1147</v>
      </c>
      <c r="D90" s="173">
        <v>4589.22</v>
      </c>
      <c r="E90" s="174">
        <v>4484.8999999999996</v>
      </c>
      <c r="F90" s="183">
        <v>135.01554150000001</v>
      </c>
      <c r="G90" s="184"/>
    </row>
    <row r="91" spans="1:7" x14ac:dyDescent="0.25">
      <c r="A91" s="181" t="s">
        <v>1190</v>
      </c>
      <c r="B91" s="181" t="s">
        <v>1164</v>
      </c>
      <c r="C91" s="182" t="s">
        <v>1147</v>
      </c>
      <c r="D91" s="173">
        <v>208.58</v>
      </c>
      <c r="E91" s="174">
        <v>197.97</v>
      </c>
      <c r="F91" s="183">
        <v>172.50550519999999</v>
      </c>
      <c r="G91" s="184"/>
    </row>
    <row r="92" spans="1:7" x14ac:dyDescent="0.25">
      <c r="A92" s="181" t="s">
        <v>1190</v>
      </c>
      <c r="B92" s="181" t="s">
        <v>1199</v>
      </c>
      <c r="C92" s="182" t="s">
        <v>1147</v>
      </c>
      <c r="D92" s="173">
        <v>968.56</v>
      </c>
      <c r="E92" s="174">
        <v>956.2</v>
      </c>
      <c r="F92" s="183">
        <v>150.36249359999999</v>
      </c>
      <c r="G92" s="184"/>
    </row>
    <row r="93" spans="1:7" x14ac:dyDescent="0.25">
      <c r="A93" s="181" t="s">
        <v>1190</v>
      </c>
      <c r="B93" s="181" t="s">
        <v>1181</v>
      </c>
      <c r="C93" s="182" t="s">
        <v>1147</v>
      </c>
      <c r="D93" s="173">
        <v>1234.6199999999999</v>
      </c>
      <c r="E93" s="174">
        <v>1211.3</v>
      </c>
      <c r="F93" s="183">
        <v>155.60672400000001</v>
      </c>
      <c r="G93" s="184"/>
    </row>
    <row r="94" spans="1:7" x14ac:dyDescent="0.25">
      <c r="A94" s="181" t="s">
        <v>1190</v>
      </c>
      <c r="B94" s="181" t="s">
        <v>1169</v>
      </c>
      <c r="C94" s="182" t="s">
        <v>1147</v>
      </c>
      <c r="D94" s="173">
        <v>648.09</v>
      </c>
      <c r="E94" s="174">
        <v>636.04999999999995</v>
      </c>
      <c r="F94" s="183">
        <v>190.57818150000003</v>
      </c>
      <c r="G94" s="184"/>
    </row>
    <row r="95" spans="1:7" x14ac:dyDescent="0.25">
      <c r="A95" s="181" t="s">
        <v>1190</v>
      </c>
      <c r="B95" s="181" t="s">
        <v>1188</v>
      </c>
      <c r="C95" s="182" t="s">
        <v>1147</v>
      </c>
      <c r="D95" s="173">
        <v>2241.1</v>
      </c>
      <c r="E95" s="174">
        <v>2203.4</v>
      </c>
      <c r="F95" s="183">
        <v>185.457123</v>
      </c>
      <c r="G95" s="184"/>
    </row>
    <row r="96" spans="1:7" x14ac:dyDescent="0.25">
      <c r="A96" s="181" t="s">
        <v>1190</v>
      </c>
      <c r="B96" s="181" t="s">
        <v>1200</v>
      </c>
      <c r="C96" s="182" t="s">
        <v>1147</v>
      </c>
      <c r="D96" s="173">
        <v>12440</v>
      </c>
      <c r="E96" s="174">
        <v>11999.7</v>
      </c>
      <c r="F96" s="183">
        <v>218.3527488</v>
      </c>
      <c r="G96" s="184"/>
    </row>
    <row r="97" spans="1:7" x14ac:dyDescent="0.25">
      <c r="A97" s="181" t="s">
        <v>1190</v>
      </c>
      <c r="B97" s="181" t="s">
        <v>1177</v>
      </c>
      <c r="C97" s="182" t="s">
        <v>1147</v>
      </c>
      <c r="D97" s="173">
        <v>401.98</v>
      </c>
      <c r="E97" s="174">
        <v>396.8</v>
      </c>
      <c r="F97" s="183">
        <v>225.435168</v>
      </c>
      <c r="G97" s="184"/>
    </row>
    <row r="98" spans="1:7" x14ac:dyDescent="0.25">
      <c r="A98" s="181" t="s">
        <v>1190</v>
      </c>
      <c r="B98" s="181" t="s">
        <v>1174</v>
      </c>
      <c r="C98" s="182" t="s">
        <v>1147</v>
      </c>
      <c r="D98" s="173">
        <v>3322.94</v>
      </c>
      <c r="E98" s="174">
        <v>3181.5</v>
      </c>
      <c r="F98" s="183">
        <v>242.60365440000001</v>
      </c>
      <c r="G98" s="184"/>
    </row>
    <row r="99" spans="1:7" x14ac:dyDescent="0.25">
      <c r="A99" s="181" t="s">
        <v>1190</v>
      </c>
      <c r="B99" s="181" t="s">
        <v>1163</v>
      </c>
      <c r="C99" s="182" t="s">
        <v>1147</v>
      </c>
      <c r="D99" s="173">
        <v>1954.75</v>
      </c>
      <c r="E99" s="174">
        <v>1914.3</v>
      </c>
      <c r="F99" s="183">
        <v>397.25338800000003</v>
      </c>
      <c r="G99" s="184"/>
    </row>
    <row r="100" spans="1:7" x14ac:dyDescent="0.25">
      <c r="A100" s="181" t="s">
        <v>1190</v>
      </c>
      <c r="B100" s="181" t="s">
        <v>1153</v>
      </c>
      <c r="C100" s="182" t="s">
        <v>1147</v>
      </c>
      <c r="D100" s="173">
        <v>2692.81</v>
      </c>
      <c r="E100" s="174">
        <v>2600.9</v>
      </c>
      <c r="F100" s="183">
        <v>549.35126479999997</v>
      </c>
      <c r="G100" s="184"/>
    </row>
    <row r="101" spans="1:7" x14ac:dyDescent="0.25">
      <c r="A101" s="181" t="s">
        <v>1190</v>
      </c>
      <c r="B101" s="181" t="s">
        <v>1185</v>
      </c>
      <c r="C101" s="182" t="s">
        <v>1147</v>
      </c>
      <c r="D101" s="173">
        <v>1665.58</v>
      </c>
      <c r="E101" s="174">
        <v>1582.35</v>
      </c>
      <c r="F101" s="183">
        <v>534.16703340000004</v>
      </c>
      <c r="G101" s="184"/>
    </row>
    <row r="102" spans="1:7" x14ac:dyDescent="0.25">
      <c r="A102" s="181" t="s">
        <v>1190</v>
      </c>
      <c r="B102" s="181" t="s">
        <v>1180</v>
      </c>
      <c r="C102" s="182" t="s">
        <v>1147</v>
      </c>
      <c r="D102" s="173">
        <v>1006.29</v>
      </c>
      <c r="E102" s="174">
        <v>1021.4</v>
      </c>
      <c r="F102" s="183">
        <v>545.31374919999996</v>
      </c>
      <c r="G102" s="184"/>
    </row>
    <row r="103" spans="1:7" x14ac:dyDescent="0.25">
      <c r="A103" s="181" t="s">
        <v>1190</v>
      </c>
      <c r="B103" s="181" t="s">
        <v>1166</v>
      </c>
      <c r="C103" s="182" t="s">
        <v>1147</v>
      </c>
      <c r="D103" s="173">
        <v>1635.61</v>
      </c>
      <c r="E103" s="174">
        <v>1579.3</v>
      </c>
      <c r="F103" s="183">
        <v>681.8322414999999</v>
      </c>
      <c r="G103" s="184"/>
    </row>
    <row r="104" spans="1:7" x14ac:dyDescent="0.25">
      <c r="A104" s="181" t="s">
        <v>1190</v>
      </c>
      <c r="B104" s="181" t="s">
        <v>1189</v>
      </c>
      <c r="C104" s="182" t="s">
        <v>1147</v>
      </c>
      <c r="D104" s="173">
        <v>1793.48</v>
      </c>
      <c r="E104" s="174">
        <v>1698.25</v>
      </c>
      <c r="F104" s="183">
        <v>935.97773500000005</v>
      </c>
      <c r="G104" s="184"/>
    </row>
    <row r="105" spans="1:7" x14ac:dyDescent="0.25">
      <c r="A105" s="181" t="s">
        <v>1190</v>
      </c>
      <c r="B105" s="181" t="s">
        <v>1182</v>
      </c>
      <c r="C105" s="182" t="s">
        <v>1147</v>
      </c>
      <c r="D105" s="173">
        <v>1221.3</v>
      </c>
      <c r="E105" s="174">
        <v>1206.5</v>
      </c>
      <c r="F105" s="183">
        <v>1298.2807124999999</v>
      </c>
      <c r="G105" s="184"/>
    </row>
    <row r="106" spans="1:7" x14ac:dyDescent="0.25">
      <c r="A106" s="181" t="s">
        <v>1201</v>
      </c>
      <c r="B106" s="181" t="s">
        <v>1196</v>
      </c>
      <c r="C106" s="182" t="s">
        <v>1147</v>
      </c>
      <c r="D106" s="173">
        <v>621.9</v>
      </c>
      <c r="E106" s="174">
        <v>611.9</v>
      </c>
      <c r="F106" s="183">
        <v>1.1880714999999999</v>
      </c>
      <c r="G106" s="184"/>
    </row>
    <row r="107" spans="1:7" x14ac:dyDescent="0.25">
      <c r="A107" s="181" t="s">
        <v>1201</v>
      </c>
      <c r="B107" s="181" t="s">
        <v>1160</v>
      </c>
      <c r="C107" s="182" t="s">
        <v>1147</v>
      </c>
      <c r="D107" s="173">
        <v>1484.7</v>
      </c>
      <c r="E107" s="174">
        <v>1415.2</v>
      </c>
      <c r="F107" s="183">
        <v>1.6238429999999999</v>
      </c>
      <c r="G107" s="184"/>
    </row>
    <row r="108" spans="1:7" x14ac:dyDescent="0.25">
      <c r="A108" s="181" t="s">
        <v>1201</v>
      </c>
      <c r="B108" s="181" t="s">
        <v>1161</v>
      </c>
      <c r="C108" s="182" t="s">
        <v>1147</v>
      </c>
      <c r="D108" s="173">
        <v>137.03</v>
      </c>
      <c r="E108" s="174">
        <v>137.63999999999999</v>
      </c>
      <c r="F108" s="183">
        <v>2.8564140000000005</v>
      </c>
      <c r="G108" s="184"/>
    </row>
    <row r="109" spans="1:7" x14ac:dyDescent="0.25">
      <c r="A109" s="181" t="s">
        <v>1201</v>
      </c>
      <c r="B109" s="181" t="s">
        <v>1202</v>
      </c>
      <c r="C109" s="182" t="s">
        <v>1147</v>
      </c>
      <c r="D109" s="173">
        <v>8530.7999999999993</v>
      </c>
      <c r="E109" s="174">
        <v>7950.65</v>
      </c>
      <c r="F109" s="183">
        <v>7.4487195999999996</v>
      </c>
      <c r="G109" s="184"/>
    </row>
    <row r="110" spans="1:7" x14ac:dyDescent="0.25">
      <c r="A110" s="181" t="s">
        <v>1201</v>
      </c>
      <c r="B110" s="181" t="s">
        <v>1203</v>
      </c>
      <c r="C110" s="182" t="s">
        <v>1147</v>
      </c>
      <c r="D110" s="173">
        <v>179.15</v>
      </c>
      <c r="E110" s="174">
        <v>178.48</v>
      </c>
      <c r="F110" s="183">
        <v>7.9241999999999999</v>
      </c>
      <c r="G110" s="184"/>
    </row>
    <row r="111" spans="1:7" x14ac:dyDescent="0.25">
      <c r="A111" s="181" t="s">
        <v>1201</v>
      </c>
      <c r="B111" s="181" t="s">
        <v>1187</v>
      </c>
      <c r="C111" s="182" t="s">
        <v>1147</v>
      </c>
      <c r="D111" s="173">
        <v>158.93</v>
      </c>
      <c r="E111" s="174">
        <v>156.55000000000001</v>
      </c>
      <c r="F111" s="183">
        <v>10.710601200000001</v>
      </c>
      <c r="G111" s="184"/>
    </row>
    <row r="112" spans="1:7" x14ac:dyDescent="0.25">
      <c r="A112" s="181" t="s">
        <v>1201</v>
      </c>
      <c r="B112" s="181" t="s">
        <v>1204</v>
      </c>
      <c r="C112" s="182" t="s">
        <v>1147</v>
      </c>
      <c r="D112" s="173">
        <v>230.53</v>
      </c>
      <c r="E112" s="174">
        <v>226.6</v>
      </c>
      <c r="F112" s="183">
        <v>11.947185899999999</v>
      </c>
      <c r="G112" s="184"/>
    </row>
    <row r="113" spans="1:7" x14ac:dyDescent="0.25">
      <c r="A113" s="181" t="s">
        <v>1201</v>
      </c>
      <c r="B113" s="181" t="s">
        <v>1193</v>
      </c>
      <c r="C113" s="182" t="s">
        <v>1147</v>
      </c>
      <c r="D113" s="173">
        <v>3768.38</v>
      </c>
      <c r="E113" s="174">
        <v>3696.2</v>
      </c>
      <c r="F113" s="183">
        <v>17.636589000000001</v>
      </c>
      <c r="G113" s="184"/>
    </row>
    <row r="114" spans="1:7" x14ac:dyDescent="0.25">
      <c r="A114" s="181" t="s">
        <v>1201</v>
      </c>
      <c r="B114" s="181" t="s">
        <v>1205</v>
      </c>
      <c r="C114" s="182" t="s">
        <v>1147</v>
      </c>
      <c r="D114" s="173">
        <v>4921.0200000000004</v>
      </c>
      <c r="E114" s="174">
        <v>4797.55</v>
      </c>
      <c r="F114" s="183">
        <v>19.3851437</v>
      </c>
      <c r="G114" s="184"/>
    </row>
    <row r="115" spans="1:7" x14ac:dyDescent="0.25">
      <c r="A115" s="181" t="s">
        <v>1201</v>
      </c>
      <c r="B115" s="181" t="s">
        <v>1165</v>
      </c>
      <c r="C115" s="182" t="s">
        <v>1147</v>
      </c>
      <c r="D115" s="173">
        <v>95.16</v>
      </c>
      <c r="E115" s="174">
        <v>87.83</v>
      </c>
      <c r="F115" s="183">
        <v>30.436556</v>
      </c>
      <c r="G115" s="184"/>
    </row>
    <row r="116" spans="1:7" x14ac:dyDescent="0.25">
      <c r="A116" s="181" t="s">
        <v>1201</v>
      </c>
      <c r="B116" s="181" t="s">
        <v>1172</v>
      </c>
      <c r="C116" s="182" t="s">
        <v>1147</v>
      </c>
      <c r="D116" s="173">
        <v>2167.5500000000002</v>
      </c>
      <c r="E116" s="174">
        <v>2102.15</v>
      </c>
      <c r="F116" s="183">
        <v>44.910393400000011</v>
      </c>
      <c r="G116" s="184"/>
    </row>
    <row r="117" spans="1:7" x14ac:dyDescent="0.25">
      <c r="A117" s="181" t="s">
        <v>1201</v>
      </c>
      <c r="B117" s="181" t="s">
        <v>1184</v>
      </c>
      <c r="C117" s="182" t="s">
        <v>1147</v>
      </c>
      <c r="D117" s="173">
        <v>2346.9299999999998</v>
      </c>
      <c r="E117" s="174">
        <v>2321.15</v>
      </c>
      <c r="F117" s="183">
        <v>26.616865600000001</v>
      </c>
      <c r="G117" s="184"/>
    </row>
    <row r="118" spans="1:7" x14ac:dyDescent="0.25">
      <c r="A118" s="181" t="s">
        <v>1201</v>
      </c>
      <c r="B118" s="181" t="s">
        <v>1206</v>
      </c>
      <c r="C118" s="182" t="s">
        <v>1147</v>
      </c>
      <c r="D118" s="173">
        <v>1585.75</v>
      </c>
      <c r="E118" s="174">
        <v>1496.05</v>
      </c>
      <c r="F118" s="183">
        <v>71.304772499999984</v>
      </c>
      <c r="G118" s="184"/>
    </row>
    <row r="119" spans="1:7" x14ac:dyDescent="0.25">
      <c r="A119" s="181" t="s">
        <v>1201</v>
      </c>
      <c r="B119" s="181" t="s">
        <v>1207</v>
      </c>
      <c r="C119" s="182" t="s">
        <v>1147</v>
      </c>
      <c r="D119" s="173">
        <v>313.02</v>
      </c>
      <c r="E119" s="174">
        <v>295.60000000000002</v>
      </c>
      <c r="F119" s="183">
        <v>103.138434</v>
      </c>
      <c r="G119" s="184"/>
    </row>
    <row r="120" spans="1:7" x14ac:dyDescent="0.25">
      <c r="A120" s="181" t="s">
        <v>1201</v>
      </c>
      <c r="B120" s="181" t="s">
        <v>1181</v>
      </c>
      <c r="C120" s="182" t="s">
        <v>1147</v>
      </c>
      <c r="D120" s="173">
        <v>1259.03</v>
      </c>
      <c r="E120" s="174">
        <v>1211.3</v>
      </c>
      <c r="F120" s="183">
        <v>85.28445450000001</v>
      </c>
      <c r="G120" s="184"/>
    </row>
    <row r="121" spans="1:7" x14ac:dyDescent="0.25">
      <c r="A121" s="181" t="s">
        <v>1201</v>
      </c>
      <c r="B121" s="181" t="s">
        <v>1208</v>
      </c>
      <c r="C121" s="182" t="s">
        <v>1147</v>
      </c>
      <c r="D121" s="173">
        <v>3416.38</v>
      </c>
      <c r="E121" s="174">
        <v>3107.1</v>
      </c>
      <c r="F121" s="183">
        <v>169.64966999999999</v>
      </c>
      <c r="G121" s="184"/>
    </row>
    <row r="122" spans="1:7" x14ac:dyDescent="0.25">
      <c r="A122" s="181" t="s">
        <v>1201</v>
      </c>
      <c r="B122" s="181" t="s">
        <v>1182</v>
      </c>
      <c r="C122" s="182" t="s">
        <v>1147</v>
      </c>
      <c r="D122" s="173">
        <v>1217.45</v>
      </c>
      <c r="E122" s="174">
        <v>1206.5</v>
      </c>
      <c r="F122" s="183">
        <v>139.5199125</v>
      </c>
      <c r="G122" s="184"/>
    </row>
    <row r="123" spans="1:7" x14ac:dyDescent="0.25">
      <c r="A123" s="181" t="s">
        <v>1201</v>
      </c>
      <c r="B123" s="181" t="s">
        <v>1192</v>
      </c>
      <c r="C123" s="182" t="s">
        <v>1147</v>
      </c>
      <c r="D123" s="173">
        <v>10469.219999999999</v>
      </c>
      <c r="E123" s="174">
        <v>10192.75</v>
      </c>
      <c r="F123" s="183">
        <v>155.5318613</v>
      </c>
      <c r="G123" s="184"/>
    </row>
    <row r="124" spans="1:7" x14ac:dyDescent="0.25">
      <c r="A124" s="181" t="s">
        <v>1201</v>
      </c>
      <c r="B124" s="181" t="s">
        <v>1163</v>
      </c>
      <c r="C124" s="182" t="s">
        <v>1147</v>
      </c>
      <c r="D124" s="173">
        <v>1957.1</v>
      </c>
      <c r="E124" s="174">
        <v>1914.3</v>
      </c>
      <c r="F124" s="183">
        <v>164.84664400000003</v>
      </c>
      <c r="G124" s="184"/>
    </row>
    <row r="125" spans="1:7" x14ac:dyDescent="0.25">
      <c r="A125" s="181" t="s">
        <v>1201</v>
      </c>
      <c r="B125" s="181" t="s">
        <v>1166</v>
      </c>
      <c r="C125" s="182" t="s">
        <v>1147</v>
      </c>
      <c r="D125" s="173">
        <v>1652.68</v>
      </c>
      <c r="E125" s="174">
        <v>1579.3</v>
      </c>
      <c r="F125" s="183">
        <v>188.00034619999997</v>
      </c>
      <c r="G125" s="184"/>
    </row>
    <row r="126" spans="1:7" x14ac:dyDescent="0.25">
      <c r="A126" s="181" t="s">
        <v>1201</v>
      </c>
      <c r="B126" s="181" t="s">
        <v>1174</v>
      </c>
      <c r="C126" s="182" t="s">
        <v>1147</v>
      </c>
      <c r="D126" s="173">
        <v>3314.6</v>
      </c>
      <c r="E126" s="174">
        <v>3181.5</v>
      </c>
      <c r="F126" s="183">
        <v>190.37647880000003</v>
      </c>
      <c r="G126" s="184"/>
    </row>
    <row r="127" spans="1:7" x14ac:dyDescent="0.25">
      <c r="A127" s="181" t="s">
        <v>1201</v>
      </c>
      <c r="B127" s="181" t="s">
        <v>1209</v>
      </c>
      <c r="C127" s="182" t="s">
        <v>1147</v>
      </c>
      <c r="D127" s="173">
        <v>1050.19</v>
      </c>
      <c r="E127" s="174">
        <v>994.55</v>
      </c>
      <c r="F127" s="183">
        <v>270.19963060000003</v>
      </c>
      <c r="G127" s="184"/>
    </row>
    <row r="128" spans="1:7" x14ac:dyDescent="0.25">
      <c r="A128" s="181" t="s">
        <v>1201</v>
      </c>
      <c r="B128" s="181" t="s">
        <v>1197</v>
      </c>
      <c r="C128" s="182" t="s">
        <v>1147</v>
      </c>
      <c r="D128" s="173">
        <v>2357.9899999999998</v>
      </c>
      <c r="E128" s="174">
        <v>2233.25</v>
      </c>
      <c r="F128" s="183">
        <v>278.39264209999999</v>
      </c>
      <c r="G128" s="184"/>
    </row>
    <row r="129" spans="1:7" x14ac:dyDescent="0.25">
      <c r="A129" s="181" t="s">
        <v>1201</v>
      </c>
      <c r="B129" s="181" t="s">
        <v>1210</v>
      </c>
      <c r="C129" s="182" t="s">
        <v>1147</v>
      </c>
      <c r="D129" s="173">
        <v>254.25</v>
      </c>
      <c r="E129" s="174">
        <v>238.75</v>
      </c>
      <c r="F129" s="183">
        <v>300.864375</v>
      </c>
      <c r="G129" s="184"/>
    </row>
    <row r="130" spans="1:7" x14ac:dyDescent="0.25">
      <c r="A130" s="181" t="s">
        <v>1201</v>
      </c>
      <c r="B130" s="181" t="s">
        <v>1180</v>
      </c>
      <c r="C130" s="182" t="s">
        <v>1147</v>
      </c>
      <c r="D130" s="173">
        <v>1014.98</v>
      </c>
      <c r="E130" s="174">
        <v>1021.4</v>
      </c>
      <c r="F130" s="183">
        <v>363.9180599</v>
      </c>
      <c r="G130" s="184"/>
    </row>
    <row r="131" spans="1:7" x14ac:dyDescent="0.25">
      <c r="A131" s="181" t="s">
        <v>1201</v>
      </c>
      <c r="B131" s="181" t="s">
        <v>1189</v>
      </c>
      <c r="C131" s="182" t="s">
        <v>1147</v>
      </c>
      <c r="D131" s="173">
        <v>1840.29</v>
      </c>
      <c r="E131" s="174">
        <v>1698.25</v>
      </c>
      <c r="F131" s="183">
        <v>499.74739499999998</v>
      </c>
      <c r="G131" s="184"/>
    </row>
    <row r="132" spans="1:7" x14ac:dyDescent="0.25">
      <c r="A132" s="181" t="s">
        <v>1201</v>
      </c>
      <c r="B132" s="181" t="s">
        <v>1153</v>
      </c>
      <c r="C132" s="182" t="s">
        <v>1147</v>
      </c>
      <c r="D132" s="173">
        <v>2695.66</v>
      </c>
      <c r="E132" s="174">
        <v>2600.9</v>
      </c>
      <c r="F132" s="183">
        <v>643.05331999999999</v>
      </c>
      <c r="G132" s="184"/>
    </row>
    <row r="134" spans="1:7" x14ac:dyDescent="0.25">
      <c r="A134" s="178" t="s">
        <v>1103</v>
      </c>
      <c r="D134" s="185"/>
      <c r="E134" s="185"/>
      <c r="F134" s="185"/>
    </row>
    <row r="136" spans="1:7" x14ac:dyDescent="0.25">
      <c r="A136" s="186" t="s">
        <v>1097</v>
      </c>
      <c r="B136" s="186" t="s">
        <v>1104</v>
      </c>
    </row>
    <row r="137" spans="1:7" x14ac:dyDescent="0.25">
      <c r="A137" s="181" t="s">
        <v>1145</v>
      </c>
      <c r="B137" s="187">
        <v>73.230701999999994</v>
      </c>
    </row>
    <row r="138" spans="1:7" x14ac:dyDescent="0.25">
      <c r="A138" s="181" t="s">
        <v>1183</v>
      </c>
      <c r="B138" s="187">
        <v>14.678247000000002</v>
      </c>
    </row>
    <row r="139" spans="1:7" x14ac:dyDescent="0.25">
      <c r="A139" s="188" t="s">
        <v>1190</v>
      </c>
      <c r="B139" s="187">
        <v>40.591673999999998</v>
      </c>
    </row>
    <row r="140" spans="1:7" x14ac:dyDescent="0.25">
      <c r="A140" s="188" t="s">
        <v>1201</v>
      </c>
      <c r="B140" s="187">
        <v>8.4209359999999993</v>
      </c>
    </row>
    <row r="142" spans="1:7" x14ac:dyDescent="0.25">
      <c r="A142" s="178" t="s">
        <v>1227</v>
      </c>
    </row>
    <row r="143" spans="1:7" x14ac:dyDescent="0.25">
      <c r="A143" s="178"/>
    </row>
    <row r="144" spans="1:7" ht="67.5" x14ac:dyDescent="0.25">
      <c r="A144" s="179" t="s">
        <v>1097</v>
      </c>
      <c r="B144" s="180" t="s">
        <v>1105</v>
      </c>
      <c r="C144" s="180" t="s">
        <v>1106</v>
      </c>
      <c r="D144" s="180" t="s">
        <v>1107</v>
      </c>
      <c r="E144" s="180" t="s">
        <v>1108</v>
      </c>
      <c r="F144" s="180" t="s">
        <v>1109</v>
      </c>
    </row>
    <row r="145" spans="1:11" x14ac:dyDescent="0.25">
      <c r="A145" s="181" t="s">
        <v>1211</v>
      </c>
      <c r="B145" s="164">
        <v>225</v>
      </c>
      <c r="C145" s="164">
        <v>225</v>
      </c>
      <c r="D145" s="189">
        <v>1405.3162500000001</v>
      </c>
      <c r="E145" s="189">
        <v>1468.824435</v>
      </c>
      <c r="F145" s="175">
        <v>63.508184999999997</v>
      </c>
      <c r="G145" s="165"/>
      <c r="H145" s="190"/>
      <c r="I145" s="191"/>
      <c r="J145" s="191"/>
      <c r="K145" s="191"/>
    </row>
    <row r="146" spans="1:11" x14ac:dyDescent="0.25">
      <c r="A146" s="181" t="s">
        <v>1212</v>
      </c>
      <c r="B146" s="164">
        <v>6390</v>
      </c>
      <c r="C146" s="164">
        <v>6390</v>
      </c>
      <c r="D146" s="189">
        <v>45006.357923700001</v>
      </c>
      <c r="E146" s="189">
        <v>44698.701387399997</v>
      </c>
      <c r="F146" s="175">
        <v>-307.65653630000168</v>
      </c>
      <c r="G146" s="165"/>
      <c r="H146" s="190"/>
      <c r="I146" s="191"/>
      <c r="J146" s="191"/>
      <c r="K146" s="191"/>
    </row>
    <row r="147" spans="1:11" x14ac:dyDescent="0.25">
      <c r="A147" s="181" t="s">
        <v>1213</v>
      </c>
      <c r="B147" s="164">
        <v>1006</v>
      </c>
      <c r="C147" s="164">
        <v>1006</v>
      </c>
      <c r="D147" s="189">
        <v>7562.1158939999996</v>
      </c>
      <c r="E147" s="189">
        <v>7255.2512351999994</v>
      </c>
      <c r="F147" s="175">
        <v>-306.86465879999963</v>
      </c>
      <c r="G147" s="165"/>
      <c r="H147" s="190"/>
      <c r="I147" s="191"/>
      <c r="J147" s="191"/>
      <c r="K147" s="191"/>
    </row>
    <row r="148" spans="1:11" x14ac:dyDescent="0.25">
      <c r="A148" s="181" t="s">
        <v>1214</v>
      </c>
      <c r="B148" s="164">
        <v>5104</v>
      </c>
      <c r="C148" s="164">
        <v>5104</v>
      </c>
      <c r="D148" s="189">
        <v>36683.560547499997</v>
      </c>
      <c r="E148" s="189">
        <v>35811.049892499992</v>
      </c>
      <c r="F148" s="175">
        <v>-877.94440500000178</v>
      </c>
      <c r="G148" s="165"/>
      <c r="H148" s="190"/>
      <c r="I148" s="191"/>
      <c r="J148" s="191"/>
      <c r="K148" s="191"/>
    </row>
    <row r="149" spans="1:11" x14ac:dyDescent="0.25">
      <c r="A149" s="181" t="s">
        <v>1145</v>
      </c>
      <c r="B149" s="164">
        <v>18424</v>
      </c>
      <c r="C149" s="164">
        <v>17976</v>
      </c>
      <c r="D149" s="189">
        <v>128043.0448319</v>
      </c>
      <c r="E149" s="189">
        <v>129489.03111220001</v>
      </c>
      <c r="F149" s="175">
        <v>1426.808780299991</v>
      </c>
      <c r="G149" s="165"/>
      <c r="H149" s="190"/>
      <c r="I149" s="191"/>
      <c r="J149" s="191"/>
      <c r="K149" s="191"/>
    </row>
    <row r="150" spans="1:11" x14ac:dyDescent="0.25">
      <c r="A150" s="181" t="s">
        <v>1183</v>
      </c>
      <c r="B150" s="164">
        <v>35576</v>
      </c>
      <c r="C150" s="164">
        <v>35010</v>
      </c>
      <c r="D150" s="189">
        <v>249839.35437360001</v>
      </c>
      <c r="E150" s="189">
        <v>251038.86713269999</v>
      </c>
      <c r="F150" s="175">
        <v>1045.5434591000117</v>
      </c>
      <c r="G150" s="165"/>
      <c r="H150" s="190"/>
      <c r="I150" s="191"/>
      <c r="J150" s="191"/>
      <c r="K150" s="191"/>
    </row>
    <row r="151" spans="1:11" x14ac:dyDescent="0.25">
      <c r="A151" s="181" t="s">
        <v>1190</v>
      </c>
      <c r="B151" s="164">
        <v>51758</v>
      </c>
      <c r="C151" s="164">
        <v>51374</v>
      </c>
      <c r="D151" s="189">
        <v>366208.01645709999</v>
      </c>
      <c r="E151" s="189">
        <v>368938.20669040002</v>
      </c>
      <c r="F151" s="175">
        <v>2638.3430333000138</v>
      </c>
      <c r="G151" s="165"/>
      <c r="H151" s="190"/>
      <c r="I151" s="191"/>
      <c r="J151" s="191"/>
      <c r="K151" s="191"/>
    </row>
    <row r="152" spans="1:11" x14ac:dyDescent="0.25">
      <c r="A152" s="181" t="s">
        <v>1215</v>
      </c>
      <c r="B152" s="164">
        <v>0</v>
      </c>
      <c r="C152" s="164">
        <v>0</v>
      </c>
      <c r="D152" s="189">
        <v>0</v>
      </c>
      <c r="E152" s="189">
        <v>0</v>
      </c>
      <c r="F152" s="175">
        <v>0</v>
      </c>
      <c r="G152" s="165"/>
      <c r="H152" s="190"/>
      <c r="I152" s="191"/>
      <c r="J152" s="191"/>
      <c r="K152" s="191"/>
    </row>
    <row r="153" spans="1:11" x14ac:dyDescent="0.25">
      <c r="A153" s="181" t="s">
        <v>1216</v>
      </c>
      <c r="B153" s="164">
        <v>0</v>
      </c>
      <c r="C153" s="164">
        <v>0</v>
      </c>
      <c r="D153" s="189">
        <v>0</v>
      </c>
      <c r="E153" s="189">
        <v>0</v>
      </c>
      <c r="F153" s="175">
        <v>0</v>
      </c>
      <c r="G153" s="165"/>
      <c r="H153" s="190"/>
      <c r="I153" s="191"/>
      <c r="J153" s="191"/>
      <c r="K153" s="191"/>
    </row>
    <row r="154" spans="1:11" x14ac:dyDescent="0.25">
      <c r="A154" s="181" t="s">
        <v>1217</v>
      </c>
      <c r="B154" s="164">
        <v>1626</v>
      </c>
      <c r="C154" s="164">
        <v>1626</v>
      </c>
      <c r="D154" s="189">
        <v>10741.072131700001</v>
      </c>
      <c r="E154" s="189">
        <v>10559.470923500001</v>
      </c>
      <c r="F154" s="175">
        <v>-181.60120820000051</v>
      </c>
      <c r="G154" s="165"/>
      <c r="H154" s="190"/>
      <c r="I154" s="191"/>
      <c r="J154" s="191"/>
      <c r="K154" s="191"/>
    </row>
    <row r="155" spans="1:11" x14ac:dyDescent="0.25">
      <c r="A155" s="181" t="s">
        <v>1218</v>
      </c>
      <c r="B155" s="164">
        <v>0</v>
      </c>
      <c r="C155" s="164">
        <v>0</v>
      </c>
      <c r="D155" s="189">
        <v>0</v>
      </c>
      <c r="E155" s="189">
        <v>0</v>
      </c>
      <c r="F155" s="175">
        <v>0</v>
      </c>
      <c r="G155" s="165"/>
      <c r="H155" s="190"/>
      <c r="I155" s="191"/>
      <c r="J155" s="191"/>
      <c r="K155" s="191"/>
    </row>
    <row r="156" spans="1:11" x14ac:dyDescent="0.25">
      <c r="A156" s="181" t="s">
        <v>1219</v>
      </c>
      <c r="B156" s="164">
        <v>1032</v>
      </c>
      <c r="C156" s="164">
        <v>1032</v>
      </c>
      <c r="D156" s="189">
        <v>6188.2764275</v>
      </c>
      <c r="E156" s="189">
        <v>6301.4874573000006</v>
      </c>
      <c r="F156" s="175">
        <v>113.21102980000019</v>
      </c>
      <c r="G156" s="165"/>
      <c r="H156" s="190"/>
      <c r="I156" s="191"/>
      <c r="J156" s="191"/>
      <c r="K156" s="191"/>
    </row>
    <row r="157" spans="1:11" x14ac:dyDescent="0.25">
      <c r="A157" s="181" t="s">
        <v>1201</v>
      </c>
      <c r="B157" s="164">
        <v>36462</v>
      </c>
      <c r="C157" s="164">
        <v>34944</v>
      </c>
      <c r="D157" s="189">
        <v>268001.80506599997</v>
      </c>
      <c r="E157" s="189">
        <v>264298.4529027</v>
      </c>
      <c r="F157" s="175">
        <v>-3737.210163299992</v>
      </c>
      <c r="G157" s="165"/>
      <c r="H157" s="190"/>
      <c r="I157" s="191"/>
      <c r="J157" s="191"/>
      <c r="K157" s="191"/>
    </row>
    <row r="158" spans="1:11" x14ac:dyDescent="0.25">
      <c r="A158" s="181" t="s">
        <v>1220</v>
      </c>
      <c r="B158" s="164">
        <v>60</v>
      </c>
      <c r="C158" s="164">
        <v>60</v>
      </c>
      <c r="D158" s="189">
        <v>316.01162249999999</v>
      </c>
      <c r="E158" s="189">
        <v>395.40894750000001</v>
      </c>
      <c r="F158" s="175">
        <v>79.397324999999995</v>
      </c>
      <c r="G158" s="165"/>
      <c r="H158" s="190"/>
      <c r="I158" s="191"/>
      <c r="J158" s="191"/>
      <c r="K158" s="191"/>
    </row>
    <row r="159" spans="1:11" x14ac:dyDescent="0.25">
      <c r="A159" s="181" t="s">
        <v>1221</v>
      </c>
      <c r="B159" s="164">
        <v>201</v>
      </c>
      <c r="C159" s="164">
        <v>201</v>
      </c>
      <c r="D159" s="189">
        <v>1072.7978729000001</v>
      </c>
      <c r="E159" s="189">
        <v>1079.4005821999999</v>
      </c>
      <c r="F159" s="175">
        <v>6.6027092999999226</v>
      </c>
      <c r="G159" s="165"/>
      <c r="H159" s="190"/>
      <c r="I159" s="191"/>
      <c r="J159" s="191"/>
      <c r="K159" s="191"/>
    </row>
    <row r="160" spans="1:11" x14ac:dyDescent="0.25">
      <c r="A160" s="181" t="s">
        <v>1222</v>
      </c>
      <c r="B160" s="164">
        <v>75</v>
      </c>
      <c r="C160" s="164">
        <v>75</v>
      </c>
      <c r="D160" s="189">
        <v>344.04562499999997</v>
      </c>
      <c r="E160" s="189">
        <v>402.44213630000002</v>
      </c>
      <c r="F160" s="175">
        <v>58.396511300000029</v>
      </c>
      <c r="G160" s="165"/>
      <c r="H160" s="190"/>
      <c r="I160" s="191"/>
      <c r="J160" s="191"/>
      <c r="K160" s="191"/>
    </row>
    <row r="161" spans="1:11" x14ac:dyDescent="0.25">
      <c r="G161" s="165"/>
      <c r="H161" s="190"/>
      <c r="I161" s="191"/>
    </row>
    <row r="162" spans="1:11" x14ac:dyDescent="0.25">
      <c r="D162" s="191"/>
      <c r="E162" s="191"/>
      <c r="G162" s="165"/>
      <c r="H162" s="190"/>
      <c r="K162" s="165"/>
    </row>
    <row r="163" spans="1:11" x14ac:dyDescent="0.25">
      <c r="A163" s="178" t="s">
        <v>1228</v>
      </c>
      <c r="E163" s="191"/>
      <c r="F163" s="190"/>
      <c r="G163" s="192"/>
      <c r="K163" s="190"/>
    </row>
    <row r="165" spans="1:11" ht="27" x14ac:dyDescent="0.25">
      <c r="A165" s="179" t="s">
        <v>1097</v>
      </c>
      <c r="B165" s="179" t="s">
        <v>1098</v>
      </c>
      <c r="C165" s="179" t="s">
        <v>1099</v>
      </c>
      <c r="D165" s="180" t="s">
        <v>1100</v>
      </c>
      <c r="E165" s="180" t="s">
        <v>1101</v>
      </c>
      <c r="F165" s="180" t="s">
        <v>1110</v>
      </c>
    </row>
    <row r="166" spans="1:11" hidden="1" x14ac:dyDescent="0.25">
      <c r="A166" s="182" t="s">
        <v>671</v>
      </c>
      <c r="B166" s="182" t="s">
        <v>671</v>
      </c>
      <c r="C166" s="182" t="s">
        <v>1111</v>
      </c>
      <c r="D166" s="182" t="s">
        <v>671</v>
      </c>
      <c r="E166" s="182" t="s">
        <v>671</v>
      </c>
      <c r="F166" s="182" t="s">
        <v>671</v>
      </c>
    </row>
    <row r="167" spans="1:11" hidden="1" x14ac:dyDescent="0.25">
      <c r="A167" s="181"/>
      <c r="B167" s="193"/>
      <c r="C167" s="182" t="s">
        <v>1111</v>
      </c>
      <c r="D167" s="194"/>
      <c r="E167" s="195"/>
      <c r="F167" s="196"/>
    </row>
    <row r="168" spans="1:11" hidden="1" x14ac:dyDescent="0.25">
      <c r="A168" s="181"/>
      <c r="B168" s="193"/>
      <c r="C168" s="182" t="s">
        <v>1111</v>
      </c>
      <c r="D168" s="194"/>
      <c r="E168" s="195"/>
      <c r="F168" s="196"/>
    </row>
    <row r="169" spans="1:11" hidden="1" x14ac:dyDescent="0.25">
      <c r="A169" s="181"/>
      <c r="B169" s="193"/>
      <c r="C169" s="182" t="s">
        <v>1111</v>
      </c>
      <c r="D169" s="194"/>
      <c r="E169" s="195"/>
      <c r="F169" s="196"/>
    </row>
    <row r="170" spans="1:11" x14ac:dyDescent="0.25">
      <c r="A170" s="181" t="s">
        <v>1213</v>
      </c>
      <c r="B170" s="181" t="s">
        <v>1223</v>
      </c>
      <c r="C170" s="182" t="s">
        <v>1111</v>
      </c>
      <c r="D170" s="173">
        <v>2221.34</v>
      </c>
      <c r="E170" s="174">
        <v>1958</v>
      </c>
      <c r="F170" s="183">
        <v>1495.8584599999999</v>
      </c>
    </row>
    <row r="171" spans="1:11" x14ac:dyDescent="0.25">
      <c r="A171" s="181" t="s">
        <v>1213</v>
      </c>
      <c r="B171" s="181" t="s">
        <v>1224</v>
      </c>
      <c r="C171" s="182" t="s">
        <v>1111</v>
      </c>
      <c r="D171" s="173">
        <v>2980.75</v>
      </c>
      <c r="E171" s="174">
        <v>2989.3</v>
      </c>
      <c r="F171" s="183">
        <v>670.12164999999993</v>
      </c>
    </row>
    <row r="172" spans="1:11" x14ac:dyDescent="0.25">
      <c r="A172" s="181" t="s">
        <v>1217</v>
      </c>
      <c r="B172" s="181" t="s">
        <v>1223</v>
      </c>
      <c r="C172" s="182" t="s">
        <v>1111</v>
      </c>
      <c r="D172" s="173">
        <v>2267</v>
      </c>
      <c r="E172" s="174">
        <v>1958</v>
      </c>
      <c r="F172" s="183">
        <v>1486.53432</v>
      </c>
    </row>
    <row r="173" spans="1:11" x14ac:dyDescent="0.25">
      <c r="A173" s="181" t="s">
        <v>1217</v>
      </c>
      <c r="B173" s="181" t="s">
        <v>1225</v>
      </c>
      <c r="C173" s="182" t="s">
        <v>1111</v>
      </c>
      <c r="D173" s="173">
        <v>40943.370000000003</v>
      </c>
      <c r="E173" s="174">
        <v>39851.449999999997</v>
      </c>
      <c r="F173" s="183">
        <v>298.84009270000001</v>
      </c>
    </row>
    <row r="174" spans="1:11" x14ac:dyDescent="0.25">
      <c r="A174" s="181" t="s">
        <v>1219</v>
      </c>
      <c r="B174" s="181" t="s">
        <v>1223</v>
      </c>
      <c r="C174" s="182" t="s">
        <v>1111</v>
      </c>
      <c r="D174" s="173">
        <v>2238.3000000000002</v>
      </c>
      <c r="E174" s="174">
        <v>1958</v>
      </c>
      <c r="F174" s="183">
        <v>403.60205999999999</v>
      </c>
    </row>
    <row r="175" spans="1:11" x14ac:dyDescent="0.25">
      <c r="B175" s="197"/>
      <c r="C175" s="198"/>
      <c r="D175" s="167"/>
      <c r="E175" s="199"/>
      <c r="F175" s="199"/>
      <c r="H175" s="190"/>
    </row>
    <row r="176" spans="1:11" x14ac:dyDescent="0.25">
      <c r="A176" s="178" t="s">
        <v>1112</v>
      </c>
      <c r="H176" s="190"/>
      <c r="K176" s="191"/>
    </row>
    <row r="178" spans="1:8" x14ac:dyDescent="0.25">
      <c r="A178" s="186" t="s">
        <v>1097</v>
      </c>
      <c r="B178" s="186" t="s">
        <v>1104</v>
      </c>
    </row>
    <row r="179" spans="1:8" x14ac:dyDescent="0.25">
      <c r="A179" s="181" t="s">
        <v>1213</v>
      </c>
      <c r="B179" s="200">
        <v>2.403124</v>
      </c>
    </row>
    <row r="180" spans="1:8" x14ac:dyDescent="0.25">
      <c r="A180" s="201" t="s">
        <v>1217</v>
      </c>
      <c r="B180" s="200">
        <v>1.6968030000000001</v>
      </c>
    </row>
    <row r="181" spans="1:8" x14ac:dyDescent="0.25">
      <c r="A181" s="202" t="s">
        <v>1219</v>
      </c>
      <c r="B181" s="200">
        <v>0.89531400000000005</v>
      </c>
    </row>
    <row r="182" spans="1:8" x14ac:dyDescent="0.25">
      <c r="A182" s="203"/>
      <c r="B182" s="204"/>
    </row>
    <row r="183" spans="1:8" x14ac:dyDescent="0.25">
      <c r="A183" s="178" t="s">
        <v>1229</v>
      </c>
    </row>
    <row r="184" spans="1:8" x14ac:dyDescent="0.25">
      <c r="A184" s="178"/>
    </row>
    <row r="185" spans="1:8" ht="54" x14ac:dyDescent="0.25">
      <c r="A185" s="179" t="s">
        <v>1097</v>
      </c>
      <c r="B185" s="180" t="s">
        <v>1105</v>
      </c>
      <c r="C185" s="180" t="s">
        <v>1106</v>
      </c>
      <c r="D185" s="180" t="s">
        <v>1107</v>
      </c>
      <c r="E185" s="180" t="s">
        <v>1113</v>
      </c>
      <c r="F185" s="180" t="s">
        <v>1114</v>
      </c>
      <c r="G185" s="165"/>
      <c r="H185" s="190">
        <v>0</v>
      </c>
    </row>
    <row r="186" spans="1:8" x14ac:dyDescent="0.25">
      <c r="A186" s="176" t="s">
        <v>1211</v>
      </c>
      <c r="B186" s="164">
        <v>8438</v>
      </c>
      <c r="C186" s="164">
        <v>8438</v>
      </c>
      <c r="D186" s="175">
        <v>56273.725240100001</v>
      </c>
      <c r="E186" s="175">
        <v>57193.222589400008</v>
      </c>
      <c r="F186" s="175">
        <v>919.49734929999966</v>
      </c>
      <c r="G186" s="165"/>
      <c r="H186" s="190"/>
    </row>
    <row r="187" spans="1:8" x14ac:dyDescent="0.25">
      <c r="A187" s="176" t="s">
        <v>1212</v>
      </c>
      <c r="B187" s="164">
        <v>4662</v>
      </c>
      <c r="C187" s="164">
        <v>4662</v>
      </c>
      <c r="D187" s="175">
        <v>32679.007945999998</v>
      </c>
      <c r="E187" s="175">
        <v>32686.2537419</v>
      </c>
      <c r="F187" s="175">
        <v>7.2457959000010792</v>
      </c>
      <c r="G187" s="165"/>
      <c r="H187" s="190"/>
    </row>
    <row r="188" spans="1:8" x14ac:dyDescent="0.25">
      <c r="A188" s="176" t="s">
        <v>1213</v>
      </c>
      <c r="B188" s="164">
        <v>5869</v>
      </c>
      <c r="C188" s="164">
        <v>5869</v>
      </c>
      <c r="D188" s="175">
        <v>32411.645963000003</v>
      </c>
      <c r="E188" s="175">
        <v>32242.169860499998</v>
      </c>
      <c r="F188" s="175">
        <v>-169.4761025000015</v>
      </c>
      <c r="G188" s="165"/>
      <c r="H188" s="190"/>
    </row>
    <row r="189" spans="1:8" x14ac:dyDescent="0.25">
      <c r="A189" s="176" t="s">
        <v>1214</v>
      </c>
      <c r="B189" s="164">
        <v>19329</v>
      </c>
      <c r="C189" s="164">
        <v>19329</v>
      </c>
      <c r="D189" s="175">
        <v>138072.55866820001</v>
      </c>
      <c r="E189" s="175">
        <v>137399.66442660001</v>
      </c>
      <c r="F189" s="175">
        <v>-672.89424160000624</v>
      </c>
      <c r="G189" s="165"/>
      <c r="H189" s="190"/>
    </row>
    <row r="190" spans="1:8" x14ac:dyDescent="0.25">
      <c r="A190" s="176" t="s">
        <v>1183</v>
      </c>
      <c r="B190" s="164">
        <v>5881</v>
      </c>
      <c r="C190" s="164">
        <v>5881</v>
      </c>
      <c r="D190" s="175">
        <v>44201.735623799999</v>
      </c>
      <c r="E190" s="175">
        <v>44276.101970299998</v>
      </c>
      <c r="F190" s="175">
        <v>74.366346499999167</v>
      </c>
      <c r="G190" s="165"/>
      <c r="H190" s="190"/>
    </row>
    <row r="191" spans="1:8" x14ac:dyDescent="0.25">
      <c r="A191" s="176" t="s">
        <v>1190</v>
      </c>
      <c r="B191" s="164">
        <v>80</v>
      </c>
      <c r="C191" s="164">
        <v>80</v>
      </c>
      <c r="D191" s="175">
        <v>519.27200000000005</v>
      </c>
      <c r="E191" s="175">
        <v>547.976</v>
      </c>
      <c r="F191" s="175">
        <v>28.704000000000001</v>
      </c>
      <c r="G191" s="165"/>
      <c r="H191" s="190"/>
    </row>
    <row r="192" spans="1:8" x14ac:dyDescent="0.25">
      <c r="A192" s="176" t="s">
        <v>1215</v>
      </c>
      <c r="B192" s="164">
        <v>2653</v>
      </c>
      <c r="C192" s="164">
        <v>2653</v>
      </c>
      <c r="D192" s="175">
        <v>17091.672167599998</v>
      </c>
      <c r="E192" s="175">
        <v>17775.607721200002</v>
      </c>
      <c r="F192" s="175">
        <v>683.93555360000028</v>
      </c>
      <c r="G192" s="165"/>
      <c r="H192" s="190"/>
    </row>
    <row r="193" spans="1:8" x14ac:dyDescent="0.25">
      <c r="A193" s="176" t="s">
        <v>1216</v>
      </c>
      <c r="B193" s="164">
        <v>200</v>
      </c>
      <c r="C193" s="164">
        <v>200</v>
      </c>
      <c r="D193" s="175">
        <v>940.611805</v>
      </c>
      <c r="E193" s="175">
        <v>954.29250000000002</v>
      </c>
      <c r="F193" s="175">
        <v>13.680695</v>
      </c>
      <c r="G193" s="165"/>
      <c r="H193" s="190"/>
    </row>
    <row r="194" spans="1:8" x14ac:dyDescent="0.25">
      <c r="A194" s="176" t="s">
        <v>1217</v>
      </c>
      <c r="B194" s="164">
        <v>10203</v>
      </c>
      <c r="C194" s="164">
        <v>10203</v>
      </c>
      <c r="D194" s="175">
        <v>63078.64257950001</v>
      </c>
      <c r="E194" s="175">
        <v>64140.953985799999</v>
      </c>
      <c r="F194" s="175">
        <v>1062.3114062999962</v>
      </c>
      <c r="G194" s="165"/>
      <c r="H194" s="190"/>
    </row>
    <row r="195" spans="1:8" x14ac:dyDescent="0.25">
      <c r="A195" s="176" t="s">
        <v>1218</v>
      </c>
      <c r="B195" s="164">
        <v>969</v>
      </c>
      <c r="C195" s="164">
        <v>969</v>
      </c>
      <c r="D195" s="175">
        <v>4891.3540104000003</v>
      </c>
      <c r="E195" s="175">
        <v>4582.8821061999997</v>
      </c>
      <c r="F195" s="175">
        <v>-308.47190420000015</v>
      </c>
      <c r="G195" s="165"/>
      <c r="H195" s="190"/>
    </row>
    <row r="196" spans="1:8" x14ac:dyDescent="0.25">
      <c r="A196" s="176" t="s">
        <v>1219</v>
      </c>
      <c r="B196" s="164">
        <v>547</v>
      </c>
      <c r="C196" s="175">
        <v>547</v>
      </c>
      <c r="D196" s="175">
        <v>3607.8038141999996</v>
      </c>
      <c r="E196" s="175">
        <v>3585.5738762999999</v>
      </c>
      <c r="F196" s="175">
        <v>-22.229937900000067</v>
      </c>
      <c r="G196" s="165"/>
      <c r="H196" s="190"/>
    </row>
    <row r="197" spans="1:8" x14ac:dyDescent="0.25">
      <c r="A197" s="176" t="s">
        <v>1201</v>
      </c>
      <c r="B197" s="164">
        <v>60</v>
      </c>
      <c r="C197" s="175">
        <v>60</v>
      </c>
      <c r="D197" s="175">
        <v>621.71165069999995</v>
      </c>
      <c r="E197" s="175">
        <v>686.31184439999993</v>
      </c>
      <c r="F197" s="175">
        <v>64.600193699999977</v>
      </c>
      <c r="G197" s="165"/>
      <c r="H197" s="190"/>
    </row>
    <row r="198" spans="1:8" x14ac:dyDescent="0.25">
      <c r="A198" s="176" t="s">
        <v>1220</v>
      </c>
      <c r="B198" s="164">
        <v>372</v>
      </c>
      <c r="C198" s="175">
        <v>372</v>
      </c>
      <c r="D198" s="175">
        <v>2166.6420777999997</v>
      </c>
      <c r="E198" s="175">
        <v>2335.9459167</v>
      </c>
      <c r="F198" s="175">
        <v>169.30383890000002</v>
      </c>
      <c r="G198" s="165"/>
      <c r="H198" s="190"/>
    </row>
    <row r="199" spans="1:8" x14ac:dyDescent="0.25">
      <c r="A199" s="176" t="s">
        <v>1222</v>
      </c>
      <c r="B199" s="164">
        <v>402</v>
      </c>
      <c r="C199" s="175">
        <v>402</v>
      </c>
      <c r="D199" s="175">
        <v>2031.1789886000001</v>
      </c>
      <c r="E199" s="175">
        <v>1830.9616599999999</v>
      </c>
      <c r="F199" s="175">
        <v>-200.21732860000014</v>
      </c>
      <c r="G199" s="165"/>
      <c r="H199" s="190"/>
    </row>
    <row r="200" spans="1:8" x14ac:dyDescent="0.25">
      <c r="G200" s="165"/>
      <c r="H200" s="190"/>
    </row>
    <row r="201" spans="1:8" x14ac:dyDescent="0.25">
      <c r="A201" s="205"/>
      <c r="B201" s="206"/>
      <c r="C201" s="206"/>
      <c r="D201" s="207"/>
      <c r="E201" s="207"/>
      <c r="F201" s="207"/>
      <c r="G201" s="190"/>
    </row>
    <row r="202" spans="1:8" x14ac:dyDescent="0.25">
      <c r="A202" s="178" t="s">
        <v>1230</v>
      </c>
      <c r="C202" s="208"/>
    </row>
    <row r="204" spans="1:8" ht="27" x14ac:dyDescent="0.25">
      <c r="A204" s="180" t="s">
        <v>1097</v>
      </c>
      <c r="B204" s="180" t="s">
        <v>1098</v>
      </c>
      <c r="C204" s="180" t="s">
        <v>1115</v>
      </c>
      <c r="D204" s="180" t="s">
        <v>1116</v>
      </c>
      <c r="E204" s="180" t="s">
        <v>1117</v>
      </c>
      <c r="F204" s="180" t="s">
        <v>1118</v>
      </c>
    </row>
    <row r="205" spans="1:8" x14ac:dyDescent="0.25">
      <c r="A205" s="209" t="s">
        <v>671</v>
      </c>
      <c r="B205" s="209" t="s">
        <v>671</v>
      </c>
      <c r="C205" s="209" t="s">
        <v>671</v>
      </c>
      <c r="D205" s="209" t="s">
        <v>671</v>
      </c>
      <c r="E205" s="209" t="s">
        <v>671</v>
      </c>
      <c r="F205" s="209" t="s">
        <v>671</v>
      </c>
    </row>
    <row r="206" spans="1:8" x14ac:dyDescent="0.25">
      <c r="C206" s="208"/>
      <c r="D206" s="208"/>
      <c r="E206" s="210"/>
      <c r="F206" s="210"/>
    </row>
    <row r="207" spans="1:8" x14ac:dyDescent="0.25">
      <c r="C207" s="208"/>
      <c r="D207" s="208"/>
      <c r="E207" s="210"/>
      <c r="F207" s="210"/>
    </row>
    <row r="208" spans="1:8" x14ac:dyDescent="0.25">
      <c r="A208" s="178" t="s">
        <v>1119</v>
      </c>
      <c r="F208" s="177" t="s">
        <v>1120</v>
      </c>
    </row>
    <row r="209" spans="1:6" x14ac:dyDescent="0.25">
      <c r="A209" s="178"/>
    </row>
    <row r="210" spans="1:6" x14ac:dyDescent="0.25">
      <c r="A210" s="186" t="s">
        <v>1097</v>
      </c>
      <c r="B210" s="186" t="s">
        <v>1104</v>
      </c>
    </row>
    <row r="211" spans="1:6" x14ac:dyDescent="0.25">
      <c r="A211" s="209" t="s">
        <v>671</v>
      </c>
      <c r="B211" s="209" t="s">
        <v>671</v>
      </c>
    </row>
    <row r="212" spans="1:6" x14ac:dyDescent="0.25">
      <c r="B212" s="211"/>
      <c r="C212" s="212"/>
    </row>
    <row r="213" spans="1:6" x14ac:dyDescent="0.25">
      <c r="A213" s="178" t="s">
        <v>1231</v>
      </c>
    </row>
    <row r="215" spans="1:6" ht="40.5" x14ac:dyDescent="0.25">
      <c r="A215" s="179" t="s">
        <v>1097</v>
      </c>
      <c r="B215" s="180" t="s">
        <v>1121</v>
      </c>
      <c r="C215" s="180" t="s">
        <v>1122</v>
      </c>
      <c r="D215" s="180" t="s">
        <v>1123</v>
      </c>
      <c r="E215" s="180" t="s">
        <v>1124</v>
      </c>
    </row>
    <row r="216" spans="1:6" x14ac:dyDescent="0.25">
      <c r="A216" s="213"/>
      <c r="B216" s="209"/>
      <c r="C216" s="183"/>
      <c r="D216" s="166"/>
      <c r="E216" s="166">
        <v>0</v>
      </c>
    </row>
    <row r="217" spans="1:6" x14ac:dyDescent="0.25">
      <c r="A217" s="214"/>
      <c r="B217" s="215"/>
      <c r="C217" s="216"/>
      <c r="D217" s="216"/>
      <c r="E217" s="168"/>
    </row>
    <row r="218" spans="1:6" x14ac:dyDescent="0.25">
      <c r="A218" s="214"/>
      <c r="B218" s="215"/>
      <c r="C218" s="216"/>
      <c r="D218" s="216"/>
      <c r="E218" s="168"/>
    </row>
    <row r="220" spans="1:6" x14ac:dyDescent="0.25">
      <c r="A220" s="178" t="s">
        <v>1232</v>
      </c>
    </row>
    <row r="222" spans="1:6" ht="27" x14ac:dyDescent="0.25">
      <c r="A222" s="180" t="s">
        <v>1097</v>
      </c>
      <c r="B222" s="180" t="s">
        <v>1098</v>
      </c>
      <c r="C222" s="180" t="s">
        <v>1115</v>
      </c>
      <c r="D222" s="180" t="s">
        <v>1116</v>
      </c>
      <c r="E222" s="180" t="s">
        <v>1117</v>
      </c>
      <c r="F222" s="180" t="s">
        <v>1118</v>
      </c>
    </row>
    <row r="223" spans="1:6" x14ac:dyDescent="0.25">
      <c r="A223" s="181" t="s">
        <v>671</v>
      </c>
      <c r="B223" s="181" t="s">
        <v>671</v>
      </c>
      <c r="C223" s="181" t="s">
        <v>671</v>
      </c>
      <c r="D223" s="181" t="s">
        <v>671</v>
      </c>
      <c r="E223" s="181" t="s">
        <v>671</v>
      </c>
      <c r="F223" s="181" t="s">
        <v>671</v>
      </c>
    </row>
    <row r="224" spans="1:6" x14ac:dyDescent="0.25">
      <c r="B224" s="197"/>
      <c r="C224" s="217"/>
      <c r="D224" s="169"/>
      <c r="E224" s="210"/>
      <c r="F224" s="210"/>
    </row>
    <row r="225" spans="1:7" x14ac:dyDescent="0.25">
      <c r="A225" s="178" t="s">
        <v>1125</v>
      </c>
    </row>
    <row r="226" spans="1:7" x14ac:dyDescent="0.25">
      <c r="A226" s="178"/>
    </row>
    <row r="227" spans="1:7" x14ac:dyDescent="0.25">
      <c r="A227" s="186" t="s">
        <v>1097</v>
      </c>
      <c r="B227" s="186" t="s">
        <v>1104</v>
      </c>
    </row>
    <row r="228" spans="1:7" x14ac:dyDescent="0.25">
      <c r="A228" s="181" t="s">
        <v>671</v>
      </c>
      <c r="B228" s="181" t="s">
        <v>671</v>
      </c>
    </row>
    <row r="229" spans="1:7" x14ac:dyDescent="0.25">
      <c r="A229" s="203"/>
      <c r="B229" s="212"/>
    </row>
    <row r="230" spans="1:7" x14ac:dyDescent="0.25">
      <c r="A230" s="178" t="s">
        <v>1233</v>
      </c>
    </row>
    <row r="232" spans="1:7" ht="40.5" x14ac:dyDescent="0.25">
      <c r="A232" s="179" t="s">
        <v>1097</v>
      </c>
      <c r="B232" s="180" t="s">
        <v>1121</v>
      </c>
      <c r="C232" s="180" t="s">
        <v>1126</v>
      </c>
      <c r="D232" s="180" t="s">
        <v>1127</v>
      </c>
      <c r="E232" s="180" t="s">
        <v>1124</v>
      </c>
    </row>
    <row r="233" spans="1:7" x14ac:dyDescent="0.25">
      <c r="A233" s="181"/>
      <c r="B233" s="209"/>
      <c r="C233" s="183"/>
      <c r="D233" s="209"/>
      <c r="E233" s="209"/>
    </row>
    <row r="234" spans="1:7" x14ac:dyDescent="0.25">
      <c r="F234" s="218"/>
    </row>
    <row r="235" spans="1:7" x14ac:dyDescent="0.25">
      <c r="E235" s="170"/>
      <c r="F235" s="191"/>
    </row>
    <row r="236" spans="1:7" x14ac:dyDescent="0.25">
      <c r="A236" s="178" t="s">
        <v>1234</v>
      </c>
    </row>
    <row r="237" spans="1:7" ht="26.25" x14ac:dyDescent="0.25">
      <c r="A237" s="219" t="s">
        <v>1128</v>
      </c>
      <c r="B237" s="220" t="s">
        <v>1129</v>
      </c>
      <c r="C237" s="220" t="s">
        <v>1130</v>
      </c>
      <c r="D237" s="221" t="s">
        <v>1131</v>
      </c>
      <c r="E237" s="221" t="s">
        <v>1132</v>
      </c>
      <c r="F237" s="220" t="s">
        <v>1133</v>
      </c>
      <c r="G237" s="220" t="s">
        <v>1134</v>
      </c>
    </row>
    <row r="238" spans="1:7" x14ac:dyDescent="0.25">
      <c r="A238" s="188" t="s">
        <v>1135</v>
      </c>
      <c r="B238" s="222" t="s">
        <v>1136</v>
      </c>
      <c r="C238" s="223" t="s">
        <v>1137</v>
      </c>
      <c r="D238" s="224" t="s">
        <v>1138</v>
      </c>
      <c r="E238" s="224" t="s">
        <v>1139</v>
      </c>
      <c r="F238" s="225">
        <v>2500</v>
      </c>
      <c r="G238" s="226">
        <v>46002</v>
      </c>
    </row>
    <row r="239" spans="1:7" x14ac:dyDescent="0.25">
      <c r="D239" s="191"/>
    </row>
    <row r="240" spans="1:7" x14ac:dyDescent="0.25">
      <c r="A240" s="178" t="s">
        <v>1235</v>
      </c>
      <c r="D240" s="191"/>
    </row>
    <row r="241" spans="1:9" x14ac:dyDescent="0.25">
      <c r="D241" s="191"/>
    </row>
    <row r="242" spans="1:9" ht="27" x14ac:dyDescent="0.25">
      <c r="A242" s="179" t="s">
        <v>1097</v>
      </c>
      <c r="B242" s="180" t="s">
        <v>1098</v>
      </c>
      <c r="C242" s="180" t="s">
        <v>1099</v>
      </c>
      <c r="D242" s="180" t="s">
        <v>1140</v>
      </c>
      <c r="E242" s="180" t="s">
        <v>1141</v>
      </c>
      <c r="F242" s="180" t="s">
        <v>1142</v>
      </c>
    </row>
    <row r="243" spans="1:9" x14ac:dyDescent="0.25">
      <c r="A243" s="171" t="s">
        <v>671</v>
      </c>
      <c r="B243" s="171" t="s">
        <v>671</v>
      </c>
      <c r="C243" s="171" t="s">
        <v>671</v>
      </c>
      <c r="D243" s="171" t="s">
        <v>671</v>
      </c>
      <c r="E243" s="171" t="s">
        <v>671</v>
      </c>
      <c r="F243" s="171" t="s">
        <v>671</v>
      </c>
    </row>
    <row r="244" spans="1:9" x14ac:dyDescent="0.25">
      <c r="D244" s="191"/>
    </row>
    <row r="245" spans="1:9" x14ac:dyDescent="0.25">
      <c r="A245" s="178" t="s">
        <v>1143</v>
      </c>
      <c r="D245" s="191"/>
    </row>
    <row r="246" spans="1:9" x14ac:dyDescent="0.25">
      <c r="A246" s="178"/>
      <c r="D246" s="191"/>
    </row>
    <row r="247" spans="1:9" x14ac:dyDescent="0.25">
      <c r="A247" s="186" t="s">
        <v>1097</v>
      </c>
      <c r="B247" s="186" t="s">
        <v>1104</v>
      </c>
      <c r="D247" s="191"/>
    </row>
    <row r="248" spans="1:9" x14ac:dyDescent="0.25">
      <c r="A248" s="171" t="s">
        <v>671</v>
      </c>
      <c r="B248" s="171" t="s">
        <v>671</v>
      </c>
      <c r="D248" s="191"/>
    </row>
    <row r="249" spans="1:9" x14ac:dyDescent="0.25">
      <c r="D249" s="191"/>
    </row>
    <row r="250" spans="1:9" x14ac:dyDescent="0.25">
      <c r="A250" s="178" t="s">
        <v>1236</v>
      </c>
      <c r="D250" s="191"/>
    </row>
    <row r="251" spans="1:9" x14ac:dyDescent="0.25">
      <c r="D251" s="191"/>
    </row>
    <row r="252" spans="1:9" ht="67.5" x14ac:dyDescent="0.25">
      <c r="A252" s="179" t="s">
        <v>1097</v>
      </c>
      <c r="B252" s="180" t="s">
        <v>1105</v>
      </c>
      <c r="C252" s="180" t="s">
        <v>1106</v>
      </c>
      <c r="D252" s="180" t="s">
        <v>1107</v>
      </c>
      <c r="E252" s="180" t="s">
        <v>1108</v>
      </c>
      <c r="F252" s="180" t="s">
        <v>1109</v>
      </c>
    </row>
    <row r="253" spans="1:9" x14ac:dyDescent="0.25">
      <c r="A253" s="227"/>
      <c r="B253" s="227"/>
      <c r="C253" s="164"/>
      <c r="D253" s="228"/>
      <c r="E253" s="172"/>
      <c r="F253" s="229"/>
      <c r="H253" s="190"/>
      <c r="I253" s="191"/>
    </row>
    <row r="254" spans="1:9" x14ac:dyDescent="0.25">
      <c r="D254" s="191"/>
    </row>
    <row r="255" spans="1:9" x14ac:dyDescent="0.25">
      <c r="D255" s="191"/>
    </row>
    <row r="256" spans="1:9" x14ac:dyDescent="0.25">
      <c r="A256" s="178" t="s">
        <v>1237</v>
      </c>
      <c r="D256" s="191"/>
    </row>
    <row r="257" spans="1:6" x14ac:dyDescent="0.25">
      <c r="D257" s="191"/>
    </row>
    <row r="258" spans="1:6" ht="67.5" x14ac:dyDescent="0.25">
      <c r="A258" s="179" t="s">
        <v>1097</v>
      </c>
      <c r="B258" s="180" t="s">
        <v>1105</v>
      </c>
      <c r="C258" s="180" t="s">
        <v>1106</v>
      </c>
      <c r="D258" s="180" t="s">
        <v>1107</v>
      </c>
      <c r="E258" s="180" t="s">
        <v>1108</v>
      </c>
      <c r="F258" s="180" t="s">
        <v>1109</v>
      </c>
    </row>
    <row r="259" spans="1:6" x14ac:dyDescent="0.25">
      <c r="A259" s="182"/>
      <c r="B259" s="209"/>
      <c r="C259" s="209"/>
      <c r="D259" s="230"/>
      <c r="E259" s="230"/>
      <c r="F259" s="230"/>
    </row>
    <row r="260" spans="1:6" x14ac:dyDescent="0.25">
      <c r="D260" s="191"/>
    </row>
    <row r="261" spans="1:6" x14ac:dyDescent="0.25">
      <c r="D261" s="191"/>
    </row>
    <row r="262" spans="1:6" x14ac:dyDescent="0.25">
      <c r="D262" s="191"/>
    </row>
    <row r="263" spans="1:6" x14ac:dyDescent="0.25">
      <c r="A263" s="177" t="s">
        <v>1144</v>
      </c>
    </row>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2025-03-03T09:06:18Z</dcterms:created>
  <dcterms:modified xsi:type="dcterms:W3CDTF">2025-03-10T08:55:49Z</dcterms:modified>
</cp:coreProperties>
</file>